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<sst xmlns="http://schemas.openxmlformats.org/spreadsheetml/2006/main" count="50114" uniqueCount="5122">
  <si>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</si>
  <si>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</si>
  <si>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</si>
  <si>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</si>
  <si>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</si>
  <si>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</si>
  <si>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</si>
  <si>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</si>
  <si>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</si>
  <si>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</si>
  <si>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</si>
  <si>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</si>
  <si>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</si>
  <si>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</si>
  <si>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</si>
  <si>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</si>
  <si>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</si>
  <si>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</si>
  <si>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</si>
  <si>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</si>
  <si>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</si>
  <si>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</si>
  <si>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</si>
  <si>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</si>
  <si>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</si>
  <si>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</si>
  <si>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</si>
  <si>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</si>
  <si>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</si>
  <si>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</si>
  <si>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</si>
  <si>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</si>
  <si>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</si>
  <si>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</si>
  <si>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</si>
  <si>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</si>
  <si>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</si>
  <si>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</si>
  <si>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</si>
  <si>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</si>
  <si>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</si>
  <si>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</si>
  <si>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</si>
  <si>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</si>
  <si>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</si>
  <si>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</si>
  <si>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</si>
  <si>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</si>
  <si>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</si>
  <si>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</si>
  <si>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</si>
  <si>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</si>
  <si>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</si>
  <si>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</si>
  <si>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</si>
  <si>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</si>
  <si>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</si>
  <si>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</si>
  <si>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</si>
  <si>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</si>
  <si>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</si>
  <si>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</si>
  <si>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</si>
  <si>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</si>
  <si>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</si>
  <si>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</si>
  <si>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</si>
  <si>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</si>
  <si>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</si>
  <si>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</si>
  <si>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</si>
  <si>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</si>
  <si>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</si>
  <si>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</si>
  <si>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</si>
  <si>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</si>
  <si>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</si>
  <si>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</si>
  <si>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</si>
  <si>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</si>
  <si>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</si>
  <si>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</si>
  <si>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</si>
  <si>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</si>
  <si>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</si>
  <si>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</si>
  <si>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</si>
  <si>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</si>
  <si>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</si>
  <si>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</si>
  <si>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</si>
  <si>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</si>
  <si>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</si>
  <si>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</si>
  <si>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</si>
  <si>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</si>
  <si>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</si>
  <si>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</si>
  <si>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</si>
  <si>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</si>
  <si>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</si>
  <si>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</si>
  <si>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</si>
  <si>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</si>
  <si>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</si>
  <si>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</si>
  <si>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</si>
  <si>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</si>
  <si>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</si>
  <si>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</si>
  <si>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</si>
  <si>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</si>
  <si>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</si>
  <si>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</si>
  <si>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</si>
  <si>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</si>
  <si>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</si>
  <si>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</si>
  <si>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</si>
  <si>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</si>
  <si>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</si>
  <si>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</si>
  <si>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</si>
  <si>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</si>
  <si>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</si>
  <si>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</si>
  <si>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</si>
  <si>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</si>
  <si>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</si>
  <si>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</si>
  <si>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</si>
  <si>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</si>
  <si>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</si>
  <si>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</si>
  <si>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</si>
  <si>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</si>
  <si>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</si>
  <si>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</si>
  <si>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</si>
  <si>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</si>
  <si>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</si>
  <si>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</si>
  <si>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</si>
  <si>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</si>
  <si>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</si>
  <si>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</si>
  <si>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</si>
  <si>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</si>
  <si>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</si>
  <si>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</si>
  <si>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</si>
  <si>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</si>
  <si>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</si>
  <si>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</si>
  <si>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</si>
  <si>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</si>
  <si>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</si>
  <si>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</si>
  <si>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</si>
  <si>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</si>
  <si>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</si>
  <si>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</si>
  <si>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</si>
  <si>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</si>
  <si>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</si>
  <si>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</si>
  <si>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</si>
  <si>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</si>
  <si>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</si>
  <si>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</si>
  <si>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</si>
  <si>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</si>
  <si>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</si>
  <si>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</si>
  <si>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</si>
  <si>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</si>
  <si>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</si>
  <si>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</si>
  <si>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</si>
  <si>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</si>
  <si>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</si>
  <si>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</si>
  <si>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</si>
  <si>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</si>
  <si>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</si>
  <si>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</si>
  <si>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</si>
  <si>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</si>
  <si>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</si>
  <si>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</si>
  <si>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</si>
  <si>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</si>
  <si>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</si>
  <si>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</si>
  <si>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</si>
  <si>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</si>
  <si>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</si>
  <si>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</si>
  <si>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</si>
  <si>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</si>
  <si>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</si>
  <si>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</si>
  <si>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</si>
  <si>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</si>
  <si>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</si>
  <si>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</si>
  <si>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</si>
  <si>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</si>
  <si>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</si>
  <si>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</si>
  <si>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</si>
  <si>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</si>
  <si>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</si>
  <si>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</si>
  <si>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</si>
  <si>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</si>
  <si>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</si>
  <si>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</si>
  <si>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</si>
  <si>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</si>
  <si>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</si>
  <si>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</si>
  <si>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</si>
  <si>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</si>
  <si>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</si>
  <si>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</si>
  <si>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</si>
  <si>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</si>
  <si>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</si>
  <si>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</si>
  <si>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</si>
  <si>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</si>
  <si>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</si>
  <si>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</si>
  <si>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</si>
  <si>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</si>
  <si>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</si>
  <si>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</si>
  <si>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</si>
  <si>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</si>
  <si>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</si>
  <si>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</si>
  <si>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</si>
  <si>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</si>
  <si>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</si>
  <si>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</si>
  <si>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</si>
  <si>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</si>
  <si>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</si>
  <si>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</si>
  <si>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</si>
  <si>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</si>
  <si>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</si>
  <si>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</si>
  <si>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</si>
  <si>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</si>
  <si>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</si>
  <si>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</si>
  <si>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</si>
  <si>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</si>
  <si>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</si>
  <si>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</si>
  <si>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</si>
  <si>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</si>
  <si>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</si>
  <si>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</si>
  <si>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</si>
  <si>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</si>
  <si>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</si>
  <si>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</si>
  <si>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</si>
  <si>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</si>
  <si>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</si>
  <si>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</si>
  <si>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</si>
  <si>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</si>
  <si>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</si>
  <si>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</si>
  <si>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</si>
  <si>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</si>
  <si>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</si>
  <si>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</si>
  <si>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</si>
  <si>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</si>
  <si>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</si>
  <si>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</si>
  <si>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</si>
  <si>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</si>
  <si>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</si>
  <si>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</si>
  <si>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</si>
  <si>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</si>
  <si>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</si>
  <si>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</si>
  <si>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</si>
  <si>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</si>
  <si>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</si>
  <si>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</si>
  <si>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</si>
  <si>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</si>
  <si>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</si>
  <si>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</si>
  <si>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</si>
  <si>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</si>
  <si>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</si>
  <si>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</si>
  <si>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</si>
  <si>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</si>
  <si>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</si>
  <si>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</si>
  <si>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</si>
  <si>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</si>
  <si>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</si>
  <si>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</si>
  <si>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</si>
  <si>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</si>
  <si>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</si>
  <si>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</si>
  <si>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</si>
  <si>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</si>
  <si>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</si>
  <si>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</si>
  <si>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</si>
  <si>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</si>
  <si>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</si>
  <si>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</si>
  <si>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</si>
  <si>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</si>
  <si>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</si>
  <si>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</si>
  <si>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</si>
  <si>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</si>
  <si>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</si>
  <si>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</si>
  <si>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</si>
  <si>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</si>
  <si>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</si>
  <si>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</si>
  <si>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</si>
  <si>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</si>
  <si>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</si>
  <si>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</si>
  <si>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</si>
  <si>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</si>
  <si>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</si>
  <si>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</si>
  <si>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</si>
  <si>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</si>
  <si>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</si>
  <si>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</si>
  <si>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</si>
  <si>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</si>
  <si>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</si>
  <si>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</si>
  <si>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</si>
  <si>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</si>
  <si>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</si>
  <si>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</si>
  <si>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</si>
  <si>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</si>
  <si>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</si>
  <si>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</si>
  <si>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</si>
  <si>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</si>
  <si>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</si>
  <si>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</si>
  <si>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</si>
  <si>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</si>
  <si>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</si>
  <si>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</si>
  <si>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</si>
  <si>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</si>
  <si>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</si>
  <si>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</si>
  <si>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</si>
  <si>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</si>
  <si>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</si>
  <si>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</si>
  <si>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</si>
  <si>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</si>
  <si>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</si>
  <si>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</si>
  <si>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</si>
  <si>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</si>
  <si>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</si>
  <si>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</si>
  <si>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</si>
  <si>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</si>
  <si>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</si>
  <si>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</si>
  <si>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</si>
  <si>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</si>
  <si>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</si>
  <si>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</si>
  <si>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</si>
  <si>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</si>
  <si>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</si>
  <si>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</si>
  <si>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</si>
  <si>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</si>
  <si>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</si>
  <si>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</si>
  <si>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</si>
  <si>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</si>
  <si>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</si>
  <si>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</si>
  <si>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</si>
  <si>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</si>
  <si>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</si>
  <si>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</si>
  <si>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</si>
  <si>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</si>
  <si>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</si>
  <si>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</si>
  <si>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</si>
  <si>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</si>
  <si>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</si>
  <si>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</si>
  <si>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</si>
  <si>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</si>
  <si>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</si>
  <si>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</si>
  <si>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</si>
  <si>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</si>
  <si>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</si>
  <si>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</si>
  <si>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</si>
  <si>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</si>
  <si>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</si>
  <si>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</si>
  <si>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</si>
  <si>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</si>
  <si>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</si>
  <si>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</si>
  <si>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</si>
  <si>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</si>
  <si>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</si>
  <si>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</si>
  <si>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</si>
  <si>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</si>
  <si>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</si>
  <si>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</si>
  <si>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</si>
  <si>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</si>
  <si>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</si>
  <si>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</si>
  <si>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</si>
  <si>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</si>
  <si>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</si>
  <si>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</si>
  <si>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</si>
  <si>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</si>
  <si>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</si>
  <si>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</si>
  <si>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</si>
  <si>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</si>
  <si>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</si>
  <si>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</si>
  <si>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</si>
  <si>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</si>
  <si>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</si>
  <si>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</si>
  <si>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</si>
  <si>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</si>
  <si>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</si>
  <si>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</si>
  <si>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</si>
  <si>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</si>
  <si>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</si>
  <si>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</si>
  <si>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</si>
  <si>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</si>
  <si>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</si>
  <si>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</si>
  <si>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</si>
  <si>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</si>
  <si>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</si>
  <si>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</si>
  <si>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</si>
  <si>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</si>
  <si>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</si>
  <si>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</si>
  <si>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</si>
  <si>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</si>
  <si>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</si>
  <si>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</si>
  <si>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</si>
  <si>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</si>
  <si>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</si>
  <si>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</si>
  <si>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</si>
  <si>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</si>
  <si>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</si>
  <si>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</si>
  <si>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</si>
  <si>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</si>
  <si>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</si>
  <si>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</si>
  <si>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</si>
  <si>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</si>
  <si>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</si>
  <si>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</si>
  <si>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</si>
  <si>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</si>
  <si>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</si>
  <si>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</si>
  <si>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</si>
  <si>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</si>
  <si>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</si>
  <si>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</si>
  <si>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</si>
  <si>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</si>
  <si>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</si>
  <si>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</si>
  <si>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</si>
  <si>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</si>
  <si>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</si>
  <si>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</si>
  <si>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</si>
  <si>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</si>
  <si>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</si>
  <si>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</si>
  <si>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</si>
  <si>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</si>
  <si>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</si>
  <si>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</si>
  <si>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</si>
  <si>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</si>
  <si>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</si>
  <si>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</si>
  <si>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</si>
  <si>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</si>
  <si>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</si>
  <si>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</si>
  <si>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</si>
  <si>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</si>
  <si>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</si>
  <si>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</si>
  <si>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</si>
  <si>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</si>
  <si>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</si>
  <si>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</si>
  <si>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</si>
  <si>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</si>
  <si>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</si>
  <si>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</si>
  <si>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</si>
  <si>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</si>
  <si>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</si>
  <si>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</si>
  <si>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</si>
  <si>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</si>
  <si>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</si>
  <si>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</si>
  <si>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</si>
  <si>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</si>
  <si>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</si>
  <si>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</si>
  <si>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</si>
  <si>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</si>
  <si>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</si>
  <si>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</si>
  <si>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</si>
  <si>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</si>
  <si>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</si>
  <si>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</si>
  <si>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</si>
  <si>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</si>
  <si>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</si>
  <si>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</si>
  <si>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</si>
  <si>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</si>
  <si>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</si>
  <si>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</si>
  <si>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</si>
  <si>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</si>
  <si>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</si>
  <si>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</si>
  <si>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</si>
  <si>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</si>
  <si>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</si>
  <si>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</si>
  <si>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</si>
  <si>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</si>
  <si>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</si>
  <si>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</si>
  <si>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</si>
  <si>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</si>
  <si>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</si>
  <si>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</si>
  <si>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</si>
  <si>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</si>
  <si>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</si>
  <si>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</si>
  <si>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</si>
  <si>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</si>
  <si>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</si>
  <si>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</si>
  <si>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</si>
  <si>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</si>
  <si>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</si>
  <si>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</si>
  <si>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</si>
  <si>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</si>
  <si>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</si>
  <si>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</si>
  <si>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</si>
  <si>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</si>
  <si>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</si>
  <si>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</si>
  <si>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</si>
  <si>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</si>
  <si>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</si>
  <si>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</si>
  <si>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</si>
  <si>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</si>
  <si>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</si>
  <si>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</si>
  <si>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</si>
  <si>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</si>
  <si>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</si>
  <si>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</si>
  <si>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</si>
  <si>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</si>
  <si>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</si>
  <si>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</si>
  <si>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</si>
  <si>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</si>
  <si>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</si>
  <si>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</si>
  <si>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</si>
  <si>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</si>
  <si>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</si>
  <si>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</si>
  <si>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</si>
  <si>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</si>
  <si>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</si>
  <si>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</si>
  <si>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</si>
  <si>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</si>
  <si>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</si>
  <si>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</si>
  <si>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</si>
  <si>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</si>
  <si>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</si>
  <si>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</si>
  <si>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</si>
  <si>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</si>
  <si>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</si>
  <si>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</si>
  <si>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</si>
  <si>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</si>
  <si>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</si>
  <si>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</si>
  <si>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</si>
  <si>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</si>
  <si>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</si>
  <si>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</si>
  <si>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</si>
  <si>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</si>
  <si>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</si>
  <si>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</si>
  <si>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</si>
  <si>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</si>
  <si>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</si>
  <si>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</si>
  <si>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</si>
  <si>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</si>
  <si>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</si>
  <si>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</si>
  <si>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</si>
  <si>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</si>
  <si>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</si>
  <si>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</si>
  <si>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</si>
  <si>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</si>
  <si>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</si>
  <si>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</si>
  <si>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</si>
  <si>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</si>
  <si>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</si>
  <si>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</si>
  <si>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</si>
  <si>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</si>
  <si>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</si>
  <si>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</si>
  <si>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</si>
  <si>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</si>
  <si>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</si>
  <si>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</si>
  <si>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</si>
  <si>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</si>
  <si>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</si>
  <si>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</si>
  <si>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</si>
  <si>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</si>
  <si>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</si>
  <si>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</si>
  <si>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</si>
  <si>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</si>
  <si>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</si>
  <si>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</si>
  <si>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</si>
  <si>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</si>
  <si>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</si>
  <si>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</si>
  <si>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</si>
  <si>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</si>
  <si>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</si>
  <si>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</si>
  <si>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</si>
  <si>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</si>
  <si>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</si>
  <si>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</si>
  <si>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</si>
  <si>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</si>
  <si>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</si>
  <si>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</si>
  <si>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</si>
  <si>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</si>
  <si>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</si>
  <si>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</si>
  <si>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</si>
  <si>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</si>
  <si>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</si>
  <si>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</si>
  <si>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</si>
  <si>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</si>
  <si>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</si>
  <si>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</si>
  <si>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</si>
  <si>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</si>
  <si>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</si>
  <si>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</si>
  <si>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</si>
  <si>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</si>
  <si>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</si>
  <si>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</si>
  <si>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</si>
  <si>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</si>
  <si>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</si>
  <si>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</si>
  <si>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</si>
  <si>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</si>
  <si>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</si>
  <si>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</si>
  <si>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</si>
  <si>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</si>
  <si>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</si>
  <si>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</si>
  <si>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</si>
  <si>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</si>
  <si>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</si>
  <si>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</si>
  <si>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</si>
  <si>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</si>
  <si>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</si>
  <si>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</si>
  <si>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</si>
  <si>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</si>
  <si>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</si>
  <si>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</si>
  <si>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</si>
  <si>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</si>
  <si>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</si>
  <si>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</si>
  <si>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</si>
  <si>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</si>
  <si>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</si>
  <si>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</si>
  <si>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</si>
  <si>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</si>
  <si>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</si>
  <si>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</si>
  <si>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</si>
  <si>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</si>
  <si>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</si>
  <si>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</si>
  <si>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</si>
  <si>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</si>
  <si>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</si>
  <si>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</si>
  <si>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</si>
  <si>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</si>
  <si>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</si>
  <si>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</si>
  <si>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</si>
  <si>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</si>
  <si>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</si>
  <si>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</si>
  <si>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</si>
  <si>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</si>
  <si>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</si>
  <si>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</si>
  <si>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</si>
  <si>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</si>
  <si>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</si>
  <si>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</si>
  <si>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</si>
  <si>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</si>
  <si>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</si>
  <si>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</si>
  <si>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</si>
  <si>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</si>
  <si>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</si>
  <si>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</si>
  <si>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</si>
  <si>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</si>
  <si>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</si>
  <si>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</si>
  <si>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</si>
  <si>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</si>
  <si>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</si>
  <si>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</si>
  <si>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</si>
  <si>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</si>
  <si>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</si>
  <si>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</si>
  <si>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</si>
  <si>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</si>
  <si>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</si>
  <si>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</si>
  <si>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</si>
  <si>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</si>
  <si>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</si>
  <si>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</si>
  <si>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</si>
  <si>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</si>
  <si>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</si>
  <si>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</si>
  <si>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</si>
  <si>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</si>
  <si>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</si>
  <si>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</si>
  <si>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</si>
  <si>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</si>
  <si>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</si>
  <si>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</si>
  <si>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</si>
  <si>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</si>
  <si>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</si>
  <si>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</si>
  <si>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</si>
  <si>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</si>
  <si>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</si>
  <si>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</si>
  <si>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</si>
  <si>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</si>
  <si>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</si>
  <si>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</si>
  <si>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</si>
  <si>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</si>
  <si>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</si>
  <si>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</si>
  <si>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</si>
  <si>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</si>
  <si>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</si>
  <si>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</si>
  <si>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</si>
  <si>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</si>
  <si>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</si>
  <si>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</si>
  <si>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</si>
  <si>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</si>
  <si>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</si>
  <si>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</si>
  <si>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</si>
  <si>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</si>
  <si>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</si>
  <si>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</si>
  <si>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</si>
  <si>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</si>
  <si>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</si>
  <si>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</si>
  <si>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</si>
  <si>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</si>
  <si>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</si>
  <si>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</si>
  <si>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</si>
  <si>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</si>
  <si>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</si>
  <si>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</si>
  <si>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</si>
  <si>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</si>
  <si>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</si>
  <si>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</si>
  <si>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</si>
  <si>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</si>
  <si>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</si>
  <si>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</si>
  <si>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</si>
  <si>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</si>
  <si>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</si>
  <si>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</si>
  <si>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</si>
  <si>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</si>
  <si>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</si>
  <si>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</si>
  <si>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</si>
  <si>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</si>
  <si>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</si>
  <si>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</si>
  <si>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</si>
  <si>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</si>
  <si>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</si>
  <si>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</si>
  <si>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</si>
  <si>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</si>
  <si>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</si>
  <si>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</si>
  <si>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</si>
  <si>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</si>
  <si>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</si>
  <si>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</si>
  <si>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</si>
  <si>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</si>
  <si>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</si>
  <si>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</si>
  <si>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</si>
  <si>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</si>
  <si>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</si>
  <si>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</si>
  <si>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</si>
  <si>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</si>
  <si>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</si>
  <si>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</si>
  <si>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</si>
  <si>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</si>
  <si>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</si>
  <si>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</si>
  <si>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</si>
  <si>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</si>
  <si>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</si>
  <si>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</si>
  <si>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</si>
  <si>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</si>
  <si>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</si>
  <si>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</si>
  <si>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</si>
  <si>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</si>
  <si>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</si>
  <si>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</si>
  <si>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</si>
  <si>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</si>
  <si>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</si>
  <si>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</si>
  <si>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</si>
  <si>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</si>
  <si>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</si>
  <si>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</si>
  <si>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</si>
  <si>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</si>
  <si>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</si>
  <si>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</si>
  <si>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</si>
  <si>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</si>
  <si>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</si>
  <si>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</si>
  <si>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</si>
  <si>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</si>
  <si>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</si>
  <si>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</si>
  <si>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</si>
  <si>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</si>
  <si>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</si>
  <si>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</si>
  <si>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</si>
  <si>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</si>
  <si>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</si>
  <si>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</si>
  <si>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</si>
  <si>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</si>
  <si>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</si>
  <si>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</si>
  <si>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</si>
  <si>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</si>
  <si>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</si>
  <si>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</si>
  <si>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</si>
  <si>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</si>
  <si>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</si>
  <si>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</si>
  <si>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</si>
  <si>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</si>
  <si>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</si>
  <si>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</si>
  <si>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</si>
  <si>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</si>
  <si>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</si>
  <si>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</si>
  <si>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</si>
  <si>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</si>
  <si>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</si>
  <si>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</si>
  <si>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</si>
  <si>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</si>
  <si>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</si>
  <si>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</si>
  <si>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</si>
  <si>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</si>
  <si>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</si>
  <si>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</si>
  <si>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</si>
  <si>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</si>
  <si>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</si>
  <si>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</si>
  <si>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</si>
  <si>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</si>
  <si>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</si>
  <si>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</si>
  <si>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</si>
  <si>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</si>
  <si>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</si>
  <si>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</si>
  <si>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</si>
  <si>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</si>
  <si>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</si>
  <si>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</si>
  <si>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</si>
  <si>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</si>
  <si>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</si>
  <si>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</si>
  <si>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</si>
  <si>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</si>
  <si>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</si>
  <si>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</si>
  <si>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</si>
  <si>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</si>
  <si>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</si>
  <si>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</si>
  <si>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</si>
  <si>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</si>
  <si>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</si>
  <si>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</si>
  <si>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</si>
  <si>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</si>
  <si>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</si>
  <si>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</si>
  <si>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</si>
  <si>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</si>
  <si>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</si>
  <si>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</si>
  <si>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</si>
  <si>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</si>
  <si>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</si>
  <si>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</si>
  <si>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</si>
  <si>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</si>
  <si>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</si>
  <si>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</si>
  <si>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</si>
  <si>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</si>
  <si>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</si>
  <si>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</si>
  <si>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</si>
  <si>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</si>
  <si>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</si>
  <si>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</si>
  <si>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</si>
  <si>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</si>
  <si>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</si>
  <si>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</si>
  <si>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</si>
  <si>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</si>
  <si>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</si>
  <si>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</si>
  <si>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</si>
  <si>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</si>
  <si>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</si>
  <si>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</si>
  <si>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</si>
  <si>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</si>
  <si>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</si>
  <si>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</si>
  <si>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</si>
  <si>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</si>
  <si>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</si>
  <si>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</si>
  <si>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</si>
  <si>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</si>
  <si>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</si>
  <si>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</si>
  <si>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</si>
  <si>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</si>
  <si>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</si>
  <si>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</si>
  <si>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</si>
  <si>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</si>
  <si>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</si>
  <si>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</si>
  <si>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</si>
  <si>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</si>
  <si>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</si>
  <si>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</si>
  <si>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</si>
  <si>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</si>
  <si>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</si>
  <si>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</si>
  <si>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</si>
  <si>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</si>
  <si>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</si>
  <si>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</si>
  <si>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</si>
  <si>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</si>
  <si>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</si>
  <si>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</si>
  <si>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</si>
  <si>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</si>
  <si>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</si>
  <si>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</si>
  <si>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</si>
  <si>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</si>
  <si>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</si>
  <si>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</si>
  <si>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</si>
  <si>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</si>
  <si>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</si>
  <si>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</si>
  <si>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</si>
  <si>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</si>
  <si>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</si>
  <si>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</si>
  <si>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</si>
  <si>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</si>
  <si>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</si>
  <si>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</si>
  <si>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</si>
  <si>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</si>
  <si>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</si>
  <si>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</si>
  <si>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</si>
  <si>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</si>
  <si>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</si>
  <si>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</si>
  <si>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</si>
  <si>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</si>
  <si>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</si>
  <si>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</si>
  <si>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</si>
  <si>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</si>
  <si>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</si>
  <si>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</si>
  <si>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</si>
  <si>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</si>
  <si>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</si>
  <si>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</si>
  <si>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</si>
  <si>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</si>
  <si>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</si>
  <si>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</si>
  <si>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</si>
  <si>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</si>
  <si>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</si>
  <si>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</si>
  <si>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</si>
  <si>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</si>
  <si>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</si>
  <si>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</si>
  <si>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</si>
  <si>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</si>
  <si>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</si>
  <si>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</si>
  <si>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</si>
  <si>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</si>
  <si>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</si>
  <si>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</si>
  <si>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</si>
  <si>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</si>
  <si>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</si>
  <si>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</si>
  <si>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</si>
  <si>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</si>
  <si>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</si>
  <si>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</si>
  <si>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</si>
  <si>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</si>
  <si>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</si>
  <si>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</si>
  <si>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</si>
  <si>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</si>
  <si>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</si>
  <si>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</si>
  <si>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</si>
  <si>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</si>
  <si>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</si>
  <si>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</si>
  <si>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</si>
  <si>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</si>
  <si>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</si>
  <si>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</si>
  <si>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</si>
  <si>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</si>
  <si>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</si>
  <si>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</si>
  <si>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</si>
  <si>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</si>
  <si>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</si>
  <si>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</si>
  <si>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</si>
  <si>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</si>
  <si>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</si>
  <si>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</si>
  <si>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</si>
  <si>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</si>
  <si>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</si>
  <si>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</si>
  <si>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</si>
  <si>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</si>
  <si>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</si>
  <si>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</si>
  <si>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</si>
  <si>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</si>
  <si>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</si>
  <si>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</si>
  <si>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</si>
  <si>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</si>
  <si>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</si>
  <si>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</si>
  <si>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</si>
  <si>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</si>
  <si>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</si>
  <si>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</si>
  <si>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</si>
  <si>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</si>
  <si>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</si>
  <si>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</si>
  <si>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</si>
  <si>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</si>
  <si>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</si>
  <si>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</si>
  <si>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</si>
  <si>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</si>
  <si>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</si>
  <si>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</si>
  <si>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</si>
  <si>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</si>
  <si>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</si>
  <si>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</si>
  <si>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</si>
  <si>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</si>
  <si>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</si>
  <si>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</si>
  <si>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SILVA DISTRIBUIDORA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</si>
  <si>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</si>
  <si>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</si>
  <si>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</si>
  <si>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</si>
  <si>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</si>
  <si>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</si>
  <si>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</si>
  <si>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</si>
  <si>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</si>
  <si>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</si>
  <si>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</si>
  <si>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</si>
  <si>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</si>
  <si>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</si>
  <si>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</si>
  <si>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</si>
  <si>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</si>
  <si>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</si>
  <si>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</si>
  <si>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</si>
  <si>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</si>
  <si>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</si>
  <si>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</si>
  <si>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</si>
  <si>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</si>
  <si>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</si>
  <si>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</si>
  <si>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</si>
  <si>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</si>
  <si>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</si>
  <si>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</si>
  <si>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</si>
  <si>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</si>
  <si>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</si>
  <si>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</si>
  <si>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</si>
  <si>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</si>
  <si>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</si>
  <si>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</si>
  <si>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</si>
  <si>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</si>
  <si>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</si>
  <si>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</si>
  <si>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</si>
  <si>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</si>
  <si>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</si>
  <si>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</si>
  <si>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</si>
  <si>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</si>
  <si>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</si>
  <si>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</si>
  <si>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</si>
  <si>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</si>
  <si>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</si>
  <si>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</si>
  <si>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</si>
  <si>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</si>
  <si>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</si>
  <si>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</si>
  <si>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</si>
  <si>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</si>
  <si>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</si>
  <si>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</si>
  <si>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</si>
  <si>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</si>
  <si>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</si>
  <si>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</si>
  <si>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</si>
  <si>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</si>
  <si>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</si>
  <si>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</si>
  <si>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</si>
  <si>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</si>
  <si>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</si>
  <si>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</si>
  <si>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</si>
  <si>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</si>
  <si>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</si>
  <si>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</si>
  <si>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</si>
  <si>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</si>
  <si>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</si>
  <si>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</si>
  <si>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</si>
  <si>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</si>
  <si>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</si>
  <si>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</si>
  <si>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</si>
  <si>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</si>
  <si>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</si>
  <si>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</si>
  <si>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</si>
  <si>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</si>
  <si>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</si>
  <si>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</si>
  <si>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</si>
  <si>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</si>
  <si>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</si>
  <si>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</si>
  <si>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</si>
  <si>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</si>
  <si>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</si>
  <si>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</si>
  <si>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</si>
  <si>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</si>
  <si>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</si>
  <si>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</si>
  <si>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</si>
  <si>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</si>
  <si>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</si>
  <si>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</si>
  <si>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</si>
  <si>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</si>
  <si>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</si>
  <si>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</si>
  <si>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</si>
  <si>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</si>
  <si>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</si>
  <si>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</si>
  <si>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</si>
  <si>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</si>
  <si>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</si>
  <si>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</si>
  <si>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</si>
  <si>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</si>
  <si>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</si>
  <si>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</si>
  <si>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</si>
  <si>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</si>
  <si>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</si>
  <si>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</si>
  <si>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</si>
  <si>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</si>
  <si>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</si>
  <si>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</si>
  <si>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</si>
  <si>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</si>
  <si>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</si>
  <si>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</si>
  <si>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</si>
  <si>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</si>
  <si>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</si>
  <si>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</si>
  <si>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</si>
  <si>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</si>
  <si>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</si>
  <si>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</si>
  <si>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</si>
  <si>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</si>
  <si>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</si>
  <si>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</si>
  <si>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</si>
  <si>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</si>
  <si>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</si>
  <si>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</si>
  <si>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</si>
  <si>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</si>
  <si>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</si>
  <si>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</si>
  <si>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</si>
  <si>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</si>
  <si>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</si>
  <si>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</si>
  <si>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</si>
  <si>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</si>
  <si>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</si>
  <si>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</si>
  <si>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</si>
  <si>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</si>
  <si>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</si>
  <si>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</si>
  <si>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</si>
  <si>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</si>
  <si>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</si>
  <si>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</si>
  <si>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</si>
  <si>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</si>
  <si>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</si>
  <si>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</si>
  <si>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</si>
  <si>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</si>
  <si>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</si>
  <si>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</si>
  <si>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</si>
  <si>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</si>
  <si>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</si>
  <si>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</si>
  <si>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</si>
  <si>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</si>
  <si>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</si>
  <si>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</si>
  <si>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</si>
  <si>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</si>
  <si>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</si>
  <si>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</si>
  <si>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</si>
  <si>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</si>
  <si>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</si>
  <si>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</si>
  <si>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</si>
  <si>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</si>
  <si>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</si>
  <si>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</si>
  <si>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</si>
  <si>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</si>
  <si>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</si>
  <si>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</si>
  <si>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</si>
  <si>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</si>
  <si>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</si>
  <si>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</si>
  <si>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</si>
  <si>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</si>
  <si>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</si>
  <si>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</si>
  <si>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</si>
  <si>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</si>
  <si>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</si>
  <si>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</si>
  <si>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</si>
  <si>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</si>
  <si>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</si>
  <si>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</si>
  <si>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</si>
  <si>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</si>
  <si>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</si>
  <si>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</si>
  <si>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</si>
  <si>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</si>
  <si>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</si>
  <si>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</si>
  <si>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</si>
  <si>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</si>
  <si>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</si>
  <si>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</si>
  <si>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</si>
  <si>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</si>
  <si>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</si>
  <si>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</si>
  <si>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</si>
  <si>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</si>
  <si>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</si>
  <si>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</si>
  <si>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</si>
  <si>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</si>
  <si>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</si>
  <si>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</si>
  <si>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</si>
  <si>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</si>
  <si>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</si>
  <si>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</si>
  <si>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</si>
  <si>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</si>
  <si>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</si>
  <si>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</si>
  <si>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</si>
  <si>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</si>
  <si>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</si>
  <si>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</si>
  <si>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</si>
  <si>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</si>
  <si>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</si>
  <si>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</si>
  <si>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</si>
  <si>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</si>
  <si>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</si>
  <si>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</si>
  <si>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</si>
  <si>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</si>
  <si>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</si>
  <si>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</si>
  <si>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</si>
  <si>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</si>
  <si>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</si>
  <si>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</si>
  <si>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</si>
  <si>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</si>
  <si>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</si>
  <si>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</si>
  <si>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</si>
  <si>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</si>
  <si>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</si>
  <si>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</si>
  <si>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</si>
  <si>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</si>
  <si>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</si>
  <si>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</si>
  <si>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</si>
  <si>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</si>
  <si>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</si>
  <si>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</si>
  <si>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</si>
  <si>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</si>
  <si>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</si>
  <si>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</si>
  <si>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</si>
  <si>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</si>
  <si>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</si>
  <si>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</si>
  <si>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</si>
  <si>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</si>
  <si>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</si>
  <si>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</si>
  <si>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</si>
  <si>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</si>
  <si>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</si>
  <si>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</si>
  <si>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</si>
  <si>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</si>
  <si>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</si>
  <si>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</si>
  <si>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</si>
  <si>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</si>
  <si>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</si>
  <si>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</si>
  <si>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</si>
  <si>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</si>
  <si>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</si>
  <si>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</si>
  <si>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</si>
  <si>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</si>
  <si>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</si>
  <si>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</si>
  <si>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</si>
  <si>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</si>
  <si>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</si>
  <si>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</si>
  <si>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</si>
  <si>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</si>
  <si>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</si>
  <si>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</si>
  <si>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</si>
  <si>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</si>
  <si>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</si>
  <si>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</si>
  <si>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</si>
  <si>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</si>
  <si>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</si>
  <si>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</si>
  <si>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</si>
  <si>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</si>
  <si>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</si>
  <si>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</si>
  <si>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</si>
  <si>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</si>
  <si>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</si>
  <si>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</si>
  <si>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</si>
  <si>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</si>
  <si>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</si>
  <si>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</si>
  <si>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</si>
  <si>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</si>
  <si>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</si>
  <si>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</si>
  <si>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</si>
  <si>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</si>
  <si>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</si>
  <si>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</si>
  <si>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</si>
  <si>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</si>
  <si>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</si>
  <si>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</si>
  <si>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</si>
  <si>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</si>
  <si>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</si>
  <si>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</si>
  <si>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</si>
  <si>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</si>
  <si>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</si>
  <si>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</si>
  <si>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</si>
  <si>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</si>
  <si>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</si>
  <si>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</si>
  <si>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</si>
  <si>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</si>
  <si>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</si>
  <si>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</si>
  <si>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</si>
  <si>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</si>
  <si>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</si>
  <si>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</si>
  <si>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</si>
  <si>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</si>
  <si>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</si>
  <si>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</si>
  <si>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</si>
  <si>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</si>
  <si>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</si>
  <si>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</si>
  <si>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</si>
  <si>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</si>
  <si>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</si>
  <si>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</si>
  <si>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</si>
  <si>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</si>
  <si>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</si>
  <si>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</si>
  <si>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</si>
  <si>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</si>
  <si>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</si>
  <si>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</si>
  <si>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</si>
  <si>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</si>
  <si>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</si>
  <si>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</si>
  <si>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</si>
  <si>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</si>
  <si>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</si>
  <si>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</si>
  <si>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</si>
  <si>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</si>
  <si>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</si>
  <si>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</si>
  <si>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</si>
  <si>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</si>
  <si>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</si>
  <si>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</si>
  <si>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</si>
  <si>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</si>
  <si>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</si>
  <si>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</si>
  <si>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</si>
  <si>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</si>
  <si>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</si>
  <si>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</si>
  <si>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</si>
  <si>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</si>
  <si>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</si>
  <si>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</si>
  <si>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</si>
  <si>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</si>
  <si>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</si>
  <si>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</si>
  <si>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</si>
  <si>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</si>
  <si>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</si>
  <si>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</si>
  <si>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</si>
  <si>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</si>
  <si>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</si>
  <si>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</si>
  <si>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</si>
  <si>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</si>
  <si>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</si>
  <si>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</si>
  <si>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</si>
  <si>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</si>
  <si>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</si>
  <si>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</si>
  <si>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</si>
  <si>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</si>
  <si>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</si>
  <si>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</si>
  <si>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</si>
  <si>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</si>
  <si>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</si>
  <si>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</si>
  <si>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</si>
  <si>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</si>
  <si>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</si>
  <si>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</si>
  <si>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</si>
  <si>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</si>
  <si>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</si>
  <si>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</si>
  <si>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</si>
  <si>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</si>
  <si>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</si>
  <si>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</si>
  <si>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</si>
  <si>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</si>
  <si>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</si>
  <si>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</si>
  <si>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</si>
  <si>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</si>
  <si>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</si>
  <si>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</si>
  <si>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</si>
  <si>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</si>
  <si>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</si>
  <si>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</si>
  <si>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</si>
  <si>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</si>
  <si>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</si>
  <si>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</si>
  <si>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</si>
  <si>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</si>
  <si>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</si>
  <si>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</si>
  <si>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</si>
  <si>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</si>
  <si>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</si>
  <si>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COMBUSTIVEIS</t>
  </si>
  <si>
    <t xml:space="preserve">DESPESA COMBUSTIVEL  MO4-ANDREZA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</si>
  <si>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</si>
  <si>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</si>
  <si>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</si>
  <si>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</si>
  <si>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</si>
  <si>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</si>
  <si>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</si>
  <si>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</si>
  <si>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</si>
  <si>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</si>
  <si>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</si>
  <si>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</si>
  <si>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</si>
  <si>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</si>
  <si>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</si>
  <si>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</si>
  <si>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</si>
  <si>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</si>
  <si>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</si>
  <si>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</si>
  <si>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</si>
  <si>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</si>
  <si>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</si>
  <si>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</si>
  <si>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</si>
  <si>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</si>
  <si>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</si>
  <si>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</si>
  <si>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</si>
  <si>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</si>
  <si>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</si>
  <si>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</si>
  <si>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</si>
  <si>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</si>
  <si>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</si>
  <si>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</si>
  <si>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</si>
  <si>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</si>
  <si>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</si>
  <si>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</si>
  <si>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</si>
  <si>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</si>
  <si>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</si>
  <si>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</si>
  <si>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</si>
  <si>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</si>
  <si>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</si>
  <si>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</si>
  <si>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</si>
  <si>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</si>
  <si>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</si>
  <si>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</si>
  <si>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</si>
  <si>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</si>
  <si>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</si>
  <si>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</si>
  <si>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</si>
  <si>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</si>
  <si>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</si>
  <si>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</si>
  <si>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</si>
  <si>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</si>
  <si>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</si>
  <si>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</si>
  <si>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</si>
  <si>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</si>
  <si>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</si>
  <si>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COMPRAS MAXIXE, BATATA DOCE E JERIMUM - ALICIA</t>
  </si>
  <si>
    <t xml:space="preserve">NF 1716 1/1 - ALICIA 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</si>
  <si>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</si>
  <si>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</si>
  <si>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</si>
  <si>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</si>
  <si>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</si>
  <si>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</si>
  <si>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</si>
  <si>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</si>
  <si>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</si>
  <si>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</si>
  <si>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</si>
  <si>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</si>
  <si>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</si>
  <si>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</si>
  <si>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</si>
  <si>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NF 2754 1/1 - ALICIA</t>
  </si>
  <si>
    <t xml:space="preserve"> CONTA VIVO MOVEL - ALICIA</t>
  </si>
  <si>
    <t xml:space="preserve">VIVO MOVEL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</si>
  <si>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</si>
  <si>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</si>
  <si>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</si>
  <si>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</si>
  <si>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</si>
  <si>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</si>
  <si>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</si>
  <si>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</si>
  <si>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</si>
  <si>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</si>
  <si>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</si>
  <si>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</si>
  <si>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</si>
  <si>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</si>
  <si>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</si>
  <si>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</si>
  <si>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258631 1/2 -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</si>
  <si>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</si>
  <si>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</si>
  <si>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</si>
  <si>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</si>
  <si>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</si>
  <si>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</si>
  <si>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</si>
  <si>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</si>
  <si>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</si>
  <si>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</si>
  <si>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</si>
  <si>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</si>
  <si>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</si>
  <si>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</si>
  <si>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</si>
  <si>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</si>
  <si>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</si>
  <si>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</si>
  <si>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</si>
  <si>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</si>
  <si>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</si>
  <si>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</si>
  <si>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</si>
  <si>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</si>
  <si>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</si>
  <si>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</si>
  <si>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</si>
  <si>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</si>
  <si>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</si>
  <si>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</si>
  <si>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</si>
  <si>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</si>
  <si>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</si>
  <si>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</si>
  <si>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</si>
  <si>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</si>
  <si>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</si>
  <si>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</si>
  <si>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</si>
  <si>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</si>
  <si>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</si>
  <si>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</si>
  <si>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</si>
  <si>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</si>
  <si>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</si>
  <si>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</si>
  <si>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</si>
  <si>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</si>
  <si>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</si>
  <si>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</si>
  <si>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</si>
  <si>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</si>
  <si>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</si>
  <si>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</si>
  <si>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</si>
  <si>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</si>
  <si>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</si>
  <si>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</si>
  <si>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</si>
  <si>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NF 136969 1/1 - ALICIA</t>
  </si>
  <si>
    <t xml:space="preserve">NF 1625096 1/3 -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</si>
  <si>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</si>
  <si>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</si>
  <si>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</si>
  <si>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</si>
  <si>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</si>
  <si>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</si>
  <si>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175357 2/2 - ALICIA</t>
  </si>
  <si>
    <t xml:space="preserve">NF 443784 2/3 - ALICIA</t>
  </si>
  <si>
    <t xml:space="preserve">NF 15125 2/2 - ALICIA</t>
  </si>
  <si>
    <t xml:space="preserve">COMPRAS 20 GARRFA ACAI PIX:92991892419 NAILSON GARCES</t>
  </si>
  <si>
    <t xml:space="preserve">NF 1330 4/4 - ALICIA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</si>
  <si>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</si>
  <si>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</si>
  <si>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</si>
  <si>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</si>
  <si>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</si>
  <si>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</si>
  <si>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</si>
  <si>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</si>
  <si>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</si>
  <si>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</si>
  <si>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</si>
  <si>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</si>
  <si>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</si>
  <si>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</si>
  <si>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</si>
  <si>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</si>
  <si>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1432808 1/2 - ALICIA</t>
  </si>
  <si>
    <t xml:space="preserve">NF 7845 1/1 -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</si>
  <si>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</si>
  <si>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</si>
  <si>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</si>
  <si>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</si>
  <si>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</si>
  <si>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</si>
  <si>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</si>
  <si>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</si>
  <si>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</si>
  <si>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</si>
  <si>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</si>
  <si>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</si>
  <si>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</si>
  <si>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</si>
  <si>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1435316 1/2 -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</si>
  <si>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</si>
  <si>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</si>
  <si>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</si>
  <si>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</si>
  <si>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</si>
  <si>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</si>
  <si>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</si>
  <si>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</si>
  <si>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</si>
  <si>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</si>
  <si>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</si>
  <si>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</si>
  <si>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</si>
  <si>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</si>
  <si>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</si>
  <si>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</si>
  <si>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</si>
  <si>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</si>
  <si>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</si>
  <si>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</si>
  <si>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</si>
  <si>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</si>
  <si>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</si>
  <si>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</si>
  <si>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</si>
  <si>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</si>
  <si>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</si>
  <si>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</si>
  <si>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</si>
  <si>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</si>
  <si>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</si>
  <si>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</si>
  <si>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</si>
  <si>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</si>
  <si>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</si>
  <si>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</si>
  <si>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</si>
  <si>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</si>
  <si>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</si>
  <si>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</si>
  <si>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</si>
  <si>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</si>
  <si>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</si>
  <si>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</si>
  <si>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</si>
  <si>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</si>
  <si>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</si>
  <si>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</si>
  <si>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</si>
  <si>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</si>
  <si>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</si>
  <si>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</si>
  <si>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</si>
  <si>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</si>
  <si>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</si>
  <si>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</si>
  <si>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</si>
  <si>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</si>
  <si>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</si>
  <si>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</si>
  <si>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</si>
  <si>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</si>
  <si>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</si>
  <si>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</si>
  <si>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</si>
  <si>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</si>
  <si>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86749 10/10 DESPESA TECLADO - JHONATAS </t>
  </si>
  <si>
    <t xml:space="preserve">RECIBO- 3/3 COMPRA DE GAS E FILTRO P/ AR-CONDICIONADO-ALICIA</t>
  </si>
  <si>
    <t xml:space="preserve">NF45473 1/1 COMPRAS BANDEJAS B1,B2 -ALICIA</t>
  </si>
  <si>
    <t xml:space="preserve">NF 259616 2/10 COMPRAS SMARTPHONE ,AR CONDICIONADO MIDEA </t>
  </si>
  <si>
    <t xml:space="preserve">NF 3357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</si>
  <si>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</si>
  <si>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</si>
  <si>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</si>
  <si>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</si>
  <si>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PREVI 10/48 PARC EMPRESTIMO PARTE MO4 - PAGAR MO5</t>
  </si>
  <si>
    <t xml:space="preserve">NF 3357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</si>
  <si>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</si>
  <si>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</si>
  <si>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</si>
  <si>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</si>
  <si>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</si>
  <si>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</si>
  <si>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</si>
  <si>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</si>
  <si>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</si>
  <si>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</si>
  <si>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</si>
  <si>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</si>
  <si>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</si>
  <si>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</si>
  <si>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</si>
  <si>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</si>
  <si>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</si>
  <si>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</si>
  <si>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</si>
  <si>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</si>
  <si>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</si>
  <si>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</si>
  <si>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</si>
  <si>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</si>
  <si>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</si>
  <si>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</si>
  <si>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</si>
  <si>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</si>
  <si>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</si>
  <si>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</si>
  <si>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</si>
  <si>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</si>
  <si>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</si>
  <si>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</si>
  <si>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</si>
  <si>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</si>
  <si>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</si>
  <si>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</si>
  <si>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</si>
  <si>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</si>
  <si>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</si>
  <si>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</si>
  <si>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</si>
  <si>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</si>
  <si>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</si>
  <si>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</si>
  <si>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</si>
  <si>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</si>
  <si>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</si>
  <si>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</si>
  <si>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</si>
  <si>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</si>
  <si>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</si>
  <si>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</si>
  <si>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</si>
  <si>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</si>
  <si>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</si>
  <si>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</si>
  <si>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</si>
  <si>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</si>
  <si>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</si>
  <si>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</si>
  <si>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</si>
  <si>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</si>
  <si>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</si>
  <si>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</si>
  <si>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</si>
  <si>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</si>
  <si>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</si>
  <si>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</si>
  <si>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</si>
  <si>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</si>
  <si>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</si>
  <si>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</si>
  <si>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</si>
  <si>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</si>
  <si>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</si>
  <si>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</si>
  <si>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</si>
  <si>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</si>
  <si>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</si>
  <si>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</si>
  <si>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</si>
  <si>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</si>
  <si>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</si>
  <si>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</si>
  <si>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</si>
  <si>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</si>
  <si>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</si>
  <si>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</si>
  <si>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</si>
  <si>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</si>
  <si>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</si>
  <si>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</si>
  <si>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</si>
  <si>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</si>
  <si>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</si>
  <si>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</si>
  <si>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</si>
  <si>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</si>
  <si>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</si>
  <si>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</si>
  <si>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</si>
  <si>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</si>
  <si>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</si>
  <si>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</si>
  <si>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</si>
  <si>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</si>
  <si>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</si>
  <si>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</si>
  <si>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</si>
  <si>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</si>
  <si>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</si>
  <si>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</si>
  <si>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</si>
  <si>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</si>
  <si>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</si>
  <si>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</si>
  <si>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</si>
  <si>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</si>
  <si>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</si>
  <si>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</si>
  <si>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</si>
  <si>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</si>
  <si>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</si>
  <si>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</si>
  <si>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</si>
  <si>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</si>
  <si>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</si>
  <si>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</si>
  <si>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</si>
  <si>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</si>
  <si>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</si>
  <si>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</si>
  <si>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</si>
  <si>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</si>
  <si>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</si>
  <si>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</si>
  <si>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</si>
  <si>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</si>
  <si>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</si>
  <si>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</si>
  <si>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</si>
  <si>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</si>
  <si>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</si>
  <si>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</si>
  <si>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</si>
  <si>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</si>
  <si>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</si>
  <si>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</si>
  <si>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</si>
  <si>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</si>
  <si>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</si>
  <si>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</si>
  <si>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</si>
  <si>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</si>
  <si>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</si>
  <si>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</si>
  <si>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</si>
  <si>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</si>
  <si>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</si>
  <si>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</si>
  <si>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</si>
  <si>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</si>
  <si>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</si>
  <si>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</si>
  <si>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</si>
  <si>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</si>
  <si>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</si>
  <si>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</si>
  <si>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</si>
  <si>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</si>
  <si>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</si>
  <si>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</si>
  <si>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</si>
  <si>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</si>
  <si>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</si>
  <si>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</si>
  <si>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</si>
  <si>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</si>
  <si>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</si>
  <si>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</si>
  <si>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</si>
  <si>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</si>
  <si>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</si>
  <si>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</si>
  <si>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</si>
  <si>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</si>
  <si>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</si>
  <si>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</si>
  <si>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</si>
  <si>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</si>
  <si>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</si>
  <si>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</si>
  <si>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</si>
  <si>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</si>
  <si>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</si>
  <si>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</si>
  <si>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</si>
  <si>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</si>
  <si>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</si>
  <si>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</si>
  <si>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</si>
  <si>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</si>
  <si>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</si>
  <si>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</si>
  <si>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</si>
  <si>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</si>
  <si>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</si>
  <si>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</si>
  <si>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</si>
  <si>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</si>
  <si>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</si>
  <si>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</si>
  <si>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</si>
  <si>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</si>
  <si>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</si>
  <si>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</si>
  <si>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</si>
  <si>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</si>
  <si>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</si>
  <si>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</si>
  <si>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</si>
  <si>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</si>
  <si>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</si>
  <si>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</si>
  <si>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</si>
  <si>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</si>
  <si>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</si>
  <si>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</si>
  <si>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</si>
  <si>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</si>
  <si>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</si>
  <si>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</si>
  <si>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</si>
  <si>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</si>
  <si>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</si>
  <si>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</si>
  <si>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</si>
  <si>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</si>
  <si>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</si>
  <si>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</si>
  <si>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</si>
  <si>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</si>
  <si>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</si>
  <si>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</si>
  <si>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</si>
  <si>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</si>
  <si>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</si>
  <si>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</si>
  <si>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</si>
  <si>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</si>
  <si>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</si>
  <si>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</si>
  <si>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</si>
  <si>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</si>
  <si>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</si>
  <si>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</si>
  <si>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</si>
  <si>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</si>
  <si>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</si>
  <si>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</si>
  <si>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</si>
  <si>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</si>
  <si>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</si>
  <si>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</si>
  <si>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</si>
  <si>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</si>
  <si>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</si>
  <si>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</si>
  <si>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</si>
  <si>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</si>
  <si>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</si>
  <si>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</si>
  <si>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</si>
  <si>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</si>
  <si>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</si>
  <si>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</si>
  <si>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</si>
  <si>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</si>
  <si>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</si>
  <si>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</si>
  <si>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</si>
  <si>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</si>
  <si>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</si>
  <si>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</si>
  <si>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</si>
  <si>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</si>
  <si>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</si>
  <si>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</si>
  <si>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</si>
  <si>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</si>
  <si>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</si>
  <si>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</si>
  <si>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</si>
  <si>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</si>
  <si>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</si>
  <si>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</si>
  <si>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</si>
  <si>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</si>
  <si>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</si>
  <si>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</si>
  <si>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</si>
  <si>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</si>
  <si>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</si>
  <si>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</si>
  <si>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</si>
  <si>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</si>
  <si>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</si>
  <si>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</si>
  <si>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</si>
  <si>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</si>
  <si>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</si>
  <si>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</si>
  <si>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</si>
  <si>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</si>
  <si>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</si>
  <si>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</si>
  <si>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</si>
  <si>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</si>
  <si>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</si>
  <si>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</si>
  <si>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</si>
  <si>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</si>
  <si>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</si>
  <si>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</si>
  <si>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</si>
  <si>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</si>
  <si>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</si>
  <si>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</si>
  <si>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</si>
  <si>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</si>
  <si>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</si>
  <si>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</si>
  <si>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</si>
  <si>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</si>
  <si>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</si>
  <si>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</si>
  <si>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</si>
  <si>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</si>
  <si>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</si>
  <si>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</si>
  <si>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</si>
  <si>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</si>
  <si>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</si>
  <si>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</si>
  <si>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</si>
  <si>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</si>
  <si>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</si>
  <si>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</si>
  <si>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</si>
  <si>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</si>
  <si>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</si>
  <si>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</si>
  <si>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</si>
  <si>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</si>
  <si>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</si>
  <si>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</si>
  <si>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</si>
  <si>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</si>
  <si>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</si>
  <si>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</si>
  <si>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</si>
  <si>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</si>
  <si>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</si>
  <si>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</si>
  <si>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</si>
  <si>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</si>
  <si>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</si>
  <si>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</si>
  <si>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</si>
  <si>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</si>
  <si>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</si>
  <si>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</si>
  <si>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CLUB SOCIAL RECH106G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</si>
  <si>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</si>
  <si>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</si>
  <si>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</si>
  <si>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</si>
  <si>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</si>
  <si>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</si>
  <si>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</si>
  <si>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</si>
  <si>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</si>
  <si>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</si>
  <si>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</si>
  <si>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</si>
  <si>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</si>
  <si>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</si>
  <si>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</si>
  <si>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</si>
  <si>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</si>
  <si>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</si>
  <si>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</si>
  <si>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</si>
  <si>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</si>
  <si>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</si>
  <si>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</si>
  <si>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</si>
  <si>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</si>
  <si>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</si>
  <si>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</si>
  <si>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</si>
  <si>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</si>
  <si>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</si>
  <si>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</si>
  <si>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</si>
  <si>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</si>
  <si>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</si>
  <si>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</si>
  <si>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</si>
  <si>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</si>
  <si>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</si>
  <si>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</si>
  <si>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</si>
  <si>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</si>
  <si>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</si>
  <si>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</si>
  <si>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</si>
  <si>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</si>
  <si>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</si>
  <si>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</si>
  <si>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</si>
  <si>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</si>
  <si>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</si>
  <si>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</si>
  <si>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</si>
  <si>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</si>
  <si>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</si>
  <si>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</si>
  <si>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</si>
  <si>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</si>
  <si>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</si>
  <si>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</si>
  <si>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</si>
  <si>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</si>
  <si>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</si>
  <si>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</si>
  <si>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</si>
  <si>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</si>
  <si>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</si>
  <si>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</si>
  <si>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</si>
  <si>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</si>
  <si>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</si>
  <si>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</si>
  <si>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</si>
  <si>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</si>
  <si>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</si>
  <si>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</si>
  <si>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</si>
  <si>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</si>
  <si>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</si>
  <si>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</si>
  <si>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</si>
  <si>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</si>
  <si>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</si>
  <si>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</si>
  <si>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</si>
  <si>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</si>
  <si>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</si>
  <si>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</si>
  <si>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</si>
  <si>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</si>
  <si>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</si>
  <si>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</si>
  <si>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</si>
  <si>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</si>
  <si>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</si>
  <si>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</si>
  <si>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</si>
  <si>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</si>
  <si>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</si>
  <si>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</si>
  <si>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</si>
  <si>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</si>
  <si>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</si>
  <si>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</si>
  <si>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</si>
  <si>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</si>
  <si>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</si>
  <si>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</si>
  <si>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</si>
  <si>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</si>
  <si>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</si>
  <si>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</si>
  <si>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</si>
  <si>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</si>
  <si>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</si>
  <si>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</si>
  <si>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</si>
  <si>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</si>
  <si>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</si>
  <si>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</si>
  <si>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</si>
  <si>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</si>
  <si>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</si>
  <si>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</si>
  <si>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</si>
  <si>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</si>
  <si>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</si>
  <si>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</si>
  <si>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</si>
  <si>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</si>
  <si>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</si>
  <si>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</si>
  <si>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</si>
  <si>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</si>
  <si>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</si>
  <si>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</si>
  <si>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</si>
  <si>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</si>
  <si>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</si>
  <si>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</si>
  <si>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</si>
  <si>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</si>
  <si>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</si>
  <si>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</si>
  <si>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</si>
  <si>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</si>
  <si>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</si>
  <si>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</si>
  <si>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</si>
  <si>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</si>
  <si>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</si>
  <si>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</si>
  <si>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</si>
  <si>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</si>
  <si>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</si>
  <si>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</si>
  <si>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</si>
  <si>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</si>
  <si>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</si>
  <si>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</si>
  <si>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</si>
  <si>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</si>
  <si>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</si>
  <si>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</si>
  <si>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</si>
  <si>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</si>
  <si>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</si>
  <si>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</si>
  <si>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</si>
  <si>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</si>
  <si>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</si>
  <si>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</si>
  <si>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</si>
  <si>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</si>
  <si>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</si>
  <si>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</si>
  <si>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</si>
  <si>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</si>
  <si>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</si>
  <si>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</si>
  <si>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</si>
  <si>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</si>
  <si>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</si>
  <si>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</si>
  <si>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</si>
  <si>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</si>
  <si>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</si>
  <si>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</si>
  <si>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</si>
  <si>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</si>
  <si>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</si>
  <si>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</si>
  <si>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</si>
  <si>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</si>
  <si>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</si>
  <si>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</si>
  <si>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</si>
  <si>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</si>
  <si>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</si>
  <si>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</si>
  <si>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</si>
  <si>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</si>
  <si>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</si>
  <si>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</si>
  <si>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</si>
  <si>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</si>
  <si>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</si>
  <si>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</si>
  <si>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</si>
  <si>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</si>
  <si>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</si>
  <si>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</si>
  <si>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</si>
  <si>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</si>
  <si>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</si>
  <si>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</si>
  <si>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</si>
  <si>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</si>
  <si>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</si>
  <si>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</si>
  <si>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</si>
  <si>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</si>
  <si>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</si>
  <si>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</si>
  <si>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</si>
  <si>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</si>
  <si>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</si>
  <si>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</si>
  <si>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</si>
  <si>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</si>
  <si>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</si>
  <si>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</si>
  <si>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</si>
  <si>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</si>
  <si>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</si>
  <si>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</si>
  <si>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</si>
  <si>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</si>
  <si>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</si>
  <si>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</si>
  <si>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</si>
  <si>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</si>
  <si>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</si>
  <si>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</si>
  <si>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</si>
  <si>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</si>
  <si>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</si>
  <si>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</si>
  <si>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</si>
  <si>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</si>
  <si>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</si>
  <si>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</si>
  <si>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</si>
  <si>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</si>
  <si>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</si>
  <si>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</si>
  <si>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</si>
  <si>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</si>
  <si>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</si>
  <si>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</si>
  <si>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</si>
  <si>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</si>
  <si>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</si>
  <si>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</si>
  <si>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</si>
  <si>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</si>
  <si>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</si>
  <si>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</si>
  <si>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</si>
  <si>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</si>
  <si>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</si>
  <si>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</si>
  <si>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</si>
  <si>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</si>
  <si>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</si>
  <si>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</si>
  <si>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</si>
  <si>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</si>
  <si>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</si>
  <si>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</si>
  <si>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</si>
  <si>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</si>
  <si>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</si>
  <si>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</si>
  <si>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</si>
  <si>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</si>
  <si>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</si>
  <si>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</si>
  <si>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</si>
  <si>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</si>
  <si>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</si>
  <si>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</si>
  <si>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</si>
  <si>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</si>
  <si>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</si>
  <si>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</si>
  <si>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</si>
  <si>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</si>
  <si>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</si>
  <si>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</si>
  <si>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</si>
  <si>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</si>
  <si>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</si>
  <si>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</si>
  <si>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</si>
  <si>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</si>
  <si>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</si>
  <si>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</si>
  <si>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</si>
  <si>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</si>
  <si>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</si>
  <si>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</si>
  <si>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</si>
  <si>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</si>
  <si>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</si>
  <si>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</si>
  <si>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</si>
  <si>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</si>
  <si>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</si>
  <si>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</si>
  <si>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</si>
  <si>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</si>
  <si>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</si>
  <si>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</si>
  <si>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</si>
  <si>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</si>
  <si>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</si>
  <si>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</si>
  <si>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</si>
  <si>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</si>
  <si>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</si>
  <si>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</si>
  <si>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</si>
  <si>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</si>
  <si>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</si>
  <si>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</si>
  <si>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</si>
  <si>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</si>
  <si>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</si>
  <si>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</si>
  <si>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</si>
  <si>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</si>
  <si>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</si>
  <si>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</si>
  <si>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</si>
  <si>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</si>
  <si>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</si>
  <si>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</si>
  <si>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</si>
  <si>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</si>
  <si>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</si>
  <si>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</si>
  <si>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</si>
  <si>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</si>
  <si>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</si>
  <si>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</si>
  <si>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</si>
  <si>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</si>
  <si>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</si>
  <si>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</si>
  <si>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</si>
  <si>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</si>
  <si>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</si>
  <si>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</si>
  <si>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</si>
  <si>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</si>
  <si>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</si>
  <si>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</si>
  <si>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</si>
  <si>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</si>
  <si>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</si>
  <si>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</si>
  <si>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</si>
  <si>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</si>
  <si>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</si>
  <si>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</si>
  <si>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</si>
  <si>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</si>
  <si>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</si>
  <si>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</si>
  <si>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</si>
  <si>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</si>
  <si>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</si>
  <si>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</si>
  <si>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</si>
  <si>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</si>
  <si>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</si>
  <si>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</si>
  <si>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</si>
  <si>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</si>
  <si>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</si>
  <si>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</si>
  <si>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</si>
  <si>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</si>
  <si>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</si>
  <si>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</si>
  <si>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</si>
  <si>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</si>
  <si>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</si>
  <si>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</si>
  <si>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</si>
  <si>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</si>
  <si>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</si>
  <si>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</si>
  <si>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</si>
  <si>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</si>
  <si>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</si>
  <si>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</si>
  <si>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</si>
  <si>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</si>
  <si>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</si>
  <si>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</si>
  <si>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</si>
  <si>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</si>
  <si>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</si>
  <si>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</si>
  <si>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</si>
  <si>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</si>
  <si>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</si>
  <si>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</si>
  <si>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</si>
  <si>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</si>
  <si>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</si>
  <si>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</si>
  <si>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</si>
  <si>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</si>
  <si>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</si>
  <si>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</si>
  <si>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</si>
  <si>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</si>
  <si>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</si>
  <si>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</si>
  <si>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</si>
  <si>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</si>
  <si>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</si>
  <si>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</si>
  <si>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</si>
  <si>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</si>
  <si>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</si>
  <si>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</si>
  <si>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</si>
  <si>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</si>
  <si>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FRANGO A PASSARINHO </t>
  </si>
  <si>
    <t xml:space="preserve">BISTECA SUINA KG</t>
  </si>
  <si>
    <t xml:space="preserve">MARGARINA DELINE 250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</si>
  <si>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</si>
  <si>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</si>
  <si>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</si>
  <si>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</si>
  <si>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</si>
  <si>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</si>
  <si>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</si>
  <si>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</si>
  <si>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</si>
  <si>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</si>
  <si>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</si>
  <si>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</si>
  <si>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</si>
  <si>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</si>
  <si>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</si>
  <si>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</si>
  <si>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</si>
  <si>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</si>
  <si>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</si>
  <si>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</si>
  <si>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</si>
  <si>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</si>
  <si>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</si>
  <si>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</si>
  <si>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</si>
  <si>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</si>
  <si>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</si>
  <si>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</si>
  <si>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</si>
  <si>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</si>
  <si>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</si>
  <si>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</si>
  <si>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</si>
  <si>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</si>
  <si>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</si>
  <si>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</si>
  <si>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</si>
  <si>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</si>
  <si>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</si>
  <si>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</si>
  <si>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</si>
  <si>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</si>
  <si>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</si>
  <si>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</si>
  <si>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</si>
  <si>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</si>
  <si>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</si>
  <si>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</si>
  <si>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</si>
  <si>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</si>
  <si>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</si>
  <si>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</si>
  <si>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</si>
  <si>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</si>
  <si>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</si>
  <si>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</si>
  <si>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</si>
  <si>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</si>
  <si>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</si>
  <si>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</si>
  <si>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</si>
  <si>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</si>
  <si>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</si>
  <si>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</si>
  <si>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</si>
  <si>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</si>
  <si>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</si>
  <si>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</si>
  <si>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</si>
  <si>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</si>
  <si>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</si>
  <si>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</si>
  <si>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</si>
  <si>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</si>
  <si>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</si>
  <si>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</si>
  <si>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</si>
  <si>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</si>
  <si>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</si>
  <si>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</si>
  <si>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</si>
  <si>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</si>
  <si>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</si>
  <si>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</si>
  <si>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</si>
  <si>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</si>
  <si>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</si>
  <si>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</si>
  <si>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</si>
  <si>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</si>
  <si>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</si>
  <si>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</si>
  <si>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</si>
  <si>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</si>
  <si>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</si>
  <si>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</si>
  <si>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</si>
  <si>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</si>
  <si>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</si>
  <si>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</si>
  <si>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</si>
  <si>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</si>
  <si>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</si>
  <si>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</si>
  <si>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</si>
  <si>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</si>
  <si>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</si>
  <si>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</si>
  <si>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</si>
  <si>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</si>
  <si>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</si>
  <si>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</si>
  <si>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</si>
  <si>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</si>
  <si>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</si>
  <si>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</si>
  <si>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</si>
  <si>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</si>
  <si>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</si>
  <si>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</si>
  <si>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</si>
  <si>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</si>
  <si>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</si>
  <si>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</si>
  <si>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</si>
  <si>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</si>
  <si>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</si>
  <si>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</si>
  <si>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</si>
  <si>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</si>
  <si>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</si>
  <si>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</si>
  <si>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</si>
  <si>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</si>
  <si>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</si>
  <si>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</si>
  <si>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</si>
  <si>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</si>
  <si>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</si>
  <si>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</si>
  <si>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</si>
  <si>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</si>
  <si>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</si>
  <si>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</si>
  <si>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</si>
  <si>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</si>
  <si>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</si>
  <si>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</si>
  <si>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</si>
  <si>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</si>
  <si>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</si>
  <si>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</si>
  <si>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</si>
  <si>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</si>
  <si>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</si>
  <si>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</si>
  <si>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</si>
  <si>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</si>
  <si>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</si>
  <si>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</si>
  <si>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</si>
  <si>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</si>
  <si>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</si>
  <si>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</si>
  <si>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</si>
  <si>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</si>
  <si>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</si>
  <si>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</si>
  <si>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</si>
  <si>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</si>
  <si>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</si>
  <si>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</si>
  <si>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</si>
  <si>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</si>
  <si>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</si>
  <si>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</si>
  <si>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</si>
  <si>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</si>
  <si>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</si>
  <si>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</si>
  <si>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</si>
  <si>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</si>
  <si>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</si>
  <si>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</si>
  <si>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</si>
  <si>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</si>
  <si>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</si>
  <si>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</si>
  <si>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</si>
  <si>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</si>
  <si>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</si>
  <si>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</si>
  <si>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</si>
  <si>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</si>
  <si>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</si>
  <si>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</si>
  <si>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</si>
  <si>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</si>
  <si>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</si>
  <si>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</si>
  <si>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</si>
  <si>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</si>
  <si>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</si>
  <si>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</si>
  <si>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</si>
  <si>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</si>
  <si>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</si>
  <si>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</si>
  <si>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</si>
  <si>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</si>
  <si>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</si>
  <si>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</si>
  <si>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</si>
  <si>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</si>
  <si>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</si>
  <si>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</si>
  <si>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</si>
  <si>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</si>
  <si>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</si>
  <si>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</si>
  <si>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</si>
  <si>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</si>
  <si>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</si>
  <si>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</si>
  <si>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</si>
  <si>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</si>
  <si>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</si>
  <si>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</si>
  <si>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</si>
  <si>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</si>
  <si>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</si>
  <si>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</si>
  <si>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</si>
  <si>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</si>
  <si>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</si>
  <si>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</si>
  <si>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</si>
  <si>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</si>
  <si>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</si>
  <si>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</si>
  <si>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</si>
  <si>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</si>
  <si>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</si>
  <si>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</si>
  <si>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</si>
  <si>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</si>
  <si>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</si>
  <si>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</si>
  <si>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</si>
  <si>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</si>
  <si>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</si>
  <si>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</si>
  <si>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</si>
  <si>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</si>
  <si>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</si>
  <si>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</si>
  <si>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</si>
  <si>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</si>
  <si>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</si>
  <si>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</si>
  <si>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</si>
  <si>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</si>
  <si>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</si>
  <si>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</si>
  <si>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</si>
  <si>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</si>
  <si>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</si>
  <si>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</si>
  <si>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</si>
  <si>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</si>
  <si>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</si>
  <si>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</si>
  <si>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</si>
  <si>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</si>
  <si>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</si>
  <si>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</si>
  <si>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</si>
  <si>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</si>
  <si>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</si>
  <si>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</si>
  <si>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</si>
  <si>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</si>
  <si>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</si>
  <si>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</si>
  <si>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</si>
  <si>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</si>
  <si>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</si>
  <si>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</si>
  <si>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</si>
  <si>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</si>
  <si>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</si>
  <si>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</si>
  <si>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</si>
  <si>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</si>
  <si>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</si>
  <si>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</si>
  <si>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</si>
  <si>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</si>
  <si>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</si>
  <si>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</si>
  <si>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</si>
  <si>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</si>
  <si>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</si>
  <si>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</si>
  <si>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</si>
  <si>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</si>
  <si>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</si>
  <si>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</si>
  <si>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</si>
  <si>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</si>
  <si>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</si>
  <si>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</si>
  <si>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</si>
  <si>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</si>
  <si>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</si>
  <si>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</si>
  <si>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</si>
  <si>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</si>
  <si>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</si>
  <si>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</si>
  <si>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</si>
  <si>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</si>
  <si>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</si>
  <si>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</si>
  <si>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</si>
  <si>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</si>
  <si>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</si>
  <si>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</si>
  <si>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</si>
  <si>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</si>
  <si>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</si>
  <si>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</si>
  <si>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</si>
  <si>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</si>
  <si>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</si>
  <si>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</si>
  <si>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</si>
  <si>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</si>
  <si>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</si>
  <si>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</si>
  <si>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</si>
  <si>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</si>
  <si>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</si>
  <si>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</si>
  <si>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</si>
  <si>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</si>
  <si>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</si>
  <si>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</si>
  <si>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</si>
  <si>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</si>
  <si>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</si>
  <si>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</si>
  <si>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</si>
  <si>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</si>
  <si>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</si>
  <si>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</si>
  <si>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</si>
  <si>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</si>
  <si>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</si>
  <si>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</si>
  <si>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</si>
  <si>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</si>
  <si>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</si>
  <si>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</si>
  <si>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</si>
  <si>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</si>
  <si>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</si>
  <si>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</si>
  <si>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</si>
  <si>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</si>
  <si>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</si>
  <si>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</si>
  <si>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</si>
  <si>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</si>
  <si>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</si>
  <si>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</si>
  <si>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</si>
  <si>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</si>
  <si>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</si>
  <si>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</si>
  <si>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</si>
  <si>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</si>
  <si>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</si>
  <si>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</si>
  <si>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</si>
  <si>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</si>
  <si>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</si>
  <si>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</si>
  <si>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</si>
  <si>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</si>
  <si>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</si>
  <si>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</si>
  <si>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</si>
  <si>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</si>
  <si>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</si>
  <si>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</si>
  <si>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</si>
  <si>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</si>
  <si>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</si>
  <si>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</si>
  <si>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</si>
  <si>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</si>
  <si>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</si>
  <si>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</si>
  <si>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</si>
  <si>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</si>
  <si>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</si>
  <si>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</si>
  <si>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</si>
  <si>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</si>
  <si>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</si>
  <si>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</si>
  <si>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</si>
  <si>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</si>
  <si>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</si>
  <si>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</si>
  <si>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</si>
  <si>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</si>
  <si>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</si>
  <si>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</si>
  <si>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</si>
  <si>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</si>
  <si>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</si>
  <si>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</si>
  <si>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</si>
  <si>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</si>
  <si>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</si>
  <si>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</si>
  <si>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</si>
  <si>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</si>
  <si>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</si>
  <si>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</si>
  <si>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</si>
  <si>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</si>
  <si>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</si>
  <si>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</si>
  <si>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</si>
  <si>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</si>
  <si>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</si>
  <si>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</si>
  <si>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</si>
  <si>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</si>
  <si>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</si>
  <si>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</si>
  <si>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</si>
  <si>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</si>
  <si>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</si>
  <si>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</si>
  <si>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</si>
  <si>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</si>
  <si>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</si>
  <si>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</si>
  <si>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</si>
  <si>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</si>
  <si>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</si>
  <si>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</si>
  <si>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</si>
  <si>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</si>
  <si>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</si>
  <si>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</si>
  <si>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</si>
  <si>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</si>
  <si>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</si>
  <si>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</si>
  <si>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</si>
  <si>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</si>
  <si>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</si>
  <si>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</si>
  <si>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</si>
  <si>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</si>
  <si>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</si>
  <si>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</si>
  <si>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</si>
  <si>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</si>
  <si>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</si>
  <si>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</si>
  <si>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</si>
  <si>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</si>
  <si>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</si>
  <si>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</si>
  <si>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</si>
  <si>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</si>
  <si>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</si>
  <si>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</si>
  <si>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</si>
  <si>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</si>
  <si>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</si>
  <si>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</si>
  <si>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</si>
  <si>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</si>
  <si>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</si>
  <si>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</si>
  <si>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</si>
  <si>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</si>
  <si>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</si>
  <si>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</si>
  <si>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</si>
  <si>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</si>
  <si>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</si>
  <si>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</si>
  <si>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</si>
  <si>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</si>
  <si>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</si>
  <si>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</si>
  <si>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</si>
  <si>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</si>
  <si>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</si>
  <si>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</si>
  <si>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</si>
  <si>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</si>
  <si>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</si>
  <si>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</si>
  <si>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</si>
  <si>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</si>
  <si>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</si>
  <si>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</si>
  <si>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</si>
  <si>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</si>
  <si>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</si>
  <si>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</si>
  <si>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</si>
  <si>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</si>
  <si>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</si>
  <si>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</si>
  <si>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</si>
  <si>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</si>
  <si>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</si>
  <si>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</si>
  <si>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</si>
  <si>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</si>
  <si>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</si>
  <si>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</si>
  <si>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</si>
  <si>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</si>
  <si>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</si>
  <si>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</si>
  <si>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</si>
  <si>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</si>
  <si>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</si>
  <si>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</si>
  <si>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</si>
  <si>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</si>
  <si>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</si>
  <si>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</si>
  <si>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</si>
  <si>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</si>
  <si>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</si>
  <si>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</si>
  <si>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</si>
  <si>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</si>
  <si>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</si>
  <si>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</si>
  <si>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</si>
  <si>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</si>
  <si>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</si>
  <si>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</si>
  <si>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</si>
  <si>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</si>
  <si>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</si>
  <si>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</si>
  <si>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</si>
  <si>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</si>
  <si>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</si>
  <si>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</si>
  <si>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</si>
  <si>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</si>
  <si>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</si>
  <si>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</si>
  <si>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</si>
  <si>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</si>
  <si>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</si>
  <si>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</si>
  <si>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</si>
  <si>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</si>
  <si>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</si>
  <si>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</si>
  <si>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</si>
  <si>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</si>
  <si>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</si>
  <si>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</si>
  <si>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</si>
  <si>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</si>
  <si>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</si>
  <si>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</si>
  <si>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</si>
  <si>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</si>
  <si>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</si>
  <si>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</si>
  <si>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</si>
  <si>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</si>
  <si>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</si>
  <si>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</si>
  <si>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</si>
  <si>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</si>
  <si>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</si>
  <si>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</si>
  <si>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</si>
  <si>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</si>
  <si>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</si>
  <si>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</si>
  <si>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</si>
  <si>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</si>
  <si>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</si>
  <si>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</si>
  <si>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</si>
  <si>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</si>
  <si>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</si>
  <si>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</si>
  <si>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</si>
  <si>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</si>
  <si>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</si>
  <si>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</si>
  <si>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</si>
  <si>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</si>
  <si>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</si>
  <si>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</si>
  <si>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</si>
  <si>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</si>
  <si>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SUCO CAJU JANDAIA 20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</si>
  <si>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</si>
  <si>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</si>
  <si>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</si>
  <si>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</si>
  <si>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</si>
  <si>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</si>
  <si>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</si>
  <si>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</si>
  <si>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</si>
  <si>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</si>
  <si>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</si>
  <si>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</si>
  <si>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</si>
  <si>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</si>
  <si>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</si>
  <si>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</si>
  <si>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</si>
  <si>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</si>
  <si>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</si>
  <si>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</si>
  <si>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</si>
  <si>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</si>
  <si>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</si>
  <si>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</si>
  <si>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</si>
  <si>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</si>
  <si>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</si>
  <si>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</si>
  <si>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</si>
  <si>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</si>
  <si>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</si>
  <si>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</si>
  <si>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</si>
  <si>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</si>
  <si>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</si>
  <si>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</si>
  <si>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</si>
  <si>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</si>
  <si>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</si>
  <si>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</si>
  <si>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</si>
  <si>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</si>
  <si>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</si>
  <si>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</si>
  <si>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</si>
  <si>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</si>
  <si>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</si>
  <si>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</si>
  <si>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</si>
  <si>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</si>
  <si>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</si>
  <si>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</si>
  <si>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</si>
  <si>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</si>
  <si>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</si>
  <si>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</si>
  <si>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</si>
  <si>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</si>
  <si>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</si>
  <si>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</si>
  <si>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</si>
  <si>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</si>
  <si>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</si>
  <si>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</si>
  <si>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</si>
  <si>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</si>
  <si>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</si>
  <si>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</si>
  <si>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</si>
  <si>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</si>
  <si>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</si>
  <si>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</si>
  <si>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</si>
  <si>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</si>
  <si>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</si>
  <si>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</si>
  <si>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</si>
  <si>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</si>
  <si>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</si>
  <si>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</si>
  <si>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</si>
  <si>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</si>
  <si>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</si>
  <si>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</si>
  <si>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</si>
  <si>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</si>
  <si>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</si>
  <si>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</si>
  <si>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</si>
  <si>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</si>
  <si>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</si>
  <si>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</si>
  <si>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</si>
  <si>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</si>
  <si>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</si>
  <si>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</si>
  <si>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</si>
  <si>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</si>
  <si>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</si>
  <si>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</si>
  <si>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</si>
  <si>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</si>
  <si>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</si>
  <si>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</si>
  <si>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</si>
  <si>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</si>
  <si>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</si>
  <si>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</si>
  <si>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</si>
  <si>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</si>
  <si>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</si>
  <si>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</si>
  <si>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</si>
  <si>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</si>
  <si>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</si>
  <si>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</si>
  <si>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</si>
  <si>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</si>
  <si>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</si>
  <si>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</si>
  <si>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</si>
  <si>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</si>
  <si>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</si>
  <si>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</si>
  <si>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</si>
  <si>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</si>
  <si>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</si>
  <si>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</si>
  <si>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</si>
  <si>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</si>
  <si>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</si>
  <si>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</si>
  <si>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</si>
  <si>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</si>
  <si>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</si>
  <si>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</si>
  <si>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</si>
  <si>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</si>
  <si>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</si>
  <si>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</si>
  <si>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</si>
  <si>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</si>
  <si>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</si>
  <si>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</si>
  <si>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</si>
  <si>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</si>
  <si>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</si>
  <si>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</si>
  <si>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</si>
  <si>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</si>
  <si>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</si>
  <si>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</si>
  <si>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</si>
  <si>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</si>
  <si>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</si>
  <si>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</si>
  <si>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</si>
  <si>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</si>
  <si>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</si>
  <si>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</si>
  <si>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</si>
  <si>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</si>
  <si>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</si>
  <si>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</si>
  <si>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</si>
  <si>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</si>
  <si>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</si>
  <si>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</si>
  <si>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</si>
  <si>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</si>
  <si>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</si>
  <si>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</si>
  <si>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</si>
  <si>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</si>
  <si>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</si>
  <si>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</si>
  <si>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</si>
  <si>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</si>
  <si>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</si>
  <si>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</si>
  <si>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</si>
  <si>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</si>
  <si>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</si>
  <si>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</si>
  <si>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</si>
  <si>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</si>
  <si>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</si>
  <si>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</si>
  <si>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</si>
  <si>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</si>
  <si>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</si>
  <si>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</si>
  <si>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</si>
  <si>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</si>
  <si>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</si>
  <si>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</si>
  <si>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</si>
  <si>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</si>
  <si>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</si>
  <si>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</si>
  <si>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</si>
  <si>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</si>
  <si>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</si>
  <si>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</si>
  <si>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</si>
  <si>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</si>
  <si>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</si>
  <si>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</si>
  <si>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</si>
  <si>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</si>
  <si>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</si>
  <si>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</si>
  <si>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</si>
  <si>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</si>
  <si>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</si>
  <si>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</si>
  <si>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</si>
  <si>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</si>
  <si>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</si>
  <si>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</si>
  <si>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</si>
  <si>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</si>
  <si>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</si>
  <si>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</si>
  <si>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</si>
  <si>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</si>
  <si>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</si>
  <si>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</si>
  <si>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</si>
  <si>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</si>
  <si>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</si>
  <si>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</si>
  <si>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</si>
  <si>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</si>
  <si>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</si>
  <si>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</si>
  <si>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</si>
  <si>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</si>
  <si>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</si>
  <si>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</si>
  <si>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</si>
  <si>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</si>
  <si>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</si>
  <si>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</si>
  <si>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</si>
  <si>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</si>
  <si>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</si>
  <si>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</si>
  <si>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</si>
  <si>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</si>
  <si>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</si>
  <si>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</si>
  <si>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</si>
  <si>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</si>
  <si>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</si>
  <si>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</si>
  <si>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</si>
  <si>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</si>
  <si>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</si>
  <si>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</si>
  <si>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</si>
  <si>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</si>
  <si>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</si>
  <si>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</si>
  <si>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</si>
  <si>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</si>
  <si>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</si>
  <si>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</si>
  <si>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</si>
  <si>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</si>
  <si>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</si>
  <si>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</si>
  <si>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</si>
  <si>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</si>
  <si>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</si>
  <si>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</si>
  <si>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</si>
  <si>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</si>
  <si>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</si>
  <si>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</si>
  <si>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</si>
  <si>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</si>
  <si>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</si>
  <si>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</si>
  <si>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</si>
  <si>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</si>
  <si>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</si>
  <si>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</si>
  <si>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</si>
  <si>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</si>
  <si>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</si>
  <si>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</si>
  <si>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</si>
  <si>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</si>
  <si>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</si>
  <si>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</si>
  <si>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</si>
  <si>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</si>
  <si>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</si>
  <si>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</si>
  <si>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</si>
  <si>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</si>
  <si>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</si>
  <si>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</si>
  <si>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</si>
  <si>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</si>
  <si>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</si>
  <si>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</si>
  <si>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</si>
  <si>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</si>
  <si>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</si>
  <si>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</si>
  <si>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</si>
  <si>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</si>
  <si>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</si>
  <si>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</si>
  <si>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</si>
  <si>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</si>
  <si>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</si>
  <si>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</si>
  <si>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</si>
  <si>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</si>
  <si>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</si>
  <si>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</si>
  <si>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</si>
  <si>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</si>
  <si>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</si>
  <si>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</si>
  <si>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</si>
  <si>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</si>
  <si>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</si>
  <si>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</si>
  <si>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</si>
  <si>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</si>
  <si>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</si>
  <si>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</si>
  <si>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</si>
  <si>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</si>
  <si>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</si>
  <si>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</si>
  <si>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</si>
  <si>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</si>
  <si>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</si>
  <si>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</si>
  <si>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</si>
  <si>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</si>
  <si>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</si>
  <si>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</si>
  <si>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</si>
  <si>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</si>
  <si>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</si>
  <si>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</si>
  <si>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</si>
  <si>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</si>
  <si>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</si>
  <si>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</si>
  <si>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</si>
  <si>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</si>
  <si>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</si>
  <si>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</si>
  <si>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</si>
  <si>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</si>
  <si>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</si>
  <si>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</si>
  <si>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</si>
  <si>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</si>
  <si>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</si>
  <si>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</si>
  <si>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</si>
  <si>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</si>
  <si>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</si>
  <si>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</si>
  <si>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</si>
  <si>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</si>
  <si>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</si>
  <si>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</si>
  <si>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</si>
  <si>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</si>
  <si>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</si>
  <si>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</si>
  <si>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</si>
  <si>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</si>
  <si>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</si>
  <si>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</si>
  <si>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</si>
  <si>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</si>
  <si>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</si>
  <si>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</si>
  <si>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</si>
  <si>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</si>
  <si>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</si>
  <si>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</si>
  <si>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</si>
  <si>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</si>
  <si>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</si>
  <si>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</si>
  <si>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</si>
  <si>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</si>
  <si>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</si>
  <si>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15KG 4</t>
  </si>
  <si>
    <t xml:space="preserve">SACOLA BRANCA 5KG 30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</si>
  <si>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</si>
  <si>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</si>
  <si>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</si>
  <si>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</si>
  <si>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</si>
  <si>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</si>
  <si>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</si>
  <si>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</si>
  <si>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</si>
  <si>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</si>
  <si>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</si>
  <si>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</si>
  <si>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</si>
  <si>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</si>
  <si>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</si>
  <si>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</si>
  <si>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</si>
  <si>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</si>
  <si>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</si>
  <si>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</si>
  <si>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</si>
  <si>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</si>
  <si>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</si>
  <si>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</si>
  <si>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</si>
  <si>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</si>
  <si>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</si>
  <si>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</si>
  <si>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</si>
  <si>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</si>
  <si>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</si>
  <si>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</si>
  <si>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</si>
  <si>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</si>
  <si>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</si>
  <si>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</si>
  <si>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</si>
  <si>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</si>
  <si>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</si>
  <si>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</si>
  <si>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</si>
  <si>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</si>
  <si>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</si>
  <si>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</si>
  <si>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</si>
  <si>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</si>
  <si>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</si>
  <si>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CERVEJA BRAHMA CHOPP LT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</si>
  <si>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</si>
  <si>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</si>
  <si>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</si>
  <si>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</si>
  <si>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</si>
  <si>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</si>
  <si>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</si>
  <si>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</si>
  <si>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</si>
  <si>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</si>
  <si>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</si>
  <si>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</si>
  <si>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</si>
  <si>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</si>
  <si>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</si>
  <si>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</si>
  <si>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</si>
  <si>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</si>
  <si>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</si>
  <si>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</si>
  <si>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</si>
  <si>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</si>
  <si>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</si>
  <si>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</si>
  <si>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</si>
  <si>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</si>
  <si>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</si>
  <si>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</si>
  <si>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</si>
  <si>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</si>
  <si>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</si>
  <si>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</si>
  <si>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</si>
  <si>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</si>
  <si>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</si>
  <si>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</si>
  <si>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</si>
  <si>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</si>
  <si>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</si>
  <si>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</si>
  <si>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</si>
  <si>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</si>
  <si>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</si>
  <si>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</si>
  <si>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</si>
  <si>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</si>
  <si>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</si>
  <si>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</si>
  <si>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</si>
  <si>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</si>
  <si>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</si>
  <si>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</si>
  <si>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</si>
  <si>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</si>
  <si>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</si>
  <si>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</si>
  <si>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</si>
  <si>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</si>
  <si>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</si>
  <si>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</si>
  <si>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</si>
  <si>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</si>
  <si>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</si>
  <si>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</si>
  <si>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</si>
  <si>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</si>
  <si>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</si>
  <si>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</si>
  <si>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BISC.RECH. ATREVIDOS BRIGAD 90G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</si>
  <si>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</si>
  <si>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</si>
  <si>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</si>
  <si>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</si>
  <si>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</si>
  <si>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</si>
  <si>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</si>
  <si>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</si>
  <si>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</si>
  <si>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</si>
  <si>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</si>
  <si>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</si>
  <si>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</si>
  <si>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</si>
  <si>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</si>
  <si>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</si>
  <si>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</si>
  <si>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</si>
  <si>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</si>
  <si>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</si>
  <si>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</si>
  <si>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</si>
  <si>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</si>
  <si>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</si>
  <si>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</si>
  <si>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</si>
  <si>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</si>
  <si>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</si>
  <si>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</si>
  <si>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</si>
  <si>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</si>
  <si>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</si>
  <si>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</si>
  <si>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</si>
  <si>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</si>
  <si>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</si>
  <si>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</si>
  <si>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</si>
  <si>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</si>
  <si>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</si>
  <si>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</si>
  <si>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</si>
  <si>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</si>
  <si>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</si>
  <si>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</si>
  <si>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</si>
  <si>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</si>
  <si>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</si>
  <si>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</si>
  <si>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</si>
  <si>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</si>
  <si>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</si>
  <si>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</si>
  <si>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</si>
  <si>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</si>
  <si>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</si>
  <si>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</si>
  <si>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</si>
  <si>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</si>
  <si>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</si>
  <si>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</si>
  <si>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</si>
  <si>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</si>
  <si>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</si>
  <si>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</si>
  <si>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</si>
  <si>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</si>
  <si>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</si>
  <si>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</si>
  <si>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</si>
  <si>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</si>
  <si>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</si>
  <si>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</si>
  <si>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</si>
  <si>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</si>
  <si>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</si>
  <si>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</si>
  <si>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</si>
  <si>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</si>
  <si>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</si>
  <si>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</si>
  <si>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</si>
  <si>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</si>
  <si>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</si>
  <si>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</si>
  <si>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</si>
  <si>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</si>
  <si>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</si>
  <si>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</si>
  <si>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</si>
  <si>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</si>
  <si>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</si>
  <si>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</si>
  <si>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</si>
  <si>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</si>
  <si>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</si>
  <si>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</si>
  <si>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</si>
  <si>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</si>
  <si>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</si>
  <si>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</si>
  <si>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</si>
  <si>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</si>
  <si>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</si>
  <si>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</si>
  <si>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</si>
  <si>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</si>
  <si>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</si>
  <si>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</si>
  <si>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</si>
  <si>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</si>
  <si>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</si>
  <si>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</si>
  <si>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</si>
  <si>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</si>
  <si>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</si>
  <si>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</si>
  <si>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</si>
  <si>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</si>
  <si>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</si>
  <si>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</si>
  <si>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</si>
  <si>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</si>
  <si>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</si>
  <si>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</si>
  <si>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</si>
  <si>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</si>
  <si>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</si>
  <si>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</si>
  <si>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</si>
  <si>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</si>
  <si>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</si>
  <si>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</si>
  <si>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</si>
  <si>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</si>
  <si>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</si>
  <si>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</si>
  <si>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</si>
  <si>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</si>
  <si>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</si>
  <si>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</si>
  <si>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</si>
  <si>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</si>
  <si>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</si>
  <si>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</si>
  <si>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</si>
  <si>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</si>
  <si>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</si>
  <si>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</si>
  <si>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</si>
  <si>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</si>
  <si>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</si>
  <si>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 CONG SADIA</t>
  </si>
  <si>
    <t xml:space="preserve">PEITO DE FRANGO C/ O</t>
  </si>
  <si>
    <t xml:space="preserve">CERMICHE ULTRA N LON</t>
  </si>
  <si>
    <t xml:space="preserve">ISCA DE CARNE KG</t>
  </si>
  <si>
    <t xml:space="preserve">CADERNO STIFF AMAREL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</si>
  <si>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</si>
  <si>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</si>
  <si>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</si>
  <si>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</si>
  <si>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</si>
  <si>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</si>
  <si>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</si>
  <si>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</si>
  <si>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</si>
  <si>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</si>
  <si>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</si>
  <si>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</si>
  <si>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</si>
  <si>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</si>
  <si>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</si>
  <si>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</si>
  <si>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</si>
  <si>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</si>
  <si>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</si>
  <si>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</si>
  <si>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</si>
  <si>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</si>
  <si>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</si>
  <si>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</si>
  <si>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</si>
  <si>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</si>
  <si>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</si>
  <si>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</si>
  <si>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</si>
  <si>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</si>
  <si>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</si>
  <si>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</si>
  <si>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</si>
  <si>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</si>
  <si>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</si>
  <si>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</si>
  <si>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</si>
  <si>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</si>
  <si>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</si>
  <si>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</si>
  <si>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</si>
  <si>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</si>
  <si>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</si>
  <si>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</si>
  <si>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</si>
  <si>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</si>
  <si>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</si>
  <si>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</si>
  <si>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</si>
  <si>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</si>
  <si>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</si>
  <si>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</si>
  <si>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</si>
  <si>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</si>
  <si>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</si>
  <si>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</si>
  <si>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</si>
  <si>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</si>
  <si>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</si>
  <si>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</si>
  <si>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</si>
  <si>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</si>
  <si>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</si>
  <si>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</si>
  <si>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</si>
  <si>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</si>
  <si>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</si>
  <si>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</si>
  <si>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</si>
  <si>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</si>
  <si>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</si>
  <si>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</si>
  <si>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</si>
  <si>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</si>
  <si>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</si>
  <si>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</si>
  <si>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</si>
  <si>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</si>
  <si>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</si>
  <si>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</si>
  <si>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</si>
  <si>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</si>
  <si>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</si>
  <si>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</si>
  <si>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</si>
  <si>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</si>
  <si>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</si>
  <si>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</si>
  <si>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</si>
  <si>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</si>
  <si>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</si>
  <si>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</si>
  <si>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</si>
  <si>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</si>
  <si>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</si>
  <si>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</si>
  <si>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</si>
  <si>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</si>
  <si>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</si>
  <si>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</si>
  <si>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</si>
  <si>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</si>
  <si>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</si>
  <si>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</si>
  <si>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</si>
  <si>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</si>
  <si>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</si>
  <si>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</si>
  <si>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</si>
  <si>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</si>
  <si>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</si>
  <si>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</si>
  <si>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</si>
  <si>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</si>
  <si>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</si>
  <si>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</si>
  <si>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</si>
  <si>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</si>
  <si>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</si>
  <si>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</si>
  <si>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</si>
  <si>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</si>
  <si>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</si>
  <si>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</si>
  <si>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</si>
  <si>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</si>
  <si>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</si>
  <si>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</si>
  <si>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</si>
  <si>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</si>
  <si>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</si>
  <si>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</si>
  <si>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</si>
  <si>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</si>
  <si>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</si>
  <si>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</si>
  <si>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</si>
  <si>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</si>
  <si>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</si>
  <si>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</si>
  <si>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</si>
  <si>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</si>
  <si>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</si>
  <si>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</si>
  <si>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</si>
  <si>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</si>
  <si>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</si>
  <si>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</si>
  <si>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</si>
  <si>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</si>
  <si>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</si>
  <si>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</si>
  <si>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</si>
  <si>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</si>
  <si>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</si>
  <si>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</si>
  <si>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</si>
  <si>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</si>
  <si>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</si>
  <si>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</si>
  <si>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</si>
  <si>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</si>
  <si>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</si>
  <si>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</si>
  <si>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</si>
  <si>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</si>
  <si>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</si>
  <si>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</si>
  <si>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</si>
  <si>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</si>
  <si>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</si>
  <si>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</si>
  <si>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</si>
  <si>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</si>
  <si>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</si>
  <si>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</si>
  <si>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</si>
  <si>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</si>
  <si>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</si>
  <si>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</si>
  <si>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</si>
  <si>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</si>
  <si>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</si>
  <si>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</si>
  <si>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</si>
  <si>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</si>
  <si>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</si>
  <si>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</si>
  <si>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</si>
  <si>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</si>
  <si>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</si>
  <si>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</si>
  <si>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</si>
  <si>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</si>
  <si>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</si>
  <si>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</si>
  <si>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</si>
  <si>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</si>
  <si>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</si>
  <si>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</si>
  <si>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</si>
  <si>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</si>
  <si>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</si>
  <si>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</si>
  <si>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</si>
  <si>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</si>
  <si>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</si>
  <si>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</si>
  <si>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</si>
  <si>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</si>
  <si>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</si>
  <si>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</si>
  <si>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</si>
  <si>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</si>
  <si>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</si>
  <si>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JOGO CHAVE BOM - 3119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</si>
  <si>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</si>
  <si>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</si>
  <si>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</si>
  <si>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</si>
  <si>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</si>
  <si>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</si>
  <si>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</si>
  <si>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</si>
  <si>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</si>
  <si>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</si>
  <si>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</si>
  <si>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</si>
  <si>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POWER BANK B-079B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</si>
  <si>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</si>
  <si>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</si>
  <si>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</si>
  <si>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</si>
  <si>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</si>
  <si>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</si>
  <si>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</si>
  <si>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</si>
  <si>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</si>
  <si>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</si>
  <si>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</si>
  <si>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</si>
  <si>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</si>
  <si>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</si>
  <si>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</si>
  <si>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</si>
  <si>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</si>
  <si>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</si>
  <si>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</si>
  <si>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</si>
  <si>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</si>
  <si>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</si>
  <si>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</si>
  <si>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</si>
  <si>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</si>
  <si>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</si>
  <si>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</si>
  <si>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</si>
  <si>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</si>
  <si>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</si>
  <si>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</si>
  <si>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</si>
  <si>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</si>
  <si>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</si>
  <si>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</si>
  <si>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</si>
  <si>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</si>
  <si>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</si>
  <si>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</si>
  <si>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</si>
  <si>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</si>
  <si>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</si>
  <si>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</si>
  <si>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</si>
  <si>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</si>
  <si>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</si>
  <si>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</si>
  <si>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</si>
  <si>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</si>
  <si>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</si>
  <si>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</si>
  <si>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</si>
  <si>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</si>
  <si>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</si>
  <si>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</si>
  <si>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</si>
  <si>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</si>
  <si>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</si>
  <si>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</si>
  <si>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</si>
  <si>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</si>
  <si>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</si>
  <si>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</si>
  <si>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</si>
  <si>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</si>
  <si>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</si>
  <si>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</si>
  <si>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</si>
  <si>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</si>
  <si>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</si>
  <si>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</si>
  <si>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</si>
  <si>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</si>
  <si>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</si>
  <si>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</si>
  <si>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</si>
  <si>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</si>
  <si>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</si>
  <si>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</si>
  <si>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</si>
  <si>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</si>
  <si>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</si>
  <si>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</si>
  <si>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</si>
  <si>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</si>
  <si>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</si>
  <si>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</si>
  <si>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</si>
  <si>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</si>
  <si>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</si>
  <si>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</si>
  <si>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</si>
  <si>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</si>
  <si>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</si>
  <si>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</si>
  <si>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</si>
  <si>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</si>
  <si>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</si>
  <si>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</si>
  <si>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</si>
  <si>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</si>
  <si>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</si>
  <si>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</si>
  <si>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</si>
  <si>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</si>
  <si>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</si>
  <si>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</si>
  <si>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</si>
  <si>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</si>
  <si>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</si>
  <si>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</si>
  <si>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</si>
  <si>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</si>
  <si>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</si>
  <si>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</si>
  <si>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</si>
  <si>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</si>
  <si>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</si>
  <si>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</si>
  <si>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</si>
  <si>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</si>
  <si>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</si>
  <si>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</si>
  <si>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</si>
  <si>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</si>
  <si>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</si>
  <si>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</si>
  <si>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</si>
  <si>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</si>
  <si>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</si>
  <si>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</si>
  <si>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</si>
  <si>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</si>
  <si>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</si>
  <si>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</si>
  <si>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</si>
  <si>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</si>
  <si>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</si>
  <si>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</si>
  <si>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</si>
  <si>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</si>
  <si>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</si>
  <si>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</si>
  <si>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</si>
  <si>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</si>
  <si>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</si>
  <si>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</si>
  <si>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</si>
  <si>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</si>
  <si>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</si>
  <si>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</si>
  <si>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</si>
  <si>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</si>
  <si>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</si>
  <si>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</si>
  <si>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</si>
  <si>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</si>
  <si>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</si>
  <si>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</si>
  <si>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</si>
  <si>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</si>
  <si>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</si>
  <si>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</si>
  <si>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</si>
  <si>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</si>
  <si>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</si>
  <si>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</si>
  <si>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</si>
  <si>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</si>
  <si>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</si>
  <si>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</si>
  <si>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</si>
  <si>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</si>
  <si>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</si>
  <si>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</si>
  <si>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</si>
  <si>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</si>
  <si>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</si>
  <si>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</si>
  <si>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</si>
  <si>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</si>
  <si>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</si>
  <si>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</si>
  <si>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</si>
  <si>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</si>
  <si>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</si>
  <si>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</si>
  <si>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</si>
  <si>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</si>
  <si>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</si>
  <si>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</si>
  <si>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</si>
  <si>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</si>
  <si>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</si>
  <si>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</si>
  <si>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</si>
  <si>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</si>
  <si>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</si>
  <si>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</si>
  <si>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</si>
  <si>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</si>
  <si>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</si>
  <si>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</si>
  <si>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</si>
  <si>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</si>
  <si>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</si>
  <si>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</si>
  <si>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</si>
  <si>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</si>
  <si>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</si>
  <si>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</si>
  <si>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</si>
  <si>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</si>
  <si>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</si>
  <si>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</si>
  <si>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</si>
  <si>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</si>
  <si>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</si>
  <si>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</si>
  <si>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</si>
  <si>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</si>
  <si>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</si>
  <si>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</si>
  <si>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</si>
  <si>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</si>
  <si>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</si>
  <si>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</si>
  <si>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</si>
  <si>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</si>
  <si>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</si>
  <si>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</si>
  <si>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</si>
  <si>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</si>
  <si>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</si>
  <si>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</si>
  <si>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</si>
  <si>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</si>
  <si>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</si>
  <si>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</si>
  <si>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</si>
  <si>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</si>
  <si>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</si>
  <si>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</si>
  <si>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</si>
  <si>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</si>
  <si>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</si>
  <si>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</si>
  <si>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</si>
  <si>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</si>
  <si>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</si>
  <si>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</si>
  <si>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</si>
  <si>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</si>
  <si>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</si>
  <si>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</si>
  <si>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</si>
  <si>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</si>
  <si>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</si>
  <si>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</si>
  <si>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</si>
  <si>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</si>
  <si>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</si>
  <si>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</si>
  <si>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</si>
  <si>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</si>
  <si>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</si>
  <si>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</si>
  <si>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</si>
  <si>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</si>
  <si>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</si>
  <si>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</si>
  <si>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</si>
  <si>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</si>
  <si>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</si>
  <si>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</si>
  <si>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</si>
  <si>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</si>
  <si>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</si>
  <si>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</si>
  <si>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</si>
  <si>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</si>
  <si>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</si>
  <si>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</si>
  <si>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</si>
  <si>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</si>
  <si>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</si>
  <si>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</si>
  <si>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</si>
  <si>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</si>
  <si>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</si>
  <si>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</si>
  <si>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</si>
  <si>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</si>
  <si>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</si>
  <si>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</si>
  <si>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</si>
  <si>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</si>
  <si>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</si>
  <si>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</si>
  <si>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</si>
  <si>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</si>
  <si>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</si>
  <si>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</si>
  <si>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</si>
  <si>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</si>
  <si>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</si>
  <si>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</si>
  <si>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</si>
  <si>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</si>
  <si>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</si>
  <si>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</si>
  <si>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</si>
  <si>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</si>
  <si>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</si>
  <si>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</si>
  <si>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</si>
  <si>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</si>
  <si>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</si>
  <si>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</si>
  <si>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</si>
  <si>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</si>
  <si>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</si>
  <si>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</si>
  <si>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</si>
  <si>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</si>
  <si>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</si>
  <si>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</si>
  <si>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</si>
  <si>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</si>
  <si>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</si>
  <si>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</si>
  <si>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</si>
  <si>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</si>
  <si>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</si>
  <si>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</si>
  <si>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</si>
  <si>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</si>
  <si>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</si>
  <si>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</si>
  <si>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</si>
  <si>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</si>
  <si>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</si>
  <si>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</si>
  <si>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</si>
  <si>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</si>
  <si>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</si>
  <si>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</si>
  <si>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</si>
  <si>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</si>
  <si>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</si>
  <si>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</si>
  <si>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</si>
  <si>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</si>
  <si>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</si>
  <si>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</si>
  <si>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</si>
  <si>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</si>
  <si>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</si>
  <si>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</si>
  <si>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</si>
  <si>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</si>
  <si>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</si>
  <si>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</si>
  <si>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</si>
  <si>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</si>
  <si>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</si>
  <si>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</si>
  <si>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</si>
  <si>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</si>
  <si>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</si>
  <si>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</si>
  <si>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</si>
  <si>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</si>
  <si>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</si>
  <si>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</si>
  <si>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</si>
  <si>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</si>
  <si>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</si>
  <si>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</si>
  <si>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</si>
  <si>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</si>
  <si>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</si>
  <si>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</si>
  <si>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</si>
  <si>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</si>
  <si>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</si>
  <si>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</si>
  <si>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</si>
  <si>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</si>
  <si>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</si>
  <si>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</si>
  <si>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</si>
  <si>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</si>
  <si>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</si>
  <si>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</si>
  <si>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</si>
  <si>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</si>
  <si>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</si>
  <si>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</si>
  <si>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</si>
  <si>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</si>
  <si>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</si>
  <si>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</si>
  <si>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</si>
  <si>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</si>
  <si>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</si>
  <si>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</si>
  <si>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</si>
  <si>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</si>
  <si>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</si>
  <si>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</si>
  <si>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</si>
  <si>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SUNBREW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</si>
  <si>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</si>
  <si>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</si>
  <si>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</si>
  <si>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</si>
  <si>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</si>
  <si>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</si>
  <si>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</si>
  <si>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</si>
  <si>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</si>
  <si>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</si>
  <si>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</si>
  <si>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</si>
  <si>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</si>
  <si>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</si>
  <si>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</si>
  <si>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</si>
  <si>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</si>
  <si>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</si>
  <si>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</si>
  <si>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</si>
  <si>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</si>
  <si>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</si>
  <si>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</si>
  <si>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</si>
  <si>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</si>
  <si>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</si>
  <si>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</si>
  <si>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</si>
  <si>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</si>
  <si>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</si>
  <si>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</si>
  <si>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</si>
  <si>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</si>
  <si>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</si>
  <si>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</si>
  <si>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</si>
  <si>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</si>
  <si>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</si>
  <si>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</si>
  <si>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</si>
  <si>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</si>
  <si>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</si>
  <si>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</si>
  <si>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</si>
  <si>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</si>
  <si>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</si>
  <si>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</si>
  <si>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</si>
  <si>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</si>
  <si>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</si>
  <si>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</si>
  <si>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</si>
  <si>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</si>
  <si>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</si>
  <si>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</si>
  <si>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</si>
  <si>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</si>
  <si>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</si>
  <si>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</si>
  <si>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</si>
  <si>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</si>
  <si>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</si>
  <si>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</si>
  <si>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</si>
  <si>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</si>
  <si>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</si>
  <si>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</si>
  <si>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</si>
  <si>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</si>
  <si>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</si>
  <si>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</si>
  <si>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</si>
  <si>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</si>
  <si>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</si>
  <si>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</si>
  <si>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</si>
  <si>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</si>
  <si>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</si>
  <si>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</si>
  <si>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</si>
  <si>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</si>
  <si>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</si>
  <si>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</si>
  <si>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</si>
  <si>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</si>
  <si>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</si>
  <si>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</si>
  <si>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</si>
  <si>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</si>
  <si>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</si>
  <si>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</si>
  <si>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</si>
  <si>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</si>
  <si>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</si>
  <si>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</si>
  <si>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</si>
  <si>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</si>
  <si>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</si>
  <si>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</si>
  <si>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</si>
  <si>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</si>
  <si>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</si>
  <si>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PRATO PLAST 15CM BCO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</si>
  <si>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</si>
  <si>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</si>
  <si>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</si>
  <si>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</si>
  <si>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</si>
  <si>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</si>
  <si>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</si>
  <si>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</si>
  <si>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</si>
  <si>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</si>
  <si>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</si>
  <si>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</si>
  <si>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</si>
  <si>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</si>
  <si>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</si>
  <si>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</si>
  <si>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</si>
  <si>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</si>
  <si>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</si>
  <si>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</si>
  <si>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</si>
  <si>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</si>
  <si>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</si>
  <si>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</si>
  <si>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</si>
  <si>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</si>
  <si>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</si>
  <si>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</si>
  <si>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</si>
  <si>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</si>
  <si>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</si>
  <si>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</si>
  <si>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</si>
  <si>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</si>
  <si>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</si>
  <si>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</si>
  <si>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</si>
  <si>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</si>
  <si>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</si>
  <si>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</si>
  <si>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</si>
  <si>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</si>
  <si>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</si>
  <si>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</si>
  <si>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</si>
  <si>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</si>
  <si>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</si>
  <si>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</si>
  <si>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</si>
  <si>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</si>
  <si>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</si>
  <si>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</si>
  <si>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</si>
  <si>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</si>
  <si>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</si>
  <si>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</si>
  <si>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</si>
  <si>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</si>
  <si>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</si>
  <si>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</si>
  <si>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</si>
  <si>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</si>
  <si>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</si>
  <si>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</si>
  <si>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</si>
  <si>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</si>
  <si>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</si>
  <si>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</si>
  <si>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</si>
  <si>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</si>
  <si>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</si>
  <si>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</si>
  <si>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</si>
  <si>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</si>
  <si>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</si>
  <si>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</si>
  <si>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</si>
  <si>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</si>
  <si>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</si>
  <si>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</si>
  <si>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</si>
  <si>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</si>
  <si>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</si>
  <si>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</si>
  <si>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</si>
  <si>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</si>
  <si>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</si>
  <si>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</si>
  <si>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</si>
  <si>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</si>
  <si>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</si>
  <si>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</si>
  <si>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</si>
  <si>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</si>
  <si>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</si>
  <si>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</si>
  <si>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</si>
  <si>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</si>
  <si>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</si>
  <si>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</si>
  <si>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</si>
  <si>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</si>
  <si>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</si>
  <si>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</si>
  <si>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</si>
  <si>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</si>
  <si>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</si>
  <si>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</si>
  <si>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</si>
  <si>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</si>
  <si>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</si>
  <si>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</si>
  <si>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</si>
  <si>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</si>
  <si>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</si>
  <si>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</si>
  <si>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</si>
  <si>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</si>
  <si>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</si>
  <si>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</si>
  <si>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</si>
  <si>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</si>
  <si>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</si>
  <si>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</si>
  <si>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</si>
  <si>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</si>
  <si>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</si>
  <si>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</si>
  <si>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</si>
  <si>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</si>
  <si>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</si>
  <si>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</si>
  <si>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</si>
  <si>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</si>
  <si>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</si>
  <si>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</si>
  <si>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</si>
  <si>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</si>
  <si>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</si>
  <si>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</si>
  <si>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</si>
  <si>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</si>
  <si>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</si>
  <si>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</si>
  <si>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</si>
  <si>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</si>
  <si>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</si>
  <si>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</si>
  <si>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</si>
  <si>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</si>
  <si>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</si>
  <si>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</si>
  <si>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</si>
  <si>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</si>
  <si>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</si>
  <si>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</si>
  <si>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</si>
  <si>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</si>
  <si>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</si>
  <si>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</si>
  <si>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</si>
  <si>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</si>
  <si>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</si>
  <si>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</si>
  <si>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</si>
  <si>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</si>
  <si>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</si>
  <si>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</si>
  <si>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</si>
  <si>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</si>
  <si>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</si>
  <si>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</si>
  <si>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</si>
  <si>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</si>
  <si>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</si>
  <si>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</si>
  <si>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</si>
  <si>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</si>
  <si>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</si>
  <si>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</si>
  <si>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</si>
  <si>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</si>
  <si>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</si>
  <si>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</si>
  <si>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</si>
  <si>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</si>
  <si>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</si>
  <si>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</si>
  <si>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</si>
  <si>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</si>
  <si>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</si>
  <si>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</si>
  <si>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</si>
  <si>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</si>
  <si>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</si>
  <si>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</si>
  <si>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</si>
  <si>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</si>
  <si>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</si>
  <si>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</si>
  <si>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</si>
  <si>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</si>
  <si>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</si>
  <si>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</si>
  <si>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</si>
  <si>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</si>
  <si>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</si>
  <si>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</si>
  <si>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</si>
  <si>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</si>
  <si>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</si>
  <si>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</si>
  <si>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</si>
  <si>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</si>
  <si>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</si>
  <si>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</si>
  <si>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</si>
  <si>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</si>
  <si>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</si>
  <si>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</si>
  <si>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</si>
  <si>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</si>
  <si>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</si>
  <si>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</si>
  <si>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</si>
  <si>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</si>
  <si>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</si>
  <si>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</si>
  <si>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</si>
  <si>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</si>
  <si>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</si>
  <si>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</si>
  <si>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</si>
  <si>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</si>
  <si>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</si>
  <si>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</si>
  <si>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</si>
  <si>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</si>
  <si>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LA FRUIT MANGA 200ML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</si>
</sst>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9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32</v>
      </c>
      <c r="F10" s="11" t="n">
        <v>34</v>
      </c>
      <c r="G10" s="13" t="s">
        <v>33</v>
      </c>
      <c r="H10" s="11" t="n">
        <v>2110405</v>
      </c>
      <c r="I10" s="13" t="s">
        <v>34</v>
      </c>
      <c r="J10" s="11" t="n">
        <v>695960</v>
      </c>
      <c r="L10" s="11" t="n">
        <v>3</v>
      </c>
      <c r="M10" s="13" t="s">
        <v>35</v>
      </c>
      <c r="N10" s="13" t="s">
        <v>36</v>
      </c>
      <c r="P10" s="11" t="n">
        <v>101</v>
      </c>
      <c r="Q10" s="13" t="s">
        <v>37</v>
      </c>
      <c r="R10" s="13" t="s">
        <v>38</v>
      </c>
      <c r="S10" s="11" t="n">
        <v>4210210</v>
      </c>
      <c r="T10" s="13" t="s">
        <v>39</v>
      </c>
      <c r="U10" s="14" t="n">
        <v>807.37</v>
      </c>
      <c r="W10" s="14" t="n">
        <v>0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41</v>
      </c>
      <c r="F11" s="11" t="n">
        <v>24</v>
      </c>
      <c r="G11" s="13" t="s">
        <v>42</v>
      </c>
      <c r="H11" s="11" t="n">
        <v>2110101</v>
      </c>
      <c r="I11" s="13" t="s">
        <v>43</v>
      </c>
      <c r="J11" s="11" t="n">
        <v>1096655</v>
      </c>
      <c r="L11" s="11" t="n">
        <v>16520492</v>
      </c>
      <c r="M11" s="13" t="s">
        <v>44</v>
      </c>
      <c r="N11" s="13" t="s">
        <v>36</v>
      </c>
      <c r="P11" s="11" t="n">
        <v>128</v>
      </c>
      <c r="Q11" s="13" t="s">
        <v>45</v>
      </c>
      <c r="R11" s="13" t="s">
        <v>46</v>
      </c>
      <c r="S11" s="11" t="n">
        <v>1130101</v>
      </c>
      <c r="T11" s="13" t="s">
        <v>47</v>
      </c>
      <c r="U11" s="14" t="n">
        <v>633.23</v>
      </c>
      <c r="W11" s="14" t="n">
        <v>0</v>
      </c>
      <c r="X11" s="13" t="s">
        <v>48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49</v>
      </c>
      <c r="F12" s="11" t="n">
        <v>24</v>
      </c>
      <c r="G12" s="13" t="s">
        <v>42</v>
      </c>
      <c r="H12" s="11" t="n">
        <v>2110101</v>
      </c>
      <c r="I12" s="13" t="s">
        <v>43</v>
      </c>
      <c r="J12" s="11" t="n">
        <v>1049598</v>
      </c>
      <c r="L12" s="11" t="n">
        <v>31811202</v>
      </c>
      <c r="M12" s="13" t="s">
        <v>44</v>
      </c>
      <c r="N12" s="13" t="s">
        <v>36</v>
      </c>
      <c r="P12" s="11" t="n">
        <v>128</v>
      </c>
      <c r="Q12" s="13" t="s">
        <v>45</v>
      </c>
      <c r="R12" s="13" t="s">
        <v>46</v>
      </c>
      <c r="S12" s="11" t="n">
        <v>1130101</v>
      </c>
      <c r="T12" s="13" t="s">
        <v>47</v>
      </c>
      <c r="U12" s="14" t="n">
        <v>699.44</v>
      </c>
      <c r="W12" s="14" t="n">
        <v>0</v>
      </c>
      <c r="X12" s="13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49</v>
      </c>
      <c r="F13" s="11" t="n">
        <v>24</v>
      </c>
      <c r="G13" s="13" t="s">
        <v>42</v>
      </c>
      <c r="H13" s="11" t="n">
        <v>2110101</v>
      </c>
      <c r="I13" s="13" t="s">
        <v>43</v>
      </c>
      <c r="J13" s="11" t="n">
        <v>1049796</v>
      </c>
      <c r="L13" s="11" t="n">
        <v>31811222</v>
      </c>
      <c r="M13" s="13" t="s">
        <v>44</v>
      </c>
      <c r="N13" s="13" t="s">
        <v>36</v>
      </c>
      <c r="P13" s="11" t="n">
        <v>128</v>
      </c>
      <c r="Q13" s="13" t="s">
        <v>45</v>
      </c>
      <c r="R13" s="13" t="s">
        <v>46</v>
      </c>
      <c r="S13" s="11" t="n">
        <v>1130101</v>
      </c>
      <c r="T13" s="13" t="s">
        <v>47</v>
      </c>
      <c r="U13" s="14" t="n">
        <v>381</v>
      </c>
      <c r="W13" s="14" t="n">
        <v>0</v>
      </c>
      <c r="X13" s="13" t="s">
        <v>51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49</v>
      </c>
      <c r="F14" s="11" t="n">
        <v>24</v>
      </c>
      <c r="G14" s="13" t="s">
        <v>42</v>
      </c>
      <c r="H14" s="11" t="n">
        <v>2110101</v>
      </c>
      <c r="I14" s="13" t="s">
        <v>43</v>
      </c>
      <c r="J14" s="11" t="n">
        <v>1049843</v>
      </c>
      <c r="L14" s="11" t="n">
        <v>31811213</v>
      </c>
      <c r="M14" s="13" t="s">
        <v>44</v>
      </c>
      <c r="N14" s="13" t="s">
        <v>36</v>
      </c>
      <c r="P14" s="11" t="n">
        <v>128</v>
      </c>
      <c r="Q14" s="13" t="s">
        <v>45</v>
      </c>
      <c r="R14" s="13" t="s">
        <v>46</v>
      </c>
      <c r="S14" s="11" t="n">
        <v>1130101</v>
      </c>
      <c r="T14" s="13" t="s">
        <v>47</v>
      </c>
      <c r="U14" s="14" t="n">
        <v>1105.73</v>
      </c>
      <c r="W14" s="14" t="n">
        <v>0</v>
      </c>
      <c r="X14" s="13" t="s">
        <v>52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53</v>
      </c>
      <c r="F15" s="11" t="n">
        <v>24</v>
      </c>
      <c r="G15" s="13" t="s">
        <v>42</v>
      </c>
      <c r="H15" s="11" t="n">
        <v>2110101</v>
      </c>
      <c r="I15" s="13" t="s">
        <v>43</v>
      </c>
      <c r="J15" s="11" t="n">
        <v>1056506</v>
      </c>
      <c r="L15" s="11" t="n">
        <v>4428373</v>
      </c>
      <c r="M15" s="13" t="s">
        <v>44</v>
      </c>
      <c r="N15" s="13" t="s">
        <v>36</v>
      </c>
      <c r="P15" s="11" t="n">
        <v>128</v>
      </c>
      <c r="Q15" s="13" t="s">
        <v>45</v>
      </c>
      <c r="R15" s="13" t="s">
        <v>46</v>
      </c>
      <c r="S15" s="11" t="n">
        <v>1130101</v>
      </c>
      <c r="T15" s="13" t="s">
        <v>47</v>
      </c>
      <c r="U15" s="14" t="n">
        <v>2146.33</v>
      </c>
      <c r="W15" s="14" t="n">
        <v>0</v>
      </c>
      <c r="X15" s="13" t="s">
        <v>54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55</v>
      </c>
      <c r="F16" s="11" t="n">
        <v>24</v>
      </c>
      <c r="G16" s="13" t="s">
        <v>42</v>
      </c>
      <c r="H16" s="11" t="n">
        <v>2110101</v>
      </c>
      <c r="I16" s="13" t="s">
        <v>43</v>
      </c>
      <c r="J16" s="11" t="n">
        <v>1082986</v>
      </c>
      <c r="L16" s="11" t="n">
        <v>2007502</v>
      </c>
      <c r="M16" s="13" t="s">
        <v>44</v>
      </c>
      <c r="N16" s="13" t="s">
        <v>36</v>
      </c>
      <c r="P16" s="11" t="n">
        <v>128</v>
      </c>
      <c r="Q16" s="13" t="s">
        <v>45</v>
      </c>
      <c r="R16" s="13" t="s">
        <v>46</v>
      </c>
      <c r="S16" s="11" t="n">
        <v>1130101</v>
      </c>
      <c r="T16" s="13" t="s">
        <v>47</v>
      </c>
      <c r="U16" s="14" t="n">
        <v>682.65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57</v>
      </c>
      <c r="F17" s="11" t="n">
        <v>24</v>
      </c>
      <c r="G17" s="13" t="s">
        <v>42</v>
      </c>
      <c r="H17" s="11" t="n">
        <v>2110101</v>
      </c>
      <c r="I17" s="13" t="s">
        <v>43</v>
      </c>
      <c r="J17" s="11" t="n">
        <v>1083156</v>
      </c>
      <c r="L17" s="11" t="n">
        <v>5687952</v>
      </c>
      <c r="M17" s="13" t="s">
        <v>44</v>
      </c>
      <c r="N17" s="13" t="s">
        <v>36</v>
      </c>
      <c r="P17" s="11" t="n">
        <v>128</v>
      </c>
      <c r="Q17" s="13" t="s">
        <v>45</v>
      </c>
      <c r="R17" s="13" t="s">
        <v>46</v>
      </c>
      <c r="S17" s="11" t="n">
        <v>1130101</v>
      </c>
      <c r="T17" s="13" t="s">
        <v>47</v>
      </c>
      <c r="U17" s="14" t="n">
        <v>408.42</v>
      </c>
      <c r="W17" s="14" t="n">
        <v>0</v>
      </c>
      <c r="X17" s="13" t="s">
        <v>58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53</v>
      </c>
      <c r="F18" s="11" t="n">
        <v>24</v>
      </c>
      <c r="G18" s="13" t="s">
        <v>42</v>
      </c>
      <c r="H18" s="11" t="n">
        <v>2110101</v>
      </c>
      <c r="I18" s="13" t="s">
        <v>43</v>
      </c>
      <c r="J18" s="11" t="n">
        <v>1088498</v>
      </c>
      <c r="L18" s="11" t="n">
        <v>4439762</v>
      </c>
      <c r="M18" s="13" t="s">
        <v>44</v>
      </c>
      <c r="N18" s="13" t="s">
        <v>36</v>
      </c>
      <c r="P18" s="11" t="n">
        <v>128</v>
      </c>
      <c r="Q18" s="13" t="s">
        <v>45</v>
      </c>
      <c r="R18" s="13" t="s">
        <v>46</v>
      </c>
      <c r="S18" s="11" t="n">
        <v>1130101</v>
      </c>
      <c r="T18" s="13" t="s">
        <v>47</v>
      </c>
      <c r="U18" s="14" t="n">
        <v>1650.84</v>
      </c>
      <c r="W18" s="14" t="n">
        <v>0</v>
      </c>
      <c r="X18" s="13" t="s">
        <v>59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60</v>
      </c>
      <c r="F19" s="11" t="n">
        <v>24</v>
      </c>
      <c r="G19" s="13" t="s">
        <v>42</v>
      </c>
      <c r="H19" s="11" t="n">
        <v>2110101</v>
      </c>
      <c r="I19" s="13" t="s">
        <v>43</v>
      </c>
      <c r="J19" s="11" t="n">
        <v>1103116</v>
      </c>
      <c r="L19" s="11" t="n">
        <v>3011781</v>
      </c>
      <c r="M19" s="13" t="s">
        <v>44</v>
      </c>
      <c r="N19" s="13" t="s">
        <v>36</v>
      </c>
      <c r="P19" s="11" t="n">
        <v>128</v>
      </c>
      <c r="Q19" s="13" t="s">
        <v>45</v>
      </c>
      <c r="R19" s="13" t="s">
        <v>46</v>
      </c>
      <c r="S19" s="11" t="n">
        <v>1130101</v>
      </c>
      <c r="T19" s="13" t="s">
        <v>47</v>
      </c>
      <c r="U19" s="14" t="n">
        <v>763.97</v>
      </c>
      <c r="W19" s="14" t="n">
        <v>0</v>
      </c>
      <c r="X19" s="13" t="s">
        <v>61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62</v>
      </c>
      <c r="F20" s="11" t="n">
        <v>24</v>
      </c>
      <c r="G20" s="13" t="s">
        <v>42</v>
      </c>
      <c r="H20" s="11" t="n">
        <v>2110405</v>
      </c>
      <c r="I20" s="13" t="s">
        <v>34</v>
      </c>
      <c r="J20" s="11" t="n">
        <v>1118756</v>
      </c>
      <c r="L20" s="11" t="n">
        <v>116291690</v>
      </c>
      <c r="M20" s="13" t="s">
        <v>44</v>
      </c>
      <c r="N20" s="13" t="s">
        <v>36</v>
      </c>
      <c r="P20" s="11" t="n">
        <v>128</v>
      </c>
      <c r="Q20" s="13" t="s">
        <v>45</v>
      </c>
      <c r="R20" s="13" t="s">
        <v>63</v>
      </c>
      <c r="S20" s="11" t="n">
        <v>4210112</v>
      </c>
      <c r="T20" s="13" t="s">
        <v>64</v>
      </c>
      <c r="U20" s="14" t="n">
        <v>255.22</v>
      </c>
      <c r="W20" s="14" t="n">
        <v>0</v>
      </c>
      <c r="X20" s="13" t="s">
        <v>65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49</v>
      </c>
      <c r="F21" s="11" t="n">
        <v>24</v>
      </c>
      <c r="G21" s="13" t="s">
        <v>42</v>
      </c>
      <c r="H21" s="11" t="n">
        <v>2110101</v>
      </c>
      <c r="I21" s="13" t="s">
        <v>43</v>
      </c>
      <c r="J21" s="11" t="n">
        <v>1122091</v>
      </c>
      <c r="L21" s="11" t="n">
        <v>31890521</v>
      </c>
      <c r="M21" s="13" t="s">
        <v>44</v>
      </c>
      <c r="N21" s="13" t="s">
        <v>36</v>
      </c>
      <c r="P21" s="11" t="n">
        <v>128</v>
      </c>
      <c r="Q21" s="13" t="s">
        <v>45</v>
      </c>
      <c r="R21" s="13" t="s">
        <v>46</v>
      </c>
      <c r="S21" s="11" t="n">
        <v>1130101</v>
      </c>
      <c r="T21" s="13" t="s">
        <v>47</v>
      </c>
      <c r="U21" s="14" t="n">
        <v>433.12</v>
      </c>
      <c r="W21" s="14" t="n">
        <v>0</v>
      </c>
      <c r="X21" s="13" t="s">
        <v>66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67</v>
      </c>
      <c r="F22" s="11" t="n">
        <v>24</v>
      </c>
      <c r="G22" s="13" t="s">
        <v>42</v>
      </c>
      <c r="H22" s="11" t="n">
        <v>2110101</v>
      </c>
      <c r="I22" s="13" t="s">
        <v>43</v>
      </c>
      <c r="J22" s="11" t="n">
        <v>1126994</v>
      </c>
      <c r="L22" s="11" t="n">
        <v>13513141</v>
      </c>
      <c r="M22" s="13" t="s">
        <v>44</v>
      </c>
      <c r="N22" s="13" t="s">
        <v>36</v>
      </c>
      <c r="P22" s="11" t="n">
        <v>128</v>
      </c>
      <c r="Q22" s="13" t="s">
        <v>45</v>
      </c>
      <c r="R22" s="13" t="s">
        <v>46</v>
      </c>
      <c r="S22" s="11" t="n">
        <v>1130101</v>
      </c>
      <c r="T22" s="13" t="s">
        <v>47</v>
      </c>
      <c r="U22" s="14" t="n">
        <v>870</v>
      </c>
      <c r="W22" s="14" t="n">
        <v>0</v>
      </c>
      <c r="X22" s="13" t="s">
        <v>68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41</v>
      </c>
      <c r="F23" s="11" t="n">
        <v>24</v>
      </c>
      <c r="G23" s="13" t="s">
        <v>42</v>
      </c>
      <c r="H23" s="11" t="n">
        <v>2110101</v>
      </c>
      <c r="I23" s="13" t="s">
        <v>43</v>
      </c>
      <c r="J23" s="11" t="n">
        <v>1137608</v>
      </c>
      <c r="L23" s="11" t="n">
        <v>1660330</v>
      </c>
      <c r="M23" s="13" t="s">
        <v>44</v>
      </c>
      <c r="N23" s="13" t="s">
        <v>69</v>
      </c>
      <c r="P23" s="11" t="n">
        <v>128</v>
      </c>
      <c r="Q23" s="13" t="s">
        <v>45</v>
      </c>
      <c r="R23" s="13" t="s">
        <v>46</v>
      </c>
      <c r="S23" s="11" t="n">
        <v>1130101</v>
      </c>
      <c r="T23" s="13" t="s">
        <v>47</v>
      </c>
      <c r="U23" s="14" t="n">
        <v>403.2</v>
      </c>
      <c r="W23" s="14" t="n">
        <v>0</v>
      </c>
      <c r="X23" s="13" t="s">
        <v>70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71</v>
      </c>
      <c r="F24" s="11" t="n">
        <v>34</v>
      </c>
      <c r="G24" s="13" t="s">
        <v>33</v>
      </c>
      <c r="H24" s="11" t="n">
        <v>2110405</v>
      </c>
      <c r="I24" s="13" t="s">
        <v>34</v>
      </c>
      <c r="J24" s="11" t="n">
        <v>1137703</v>
      </c>
      <c r="L24" s="11" t="n">
        <v>178604</v>
      </c>
      <c r="M24" s="13" t="s">
        <v>44</v>
      </c>
      <c r="N24" s="13" t="s">
        <v>36</v>
      </c>
      <c r="P24" s="11" t="n">
        <v>101</v>
      </c>
      <c r="Q24" s="13" t="s">
        <v>37</v>
      </c>
      <c r="R24" s="13" t="s">
        <v>72</v>
      </c>
      <c r="S24" s="11" t="n">
        <v>4210319</v>
      </c>
      <c r="T24" s="13" t="s">
        <v>73</v>
      </c>
      <c r="U24" s="14" t="n">
        <v>321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  <c r="AB24" s="1"/>
      <c r="AC24" s="1"/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62</v>
      </c>
      <c r="F25" s="11" t="n">
        <v>24</v>
      </c>
      <c r="G25" s="13" t="s">
        <v>42</v>
      </c>
      <c r="H25" s="11" t="n">
        <v>2110405</v>
      </c>
      <c r="I25" s="13" t="s">
        <v>34</v>
      </c>
      <c r="J25" s="11" t="n">
        <v>1138151</v>
      </c>
      <c r="L25" s="11" t="n">
        <v>116557560</v>
      </c>
      <c r="M25" s="13" t="s">
        <v>44</v>
      </c>
      <c r="N25" s="13" t="s">
        <v>36</v>
      </c>
      <c r="P25" s="11" t="n">
        <v>128</v>
      </c>
      <c r="Q25" s="13" t="s">
        <v>45</v>
      </c>
      <c r="R25" s="13" t="s">
        <v>63</v>
      </c>
      <c r="S25" s="11" t="n">
        <v>4210112</v>
      </c>
      <c r="T25" s="13" t="s">
        <v>64</v>
      </c>
      <c r="U25" s="14" t="n">
        <v>5352.1</v>
      </c>
      <c r="W25" s="14" t="n">
        <v>0</v>
      </c>
      <c r="X25" s="13" t="s">
        <v>75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/>
      <c r="AC25" s="1"/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76</v>
      </c>
      <c r="F26" s="11" t="n">
        <v>24</v>
      </c>
      <c r="G26" s="13" t="s">
        <v>42</v>
      </c>
      <c r="H26" s="11" t="n">
        <v>2110101</v>
      </c>
      <c r="I26" s="13" t="s">
        <v>43</v>
      </c>
      <c r="J26" s="11" t="n">
        <v>1141384</v>
      </c>
      <c r="L26" s="11" t="n">
        <v>51139</v>
      </c>
      <c r="M26" s="13" t="s">
        <v>44</v>
      </c>
      <c r="N26" s="13" t="s">
        <v>36</v>
      </c>
      <c r="P26" s="11" t="n">
        <v>128</v>
      </c>
      <c r="Q26" s="13" t="s">
        <v>45</v>
      </c>
      <c r="R26" s="13" t="s">
        <v>46</v>
      </c>
      <c r="S26" s="11" t="n">
        <v>1130101</v>
      </c>
      <c r="T26" s="13" t="s">
        <v>47</v>
      </c>
      <c r="U26" s="14" t="n">
        <v>7079.5</v>
      </c>
      <c r="W26" s="14" t="n">
        <v>0</v>
      </c>
      <c r="X26" s="13" t="s">
        <v>77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78</v>
      </c>
      <c r="F27" s="11" t="n">
        <v>24</v>
      </c>
      <c r="G27" s="13" t="s">
        <v>42</v>
      </c>
      <c r="H27" s="11" t="n">
        <v>2110101</v>
      </c>
      <c r="I27" s="13" t="s">
        <v>43</v>
      </c>
      <c r="J27" s="11" t="n">
        <v>1186449</v>
      </c>
      <c r="L27" s="11" t="n">
        <v>50296187</v>
      </c>
      <c r="M27" s="13" t="s">
        <v>44</v>
      </c>
      <c r="N27" s="13" t="s">
        <v>36</v>
      </c>
      <c r="P27" s="11" t="n">
        <v>128</v>
      </c>
      <c r="Q27" s="13" t="s">
        <v>45</v>
      </c>
      <c r="R27" s="13" t="s">
        <v>46</v>
      </c>
      <c r="S27" s="11" t="n">
        <v>1130101</v>
      </c>
      <c r="T27" s="13" t="s">
        <v>47</v>
      </c>
      <c r="U27" s="14" t="n">
        <v>548.18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/>
      <c r="AC27" s="1"/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80</v>
      </c>
      <c r="F28" s="11" t="n">
        <v>13</v>
      </c>
      <c r="G28" s="13" t="s">
        <v>81</v>
      </c>
      <c r="H28" s="11" t="n">
        <v>2110101</v>
      </c>
      <c r="I28" s="13" t="s">
        <v>43</v>
      </c>
      <c r="J28" s="11" t="n">
        <v>1186773</v>
      </c>
      <c r="L28" s="11" t="n">
        <v>4219</v>
      </c>
      <c r="M28" s="13" t="s">
        <v>44</v>
      </c>
      <c r="N28" s="13" t="s">
        <v>69</v>
      </c>
      <c r="P28" s="11" t="n">
        <v>128</v>
      </c>
      <c r="Q28" s="13" t="s">
        <v>45</v>
      </c>
      <c r="R28" s="13" t="s">
        <v>46</v>
      </c>
      <c r="S28" s="11" t="n">
        <v>1130101</v>
      </c>
      <c r="T28" s="13" t="s">
        <v>47</v>
      </c>
      <c r="U28" s="14" t="n">
        <v>131</v>
      </c>
      <c r="W28" s="14" t="n">
        <v>131</v>
      </c>
      <c r="X28" s="13" t="s">
        <v>82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/>
      <c r="AC28" s="1"/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80</v>
      </c>
      <c r="F29" s="11" t="n">
        <v>13</v>
      </c>
      <c r="G29" s="13" t="s">
        <v>81</v>
      </c>
      <c r="H29" s="11" t="n">
        <v>2110101</v>
      </c>
      <c r="I29" s="13" t="s">
        <v>43</v>
      </c>
      <c r="J29" s="11" t="n">
        <v>1187033</v>
      </c>
      <c r="L29" s="11" t="n">
        <v>4220</v>
      </c>
      <c r="M29" s="13" t="s">
        <v>44</v>
      </c>
      <c r="N29" s="13" t="s">
        <v>69</v>
      </c>
      <c r="P29" s="11" t="n">
        <v>128</v>
      </c>
      <c r="Q29" s="13" t="s">
        <v>45</v>
      </c>
      <c r="R29" s="13" t="s">
        <v>46</v>
      </c>
      <c r="S29" s="11" t="n">
        <v>1130101</v>
      </c>
      <c r="T29" s="13" t="s">
        <v>47</v>
      </c>
      <c r="U29" s="14" t="n">
        <v>120</v>
      </c>
      <c r="W29" s="14" t="n">
        <v>0</v>
      </c>
      <c r="X29" s="13" t="s">
        <v>83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84</v>
      </c>
      <c r="F30" s="11" t="n">
        <v>24</v>
      </c>
      <c r="G30" s="13" t="s">
        <v>42</v>
      </c>
      <c r="H30" s="11" t="n">
        <v>2110101</v>
      </c>
      <c r="I30" s="13" t="s">
        <v>43</v>
      </c>
      <c r="J30" s="11" t="n">
        <v>1187975</v>
      </c>
      <c r="L30" s="11" t="n">
        <v>185839</v>
      </c>
      <c r="M30" s="13" t="s">
        <v>44</v>
      </c>
      <c r="N30" s="13" t="s">
        <v>36</v>
      </c>
      <c r="P30" s="11" t="n">
        <v>101</v>
      </c>
      <c r="Q30" s="13" t="s">
        <v>37</v>
      </c>
      <c r="R30" s="13" t="s">
        <v>85</v>
      </c>
      <c r="S30" s="11" t="n">
        <v>4210501</v>
      </c>
      <c r="T30" s="13" t="s">
        <v>86</v>
      </c>
      <c r="U30" s="14" t="n">
        <v>73.72</v>
      </c>
      <c r="W30" s="14" t="n">
        <v>0</v>
      </c>
      <c r="X30" s="13" t="s">
        <v>87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45</v>
      </c>
      <c r="F31" s="11" t="n">
        <v>34</v>
      </c>
      <c r="G31" s="13" t="s">
        <v>33</v>
      </c>
      <c r="H31" s="11" t="n">
        <v>2110405</v>
      </c>
      <c r="I31" s="13" t="s">
        <v>34</v>
      </c>
      <c r="J31" s="11" t="n">
        <v>1193069</v>
      </c>
      <c r="L31" s="11" t="n">
        <v>186672</v>
      </c>
      <c r="M31" s="13" t="s">
        <v>44</v>
      </c>
      <c r="N31" s="13" t="s">
        <v>36</v>
      </c>
      <c r="P31" s="11" t="n">
        <v>128</v>
      </c>
      <c r="Q31" s="13" t="s">
        <v>45</v>
      </c>
      <c r="R31" s="13" t="s">
        <v>72</v>
      </c>
      <c r="S31" s="11" t="n">
        <v>4210310</v>
      </c>
      <c r="T31" s="13" t="s">
        <v>88</v>
      </c>
      <c r="U31" s="14" t="n">
        <v>390</v>
      </c>
      <c r="W31" s="14" t="n">
        <v>0</v>
      </c>
      <c r="X31" s="13" t="s">
        <v>89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90</v>
      </c>
      <c r="F32" s="11" t="n">
        <v>34</v>
      </c>
      <c r="G32" s="13" t="s">
        <v>33</v>
      </c>
      <c r="H32" s="11" t="n">
        <v>2110405</v>
      </c>
      <c r="I32" s="13" t="s">
        <v>34</v>
      </c>
      <c r="J32" s="11" t="n">
        <v>1193080</v>
      </c>
      <c r="L32" s="11" t="n">
        <v>186673</v>
      </c>
      <c r="M32" s="13" t="s">
        <v>44</v>
      </c>
      <c r="N32" s="13" t="s">
        <v>36</v>
      </c>
      <c r="P32" s="11" t="n">
        <v>128</v>
      </c>
      <c r="Q32" s="13" t="s">
        <v>45</v>
      </c>
      <c r="R32" s="13" t="s">
        <v>72</v>
      </c>
      <c r="S32" s="11" t="n">
        <v>4210310</v>
      </c>
      <c r="T32" s="13" t="s">
        <v>88</v>
      </c>
      <c r="U32" s="14" t="n">
        <v>375</v>
      </c>
      <c r="W32" s="14" t="n">
        <v>0</v>
      </c>
      <c r="X32" s="13" t="s">
        <v>89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/>
      <c r="AC32" s="1"/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91</v>
      </c>
      <c r="F33" s="11" t="n">
        <v>34</v>
      </c>
      <c r="G33" s="13" t="s">
        <v>33</v>
      </c>
      <c r="H33" s="11" t="n">
        <v>2110405</v>
      </c>
      <c r="I33" s="13" t="s">
        <v>34</v>
      </c>
      <c r="J33" s="11" t="n">
        <v>1193095</v>
      </c>
      <c r="L33" s="11" t="n">
        <v>186675</v>
      </c>
      <c r="M33" s="13" t="s">
        <v>44</v>
      </c>
      <c r="N33" s="13" t="s">
        <v>36</v>
      </c>
      <c r="P33" s="11" t="n">
        <v>128</v>
      </c>
      <c r="Q33" s="13" t="s">
        <v>45</v>
      </c>
      <c r="R33" s="13" t="s">
        <v>72</v>
      </c>
      <c r="S33" s="11" t="n">
        <v>4210310</v>
      </c>
      <c r="T33" s="13" t="s">
        <v>88</v>
      </c>
      <c r="U33" s="14" t="n">
        <v>375</v>
      </c>
      <c r="W33" s="14" t="n">
        <v>0</v>
      </c>
      <c r="X33" s="13" t="s">
        <v>89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92</v>
      </c>
      <c r="F34" s="11" t="n">
        <v>34</v>
      </c>
      <c r="G34" s="13" t="s">
        <v>33</v>
      </c>
      <c r="H34" s="11" t="n">
        <v>2110405</v>
      </c>
      <c r="I34" s="13" t="s">
        <v>34</v>
      </c>
      <c r="J34" s="11" t="n">
        <v>1193097</v>
      </c>
      <c r="L34" s="11" t="n">
        <v>186676</v>
      </c>
      <c r="M34" s="13" t="s">
        <v>44</v>
      </c>
      <c r="N34" s="13" t="s">
        <v>36</v>
      </c>
      <c r="P34" s="11" t="n">
        <v>128</v>
      </c>
      <c r="Q34" s="13" t="s">
        <v>45</v>
      </c>
      <c r="R34" s="13" t="s">
        <v>72</v>
      </c>
      <c r="S34" s="11" t="n">
        <v>4210310</v>
      </c>
      <c r="T34" s="13" t="s">
        <v>88</v>
      </c>
      <c r="U34" s="14" t="n">
        <v>375</v>
      </c>
      <c r="W34" s="14" t="n">
        <v>0</v>
      </c>
      <c r="X34" s="13" t="s">
        <v>89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93</v>
      </c>
      <c r="F35" s="11" t="n">
        <v>34</v>
      </c>
      <c r="G35" s="13" t="s">
        <v>33</v>
      </c>
      <c r="H35" s="11" t="n">
        <v>2110405</v>
      </c>
      <c r="I35" s="13" t="s">
        <v>34</v>
      </c>
      <c r="J35" s="11" t="n">
        <v>1193103</v>
      </c>
      <c r="L35" s="11" t="n">
        <v>186678</v>
      </c>
      <c r="M35" s="13" t="s">
        <v>44</v>
      </c>
      <c r="N35" s="13" t="s">
        <v>36</v>
      </c>
      <c r="P35" s="11" t="n">
        <v>128</v>
      </c>
      <c r="Q35" s="13" t="s">
        <v>45</v>
      </c>
      <c r="R35" s="13" t="s">
        <v>72</v>
      </c>
      <c r="S35" s="11" t="n">
        <v>4210310</v>
      </c>
      <c r="T35" s="13" t="s">
        <v>88</v>
      </c>
      <c r="U35" s="14" t="n">
        <v>375</v>
      </c>
      <c r="W35" s="14" t="n">
        <v>0</v>
      </c>
      <c r="X35" s="13" t="s">
        <v>89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94</v>
      </c>
      <c r="F36" s="11" t="n">
        <v>34</v>
      </c>
      <c r="G36" s="13" t="s">
        <v>33</v>
      </c>
      <c r="H36" s="11" t="n">
        <v>2110405</v>
      </c>
      <c r="I36" s="13" t="s">
        <v>34</v>
      </c>
      <c r="J36" s="11" t="n">
        <v>1193106</v>
      </c>
      <c r="L36" s="11" t="n">
        <v>186681</v>
      </c>
      <c r="M36" s="13" t="s">
        <v>44</v>
      </c>
      <c r="N36" s="13" t="s">
        <v>36</v>
      </c>
      <c r="P36" s="11" t="n">
        <v>128</v>
      </c>
      <c r="Q36" s="13" t="s">
        <v>45</v>
      </c>
      <c r="R36" s="13" t="s">
        <v>72</v>
      </c>
      <c r="S36" s="11" t="n">
        <v>4210310</v>
      </c>
      <c r="T36" s="13" t="s">
        <v>88</v>
      </c>
      <c r="U36" s="14" t="n">
        <v>360</v>
      </c>
      <c r="W36" s="14" t="n">
        <v>0</v>
      </c>
      <c r="X36" s="13" t="s">
        <v>89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95</v>
      </c>
      <c r="F37" s="11" t="n">
        <v>34</v>
      </c>
      <c r="G37" s="13" t="s">
        <v>33</v>
      </c>
      <c r="H37" s="11" t="n">
        <v>2110405</v>
      </c>
      <c r="I37" s="13" t="s">
        <v>34</v>
      </c>
      <c r="J37" s="11" t="n">
        <v>1193108</v>
      </c>
      <c r="L37" s="11" t="n">
        <v>186682</v>
      </c>
      <c r="M37" s="13" t="s">
        <v>44</v>
      </c>
      <c r="N37" s="13" t="s">
        <v>36</v>
      </c>
      <c r="P37" s="11" t="n">
        <v>128</v>
      </c>
      <c r="Q37" s="13" t="s">
        <v>45</v>
      </c>
      <c r="R37" s="13" t="s">
        <v>72</v>
      </c>
      <c r="S37" s="11" t="n">
        <v>4210310</v>
      </c>
      <c r="T37" s="13" t="s">
        <v>88</v>
      </c>
      <c r="U37" s="14" t="n">
        <v>360</v>
      </c>
      <c r="W37" s="14" t="n">
        <v>0</v>
      </c>
      <c r="X37" s="13" t="s">
        <v>89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96</v>
      </c>
      <c r="F38" s="11" t="n">
        <v>34</v>
      </c>
      <c r="G38" s="13" t="s">
        <v>33</v>
      </c>
      <c r="H38" s="11" t="n">
        <v>2110405</v>
      </c>
      <c r="I38" s="13" t="s">
        <v>34</v>
      </c>
      <c r="J38" s="11" t="n">
        <v>1193115</v>
      </c>
      <c r="L38" s="11" t="n">
        <v>186684</v>
      </c>
      <c r="M38" s="13" t="s">
        <v>44</v>
      </c>
      <c r="N38" s="13" t="s">
        <v>36</v>
      </c>
      <c r="P38" s="11" t="n">
        <v>128</v>
      </c>
      <c r="Q38" s="13" t="s">
        <v>45</v>
      </c>
      <c r="R38" s="13" t="s">
        <v>72</v>
      </c>
      <c r="S38" s="11" t="n">
        <v>4210310</v>
      </c>
      <c r="T38" s="13" t="s">
        <v>88</v>
      </c>
      <c r="U38" s="14" t="n">
        <v>360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97</v>
      </c>
      <c r="F39" s="11" t="n">
        <v>34</v>
      </c>
      <c r="G39" s="13" t="s">
        <v>33</v>
      </c>
      <c r="H39" s="11" t="n">
        <v>2110405</v>
      </c>
      <c r="I39" s="13" t="s">
        <v>34</v>
      </c>
      <c r="J39" s="11" t="n">
        <v>1193121</v>
      </c>
      <c r="L39" s="11" t="n">
        <v>186685</v>
      </c>
      <c r="M39" s="13" t="s">
        <v>44</v>
      </c>
      <c r="N39" s="13" t="s">
        <v>36</v>
      </c>
      <c r="P39" s="11" t="n">
        <v>128</v>
      </c>
      <c r="Q39" s="13" t="s">
        <v>45</v>
      </c>
      <c r="R39" s="13" t="s">
        <v>72</v>
      </c>
      <c r="S39" s="11" t="n">
        <v>4210310</v>
      </c>
      <c r="T39" s="13" t="s">
        <v>88</v>
      </c>
      <c r="U39" s="14" t="n">
        <v>360</v>
      </c>
      <c r="W39" s="14" t="n">
        <v>0</v>
      </c>
      <c r="X39" s="13" t="s">
        <v>89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98</v>
      </c>
      <c r="F40" s="11" t="n">
        <v>34</v>
      </c>
      <c r="G40" s="13" t="s">
        <v>33</v>
      </c>
      <c r="H40" s="11" t="n">
        <v>2110405</v>
      </c>
      <c r="I40" s="13" t="s">
        <v>34</v>
      </c>
      <c r="J40" s="11" t="n">
        <v>1193126</v>
      </c>
      <c r="L40" s="11" t="n">
        <v>186686</v>
      </c>
      <c r="M40" s="13" t="s">
        <v>44</v>
      </c>
      <c r="N40" s="13" t="s">
        <v>36</v>
      </c>
      <c r="P40" s="11" t="n">
        <v>128</v>
      </c>
      <c r="Q40" s="13" t="s">
        <v>45</v>
      </c>
      <c r="R40" s="13" t="s">
        <v>72</v>
      </c>
      <c r="S40" s="11" t="n">
        <v>4210310</v>
      </c>
      <c r="T40" s="13" t="s">
        <v>88</v>
      </c>
      <c r="U40" s="14" t="n">
        <v>345</v>
      </c>
      <c r="W40" s="14" t="n">
        <v>0</v>
      </c>
      <c r="X40" s="13" t="s">
        <v>89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99</v>
      </c>
      <c r="F41" s="11" t="n">
        <v>34</v>
      </c>
      <c r="G41" s="13" t="s">
        <v>33</v>
      </c>
      <c r="H41" s="11" t="n">
        <v>2110405</v>
      </c>
      <c r="I41" s="13" t="s">
        <v>34</v>
      </c>
      <c r="J41" s="11" t="n">
        <v>1193133</v>
      </c>
      <c r="L41" s="11" t="n">
        <v>186687</v>
      </c>
      <c r="M41" s="13" t="s">
        <v>44</v>
      </c>
      <c r="N41" s="13" t="s">
        <v>36</v>
      </c>
      <c r="P41" s="11" t="n">
        <v>128</v>
      </c>
      <c r="Q41" s="13" t="s">
        <v>45</v>
      </c>
      <c r="R41" s="13" t="s">
        <v>72</v>
      </c>
      <c r="S41" s="11" t="n">
        <v>4210310</v>
      </c>
      <c r="T41" s="13" t="s">
        <v>88</v>
      </c>
      <c r="U41" s="14" t="n">
        <v>330</v>
      </c>
      <c r="W41" s="14" t="n">
        <v>0</v>
      </c>
      <c r="X41" s="13" t="s">
        <v>89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100</v>
      </c>
      <c r="F42" s="11" t="n">
        <v>34</v>
      </c>
      <c r="G42" s="13" t="s">
        <v>33</v>
      </c>
      <c r="H42" s="11" t="n">
        <v>2110405</v>
      </c>
      <c r="I42" s="13" t="s">
        <v>34</v>
      </c>
      <c r="J42" s="11" t="n">
        <v>1193137</v>
      </c>
      <c r="L42" s="11" t="n">
        <v>186689</v>
      </c>
      <c r="M42" s="13" t="s">
        <v>44</v>
      </c>
      <c r="N42" s="13" t="s">
        <v>36</v>
      </c>
      <c r="P42" s="11" t="n">
        <v>128</v>
      </c>
      <c r="Q42" s="13" t="s">
        <v>45</v>
      </c>
      <c r="R42" s="13" t="s">
        <v>72</v>
      </c>
      <c r="S42" s="11" t="n">
        <v>4210310</v>
      </c>
      <c r="T42" s="13" t="s">
        <v>88</v>
      </c>
      <c r="U42" s="14" t="n">
        <v>330</v>
      </c>
      <c r="W42" s="14" t="n">
        <v>0</v>
      </c>
      <c r="X42" s="13" t="s">
        <v>89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101</v>
      </c>
      <c r="F43" s="11" t="n">
        <v>34</v>
      </c>
      <c r="G43" s="13" t="s">
        <v>33</v>
      </c>
      <c r="H43" s="11" t="n">
        <v>2110405</v>
      </c>
      <c r="I43" s="13" t="s">
        <v>34</v>
      </c>
      <c r="J43" s="11" t="n">
        <v>1193139</v>
      </c>
      <c r="L43" s="11" t="n">
        <v>186690</v>
      </c>
      <c r="M43" s="13" t="s">
        <v>44</v>
      </c>
      <c r="N43" s="13" t="s">
        <v>36</v>
      </c>
      <c r="P43" s="11" t="n">
        <v>128</v>
      </c>
      <c r="Q43" s="13" t="s">
        <v>45</v>
      </c>
      <c r="R43" s="13" t="s">
        <v>72</v>
      </c>
      <c r="S43" s="11" t="n">
        <v>4210310</v>
      </c>
      <c r="T43" s="13" t="s">
        <v>88</v>
      </c>
      <c r="U43" s="14" t="n">
        <v>300</v>
      </c>
      <c r="W43" s="14" t="n">
        <v>0</v>
      </c>
      <c r="X43" s="13" t="s">
        <v>89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102</v>
      </c>
      <c r="F44" s="11" t="n">
        <v>34</v>
      </c>
      <c r="G44" s="13" t="s">
        <v>33</v>
      </c>
      <c r="H44" s="11" t="n">
        <v>2110405</v>
      </c>
      <c r="I44" s="13" t="s">
        <v>34</v>
      </c>
      <c r="J44" s="11" t="n">
        <v>1193142</v>
      </c>
      <c r="L44" s="11" t="n">
        <v>186691</v>
      </c>
      <c r="M44" s="13" t="s">
        <v>44</v>
      </c>
      <c r="N44" s="13" t="s">
        <v>36</v>
      </c>
      <c r="P44" s="11" t="n">
        <v>128</v>
      </c>
      <c r="Q44" s="13" t="s">
        <v>45</v>
      </c>
      <c r="R44" s="13" t="s">
        <v>72</v>
      </c>
      <c r="S44" s="11" t="n">
        <v>4210310</v>
      </c>
      <c r="T44" s="13" t="s">
        <v>88</v>
      </c>
      <c r="U44" s="14" t="n">
        <v>300</v>
      </c>
      <c r="W44" s="14" t="n">
        <v>0</v>
      </c>
      <c r="X44" s="13" t="s">
        <v>89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45</v>
      </c>
      <c r="F45" s="11" t="n">
        <v>34</v>
      </c>
      <c r="G45" s="13" t="s">
        <v>33</v>
      </c>
      <c r="H45" s="11" t="n">
        <v>2110405</v>
      </c>
      <c r="I45" s="13" t="s">
        <v>34</v>
      </c>
      <c r="J45" s="11" t="n">
        <v>1193148</v>
      </c>
      <c r="L45" s="11" t="n">
        <v>186694</v>
      </c>
      <c r="M45" s="13" t="s">
        <v>44</v>
      </c>
      <c r="N45" s="13" t="s">
        <v>36</v>
      </c>
      <c r="P45" s="11" t="n">
        <v>128</v>
      </c>
      <c r="Q45" s="13" t="s">
        <v>45</v>
      </c>
      <c r="R45" s="13" t="s">
        <v>72</v>
      </c>
      <c r="S45" s="11" t="n">
        <v>4210309</v>
      </c>
      <c r="T45" s="13" t="s">
        <v>103</v>
      </c>
      <c r="U45" s="14" t="n">
        <v>260</v>
      </c>
      <c r="W45" s="14" t="n">
        <v>0</v>
      </c>
      <c r="X45" s="13" t="s">
        <v>104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91</v>
      </c>
      <c r="F46" s="11" t="n">
        <v>34</v>
      </c>
      <c r="G46" s="13" t="s">
        <v>33</v>
      </c>
      <c r="H46" s="11" t="n">
        <v>2110405</v>
      </c>
      <c r="I46" s="13" t="s">
        <v>34</v>
      </c>
      <c r="J46" s="11" t="n">
        <v>1193154</v>
      </c>
      <c r="L46" s="11" t="n">
        <v>186695</v>
      </c>
      <c r="M46" s="13" t="s">
        <v>44</v>
      </c>
      <c r="N46" s="13" t="s">
        <v>36</v>
      </c>
      <c r="P46" s="11" t="n">
        <v>128</v>
      </c>
      <c r="Q46" s="13" t="s">
        <v>45</v>
      </c>
      <c r="R46" s="13" t="s">
        <v>72</v>
      </c>
      <c r="S46" s="11" t="n">
        <v>4210309</v>
      </c>
      <c r="T46" s="13" t="s">
        <v>103</v>
      </c>
      <c r="U46" s="14" t="n">
        <v>250</v>
      </c>
      <c r="W46" s="14" t="n">
        <v>0</v>
      </c>
      <c r="X46" s="13" t="s">
        <v>104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90</v>
      </c>
      <c r="F47" s="11" t="n">
        <v>34</v>
      </c>
      <c r="G47" s="13" t="s">
        <v>33</v>
      </c>
      <c r="H47" s="11" t="n">
        <v>2110405</v>
      </c>
      <c r="I47" s="13" t="s">
        <v>34</v>
      </c>
      <c r="J47" s="11" t="n">
        <v>1193159</v>
      </c>
      <c r="L47" s="11" t="n">
        <v>186697</v>
      </c>
      <c r="M47" s="13" t="s">
        <v>44</v>
      </c>
      <c r="N47" s="13" t="s">
        <v>36</v>
      </c>
      <c r="P47" s="11" t="n">
        <v>128</v>
      </c>
      <c r="Q47" s="13" t="s">
        <v>45</v>
      </c>
      <c r="R47" s="13" t="s">
        <v>72</v>
      </c>
      <c r="S47" s="11" t="n">
        <v>4210309</v>
      </c>
      <c r="T47" s="13" t="s">
        <v>103</v>
      </c>
      <c r="U47" s="14" t="n">
        <v>250</v>
      </c>
      <c r="W47" s="14" t="n">
        <v>0</v>
      </c>
      <c r="X47" s="13" t="s">
        <v>104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94</v>
      </c>
      <c r="F48" s="11" t="n">
        <v>34</v>
      </c>
      <c r="G48" s="13" t="s">
        <v>33</v>
      </c>
      <c r="H48" s="11" t="n">
        <v>2110405</v>
      </c>
      <c r="I48" s="13" t="s">
        <v>34</v>
      </c>
      <c r="J48" s="11" t="n">
        <v>1193161</v>
      </c>
      <c r="L48" s="11" t="n">
        <v>186698</v>
      </c>
      <c r="M48" s="13" t="s">
        <v>44</v>
      </c>
      <c r="N48" s="13" t="s">
        <v>36</v>
      </c>
      <c r="P48" s="11" t="n">
        <v>128</v>
      </c>
      <c r="Q48" s="13" t="s">
        <v>45</v>
      </c>
      <c r="R48" s="13" t="s">
        <v>72</v>
      </c>
      <c r="S48" s="11" t="n">
        <v>4210309</v>
      </c>
      <c r="T48" s="13" t="s">
        <v>103</v>
      </c>
      <c r="U48" s="14" t="n">
        <v>240</v>
      </c>
      <c r="W48" s="14" t="n">
        <v>0</v>
      </c>
      <c r="X48" s="13" t="s">
        <v>104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96</v>
      </c>
      <c r="F49" s="11" t="n">
        <v>34</v>
      </c>
      <c r="G49" s="13" t="s">
        <v>33</v>
      </c>
      <c r="H49" s="11" t="n">
        <v>2110405</v>
      </c>
      <c r="I49" s="13" t="s">
        <v>34</v>
      </c>
      <c r="J49" s="11" t="n">
        <v>1193163</v>
      </c>
      <c r="L49" s="11" t="n">
        <v>186699</v>
      </c>
      <c r="M49" s="13" t="s">
        <v>44</v>
      </c>
      <c r="N49" s="13" t="s">
        <v>36</v>
      </c>
      <c r="P49" s="11" t="n">
        <v>128</v>
      </c>
      <c r="Q49" s="13" t="s">
        <v>45</v>
      </c>
      <c r="R49" s="13" t="s">
        <v>72</v>
      </c>
      <c r="S49" s="11" t="n">
        <v>4210309</v>
      </c>
      <c r="T49" s="13" t="s">
        <v>103</v>
      </c>
      <c r="U49" s="14" t="n">
        <v>240</v>
      </c>
      <c r="W49" s="14" t="n">
        <v>0</v>
      </c>
      <c r="X49" s="13" t="s">
        <v>104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99</v>
      </c>
      <c r="F50" s="11" t="n">
        <v>34</v>
      </c>
      <c r="G50" s="13" t="s">
        <v>33</v>
      </c>
      <c r="H50" s="11" t="n">
        <v>2110405</v>
      </c>
      <c r="I50" s="13" t="s">
        <v>34</v>
      </c>
      <c r="J50" s="11" t="n">
        <v>1193165</v>
      </c>
      <c r="L50" s="11" t="n">
        <v>186700</v>
      </c>
      <c r="M50" s="13" t="s">
        <v>44</v>
      </c>
      <c r="N50" s="13" t="s">
        <v>36</v>
      </c>
      <c r="P50" s="11" t="n">
        <v>128</v>
      </c>
      <c r="Q50" s="13" t="s">
        <v>45</v>
      </c>
      <c r="R50" s="13" t="s">
        <v>72</v>
      </c>
      <c r="S50" s="11" t="n">
        <v>4210309</v>
      </c>
      <c r="T50" s="13" t="s">
        <v>103</v>
      </c>
      <c r="U50" s="14" t="n">
        <v>230</v>
      </c>
      <c r="W50" s="14" t="n">
        <v>0</v>
      </c>
      <c r="X50" s="13" t="s">
        <v>104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105</v>
      </c>
      <c r="F51" s="11" t="n">
        <v>34</v>
      </c>
      <c r="G51" s="13" t="s">
        <v>33</v>
      </c>
      <c r="H51" s="11" t="n">
        <v>2110405</v>
      </c>
      <c r="I51" s="13" t="s">
        <v>34</v>
      </c>
      <c r="J51" s="11" t="n">
        <v>1197922</v>
      </c>
      <c r="L51" s="11" t="n">
        <v>187449</v>
      </c>
      <c r="M51" s="13" t="s">
        <v>44</v>
      </c>
      <c r="N51" s="13" t="s">
        <v>36</v>
      </c>
      <c r="P51" s="11" t="n">
        <v>101</v>
      </c>
      <c r="Q51" s="13" t="s">
        <v>37</v>
      </c>
      <c r="R51" s="13" t="s">
        <v>85</v>
      </c>
      <c r="S51" s="11" t="n">
        <v>4210508</v>
      </c>
      <c r="T51" s="13" t="s">
        <v>106</v>
      </c>
      <c r="U51" s="14" t="n">
        <v>151.61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108</v>
      </c>
      <c r="F52" s="11" t="n">
        <v>24</v>
      </c>
      <c r="G52" s="13" t="s">
        <v>42</v>
      </c>
      <c r="H52" s="11" t="n">
        <v>2110405</v>
      </c>
      <c r="I52" s="13" t="s">
        <v>34</v>
      </c>
      <c r="J52" s="11" t="n">
        <v>1198073</v>
      </c>
      <c r="L52" s="11" t="n">
        <v>187463</v>
      </c>
      <c r="M52" s="13" t="s">
        <v>44</v>
      </c>
      <c r="N52" s="13" t="s">
        <v>36</v>
      </c>
      <c r="P52" s="11" t="n">
        <v>101</v>
      </c>
      <c r="Q52" s="13" t="s">
        <v>37</v>
      </c>
      <c r="R52" s="13" t="s">
        <v>109</v>
      </c>
      <c r="S52" s="11" t="n">
        <v>1240203</v>
      </c>
      <c r="T52" s="13" t="s">
        <v>110</v>
      </c>
      <c r="U52" s="14" t="n">
        <v>404.78</v>
      </c>
      <c r="W52" s="14" t="n">
        <v>0</v>
      </c>
      <c r="X52" s="13" t="s">
        <v>111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112</v>
      </c>
      <c r="F53" s="11" t="n">
        <v>13</v>
      </c>
      <c r="G53" s="13" t="s">
        <v>81</v>
      </c>
      <c r="H53" s="11" t="n">
        <v>2110101</v>
      </c>
      <c r="I53" s="13" t="s">
        <v>43</v>
      </c>
      <c r="J53" s="11" t="n">
        <v>1196383</v>
      </c>
      <c r="L53" s="11" t="n">
        <v>677</v>
      </c>
      <c r="M53" s="13" t="s">
        <v>44</v>
      </c>
      <c r="N53" s="13" t="s">
        <v>69</v>
      </c>
      <c r="P53" s="11" t="n">
        <v>128</v>
      </c>
      <c r="Q53" s="13" t="s">
        <v>45</v>
      </c>
      <c r="R53" s="13" t="s">
        <v>46</v>
      </c>
      <c r="S53" s="11" t="n">
        <v>1130101</v>
      </c>
      <c r="T53" s="13" t="s">
        <v>47</v>
      </c>
      <c r="U53" s="14" t="n">
        <v>270</v>
      </c>
      <c r="W53" s="14" t="n">
        <v>270</v>
      </c>
      <c r="X53" s="13" t="s">
        <v>83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113</v>
      </c>
      <c r="F54" s="11" t="n">
        <v>24</v>
      </c>
      <c r="G54" s="13" t="s">
        <v>42</v>
      </c>
      <c r="H54" s="11" t="n">
        <v>2110101</v>
      </c>
      <c r="I54" s="13" t="s">
        <v>43</v>
      </c>
      <c r="J54" s="11" t="n">
        <v>1088367</v>
      </c>
      <c r="L54" s="11" t="n">
        <v>2093822</v>
      </c>
      <c r="M54" s="13" t="s">
        <v>44</v>
      </c>
      <c r="N54" s="13" t="s">
        <v>36</v>
      </c>
      <c r="P54" s="11" t="n">
        <v>128</v>
      </c>
      <c r="Q54" s="13" t="s">
        <v>45</v>
      </c>
      <c r="R54" s="13" t="s">
        <v>46</v>
      </c>
      <c r="S54" s="11" t="n">
        <v>1130101</v>
      </c>
      <c r="T54" s="13" t="s">
        <v>47</v>
      </c>
      <c r="U54" s="14" t="n">
        <v>382.15</v>
      </c>
      <c r="W54" s="14" t="n">
        <v>0</v>
      </c>
      <c r="X54" s="13" t="s">
        <v>114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60</v>
      </c>
      <c r="F55" s="11" t="n">
        <v>24</v>
      </c>
      <c r="G55" s="13" t="s">
        <v>42</v>
      </c>
      <c r="H55" s="11" t="n">
        <v>2110101</v>
      </c>
      <c r="I55" s="13" t="s">
        <v>43</v>
      </c>
      <c r="J55" s="11" t="n">
        <v>1097614</v>
      </c>
      <c r="L55" s="11" t="n">
        <v>3010142</v>
      </c>
      <c r="M55" s="13" t="s">
        <v>44</v>
      </c>
      <c r="N55" s="13" t="s">
        <v>36</v>
      </c>
      <c r="P55" s="11" t="n">
        <v>128</v>
      </c>
      <c r="Q55" s="13" t="s">
        <v>45</v>
      </c>
      <c r="R55" s="13" t="s">
        <v>46</v>
      </c>
      <c r="S55" s="11" t="n">
        <v>1130101</v>
      </c>
      <c r="T55" s="13" t="s">
        <v>47</v>
      </c>
      <c r="U55" s="14" t="n">
        <v>674.45</v>
      </c>
      <c r="W55" s="14" t="n">
        <v>0</v>
      </c>
      <c r="X55" s="13" t="s">
        <v>115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116</v>
      </c>
      <c r="F56" s="11" t="n">
        <v>24</v>
      </c>
      <c r="G56" s="13" t="s">
        <v>42</v>
      </c>
      <c r="H56" s="11" t="n">
        <v>2110405</v>
      </c>
      <c r="I56" s="13" t="s">
        <v>34</v>
      </c>
      <c r="J56" s="11" t="n">
        <v>1121648</v>
      </c>
      <c r="L56" s="11" t="n">
        <v>162051141</v>
      </c>
      <c r="M56" s="13" t="s">
        <v>44</v>
      </c>
      <c r="N56" s="13" t="s">
        <v>36</v>
      </c>
      <c r="P56" s="11" t="n">
        <v>128</v>
      </c>
      <c r="Q56" s="13" t="s">
        <v>45</v>
      </c>
      <c r="R56" s="13" t="s">
        <v>38</v>
      </c>
      <c r="S56" s="11" t="n">
        <v>4210207</v>
      </c>
      <c r="T56" s="13" t="s">
        <v>117</v>
      </c>
      <c r="U56" s="14" t="n">
        <v>337.29</v>
      </c>
      <c r="W56" s="14" t="n">
        <v>0</v>
      </c>
      <c r="X56" s="13" t="s">
        <v>118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76</v>
      </c>
      <c r="F57" s="11" t="n">
        <v>24</v>
      </c>
      <c r="G57" s="13" t="s">
        <v>42</v>
      </c>
      <c r="H57" s="11" t="n">
        <v>2110101</v>
      </c>
      <c r="I57" s="13" t="s">
        <v>43</v>
      </c>
      <c r="J57" s="11" t="n">
        <v>1150739</v>
      </c>
      <c r="L57" s="11" t="n">
        <v>51220</v>
      </c>
      <c r="M57" s="13" t="s">
        <v>44</v>
      </c>
      <c r="N57" s="13" t="s">
        <v>36</v>
      </c>
      <c r="P57" s="11" t="n">
        <v>128</v>
      </c>
      <c r="Q57" s="13" t="s">
        <v>45</v>
      </c>
      <c r="R57" s="13" t="s">
        <v>46</v>
      </c>
      <c r="S57" s="11" t="n">
        <v>1130101</v>
      </c>
      <c r="T57" s="13" t="s">
        <v>47</v>
      </c>
      <c r="U57" s="14" t="n">
        <v>1300.75</v>
      </c>
      <c r="W57" s="14" t="n">
        <v>0</v>
      </c>
      <c r="X57" s="13" t="s">
        <v>119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120</v>
      </c>
      <c r="F58" s="11" t="n">
        <v>24</v>
      </c>
      <c r="G58" s="13" t="s">
        <v>42</v>
      </c>
      <c r="H58" s="11" t="n">
        <v>2110101</v>
      </c>
      <c r="I58" s="13" t="s">
        <v>43</v>
      </c>
      <c r="J58" s="11" t="n">
        <v>1157469</v>
      </c>
      <c r="L58" s="11" t="n">
        <v>17471</v>
      </c>
      <c r="M58" s="13" t="s">
        <v>44</v>
      </c>
      <c r="N58" s="13" t="s">
        <v>69</v>
      </c>
      <c r="P58" s="11" t="n">
        <v>128</v>
      </c>
      <c r="Q58" s="13" t="s">
        <v>45</v>
      </c>
      <c r="R58" s="13" t="s">
        <v>46</v>
      </c>
      <c r="S58" s="11" t="n">
        <v>1130101</v>
      </c>
      <c r="T58" s="13" t="s">
        <v>47</v>
      </c>
      <c r="U58" s="14" t="n">
        <v>248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122</v>
      </c>
      <c r="F59" s="11" t="n">
        <v>24</v>
      </c>
      <c r="G59" s="13" t="s">
        <v>42</v>
      </c>
      <c r="H59" s="11" t="n">
        <v>2110101</v>
      </c>
      <c r="I59" s="13" t="s">
        <v>43</v>
      </c>
      <c r="J59" s="11" t="n">
        <v>1157871</v>
      </c>
      <c r="L59" s="11" t="n">
        <v>11365217</v>
      </c>
      <c r="M59" s="13" t="s">
        <v>44</v>
      </c>
      <c r="N59" s="13" t="s">
        <v>36</v>
      </c>
      <c r="P59" s="11" t="n">
        <v>128</v>
      </c>
      <c r="Q59" s="13" t="s">
        <v>45</v>
      </c>
      <c r="R59" s="13" t="s">
        <v>46</v>
      </c>
      <c r="S59" s="11" t="n">
        <v>1130101</v>
      </c>
      <c r="T59" s="13" t="s">
        <v>47</v>
      </c>
      <c r="U59" s="14" t="n">
        <v>1490.29</v>
      </c>
      <c r="W59" s="14" t="n">
        <v>0</v>
      </c>
      <c r="X59" s="13" t="s">
        <v>123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122</v>
      </c>
      <c r="F60" s="11" t="n">
        <v>24</v>
      </c>
      <c r="G60" s="13" t="s">
        <v>42</v>
      </c>
      <c r="H60" s="11" t="n">
        <v>2110101</v>
      </c>
      <c r="I60" s="13" t="s">
        <v>43</v>
      </c>
      <c r="J60" s="11" t="n">
        <v>1157888</v>
      </c>
      <c r="L60" s="11" t="n">
        <v>18483835</v>
      </c>
      <c r="M60" s="13" t="s">
        <v>44</v>
      </c>
      <c r="N60" s="13" t="s">
        <v>36</v>
      </c>
      <c r="P60" s="11" t="n">
        <v>128</v>
      </c>
      <c r="Q60" s="13" t="s">
        <v>45</v>
      </c>
      <c r="R60" s="13" t="s">
        <v>46</v>
      </c>
      <c r="S60" s="11" t="n">
        <v>1130101</v>
      </c>
      <c r="T60" s="13" t="s">
        <v>47</v>
      </c>
      <c r="U60" s="14" t="n">
        <v>2606.47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125</v>
      </c>
      <c r="F61" s="11" t="n">
        <v>24</v>
      </c>
      <c r="G61" s="13" t="s">
        <v>42</v>
      </c>
      <c r="H61" s="11" t="n">
        <v>2110101</v>
      </c>
      <c r="I61" s="13" t="s">
        <v>43</v>
      </c>
      <c r="J61" s="11" t="n">
        <v>1162230</v>
      </c>
      <c r="L61" s="11" t="n">
        <v>2523502</v>
      </c>
      <c r="M61" s="13" t="s">
        <v>44</v>
      </c>
      <c r="N61" s="13" t="s">
        <v>36</v>
      </c>
      <c r="P61" s="11" t="n">
        <v>128</v>
      </c>
      <c r="Q61" s="13" t="s">
        <v>45</v>
      </c>
      <c r="R61" s="13" t="s">
        <v>46</v>
      </c>
      <c r="S61" s="11" t="n">
        <v>1130101</v>
      </c>
      <c r="T61" s="13" t="s">
        <v>47</v>
      </c>
      <c r="U61" s="14" t="n">
        <v>330</v>
      </c>
      <c r="W61" s="14" t="n">
        <v>0</v>
      </c>
      <c r="X61" s="13" t="s">
        <v>126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127</v>
      </c>
      <c r="F62" s="11" t="n">
        <v>24</v>
      </c>
      <c r="G62" s="13" t="s">
        <v>42</v>
      </c>
      <c r="H62" s="11" t="n">
        <v>2110101</v>
      </c>
      <c r="I62" s="13" t="s">
        <v>43</v>
      </c>
      <c r="J62" s="11" t="n">
        <v>1165912</v>
      </c>
      <c r="L62" s="11" t="n">
        <v>276681</v>
      </c>
      <c r="M62" s="13" t="s">
        <v>44</v>
      </c>
      <c r="N62" s="13" t="s">
        <v>36</v>
      </c>
      <c r="P62" s="11" t="n">
        <v>128</v>
      </c>
      <c r="Q62" s="13" t="s">
        <v>45</v>
      </c>
      <c r="R62" s="13" t="s">
        <v>46</v>
      </c>
      <c r="S62" s="11" t="n">
        <v>1130101</v>
      </c>
      <c r="T62" s="13" t="s">
        <v>47</v>
      </c>
      <c r="U62" s="14" t="n">
        <v>294.01</v>
      </c>
      <c r="W62" s="14" t="n">
        <v>0</v>
      </c>
      <c r="X62" s="13" t="s">
        <v>128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80</v>
      </c>
      <c r="F63" s="11" t="n">
        <v>34</v>
      </c>
      <c r="G63" s="13" t="s">
        <v>33</v>
      </c>
      <c r="H63" s="11" t="n">
        <v>2110101</v>
      </c>
      <c r="I63" s="13" t="s">
        <v>43</v>
      </c>
      <c r="J63" s="11" t="n">
        <v>1172215</v>
      </c>
      <c r="L63" s="11" t="n">
        <v>4210</v>
      </c>
      <c r="M63" s="13" t="s">
        <v>44</v>
      </c>
      <c r="N63" s="13" t="s">
        <v>69</v>
      </c>
      <c r="P63" s="11" t="n">
        <v>128</v>
      </c>
      <c r="Q63" s="13" t="s">
        <v>45</v>
      </c>
      <c r="R63" s="13" t="s">
        <v>46</v>
      </c>
      <c r="S63" s="11" t="n">
        <v>1130101</v>
      </c>
      <c r="T63" s="13" t="s">
        <v>47</v>
      </c>
      <c r="U63" s="14" t="n">
        <v>2541</v>
      </c>
      <c r="W63" s="14" t="n">
        <v>0</v>
      </c>
      <c r="X63" s="13" t="s">
        <v>129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130</v>
      </c>
      <c r="F64" s="11" t="n">
        <v>34</v>
      </c>
      <c r="G64" s="13" t="s">
        <v>33</v>
      </c>
      <c r="H64" s="11" t="n">
        <v>2110101</v>
      </c>
      <c r="I64" s="13" t="s">
        <v>43</v>
      </c>
      <c r="J64" s="11" t="n">
        <v>1172219</v>
      </c>
      <c r="L64" s="11" t="n">
        <v>14588</v>
      </c>
      <c r="M64" s="13" t="s">
        <v>44</v>
      </c>
      <c r="N64" s="13" t="s">
        <v>69</v>
      </c>
      <c r="P64" s="11" t="n">
        <v>128</v>
      </c>
      <c r="Q64" s="13" t="s">
        <v>45</v>
      </c>
      <c r="R64" s="13" t="s">
        <v>46</v>
      </c>
      <c r="S64" s="11" t="n">
        <v>1130101</v>
      </c>
      <c r="T64" s="13" t="s">
        <v>47</v>
      </c>
      <c r="U64" s="14" t="n">
        <v>560</v>
      </c>
      <c r="W64" s="14" t="n">
        <v>0</v>
      </c>
      <c r="X64" s="13" t="s">
        <v>131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130</v>
      </c>
      <c r="F65" s="11" t="n">
        <v>34</v>
      </c>
      <c r="G65" s="13" t="s">
        <v>33</v>
      </c>
      <c r="H65" s="11" t="n">
        <v>2110101</v>
      </c>
      <c r="I65" s="13" t="s">
        <v>43</v>
      </c>
      <c r="J65" s="11" t="n">
        <v>1172223</v>
      </c>
      <c r="L65" s="11" t="n">
        <v>183618</v>
      </c>
      <c r="M65" s="13" t="s">
        <v>44</v>
      </c>
      <c r="N65" s="13" t="s">
        <v>36</v>
      </c>
      <c r="P65" s="11" t="n">
        <v>128</v>
      </c>
      <c r="Q65" s="13" t="s">
        <v>45</v>
      </c>
      <c r="R65" s="13" t="s">
        <v>46</v>
      </c>
      <c r="S65" s="11" t="n">
        <v>1130101</v>
      </c>
      <c r="T65" s="13" t="s">
        <v>47</v>
      </c>
      <c r="U65" s="14" t="n">
        <v>316</v>
      </c>
      <c r="W65" s="14" t="n">
        <v>0</v>
      </c>
      <c r="X65" s="13" t="s">
        <v>132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133</v>
      </c>
      <c r="F66" s="11" t="n">
        <v>34</v>
      </c>
      <c r="G66" s="13" t="s">
        <v>33</v>
      </c>
      <c r="H66" s="11" t="n">
        <v>2110101</v>
      </c>
      <c r="I66" s="13" t="s">
        <v>43</v>
      </c>
      <c r="J66" s="11" t="n">
        <v>1186487</v>
      </c>
      <c r="L66" s="11" t="n">
        <v>5915</v>
      </c>
      <c r="M66" s="13" t="s">
        <v>44</v>
      </c>
      <c r="N66" s="13" t="s">
        <v>69</v>
      </c>
      <c r="P66" s="11" t="n">
        <v>128</v>
      </c>
      <c r="Q66" s="13" t="s">
        <v>45</v>
      </c>
      <c r="R66" s="13" t="s">
        <v>46</v>
      </c>
      <c r="S66" s="11" t="n">
        <v>1130101</v>
      </c>
      <c r="T66" s="13" t="s">
        <v>47</v>
      </c>
      <c r="U66" s="14" t="n">
        <v>180</v>
      </c>
      <c r="W66" s="14" t="n">
        <v>0</v>
      </c>
      <c r="X66" s="13" t="s">
        <v>134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135</v>
      </c>
      <c r="F67" s="11" t="n">
        <v>24</v>
      </c>
      <c r="G67" s="13" t="s">
        <v>42</v>
      </c>
      <c r="H67" s="11" t="n">
        <v>2110101</v>
      </c>
      <c r="I67" s="13" t="s">
        <v>43</v>
      </c>
      <c r="J67" s="11" t="n">
        <v>1186513</v>
      </c>
      <c r="L67" s="11" t="n">
        <v>478</v>
      </c>
      <c r="M67" s="13" t="s">
        <v>44</v>
      </c>
      <c r="N67" s="13" t="s">
        <v>69</v>
      </c>
      <c r="P67" s="11" t="n">
        <v>128</v>
      </c>
      <c r="Q67" s="13" t="s">
        <v>45</v>
      </c>
      <c r="R67" s="13" t="s">
        <v>46</v>
      </c>
      <c r="S67" s="11" t="n">
        <v>1130101</v>
      </c>
      <c r="T67" s="13" t="s">
        <v>47</v>
      </c>
      <c r="U67" s="14" t="n">
        <v>240</v>
      </c>
      <c r="W67" s="14" t="n">
        <v>0</v>
      </c>
      <c r="X67" s="13" t="s">
        <v>136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DAN GELO CUBO 5 KG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80</v>
      </c>
      <c r="F68" s="11" t="n">
        <v>13</v>
      </c>
      <c r="G68" s="13" t="s">
        <v>81</v>
      </c>
      <c r="H68" s="11" t="n">
        <v>2110101</v>
      </c>
      <c r="I68" s="13" t="s">
        <v>43</v>
      </c>
      <c r="J68" s="11" t="n">
        <v>1191222</v>
      </c>
      <c r="L68" s="11" t="n">
        <v>4222</v>
      </c>
      <c r="M68" s="13" t="s">
        <v>44</v>
      </c>
      <c r="N68" s="13" t="s">
        <v>69</v>
      </c>
      <c r="P68" s="11" t="n">
        <v>128</v>
      </c>
      <c r="Q68" s="13" t="s">
        <v>45</v>
      </c>
      <c r="R68" s="13" t="s">
        <v>46</v>
      </c>
      <c r="S68" s="11" t="n">
        <v>1130101</v>
      </c>
      <c r="T68" s="13" t="s">
        <v>47</v>
      </c>
      <c r="U68" s="14" t="n">
        <v>205</v>
      </c>
      <c r="W68" s="14" t="n">
        <v>205</v>
      </c>
      <c r="X68" s="13" t="s">
        <v>137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138</v>
      </c>
      <c r="F69" s="11" t="n">
        <v>34</v>
      </c>
      <c r="G69" s="13" t="s">
        <v>33</v>
      </c>
      <c r="H69" s="11" t="n">
        <v>2110405</v>
      </c>
      <c r="I69" s="13" t="s">
        <v>34</v>
      </c>
      <c r="J69" s="11" t="n">
        <v>1191994</v>
      </c>
      <c r="L69" s="11" t="n">
        <v>186469</v>
      </c>
      <c r="M69" s="13" t="s">
        <v>44</v>
      </c>
      <c r="N69" s="13" t="s">
        <v>36</v>
      </c>
      <c r="P69" s="11" t="n">
        <v>101</v>
      </c>
      <c r="Q69" s="13" t="s">
        <v>37</v>
      </c>
      <c r="R69" s="13" t="s">
        <v>139</v>
      </c>
      <c r="S69" s="11" t="n">
        <v>2110901</v>
      </c>
      <c r="T69" s="13" t="s">
        <v>140</v>
      </c>
      <c r="U69" s="14" t="n">
        <v>4127.78</v>
      </c>
      <c r="W69" s="14" t="n">
        <v>0</v>
      </c>
      <c r="X69" s="13" t="s">
        <v>141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105</v>
      </c>
      <c r="F70" s="11" t="n">
        <v>34</v>
      </c>
      <c r="G70" s="13" t="s">
        <v>33</v>
      </c>
      <c r="H70" s="11" t="n">
        <v>2110405</v>
      </c>
      <c r="I70" s="13" t="s">
        <v>34</v>
      </c>
      <c r="J70" s="11" t="n">
        <v>1198148</v>
      </c>
      <c r="L70" s="11" t="n">
        <v>187469</v>
      </c>
      <c r="M70" s="13" t="s">
        <v>44</v>
      </c>
      <c r="N70" s="13" t="s">
        <v>36</v>
      </c>
      <c r="P70" s="11" t="n">
        <v>101</v>
      </c>
      <c r="Q70" s="13" t="s">
        <v>37</v>
      </c>
      <c r="R70" s="13" t="s">
        <v>85</v>
      </c>
      <c r="S70" s="11" t="n">
        <v>4210504</v>
      </c>
      <c r="T70" s="13" t="s">
        <v>142</v>
      </c>
      <c r="U70" s="14" t="n">
        <v>855.17</v>
      </c>
      <c r="W70" s="14" t="n">
        <v>0</v>
      </c>
      <c r="X70" s="13" t="s">
        <v>143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105</v>
      </c>
      <c r="F71" s="11" t="n">
        <v>34</v>
      </c>
      <c r="G71" s="13" t="s">
        <v>33</v>
      </c>
      <c r="H71" s="11" t="n">
        <v>4210504</v>
      </c>
      <c r="I71" s="13" t="s">
        <v>142</v>
      </c>
      <c r="J71" s="11" t="n">
        <v>1198152</v>
      </c>
      <c r="L71" s="11" t="n">
        <v>187470</v>
      </c>
      <c r="M71" s="13" t="s">
        <v>44</v>
      </c>
      <c r="N71" s="13" t="s">
        <v>36</v>
      </c>
      <c r="P71" s="11" t="n">
        <v>101</v>
      </c>
      <c r="Q71" s="13" t="s">
        <v>37</v>
      </c>
      <c r="R71" s="13" t="s">
        <v>85</v>
      </c>
      <c r="S71" s="11" t="n">
        <v>4210505</v>
      </c>
      <c r="T71" s="13" t="s">
        <v>144</v>
      </c>
      <c r="U71" s="14" t="n">
        <v>210.58</v>
      </c>
      <c r="W71" s="14" t="n">
        <v>0</v>
      </c>
      <c r="X71" s="13" t="s">
        <v>145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105</v>
      </c>
      <c r="F72" s="11" t="n">
        <v>34</v>
      </c>
      <c r="G72" s="13" t="s">
        <v>33</v>
      </c>
      <c r="H72" s="11" t="n">
        <v>4210504</v>
      </c>
      <c r="I72" s="13" t="s">
        <v>142</v>
      </c>
      <c r="J72" s="11" t="n">
        <v>1198156</v>
      </c>
      <c r="L72" s="11" t="n">
        <v>187472</v>
      </c>
      <c r="M72" s="13" t="s">
        <v>44</v>
      </c>
      <c r="N72" s="13" t="s">
        <v>36</v>
      </c>
      <c r="P72" s="11" t="n">
        <v>101</v>
      </c>
      <c r="Q72" s="13" t="s">
        <v>37</v>
      </c>
      <c r="R72" s="13" t="s">
        <v>85</v>
      </c>
      <c r="S72" s="11" t="n">
        <v>4210505</v>
      </c>
      <c r="T72" s="13" t="s">
        <v>144</v>
      </c>
      <c r="U72" s="14" t="n">
        <v>57.5</v>
      </c>
      <c r="W72" s="14" t="n">
        <v>0</v>
      </c>
      <c r="X72" s="13" t="s">
        <v>146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105</v>
      </c>
      <c r="F73" s="11" t="n">
        <v>34</v>
      </c>
      <c r="G73" s="13" t="s">
        <v>33</v>
      </c>
      <c r="H73" s="11" t="n">
        <v>2110405</v>
      </c>
      <c r="I73" s="13" t="s">
        <v>34</v>
      </c>
      <c r="J73" s="11" t="n">
        <v>1198158</v>
      </c>
      <c r="L73" s="11" t="n">
        <v>187473</v>
      </c>
      <c r="M73" s="13" t="s">
        <v>44</v>
      </c>
      <c r="N73" s="13" t="s">
        <v>36</v>
      </c>
      <c r="P73" s="11" t="n">
        <v>101</v>
      </c>
      <c r="Q73" s="13" t="s">
        <v>37</v>
      </c>
      <c r="R73" s="13" t="s">
        <v>85</v>
      </c>
      <c r="S73" s="11" t="n">
        <v>4210504</v>
      </c>
      <c r="T73" s="13" t="s">
        <v>142</v>
      </c>
      <c r="U73" s="14" t="n">
        <v>17.71</v>
      </c>
      <c r="W73" s="14" t="n">
        <v>0</v>
      </c>
      <c r="X73" s="13" t="s">
        <v>147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105</v>
      </c>
      <c r="F74" s="11" t="n">
        <v>34</v>
      </c>
      <c r="G74" s="13" t="s">
        <v>33</v>
      </c>
      <c r="H74" s="11" t="n">
        <v>4210504</v>
      </c>
      <c r="I74" s="13" t="s">
        <v>142</v>
      </c>
      <c r="J74" s="11" t="n">
        <v>1198174</v>
      </c>
      <c r="L74" s="11" t="n">
        <v>187476</v>
      </c>
      <c r="M74" s="13" t="s">
        <v>44</v>
      </c>
      <c r="N74" s="13" t="s">
        <v>36</v>
      </c>
      <c r="P74" s="11" t="n">
        <v>101</v>
      </c>
      <c r="Q74" s="13" t="s">
        <v>37</v>
      </c>
      <c r="R74" s="13" t="s">
        <v>85</v>
      </c>
      <c r="S74" s="11" t="n">
        <v>4210505</v>
      </c>
      <c r="T74" s="13" t="s">
        <v>144</v>
      </c>
      <c r="U74" s="14" t="n">
        <v>146.39</v>
      </c>
      <c r="W74" s="14" t="n">
        <v>0</v>
      </c>
      <c r="X74" s="13" t="s">
        <v>148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149</v>
      </c>
      <c r="F75" s="11" t="n">
        <v>24</v>
      </c>
      <c r="G75" s="13" t="s">
        <v>42</v>
      </c>
      <c r="H75" s="11" t="n">
        <v>2110101</v>
      </c>
      <c r="I75" s="13" t="s">
        <v>43</v>
      </c>
      <c r="J75" s="11" t="n">
        <v>1092612</v>
      </c>
      <c r="L75" s="11" t="n">
        <v>3619495</v>
      </c>
      <c r="M75" s="13" t="s">
        <v>150</v>
      </c>
      <c r="N75" s="13" t="s">
        <v>69</v>
      </c>
      <c r="P75" s="11" t="n">
        <v>129</v>
      </c>
      <c r="Q75" s="13" t="s">
        <v>102</v>
      </c>
      <c r="R75" s="13" t="s">
        <v>46</v>
      </c>
      <c r="S75" s="11" t="n">
        <v>1130101</v>
      </c>
      <c r="T75" s="13" t="s">
        <v>47</v>
      </c>
      <c r="U75" s="14" t="n">
        <v>676</v>
      </c>
      <c r="W75" s="14" t="n">
        <v>0</v>
      </c>
      <c r="X75" s="13" t="s">
        <v>151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152</v>
      </c>
      <c r="F76" s="11" t="n">
        <v>24</v>
      </c>
      <c r="G76" s="13" t="s">
        <v>42</v>
      </c>
      <c r="H76" s="11" t="n">
        <v>2110101</v>
      </c>
      <c r="I76" s="13" t="s">
        <v>43</v>
      </c>
      <c r="J76" s="11" t="n">
        <v>1092650</v>
      </c>
      <c r="L76" s="11" t="n">
        <v>7792</v>
      </c>
      <c r="M76" s="13" t="s">
        <v>44</v>
      </c>
      <c r="N76" s="13" t="s">
        <v>69</v>
      </c>
      <c r="P76" s="11" t="n">
        <v>129</v>
      </c>
      <c r="Q76" s="13" t="s">
        <v>102</v>
      </c>
      <c r="R76" s="13" t="s">
        <v>46</v>
      </c>
      <c r="S76" s="11" t="n">
        <v>1130101</v>
      </c>
      <c r="T76" s="13" t="s">
        <v>47</v>
      </c>
      <c r="U76" s="14" t="n">
        <v>350.29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41</v>
      </c>
      <c r="F77" s="11" t="n">
        <v>24</v>
      </c>
      <c r="G77" s="13" t="s">
        <v>42</v>
      </c>
      <c r="H77" s="11" t="n">
        <v>2110101</v>
      </c>
      <c r="I77" s="13" t="s">
        <v>43</v>
      </c>
      <c r="J77" s="11" t="n">
        <v>1054162</v>
      </c>
      <c r="L77" s="11" t="n">
        <v>16489752</v>
      </c>
      <c r="M77" s="13" t="s">
        <v>44</v>
      </c>
      <c r="N77" s="13" t="s">
        <v>36</v>
      </c>
      <c r="P77" s="11" t="n">
        <v>128</v>
      </c>
      <c r="Q77" s="13" t="s">
        <v>45</v>
      </c>
      <c r="R77" s="13" t="s">
        <v>46</v>
      </c>
      <c r="S77" s="11" t="n">
        <v>1130101</v>
      </c>
      <c r="T77" s="13" t="s">
        <v>47</v>
      </c>
      <c r="U77" s="14" t="n">
        <v>461.37</v>
      </c>
      <c r="W77" s="14" t="n">
        <v>0</v>
      </c>
      <c r="X77" s="13" t="s">
        <v>154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155</v>
      </c>
      <c r="F78" s="11" t="n">
        <v>24</v>
      </c>
      <c r="G78" s="13" t="s">
        <v>42</v>
      </c>
      <c r="H78" s="11" t="n">
        <v>2110101</v>
      </c>
      <c r="I78" s="13" t="s">
        <v>43</v>
      </c>
      <c r="J78" s="11" t="n">
        <v>1057087</v>
      </c>
      <c r="L78" s="11" t="n">
        <v>9239573</v>
      </c>
      <c r="M78" s="13" t="s">
        <v>44</v>
      </c>
      <c r="N78" s="13" t="s">
        <v>36</v>
      </c>
      <c r="P78" s="11" t="n">
        <v>128</v>
      </c>
      <c r="Q78" s="13" t="s">
        <v>45</v>
      </c>
      <c r="R78" s="13" t="s">
        <v>46</v>
      </c>
      <c r="S78" s="11" t="n">
        <v>1130101</v>
      </c>
      <c r="T78" s="13" t="s">
        <v>47</v>
      </c>
      <c r="U78" s="14" t="n">
        <v>514.16</v>
      </c>
      <c r="W78" s="14" t="n">
        <v>0</v>
      </c>
      <c r="X78" s="13" t="s">
        <v>156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155</v>
      </c>
      <c r="F79" s="11" t="n">
        <v>24</v>
      </c>
      <c r="G79" s="13" t="s">
        <v>42</v>
      </c>
      <c r="H79" s="11" t="n">
        <v>2110101</v>
      </c>
      <c r="I79" s="13" t="s">
        <v>43</v>
      </c>
      <c r="J79" s="11" t="n">
        <v>1057107</v>
      </c>
      <c r="L79" s="11" t="n">
        <v>9239563</v>
      </c>
      <c r="M79" s="13" t="s">
        <v>44</v>
      </c>
      <c r="N79" s="13" t="s">
        <v>36</v>
      </c>
      <c r="P79" s="11" t="n">
        <v>128</v>
      </c>
      <c r="Q79" s="13" t="s">
        <v>45</v>
      </c>
      <c r="R79" s="13" t="s">
        <v>46</v>
      </c>
      <c r="S79" s="11" t="n">
        <v>1130101</v>
      </c>
      <c r="T79" s="13" t="s">
        <v>47</v>
      </c>
      <c r="U79" s="14" t="n">
        <v>239.26</v>
      </c>
      <c r="W79" s="14" t="n">
        <v>0</v>
      </c>
      <c r="X79" s="13" t="s">
        <v>157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133</v>
      </c>
      <c r="F80" s="11" t="n">
        <v>34</v>
      </c>
      <c r="G80" s="13" t="s">
        <v>33</v>
      </c>
      <c r="H80" s="11" t="n">
        <v>2110101</v>
      </c>
      <c r="I80" s="13" t="s">
        <v>43</v>
      </c>
      <c r="J80" s="11" t="n">
        <v>1196398</v>
      </c>
      <c r="L80" s="11" t="n">
        <v>5933</v>
      </c>
      <c r="M80" s="13" t="s">
        <v>44</v>
      </c>
      <c r="N80" s="13" t="s">
        <v>69</v>
      </c>
      <c r="P80" s="11" t="n">
        <v>128</v>
      </c>
      <c r="Q80" s="13" t="s">
        <v>45</v>
      </c>
      <c r="R80" s="13" t="s">
        <v>46</v>
      </c>
      <c r="S80" s="11" t="n">
        <v>1130101</v>
      </c>
      <c r="T80" s="13" t="s">
        <v>47</v>
      </c>
      <c r="U80" s="14" t="n">
        <v>180</v>
      </c>
      <c r="W80" s="14" t="n">
        <v>0</v>
      </c>
      <c r="X80" s="13" t="s">
        <v>158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159</v>
      </c>
      <c r="F81" s="11" t="n">
        <v>24</v>
      </c>
      <c r="G81" s="13" t="s">
        <v>42</v>
      </c>
      <c r="H81" s="11" t="n">
        <v>2110101</v>
      </c>
      <c r="I81" s="13" t="s">
        <v>43</v>
      </c>
      <c r="J81" s="11" t="n">
        <v>1098502</v>
      </c>
      <c r="L81" s="11" t="n">
        <v>7184172</v>
      </c>
      <c r="M81" s="13" t="s">
        <v>44</v>
      </c>
      <c r="N81" s="13" t="s">
        <v>36</v>
      </c>
      <c r="P81" s="11" t="n">
        <v>128</v>
      </c>
      <c r="Q81" s="13" t="s">
        <v>45</v>
      </c>
      <c r="R81" s="13" t="s">
        <v>46</v>
      </c>
      <c r="S81" s="11" t="n">
        <v>1130101</v>
      </c>
      <c r="T81" s="13" t="s">
        <v>47</v>
      </c>
      <c r="U81" s="14" t="n">
        <v>420.26</v>
      </c>
      <c r="W81" s="14" t="n">
        <v>0</v>
      </c>
      <c r="X81" s="13" t="s">
        <v>160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161</v>
      </c>
      <c r="F82" s="11" t="n">
        <v>24</v>
      </c>
      <c r="G82" s="13" t="s">
        <v>42</v>
      </c>
      <c r="H82" s="11" t="n">
        <v>2110101</v>
      </c>
      <c r="I82" s="13" t="s">
        <v>43</v>
      </c>
      <c r="J82" s="11" t="n">
        <v>1166013</v>
      </c>
      <c r="L82" s="11" t="n">
        <v>5717161</v>
      </c>
      <c r="M82" s="13" t="s">
        <v>44</v>
      </c>
      <c r="N82" s="13" t="s">
        <v>36</v>
      </c>
      <c r="P82" s="11" t="n">
        <v>128</v>
      </c>
      <c r="Q82" s="13" t="s">
        <v>45</v>
      </c>
      <c r="R82" s="13" t="s">
        <v>46</v>
      </c>
      <c r="S82" s="11" t="n">
        <v>1130101</v>
      </c>
      <c r="T82" s="13" t="s">
        <v>47</v>
      </c>
      <c r="U82" s="14" t="n">
        <v>514.55</v>
      </c>
      <c r="W82" s="14" t="n">
        <v>0</v>
      </c>
      <c r="X82" s="13" t="s">
        <v>162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163</v>
      </c>
      <c r="F83" s="11" t="n">
        <v>24</v>
      </c>
      <c r="G83" s="13" t="s">
        <v>42</v>
      </c>
      <c r="H83" s="11" t="n">
        <v>2110101</v>
      </c>
      <c r="I83" s="13" t="s">
        <v>43</v>
      </c>
      <c r="J83" s="11" t="n">
        <v>1122920</v>
      </c>
      <c r="L83" s="11" t="n">
        <v>4897161</v>
      </c>
      <c r="M83" s="13" t="s">
        <v>44</v>
      </c>
      <c r="N83" s="13" t="s">
        <v>36</v>
      </c>
      <c r="P83" s="11" t="n">
        <v>128</v>
      </c>
      <c r="Q83" s="13" t="s">
        <v>45</v>
      </c>
      <c r="R83" s="13" t="s">
        <v>46</v>
      </c>
      <c r="S83" s="11" t="n">
        <v>1130101</v>
      </c>
      <c r="T83" s="13" t="s">
        <v>47</v>
      </c>
      <c r="U83" s="14" t="n">
        <v>1199.94</v>
      </c>
      <c r="W83" s="14" t="n">
        <v>0</v>
      </c>
      <c r="X83" s="13" t="s">
        <v>164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165</v>
      </c>
      <c r="F84" s="11" t="n">
        <v>24</v>
      </c>
      <c r="G84" s="13" t="s">
        <v>42</v>
      </c>
      <c r="H84" s="11" t="n">
        <v>2110101</v>
      </c>
      <c r="I84" s="13" t="s">
        <v>43</v>
      </c>
      <c r="J84" s="11" t="n">
        <v>1127476</v>
      </c>
      <c r="L84" s="11" t="n">
        <v>4055341</v>
      </c>
      <c r="M84" s="13" t="s">
        <v>44</v>
      </c>
      <c r="N84" s="13" t="s">
        <v>36</v>
      </c>
      <c r="P84" s="11" t="n">
        <v>128</v>
      </c>
      <c r="Q84" s="13" t="s">
        <v>45</v>
      </c>
      <c r="R84" s="13" t="s">
        <v>46</v>
      </c>
      <c r="S84" s="11" t="n">
        <v>1130101</v>
      </c>
      <c r="T84" s="13" t="s">
        <v>47</v>
      </c>
      <c r="U84" s="14" t="n">
        <v>236.31</v>
      </c>
      <c r="W84" s="14" t="n">
        <v>0</v>
      </c>
      <c r="X84" s="13" t="s">
        <v>166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167</v>
      </c>
      <c r="F85" s="11" t="n">
        <v>24</v>
      </c>
      <c r="G85" s="13" t="s">
        <v>42</v>
      </c>
      <c r="H85" s="11" t="n">
        <v>2110101</v>
      </c>
      <c r="I85" s="13" t="s">
        <v>43</v>
      </c>
      <c r="J85" s="11" t="n">
        <v>1128057</v>
      </c>
      <c r="L85" s="11" t="n">
        <v>3432</v>
      </c>
      <c r="M85" s="13" t="s">
        <v>44</v>
      </c>
      <c r="N85" s="13" t="s">
        <v>36</v>
      </c>
      <c r="P85" s="11" t="n">
        <v>128</v>
      </c>
      <c r="Q85" s="13" t="s">
        <v>45</v>
      </c>
      <c r="R85" s="13" t="s">
        <v>46</v>
      </c>
      <c r="S85" s="11" t="n">
        <v>1130101</v>
      </c>
      <c r="T85" s="13" t="s">
        <v>47</v>
      </c>
      <c r="U85" s="14" t="n">
        <v>879.95</v>
      </c>
      <c r="W85" s="14" t="n">
        <v>0</v>
      </c>
      <c r="X85" s="13" t="s">
        <v>168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125</v>
      </c>
      <c r="F86" s="11" t="n">
        <v>24</v>
      </c>
      <c r="G86" s="13" t="s">
        <v>42</v>
      </c>
      <c r="H86" s="11" t="n">
        <v>2110101</v>
      </c>
      <c r="I86" s="13" t="s">
        <v>43</v>
      </c>
      <c r="J86" s="11" t="n">
        <v>1128234</v>
      </c>
      <c r="L86" s="11" t="n">
        <v>2519442</v>
      </c>
      <c r="M86" s="13" t="s">
        <v>44</v>
      </c>
      <c r="N86" s="13" t="s">
        <v>36</v>
      </c>
      <c r="P86" s="11" t="n">
        <v>128</v>
      </c>
      <c r="Q86" s="13" t="s">
        <v>45</v>
      </c>
      <c r="R86" s="13" t="s">
        <v>46</v>
      </c>
      <c r="S86" s="11" t="n">
        <v>1130101</v>
      </c>
      <c r="T86" s="13" t="s">
        <v>47</v>
      </c>
      <c r="U86" s="14" t="n">
        <v>402.53</v>
      </c>
      <c r="W86" s="14" t="n">
        <v>0</v>
      </c>
      <c r="X86" s="13" t="s">
        <v>169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170</v>
      </c>
      <c r="F87" s="11" t="n">
        <v>24</v>
      </c>
      <c r="G87" s="13" t="s">
        <v>42</v>
      </c>
      <c r="H87" s="11" t="n">
        <v>2110101</v>
      </c>
      <c r="I87" s="13" t="s">
        <v>43</v>
      </c>
      <c r="J87" s="11" t="n">
        <v>1128518</v>
      </c>
      <c r="L87" s="11" t="n">
        <v>1228561</v>
      </c>
      <c r="M87" s="13" t="s">
        <v>44</v>
      </c>
      <c r="N87" s="13" t="s">
        <v>69</v>
      </c>
      <c r="P87" s="11" t="n">
        <v>128</v>
      </c>
      <c r="Q87" s="13" t="s">
        <v>45</v>
      </c>
      <c r="R87" s="13" t="s">
        <v>46</v>
      </c>
      <c r="S87" s="11" t="n">
        <v>1130101</v>
      </c>
      <c r="T87" s="13" t="s">
        <v>47</v>
      </c>
      <c r="U87" s="14" t="n">
        <v>567.96</v>
      </c>
      <c r="W87" s="14" t="n">
        <v>0</v>
      </c>
      <c r="X87" s="13" t="s">
        <v>171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170</v>
      </c>
      <c r="F88" s="11" t="n">
        <v>24</v>
      </c>
      <c r="G88" s="13" t="s">
        <v>42</v>
      </c>
      <c r="H88" s="11" t="n">
        <v>2110101</v>
      </c>
      <c r="I88" s="13" t="s">
        <v>43</v>
      </c>
      <c r="J88" s="11" t="n">
        <v>1128570</v>
      </c>
      <c r="L88" s="11" t="n">
        <v>12285631</v>
      </c>
      <c r="M88" s="13" t="s">
        <v>44</v>
      </c>
      <c r="N88" s="13" t="s">
        <v>36</v>
      </c>
      <c r="P88" s="11" t="n">
        <v>128</v>
      </c>
      <c r="Q88" s="13" t="s">
        <v>45</v>
      </c>
      <c r="R88" s="13" t="s">
        <v>46</v>
      </c>
      <c r="S88" s="11" t="n">
        <v>1130101</v>
      </c>
      <c r="T88" s="13" t="s">
        <v>47</v>
      </c>
      <c r="U88" s="14" t="n">
        <v>1199.1</v>
      </c>
      <c r="W88" s="14" t="n">
        <v>0</v>
      </c>
      <c r="X88" s="13" t="s">
        <v>172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53</v>
      </c>
      <c r="F89" s="11" t="n">
        <v>24</v>
      </c>
      <c r="G89" s="13" t="s">
        <v>42</v>
      </c>
      <c r="H89" s="11" t="n">
        <v>2110101</v>
      </c>
      <c r="I89" s="13" t="s">
        <v>43</v>
      </c>
      <c r="J89" s="11" t="n">
        <v>1131490</v>
      </c>
      <c r="L89" s="11" t="n">
        <v>4456531</v>
      </c>
      <c r="M89" s="13" t="s">
        <v>44</v>
      </c>
      <c r="N89" s="13" t="s">
        <v>36</v>
      </c>
      <c r="P89" s="11" t="n">
        <v>128</v>
      </c>
      <c r="Q89" s="13" t="s">
        <v>45</v>
      </c>
      <c r="R89" s="13" t="s">
        <v>46</v>
      </c>
      <c r="S89" s="11" t="n">
        <v>1130101</v>
      </c>
      <c r="T89" s="13" t="s">
        <v>47</v>
      </c>
      <c r="U89" s="14" t="n">
        <v>2073.99</v>
      </c>
      <c r="W89" s="14" t="n">
        <v>0</v>
      </c>
      <c r="X89" s="13" t="s">
        <v>173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174</v>
      </c>
      <c r="F90" s="11" t="n">
        <v>24</v>
      </c>
      <c r="G90" s="13" t="s">
        <v>42</v>
      </c>
      <c r="H90" s="11" t="n">
        <v>2110101</v>
      </c>
      <c r="I90" s="13" t="s">
        <v>43</v>
      </c>
      <c r="J90" s="11" t="n">
        <v>1151623</v>
      </c>
      <c r="L90" s="11" t="n">
        <v>118061</v>
      </c>
      <c r="M90" s="13" t="s">
        <v>44</v>
      </c>
      <c r="N90" s="13" t="s">
        <v>36</v>
      </c>
      <c r="P90" s="11" t="n">
        <v>128</v>
      </c>
      <c r="Q90" s="13" t="s">
        <v>45</v>
      </c>
      <c r="R90" s="13" t="s">
        <v>46</v>
      </c>
      <c r="S90" s="11" t="n">
        <v>1130101</v>
      </c>
      <c r="T90" s="13" t="s">
        <v>47</v>
      </c>
      <c r="U90" s="14" t="n">
        <v>732.68</v>
      </c>
      <c r="W90" s="14" t="n">
        <v>0</v>
      </c>
      <c r="X90" s="13" t="s">
        <v>175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41</v>
      </c>
      <c r="F91" s="11" t="n">
        <v>24</v>
      </c>
      <c r="G91" s="13" t="s">
        <v>42</v>
      </c>
      <c r="H91" s="11" t="n">
        <v>2110101</v>
      </c>
      <c r="I91" s="13" t="s">
        <v>43</v>
      </c>
      <c r="J91" s="11" t="n">
        <v>1157634</v>
      </c>
      <c r="L91" s="11" t="n">
        <v>16619111</v>
      </c>
      <c r="M91" s="13" t="s">
        <v>44</v>
      </c>
      <c r="N91" s="13" t="s">
        <v>36</v>
      </c>
      <c r="P91" s="11" t="n">
        <v>128</v>
      </c>
      <c r="Q91" s="13" t="s">
        <v>45</v>
      </c>
      <c r="R91" s="13" t="s">
        <v>46</v>
      </c>
      <c r="S91" s="11" t="n">
        <v>1130101</v>
      </c>
      <c r="T91" s="13" t="s">
        <v>47</v>
      </c>
      <c r="U91" s="14" t="n">
        <v>236.72</v>
      </c>
      <c r="W91" s="14" t="n">
        <v>0</v>
      </c>
      <c r="X91" s="13" t="s">
        <v>176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177</v>
      </c>
      <c r="F92" s="11" t="n">
        <v>24</v>
      </c>
      <c r="G92" s="13" t="s">
        <v>42</v>
      </c>
      <c r="H92" s="11" t="n">
        <v>2110101</v>
      </c>
      <c r="I92" s="13" t="s">
        <v>43</v>
      </c>
      <c r="J92" s="11" t="n">
        <v>1160944</v>
      </c>
      <c r="L92" s="11" t="n">
        <v>15902221</v>
      </c>
      <c r="M92" s="13" t="s">
        <v>44</v>
      </c>
      <c r="N92" s="13" t="s">
        <v>36</v>
      </c>
      <c r="P92" s="11" t="n">
        <v>128</v>
      </c>
      <c r="Q92" s="13" t="s">
        <v>45</v>
      </c>
      <c r="R92" s="13" t="s">
        <v>46</v>
      </c>
      <c r="S92" s="11" t="n">
        <v>1130101</v>
      </c>
      <c r="T92" s="13" t="s">
        <v>47</v>
      </c>
      <c r="U92" s="14" t="n">
        <v>1581.99</v>
      </c>
      <c r="W92" s="14" t="n">
        <v>0</v>
      </c>
      <c r="X92" s="13" t="s">
        <v>178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179</v>
      </c>
      <c r="F93" s="11" t="n">
        <v>24</v>
      </c>
      <c r="G93" s="13" t="s">
        <v>42</v>
      </c>
      <c r="H93" s="11" t="n">
        <v>2110101</v>
      </c>
      <c r="I93" s="13" t="s">
        <v>43</v>
      </c>
      <c r="J93" s="11" t="n">
        <v>1161213</v>
      </c>
      <c r="L93" s="11" t="n">
        <v>11194</v>
      </c>
      <c r="M93" s="13" t="s">
        <v>44</v>
      </c>
      <c r="N93" s="13" t="s">
        <v>69</v>
      </c>
      <c r="P93" s="11" t="n">
        <v>128</v>
      </c>
      <c r="Q93" s="13" t="s">
        <v>45</v>
      </c>
      <c r="R93" s="13" t="s">
        <v>46</v>
      </c>
      <c r="S93" s="11" t="n">
        <v>1130101</v>
      </c>
      <c r="T93" s="13" t="s">
        <v>47</v>
      </c>
      <c r="U93" s="14" t="n">
        <v>317.12</v>
      </c>
      <c r="W93" s="14" t="n">
        <v>0</v>
      </c>
      <c r="X93" s="13" t="s">
        <v>180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181</v>
      </c>
      <c r="F94" s="11" t="n">
        <v>34</v>
      </c>
      <c r="G94" s="13" t="s">
        <v>33</v>
      </c>
      <c r="H94" s="11" t="n">
        <v>2110101</v>
      </c>
      <c r="I94" s="13" t="s">
        <v>43</v>
      </c>
      <c r="J94" s="11" t="n">
        <v>1162199</v>
      </c>
      <c r="L94" s="11" t="n">
        <v>182278</v>
      </c>
      <c r="M94" s="13" t="s">
        <v>44</v>
      </c>
      <c r="N94" s="13" t="s">
        <v>36</v>
      </c>
      <c r="P94" s="11" t="n">
        <v>128</v>
      </c>
      <c r="Q94" s="13" t="s">
        <v>45</v>
      </c>
      <c r="R94" s="13" t="s">
        <v>46</v>
      </c>
      <c r="S94" s="11" t="n">
        <v>1130101</v>
      </c>
      <c r="T94" s="13" t="s">
        <v>47</v>
      </c>
      <c r="U94" s="14" t="n">
        <v>200</v>
      </c>
      <c r="W94" s="14" t="n">
        <v>0</v>
      </c>
      <c r="X94" s="13" t="s">
        <v>182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80</v>
      </c>
      <c r="F95" s="11" t="n">
        <v>13</v>
      </c>
      <c r="G95" s="13" t="s">
        <v>81</v>
      </c>
      <c r="H95" s="11" t="n">
        <v>2110101</v>
      </c>
      <c r="I95" s="13" t="s">
        <v>43</v>
      </c>
      <c r="J95" s="11" t="n">
        <v>1196715</v>
      </c>
      <c r="L95" s="11" t="n">
        <v>4224</v>
      </c>
      <c r="M95" s="13" t="s">
        <v>44</v>
      </c>
      <c r="N95" s="13" t="s">
        <v>69</v>
      </c>
      <c r="P95" s="11" t="n">
        <v>128</v>
      </c>
      <c r="Q95" s="13" t="s">
        <v>45</v>
      </c>
      <c r="R95" s="13" t="s">
        <v>46</v>
      </c>
      <c r="S95" s="11" t="n">
        <v>1130101</v>
      </c>
      <c r="T95" s="13" t="s">
        <v>47</v>
      </c>
      <c r="U95" s="14" t="n">
        <v>135</v>
      </c>
      <c r="W95" s="14" t="n">
        <v>135</v>
      </c>
      <c r="X95" s="13" t="s">
        <v>82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84</v>
      </c>
      <c r="F96" s="11" t="n">
        <v>24</v>
      </c>
      <c r="G96" s="13" t="s">
        <v>42</v>
      </c>
      <c r="H96" s="11" t="n">
        <v>2110405</v>
      </c>
      <c r="I96" s="13" t="s">
        <v>34</v>
      </c>
      <c r="J96" s="11" t="n">
        <v>1198271</v>
      </c>
      <c r="L96" s="11" t="n">
        <v>187486</v>
      </c>
      <c r="M96" s="13" t="s">
        <v>44</v>
      </c>
      <c r="N96" s="13" t="s">
        <v>36</v>
      </c>
      <c r="P96" s="11" t="n">
        <v>101</v>
      </c>
      <c r="Q96" s="13" t="s">
        <v>37</v>
      </c>
      <c r="R96" s="13" t="s">
        <v>85</v>
      </c>
      <c r="S96" s="11" t="n">
        <v>4210501</v>
      </c>
      <c r="T96" s="13" t="s">
        <v>86</v>
      </c>
      <c r="U96" s="14" t="n">
        <v>42.86</v>
      </c>
      <c r="W96" s="14" t="n">
        <v>0</v>
      </c>
      <c r="X96" s="13" t="s">
        <v>84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183</v>
      </c>
      <c r="F97" s="11" t="n">
        <v>13</v>
      </c>
      <c r="G97" s="13" t="s">
        <v>81</v>
      </c>
      <c r="H97" s="11" t="n">
        <v>2110101</v>
      </c>
      <c r="I97" s="13" t="s">
        <v>43</v>
      </c>
      <c r="J97" s="11" t="n">
        <v>1206408</v>
      </c>
      <c r="L97" s="11" t="n">
        <v>241</v>
      </c>
      <c r="M97" s="13" t="s">
        <v>44</v>
      </c>
      <c r="N97" s="13" t="s">
        <v>69</v>
      </c>
      <c r="P97" s="11" t="n">
        <v>128</v>
      </c>
      <c r="Q97" s="13" t="s">
        <v>45</v>
      </c>
      <c r="R97" s="13" t="s">
        <v>46</v>
      </c>
      <c r="S97" s="11" t="n">
        <v>1130101</v>
      </c>
      <c r="T97" s="13" t="s">
        <v>47</v>
      </c>
      <c r="U97" s="14" t="n">
        <v>445</v>
      </c>
      <c r="W97" s="14" t="n">
        <v>445</v>
      </c>
      <c r="X97" s="13" t="s">
        <v>184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105</v>
      </c>
      <c r="F98" s="11" t="n">
        <v>34</v>
      </c>
      <c r="G98" s="13" t="s">
        <v>33</v>
      </c>
      <c r="H98" s="11" t="n">
        <v>4310103</v>
      </c>
      <c r="I98" s="13" t="s">
        <v>185</v>
      </c>
      <c r="J98" s="11" t="n">
        <v>1335797</v>
      </c>
      <c r="L98" s="11" t="n">
        <v>208613</v>
      </c>
      <c r="M98" s="13" t="s">
        <v>44</v>
      </c>
      <c r="N98" s="13" t="s">
        <v>36</v>
      </c>
      <c r="P98" s="11" t="n">
        <v>102</v>
      </c>
      <c r="Q98" s="13" t="s">
        <v>186</v>
      </c>
      <c r="R98" s="13" t="s">
        <v>85</v>
      </c>
      <c r="S98" s="11" t="n">
        <v>4210502</v>
      </c>
      <c r="T98" s="13" t="s">
        <v>187</v>
      </c>
      <c r="U98" s="14" t="n">
        <v>192.92</v>
      </c>
      <c r="W98" s="14" t="n">
        <v>0</v>
      </c>
      <c r="X98" s="13" t="s">
        <v>188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41</v>
      </c>
      <c r="F99" s="11" t="n">
        <v>24</v>
      </c>
      <c r="G99" s="13" t="s">
        <v>42</v>
      </c>
      <c r="H99" s="11" t="n">
        <v>2110101</v>
      </c>
      <c r="I99" s="13" t="s">
        <v>43</v>
      </c>
      <c r="J99" s="11" t="n">
        <v>1092114</v>
      </c>
      <c r="L99" s="11" t="n">
        <v>16537762</v>
      </c>
      <c r="M99" s="13" t="s">
        <v>44</v>
      </c>
      <c r="N99" s="13" t="s">
        <v>36</v>
      </c>
      <c r="P99" s="11" t="n">
        <v>128</v>
      </c>
      <c r="Q99" s="13" t="s">
        <v>45</v>
      </c>
      <c r="R99" s="13" t="s">
        <v>46</v>
      </c>
      <c r="S99" s="11" t="n">
        <v>1130101</v>
      </c>
      <c r="T99" s="13" t="s">
        <v>47</v>
      </c>
      <c r="U99" s="14" t="n">
        <v>304.8</v>
      </c>
      <c r="W99" s="14" t="n">
        <v>0</v>
      </c>
      <c r="X99" s="13" t="s">
        <v>189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190</v>
      </c>
      <c r="F100" s="11" t="n">
        <v>24</v>
      </c>
      <c r="G100" s="13" t="s">
        <v>42</v>
      </c>
      <c r="H100" s="11" t="n">
        <v>2110101</v>
      </c>
      <c r="I100" s="13" t="s">
        <v>43</v>
      </c>
      <c r="J100" s="11" t="n">
        <v>955241</v>
      </c>
      <c r="L100" s="11" t="n">
        <v>466283</v>
      </c>
      <c r="M100" s="13" t="s">
        <v>44</v>
      </c>
      <c r="N100" s="13" t="s">
        <v>36</v>
      </c>
      <c r="P100" s="11" t="n">
        <v>128</v>
      </c>
      <c r="Q100" s="13" t="s">
        <v>45</v>
      </c>
      <c r="R100" s="13" t="s">
        <v>46</v>
      </c>
      <c r="S100" s="11" t="n">
        <v>1130101</v>
      </c>
      <c r="T100" s="13" t="s">
        <v>47</v>
      </c>
      <c r="U100" s="14" t="n">
        <v>471</v>
      </c>
      <c r="W100" s="14" t="n">
        <v>0</v>
      </c>
      <c r="X100" s="13" t="s">
        <v>191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57</v>
      </c>
      <c r="F101" s="11" t="n">
        <v>24</v>
      </c>
      <c r="G101" s="13" t="s">
        <v>42</v>
      </c>
      <c r="H101" s="11" t="n">
        <v>2110101</v>
      </c>
      <c r="I101" s="13" t="s">
        <v>43</v>
      </c>
      <c r="J101" s="11" t="n">
        <v>978761</v>
      </c>
      <c r="L101" s="11" t="n">
        <v>5654235</v>
      </c>
      <c r="M101" s="13" t="s">
        <v>44</v>
      </c>
      <c r="N101" s="13" t="s">
        <v>36</v>
      </c>
      <c r="P101" s="11" t="n">
        <v>128</v>
      </c>
      <c r="Q101" s="13" t="s">
        <v>45</v>
      </c>
      <c r="R101" s="13" t="s">
        <v>46</v>
      </c>
      <c r="S101" s="11" t="n">
        <v>1130101</v>
      </c>
      <c r="T101" s="13" t="s">
        <v>47</v>
      </c>
      <c r="U101" s="14" t="n">
        <v>74.93</v>
      </c>
      <c r="W101" s="14" t="n">
        <v>0</v>
      </c>
      <c r="X101" s="13" t="s">
        <v>192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170</v>
      </c>
      <c r="F102" s="11" t="n">
        <v>24</v>
      </c>
      <c r="G102" s="13" t="s">
        <v>42</v>
      </c>
      <c r="H102" s="11" t="n">
        <v>2110101</v>
      </c>
      <c r="I102" s="13" t="s">
        <v>43</v>
      </c>
      <c r="J102" s="11" t="n">
        <v>1098525</v>
      </c>
      <c r="L102" s="11" t="n">
        <v>12264802</v>
      </c>
      <c r="M102" s="13" t="s">
        <v>44</v>
      </c>
      <c r="N102" s="13" t="s">
        <v>36</v>
      </c>
      <c r="P102" s="11" t="n">
        <v>128</v>
      </c>
      <c r="Q102" s="13" t="s">
        <v>45</v>
      </c>
      <c r="R102" s="13" t="s">
        <v>46</v>
      </c>
      <c r="S102" s="11" t="n">
        <v>1130101</v>
      </c>
      <c r="T102" s="13" t="s">
        <v>47</v>
      </c>
      <c r="U102" s="14" t="n">
        <v>1114.34</v>
      </c>
      <c r="W102" s="14" t="n">
        <v>0</v>
      </c>
      <c r="X102" s="13" t="s">
        <v>193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41</v>
      </c>
      <c r="F103" s="11" t="n">
        <v>24</v>
      </c>
      <c r="G103" s="13" t="s">
        <v>42</v>
      </c>
      <c r="H103" s="11" t="n">
        <v>2110101</v>
      </c>
      <c r="I103" s="13" t="s">
        <v>43</v>
      </c>
      <c r="J103" s="11" t="n">
        <v>1128210</v>
      </c>
      <c r="L103" s="11" t="n">
        <v>16584841</v>
      </c>
      <c r="M103" s="13" t="s">
        <v>44</v>
      </c>
      <c r="N103" s="13" t="s">
        <v>36</v>
      </c>
      <c r="P103" s="11" t="n">
        <v>128</v>
      </c>
      <c r="Q103" s="13" t="s">
        <v>45</v>
      </c>
      <c r="R103" s="13" t="s">
        <v>46</v>
      </c>
      <c r="S103" s="11" t="n">
        <v>1130101</v>
      </c>
      <c r="T103" s="13" t="s">
        <v>47</v>
      </c>
      <c r="U103" s="14" t="n">
        <v>553.76</v>
      </c>
      <c r="W103" s="14" t="n">
        <v>0</v>
      </c>
      <c r="X103" s="13" t="s">
        <v>194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195</v>
      </c>
      <c r="F104" s="11" t="n">
        <v>24</v>
      </c>
      <c r="G104" s="13" t="s">
        <v>42</v>
      </c>
      <c r="H104" s="11" t="n">
        <v>2110405</v>
      </c>
      <c r="I104" s="13" t="s">
        <v>34</v>
      </c>
      <c r="J104" s="11" t="n">
        <v>1131622</v>
      </c>
      <c r="L104" s="11" t="n">
        <v>28321</v>
      </c>
      <c r="M104" s="13" t="s">
        <v>44</v>
      </c>
      <c r="N104" s="13" t="s">
        <v>36</v>
      </c>
      <c r="P104" s="11" t="n">
        <v>128</v>
      </c>
      <c r="Q104" s="13" t="s">
        <v>45</v>
      </c>
      <c r="R104" s="13" t="s">
        <v>38</v>
      </c>
      <c r="S104" s="11" t="n">
        <v>4210227</v>
      </c>
      <c r="T104" s="13" t="s">
        <v>196</v>
      </c>
      <c r="U104" s="14" t="n">
        <v>353.08</v>
      </c>
      <c r="W104" s="14" t="n">
        <v>0</v>
      </c>
      <c r="X104" s="13" t="s">
        <v>197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198</v>
      </c>
      <c r="F105" s="11" t="n">
        <v>24</v>
      </c>
      <c r="G105" s="13" t="s">
        <v>42</v>
      </c>
      <c r="H105" s="11" t="n">
        <v>2110101</v>
      </c>
      <c r="I105" s="13" t="s">
        <v>43</v>
      </c>
      <c r="J105" s="11" t="n">
        <v>1132880</v>
      </c>
      <c r="L105" s="11" t="n">
        <v>10469</v>
      </c>
      <c r="M105" s="13" t="s">
        <v>44</v>
      </c>
      <c r="N105" s="13" t="s">
        <v>69</v>
      </c>
      <c r="P105" s="11" t="n">
        <v>128</v>
      </c>
      <c r="Q105" s="13" t="s">
        <v>45</v>
      </c>
      <c r="R105" s="13" t="s">
        <v>46</v>
      </c>
      <c r="S105" s="11" t="n">
        <v>1130101</v>
      </c>
      <c r="T105" s="13" t="s">
        <v>47</v>
      </c>
      <c r="U105" s="14" t="n">
        <v>228</v>
      </c>
      <c r="W105" s="14" t="n">
        <v>0</v>
      </c>
      <c r="X105" s="13" t="s">
        <v>199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76</v>
      </c>
      <c r="F106" s="11" t="n">
        <v>24</v>
      </c>
      <c r="G106" s="13" t="s">
        <v>42</v>
      </c>
      <c r="H106" s="11" t="n">
        <v>2110101</v>
      </c>
      <c r="I106" s="13" t="s">
        <v>43</v>
      </c>
      <c r="J106" s="11" t="n">
        <v>1152764</v>
      </c>
      <c r="L106" s="11" t="n">
        <v>51387</v>
      </c>
      <c r="M106" s="13" t="s">
        <v>44</v>
      </c>
      <c r="N106" s="13" t="s">
        <v>36</v>
      </c>
      <c r="P106" s="11" t="n">
        <v>128</v>
      </c>
      <c r="Q106" s="13" t="s">
        <v>45</v>
      </c>
      <c r="R106" s="13" t="s">
        <v>46</v>
      </c>
      <c r="S106" s="11" t="n">
        <v>1130101</v>
      </c>
      <c r="T106" s="13" t="s">
        <v>47</v>
      </c>
      <c r="U106" s="14" t="n">
        <v>5740.3</v>
      </c>
      <c r="W106" s="14" t="n">
        <v>0</v>
      </c>
      <c r="X106" s="13" t="s">
        <v>200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53</v>
      </c>
      <c r="F107" s="11" t="n">
        <v>24</v>
      </c>
      <c r="G107" s="13" t="s">
        <v>42</v>
      </c>
      <c r="H107" s="11" t="n">
        <v>2110101</v>
      </c>
      <c r="I107" s="13" t="s">
        <v>43</v>
      </c>
      <c r="J107" s="11" t="n">
        <v>1165932</v>
      </c>
      <c r="L107" s="11" t="n">
        <v>4474281</v>
      </c>
      <c r="M107" s="13" t="s">
        <v>44</v>
      </c>
      <c r="N107" s="13" t="s">
        <v>36</v>
      </c>
      <c r="P107" s="11" t="n">
        <v>128</v>
      </c>
      <c r="Q107" s="13" t="s">
        <v>45</v>
      </c>
      <c r="R107" s="13" t="s">
        <v>46</v>
      </c>
      <c r="S107" s="11" t="n">
        <v>1130101</v>
      </c>
      <c r="T107" s="13" t="s">
        <v>47</v>
      </c>
      <c r="U107" s="14" t="n">
        <v>487.33</v>
      </c>
      <c r="W107" s="14" t="n">
        <v>0</v>
      </c>
      <c r="X107" s="13" t="s">
        <v>201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202</v>
      </c>
      <c r="F108" s="11" t="n">
        <v>34</v>
      </c>
      <c r="G108" s="13" t="s">
        <v>33</v>
      </c>
      <c r="H108" s="11" t="n">
        <v>2110405</v>
      </c>
      <c r="I108" s="13" t="s">
        <v>34</v>
      </c>
      <c r="J108" s="11" t="n">
        <v>473910</v>
      </c>
      <c r="L108" s="11" t="n">
        <v>72893</v>
      </c>
      <c r="M108" s="13" t="s">
        <v>35</v>
      </c>
      <c r="N108" s="13" t="s">
        <v>36</v>
      </c>
      <c r="P108" s="11" t="n">
        <v>102</v>
      </c>
      <c r="Q108" s="13" t="s">
        <v>186</v>
      </c>
      <c r="R108" s="13" t="s">
        <v>203</v>
      </c>
      <c r="S108" s="11" t="n">
        <v>4220199</v>
      </c>
      <c r="T108" s="13" t="s">
        <v>204</v>
      </c>
      <c r="U108" s="14" t="n">
        <v>3900.29</v>
      </c>
      <c r="W108" s="14" t="n">
        <v>0</v>
      </c>
      <c r="X108" s="13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41</v>
      </c>
      <c r="F109" s="11" t="n">
        <v>24</v>
      </c>
      <c r="G109" s="13" t="s">
        <v>42</v>
      </c>
      <c r="H109" s="11" t="n">
        <v>2110101</v>
      </c>
      <c r="I109" s="13" t="s">
        <v>43</v>
      </c>
      <c r="J109" s="11" t="n">
        <v>1066106</v>
      </c>
      <c r="L109" s="11" t="n">
        <v>16508403</v>
      </c>
      <c r="M109" s="13" t="s">
        <v>44</v>
      </c>
      <c r="N109" s="13" t="s">
        <v>36</v>
      </c>
      <c r="P109" s="11" t="n">
        <v>128</v>
      </c>
      <c r="Q109" s="13" t="s">
        <v>45</v>
      </c>
      <c r="R109" s="13" t="s">
        <v>46</v>
      </c>
      <c r="S109" s="11" t="n">
        <v>1130101</v>
      </c>
      <c r="T109" s="13" t="s">
        <v>47</v>
      </c>
      <c r="U109" s="14" t="n">
        <v>414.81</v>
      </c>
      <c r="W109" s="14" t="n">
        <v>0</v>
      </c>
      <c r="X109" s="13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190</v>
      </c>
      <c r="F110" s="11" t="n">
        <v>24</v>
      </c>
      <c r="G110" s="13" t="s">
        <v>42</v>
      </c>
      <c r="H110" s="11" t="n">
        <v>2110101</v>
      </c>
      <c r="I110" s="13" t="s">
        <v>43</v>
      </c>
      <c r="J110" s="11" t="n">
        <v>1071974</v>
      </c>
      <c r="L110" s="11" t="n">
        <v>2538083</v>
      </c>
      <c r="M110" s="13" t="s">
        <v>44</v>
      </c>
      <c r="N110" s="13" t="s">
        <v>36</v>
      </c>
      <c r="P110" s="11" t="n">
        <v>128</v>
      </c>
      <c r="Q110" s="13" t="s">
        <v>45</v>
      </c>
      <c r="R110" s="13" t="s">
        <v>46</v>
      </c>
      <c r="S110" s="11" t="n">
        <v>1130101</v>
      </c>
      <c r="T110" s="13" t="s">
        <v>47</v>
      </c>
      <c r="U110" s="14" t="n">
        <v>350</v>
      </c>
      <c r="W110" s="14" t="n">
        <v>0</v>
      </c>
      <c r="X110" s="13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208</v>
      </c>
      <c r="F111" s="11" t="n">
        <v>24</v>
      </c>
      <c r="G111" s="13" t="s">
        <v>42</v>
      </c>
      <c r="H111" s="11" t="n">
        <v>2110101</v>
      </c>
      <c r="I111" s="13" t="s">
        <v>43</v>
      </c>
      <c r="J111" s="11" t="n">
        <v>1084546</v>
      </c>
      <c r="L111" s="11" t="n">
        <v>6529872</v>
      </c>
      <c r="M111" s="13" t="s">
        <v>44</v>
      </c>
      <c r="N111" s="13" t="s">
        <v>36</v>
      </c>
      <c r="P111" s="11" t="n">
        <v>128</v>
      </c>
      <c r="Q111" s="13" t="s">
        <v>45</v>
      </c>
      <c r="R111" s="13" t="s">
        <v>46</v>
      </c>
      <c r="S111" s="11" t="n">
        <v>1130101</v>
      </c>
      <c r="T111" s="13" t="s">
        <v>47</v>
      </c>
      <c r="U111" s="14" t="n">
        <v>297.3</v>
      </c>
      <c r="W111" s="14" t="n">
        <v>0</v>
      </c>
      <c r="X111" s="13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125</v>
      </c>
      <c r="F112" s="11" t="n">
        <v>24</v>
      </c>
      <c r="G112" s="13" t="s">
        <v>42</v>
      </c>
      <c r="H112" s="11" t="n">
        <v>2110101</v>
      </c>
      <c r="I112" s="13" t="s">
        <v>43</v>
      </c>
      <c r="J112" s="11" t="n">
        <v>1103156</v>
      </c>
      <c r="L112" s="11" t="n">
        <v>251671</v>
      </c>
      <c r="M112" s="13" t="s">
        <v>44</v>
      </c>
      <c r="N112" s="13" t="s">
        <v>69</v>
      </c>
      <c r="P112" s="11" t="n">
        <v>128</v>
      </c>
      <c r="Q112" s="13" t="s">
        <v>45</v>
      </c>
      <c r="R112" s="13" t="s">
        <v>46</v>
      </c>
      <c r="S112" s="11" t="n">
        <v>1130101</v>
      </c>
      <c r="T112" s="13" t="s">
        <v>47</v>
      </c>
      <c r="U112" s="14" t="n">
        <v>560.14</v>
      </c>
      <c r="W112" s="14" t="n">
        <v>0</v>
      </c>
      <c r="X112" s="13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177</v>
      </c>
      <c r="F113" s="11" t="n">
        <v>24</v>
      </c>
      <c r="G113" s="13" t="s">
        <v>42</v>
      </c>
      <c r="H113" s="11" t="n">
        <v>2110101</v>
      </c>
      <c r="I113" s="13" t="s">
        <v>43</v>
      </c>
      <c r="J113" s="11" t="n">
        <v>1122169</v>
      </c>
      <c r="L113" s="11" t="n">
        <v>15864203</v>
      </c>
      <c r="M113" s="13" t="s">
        <v>44</v>
      </c>
      <c r="N113" s="13" t="s">
        <v>36</v>
      </c>
      <c r="P113" s="11" t="n">
        <v>128</v>
      </c>
      <c r="Q113" s="13" t="s">
        <v>45</v>
      </c>
      <c r="R113" s="13" t="s">
        <v>46</v>
      </c>
      <c r="S113" s="11" t="n">
        <v>1130101</v>
      </c>
      <c r="T113" s="13" t="s">
        <v>47</v>
      </c>
      <c r="U113" s="14" t="n">
        <v>502.42</v>
      </c>
      <c r="W113" s="14" t="n">
        <v>0</v>
      </c>
      <c r="X113" s="13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212</v>
      </c>
      <c r="F114" s="11" t="n">
        <v>24</v>
      </c>
      <c r="G114" s="13" t="s">
        <v>42</v>
      </c>
      <c r="H114" s="11" t="n">
        <v>2110101</v>
      </c>
      <c r="I114" s="13" t="s">
        <v>43</v>
      </c>
      <c r="J114" s="11" t="n">
        <v>1140898</v>
      </c>
      <c r="L114" s="11" t="n">
        <v>5608321</v>
      </c>
      <c r="M114" s="13" t="s">
        <v>44</v>
      </c>
      <c r="N114" s="13" t="s">
        <v>36</v>
      </c>
      <c r="P114" s="11" t="n">
        <v>128</v>
      </c>
      <c r="Q114" s="13" t="s">
        <v>45</v>
      </c>
      <c r="R114" s="13" t="s">
        <v>46</v>
      </c>
      <c r="S114" s="11" t="n">
        <v>1130101</v>
      </c>
      <c r="T114" s="13" t="s">
        <v>47</v>
      </c>
      <c r="U114" s="14" t="n">
        <v>2242.24</v>
      </c>
      <c r="W114" s="14" t="n">
        <v>0</v>
      </c>
      <c r="X114" s="13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105</v>
      </c>
      <c r="F115" s="11" t="n">
        <v>34</v>
      </c>
      <c r="G115" s="13" t="s">
        <v>33</v>
      </c>
      <c r="H115" s="11" t="n">
        <v>2110405</v>
      </c>
      <c r="I115" s="13" t="s">
        <v>34</v>
      </c>
      <c r="J115" s="11" t="n">
        <v>1157461</v>
      </c>
      <c r="L115" s="11" t="n">
        <v>181615</v>
      </c>
      <c r="M115" s="13" t="s">
        <v>150</v>
      </c>
      <c r="N115" s="13" t="s">
        <v>36</v>
      </c>
      <c r="P115" s="11" t="n">
        <v>101</v>
      </c>
      <c r="Q115" s="13" t="s">
        <v>37</v>
      </c>
      <c r="R115" s="13" t="s">
        <v>85</v>
      </c>
      <c r="S115" s="11" t="n">
        <v>4210508</v>
      </c>
      <c r="T115" s="13" t="s">
        <v>106</v>
      </c>
      <c r="U115" s="14" t="n">
        <v>151.61</v>
      </c>
      <c r="W115" s="14" t="n">
        <v>0</v>
      </c>
      <c r="X115" s="13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215</v>
      </c>
      <c r="F116" s="11" t="n">
        <v>24</v>
      </c>
      <c r="G116" s="13" t="s">
        <v>42</v>
      </c>
      <c r="H116" s="11" t="n">
        <v>2110405</v>
      </c>
      <c r="I116" s="13" t="s">
        <v>34</v>
      </c>
      <c r="J116" s="11" t="n">
        <v>1166785</v>
      </c>
      <c r="L116" s="11" t="n">
        <v>182897</v>
      </c>
      <c r="M116" s="13" t="s">
        <v>44</v>
      </c>
      <c r="N116" s="13" t="s">
        <v>36</v>
      </c>
      <c r="P116" s="11" t="n">
        <v>101</v>
      </c>
      <c r="Q116" s="13" t="s">
        <v>37</v>
      </c>
      <c r="R116" s="13" t="s">
        <v>38</v>
      </c>
      <c r="S116" s="11" t="n">
        <v>4210201</v>
      </c>
      <c r="T116" s="13" t="s">
        <v>216</v>
      </c>
      <c r="U116" s="14" t="n">
        <v>286</v>
      </c>
      <c r="W116" s="14" t="n">
        <v>0</v>
      </c>
      <c r="X116" s="13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218</v>
      </c>
      <c r="F117" s="11" t="n">
        <v>24</v>
      </c>
      <c r="G117" s="13" t="s">
        <v>42</v>
      </c>
      <c r="H117" s="11" t="n">
        <v>2110101</v>
      </c>
      <c r="I117" s="13" t="s">
        <v>43</v>
      </c>
      <c r="J117" s="11" t="n">
        <v>1171168</v>
      </c>
      <c r="L117" s="11" t="n">
        <v>2210</v>
      </c>
      <c r="M117" s="13" t="s">
        <v>44</v>
      </c>
      <c r="N117" s="13" t="s">
        <v>69</v>
      </c>
      <c r="P117" s="11" t="n">
        <v>128</v>
      </c>
      <c r="Q117" s="13" t="s">
        <v>45</v>
      </c>
      <c r="R117" s="13" t="s">
        <v>46</v>
      </c>
      <c r="S117" s="11" t="n">
        <v>1130101</v>
      </c>
      <c r="T117" s="13" t="s">
        <v>47</v>
      </c>
      <c r="U117" s="14" t="n">
        <v>1870</v>
      </c>
      <c r="W117" s="14" t="n">
        <v>0</v>
      </c>
      <c r="X117" s="13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220</v>
      </c>
      <c r="F118" s="11" t="n">
        <v>24</v>
      </c>
      <c r="G118" s="13" t="s">
        <v>42</v>
      </c>
      <c r="H118" s="11" t="n">
        <v>2110101</v>
      </c>
      <c r="I118" s="13" t="s">
        <v>43</v>
      </c>
      <c r="J118" s="11" t="n">
        <v>1171529</v>
      </c>
      <c r="L118" s="11" t="n">
        <v>1539</v>
      </c>
      <c r="M118" s="13" t="s">
        <v>44</v>
      </c>
      <c r="N118" s="13" t="s">
        <v>69</v>
      </c>
      <c r="P118" s="11" t="n">
        <v>128</v>
      </c>
      <c r="Q118" s="13" t="s">
        <v>45</v>
      </c>
      <c r="R118" s="13" t="s">
        <v>46</v>
      </c>
      <c r="S118" s="11" t="n">
        <v>1130101</v>
      </c>
      <c r="T118" s="13" t="s">
        <v>47</v>
      </c>
      <c r="U118" s="14" t="n">
        <v>250</v>
      </c>
      <c r="W118" s="14" t="n">
        <v>0</v>
      </c>
      <c r="X118" s="13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120</v>
      </c>
      <c r="F119" s="11" t="n">
        <v>24</v>
      </c>
      <c r="G119" s="13" t="s">
        <v>42</v>
      </c>
      <c r="H119" s="11" t="n">
        <v>2110101</v>
      </c>
      <c r="I119" s="13" t="s">
        <v>43</v>
      </c>
      <c r="J119" s="11" t="n">
        <v>1171741</v>
      </c>
      <c r="L119" s="11" t="n">
        <v>17521</v>
      </c>
      <c r="M119" s="13" t="s">
        <v>44</v>
      </c>
      <c r="N119" s="13" t="s">
        <v>69</v>
      </c>
      <c r="P119" s="11" t="n">
        <v>128</v>
      </c>
      <c r="Q119" s="13" t="s">
        <v>45</v>
      </c>
      <c r="R119" s="13" t="s">
        <v>46</v>
      </c>
      <c r="S119" s="11" t="n">
        <v>1130101</v>
      </c>
      <c r="T119" s="13" t="s">
        <v>47</v>
      </c>
      <c r="U119" s="14" t="n">
        <v>241.5</v>
      </c>
      <c r="W119" s="14" t="n">
        <v>0</v>
      </c>
      <c r="X119" s="13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223</v>
      </c>
      <c r="F120" s="11" t="n">
        <v>24</v>
      </c>
      <c r="G120" s="13" t="s">
        <v>42</v>
      </c>
      <c r="H120" s="11" t="n">
        <v>2110101</v>
      </c>
      <c r="I120" s="13" t="s">
        <v>43</v>
      </c>
      <c r="J120" s="11" t="n">
        <v>1186660</v>
      </c>
      <c r="L120" s="11" t="n">
        <v>1571091</v>
      </c>
      <c r="M120" s="13" t="s">
        <v>44</v>
      </c>
      <c r="N120" s="13" t="s">
        <v>36</v>
      </c>
      <c r="P120" s="11" t="n">
        <v>128</v>
      </c>
      <c r="Q120" s="13" t="s">
        <v>45</v>
      </c>
      <c r="R120" s="13" t="s">
        <v>46</v>
      </c>
      <c r="S120" s="11" t="n">
        <v>1130101</v>
      </c>
      <c r="T120" s="13" t="s">
        <v>47</v>
      </c>
      <c r="U120" s="14" t="n">
        <v>1650</v>
      </c>
      <c r="W120" s="14" t="n">
        <v>0</v>
      </c>
      <c r="X120" s="13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80</v>
      </c>
      <c r="F121" s="11" t="n">
        <v>13</v>
      </c>
      <c r="G121" s="13" t="s">
        <v>81</v>
      </c>
      <c r="H121" s="11" t="n">
        <v>2110101</v>
      </c>
      <c r="I121" s="13" t="s">
        <v>43</v>
      </c>
      <c r="J121" s="11" t="n">
        <v>1206433</v>
      </c>
      <c r="L121" s="11" t="n">
        <v>4231</v>
      </c>
      <c r="M121" s="13" t="s">
        <v>44</v>
      </c>
      <c r="N121" s="13" t="s">
        <v>69</v>
      </c>
      <c r="P121" s="11" t="n">
        <v>128</v>
      </c>
      <c r="Q121" s="13" t="s">
        <v>45</v>
      </c>
      <c r="R121" s="13" t="s">
        <v>46</v>
      </c>
      <c r="S121" s="11" t="n">
        <v>1130101</v>
      </c>
      <c r="T121" s="13" t="s">
        <v>47</v>
      </c>
      <c r="U121" s="14" t="n">
        <v>140</v>
      </c>
      <c r="W121" s="14" t="n">
        <v>140</v>
      </c>
      <c r="X121" s="13" t="s">
        <v>82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80</v>
      </c>
      <c r="F122" s="11" t="n">
        <v>13</v>
      </c>
      <c r="G122" s="13" t="s">
        <v>81</v>
      </c>
      <c r="H122" s="11" t="n">
        <v>2110101</v>
      </c>
      <c r="I122" s="13" t="s">
        <v>43</v>
      </c>
      <c r="J122" s="11" t="n">
        <v>1206514</v>
      </c>
      <c r="L122" s="11" t="n">
        <v>4233</v>
      </c>
      <c r="M122" s="13" t="s">
        <v>44</v>
      </c>
      <c r="N122" s="13" t="s">
        <v>69</v>
      </c>
      <c r="P122" s="11" t="n">
        <v>128</v>
      </c>
      <c r="Q122" s="13" t="s">
        <v>45</v>
      </c>
      <c r="R122" s="13" t="s">
        <v>46</v>
      </c>
      <c r="S122" s="11" t="n">
        <v>1130101</v>
      </c>
      <c r="T122" s="13" t="s">
        <v>47</v>
      </c>
      <c r="U122" s="14" t="n">
        <v>165</v>
      </c>
      <c r="W122" s="14" t="n">
        <v>165</v>
      </c>
      <c r="X122" s="13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80</v>
      </c>
      <c r="F123" s="11" t="n">
        <v>13</v>
      </c>
      <c r="G123" s="13" t="s">
        <v>81</v>
      </c>
      <c r="H123" s="11" t="n">
        <v>2110101</v>
      </c>
      <c r="I123" s="13" t="s">
        <v>43</v>
      </c>
      <c r="J123" s="11" t="n">
        <v>1207166</v>
      </c>
      <c r="L123" s="11" t="n">
        <v>4240</v>
      </c>
      <c r="M123" s="13" t="s">
        <v>44</v>
      </c>
      <c r="N123" s="13" t="s">
        <v>69</v>
      </c>
      <c r="P123" s="11" t="n">
        <v>128</v>
      </c>
      <c r="Q123" s="13" t="s">
        <v>45</v>
      </c>
      <c r="R123" s="13" t="s">
        <v>46</v>
      </c>
      <c r="S123" s="11" t="n">
        <v>1130101</v>
      </c>
      <c r="T123" s="13" t="s">
        <v>47</v>
      </c>
      <c r="U123" s="14" t="n">
        <v>120</v>
      </c>
      <c r="W123" s="14" t="n">
        <v>120</v>
      </c>
      <c r="X123" s="13" t="s">
        <v>83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80</v>
      </c>
      <c r="F124" s="11" t="n">
        <v>13</v>
      </c>
      <c r="G124" s="13" t="s">
        <v>81</v>
      </c>
      <c r="H124" s="11" t="n">
        <v>2110101</v>
      </c>
      <c r="I124" s="13" t="s">
        <v>43</v>
      </c>
      <c r="J124" s="11" t="n">
        <v>1207195</v>
      </c>
      <c r="L124" s="11" t="n">
        <v>4241</v>
      </c>
      <c r="M124" s="13" t="s">
        <v>44</v>
      </c>
      <c r="N124" s="13" t="s">
        <v>69</v>
      </c>
      <c r="P124" s="11" t="n">
        <v>128</v>
      </c>
      <c r="Q124" s="13" t="s">
        <v>45</v>
      </c>
      <c r="R124" s="13" t="s">
        <v>46</v>
      </c>
      <c r="S124" s="11" t="n">
        <v>1130101</v>
      </c>
      <c r="T124" s="13" t="s">
        <v>47</v>
      </c>
      <c r="U124" s="14" t="n">
        <v>120</v>
      </c>
      <c r="W124" s="14" t="n">
        <v>120</v>
      </c>
      <c r="X124" s="13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227</v>
      </c>
      <c r="F125" s="11" t="n">
        <v>13</v>
      </c>
      <c r="G125" s="13" t="s">
        <v>81</v>
      </c>
      <c r="H125" s="11" t="n">
        <v>2110101</v>
      </c>
      <c r="I125" s="13" t="s">
        <v>43</v>
      </c>
      <c r="J125" s="11" t="n">
        <v>1210771</v>
      </c>
      <c r="L125" s="11" t="n">
        <v>293</v>
      </c>
      <c r="M125" s="13" t="s">
        <v>44</v>
      </c>
      <c r="N125" s="13" t="s">
        <v>69</v>
      </c>
      <c r="P125" s="11" t="n">
        <v>128</v>
      </c>
      <c r="Q125" s="13" t="s">
        <v>45</v>
      </c>
      <c r="R125" s="13" t="s">
        <v>46</v>
      </c>
      <c r="S125" s="11" t="n">
        <v>1130101</v>
      </c>
      <c r="T125" s="13" t="s">
        <v>47</v>
      </c>
      <c r="U125" s="14" t="n">
        <v>768</v>
      </c>
      <c r="W125" s="14" t="n">
        <v>768</v>
      </c>
      <c r="X125" s="13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96</v>
      </c>
      <c r="F126" s="11" t="n">
        <v>7</v>
      </c>
      <c r="G126" s="13" t="s">
        <v>229</v>
      </c>
      <c r="H126" s="11" t="n">
        <v>2110405</v>
      </c>
      <c r="I126" s="13" t="s">
        <v>34</v>
      </c>
      <c r="J126" s="11" t="n">
        <v>1210852</v>
      </c>
      <c r="L126" s="11" t="n">
        <v>189498</v>
      </c>
      <c r="M126" s="13" t="s">
        <v>44</v>
      </c>
      <c r="N126" s="13" t="s">
        <v>36</v>
      </c>
      <c r="P126" s="11" t="n">
        <v>128</v>
      </c>
      <c r="Q126" s="13" t="s">
        <v>45</v>
      </c>
      <c r="R126" s="13" t="s">
        <v>72</v>
      </c>
      <c r="S126" s="11" t="n">
        <v>4210301</v>
      </c>
      <c r="T126" s="13" t="s">
        <v>230</v>
      </c>
      <c r="U126" s="14" t="n">
        <v>499.25</v>
      </c>
      <c r="W126" s="14" t="n">
        <v>0</v>
      </c>
      <c r="X126" s="13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96</v>
      </c>
      <c r="F127" s="11" t="n">
        <v>34</v>
      </c>
      <c r="G127" s="13" t="s">
        <v>33</v>
      </c>
      <c r="H127" s="11" t="n">
        <v>2110405</v>
      </c>
      <c r="I127" s="13" t="s">
        <v>34</v>
      </c>
      <c r="J127" s="11" t="n">
        <v>1210858</v>
      </c>
      <c r="L127" s="11" t="n">
        <v>189500</v>
      </c>
      <c r="M127" s="13" t="s">
        <v>44</v>
      </c>
      <c r="N127" s="13" t="s">
        <v>36</v>
      </c>
      <c r="P127" s="11" t="n">
        <v>128</v>
      </c>
      <c r="Q127" s="13" t="s">
        <v>45</v>
      </c>
      <c r="R127" s="13" t="s">
        <v>72</v>
      </c>
      <c r="S127" s="11" t="n">
        <v>4210301</v>
      </c>
      <c r="T127" s="13" t="s">
        <v>230</v>
      </c>
      <c r="U127" s="14" t="n">
        <v>580</v>
      </c>
      <c r="W127" s="14" t="n">
        <v>0</v>
      </c>
      <c r="X127" s="13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93</v>
      </c>
      <c r="F128" s="11" t="n">
        <v>7</v>
      </c>
      <c r="G128" s="13" t="s">
        <v>229</v>
      </c>
      <c r="H128" s="11" t="n">
        <v>2110405</v>
      </c>
      <c r="I128" s="13" t="s">
        <v>34</v>
      </c>
      <c r="J128" s="11" t="n">
        <v>1210862</v>
      </c>
      <c r="L128" s="11" t="n">
        <v>189501</v>
      </c>
      <c r="M128" s="13" t="s">
        <v>44</v>
      </c>
      <c r="N128" s="13" t="s">
        <v>36</v>
      </c>
      <c r="P128" s="11" t="n">
        <v>128</v>
      </c>
      <c r="Q128" s="13" t="s">
        <v>45</v>
      </c>
      <c r="R128" s="13" t="s">
        <v>72</v>
      </c>
      <c r="S128" s="11" t="n">
        <v>4210301</v>
      </c>
      <c r="T128" s="13" t="s">
        <v>230</v>
      </c>
      <c r="U128" s="14" t="n">
        <v>364.17</v>
      </c>
      <c r="W128" s="14" t="n">
        <v>0</v>
      </c>
      <c r="X128" s="13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93</v>
      </c>
      <c r="F129" s="11" t="n">
        <v>34</v>
      </c>
      <c r="G129" s="13" t="s">
        <v>33</v>
      </c>
      <c r="H129" s="11" t="n">
        <v>2110405</v>
      </c>
      <c r="I129" s="13" t="s">
        <v>34</v>
      </c>
      <c r="J129" s="11" t="n">
        <v>1210872</v>
      </c>
      <c r="L129" s="11" t="n">
        <v>189503</v>
      </c>
      <c r="M129" s="13" t="s">
        <v>44</v>
      </c>
      <c r="N129" s="13" t="s">
        <v>36</v>
      </c>
      <c r="P129" s="11" t="n">
        <v>128</v>
      </c>
      <c r="Q129" s="13" t="s">
        <v>45</v>
      </c>
      <c r="R129" s="13" t="s">
        <v>72</v>
      </c>
      <c r="S129" s="11" t="n">
        <v>4210301</v>
      </c>
      <c r="T129" s="13" t="s">
        <v>230</v>
      </c>
      <c r="U129" s="14" t="n">
        <v>618.09</v>
      </c>
      <c r="W129" s="14" t="n">
        <v>0</v>
      </c>
      <c r="X129" s="13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101</v>
      </c>
      <c r="F130" s="11" t="n">
        <v>7</v>
      </c>
      <c r="G130" s="13" t="s">
        <v>229</v>
      </c>
      <c r="H130" s="11" t="n">
        <v>2110405</v>
      </c>
      <c r="I130" s="13" t="s">
        <v>34</v>
      </c>
      <c r="J130" s="11" t="n">
        <v>1210884</v>
      </c>
      <c r="L130" s="11" t="n">
        <v>189504</v>
      </c>
      <c r="M130" s="13" t="s">
        <v>44</v>
      </c>
      <c r="N130" s="13" t="s">
        <v>36</v>
      </c>
      <c r="P130" s="11" t="n">
        <v>128</v>
      </c>
      <c r="Q130" s="13" t="s">
        <v>45</v>
      </c>
      <c r="R130" s="13" t="s">
        <v>72</v>
      </c>
      <c r="S130" s="11" t="n">
        <v>4210301</v>
      </c>
      <c r="T130" s="13" t="s">
        <v>230</v>
      </c>
      <c r="U130" s="14" t="n">
        <v>414.14</v>
      </c>
      <c r="W130" s="14" t="n">
        <v>0</v>
      </c>
      <c r="X130" s="13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101</v>
      </c>
      <c r="F131" s="11" t="n">
        <v>34</v>
      </c>
      <c r="G131" s="13" t="s">
        <v>33</v>
      </c>
      <c r="H131" s="11" t="n">
        <v>2110405</v>
      </c>
      <c r="I131" s="13" t="s">
        <v>34</v>
      </c>
      <c r="J131" s="11" t="n">
        <v>1210891</v>
      </c>
      <c r="L131" s="11" t="n">
        <v>189505</v>
      </c>
      <c r="M131" s="13" t="s">
        <v>44</v>
      </c>
      <c r="N131" s="13" t="s">
        <v>36</v>
      </c>
      <c r="P131" s="11" t="n">
        <v>128</v>
      </c>
      <c r="Q131" s="13" t="s">
        <v>45</v>
      </c>
      <c r="R131" s="13" t="s">
        <v>72</v>
      </c>
      <c r="S131" s="11" t="n">
        <v>4210301</v>
      </c>
      <c r="T131" s="13" t="s">
        <v>230</v>
      </c>
      <c r="U131" s="14" t="n">
        <v>1224.72</v>
      </c>
      <c r="W131" s="14" t="n">
        <v>0</v>
      </c>
      <c r="X131" s="13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99</v>
      </c>
      <c r="F132" s="11" t="n">
        <v>7</v>
      </c>
      <c r="G132" s="13" t="s">
        <v>229</v>
      </c>
      <c r="H132" s="11" t="n">
        <v>2110405</v>
      </c>
      <c r="I132" s="13" t="s">
        <v>34</v>
      </c>
      <c r="J132" s="11" t="n">
        <v>1210932</v>
      </c>
      <c r="L132" s="11" t="n">
        <v>189514</v>
      </c>
      <c r="M132" s="13" t="s">
        <v>44</v>
      </c>
      <c r="N132" s="13" t="s">
        <v>36</v>
      </c>
      <c r="P132" s="11" t="n">
        <v>128</v>
      </c>
      <c r="Q132" s="13" t="s">
        <v>45</v>
      </c>
      <c r="R132" s="13" t="s">
        <v>72</v>
      </c>
      <c r="S132" s="11" t="n">
        <v>4210301</v>
      </c>
      <c r="T132" s="13" t="s">
        <v>230</v>
      </c>
      <c r="U132" s="14" t="n">
        <v>501.22</v>
      </c>
      <c r="W132" s="14" t="n">
        <v>0</v>
      </c>
      <c r="X132" s="13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99</v>
      </c>
      <c r="F133" s="11" t="n">
        <v>34</v>
      </c>
      <c r="G133" s="13" t="s">
        <v>33</v>
      </c>
      <c r="H133" s="11" t="n">
        <v>2110405</v>
      </c>
      <c r="I133" s="13" t="s">
        <v>34</v>
      </c>
      <c r="J133" s="11" t="n">
        <v>1210956</v>
      </c>
      <c r="L133" s="11" t="n">
        <v>189515</v>
      </c>
      <c r="M133" s="13" t="s">
        <v>44</v>
      </c>
      <c r="N133" s="13" t="s">
        <v>36</v>
      </c>
      <c r="P133" s="11" t="n">
        <v>128</v>
      </c>
      <c r="Q133" s="13" t="s">
        <v>45</v>
      </c>
      <c r="R133" s="13" t="s">
        <v>72</v>
      </c>
      <c r="S133" s="11" t="n">
        <v>4210301</v>
      </c>
      <c r="T133" s="13" t="s">
        <v>230</v>
      </c>
      <c r="U133" s="14" t="n">
        <v>1052.51</v>
      </c>
      <c r="W133" s="14" t="n">
        <v>0</v>
      </c>
      <c r="X133" s="13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45</v>
      </c>
      <c r="F134" s="11" t="n">
        <v>7</v>
      </c>
      <c r="G134" s="13" t="s">
        <v>229</v>
      </c>
      <c r="H134" s="11" t="n">
        <v>2110405</v>
      </c>
      <c r="I134" s="13" t="s">
        <v>34</v>
      </c>
      <c r="J134" s="11" t="n">
        <v>1210967</v>
      </c>
      <c r="L134" s="11" t="n">
        <v>189520</v>
      </c>
      <c r="M134" s="13" t="s">
        <v>44</v>
      </c>
      <c r="N134" s="13" t="s">
        <v>36</v>
      </c>
      <c r="P134" s="11" t="n">
        <v>128</v>
      </c>
      <c r="Q134" s="13" t="s">
        <v>45</v>
      </c>
      <c r="R134" s="13" t="s">
        <v>72</v>
      </c>
      <c r="S134" s="11" t="n">
        <v>4210301</v>
      </c>
      <c r="T134" s="13" t="s">
        <v>230</v>
      </c>
      <c r="U134" s="14" t="n">
        <v>190.91</v>
      </c>
      <c r="W134" s="14" t="n">
        <v>0</v>
      </c>
      <c r="X134" s="13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45</v>
      </c>
      <c r="F135" s="11" t="n">
        <v>34</v>
      </c>
      <c r="G135" s="13" t="s">
        <v>33</v>
      </c>
      <c r="H135" s="11" t="n">
        <v>2110405</v>
      </c>
      <c r="I135" s="13" t="s">
        <v>34</v>
      </c>
      <c r="J135" s="11" t="n">
        <v>1210988</v>
      </c>
      <c r="L135" s="11" t="n">
        <v>189524</v>
      </c>
      <c r="M135" s="13" t="s">
        <v>44</v>
      </c>
      <c r="N135" s="13" t="s">
        <v>36</v>
      </c>
      <c r="P135" s="11" t="n">
        <v>128</v>
      </c>
      <c r="Q135" s="13" t="s">
        <v>45</v>
      </c>
      <c r="R135" s="13" t="s">
        <v>72</v>
      </c>
      <c r="S135" s="11" t="n">
        <v>4210301</v>
      </c>
      <c r="T135" s="13" t="s">
        <v>230</v>
      </c>
      <c r="U135" s="14" t="n">
        <v>1386.06</v>
      </c>
      <c r="W135" s="14" t="n">
        <v>0</v>
      </c>
      <c r="X135" s="13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90</v>
      </c>
      <c r="F136" s="11" t="n">
        <v>7</v>
      </c>
      <c r="G136" s="13" t="s">
        <v>229</v>
      </c>
      <c r="H136" s="11" t="n">
        <v>2110405</v>
      </c>
      <c r="I136" s="13" t="s">
        <v>34</v>
      </c>
      <c r="J136" s="11" t="n">
        <v>1211008</v>
      </c>
      <c r="L136" s="11" t="n">
        <v>189525</v>
      </c>
      <c r="M136" s="13" t="s">
        <v>44</v>
      </c>
      <c r="N136" s="13" t="s">
        <v>36</v>
      </c>
      <c r="P136" s="11" t="n">
        <v>128</v>
      </c>
      <c r="Q136" s="13" t="s">
        <v>45</v>
      </c>
      <c r="R136" s="13" t="s">
        <v>72</v>
      </c>
      <c r="S136" s="11" t="n">
        <v>4210301</v>
      </c>
      <c r="T136" s="13" t="s">
        <v>230</v>
      </c>
      <c r="U136" s="14" t="n">
        <v>638.9</v>
      </c>
      <c r="W136" s="14" t="n">
        <v>0</v>
      </c>
      <c r="X136" s="13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90</v>
      </c>
      <c r="F137" s="11" t="n">
        <v>11</v>
      </c>
      <c r="G137" s="13" t="s">
        <v>234</v>
      </c>
      <c r="H137" s="11" t="n">
        <v>2110405</v>
      </c>
      <c r="I137" s="13" t="s">
        <v>34</v>
      </c>
      <c r="J137" s="11" t="n">
        <v>1211038</v>
      </c>
      <c r="L137" s="11" t="n">
        <v>189528</v>
      </c>
      <c r="M137" s="13" t="s">
        <v>44</v>
      </c>
      <c r="N137" s="13" t="s">
        <v>36</v>
      </c>
      <c r="P137" s="11" t="n">
        <v>128</v>
      </c>
      <c r="Q137" s="13" t="s">
        <v>45</v>
      </c>
      <c r="R137" s="13" t="s">
        <v>72</v>
      </c>
      <c r="S137" s="11" t="n">
        <v>4210301</v>
      </c>
      <c r="T137" s="13" t="s">
        <v>230</v>
      </c>
      <c r="U137" s="14" t="n">
        <v>500</v>
      </c>
      <c r="W137" s="14" t="n">
        <v>500</v>
      </c>
      <c r="X137" s="13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90</v>
      </c>
      <c r="F138" s="11" t="n">
        <v>34</v>
      </c>
      <c r="G138" s="13" t="s">
        <v>33</v>
      </c>
      <c r="H138" s="11" t="n">
        <v>2110405</v>
      </c>
      <c r="I138" s="13" t="s">
        <v>34</v>
      </c>
      <c r="J138" s="11" t="n">
        <v>1211045</v>
      </c>
      <c r="L138" s="11" t="n">
        <v>189531</v>
      </c>
      <c r="M138" s="13" t="s">
        <v>44</v>
      </c>
      <c r="N138" s="13" t="s">
        <v>36</v>
      </c>
      <c r="P138" s="11" t="n">
        <v>128</v>
      </c>
      <c r="Q138" s="13" t="s">
        <v>45</v>
      </c>
      <c r="R138" s="13" t="s">
        <v>72</v>
      </c>
      <c r="S138" s="11" t="n">
        <v>4210301</v>
      </c>
      <c r="T138" s="13" t="s">
        <v>230</v>
      </c>
      <c r="U138" s="14" t="n">
        <v>854.13</v>
      </c>
      <c r="W138" s="14" t="n">
        <v>0</v>
      </c>
      <c r="X138" s="13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92</v>
      </c>
      <c r="F139" s="11" t="n">
        <v>7</v>
      </c>
      <c r="G139" s="13" t="s">
        <v>229</v>
      </c>
      <c r="H139" s="11" t="n">
        <v>2110405</v>
      </c>
      <c r="I139" s="13" t="s">
        <v>34</v>
      </c>
      <c r="J139" s="11" t="n">
        <v>1211060</v>
      </c>
      <c r="L139" s="11" t="n">
        <v>189533</v>
      </c>
      <c r="M139" s="13" t="s">
        <v>44</v>
      </c>
      <c r="N139" s="13" t="s">
        <v>36</v>
      </c>
      <c r="P139" s="11" t="n">
        <v>128</v>
      </c>
      <c r="Q139" s="13" t="s">
        <v>45</v>
      </c>
      <c r="R139" s="13" t="s">
        <v>72</v>
      </c>
      <c r="S139" s="11" t="n">
        <v>4210301</v>
      </c>
      <c r="T139" s="13" t="s">
        <v>230</v>
      </c>
      <c r="U139" s="14" t="n">
        <v>499.29</v>
      </c>
      <c r="W139" s="14" t="n">
        <v>0</v>
      </c>
      <c r="X139" s="13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92</v>
      </c>
      <c r="F140" s="11" t="n">
        <v>34</v>
      </c>
      <c r="G140" s="13" t="s">
        <v>33</v>
      </c>
      <c r="H140" s="11" t="n">
        <v>2110405</v>
      </c>
      <c r="I140" s="13" t="s">
        <v>34</v>
      </c>
      <c r="J140" s="11" t="n">
        <v>1211067</v>
      </c>
      <c r="L140" s="11" t="n">
        <v>189534</v>
      </c>
      <c r="M140" s="13" t="s">
        <v>44</v>
      </c>
      <c r="N140" s="13" t="s">
        <v>36</v>
      </c>
      <c r="P140" s="11" t="n">
        <v>128</v>
      </c>
      <c r="Q140" s="13" t="s">
        <v>45</v>
      </c>
      <c r="R140" s="13" t="s">
        <v>72</v>
      </c>
      <c r="S140" s="11" t="n">
        <v>4210301</v>
      </c>
      <c r="T140" s="13" t="s">
        <v>230</v>
      </c>
      <c r="U140" s="14" t="n">
        <v>837.89</v>
      </c>
      <c r="W140" s="14" t="n">
        <v>0</v>
      </c>
      <c r="X140" s="13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102</v>
      </c>
      <c r="F141" s="11" t="n">
        <v>7</v>
      </c>
      <c r="G141" s="13" t="s">
        <v>229</v>
      </c>
      <c r="H141" s="11" t="n">
        <v>2110405</v>
      </c>
      <c r="I141" s="13" t="s">
        <v>34</v>
      </c>
      <c r="J141" s="11" t="n">
        <v>1211085</v>
      </c>
      <c r="L141" s="11" t="n">
        <v>15</v>
      </c>
      <c r="M141" s="13" t="s">
        <v>44</v>
      </c>
      <c r="N141" s="13" t="s">
        <v>36</v>
      </c>
      <c r="P141" s="11" t="n">
        <v>128</v>
      </c>
      <c r="Q141" s="13" t="s">
        <v>45</v>
      </c>
      <c r="R141" s="13" t="s">
        <v>72</v>
      </c>
      <c r="S141" s="11" t="n">
        <v>4210301</v>
      </c>
      <c r="T141" s="13" t="s">
        <v>230</v>
      </c>
      <c r="U141" s="14" t="n">
        <v>498.26</v>
      </c>
      <c r="W141" s="14" t="n">
        <v>0</v>
      </c>
      <c r="X141" s="13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102</v>
      </c>
      <c r="F142" s="11" t="n">
        <v>23</v>
      </c>
      <c r="G142" s="13" t="s">
        <v>237</v>
      </c>
      <c r="H142" s="11" t="n">
        <v>2110405</v>
      </c>
      <c r="I142" s="13" t="s">
        <v>34</v>
      </c>
      <c r="J142" s="11" t="n">
        <v>1211089</v>
      </c>
      <c r="L142" s="11" t="n">
        <v>189539</v>
      </c>
      <c r="M142" s="13" t="s">
        <v>44</v>
      </c>
      <c r="N142" s="13" t="s">
        <v>36</v>
      </c>
      <c r="P142" s="11" t="n">
        <v>128</v>
      </c>
      <c r="Q142" s="13" t="s">
        <v>45</v>
      </c>
      <c r="R142" s="13" t="s">
        <v>72</v>
      </c>
      <c r="S142" s="11" t="n">
        <v>4210301</v>
      </c>
      <c r="T142" s="13" t="s">
        <v>230</v>
      </c>
      <c r="U142" s="14" t="n">
        <v>200</v>
      </c>
      <c r="W142" s="14" t="n">
        <v>200</v>
      </c>
      <c r="X142" s="13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102</v>
      </c>
      <c r="F143" s="11" t="n">
        <v>34</v>
      </c>
      <c r="G143" s="13" t="s">
        <v>33</v>
      </c>
      <c r="H143" s="11" t="n">
        <v>2110405</v>
      </c>
      <c r="I143" s="13" t="s">
        <v>34</v>
      </c>
      <c r="J143" s="11" t="n">
        <v>1211104</v>
      </c>
      <c r="L143" s="11" t="n">
        <v>189543</v>
      </c>
      <c r="M143" s="13" t="s">
        <v>44</v>
      </c>
      <c r="N143" s="13" t="s">
        <v>36</v>
      </c>
      <c r="P143" s="11" t="n">
        <v>128</v>
      </c>
      <c r="Q143" s="13" t="s">
        <v>45</v>
      </c>
      <c r="R143" s="13" t="s">
        <v>72</v>
      </c>
      <c r="S143" s="11" t="n">
        <v>4210301</v>
      </c>
      <c r="T143" s="13" t="s">
        <v>230</v>
      </c>
      <c r="U143" s="14" t="n">
        <v>1249.86</v>
      </c>
      <c r="W143" s="14" t="n">
        <v>0</v>
      </c>
      <c r="X143" s="13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100</v>
      </c>
      <c r="F144" s="11" t="n">
        <v>7</v>
      </c>
      <c r="G144" s="13" t="s">
        <v>229</v>
      </c>
      <c r="H144" s="11" t="n">
        <v>2110405</v>
      </c>
      <c r="I144" s="13" t="s">
        <v>34</v>
      </c>
      <c r="J144" s="11" t="n">
        <v>1211113</v>
      </c>
      <c r="L144" s="11" t="n">
        <v>189547</v>
      </c>
      <c r="M144" s="13" t="s">
        <v>44</v>
      </c>
      <c r="N144" s="13" t="s">
        <v>36</v>
      </c>
      <c r="P144" s="11" t="n">
        <v>128</v>
      </c>
      <c r="Q144" s="13" t="s">
        <v>45</v>
      </c>
      <c r="R144" s="13" t="s">
        <v>72</v>
      </c>
      <c r="S144" s="11" t="n">
        <v>4210301</v>
      </c>
      <c r="T144" s="13" t="s">
        <v>230</v>
      </c>
      <c r="U144" s="14" t="n">
        <v>294.81</v>
      </c>
      <c r="W144" s="14" t="n">
        <v>0</v>
      </c>
      <c r="X144" s="13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100</v>
      </c>
      <c r="F145" s="11" t="n">
        <v>34</v>
      </c>
      <c r="G145" s="13" t="s">
        <v>33</v>
      </c>
      <c r="H145" s="11" t="n">
        <v>2110405</v>
      </c>
      <c r="I145" s="13" t="s">
        <v>34</v>
      </c>
      <c r="J145" s="11" t="n">
        <v>1211119</v>
      </c>
      <c r="L145" s="11" t="n">
        <v>189549</v>
      </c>
      <c r="M145" s="13" t="s">
        <v>44</v>
      </c>
      <c r="N145" s="13" t="s">
        <v>36</v>
      </c>
      <c r="P145" s="11" t="n">
        <v>128</v>
      </c>
      <c r="Q145" s="13" t="s">
        <v>45</v>
      </c>
      <c r="R145" s="13" t="s">
        <v>72</v>
      </c>
      <c r="S145" s="11" t="n">
        <v>4210301</v>
      </c>
      <c r="T145" s="13" t="s">
        <v>230</v>
      </c>
      <c r="U145" s="14" t="n">
        <v>261.42</v>
      </c>
      <c r="W145" s="14" t="n">
        <v>0</v>
      </c>
      <c r="X145" s="13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239</v>
      </c>
      <c r="F146" s="11" t="n">
        <v>7</v>
      </c>
      <c r="G146" s="13" t="s">
        <v>229</v>
      </c>
      <c r="H146" s="11" t="n">
        <v>2110405</v>
      </c>
      <c r="I146" s="13" t="s">
        <v>34</v>
      </c>
      <c r="J146" s="11" t="n">
        <v>1211127</v>
      </c>
      <c r="L146" s="11" t="n">
        <v>189550</v>
      </c>
      <c r="M146" s="13" t="s">
        <v>44</v>
      </c>
      <c r="N146" s="13" t="s">
        <v>36</v>
      </c>
      <c r="P146" s="11" t="n">
        <v>128</v>
      </c>
      <c r="Q146" s="13" t="s">
        <v>45</v>
      </c>
      <c r="R146" s="13" t="s">
        <v>72</v>
      </c>
      <c r="S146" s="11" t="n">
        <v>4210301</v>
      </c>
      <c r="T146" s="13" t="s">
        <v>230</v>
      </c>
      <c r="U146" s="14" t="n">
        <v>499.06</v>
      </c>
      <c r="W146" s="14" t="n">
        <v>0</v>
      </c>
      <c r="X146" s="13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239</v>
      </c>
      <c r="F147" s="11" t="n">
        <v>11</v>
      </c>
      <c r="G147" s="13" t="s">
        <v>234</v>
      </c>
      <c r="H147" s="11" t="n">
        <v>2110405</v>
      </c>
      <c r="I147" s="13" t="s">
        <v>34</v>
      </c>
      <c r="J147" s="11" t="n">
        <v>1211135</v>
      </c>
      <c r="L147" s="11" t="n">
        <v>189551</v>
      </c>
      <c r="M147" s="13" t="s">
        <v>44</v>
      </c>
      <c r="N147" s="13" t="s">
        <v>36</v>
      </c>
      <c r="P147" s="11" t="n">
        <v>128</v>
      </c>
      <c r="Q147" s="13" t="s">
        <v>45</v>
      </c>
      <c r="R147" s="13" t="s">
        <v>72</v>
      </c>
      <c r="S147" s="11" t="n">
        <v>4210301</v>
      </c>
      <c r="T147" s="13" t="s">
        <v>230</v>
      </c>
      <c r="U147" s="14" t="n">
        <v>200</v>
      </c>
      <c r="W147" s="14" t="n">
        <v>200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239</v>
      </c>
      <c r="F148" s="11" t="n">
        <v>34</v>
      </c>
      <c r="G148" s="13" t="s">
        <v>33</v>
      </c>
      <c r="H148" s="11" t="n">
        <v>2110405</v>
      </c>
      <c r="I148" s="13" t="s">
        <v>34</v>
      </c>
      <c r="J148" s="11" t="n">
        <v>1211145</v>
      </c>
      <c r="L148" s="11" t="n">
        <v>189552</v>
      </c>
      <c r="M148" s="13" t="s">
        <v>44</v>
      </c>
      <c r="N148" s="13" t="s">
        <v>36</v>
      </c>
      <c r="P148" s="11" t="n">
        <v>128</v>
      </c>
      <c r="Q148" s="13" t="s">
        <v>45</v>
      </c>
      <c r="R148" s="13" t="s">
        <v>72</v>
      </c>
      <c r="S148" s="11" t="n">
        <v>4210301</v>
      </c>
      <c r="T148" s="13" t="s">
        <v>230</v>
      </c>
      <c r="U148" s="14" t="n">
        <v>629.55</v>
      </c>
      <c r="W148" s="14" t="n">
        <v>0</v>
      </c>
      <c r="X148" s="13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91</v>
      </c>
      <c r="F149" s="11" t="n">
        <v>7</v>
      </c>
      <c r="G149" s="13" t="s">
        <v>229</v>
      </c>
      <c r="H149" s="11" t="n">
        <v>2110405</v>
      </c>
      <c r="I149" s="13" t="s">
        <v>34</v>
      </c>
      <c r="J149" s="11" t="n">
        <v>1211148</v>
      </c>
      <c r="L149" s="11" t="n">
        <v>189554</v>
      </c>
      <c r="M149" s="13" t="s">
        <v>44</v>
      </c>
      <c r="N149" s="13" t="s">
        <v>36</v>
      </c>
      <c r="P149" s="11" t="n">
        <v>128</v>
      </c>
      <c r="Q149" s="13" t="s">
        <v>45</v>
      </c>
      <c r="R149" s="13" t="s">
        <v>72</v>
      </c>
      <c r="S149" s="11" t="n">
        <v>4210301</v>
      </c>
      <c r="T149" s="13" t="s">
        <v>230</v>
      </c>
      <c r="U149" s="14" t="n">
        <v>548.99</v>
      </c>
      <c r="W149" s="14" t="n">
        <v>0</v>
      </c>
      <c r="X149" s="13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91</v>
      </c>
      <c r="F150" s="11" t="n">
        <v>34</v>
      </c>
      <c r="G150" s="13" t="s">
        <v>33</v>
      </c>
      <c r="H150" s="11" t="n">
        <v>2110405</v>
      </c>
      <c r="I150" s="13" t="s">
        <v>34</v>
      </c>
      <c r="J150" s="11" t="n">
        <v>1211154</v>
      </c>
      <c r="L150" s="11" t="n">
        <v>189555</v>
      </c>
      <c r="M150" s="13" t="s">
        <v>44</v>
      </c>
      <c r="N150" s="13" t="s">
        <v>36</v>
      </c>
      <c r="P150" s="11" t="n">
        <v>128</v>
      </c>
      <c r="Q150" s="13" t="s">
        <v>45</v>
      </c>
      <c r="R150" s="13" t="s">
        <v>72</v>
      </c>
      <c r="S150" s="11" t="n">
        <v>4210301</v>
      </c>
      <c r="T150" s="13" t="s">
        <v>230</v>
      </c>
      <c r="U150" s="14" t="n">
        <v>830.62</v>
      </c>
      <c r="W150" s="14" t="n">
        <v>0</v>
      </c>
      <c r="X150" s="13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95</v>
      </c>
      <c r="F151" s="11" t="n">
        <v>7</v>
      </c>
      <c r="G151" s="13" t="s">
        <v>229</v>
      </c>
      <c r="H151" s="11" t="n">
        <v>2110405</v>
      </c>
      <c r="I151" s="13" t="s">
        <v>34</v>
      </c>
      <c r="J151" s="11" t="n">
        <v>1211159</v>
      </c>
      <c r="L151" s="11" t="n">
        <v>189557</v>
      </c>
      <c r="M151" s="13" t="s">
        <v>44</v>
      </c>
      <c r="N151" s="13" t="s">
        <v>36</v>
      </c>
      <c r="P151" s="11" t="n">
        <v>128</v>
      </c>
      <c r="Q151" s="13" t="s">
        <v>45</v>
      </c>
      <c r="R151" s="13" t="s">
        <v>72</v>
      </c>
      <c r="S151" s="11" t="n">
        <v>4210301</v>
      </c>
      <c r="T151" s="13" t="s">
        <v>230</v>
      </c>
      <c r="U151" s="14" t="n">
        <v>548.35</v>
      </c>
      <c r="W151" s="14" t="n">
        <v>0</v>
      </c>
      <c r="X151" s="13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95</v>
      </c>
      <c r="F152" s="11" t="n">
        <v>34</v>
      </c>
      <c r="G152" s="13" t="s">
        <v>33</v>
      </c>
      <c r="H152" s="11" t="n">
        <v>2110405</v>
      </c>
      <c r="I152" s="13" t="s">
        <v>34</v>
      </c>
      <c r="J152" s="11" t="n">
        <v>1211167</v>
      </c>
      <c r="L152" s="11" t="n">
        <v>189559</v>
      </c>
      <c r="M152" s="13" t="s">
        <v>44</v>
      </c>
      <c r="N152" s="13" t="s">
        <v>36</v>
      </c>
      <c r="P152" s="11" t="n">
        <v>128</v>
      </c>
      <c r="Q152" s="13" t="s">
        <v>45</v>
      </c>
      <c r="R152" s="13" t="s">
        <v>72</v>
      </c>
      <c r="S152" s="11" t="n">
        <v>4210301</v>
      </c>
      <c r="T152" s="13" t="s">
        <v>230</v>
      </c>
      <c r="U152" s="14" t="n">
        <v>1218.38</v>
      </c>
      <c r="W152" s="14" t="n">
        <v>0</v>
      </c>
      <c r="X152" s="13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97</v>
      </c>
      <c r="F153" s="11" t="n">
        <v>7</v>
      </c>
      <c r="G153" s="13" t="s">
        <v>229</v>
      </c>
      <c r="H153" s="11" t="n">
        <v>2110405</v>
      </c>
      <c r="I153" s="13" t="s">
        <v>34</v>
      </c>
      <c r="J153" s="11" t="n">
        <v>1211172</v>
      </c>
      <c r="L153" s="11" t="n">
        <v>189561</v>
      </c>
      <c r="M153" s="13" t="s">
        <v>44</v>
      </c>
      <c r="N153" s="13" t="s">
        <v>36</v>
      </c>
      <c r="P153" s="11" t="n">
        <v>128</v>
      </c>
      <c r="Q153" s="13" t="s">
        <v>45</v>
      </c>
      <c r="R153" s="13" t="s">
        <v>72</v>
      </c>
      <c r="S153" s="11" t="n">
        <v>4210301</v>
      </c>
      <c r="T153" s="13" t="s">
        <v>230</v>
      </c>
      <c r="U153" s="14" t="n">
        <v>399.64</v>
      </c>
      <c r="W153" s="14" t="n">
        <v>0</v>
      </c>
      <c r="X153" s="13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97</v>
      </c>
      <c r="F154" s="11" t="n">
        <v>34</v>
      </c>
      <c r="G154" s="13" t="s">
        <v>33</v>
      </c>
      <c r="H154" s="11" t="n">
        <v>2110405</v>
      </c>
      <c r="I154" s="13" t="s">
        <v>34</v>
      </c>
      <c r="J154" s="11" t="n">
        <v>1211185</v>
      </c>
      <c r="L154" s="11" t="n">
        <v>189562</v>
      </c>
      <c r="M154" s="13" t="s">
        <v>44</v>
      </c>
      <c r="N154" s="13" t="s">
        <v>36</v>
      </c>
      <c r="P154" s="11" t="n">
        <v>128</v>
      </c>
      <c r="Q154" s="13" t="s">
        <v>45</v>
      </c>
      <c r="R154" s="13" t="s">
        <v>72</v>
      </c>
      <c r="S154" s="11" t="n">
        <v>4210301</v>
      </c>
      <c r="T154" s="13" t="s">
        <v>230</v>
      </c>
      <c r="U154" s="14" t="n">
        <v>597.16</v>
      </c>
      <c r="W154" s="14" t="n">
        <v>0</v>
      </c>
      <c r="X154" s="13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98</v>
      </c>
      <c r="F155" s="11" t="n">
        <v>7</v>
      </c>
      <c r="G155" s="13" t="s">
        <v>229</v>
      </c>
      <c r="H155" s="11" t="n">
        <v>2110405</v>
      </c>
      <c r="I155" s="13" t="s">
        <v>34</v>
      </c>
      <c r="J155" s="11" t="n">
        <v>1211192</v>
      </c>
      <c r="L155" s="11" t="n">
        <v>189565</v>
      </c>
      <c r="M155" s="13" t="s">
        <v>44</v>
      </c>
      <c r="N155" s="13" t="s">
        <v>36</v>
      </c>
      <c r="P155" s="11" t="n">
        <v>128</v>
      </c>
      <c r="Q155" s="13" t="s">
        <v>45</v>
      </c>
      <c r="R155" s="13" t="s">
        <v>72</v>
      </c>
      <c r="S155" s="11" t="n">
        <v>4210301</v>
      </c>
      <c r="T155" s="13" t="s">
        <v>230</v>
      </c>
      <c r="U155" s="14" t="n">
        <v>378.65</v>
      </c>
      <c r="W155" s="14" t="n">
        <v>0</v>
      </c>
      <c r="X155" s="13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98</v>
      </c>
      <c r="F156" s="11" t="n">
        <v>34</v>
      </c>
      <c r="G156" s="13" t="s">
        <v>33</v>
      </c>
      <c r="H156" s="11" t="n">
        <v>2110405</v>
      </c>
      <c r="I156" s="13" t="s">
        <v>34</v>
      </c>
      <c r="J156" s="11" t="n">
        <v>1211202</v>
      </c>
      <c r="L156" s="11" t="n">
        <v>189566</v>
      </c>
      <c r="M156" s="13" t="s">
        <v>44</v>
      </c>
      <c r="N156" s="13" t="s">
        <v>36</v>
      </c>
      <c r="P156" s="11" t="n">
        <v>128</v>
      </c>
      <c r="Q156" s="13" t="s">
        <v>45</v>
      </c>
      <c r="R156" s="13" t="s">
        <v>72</v>
      </c>
      <c r="S156" s="11" t="n">
        <v>4210301</v>
      </c>
      <c r="T156" s="13" t="s">
        <v>230</v>
      </c>
      <c r="U156" s="14" t="n">
        <v>503.71</v>
      </c>
      <c r="W156" s="14" t="n">
        <v>0</v>
      </c>
      <c r="X156" s="13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94</v>
      </c>
      <c r="F157" s="11" t="n">
        <v>34</v>
      </c>
      <c r="G157" s="13" t="s">
        <v>33</v>
      </c>
      <c r="H157" s="11" t="n">
        <v>2110405</v>
      </c>
      <c r="I157" s="13" t="s">
        <v>34</v>
      </c>
      <c r="J157" s="11" t="n">
        <v>1211205</v>
      </c>
      <c r="L157" s="11" t="n">
        <v>189569</v>
      </c>
      <c r="M157" s="13" t="s">
        <v>44</v>
      </c>
      <c r="N157" s="13" t="s">
        <v>36</v>
      </c>
      <c r="P157" s="11" t="n">
        <v>128</v>
      </c>
      <c r="Q157" s="13" t="s">
        <v>45</v>
      </c>
      <c r="R157" s="13" t="s">
        <v>72</v>
      </c>
      <c r="S157" s="11" t="n">
        <v>4210301</v>
      </c>
      <c r="T157" s="13" t="s">
        <v>230</v>
      </c>
      <c r="U157" s="14" t="n">
        <v>1328.22</v>
      </c>
      <c r="W157" s="14" t="n">
        <v>0</v>
      </c>
      <c r="X157" s="13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202</v>
      </c>
      <c r="F158" s="11" t="n">
        <v>7</v>
      </c>
      <c r="G158" s="13" t="s">
        <v>229</v>
      </c>
      <c r="H158" s="11" t="n">
        <v>2110405</v>
      </c>
      <c r="I158" s="13" t="s">
        <v>34</v>
      </c>
      <c r="J158" s="11" t="n">
        <v>1211207</v>
      </c>
      <c r="L158" s="11" t="n">
        <v>189571</v>
      </c>
      <c r="M158" s="13" t="s">
        <v>44</v>
      </c>
      <c r="N158" s="13" t="s">
        <v>36</v>
      </c>
      <c r="P158" s="11" t="n">
        <v>128</v>
      </c>
      <c r="Q158" s="13" t="s">
        <v>45</v>
      </c>
      <c r="R158" s="13" t="s">
        <v>72</v>
      </c>
      <c r="S158" s="11" t="n">
        <v>4210301</v>
      </c>
      <c r="T158" s="13" t="s">
        <v>230</v>
      </c>
      <c r="U158" s="14" t="n">
        <v>726.03</v>
      </c>
      <c r="W158" s="14" t="n">
        <v>0</v>
      </c>
      <c r="X158" s="13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242</v>
      </c>
      <c r="F159" s="11" t="n">
        <v>11</v>
      </c>
      <c r="G159" s="13" t="s">
        <v>234</v>
      </c>
      <c r="H159" s="11" t="n">
        <v>2110405</v>
      </c>
      <c r="I159" s="13" t="s">
        <v>34</v>
      </c>
      <c r="J159" s="11" t="n">
        <v>1211214</v>
      </c>
      <c r="L159" s="11" t="n">
        <v>189572</v>
      </c>
      <c r="M159" s="13" t="s">
        <v>44</v>
      </c>
      <c r="N159" s="13" t="s">
        <v>36</v>
      </c>
      <c r="P159" s="11" t="n">
        <v>128</v>
      </c>
      <c r="Q159" s="13" t="s">
        <v>45</v>
      </c>
      <c r="R159" s="13" t="s">
        <v>72</v>
      </c>
      <c r="S159" s="11" t="n">
        <v>4210301</v>
      </c>
      <c r="T159" s="13" t="s">
        <v>230</v>
      </c>
      <c r="U159" s="14" t="n">
        <v>300</v>
      </c>
      <c r="W159" s="14" t="n">
        <v>300</v>
      </c>
      <c r="X159" s="13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220</v>
      </c>
      <c r="F160" s="11" t="n">
        <v>34</v>
      </c>
      <c r="G160" s="13" t="s">
        <v>33</v>
      </c>
      <c r="H160" s="11" t="n">
        <v>2110101</v>
      </c>
      <c r="I160" s="13" t="s">
        <v>43</v>
      </c>
      <c r="J160" s="11" t="n">
        <v>718029</v>
      </c>
      <c r="L160" s="11" t="n">
        <v>968</v>
      </c>
      <c r="M160" s="13" t="s">
        <v>44</v>
      </c>
      <c r="N160" s="13" t="s">
        <v>69</v>
      </c>
      <c r="P160" s="11" t="n">
        <v>128</v>
      </c>
      <c r="Q160" s="13" t="s">
        <v>45</v>
      </c>
      <c r="R160" s="13" t="s">
        <v>46</v>
      </c>
      <c r="S160" s="11" t="n">
        <v>1130101</v>
      </c>
      <c r="T160" s="13" t="s">
        <v>47</v>
      </c>
      <c r="U160" s="14" t="n">
        <v>200</v>
      </c>
      <c r="W160" s="14" t="n">
        <v>0</v>
      </c>
      <c r="X160" s="13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71</v>
      </c>
      <c r="F161" s="11" t="n">
        <v>34</v>
      </c>
      <c r="G161" s="13" t="s">
        <v>33</v>
      </c>
      <c r="H161" s="11" t="n">
        <v>2110405</v>
      </c>
      <c r="I161" s="13" t="s">
        <v>34</v>
      </c>
      <c r="J161" s="11" t="n">
        <v>911199</v>
      </c>
      <c r="L161" s="11" t="n">
        <v>143958</v>
      </c>
      <c r="M161" s="13" t="s">
        <v>244</v>
      </c>
      <c r="N161" s="13" t="s">
        <v>36</v>
      </c>
      <c r="P161" s="11" t="n">
        <v>101</v>
      </c>
      <c r="Q161" s="13" t="s">
        <v>37</v>
      </c>
      <c r="R161" s="13" t="s">
        <v>245</v>
      </c>
      <c r="S161" s="11" t="n">
        <v>2210202</v>
      </c>
      <c r="T161" s="13" t="s">
        <v>245</v>
      </c>
      <c r="U161" s="14" t="n">
        <v>1000</v>
      </c>
      <c r="W161" s="14" t="n">
        <v>0</v>
      </c>
      <c r="X161" s="13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247</v>
      </c>
      <c r="F162" s="11" t="n">
        <v>34</v>
      </c>
      <c r="G162" s="13" t="s">
        <v>33</v>
      </c>
      <c r="H162" s="11" t="n">
        <v>2110101</v>
      </c>
      <c r="I162" s="13" t="s">
        <v>43</v>
      </c>
      <c r="J162" s="11" t="n">
        <v>1027805</v>
      </c>
      <c r="L162" s="11" t="n">
        <v>125151</v>
      </c>
      <c r="M162" s="13" t="s">
        <v>44</v>
      </c>
      <c r="N162" s="13" t="s">
        <v>36</v>
      </c>
      <c r="P162" s="11" t="n">
        <v>128</v>
      </c>
      <c r="Q162" s="13" t="s">
        <v>45</v>
      </c>
      <c r="R162" s="13" t="s">
        <v>46</v>
      </c>
      <c r="S162" s="11" t="n">
        <v>1130101</v>
      </c>
      <c r="T162" s="13" t="s">
        <v>47</v>
      </c>
      <c r="U162" s="14" t="n">
        <v>442.51</v>
      </c>
      <c r="W162" s="14" t="n">
        <v>0</v>
      </c>
      <c r="X162" s="13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247</v>
      </c>
      <c r="F163" s="11" t="n">
        <v>34</v>
      </c>
      <c r="G163" s="13" t="s">
        <v>33</v>
      </c>
      <c r="H163" s="11" t="n">
        <v>2110101</v>
      </c>
      <c r="I163" s="13" t="s">
        <v>43</v>
      </c>
      <c r="J163" s="11" t="n">
        <v>1027823</v>
      </c>
      <c r="L163" s="11" t="n">
        <v>125152</v>
      </c>
      <c r="M163" s="13" t="s">
        <v>44</v>
      </c>
      <c r="N163" s="13" t="s">
        <v>36</v>
      </c>
      <c r="P163" s="11" t="n">
        <v>128</v>
      </c>
      <c r="Q163" s="13" t="s">
        <v>45</v>
      </c>
      <c r="R163" s="13" t="s">
        <v>46</v>
      </c>
      <c r="S163" s="11" t="n">
        <v>1130101</v>
      </c>
      <c r="T163" s="13" t="s">
        <v>47</v>
      </c>
      <c r="U163" s="14" t="n">
        <v>442.51</v>
      </c>
      <c r="W163" s="14" t="n">
        <v>0</v>
      </c>
      <c r="X163" s="13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247</v>
      </c>
      <c r="F164" s="11" t="n">
        <v>34</v>
      </c>
      <c r="G164" s="13" t="s">
        <v>33</v>
      </c>
      <c r="H164" s="11" t="n">
        <v>2110101</v>
      </c>
      <c r="I164" s="13" t="s">
        <v>43</v>
      </c>
      <c r="J164" s="11" t="n">
        <v>1027828</v>
      </c>
      <c r="L164" s="11" t="n">
        <v>125153</v>
      </c>
      <c r="M164" s="13" t="s">
        <v>44</v>
      </c>
      <c r="N164" s="13" t="s">
        <v>36</v>
      </c>
      <c r="P164" s="11" t="n">
        <v>128</v>
      </c>
      <c r="Q164" s="13" t="s">
        <v>45</v>
      </c>
      <c r="R164" s="13" t="s">
        <v>46</v>
      </c>
      <c r="S164" s="11" t="n">
        <v>1130101</v>
      </c>
      <c r="T164" s="13" t="s">
        <v>47</v>
      </c>
      <c r="U164" s="14" t="n">
        <v>442.5</v>
      </c>
      <c r="W164" s="14" t="n">
        <v>0</v>
      </c>
      <c r="X164" s="13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251</v>
      </c>
      <c r="F165" s="11" t="n">
        <v>24</v>
      </c>
      <c r="G165" s="13" t="s">
        <v>42</v>
      </c>
      <c r="H165" s="11" t="n">
        <v>2110101</v>
      </c>
      <c r="I165" s="13" t="s">
        <v>43</v>
      </c>
      <c r="J165" s="11" t="n">
        <v>1056622</v>
      </c>
      <c r="L165" s="11" t="n">
        <v>8696613</v>
      </c>
      <c r="M165" s="13" t="s">
        <v>44</v>
      </c>
      <c r="N165" s="13" t="s">
        <v>36</v>
      </c>
      <c r="P165" s="11" t="n">
        <v>128</v>
      </c>
      <c r="Q165" s="13" t="s">
        <v>45</v>
      </c>
      <c r="R165" s="13" t="s">
        <v>46</v>
      </c>
      <c r="S165" s="11" t="n">
        <v>1130101</v>
      </c>
      <c r="T165" s="13" t="s">
        <v>47</v>
      </c>
      <c r="U165" s="14" t="n">
        <v>986.33</v>
      </c>
      <c r="W165" s="14" t="n">
        <v>0</v>
      </c>
      <c r="X165" s="13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253</v>
      </c>
      <c r="F166" s="11" t="n">
        <v>24</v>
      </c>
      <c r="G166" s="13" t="s">
        <v>42</v>
      </c>
      <c r="H166" s="11" t="n">
        <v>2110101</v>
      </c>
      <c r="I166" s="13" t="s">
        <v>43</v>
      </c>
      <c r="J166" s="11" t="n">
        <v>1064796</v>
      </c>
      <c r="L166" s="11" t="n">
        <v>1013493</v>
      </c>
      <c r="M166" s="13" t="s">
        <v>44</v>
      </c>
      <c r="N166" s="13" t="s">
        <v>36</v>
      </c>
      <c r="P166" s="11" t="n">
        <v>128</v>
      </c>
      <c r="Q166" s="13" t="s">
        <v>45</v>
      </c>
      <c r="R166" s="13" t="s">
        <v>46</v>
      </c>
      <c r="S166" s="11" t="n">
        <v>1130101</v>
      </c>
      <c r="T166" s="13" t="s">
        <v>47</v>
      </c>
      <c r="U166" s="14" t="n">
        <v>582.18</v>
      </c>
      <c r="W166" s="14" t="n">
        <v>0</v>
      </c>
      <c r="X166" s="13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255</v>
      </c>
      <c r="F167" s="11" t="n">
        <v>24</v>
      </c>
      <c r="G167" s="13" t="s">
        <v>42</v>
      </c>
      <c r="H167" s="11" t="n">
        <v>2110101</v>
      </c>
      <c r="I167" s="13" t="s">
        <v>43</v>
      </c>
      <c r="J167" s="11" t="n">
        <v>1066147</v>
      </c>
      <c r="L167" s="11" t="n">
        <v>3722663</v>
      </c>
      <c r="M167" s="13" t="s">
        <v>44</v>
      </c>
      <c r="N167" s="13" t="s">
        <v>36</v>
      </c>
      <c r="P167" s="11" t="n">
        <v>128</v>
      </c>
      <c r="Q167" s="13" t="s">
        <v>45</v>
      </c>
      <c r="R167" s="13" t="s">
        <v>46</v>
      </c>
      <c r="S167" s="11" t="n">
        <v>1130101</v>
      </c>
      <c r="T167" s="13" t="s">
        <v>47</v>
      </c>
      <c r="U167" s="14" t="n">
        <v>813.01</v>
      </c>
      <c r="W167" s="14" t="n">
        <v>0</v>
      </c>
      <c r="X167" s="13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257</v>
      </c>
      <c r="F168" s="11" t="n">
        <v>24</v>
      </c>
      <c r="G168" s="13" t="s">
        <v>42</v>
      </c>
      <c r="H168" s="11" t="n">
        <v>2110101</v>
      </c>
      <c r="I168" s="13" t="s">
        <v>43</v>
      </c>
      <c r="J168" s="11" t="n">
        <v>1083309</v>
      </c>
      <c r="L168" s="11" t="n">
        <v>25083</v>
      </c>
      <c r="M168" s="13" t="s">
        <v>44</v>
      </c>
      <c r="N168" s="13" t="s">
        <v>36</v>
      </c>
      <c r="P168" s="11" t="n">
        <v>128</v>
      </c>
      <c r="Q168" s="13" t="s">
        <v>45</v>
      </c>
      <c r="R168" s="13" t="s">
        <v>46</v>
      </c>
      <c r="S168" s="11" t="n">
        <v>1130101</v>
      </c>
      <c r="T168" s="13" t="s">
        <v>47</v>
      </c>
      <c r="U168" s="14" t="n">
        <v>628.7</v>
      </c>
      <c r="W168" s="14" t="n">
        <v>0</v>
      </c>
      <c r="X168" s="13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220</v>
      </c>
      <c r="F169" s="11" t="n">
        <v>34</v>
      </c>
      <c r="G169" s="13" t="s">
        <v>33</v>
      </c>
      <c r="H169" s="11" t="n">
        <v>2110101</v>
      </c>
      <c r="I169" s="13" t="s">
        <v>43</v>
      </c>
      <c r="J169" s="11" t="n">
        <v>1097638</v>
      </c>
      <c r="L169" s="11" t="n">
        <v>1412</v>
      </c>
      <c r="M169" s="13" t="s">
        <v>44</v>
      </c>
      <c r="N169" s="13" t="s">
        <v>69</v>
      </c>
      <c r="P169" s="11" t="n">
        <v>128</v>
      </c>
      <c r="Q169" s="13" t="s">
        <v>45</v>
      </c>
      <c r="R169" s="13" t="s">
        <v>46</v>
      </c>
      <c r="S169" s="11" t="n">
        <v>1130101</v>
      </c>
      <c r="T169" s="13" t="s">
        <v>47</v>
      </c>
      <c r="U169" s="14" t="n">
        <v>250</v>
      </c>
      <c r="W169" s="14" t="n">
        <v>0</v>
      </c>
      <c r="X169" s="13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260</v>
      </c>
      <c r="F170" s="11" t="n">
        <v>24</v>
      </c>
      <c r="G170" s="13" t="s">
        <v>42</v>
      </c>
      <c r="H170" s="11" t="n">
        <v>2110101</v>
      </c>
      <c r="I170" s="13" t="s">
        <v>43</v>
      </c>
      <c r="J170" s="11" t="n">
        <v>1098563</v>
      </c>
      <c r="L170" s="11" t="n">
        <v>2204731</v>
      </c>
      <c r="M170" s="13" t="s">
        <v>44</v>
      </c>
      <c r="N170" s="13" t="s">
        <v>36</v>
      </c>
      <c r="P170" s="11" t="n">
        <v>128</v>
      </c>
      <c r="Q170" s="13" t="s">
        <v>45</v>
      </c>
      <c r="R170" s="13" t="s">
        <v>46</v>
      </c>
      <c r="S170" s="11" t="n">
        <v>1130101</v>
      </c>
      <c r="T170" s="13" t="s">
        <v>47</v>
      </c>
      <c r="U170" s="14" t="n">
        <v>653.44</v>
      </c>
      <c r="W170" s="14" t="n">
        <v>0</v>
      </c>
      <c r="X170" s="13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262</v>
      </c>
      <c r="F171" s="11" t="n">
        <v>24</v>
      </c>
      <c r="G171" s="13" t="s">
        <v>42</v>
      </c>
      <c r="H171" s="11" t="n">
        <v>2110101</v>
      </c>
      <c r="I171" s="13" t="s">
        <v>43</v>
      </c>
      <c r="J171" s="11" t="n">
        <v>1101884</v>
      </c>
      <c r="L171" s="11" t="n">
        <v>7792</v>
      </c>
      <c r="M171" s="13" t="s">
        <v>44</v>
      </c>
      <c r="N171" s="13" t="s">
        <v>36</v>
      </c>
      <c r="P171" s="11" t="n">
        <v>129</v>
      </c>
      <c r="Q171" s="13" t="s">
        <v>102</v>
      </c>
      <c r="R171" s="13" t="s">
        <v>46</v>
      </c>
      <c r="S171" s="11" t="n">
        <v>1130101</v>
      </c>
      <c r="T171" s="13" t="s">
        <v>47</v>
      </c>
      <c r="U171" s="14" t="n">
        <v>503.88</v>
      </c>
      <c r="W171" s="14" t="n">
        <v>0</v>
      </c>
      <c r="X171" s="13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264</v>
      </c>
      <c r="F172" s="11" t="n">
        <v>24</v>
      </c>
      <c r="G172" s="13" t="s">
        <v>42</v>
      </c>
      <c r="H172" s="11" t="n">
        <v>2110101</v>
      </c>
      <c r="I172" s="13" t="s">
        <v>43</v>
      </c>
      <c r="J172" s="11" t="n">
        <v>1101916</v>
      </c>
      <c r="L172" s="11" t="n">
        <v>22843552</v>
      </c>
      <c r="M172" s="13" t="s">
        <v>44</v>
      </c>
      <c r="N172" s="13" t="s">
        <v>36</v>
      </c>
      <c r="P172" s="11" t="n">
        <v>129</v>
      </c>
      <c r="Q172" s="13" t="s">
        <v>102</v>
      </c>
      <c r="R172" s="13" t="s">
        <v>46</v>
      </c>
      <c r="S172" s="11" t="n">
        <v>1130101</v>
      </c>
      <c r="T172" s="13" t="s">
        <v>47</v>
      </c>
      <c r="U172" s="14" t="n">
        <v>681.13</v>
      </c>
      <c r="W172" s="14" t="n">
        <v>0</v>
      </c>
      <c r="X172" s="13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266</v>
      </c>
      <c r="F173" s="11" t="n">
        <v>34</v>
      </c>
      <c r="G173" s="13" t="s">
        <v>33</v>
      </c>
      <c r="H173" s="11" t="n">
        <v>2110101</v>
      </c>
      <c r="I173" s="13" t="s">
        <v>43</v>
      </c>
      <c r="J173" s="11" t="n">
        <v>1106896</v>
      </c>
      <c r="L173" s="11" t="n">
        <v>9981</v>
      </c>
      <c r="M173" s="13" t="s">
        <v>44</v>
      </c>
      <c r="N173" s="13" t="s">
        <v>36</v>
      </c>
      <c r="P173" s="11" t="n">
        <v>128</v>
      </c>
      <c r="Q173" s="13" t="s">
        <v>45</v>
      </c>
      <c r="R173" s="13" t="s">
        <v>46</v>
      </c>
      <c r="S173" s="11" t="n">
        <v>1130101</v>
      </c>
      <c r="T173" s="13" t="s">
        <v>47</v>
      </c>
      <c r="U173" s="14" t="n">
        <v>1491.5</v>
      </c>
      <c r="W173" s="14" t="n">
        <v>0</v>
      </c>
      <c r="X173" s="13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266</v>
      </c>
      <c r="F174" s="11" t="n">
        <v>34</v>
      </c>
      <c r="G174" s="13" t="s">
        <v>33</v>
      </c>
      <c r="H174" s="11" t="n">
        <v>2110101</v>
      </c>
      <c r="I174" s="13" t="s">
        <v>43</v>
      </c>
      <c r="J174" s="11" t="n">
        <v>1106917</v>
      </c>
      <c r="L174" s="11" t="n">
        <v>9982</v>
      </c>
      <c r="M174" s="13" t="s">
        <v>44</v>
      </c>
      <c r="N174" s="13" t="s">
        <v>36</v>
      </c>
      <c r="P174" s="11" t="n">
        <v>128</v>
      </c>
      <c r="Q174" s="13" t="s">
        <v>45</v>
      </c>
      <c r="R174" s="13" t="s">
        <v>46</v>
      </c>
      <c r="S174" s="11" t="n">
        <v>1130101</v>
      </c>
      <c r="T174" s="13" t="s">
        <v>47</v>
      </c>
      <c r="U174" s="14" t="n">
        <v>1491.5</v>
      </c>
      <c r="W174" s="14" t="n">
        <v>0</v>
      </c>
      <c r="X174" s="13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269</v>
      </c>
      <c r="F175" s="11" t="n">
        <v>24</v>
      </c>
      <c r="G175" s="13" t="s">
        <v>42</v>
      </c>
      <c r="H175" s="11" t="n">
        <v>2110101</v>
      </c>
      <c r="I175" s="13" t="s">
        <v>43</v>
      </c>
      <c r="J175" s="11" t="n">
        <v>1150702</v>
      </c>
      <c r="L175" s="11" t="n">
        <v>1826402</v>
      </c>
      <c r="M175" s="13" t="s">
        <v>44</v>
      </c>
      <c r="N175" s="13" t="s">
        <v>36</v>
      </c>
      <c r="P175" s="11" t="n">
        <v>128</v>
      </c>
      <c r="Q175" s="13" t="s">
        <v>45</v>
      </c>
      <c r="R175" s="13" t="s">
        <v>46</v>
      </c>
      <c r="S175" s="11" t="n">
        <v>1130101</v>
      </c>
      <c r="T175" s="13" t="s">
        <v>47</v>
      </c>
      <c r="U175" s="14" t="n">
        <v>2431.01</v>
      </c>
      <c r="W175" s="14" t="n">
        <v>0</v>
      </c>
      <c r="X175" s="13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255</v>
      </c>
      <c r="F176" s="11" t="n">
        <v>24</v>
      </c>
      <c r="G176" s="13" t="s">
        <v>42</v>
      </c>
      <c r="H176" s="11" t="n">
        <v>2110101</v>
      </c>
      <c r="I176" s="13" t="s">
        <v>43</v>
      </c>
      <c r="J176" s="11" t="n">
        <v>1155809</v>
      </c>
      <c r="L176" s="11" t="n">
        <v>3729451</v>
      </c>
      <c r="M176" s="13" t="s">
        <v>44</v>
      </c>
      <c r="N176" s="13" t="s">
        <v>36</v>
      </c>
      <c r="P176" s="11" t="n">
        <v>128</v>
      </c>
      <c r="Q176" s="13" t="s">
        <v>45</v>
      </c>
      <c r="R176" s="13" t="s">
        <v>46</v>
      </c>
      <c r="S176" s="11" t="n">
        <v>1130101</v>
      </c>
      <c r="T176" s="13" t="s">
        <v>47</v>
      </c>
      <c r="U176" s="14" t="n">
        <v>953.92</v>
      </c>
      <c r="W176" s="14" t="n">
        <v>0</v>
      </c>
      <c r="X176" s="13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272</v>
      </c>
      <c r="F177" s="11" t="n">
        <v>24</v>
      </c>
      <c r="G177" s="13" t="s">
        <v>42</v>
      </c>
      <c r="H177" s="11" t="n">
        <v>2110101</v>
      </c>
      <c r="I177" s="13" t="s">
        <v>43</v>
      </c>
      <c r="J177" s="11" t="n">
        <v>1160635</v>
      </c>
      <c r="L177" s="11" t="n">
        <v>22711</v>
      </c>
      <c r="M177" s="13" t="s">
        <v>44</v>
      </c>
      <c r="N177" s="13" t="s">
        <v>36</v>
      </c>
      <c r="P177" s="11" t="n">
        <v>128</v>
      </c>
      <c r="Q177" s="13" t="s">
        <v>45</v>
      </c>
      <c r="R177" s="13" t="s">
        <v>46</v>
      </c>
      <c r="S177" s="11" t="n">
        <v>1130101</v>
      </c>
      <c r="T177" s="13" t="s">
        <v>47</v>
      </c>
      <c r="U177" s="14" t="n">
        <v>177.62</v>
      </c>
      <c r="W177" s="14" t="n">
        <v>0</v>
      </c>
      <c r="X177" s="13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274</v>
      </c>
      <c r="F178" s="11" t="n">
        <v>24</v>
      </c>
      <c r="G178" s="13" t="s">
        <v>42</v>
      </c>
      <c r="H178" s="11" t="n">
        <v>2110101</v>
      </c>
      <c r="I178" s="13" t="s">
        <v>43</v>
      </c>
      <c r="J178" s="11" t="n">
        <v>1165747</v>
      </c>
      <c r="L178" s="11" t="n">
        <v>1024453</v>
      </c>
      <c r="M178" s="13" t="s">
        <v>44</v>
      </c>
      <c r="N178" s="13" t="s">
        <v>69</v>
      </c>
      <c r="P178" s="11" t="n">
        <v>128</v>
      </c>
      <c r="Q178" s="13" t="s">
        <v>45</v>
      </c>
      <c r="R178" s="13" t="s">
        <v>46</v>
      </c>
      <c r="S178" s="11" t="n">
        <v>1130101</v>
      </c>
      <c r="T178" s="13" t="s">
        <v>47</v>
      </c>
      <c r="U178" s="14" t="n">
        <v>619.92</v>
      </c>
      <c r="W178" s="14" t="n">
        <v>0</v>
      </c>
      <c r="X178" s="13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76</v>
      </c>
      <c r="F179" s="11" t="n">
        <v>24</v>
      </c>
      <c r="G179" s="13" t="s">
        <v>42</v>
      </c>
      <c r="H179" s="11" t="n">
        <v>2110101</v>
      </c>
      <c r="I179" s="13" t="s">
        <v>43</v>
      </c>
      <c r="J179" s="11" t="n">
        <v>1166063</v>
      </c>
      <c r="L179" s="11" t="n">
        <v>51567</v>
      </c>
      <c r="M179" s="13" t="s">
        <v>44</v>
      </c>
      <c r="N179" s="13" t="s">
        <v>36</v>
      </c>
      <c r="P179" s="11" t="n">
        <v>128</v>
      </c>
      <c r="Q179" s="13" t="s">
        <v>45</v>
      </c>
      <c r="R179" s="13" t="s">
        <v>46</v>
      </c>
      <c r="S179" s="11" t="n">
        <v>1130101</v>
      </c>
      <c r="T179" s="13" t="s">
        <v>47</v>
      </c>
      <c r="U179" s="14" t="n">
        <v>3561.2</v>
      </c>
      <c r="W179" s="14" t="n">
        <v>0</v>
      </c>
      <c r="X179" s="13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80</v>
      </c>
      <c r="F180" s="11" t="n">
        <v>34</v>
      </c>
      <c r="G180" s="13" t="s">
        <v>33</v>
      </c>
      <c r="H180" s="11" t="n">
        <v>2110101</v>
      </c>
      <c r="I180" s="13" t="s">
        <v>43</v>
      </c>
      <c r="J180" s="11" t="n">
        <v>1166081</v>
      </c>
      <c r="L180" s="11" t="n">
        <v>4200</v>
      </c>
      <c r="M180" s="13" t="s">
        <v>44</v>
      </c>
      <c r="N180" s="13" t="s">
        <v>69</v>
      </c>
      <c r="P180" s="11" t="n">
        <v>128</v>
      </c>
      <c r="Q180" s="13" t="s">
        <v>45</v>
      </c>
      <c r="R180" s="13" t="s">
        <v>46</v>
      </c>
      <c r="S180" s="11" t="n">
        <v>1130101</v>
      </c>
      <c r="T180" s="13" t="s">
        <v>47</v>
      </c>
      <c r="U180" s="14" t="n">
        <v>260</v>
      </c>
      <c r="W180" s="14" t="n">
        <v>0</v>
      </c>
      <c r="X180" s="13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278</v>
      </c>
      <c r="F181" s="11" t="n">
        <v>24</v>
      </c>
      <c r="G181" s="13" t="s">
        <v>42</v>
      </c>
      <c r="H181" s="11" t="n">
        <v>2110101</v>
      </c>
      <c r="I181" s="13" t="s">
        <v>43</v>
      </c>
      <c r="J181" s="11" t="n">
        <v>1186472</v>
      </c>
      <c r="L181" s="11" t="n">
        <v>1306</v>
      </c>
      <c r="M181" s="13" t="s">
        <v>44</v>
      </c>
      <c r="N181" s="13" t="s">
        <v>69</v>
      </c>
      <c r="P181" s="11" t="n">
        <v>128</v>
      </c>
      <c r="Q181" s="13" t="s">
        <v>45</v>
      </c>
      <c r="R181" s="13" t="s">
        <v>46</v>
      </c>
      <c r="S181" s="11" t="n">
        <v>1130101</v>
      </c>
      <c r="T181" s="13" t="s">
        <v>47</v>
      </c>
      <c r="U181" s="14" t="n">
        <v>379.95</v>
      </c>
      <c r="W181" s="14" t="n">
        <v>0</v>
      </c>
      <c r="X181" s="13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80</v>
      </c>
      <c r="F182" s="11" t="n">
        <v>34</v>
      </c>
      <c r="G182" s="13" t="s">
        <v>33</v>
      </c>
      <c r="H182" s="11" t="n">
        <v>2110101</v>
      </c>
      <c r="I182" s="13" t="s">
        <v>43</v>
      </c>
      <c r="J182" s="11" t="n">
        <v>1192584</v>
      </c>
      <c r="L182" s="11" t="n">
        <v>4223</v>
      </c>
      <c r="M182" s="13" t="s">
        <v>44</v>
      </c>
      <c r="N182" s="13" t="s">
        <v>69</v>
      </c>
      <c r="P182" s="11" t="n">
        <v>128</v>
      </c>
      <c r="Q182" s="13" t="s">
        <v>45</v>
      </c>
      <c r="R182" s="13" t="s">
        <v>46</v>
      </c>
      <c r="S182" s="11" t="n">
        <v>1130101</v>
      </c>
      <c r="T182" s="13" t="s">
        <v>47</v>
      </c>
      <c r="U182" s="14" t="n">
        <v>1287</v>
      </c>
      <c r="W182" s="14" t="n">
        <v>0</v>
      </c>
      <c r="X182" s="13" t="s">
        <v>129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130</v>
      </c>
      <c r="F183" s="11" t="n">
        <v>34</v>
      </c>
      <c r="G183" s="13" t="s">
        <v>33</v>
      </c>
      <c r="H183" s="11" t="n">
        <v>2110101</v>
      </c>
      <c r="I183" s="13" t="s">
        <v>43</v>
      </c>
      <c r="J183" s="11" t="n">
        <v>1192594</v>
      </c>
      <c r="L183" s="11" t="n">
        <v>14606</v>
      </c>
      <c r="M183" s="13" t="s">
        <v>44</v>
      </c>
      <c r="N183" s="13" t="s">
        <v>69</v>
      </c>
      <c r="P183" s="11" t="n">
        <v>128</v>
      </c>
      <c r="Q183" s="13" t="s">
        <v>45</v>
      </c>
      <c r="R183" s="13" t="s">
        <v>46</v>
      </c>
      <c r="S183" s="11" t="n">
        <v>1130101</v>
      </c>
      <c r="T183" s="13" t="s">
        <v>47</v>
      </c>
      <c r="U183" s="14" t="n">
        <v>140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130</v>
      </c>
      <c r="F184" s="11" t="n">
        <v>34</v>
      </c>
      <c r="G184" s="13" t="s">
        <v>33</v>
      </c>
      <c r="H184" s="11" t="n">
        <v>2110101</v>
      </c>
      <c r="I184" s="13" t="s">
        <v>43</v>
      </c>
      <c r="J184" s="11" t="n">
        <v>1192600</v>
      </c>
      <c r="L184" s="11" t="n">
        <v>186609</v>
      </c>
      <c r="M184" s="13" t="s">
        <v>44</v>
      </c>
      <c r="N184" s="13" t="s">
        <v>36</v>
      </c>
      <c r="P184" s="11" t="n">
        <v>128</v>
      </c>
      <c r="Q184" s="13" t="s">
        <v>45</v>
      </c>
      <c r="R184" s="13" t="s">
        <v>46</v>
      </c>
      <c r="S184" s="11" t="n">
        <v>1130101</v>
      </c>
      <c r="T184" s="13" t="s">
        <v>47</v>
      </c>
      <c r="U184" s="14" t="n">
        <v>268</v>
      </c>
      <c r="W184" s="14" t="n">
        <v>0</v>
      </c>
      <c r="X184" s="13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80</v>
      </c>
      <c r="F185" s="11" t="n">
        <v>13</v>
      </c>
      <c r="G185" s="13" t="s">
        <v>81</v>
      </c>
      <c r="H185" s="11" t="n">
        <v>2110101</v>
      </c>
      <c r="I185" s="13" t="s">
        <v>43</v>
      </c>
      <c r="J185" s="11" t="n">
        <v>1211229</v>
      </c>
      <c r="L185" s="11" t="n">
        <v>4243</v>
      </c>
      <c r="M185" s="13" t="s">
        <v>44</v>
      </c>
      <c r="N185" s="13" t="s">
        <v>69</v>
      </c>
      <c r="P185" s="11" t="n">
        <v>128</v>
      </c>
      <c r="Q185" s="13" t="s">
        <v>45</v>
      </c>
      <c r="R185" s="13" t="s">
        <v>46</v>
      </c>
      <c r="S185" s="11" t="n">
        <v>1130101</v>
      </c>
      <c r="T185" s="13" t="s">
        <v>47</v>
      </c>
      <c r="U185" s="14" t="n">
        <v>311</v>
      </c>
      <c r="W185" s="14" t="n">
        <v>311</v>
      </c>
      <c r="X185" s="13" t="s">
        <v>82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80</v>
      </c>
      <c r="F186" s="11" t="n">
        <v>13</v>
      </c>
      <c r="G186" s="13" t="s">
        <v>81</v>
      </c>
      <c r="H186" s="11" t="n">
        <v>2110101</v>
      </c>
      <c r="I186" s="13" t="s">
        <v>43</v>
      </c>
      <c r="J186" s="11" t="n">
        <v>1211683</v>
      </c>
      <c r="L186" s="11" t="n">
        <v>4244</v>
      </c>
      <c r="M186" s="13" t="s">
        <v>44</v>
      </c>
      <c r="N186" s="13" t="s">
        <v>69</v>
      </c>
      <c r="P186" s="11" t="n">
        <v>129</v>
      </c>
      <c r="Q186" s="13" t="s">
        <v>102</v>
      </c>
      <c r="R186" s="13" t="s">
        <v>46</v>
      </c>
      <c r="S186" s="11" t="n">
        <v>1130101</v>
      </c>
      <c r="T186" s="13" t="s">
        <v>47</v>
      </c>
      <c r="U186" s="14" t="n">
        <v>240</v>
      </c>
      <c r="W186" s="14" t="n">
        <v>240</v>
      </c>
      <c r="X186" s="13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112</v>
      </c>
      <c r="F187" s="11" t="n">
        <v>13</v>
      </c>
      <c r="G187" s="13" t="s">
        <v>81</v>
      </c>
      <c r="H187" s="11" t="n">
        <v>2110101</v>
      </c>
      <c r="I187" s="13" t="s">
        <v>43</v>
      </c>
      <c r="J187" s="11" t="n">
        <v>1225968</v>
      </c>
      <c r="L187" s="11" t="n">
        <v>689</v>
      </c>
      <c r="M187" s="13" t="s">
        <v>44</v>
      </c>
      <c r="N187" s="13" t="s">
        <v>69</v>
      </c>
      <c r="P187" s="11" t="n">
        <v>128</v>
      </c>
      <c r="Q187" s="13" t="s">
        <v>45</v>
      </c>
      <c r="R187" s="13" t="s">
        <v>46</v>
      </c>
      <c r="S187" s="11" t="n">
        <v>1130101</v>
      </c>
      <c r="T187" s="13" t="s">
        <v>47</v>
      </c>
      <c r="U187" s="14" t="n">
        <v>270</v>
      </c>
      <c r="W187" s="14" t="n">
        <v>270</v>
      </c>
      <c r="X187" s="13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284</v>
      </c>
      <c r="F188" s="11" t="n">
        <v>24</v>
      </c>
      <c r="G188" s="13" t="s">
        <v>42</v>
      </c>
      <c r="H188" s="11" t="n">
        <v>2110101</v>
      </c>
      <c r="I188" s="13" t="s">
        <v>43</v>
      </c>
      <c r="J188" s="11" t="n">
        <v>999423</v>
      </c>
      <c r="L188" s="11" t="n">
        <v>333343</v>
      </c>
      <c r="M188" s="13" t="s">
        <v>44</v>
      </c>
      <c r="N188" s="13" t="s">
        <v>36</v>
      </c>
      <c r="P188" s="11" t="n">
        <v>128</v>
      </c>
      <c r="Q188" s="13" t="s">
        <v>45</v>
      </c>
      <c r="R188" s="13" t="s">
        <v>46</v>
      </c>
      <c r="S188" s="11" t="n">
        <v>1130101</v>
      </c>
      <c r="T188" s="13" t="s">
        <v>47</v>
      </c>
      <c r="U188" s="14" t="n">
        <v>725.14</v>
      </c>
      <c r="W188" s="14" t="n">
        <v>0</v>
      </c>
      <c r="X188" s="13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53</v>
      </c>
      <c r="F189" s="11" t="n">
        <v>24</v>
      </c>
      <c r="G189" s="13" t="s">
        <v>42</v>
      </c>
      <c r="H189" s="11" t="n">
        <v>2110101</v>
      </c>
      <c r="I189" s="13" t="s">
        <v>43</v>
      </c>
      <c r="J189" s="11" t="n">
        <v>1088503</v>
      </c>
      <c r="L189" s="11" t="n">
        <v>4439763</v>
      </c>
      <c r="M189" s="13" t="s">
        <v>44</v>
      </c>
      <c r="N189" s="13" t="s">
        <v>36</v>
      </c>
      <c r="P189" s="11" t="n">
        <v>128</v>
      </c>
      <c r="Q189" s="13" t="s">
        <v>45</v>
      </c>
      <c r="R189" s="13" t="s">
        <v>46</v>
      </c>
      <c r="S189" s="11" t="n">
        <v>1130101</v>
      </c>
      <c r="T189" s="13" t="s">
        <v>47</v>
      </c>
      <c r="U189" s="14" t="n">
        <v>1650.83</v>
      </c>
      <c r="W189" s="14" t="n">
        <v>0</v>
      </c>
      <c r="X189" s="13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287</v>
      </c>
      <c r="F190" s="11" t="n">
        <v>24</v>
      </c>
      <c r="G190" s="13" t="s">
        <v>42</v>
      </c>
      <c r="H190" s="11" t="n">
        <v>2110101</v>
      </c>
      <c r="I190" s="13" t="s">
        <v>43</v>
      </c>
      <c r="J190" s="11" t="n">
        <v>1101937</v>
      </c>
      <c r="L190" s="11" t="n">
        <v>1549191</v>
      </c>
      <c r="M190" s="13" t="s">
        <v>44</v>
      </c>
      <c r="N190" s="13" t="s">
        <v>36</v>
      </c>
      <c r="P190" s="11" t="n">
        <v>129</v>
      </c>
      <c r="Q190" s="13" t="s">
        <v>102</v>
      </c>
      <c r="R190" s="13" t="s">
        <v>46</v>
      </c>
      <c r="S190" s="11" t="n">
        <v>1130101</v>
      </c>
      <c r="T190" s="13" t="s">
        <v>47</v>
      </c>
      <c r="U190" s="14" t="n">
        <v>565.57</v>
      </c>
      <c r="W190" s="14" t="n">
        <v>0</v>
      </c>
      <c r="X190" s="13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nao encontrado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76</v>
      </c>
      <c r="F191" s="11" t="n">
        <v>24</v>
      </c>
      <c r="G191" s="13" t="s">
        <v>42</v>
      </c>
      <c r="H191" s="11" t="n">
        <v>2110101</v>
      </c>
      <c r="I191" s="13" t="s">
        <v>43</v>
      </c>
      <c r="J191" s="11" t="n">
        <v>1167130</v>
      </c>
      <c r="L191" s="11" t="n">
        <v>51652</v>
      </c>
      <c r="M191" s="13" t="s">
        <v>44</v>
      </c>
      <c r="N191" s="13" t="s">
        <v>36</v>
      </c>
      <c r="P191" s="11" t="n">
        <v>128</v>
      </c>
      <c r="Q191" s="13" t="s">
        <v>45</v>
      </c>
      <c r="R191" s="13" t="s">
        <v>46</v>
      </c>
      <c r="S191" s="11" t="n">
        <v>1130101</v>
      </c>
      <c r="T191" s="13" t="s">
        <v>47</v>
      </c>
      <c r="U191" s="14" t="n">
        <v>3046.65</v>
      </c>
      <c r="W191" s="14" t="n">
        <v>0</v>
      </c>
      <c r="X191" s="13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nao encontrado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41</v>
      </c>
      <c r="F192" s="11" t="n">
        <v>24</v>
      </c>
      <c r="G192" s="13" t="s">
        <v>42</v>
      </c>
      <c r="H192" s="11" t="n">
        <v>2110101</v>
      </c>
      <c r="I192" s="13" t="s">
        <v>43</v>
      </c>
      <c r="J192" s="11" t="n">
        <v>1096658</v>
      </c>
      <c r="L192" s="11" t="n">
        <v>16520493</v>
      </c>
      <c r="M192" s="13" t="s">
        <v>44</v>
      </c>
      <c r="N192" s="13" t="s">
        <v>36</v>
      </c>
      <c r="P192" s="11" t="n">
        <v>128</v>
      </c>
      <c r="Q192" s="13" t="s">
        <v>45</v>
      </c>
      <c r="R192" s="13" t="s">
        <v>46</v>
      </c>
      <c r="S192" s="11" t="n">
        <v>1130101</v>
      </c>
      <c r="T192" s="13" t="s">
        <v>47</v>
      </c>
      <c r="U192" s="14" t="n">
        <v>633.23</v>
      </c>
      <c r="W192" s="14" t="n">
        <v>0</v>
      </c>
      <c r="X192" s="13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49</v>
      </c>
      <c r="F193" s="11" t="n">
        <v>24</v>
      </c>
      <c r="G193" s="13" t="s">
        <v>42</v>
      </c>
      <c r="H193" s="11" t="n">
        <v>2110101</v>
      </c>
      <c r="I193" s="13" t="s">
        <v>43</v>
      </c>
      <c r="J193" s="11" t="n">
        <v>1049607</v>
      </c>
      <c r="L193" s="11" t="n">
        <v>31811203</v>
      </c>
      <c r="M193" s="13" t="s">
        <v>44</v>
      </c>
      <c r="N193" s="13" t="s">
        <v>36</v>
      </c>
      <c r="P193" s="11" t="n">
        <v>128</v>
      </c>
      <c r="Q193" s="13" t="s">
        <v>45</v>
      </c>
      <c r="R193" s="13" t="s">
        <v>46</v>
      </c>
      <c r="S193" s="11" t="n">
        <v>1130101</v>
      </c>
      <c r="T193" s="13" t="s">
        <v>47</v>
      </c>
      <c r="U193" s="14" t="n">
        <v>699.44</v>
      </c>
      <c r="W193" s="14" t="n">
        <v>0</v>
      </c>
      <c r="X193" s="13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251</v>
      </c>
      <c r="F194" s="11" t="n">
        <v>24</v>
      </c>
      <c r="G194" s="13" t="s">
        <v>42</v>
      </c>
      <c r="H194" s="11" t="n">
        <v>2110101</v>
      </c>
      <c r="I194" s="13" t="s">
        <v>43</v>
      </c>
      <c r="J194" s="11" t="n">
        <v>1062367</v>
      </c>
      <c r="L194" s="11" t="n">
        <v>8701271</v>
      </c>
      <c r="M194" s="13" t="s">
        <v>44</v>
      </c>
      <c r="N194" s="13" t="s">
        <v>36</v>
      </c>
      <c r="P194" s="11" t="n">
        <v>128</v>
      </c>
      <c r="Q194" s="13" t="s">
        <v>45</v>
      </c>
      <c r="R194" s="13" t="s">
        <v>46</v>
      </c>
      <c r="S194" s="11" t="n">
        <v>1130101</v>
      </c>
      <c r="T194" s="13" t="s">
        <v>47</v>
      </c>
      <c r="U194" s="14" t="n">
        <v>616.08</v>
      </c>
      <c r="W194" s="14" t="n">
        <v>0</v>
      </c>
      <c r="X194" s="13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55</v>
      </c>
      <c r="F195" s="11" t="n">
        <v>24</v>
      </c>
      <c r="G195" s="13" t="s">
        <v>42</v>
      </c>
      <c r="H195" s="11" t="n">
        <v>2110101</v>
      </c>
      <c r="I195" s="13" t="s">
        <v>43</v>
      </c>
      <c r="J195" s="11" t="n">
        <v>1082993</v>
      </c>
      <c r="L195" s="11" t="n">
        <v>2007503</v>
      </c>
      <c r="M195" s="13" t="s">
        <v>44</v>
      </c>
      <c r="N195" s="13" t="s">
        <v>36</v>
      </c>
      <c r="P195" s="11" t="n">
        <v>128</v>
      </c>
      <c r="Q195" s="13" t="s">
        <v>45</v>
      </c>
      <c r="R195" s="13" t="s">
        <v>46</v>
      </c>
      <c r="S195" s="11" t="n">
        <v>1130101</v>
      </c>
      <c r="T195" s="13" t="s">
        <v>47</v>
      </c>
      <c r="U195" s="14" t="n">
        <v>682.65</v>
      </c>
      <c r="W195" s="14" t="n">
        <v>0</v>
      </c>
      <c r="X195" s="13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57</v>
      </c>
      <c r="F196" s="11" t="n">
        <v>24</v>
      </c>
      <c r="G196" s="13" t="s">
        <v>42</v>
      </c>
      <c r="H196" s="11" t="n">
        <v>2110101</v>
      </c>
      <c r="I196" s="13" t="s">
        <v>43</v>
      </c>
      <c r="J196" s="11" t="n">
        <v>1083160</v>
      </c>
      <c r="L196" s="11" t="n">
        <v>5687953</v>
      </c>
      <c r="M196" s="13" t="s">
        <v>44</v>
      </c>
      <c r="N196" s="13" t="s">
        <v>36</v>
      </c>
      <c r="P196" s="11" t="n">
        <v>128</v>
      </c>
      <c r="Q196" s="13" t="s">
        <v>45</v>
      </c>
      <c r="R196" s="13" t="s">
        <v>46</v>
      </c>
      <c r="S196" s="11" t="n">
        <v>1130101</v>
      </c>
      <c r="T196" s="13" t="s">
        <v>47</v>
      </c>
      <c r="U196" s="14" t="n">
        <v>408.42</v>
      </c>
      <c r="W196" s="14" t="n">
        <v>0</v>
      </c>
      <c r="X196" s="13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295</v>
      </c>
      <c r="F197" s="11" t="n">
        <v>24</v>
      </c>
      <c r="G197" s="13" t="s">
        <v>42</v>
      </c>
      <c r="H197" s="11" t="n">
        <v>2110101</v>
      </c>
      <c r="I197" s="13" t="s">
        <v>43</v>
      </c>
      <c r="J197" s="11" t="n">
        <v>1087863</v>
      </c>
      <c r="L197" s="11" t="n">
        <v>1875773</v>
      </c>
      <c r="M197" s="13" t="s">
        <v>44</v>
      </c>
      <c r="N197" s="13" t="s">
        <v>69</v>
      </c>
      <c r="P197" s="11" t="n">
        <v>128</v>
      </c>
      <c r="Q197" s="13" t="s">
        <v>45</v>
      </c>
      <c r="R197" s="13" t="s">
        <v>46</v>
      </c>
      <c r="S197" s="11" t="n">
        <v>1130101</v>
      </c>
      <c r="T197" s="13" t="s">
        <v>47</v>
      </c>
      <c r="U197" s="14" t="n">
        <v>833.64</v>
      </c>
      <c r="W197" s="14" t="n">
        <v>0</v>
      </c>
      <c r="X197" s="13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295</v>
      </c>
      <c r="F198" s="11" t="n">
        <v>24</v>
      </c>
      <c r="G198" s="13" t="s">
        <v>42</v>
      </c>
      <c r="H198" s="11" t="n">
        <v>2110101</v>
      </c>
      <c r="I198" s="13" t="s">
        <v>43</v>
      </c>
      <c r="J198" s="11" t="n">
        <v>1087911</v>
      </c>
      <c r="L198" s="11" t="n">
        <v>830177</v>
      </c>
      <c r="M198" s="13" t="s">
        <v>44</v>
      </c>
      <c r="N198" s="13" t="s">
        <v>36</v>
      </c>
      <c r="P198" s="11" t="n">
        <v>128</v>
      </c>
      <c r="Q198" s="13" t="s">
        <v>45</v>
      </c>
      <c r="R198" s="13" t="s">
        <v>46</v>
      </c>
      <c r="S198" s="11" t="n">
        <v>1130101</v>
      </c>
      <c r="T198" s="13" t="s">
        <v>47</v>
      </c>
      <c r="U198" s="14" t="n">
        <v>1061.15</v>
      </c>
      <c r="W198" s="14" t="n">
        <v>0</v>
      </c>
      <c r="X198" s="13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60</v>
      </c>
      <c r="F199" s="11" t="n">
        <v>24</v>
      </c>
      <c r="G199" s="13" t="s">
        <v>42</v>
      </c>
      <c r="H199" s="11" t="n">
        <v>2110101</v>
      </c>
      <c r="I199" s="13" t="s">
        <v>43</v>
      </c>
      <c r="J199" s="11" t="n">
        <v>1103125</v>
      </c>
      <c r="L199" s="11" t="n">
        <v>3011782</v>
      </c>
      <c r="M199" s="13" t="s">
        <v>44</v>
      </c>
      <c r="N199" s="13" t="s">
        <v>36</v>
      </c>
      <c r="P199" s="11" t="n">
        <v>128</v>
      </c>
      <c r="Q199" s="13" t="s">
        <v>45</v>
      </c>
      <c r="R199" s="13" t="s">
        <v>46</v>
      </c>
      <c r="S199" s="11" t="n">
        <v>1130101</v>
      </c>
      <c r="T199" s="13" t="s">
        <v>47</v>
      </c>
      <c r="U199" s="14" t="n">
        <v>763.97</v>
      </c>
      <c r="W199" s="14" t="n">
        <v>0</v>
      </c>
      <c r="X199" s="13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49</v>
      </c>
      <c r="F200" s="11" t="n">
        <v>24</v>
      </c>
      <c r="G200" s="13" t="s">
        <v>42</v>
      </c>
      <c r="H200" s="11" t="n">
        <v>2110101</v>
      </c>
      <c r="I200" s="13" t="s">
        <v>43</v>
      </c>
      <c r="J200" s="11" t="n">
        <v>1122095</v>
      </c>
      <c r="L200" s="11" t="n">
        <v>31890522</v>
      </c>
      <c r="M200" s="13" t="s">
        <v>44</v>
      </c>
      <c r="N200" s="13" t="s">
        <v>36</v>
      </c>
      <c r="P200" s="11" t="n">
        <v>128</v>
      </c>
      <c r="Q200" s="13" t="s">
        <v>45</v>
      </c>
      <c r="R200" s="13" t="s">
        <v>46</v>
      </c>
      <c r="S200" s="11" t="n">
        <v>1130101</v>
      </c>
      <c r="T200" s="13" t="s">
        <v>47</v>
      </c>
      <c r="U200" s="14" t="n">
        <v>435.02</v>
      </c>
      <c r="W200" s="14" t="n">
        <v>0</v>
      </c>
      <c r="X200" s="13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159</v>
      </c>
      <c r="F201" s="11" t="n">
        <v>24</v>
      </c>
      <c r="G201" s="13" t="s">
        <v>42</v>
      </c>
      <c r="H201" s="11" t="n">
        <v>2110405</v>
      </c>
      <c r="I201" s="13" t="s">
        <v>34</v>
      </c>
      <c r="J201" s="11" t="n">
        <v>1126572</v>
      </c>
      <c r="L201" s="11" t="n">
        <v>719691</v>
      </c>
      <c r="M201" s="13" t="s">
        <v>44</v>
      </c>
      <c r="N201" s="13" t="s">
        <v>36</v>
      </c>
      <c r="P201" s="11" t="n">
        <v>128</v>
      </c>
      <c r="Q201" s="13" t="s">
        <v>45</v>
      </c>
      <c r="R201" s="13" t="s">
        <v>38</v>
      </c>
      <c r="S201" s="11" t="n">
        <v>4210227</v>
      </c>
      <c r="T201" s="13" t="s">
        <v>196</v>
      </c>
      <c r="U201" s="14" t="n">
        <v>707.17</v>
      </c>
      <c r="W201" s="14" t="n">
        <v>0</v>
      </c>
      <c r="X201" s="13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301</v>
      </c>
      <c r="F202" s="11" t="n">
        <v>24</v>
      </c>
      <c r="G202" s="13" t="s">
        <v>42</v>
      </c>
      <c r="H202" s="11" t="n">
        <v>2110101</v>
      </c>
      <c r="I202" s="13" t="s">
        <v>43</v>
      </c>
      <c r="J202" s="11" t="n">
        <v>1151045</v>
      </c>
      <c r="L202" s="11" t="n">
        <v>26561</v>
      </c>
      <c r="M202" s="13" t="s">
        <v>44</v>
      </c>
      <c r="N202" s="13" t="s">
        <v>36</v>
      </c>
      <c r="P202" s="11" t="n">
        <v>128</v>
      </c>
      <c r="Q202" s="13" t="s">
        <v>45</v>
      </c>
      <c r="R202" s="13" t="s">
        <v>46</v>
      </c>
      <c r="S202" s="11" t="n">
        <v>1130101</v>
      </c>
      <c r="T202" s="13" t="s">
        <v>47</v>
      </c>
      <c r="U202" s="14" t="n">
        <v>663.67</v>
      </c>
      <c r="W202" s="14" t="n">
        <v>0</v>
      </c>
      <c r="X202" s="13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67</v>
      </c>
      <c r="F203" s="11" t="n">
        <v>24</v>
      </c>
      <c r="G203" s="13" t="s">
        <v>42</v>
      </c>
      <c r="H203" s="11" t="n">
        <v>2110101</v>
      </c>
      <c r="I203" s="13" t="s">
        <v>43</v>
      </c>
      <c r="J203" s="11" t="n">
        <v>1156193</v>
      </c>
      <c r="L203" s="11" t="n">
        <v>13561021</v>
      </c>
      <c r="M203" s="13" t="s">
        <v>44</v>
      </c>
      <c r="N203" s="13" t="s">
        <v>36</v>
      </c>
      <c r="P203" s="11" t="n">
        <v>128</v>
      </c>
      <c r="Q203" s="13" t="s">
        <v>45</v>
      </c>
      <c r="R203" s="13" t="s">
        <v>46</v>
      </c>
      <c r="S203" s="11" t="n">
        <v>1130101</v>
      </c>
      <c r="T203" s="13" t="s">
        <v>47</v>
      </c>
      <c r="U203" s="14" t="n">
        <v>565</v>
      </c>
      <c r="W203" s="14" t="n">
        <v>0</v>
      </c>
      <c r="X203" s="13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177</v>
      </c>
      <c r="F204" s="11" t="n">
        <v>24</v>
      </c>
      <c r="G204" s="13" t="s">
        <v>42</v>
      </c>
      <c r="H204" s="11" t="n">
        <v>2110101</v>
      </c>
      <c r="I204" s="13" t="s">
        <v>43</v>
      </c>
      <c r="J204" s="11" t="n">
        <v>1160949</v>
      </c>
      <c r="L204" s="11" t="n">
        <v>15902223</v>
      </c>
      <c r="M204" s="13" t="s">
        <v>44</v>
      </c>
      <c r="N204" s="13" t="s">
        <v>36</v>
      </c>
      <c r="P204" s="11" t="n">
        <v>128</v>
      </c>
      <c r="Q204" s="13" t="s">
        <v>45</v>
      </c>
      <c r="R204" s="13" t="s">
        <v>46</v>
      </c>
      <c r="S204" s="11" t="n">
        <v>1130101</v>
      </c>
      <c r="T204" s="13" t="s">
        <v>47</v>
      </c>
      <c r="U204" s="14" t="n">
        <v>1581.99</v>
      </c>
      <c r="W204" s="14" t="n">
        <v>0</v>
      </c>
      <c r="X204" s="13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76</v>
      </c>
      <c r="F205" s="11" t="n">
        <v>24</v>
      </c>
      <c r="G205" s="13" t="s">
        <v>42</v>
      </c>
      <c r="H205" s="11" t="n">
        <v>2110101</v>
      </c>
      <c r="I205" s="13" t="s">
        <v>43</v>
      </c>
      <c r="J205" s="11" t="n">
        <v>1172296</v>
      </c>
      <c r="L205" s="11" t="n">
        <v>51803</v>
      </c>
      <c r="M205" s="13" t="s">
        <v>44</v>
      </c>
      <c r="N205" s="13" t="s">
        <v>36</v>
      </c>
      <c r="P205" s="11" t="n">
        <v>128</v>
      </c>
      <c r="Q205" s="13" t="s">
        <v>45</v>
      </c>
      <c r="R205" s="13" t="s">
        <v>46</v>
      </c>
      <c r="S205" s="11" t="n">
        <v>1130101</v>
      </c>
      <c r="T205" s="13" t="s">
        <v>47</v>
      </c>
      <c r="U205" s="14" t="n">
        <v>4918.3</v>
      </c>
      <c r="W205" s="14" t="n">
        <v>0</v>
      </c>
      <c r="X205" s="13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306</v>
      </c>
      <c r="F206" s="11" t="n">
        <v>24</v>
      </c>
      <c r="G206" s="13" t="s">
        <v>42</v>
      </c>
      <c r="H206" s="11" t="n">
        <v>2110101</v>
      </c>
      <c r="I206" s="13" t="s">
        <v>43</v>
      </c>
      <c r="J206" s="11" t="n">
        <v>1186462</v>
      </c>
      <c r="L206" s="11" t="n">
        <v>833288</v>
      </c>
      <c r="M206" s="13" t="s">
        <v>44</v>
      </c>
      <c r="N206" s="13" t="s">
        <v>69</v>
      </c>
      <c r="P206" s="11" t="n">
        <v>128</v>
      </c>
      <c r="Q206" s="13" t="s">
        <v>45</v>
      </c>
      <c r="R206" s="13" t="s">
        <v>46</v>
      </c>
      <c r="S206" s="11" t="n">
        <v>1130101</v>
      </c>
      <c r="T206" s="13" t="s">
        <v>47</v>
      </c>
      <c r="U206" s="14" t="n">
        <v>4815.64</v>
      </c>
      <c r="W206" s="14" t="n">
        <v>0</v>
      </c>
      <c r="X206" s="13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306</v>
      </c>
      <c r="F207" s="11" t="n">
        <v>24</v>
      </c>
      <c r="G207" s="13" t="s">
        <v>42</v>
      </c>
      <c r="H207" s="11" t="n">
        <v>2110101</v>
      </c>
      <c r="I207" s="13" t="s">
        <v>43</v>
      </c>
      <c r="J207" s="11" t="n">
        <v>1186502</v>
      </c>
      <c r="L207" s="11" t="n">
        <v>833288</v>
      </c>
      <c r="M207" s="13" t="s">
        <v>44</v>
      </c>
      <c r="N207" s="13" t="s">
        <v>36</v>
      </c>
      <c r="P207" s="11" t="n">
        <v>128</v>
      </c>
      <c r="Q207" s="13" t="s">
        <v>45</v>
      </c>
      <c r="R207" s="13" t="s">
        <v>46</v>
      </c>
      <c r="S207" s="11" t="n">
        <v>1130101</v>
      </c>
      <c r="T207" s="13" t="s">
        <v>47</v>
      </c>
      <c r="U207" s="14" t="n">
        <v>1.55</v>
      </c>
      <c r="W207" s="14" t="n">
        <v>0</v>
      </c>
      <c r="X207" s="13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122</v>
      </c>
      <c r="F208" s="11" t="n">
        <v>24</v>
      </c>
      <c r="G208" s="13" t="s">
        <v>42</v>
      </c>
      <c r="H208" s="11" t="n">
        <v>2110101</v>
      </c>
      <c r="I208" s="13" t="s">
        <v>43</v>
      </c>
      <c r="J208" s="11" t="n">
        <v>1187408</v>
      </c>
      <c r="L208" s="11" t="n">
        <v>1858195</v>
      </c>
      <c r="M208" s="13" t="s">
        <v>44</v>
      </c>
      <c r="N208" s="13" t="s">
        <v>36</v>
      </c>
      <c r="P208" s="11" t="n">
        <v>128</v>
      </c>
      <c r="Q208" s="13" t="s">
        <v>45</v>
      </c>
      <c r="R208" s="13" t="s">
        <v>46</v>
      </c>
      <c r="S208" s="11" t="n">
        <v>1130101</v>
      </c>
      <c r="T208" s="13" t="s">
        <v>47</v>
      </c>
      <c r="U208" s="14" t="n">
        <v>3078.35</v>
      </c>
      <c r="W208" s="14" t="n">
        <v>0</v>
      </c>
      <c r="X208" s="13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122</v>
      </c>
      <c r="F209" s="11" t="n">
        <v>24</v>
      </c>
      <c r="G209" s="13" t="s">
        <v>42</v>
      </c>
      <c r="H209" s="11" t="n">
        <v>2110101</v>
      </c>
      <c r="I209" s="13" t="s">
        <v>43</v>
      </c>
      <c r="J209" s="11" t="n">
        <v>1187426</v>
      </c>
      <c r="L209" s="11" t="n">
        <v>11447217</v>
      </c>
      <c r="M209" s="13" t="s">
        <v>44</v>
      </c>
      <c r="N209" s="13" t="s">
        <v>36</v>
      </c>
      <c r="P209" s="11" t="n">
        <v>128</v>
      </c>
      <c r="Q209" s="13" t="s">
        <v>45</v>
      </c>
      <c r="R209" s="13" t="s">
        <v>46</v>
      </c>
      <c r="S209" s="11" t="n">
        <v>1130101</v>
      </c>
      <c r="T209" s="13" t="s">
        <v>47</v>
      </c>
      <c r="U209" s="14" t="n">
        <v>1458.29</v>
      </c>
      <c r="W209" s="14" t="n">
        <v>0</v>
      </c>
      <c r="X209" s="13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181</v>
      </c>
      <c r="F210" s="11" t="n">
        <v>34</v>
      </c>
      <c r="G210" s="13" t="s">
        <v>33</v>
      </c>
      <c r="H210" s="11" t="n">
        <v>2110101</v>
      </c>
      <c r="I210" s="13" t="s">
        <v>43</v>
      </c>
      <c r="J210" s="11" t="n">
        <v>1188218</v>
      </c>
      <c r="L210" s="11" t="n">
        <v>185872</v>
      </c>
      <c r="M210" s="13" t="s">
        <v>44</v>
      </c>
      <c r="N210" s="13" t="s">
        <v>36</v>
      </c>
      <c r="P210" s="11" t="n">
        <v>128</v>
      </c>
      <c r="Q210" s="13" t="s">
        <v>45</v>
      </c>
      <c r="R210" s="13" t="s">
        <v>46</v>
      </c>
      <c r="S210" s="11" t="n">
        <v>1130101</v>
      </c>
      <c r="T210" s="13" t="s">
        <v>47</v>
      </c>
      <c r="U210" s="14" t="n">
        <v>400</v>
      </c>
      <c r="W210" s="14" t="n">
        <v>0</v>
      </c>
      <c r="X210" s="13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312</v>
      </c>
      <c r="F211" s="11" t="n">
        <v>24</v>
      </c>
      <c r="G211" s="13" t="s">
        <v>42</v>
      </c>
      <c r="H211" s="11" t="n">
        <v>2110101</v>
      </c>
      <c r="I211" s="13" t="s">
        <v>43</v>
      </c>
      <c r="J211" s="11" t="n">
        <v>1210692</v>
      </c>
      <c r="L211" s="11" t="n">
        <v>187511899</v>
      </c>
      <c r="M211" s="13" t="s">
        <v>44</v>
      </c>
      <c r="N211" s="13" t="s">
        <v>36</v>
      </c>
      <c r="P211" s="11" t="n">
        <v>128</v>
      </c>
      <c r="Q211" s="13" t="s">
        <v>45</v>
      </c>
      <c r="R211" s="13" t="s">
        <v>46</v>
      </c>
      <c r="S211" s="11" t="n">
        <v>1130101</v>
      </c>
      <c r="T211" s="13" t="s">
        <v>47</v>
      </c>
      <c r="U211" s="14" t="n">
        <v>320</v>
      </c>
      <c r="W211" s="14" t="n">
        <v>0</v>
      </c>
      <c r="X211" s="13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80</v>
      </c>
      <c r="F212" s="11" t="n">
        <v>13</v>
      </c>
      <c r="G212" s="13" t="s">
        <v>81</v>
      </c>
      <c r="H212" s="11" t="n">
        <v>2110101</v>
      </c>
      <c r="I212" s="13" t="s">
        <v>43</v>
      </c>
      <c r="J212" s="11" t="n">
        <v>1221789</v>
      </c>
      <c r="L212" s="11" t="n">
        <v>4245</v>
      </c>
      <c r="M212" s="13" t="s">
        <v>44</v>
      </c>
      <c r="N212" s="13" t="s">
        <v>69</v>
      </c>
      <c r="P212" s="11" t="n">
        <v>128</v>
      </c>
      <c r="Q212" s="13" t="s">
        <v>45</v>
      </c>
      <c r="R212" s="13" t="s">
        <v>46</v>
      </c>
      <c r="S212" s="11" t="n">
        <v>1130101</v>
      </c>
      <c r="T212" s="13" t="s">
        <v>47</v>
      </c>
      <c r="U212" s="14" t="n">
        <v>161</v>
      </c>
      <c r="W212" s="14" t="n">
        <v>161</v>
      </c>
      <c r="X212" s="13" t="s">
        <v>82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78</v>
      </c>
      <c r="F213" s="11" t="n">
        <v>24</v>
      </c>
      <c r="G213" s="13" t="s">
        <v>42</v>
      </c>
      <c r="H213" s="11" t="n">
        <v>2110101</v>
      </c>
      <c r="I213" s="13" t="s">
        <v>43</v>
      </c>
      <c r="J213" s="11" t="n">
        <v>1222102</v>
      </c>
      <c r="L213" s="11" t="n">
        <v>50343193</v>
      </c>
      <c r="M213" s="13" t="s">
        <v>44</v>
      </c>
      <c r="N213" s="13" t="s">
        <v>36</v>
      </c>
      <c r="P213" s="11" t="n">
        <v>128</v>
      </c>
      <c r="Q213" s="13" t="s">
        <v>45</v>
      </c>
      <c r="R213" s="13" t="s">
        <v>46</v>
      </c>
      <c r="S213" s="11" t="n">
        <v>1130101</v>
      </c>
      <c r="T213" s="13" t="s">
        <v>47</v>
      </c>
      <c r="U213" s="14" t="n">
        <v>594.85</v>
      </c>
      <c r="W213" s="14" t="n">
        <v>0</v>
      </c>
      <c r="X213" s="13" t="s">
        <v>79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80</v>
      </c>
      <c r="F214" s="11" t="n">
        <v>13</v>
      </c>
      <c r="G214" s="13" t="s">
        <v>81</v>
      </c>
      <c r="H214" s="11" t="n">
        <v>2110101</v>
      </c>
      <c r="I214" s="13" t="s">
        <v>43</v>
      </c>
      <c r="J214" s="11" t="n">
        <v>1222115</v>
      </c>
      <c r="L214" s="11" t="n">
        <v>4247</v>
      </c>
      <c r="M214" s="13" t="s">
        <v>44</v>
      </c>
      <c r="N214" s="13" t="s">
        <v>69</v>
      </c>
      <c r="P214" s="11" t="n">
        <v>128</v>
      </c>
      <c r="Q214" s="13" t="s">
        <v>45</v>
      </c>
      <c r="R214" s="13" t="s">
        <v>46</v>
      </c>
      <c r="S214" s="11" t="n">
        <v>1130101</v>
      </c>
      <c r="T214" s="13" t="s">
        <v>47</v>
      </c>
      <c r="U214" s="14" t="n">
        <v>120</v>
      </c>
      <c r="W214" s="14" t="n">
        <v>120</v>
      </c>
      <c r="X214" s="13" t="s">
        <v>83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84</v>
      </c>
      <c r="F215" s="11" t="n">
        <v>24</v>
      </c>
      <c r="G215" s="13" t="s">
        <v>42</v>
      </c>
      <c r="H215" s="11" t="n">
        <v>2110101</v>
      </c>
      <c r="I215" s="13" t="s">
        <v>43</v>
      </c>
      <c r="J215" s="11" t="n">
        <v>1228139</v>
      </c>
      <c r="L215" s="11" t="n">
        <v>192229</v>
      </c>
      <c r="M215" s="13" t="s">
        <v>44</v>
      </c>
      <c r="N215" s="13" t="s">
        <v>36</v>
      </c>
      <c r="P215" s="11" t="n">
        <v>102</v>
      </c>
      <c r="Q215" s="13" t="s">
        <v>186</v>
      </c>
      <c r="R215" s="13" t="s">
        <v>46</v>
      </c>
      <c r="S215" s="11" t="n">
        <v>1130101</v>
      </c>
      <c r="T215" s="13" t="s">
        <v>47</v>
      </c>
      <c r="U215" s="14" t="n">
        <v>70.8</v>
      </c>
      <c r="W215" s="14" t="n">
        <v>0</v>
      </c>
      <c r="X215" s="13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71</v>
      </c>
      <c r="F216" s="11" t="n">
        <v>34</v>
      </c>
      <c r="G216" s="13" t="s">
        <v>33</v>
      </c>
      <c r="H216" s="11" t="n">
        <v>2110405</v>
      </c>
      <c r="I216" s="13" t="s">
        <v>34</v>
      </c>
      <c r="J216" s="11" t="n">
        <v>999299</v>
      </c>
      <c r="L216" s="11" t="n">
        <v>157555</v>
      </c>
      <c r="M216" s="13" t="s">
        <v>315</v>
      </c>
      <c r="N216" s="13" t="s">
        <v>36</v>
      </c>
      <c r="P216" s="11" t="n">
        <v>101</v>
      </c>
      <c r="Q216" s="13" t="s">
        <v>37</v>
      </c>
      <c r="R216" s="13" t="s">
        <v>109</v>
      </c>
      <c r="S216" s="11" t="n">
        <v>1240203</v>
      </c>
      <c r="T216" s="13" t="s">
        <v>110</v>
      </c>
      <c r="U216" s="14" t="n">
        <v>2320.33</v>
      </c>
      <c r="W216" s="14" t="n">
        <v>0</v>
      </c>
      <c r="X216" s="13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71</v>
      </c>
      <c r="F217" s="11" t="n">
        <v>34</v>
      </c>
      <c r="G217" s="13" t="s">
        <v>33</v>
      </c>
      <c r="H217" s="11" t="n">
        <v>2110405</v>
      </c>
      <c r="I217" s="13" t="s">
        <v>34</v>
      </c>
      <c r="J217" s="11" t="n">
        <v>1053887</v>
      </c>
      <c r="L217" s="11" t="n">
        <v>166257</v>
      </c>
      <c r="M217" s="13" t="s">
        <v>150</v>
      </c>
      <c r="N217" s="13" t="s">
        <v>36</v>
      </c>
      <c r="P217" s="11" t="n">
        <v>101</v>
      </c>
      <c r="Q217" s="13" t="s">
        <v>37</v>
      </c>
      <c r="R217" s="13" t="s">
        <v>72</v>
      </c>
      <c r="S217" s="11" t="n">
        <v>4210301</v>
      </c>
      <c r="T217" s="13" t="s">
        <v>230</v>
      </c>
      <c r="U217" s="14" t="n">
        <v>353.14</v>
      </c>
      <c r="W217" s="14" t="n">
        <v>0</v>
      </c>
      <c r="X217" s="13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53</v>
      </c>
      <c r="F218" s="11" t="n">
        <v>24</v>
      </c>
      <c r="G218" s="13" t="s">
        <v>42</v>
      </c>
      <c r="H218" s="11" t="n">
        <v>2110101</v>
      </c>
      <c r="I218" s="13" t="s">
        <v>43</v>
      </c>
      <c r="J218" s="11" t="n">
        <v>1131499</v>
      </c>
      <c r="L218" s="11" t="n">
        <v>4456532</v>
      </c>
      <c r="M218" s="13" t="s">
        <v>44</v>
      </c>
      <c r="N218" s="13" t="s">
        <v>36</v>
      </c>
      <c r="P218" s="11" t="n">
        <v>128</v>
      </c>
      <c r="Q218" s="13" t="s">
        <v>45</v>
      </c>
      <c r="R218" s="13" t="s">
        <v>46</v>
      </c>
      <c r="S218" s="11" t="n">
        <v>1130101</v>
      </c>
      <c r="T218" s="13" t="s">
        <v>47</v>
      </c>
      <c r="U218" s="14" t="n">
        <v>2073.99</v>
      </c>
      <c r="W218" s="14" t="n">
        <v>0</v>
      </c>
      <c r="X218" s="13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80</v>
      </c>
      <c r="F219" s="11" t="n">
        <v>34</v>
      </c>
      <c r="G219" s="13" t="s">
        <v>33</v>
      </c>
      <c r="H219" s="11" t="n">
        <v>2110101</v>
      </c>
      <c r="I219" s="13" t="s">
        <v>43</v>
      </c>
      <c r="J219" s="11" t="n">
        <v>1207833</v>
      </c>
      <c r="L219" s="11" t="n">
        <v>4242</v>
      </c>
      <c r="M219" s="13" t="s">
        <v>44</v>
      </c>
      <c r="N219" s="13" t="s">
        <v>69</v>
      </c>
      <c r="P219" s="11" t="n">
        <v>128</v>
      </c>
      <c r="Q219" s="13" t="s">
        <v>45</v>
      </c>
      <c r="R219" s="13" t="s">
        <v>46</v>
      </c>
      <c r="S219" s="11" t="n">
        <v>1130101</v>
      </c>
      <c r="T219" s="13" t="s">
        <v>47</v>
      </c>
      <c r="U219" s="14" t="n">
        <v>1772</v>
      </c>
      <c r="W219" s="14" t="n">
        <v>0</v>
      </c>
      <c r="X219" s="13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320</v>
      </c>
      <c r="F220" s="11" t="n">
        <v>24</v>
      </c>
      <c r="G220" s="13" t="s">
        <v>42</v>
      </c>
      <c r="H220" s="11" t="n">
        <v>2110101</v>
      </c>
      <c r="I220" s="13" t="s">
        <v>43</v>
      </c>
      <c r="J220" s="11" t="n">
        <v>1166072</v>
      </c>
      <c r="L220" s="11" t="n">
        <v>14315</v>
      </c>
      <c r="M220" s="13" t="s">
        <v>44</v>
      </c>
      <c r="N220" s="13" t="s">
        <v>36</v>
      </c>
      <c r="P220" s="11" t="n">
        <v>128</v>
      </c>
      <c r="Q220" s="13" t="s">
        <v>45</v>
      </c>
      <c r="R220" s="13" t="s">
        <v>46</v>
      </c>
      <c r="S220" s="11" t="n">
        <v>1130101</v>
      </c>
      <c r="T220" s="13" t="s">
        <v>47</v>
      </c>
      <c r="U220" s="14" t="n">
        <v>3388.4</v>
      </c>
      <c r="W220" s="14" t="n">
        <v>0</v>
      </c>
      <c r="X220" s="13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80</v>
      </c>
      <c r="F221" s="11" t="n">
        <v>34</v>
      </c>
      <c r="G221" s="13" t="s">
        <v>33</v>
      </c>
      <c r="H221" s="11" t="n">
        <v>2110101</v>
      </c>
      <c r="I221" s="13" t="s">
        <v>43</v>
      </c>
      <c r="J221" s="11" t="n">
        <v>1167339</v>
      </c>
      <c r="L221" s="11" t="n">
        <v>4208</v>
      </c>
      <c r="M221" s="13" t="s">
        <v>44</v>
      </c>
      <c r="N221" s="13" t="s">
        <v>69</v>
      </c>
      <c r="P221" s="11" t="n">
        <v>128</v>
      </c>
      <c r="Q221" s="13" t="s">
        <v>45</v>
      </c>
      <c r="R221" s="13" t="s">
        <v>46</v>
      </c>
      <c r="S221" s="11" t="n">
        <v>1130101</v>
      </c>
      <c r="T221" s="13" t="s">
        <v>47</v>
      </c>
      <c r="U221" s="14" t="n">
        <v>1100</v>
      </c>
      <c r="W221" s="14" t="n">
        <v>0</v>
      </c>
      <c r="X221" s="13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80</v>
      </c>
      <c r="F222" s="11" t="n">
        <v>34</v>
      </c>
      <c r="G222" s="13" t="s">
        <v>33</v>
      </c>
      <c r="H222" s="11" t="n">
        <v>2110101</v>
      </c>
      <c r="I222" s="13" t="s">
        <v>43</v>
      </c>
      <c r="J222" s="11" t="n">
        <v>1188013</v>
      </c>
      <c r="L222" s="11" t="n">
        <v>4221</v>
      </c>
      <c r="M222" s="13" t="s">
        <v>44</v>
      </c>
      <c r="N222" s="13" t="s">
        <v>69</v>
      </c>
      <c r="P222" s="11" t="n">
        <v>128</v>
      </c>
      <c r="Q222" s="13" t="s">
        <v>45</v>
      </c>
      <c r="R222" s="13" t="s">
        <v>46</v>
      </c>
      <c r="S222" s="11" t="n">
        <v>1130101</v>
      </c>
      <c r="T222" s="13" t="s">
        <v>47</v>
      </c>
      <c r="U222" s="14" t="n">
        <v>260</v>
      </c>
      <c r="W222" s="14" t="n">
        <v>0</v>
      </c>
      <c r="X222" s="13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76</v>
      </c>
      <c r="F223" s="11" t="n">
        <v>24</v>
      </c>
      <c r="G223" s="13" t="s">
        <v>42</v>
      </c>
      <c r="H223" s="11" t="n">
        <v>2110101</v>
      </c>
      <c r="I223" s="13" t="s">
        <v>43</v>
      </c>
      <c r="J223" s="11" t="n">
        <v>1196960</v>
      </c>
      <c r="L223" s="11" t="n">
        <v>51904</v>
      </c>
      <c r="M223" s="13" t="s">
        <v>44</v>
      </c>
      <c r="N223" s="13" t="s">
        <v>36</v>
      </c>
      <c r="P223" s="11" t="n">
        <v>128</v>
      </c>
      <c r="Q223" s="13" t="s">
        <v>45</v>
      </c>
      <c r="R223" s="13" t="s">
        <v>46</v>
      </c>
      <c r="S223" s="11" t="n">
        <v>1130101</v>
      </c>
      <c r="T223" s="13" t="s">
        <v>47</v>
      </c>
      <c r="U223" s="14" t="n">
        <v>5604</v>
      </c>
      <c r="W223" s="14" t="n">
        <v>0</v>
      </c>
      <c r="X223" s="13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133</v>
      </c>
      <c r="F224" s="11" t="n">
        <v>34</v>
      </c>
      <c r="G224" s="13" t="s">
        <v>33</v>
      </c>
      <c r="H224" s="11" t="n">
        <v>2110101</v>
      </c>
      <c r="I224" s="13" t="s">
        <v>43</v>
      </c>
      <c r="J224" s="11" t="n">
        <v>1221211</v>
      </c>
      <c r="L224" s="11" t="n">
        <v>5952</v>
      </c>
      <c r="M224" s="13" t="s">
        <v>44</v>
      </c>
      <c r="N224" s="13" t="s">
        <v>69</v>
      </c>
      <c r="P224" s="11" t="n">
        <v>128</v>
      </c>
      <c r="Q224" s="13" t="s">
        <v>45</v>
      </c>
      <c r="R224" s="13" t="s">
        <v>46</v>
      </c>
      <c r="S224" s="11" t="n">
        <v>1130101</v>
      </c>
      <c r="T224" s="13" t="s">
        <v>47</v>
      </c>
      <c r="U224" s="14" t="n">
        <v>240</v>
      </c>
      <c r="W224" s="14" t="n">
        <v>0</v>
      </c>
      <c r="X224" s="13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130</v>
      </c>
      <c r="F225" s="11" t="n">
        <v>34</v>
      </c>
      <c r="G225" s="13" t="s">
        <v>33</v>
      </c>
      <c r="H225" s="11" t="n">
        <v>2110101</v>
      </c>
      <c r="I225" s="13" t="s">
        <v>43</v>
      </c>
      <c r="J225" s="11" t="n">
        <v>1223119</v>
      </c>
      <c r="L225" s="11" t="n">
        <v>14632</v>
      </c>
      <c r="M225" s="13" t="s">
        <v>44</v>
      </c>
      <c r="N225" s="13" t="s">
        <v>69</v>
      </c>
      <c r="P225" s="11" t="n">
        <v>128</v>
      </c>
      <c r="Q225" s="13" t="s">
        <v>45</v>
      </c>
      <c r="R225" s="13" t="s">
        <v>46</v>
      </c>
      <c r="S225" s="11" t="n">
        <v>1130101</v>
      </c>
      <c r="T225" s="13" t="s">
        <v>47</v>
      </c>
      <c r="U225" s="14" t="n">
        <v>450</v>
      </c>
      <c r="W225" s="14" t="n">
        <v>0</v>
      </c>
      <c r="X225" s="13" t="s">
        <v>129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80</v>
      </c>
      <c r="F226" s="11" t="n">
        <v>13</v>
      </c>
      <c r="G226" s="13" t="s">
        <v>81</v>
      </c>
      <c r="H226" s="11" t="n">
        <v>2110101</v>
      </c>
      <c r="I226" s="13" t="s">
        <v>43</v>
      </c>
      <c r="J226" s="11" t="n">
        <v>1226185</v>
      </c>
      <c r="L226" s="11" t="n">
        <v>4250</v>
      </c>
      <c r="M226" s="13" t="s">
        <v>44</v>
      </c>
      <c r="N226" s="13" t="s">
        <v>69</v>
      </c>
      <c r="P226" s="11" t="n">
        <v>128</v>
      </c>
      <c r="Q226" s="13" t="s">
        <v>45</v>
      </c>
      <c r="R226" s="13" t="s">
        <v>46</v>
      </c>
      <c r="S226" s="11" t="n">
        <v>1130101</v>
      </c>
      <c r="T226" s="13" t="s">
        <v>47</v>
      </c>
      <c r="U226" s="14" t="n">
        <v>155</v>
      </c>
      <c r="W226" s="14" t="n">
        <v>155</v>
      </c>
      <c r="X226" s="13" t="s">
        <v>82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80</v>
      </c>
      <c r="F227" s="11" t="n">
        <v>13</v>
      </c>
      <c r="G227" s="13" t="s">
        <v>81</v>
      </c>
      <c r="H227" s="11" t="n">
        <v>2110101</v>
      </c>
      <c r="I227" s="13" t="s">
        <v>43</v>
      </c>
      <c r="J227" s="11" t="n">
        <v>1226836</v>
      </c>
      <c r="L227" s="11" t="n">
        <v>4251</v>
      </c>
      <c r="M227" s="13" t="s">
        <v>44</v>
      </c>
      <c r="N227" s="13" t="s">
        <v>69</v>
      </c>
      <c r="P227" s="11" t="n">
        <v>128</v>
      </c>
      <c r="Q227" s="13" t="s">
        <v>45</v>
      </c>
      <c r="R227" s="13" t="s">
        <v>46</v>
      </c>
      <c r="S227" s="11" t="n">
        <v>1130101</v>
      </c>
      <c r="T227" s="13" t="s">
        <v>47</v>
      </c>
      <c r="U227" s="14" t="n">
        <v>120</v>
      </c>
      <c r="W227" s="14" t="n">
        <v>120</v>
      </c>
      <c r="X227" s="13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327</v>
      </c>
      <c r="F228" s="11" t="n">
        <v>34</v>
      </c>
      <c r="G228" s="13" t="s">
        <v>33</v>
      </c>
      <c r="H228" s="11" t="n">
        <v>2110405</v>
      </c>
      <c r="I228" s="13" t="s">
        <v>34</v>
      </c>
      <c r="J228" s="11" t="n">
        <v>793794</v>
      </c>
      <c r="L228" s="11" t="n">
        <v>100326</v>
      </c>
      <c r="M228" s="13" t="s">
        <v>244</v>
      </c>
      <c r="N228" s="13" t="s">
        <v>36</v>
      </c>
      <c r="P228" s="11" t="n">
        <v>101</v>
      </c>
      <c r="Q228" s="13" t="s">
        <v>37</v>
      </c>
      <c r="R228" s="13" t="s">
        <v>139</v>
      </c>
      <c r="S228" s="11" t="n">
        <v>2110901</v>
      </c>
      <c r="T228" s="13" t="s">
        <v>140</v>
      </c>
      <c r="U228" s="14" t="n">
        <v>1500</v>
      </c>
      <c r="W228" s="14" t="n">
        <v>0</v>
      </c>
      <c r="X228" s="13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329</v>
      </c>
      <c r="F229" s="11" t="n">
        <v>34</v>
      </c>
      <c r="G229" s="13" t="s">
        <v>33</v>
      </c>
      <c r="H229" s="11" t="n">
        <v>2110405</v>
      </c>
      <c r="I229" s="13" t="s">
        <v>34</v>
      </c>
      <c r="J229" s="11" t="n">
        <v>794146</v>
      </c>
      <c r="L229" s="11" t="n">
        <v>125830</v>
      </c>
      <c r="M229" s="13" t="s">
        <v>315</v>
      </c>
      <c r="N229" s="13" t="s">
        <v>36</v>
      </c>
      <c r="P229" s="11" t="n">
        <v>101</v>
      </c>
      <c r="Q229" s="13" t="s">
        <v>37</v>
      </c>
      <c r="R229" s="13" t="s">
        <v>63</v>
      </c>
      <c r="S229" s="11" t="n">
        <v>4210111</v>
      </c>
      <c r="T229" s="13" t="s">
        <v>330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41</v>
      </c>
      <c r="F230" s="11" t="n">
        <v>24</v>
      </c>
      <c r="G230" s="13" t="s">
        <v>42</v>
      </c>
      <c r="H230" s="11" t="n">
        <v>2110101</v>
      </c>
      <c r="I230" s="13" t="s">
        <v>43</v>
      </c>
      <c r="J230" s="11" t="n">
        <v>1054166</v>
      </c>
      <c r="L230" s="11" t="n">
        <v>16489753</v>
      </c>
      <c r="M230" s="13" t="s">
        <v>44</v>
      </c>
      <c r="N230" s="13" t="s">
        <v>36</v>
      </c>
      <c r="P230" s="11" t="n">
        <v>128</v>
      </c>
      <c r="Q230" s="13" t="s">
        <v>45</v>
      </c>
      <c r="R230" s="13" t="s">
        <v>46</v>
      </c>
      <c r="S230" s="11" t="n">
        <v>1130101</v>
      </c>
      <c r="T230" s="13" t="s">
        <v>47</v>
      </c>
      <c r="U230" s="14" t="n">
        <v>461.37</v>
      </c>
      <c r="W230" s="14" t="n">
        <v>0</v>
      </c>
      <c r="X230" s="13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163</v>
      </c>
      <c r="F231" s="11" t="n">
        <v>24</v>
      </c>
      <c r="G231" s="13" t="s">
        <v>42</v>
      </c>
      <c r="H231" s="11" t="n">
        <v>2110101</v>
      </c>
      <c r="I231" s="13" t="s">
        <v>43</v>
      </c>
      <c r="J231" s="11" t="n">
        <v>1122926</v>
      </c>
      <c r="L231" s="11" t="n">
        <v>4897162</v>
      </c>
      <c r="M231" s="13" t="s">
        <v>44</v>
      </c>
      <c r="N231" s="13" t="s">
        <v>36</v>
      </c>
      <c r="P231" s="11" t="n">
        <v>128</v>
      </c>
      <c r="Q231" s="13" t="s">
        <v>45</v>
      </c>
      <c r="R231" s="13" t="s">
        <v>46</v>
      </c>
      <c r="S231" s="11" t="n">
        <v>1130101</v>
      </c>
      <c r="T231" s="13" t="s">
        <v>47</v>
      </c>
      <c r="U231" s="14" t="n">
        <v>1199.94</v>
      </c>
      <c r="W231" s="14" t="n">
        <v>0</v>
      </c>
      <c r="X231" s="13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67</v>
      </c>
      <c r="F232" s="11" t="n">
        <v>24</v>
      </c>
      <c r="G232" s="13" t="s">
        <v>42</v>
      </c>
      <c r="H232" s="11" t="n">
        <v>2110101</v>
      </c>
      <c r="I232" s="13" t="s">
        <v>43</v>
      </c>
      <c r="J232" s="11" t="n">
        <v>1127005</v>
      </c>
      <c r="L232" s="11" t="n">
        <v>13513142</v>
      </c>
      <c r="M232" s="13" t="s">
        <v>44</v>
      </c>
      <c r="N232" s="13" t="s">
        <v>36</v>
      </c>
      <c r="P232" s="11" t="n">
        <v>128</v>
      </c>
      <c r="Q232" s="13" t="s">
        <v>45</v>
      </c>
      <c r="R232" s="13" t="s">
        <v>46</v>
      </c>
      <c r="S232" s="11" t="n">
        <v>1130101</v>
      </c>
      <c r="T232" s="13" t="s">
        <v>47</v>
      </c>
      <c r="U232" s="14" t="n">
        <v>870</v>
      </c>
      <c r="W232" s="14" t="n">
        <v>0</v>
      </c>
      <c r="X232" s="13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174</v>
      </c>
      <c r="F233" s="11" t="n">
        <v>24</v>
      </c>
      <c r="G233" s="13" t="s">
        <v>42</v>
      </c>
      <c r="H233" s="11" t="n">
        <v>2110101</v>
      </c>
      <c r="I233" s="13" t="s">
        <v>43</v>
      </c>
      <c r="J233" s="11" t="n">
        <v>1151625</v>
      </c>
      <c r="L233" s="11" t="n">
        <v>118062</v>
      </c>
      <c r="M233" s="13" t="s">
        <v>44</v>
      </c>
      <c r="N233" s="13" t="s">
        <v>36</v>
      </c>
      <c r="P233" s="11" t="n">
        <v>128</v>
      </c>
      <c r="Q233" s="13" t="s">
        <v>45</v>
      </c>
      <c r="R233" s="13" t="s">
        <v>46</v>
      </c>
      <c r="S233" s="11" t="n">
        <v>1130101</v>
      </c>
      <c r="T233" s="13" t="s">
        <v>47</v>
      </c>
      <c r="U233" s="14" t="n">
        <v>732.68</v>
      </c>
      <c r="W233" s="14" t="n">
        <v>0</v>
      </c>
      <c r="X233" s="13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335</v>
      </c>
      <c r="F234" s="11" t="n">
        <v>24</v>
      </c>
      <c r="G234" s="13" t="s">
        <v>42</v>
      </c>
      <c r="H234" s="11" t="n">
        <v>2110101</v>
      </c>
      <c r="I234" s="13" t="s">
        <v>43</v>
      </c>
      <c r="J234" s="11" t="n">
        <v>1161703</v>
      </c>
      <c r="L234" s="11" t="n">
        <v>1928851</v>
      </c>
      <c r="M234" s="13" t="s">
        <v>44</v>
      </c>
      <c r="N234" s="13" t="s">
        <v>36</v>
      </c>
      <c r="P234" s="11" t="n">
        <v>128</v>
      </c>
      <c r="Q234" s="13" t="s">
        <v>45</v>
      </c>
      <c r="R234" s="13" t="s">
        <v>46</v>
      </c>
      <c r="S234" s="11" t="n">
        <v>1130101</v>
      </c>
      <c r="T234" s="13" t="s">
        <v>47</v>
      </c>
      <c r="U234" s="14" t="n">
        <v>1314.73</v>
      </c>
      <c r="W234" s="14" t="n">
        <v>0</v>
      </c>
      <c r="X234" s="13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125</v>
      </c>
      <c r="F235" s="11" t="n">
        <v>24</v>
      </c>
      <c r="G235" s="13" t="s">
        <v>42</v>
      </c>
      <c r="H235" s="11" t="n">
        <v>2110101</v>
      </c>
      <c r="I235" s="13" t="s">
        <v>43</v>
      </c>
      <c r="J235" s="11" t="n">
        <v>1162220</v>
      </c>
      <c r="L235" s="11" t="n">
        <v>2523501</v>
      </c>
      <c r="M235" s="13" t="s">
        <v>44</v>
      </c>
      <c r="N235" s="13" t="s">
        <v>36</v>
      </c>
      <c r="P235" s="11" t="n">
        <v>128</v>
      </c>
      <c r="Q235" s="13" t="s">
        <v>45</v>
      </c>
      <c r="R235" s="13" t="s">
        <v>46</v>
      </c>
      <c r="S235" s="11" t="n">
        <v>1130101</v>
      </c>
      <c r="T235" s="13" t="s">
        <v>47</v>
      </c>
      <c r="U235" s="14" t="n">
        <v>330.84</v>
      </c>
      <c r="W235" s="14" t="n">
        <v>0</v>
      </c>
      <c r="X235" s="13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127</v>
      </c>
      <c r="F236" s="11" t="n">
        <v>24</v>
      </c>
      <c r="G236" s="13" t="s">
        <v>42</v>
      </c>
      <c r="H236" s="11" t="n">
        <v>2110101</v>
      </c>
      <c r="I236" s="13" t="s">
        <v>43</v>
      </c>
      <c r="J236" s="11" t="n">
        <v>1165917</v>
      </c>
      <c r="L236" s="11" t="n">
        <v>276682</v>
      </c>
      <c r="M236" s="13" t="s">
        <v>44</v>
      </c>
      <c r="N236" s="13" t="s">
        <v>36</v>
      </c>
      <c r="P236" s="11" t="n">
        <v>128</v>
      </c>
      <c r="Q236" s="13" t="s">
        <v>45</v>
      </c>
      <c r="R236" s="13" t="s">
        <v>46</v>
      </c>
      <c r="S236" s="11" t="n">
        <v>1130101</v>
      </c>
      <c r="T236" s="13" t="s">
        <v>47</v>
      </c>
      <c r="U236" s="14" t="n">
        <v>294.01</v>
      </c>
      <c r="W236" s="14" t="n">
        <v>0</v>
      </c>
      <c r="X236" s="13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nao encontrado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339</v>
      </c>
      <c r="F237" s="11" t="n">
        <v>24</v>
      </c>
      <c r="G237" s="13" t="s">
        <v>42</v>
      </c>
      <c r="H237" s="11" t="n">
        <v>2110101</v>
      </c>
      <c r="I237" s="13" t="s">
        <v>43</v>
      </c>
      <c r="J237" s="11" t="n">
        <v>1196753</v>
      </c>
      <c r="L237" s="11" t="n">
        <v>264831</v>
      </c>
      <c r="M237" s="13" t="s">
        <v>44</v>
      </c>
      <c r="N237" s="13" t="s">
        <v>36</v>
      </c>
      <c r="P237" s="11" t="n">
        <v>128</v>
      </c>
      <c r="Q237" s="13" t="s">
        <v>45</v>
      </c>
      <c r="R237" s="13" t="s">
        <v>46</v>
      </c>
      <c r="S237" s="11" t="n">
        <v>1130101</v>
      </c>
      <c r="T237" s="13" t="s">
        <v>47</v>
      </c>
      <c r="U237" s="14" t="n">
        <v>601.57</v>
      </c>
      <c r="W237" s="14" t="n">
        <v>0</v>
      </c>
      <c r="X237" s="13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120</v>
      </c>
      <c r="F238" s="11" t="n">
        <v>24</v>
      </c>
      <c r="G238" s="13" t="s">
        <v>42</v>
      </c>
      <c r="H238" s="11" t="n">
        <v>2110101</v>
      </c>
      <c r="I238" s="13" t="s">
        <v>43</v>
      </c>
      <c r="J238" s="11" t="n">
        <v>1197323</v>
      </c>
      <c r="L238" s="11" t="n">
        <v>17581</v>
      </c>
      <c r="M238" s="13" t="s">
        <v>44</v>
      </c>
      <c r="N238" s="13" t="s">
        <v>69</v>
      </c>
      <c r="P238" s="11" t="n">
        <v>128</v>
      </c>
      <c r="Q238" s="13" t="s">
        <v>45</v>
      </c>
      <c r="R238" s="13" t="s">
        <v>46</v>
      </c>
      <c r="S238" s="11" t="n">
        <v>1130101</v>
      </c>
      <c r="T238" s="13" t="s">
        <v>47</v>
      </c>
      <c r="U238" s="14" t="n">
        <v>302</v>
      </c>
      <c r="W238" s="14" t="n">
        <v>0</v>
      </c>
      <c r="X238" s="13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125</v>
      </c>
      <c r="F239" s="11" t="n">
        <v>24</v>
      </c>
      <c r="G239" s="13" t="s">
        <v>42</v>
      </c>
      <c r="H239" s="11" t="n">
        <v>2110101</v>
      </c>
      <c r="I239" s="13" t="s">
        <v>43</v>
      </c>
      <c r="J239" s="11" t="n">
        <v>1198145</v>
      </c>
      <c r="L239" s="11" t="n">
        <v>252737</v>
      </c>
      <c r="M239" s="13" t="s">
        <v>44</v>
      </c>
      <c r="N239" s="13" t="s">
        <v>36</v>
      </c>
      <c r="P239" s="11" t="n">
        <v>128</v>
      </c>
      <c r="Q239" s="13" t="s">
        <v>45</v>
      </c>
      <c r="R239" s="13" t="s">
        <v>46</v>
      </c>
      <c r="S239" s="11" t="n">
        <v>1130101</v>
      </c>
      <c r="T239" s="13" t="s">
        <v>47</v>
      </c>
      <c r="U239" s="14" t="n">
        <v>339</v>
      </c>
      <c r="W239" s="14" t="n">
        <v>0</v>
      </c>
      <c r="X239" s="13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135</v>
      </c>
      <c r="F240" s="11" t="n">
        <v>24</v>
      </c>
      <c r="G240" s="13" t="s">
        <v>42</v>
      </c>
      <c r="H240" s="11" t="n">
        <v>2110101</v>
      </c>
      <c r="I240" s="13" t="s">
        <v>43</v>
      </c>
      <c r="J240" s="11" t="n">
        <v>1221263</v>
      </c>
      <c r="L240" s="11" t="n">
        <v>488</v>
      </c>
      <c r="M240" s="13" t="s">
        <v>44</v>
      </c>
      <c r="N240" s="13" t="s">
        <v>69</v>
      </c>
      <c r="P240" s="11" t="n">
        <v>128</v>
      </c>
      <c r="Q240" s="13" t="s">
        <v>45</v>
      </c>
      <c r="R240" s="13" t="s">
        <v>46</v>
      </c>
      <c r="S240" s="11" t="n">
        <v>1130101</v>
      </c>
      <c r="T240" s="13" t="s">
        <v>47</v>
      </c>
      <c r="U240" s="14" t="n">
        <v>240</v>
      </c>
      <c r="W240" s="14" t="n">
        <v>0</v>
      </c>
      <c r="X240" s="13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80</v>
      </c>
      <c r="F241" s="11" t="n">
        <v>13</v>
      </c>
      <c r="G241" s="13" t="s">
        <v>81</v>
      </c>
      <c r="H241" s="11" t="n">
        <v>2110101</v>
      </c>
      <c r="I241" s="13" t="s">
        <v>43</v>
      </c>
      <c r="J241" s="11" t="n">
        <v>1230929</v>
      </c>
      <c r="L241" s="11" t="n">
        <v>4256</v>
      </c>
      <c r="M241" s="13" t="s">
        <v>44</v>
      </c>
      <c r="N241" s="13" t="s">
        <v>69</v>
      </c>
      <c r="P241" s="11" t="n">
        <v>128</v>
      </c>
      <c r="Q241" s="13" t="s">
        <v>45</v>
      </c>
      <c r="R241" s="13" t="s">
        <v>46</v>
      </c>
      <c r="S241" s="11" t="n">
        <v>1130101</v>
      </c>
      <c r="T241" s="13" t="s">
        <v>47</v>
      </c>
      <c r="U241" s="14" t="n">
        <v>140</v>
      </c>
      <c r="W241" s="14" t="n">
        <v>140</v>
      </c>
      <c r="X241" s="13" t="s">
        <v>82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80</v>
      </c>
      <c r="F242" s="11" t="n">
        <v>13</v>
      </c>
      <c r="G242" s="13" t="s">
        <v>81</v>
      </c>
      <c r="H242" s="11" t="n">
        <v>2110101</v>
      </c>
      <c r="I242" s="13" t="s">
        <v>43</v>
      </c>
      <c r="J242" s="11" t="n">
        <v>1231926</v>
      </c>
      <c r="L242" s="11" t="n">
        <v>4257</v>
      </c>
      <c r="M242" s="13" t="s">
        <v>44</v>
      </c>
      <c r="N242" s="13" t="s">
        <v>69</v>
      </c>
      <c r="P242" s="11" t="n">
        <v>128</v>
      </c>
      <c r="Q242" s="13" t="s">
        <v>45</v>
      </c>
      <c r="R242" s="13" t="s">
        <v>46</v>
      </c>
      <c r="S242" s="11" t="n">
        <v>1130101</v>
      </c>
      <c r="T242" s="13" t="s">
        <v>47</v>
      </c>
      <c r="U242" s="14" t="n">
        <v>120</v>
      </c>
      <c r="W242" s="14" t="n">
        <v>120</v>
      </c>
      <c r="X242" s="13" t="s">
        <v>83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112</v>
      </c>
      <c r="F243" s="11" t="n">
        <v>13</v>
      </c>
      <c r="G243" s="13" t="s">
        <v>81</v>
      </c>
      <c r="H243" s="11" t="n">
        <v>2110101</v>
      </c>
      <c r="I243" s="13" t="s">
        <v>43</v>
      </c>
      <c r="J243" s="11" t="n">
        <v>1235166</v>
      </c>
      <c r="L243" s="11" t="n">
        <v>696</v>
      </c>
      <c r="M243" s="13" t="s">
        <v>44</v>
      </c>
      <c r="N243" s="13" t="s">
        <v>69</v>
      </c>
      <c r="P243" s="11" t="n">
        <v>128</v>
      </c>
      <c r="Q243" s="13" t="s">
        <v>45</v>
      </c>
      <c r="R243" s="13" t="s">
        <v>46</v>
      </c>
      <c r="S243" s="11" t="n">
        <v>1130101</v>
      </c>
      <c r="T243" s="13" t="s">
        <v>47</v>
      </c>
      <c r="U243" s="14" t="n">
        <v>270</v>
      </c>
      <c r="W243" s="14" t="n">
        <v>270</v>
      </c>
      <c r="X243" s="13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84</v>
      </c>
      <c r="F244" s="11" t="n">
        <v>24</v>
      </c>
      <c r="G244" s="13" t="s">
        <v>42</v>
      </c>
      <c r="H244" s="11" t="n">
        <v>2110101</v>
      </c>
      <c r="I244" s="13" t="s">
        <v>43</v>
      </c>
      <c r="J244" s="11" t="n">
        <v>1236612</v>
      </c>
      <c r="L244" s="11" t="n">
        <v>193516</v>
      </c>
      <c r="M244" s="13" t="s">
        <v>44</v>
      </c>
      <c r="N244" s="13" t="s">
        <v>36</v>
      </c>
      <c r="P244" s="11" t="n">
        <v>102</v>
      </c>
      <c r="Q244" s="13" t="s">
        <v>186</v>
      </c>
      <c r="R244" s="13" t="s">
        <v>46</v>
      </c>
      <c r="S244" s="11" t="n">
        <v>1130101</v>
      </c>
      <c r="T244" s="13" t="s">
        <v>47</v>
      </c>
      <c r="U244" s="14" t="n">
        <v>134.63</v>
      </c>
      <c r="W244" s="14" t="n">
        <v>0</v>
      </c>
      <c r="X244" s="13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346</v>
      </c>
      <c r="F245" s="11" t="n">
        <v>34</v>
      </c>
      <c r="G245" s="13" t="s">
        <v>33</v>
      </c>
      <c r="H245" s="11" t="n">
        <v>2110101</v>
      </c>
      <c r="I245" s="13" t="s">
        <v>43</v>
      </c>
      <c r="J245" s="11" t="n">
        <v>1017798</v>
      </c>
      <c r="L245" s="11" t="n">
        <v>61698</v>
      </c>
      <c r="M245" s="13" t="s">
        <v>44</v>
      </c>
      <c r="N245" s="13" t="s">
        <v>36</v>
      </c>
      <c r="P245" s="11" t="n">
        <v>128</v>
      </c>
      <c r="Q245" s="13" t="s">
        <v>45</v>
      </c>
      <c r="R245" s="13" t="s">
        <v>46</v>
      </c>
      <c r="S245" s="11" t="n">
        <v>1130101</v>
      </c>
      <c r="T245" s="13" t="s">
        <v>47</v>
      </c>
      <c r="U245" s="14" t="n">
        <v>182.49</v>
      </c>
      <c r="W245" s="14" t="n">
        <v>0</v>
      </c>
      <c r="X245" s="13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202</v>
      </c>
      <c r="F246" s="11" t="n">
        <v>34</v>
      </c>
      <c r="G246" s="13" t="s">
        <v>33</v>
      </c>
      <c r="H246" s="11" t="n">
        <v>2110405</v>
      </c>
      <c r="I246" s="13" t="s">
        <v>34</v>
      </c>
      <c r="J246" s="11" t="n">
        <v>1083670</v>
      </c>
      <c r="L246" s="11" t="n">
        <v>170746</v>
      </c>
      <c r="M246" s="13" t="s">
        <v>150</v>
      </c>
      <c r="N246" s="13" t="s">
        <v>36</v>
      </c>
      <c r="P246" s="11" t="n">
        <v>101</v>
      </c>
      <c r="Q246" s="13" t="s">
        <v>37</v>
      </c>
      <c r="R246" s="13" t="s">
        <v>203</v>
      </c>
      <c r="S246" s="11" t="n">
        <v>4220199</v>
      </c>
      <c r="T246" s="13" t="s">
        <v>204</v>
      </c>
      <c r="U246" s="14" t="n">
        <v>8059.98</v>
      </c>
      <c r="W246" s="14" t="n">
        <v>0</v>
      </c>
      <c r="X246" s="13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170</v>
      </c>
      <c r="F247" s="11" t="n">
        <v>24</v>
      </c>
      <c r="G247" s="13" t="s">
        <v>42</v>
      </c>
      <c r="H247" s="11" t="n">
        <v>2110101</v>
      </c>
      <c r="I247" s="13" t="s">
        <v>43</v>
      </c>
      <c r="J247" s="11" t="n">
        <v>1128575</v>
      </c>
      <c r="L247" s="11" t="n">
        <v>12285632</v>
      </c>
      <c r="M247" s="13" t="s">
        <v>44</v>
      </c>
      <c r="N247" s="13" t="s">
        <v>36</v>
      </c>
      <c r="P247" s="11" t="n">
        <v>128</v>
      </c>
      <c r="Q247" s="13" t="s">
        <v>45</v>
      </c>
      <c r="R247" s="13" t="s">
        <v>46</v>
      </c>
      <c r="S247" s="11" t="n">
        <v>1130101</v>
      </c>
      <c r="T247" s="13" t="s">
        <v>47</v>
      </c>
      <c r="U247" s="14" t="n">
        <v>1199.1</v>
      </c>
      <c r="W247" s="14" t="n">
        <v>0</v>
      </c>
      <c r="X247" s="13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41</v>
      </c>
      <c r="F248" s="11" t="n">
        <v>24</v>
      </c>
      <c r="G248" s="13" t="s">
        <v>42</v>
      </c>
      <c r="H248" s="11" t="n">
        <v>2110101</v>
      </c>
      <c r="I248" s="13" t="s">
        <v>43</v>
      </c>
      <c r="J248" s="11" t="n">
        <v>1157635</v>
      </c>
      <c r="L248" s="11" t="n">
        <v>16619112</v>
      </c>
      <c r="M248" s="13" t="s">
        <v>44</v>
      </c>
      <c r="N248" s="13" t="s">
        <v>36</v>
      </c>
      <c r="P248" s="11" t="n">
        <v>128</v>
      </c>
      <c r="Q248" s="13" t="s">
        <v>45</v>
      </c>
      <c r="R248" s="13" t="s">
        <v>46</v>
      </c>
      <c r="S248" s="11" t="n">
        <v>1130101</v>
      </c>
      <c r="T248" s="13" t="s">
        <v>47</v>
      </c>
      <c r="U248" s="14" t="n">
        <v>236.72</v>
      </c>
      <c r="W248" s="14" t="n">
        <v>0</v>
      </c>
      <c r="X248" s="13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351</v>
      </c>
      <c r="F249" s="11" t="n">
        <v>24</v>
      </c>
      <c r="G249" s="13" t="s">
        <v>42</v>
      </c>
      <c r="H249" s="11" t="n">
        <v>2110101</v>
      </c>
      <c r="I249" s="13" t="s">
        <v>43</v>
      </c>
      <c r="J249" s="11" t="n">
        <v>1160686</v>
      </c>
      <c r="L249" s="11" t="n">
        <v>390251</v>
      </c>
      <c r="M249" s="13" t="s">
        <v>44</v>
      </c>
      <c r="N249" s="13" t="s">
        <v>36</v>
      </c>
      <c r="P249" s="11" t="n">
        <v>128</v>
      </c>
      <c r="Q249" s="13" t="s">
        <v>45</v>
      </c>
      <c r="R249" s="13" t="s">
        <v>46</v>
      </c>
      <c r="S249" s="11" t="n">
        <v>1130101</v>
      </c>
      <c r="T249" s="13" t="s">
        <v>47</v>
      </c>
      <c r="U249" s="14" t="n">
        <v>310.5</v>
      </c>
      <c r="W249" s="14" t="n">
        <v>0</v>
      </c>
      <c r="X249" s="13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67</v>
      </c>
      <c r="F250" s="11" t="n">
        <v>24</v>
      </c>
      <c r="G250" s="13" t="s">
        <v>42</v>
      </c>
      <c r="H250" s="11" t="n">
        <v>2110101</v>
      </c>
      <c r="I250" s="13" t="s">
        <v>43</v>
      </c>
      <c r="J250" s="11" t="n">
        <v>1165947</v>
      </c>
      <c r="L250" s="11" t="n">
        <v>13581821</v>
      </c>
      <c r="M250" s="13" t="s">
        <v>44</v>
      </c>
      <c r="N250" s="13" t="s">
        <v>36</v>
      </c>
      <c r="P250" s="11" t="n">
        <v>128</v>
      </c>
      <c r="Q250" s="13" t="s">
        <v>45</v>
      </c>
      <c r="R250" s="13" t="s">
        <v>46</v>
      </c>
      <c r="S250" s="11" t="n">
        <v>1130101</v>
      </c>
      <c r="T250" s="13" t="s">
        <v>47</v>
      </c>
      <c r="U250" s="14" t="n">
        <v>1082.85</v>
      </c>
      <c r="W250" s="14" t="n">
        <v>0</v>
      </c>
      <c r="X250" s="13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133</v>
      </c>
      <c r="F251" s="11" t="n">
        <v>34</v>
      </c>
      <c r="G251" s="13" t="s">
        <v>33</v>
      </c>
      <c r="H251" s="11" t="n">
        <v>2110101</v>
      </c>
      <c r="I251" s="13" t="s">
        <v>43</v>
      </c>
      <c r="J251" s="11" t="n">
        <v>1230526</v>
      </c>
      <c r="L251" s="11" t="n">
        <v>5960</v>
      </c>
      <c r="M251" s="13" t="s">
        <v>44</v>
      </c>
      <c r="N251" s="13" t="s">
        <v>69</v>
      </c>
      <c r="P251" s="11" t="n">
        <v>128</v>
      </c>
      <c r="Q251" s="13" t="s">
        <v>45</v>
      </c>
      <c r="R251" s="13" t="s">
        <v>46</v>
      </c>
      <c r="S251" s="11" t="n">
        <v>1130101</v>
      </c>
      <c r="T251" s="13" t="s">
        <v>47</v>
      </c>
      <c r="U251" s="14" t="n">
        <v>240</v>
      </c>
      <c r="W251" s="14" t="n">
        <v>0</v>
      </c>
      <c r="X251" s="13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80</v>
      </c>
      <c r="F252" s="11" t="n">
        <v>13</v>
      </c>
      <c r="G252" s="13" t="s">
        <v>81</v>
      </c>
      <c r="H252" s="11" t="n">
        <v>2110101</v>
      </c>
      <c r="I252" s="13" t="s">
        <v>43</v>
      </c>
      <c r="J252" s="11" t="n">
        <v>1235932</v>
      </c>
      <c r="L252" s="11" t="n">
        <v>4258</v>
      </c>
      <c r="M252" s="13" t="s">
        <v>44</v>
      </c>
      <c r="N252" s="13" t="s">
        <v>69</v>
      </c>
      <c r="P252" s="11" t="n">
        <v>128</v>
      </c>
      <c r="Q252" s="13" t="s">
        <v>45</v>
      </c>
      <c r="R252" s="13" t="s">
        <v>46</v>
      </c>
      <c r="S252" s="11" t="n">
        <v>1130101</v>
      </c>
      <c r="T252" s="13" t="s">
        <v>47</v>
      </c>
      <c r="U252" s="14" t="n">
        <v>128</v>
      </c>
      <c r="W252" s="14" t="n">
        <v>128</v>
      </c>
      <c r="X252" s="13" t="s">
        <v>82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80</v>
      </c>
      <c r="F253" s="11" t="n">
        <v>13</v>
      </c>
      <c r="G253" s="13" t="s">
        <v>81</v>
      </c>
      <c r="H253" s="11" t="n">
        <v>2110101</v>
      </c>
      <c r="I253" s="13" t="s">
        <v>43</v>
      </c>
      <c r="J253" s="11" t="n">
        <v>1235943</v>
      </c>
      <c r="L253" s="11" t="n">
        <v>4259</v>
      </c>
      <c r="M253" s="13" t="s">
        <v>44</v>
      </c>
      <c r="N253" s="13" t="s">
        <v>69</v>
      </c>
      <c r="P253" s="11" t="n">
        <v>128</v>
      </c>
      <c r="Q253" s="13" t="s">
        <v>45</v>
      </c>
      <c r="R253" s="13" t="s">
        <v>46</v>
      </c>
      <c r="S253" s="11" t="n">
        <v>1130101</v>
      </c>
      <c r="T253" s="13" t="s">
        <v>47</v>
      </c>
      <c r="U253" s="14" t="n">
        <v>120</v>
      </c>
      <c r="W253" s="14" t="n">
        <v>120</v>
      </c>
      <c r="X253" s="13" t="s">
        <v>83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84</v>
      </c>
      <c r="F254" s="11" t="n">
        <v>24</v>
      </c>
      <c r="G254" s="13" t="s">
        <v>42</v>
      </c>
      <c r="H254" s="11" t="n">
        <v>2110101</v>
      </c>
      <c r="I254" s="13" t="s">
        <v>43</v>
      </c>
      <c r="J254" s="11" t="n">
        <v>1261992</v>
      </c>
      <c r="L254" s="11" t="n">
        <v>197263</v>
      </c>
      <c r="M254" s="13" t="s">
        <v>44</v>
      </c>
      <c r="N254" s="13" t="s">
        <v>36</v>
      </c>
      <c r="P254" s="11" t="n">
        <v>102</v>
      </c>
      <c r="Q254" s="13" t="s">
        <v>186</v>
      </c>
      <c r="R254" s="13" t="s">
        <v>46</v>
      </c>
      <c r="S254" s="11" t="n">
        <v>1130101</v>
      </c>
      <c r="T254" s="13" t="s">
        <v>47</v>
      </c>
      <c r="U254" s="14" t="n">
        <v>56.39</v>
      </c>
      <c r="W254" s="14" t="n">
        <v>0</v>
      </c>
      <c r="X254" s="13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152</v>
      </c>
      <c r="F255" s="11" t="n">
        <v>24</v>
      </c>
      <c r="G255" s="13" t="s">
        <v>42</v>
      </c>
      <c r="H255" s="11" t="n">
        <v>2110101</v>
      </c>
      <c r="I255" s="13" t="s">
        <v>43</v>
      </c>
      <c r="J255" s="11" t="n">
        <v>1092650</v>
      </c>
      <c r="L255" s="11" t="n">
        <v>7792</v>
      </c>
      <c r="M255" s="13" t="s">
        <v>150</v>
      </c>
      <c r="N255" s="13" t="s">
        <v>69</v>
      </c>
      <c r="P255" s="11" t="n">
        <v>129</v>
      </c>
      <c r="Q255" s="13" t="s">
        <v>102</v>
      </c>
      <c r="R255" s="13" t="s">
        <v>46</v>
      </c>
      <c r="S255" s="11" t="n">
        <v>1130101</v>
      </c>
      <c r="T255" s="13" t="s">
        <v>47</v>
      </c>
      <c r="U255" s="14" t="n">
        <v>350.29</v>
      </c>
      <c r="W255" s="14" t="n">
        <v>0</v>
      </c>
      <c r="X255" s="13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170</v>
      </c>
      <c r="F256" s="11" t="n">
        <v>24</v>
      </c>
      <c r="G256" s="13" t="s">
        <v>42</v>
      </c>
      <c r="H256" s="11" t="n">
        <v>2110101</v>
      </c>
      <c r="I256" s="13" t="s">
        <v>43</v>
      </c>
      <c r="J256" s="11" t="n">
        <v>1098527</v>
      </c>
      <c r="L256" s="11" t="n">
        <v>12264803</v>
      </c>
      <c r="M256" s="13" t="s">
        <v>44</v>
      </c>
      <c r="N256" s="13" t="s">
        <v>36</v>
      </c>
      <c r="P256" s="11" t="n">
        <v>128</v>
      </c>
      <c r="Q256" s="13" t="s">
        <v>45</v>
      </c>
      <c r="R256" s="13" t="s">
        <v>46</v>
      </c>
      <c r="S256" s="11" t="n">
        <v>1130101</v>
      </c>
      <c r="T256" s="13" t="s">
        <v>47</v>
      </c>
      <c r="U256" s="14" t="n">
        <v>1114.34</v>
      </c>
      <c r="W256" s="14" t="n">
        <v>0</v>
      </c>
      <c r="X256" s="13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165</v>
      </c>
      <c r="F257" s="11" t="n">
        <v>24</v>
      </c>
      <c r="G257" s="13" t="s">
        <v>42</v>
      </c>
      <c r="H257" s="11" t="n">
        <v>2110101</v>
      </c>
      <c r="I257" s="13" t="s">
        <v>43</v>
      </c>
      <c r="J257" s="11" t="n">
        <v>1127481</v>
      </c>
      <c r="L257" s="11" t="n">
        <v>4055342</v>
      </c>
      <c r="M257" s="13" t="s">
        <v>44</v>
      </c>
      <c r="N257" s="13" t="s">
        <v>36</v>
      </c>
      <c r="P257" s="11" t="n">
        <v>128</v>
      </c>
      <c r="Q257" s="13" t="s">
        <v>45</v>
      </c>
      <c r="R257" s="13" t="s">
        <v>46</v>
      </c>
      <c r="S257" s="11" t="n">
        <v>1130101</v>
      </c>
      <c r="T257" s="13" t="s">
        <v>47</v>
      </c>
      <c r="U257" s="14" t="n">
        <v>236.31</v>
      </c>
      <c r="W257" s="14" t="n">
        <v>0</v>
      </c>
      <c r="X257" s="13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359</v>
      </c>
      <c r="F258" s="11" t="n">
        <v>24</v>
      </c>
      <c r="G258" s="13" t="s">
        <v>42</v>
      </c>
      <c r="H258" s="11" t="n">
        <v>2110101</v>
      </c>
      <c r="I258" s="13" t="s">
        <v>43</v>
      </c>
      <c r="J258" s="11" t="n">
        <v>1128071</v>
      </c>
      <c r="L258" s="11" t="n">
        <v>21041</v>
      </c>
      <c r="M258" s="13" t="s">
        <v>44</v>
      </c>
      <c r="N258" s="13" t="s">
        <v>36</v>
      </c>
      <c r="P258" s="11" t="n">
        <v>128</v>
      </c>
      <c r="Q258" s="13" t="s">
        <v>45</v>
      </c>
      <c r="R258" s="13" t="s">
        <v>46</v>
      </c>
      <c r="S258" s="11" t="n">
        <v>1130101</v>
      </c>
      <c r="T258" s="13" t="s">
        <v>47</v>
      </c>
      <c r="U258" s="14" t="n">
        <v>670.83</v>
      </c>
      <c r="W258" s="14" t="n">
        <v>0</v>
      </c>
      <c r="X258" s="13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41</v>
      </c>
      <c r="F259" s="11" t="n">
        <v>24</v>
      </c>
      <c r="G259" s="13" t="s">
        <v>42</v>
      </c>
      <c r="H259" s="11" t="n">
        <v>2110101</v>
      </c>
      <c r="I259" s="13" t="s">
        <v>43</v>
      </c>
      <c r="J259" s="11" t="n">
        <v>1128214</v>
      </c>
      <c r="L259" s="11" t="n">
        <v>16584842</v>
      </c>
      <c r="M259" s="13" t="s">
        <v>44</v>
      </c>
      <c r="N259" s="13" t="s">
        <v>36</v>
      </c>
      <c r="P259" s="11" t="n">
        <v>128</v>
      </c>
      <c r="Q259" s="13" t="s">
        <v>45</v>
      </c>
      <c r="R259" s="13" t="s">
        <v>46</v>
      </c>
      <c r="S259" s="11" t="n">
        <v>1130101</v>
      </c>
      <c r="T259" s="13" t="s">
        <v>47</v>
      </c>
      <c r="U259" s="14" t="n">
        <v>553.77</v>
      </c>
      <c r="W259" s="14" t="n">
        <v>0</v>
      </c>
      <c r="X259" s="13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362</v>
      </c>
      <c r="F260" s="11" t="n">
        <v>24</v>
      </c>
      <c r="G260" s="13" t="s">
        <v>42</v>
      </c>
      <c r="H260" s="11" t="n">
        <v>2110101</v>
      </c>
      <c r="I260" s="13" t="s">
        <v>43</v>
      </c>
      <c r="J260" s="11" t="n">
        <v>1131593</v>
      </c>
      <c r="L260" s="11" t="n">
        <v>185882343</v>
      </c>
      <c r="M260" s="13" t="s">
        <v>44</v>
      </c>
      <c r="N260" s="13" t="s">
        <v>36</v>
      </c>
      <c r="P260" s="11" t="n">
        <v>128</v>
      </c>
      <c r="Q260" s="13" t="s">
        <v>45</v>
      </c>
      <c r="R260" s="13" t="s">
        <v>46</v>
      </c>
      <c r="S260" s="11" t="n">
        <v>1130101</v>
      </c>
      <c r="T260" s="13" t="s">
        <v>47</v>
      </c>
      <c r="U260" s="14" t="n">
        <v>885.73</v>
      </c>
      <c r="W260" s="14" t="n">
        <v>0</v>
      </c>
      <c r="X260" s="13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195</v>
      </c>
      <c r="F261" s="11" t="n">
        <v>24</v>
      </c>
      <c r="G261" s="13" t="s">
        <v>42</v>
      </c>
      <c r="H261" s="11" t="n">
        <v>2110405</v>
      </c>
      <c r="I261" s="13" t="s">
        <v>34</v>
      </c>
      <c r="J261" s="11" t="n">
        <v>1131651</v>
      </c>
      <c r="L261" s="11" t="n">
        <v>23032</v>
      </c>
      <c r="M261" s="13" t="s">
        <v>44</v>
      </c>
      <c r="N261" s="13" t="s">
        <v>36</v>
      </c>
      <c r="P261" s="11" t="n">
        <v>128</v>
      </c>
      <c r="Q261" s="13" t="s">
        <v>45</v>
      </c>
      <c r="R261" s="13" t="s">
        <v>38</v>
      </c>
      <c r="S261" s="11" t="n">
        <v>4210227</v>
      </c>
      <c r="T261" s="13" t="s">
        <v>196</v>
      </c>
      <c r="U261" s="14" t="n">
        <v>353.08</v>
      </c>
      <c r="W261" s="14" t="n">
        <v>0</v>
      </c>
      <c r="X261" s="13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163</v>
      </c>
      <c r="F262" s="11" t="n">
        <v>24</v>
      </c>
      <c r="G262" s="13" t="s">
        <v>42</v>
      </c>
      <c r="H262" s="11" t="n">
        <v>2110101</v>
      </c>
      <c r="I262" s="13" t="s">
        <v>43</v>
      </c>
      <c r="J262" s="11" t="n">
        <v>1131743</v>
      </c>
      <c r="L262" s="11" t="n">
        <v>4910421</v>
      </c>
      <c r="M262" s="13" t="s">
        <v>44</v>
      </c>
      <c r="N262" s="13" t="s">
        <v>36</v>
      </c>
      <c r="P262" s="11" t="n">
        <v>128</v>
      </c>
      <c r="Q262" s="13" t="s">
        <v>45</v>
      </c>
      <c r="R262" s="13" t="s">
        <v>46</v>
      </c>
      <c r="S262" s="11" t="n">
        <v>1130101</v>
      </c>
      <c r="T262" s="13" t="s">
        <v>47</v>
      </c>
      <c r="U262" s="14" t="n">
        <v>750.73</v>
      </c>
      <c r="W262" s="14" t="n">
        <v>0</v>
      </c>
      <c r="X262" s="13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41</v>
      </c>
      <c r="F263" s="11" t="n">
        <v>24</v>
      </c>
      <c r="G263" s="13" t="s">
        <v>42</v>
      </c>
      <c r="H263" s="11" t="n">
        <v>2110101</v>
      </c>
      <c r="I263" s="13" t="s">
        <v>43</v>
      </c>
      <c r="J263" s="11" t="n">
        <v>1136569</v>
      </c>
      <c r="L263" s="11" t="n">
        <v>16588911</v>
      </c>
      <c r="M263" s="13" t="s">
        <v>44</v>
      </c>
      <c r="N263" s="13" t="s">
        <v>36</v>
      </c>
      <c r="P263" s="11" t="n">
        <v>128</v>
      </c>
      <c r="Q263" s="13" t="s">
        <v>45</v>
      </c>
      <c r="R263" s="13" t="s">
        <v>46</v>
      </c>
      <c r="S263" s="11" t="n">
        <v>1130101</v>
      </c>
      <c r="T263" s="13" t="s">
        <v>47</v>
      </c>
      <c r="U263" s="14" t="n">
        <v>578.44</v>
      </c>
      <c r="W263" s="14" t="n">
        <v>0</v>
      </c>
      <c r="X263" s="13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60</v>
      </c>
      <c r="F264" s="11" t="n">
        <v>24</v>
      </c>
      <c r="G264" s="13" t="s">
        <v>42</v>
      </c>
      <c r="H264" s="11" t="n">
        <v>2110101</v>
      </c>
      <c r="I264" s="13" t="s">
        <v>43</v>
      </c>
      <c r="J264" s="11" t="n">
        <v>1161685</v>
      </c>
      <c r="L264" s="11" t="n">
        <v>3023911</v>
      </c>
      <c r="M264" s="13" t="s">
        <v>44</v>
      </c>
      <c r="N264" s="13" t="s">
        <v>36</v>
      </c>
      <c r="P264" s="11" t="n">
        <v>128</v>
      </c>
      <c r="Q264" s="13" t="s">
        <v>45</v>
      </c>
      <c r="R264" s="13" t="s">
        <v>46</v>
      </c>
      <c r="S264" s="11" t="n">
        <v>1130101</v>
      </c>
      <c r="T264" s="13" t="s">
        <v>47</v>
      </c>
      <c r="U264" s="14" t="n">
        <v>1210.97</v>
      </c>
      <c r="W264" s="14" t="n">
        <v>0</v>
      </c>
      <c r="X264" s="13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368</v>
      </c>
      <c r="F265" s="11" t="n">
        <v>24</v>
      </c>
      <c r="G265" s="13" t="s">
        <v>42</v>
      </c>
      <c r="H265" s="11" t="n">
        <v>2110101</v>
      </c>
      <c r="I265" s="13" t="s">
        <v>43</v>
      </c>
      <c r="J265" s="11" t="n">
        <v>1161726</v>
      </c>
      <c r="L265" s="11" t="n">
        <v>3069</v>
      </c>
      <c r="M265" s="13" t="s">
        <v>44</v>
      </c>
      <c r="N265" s="13" t="s">
        <v>69</v>
      </c>
      <c r="P265" s="11" t="n">
        <v>128</v>
      </c>
      <c r="Q265" s="13" t="s">
        <v>45</v>
      </c>
      <c r="R265" s="13" t="s">
        <v>46</v>
      </c>
      <c r="S265" s="11" t="n">
        <v>1130101</v>
      </c>
      <c r="T265" s="13" t="s">
        <v>47</v>
      </c>
      <c r="U265" s="14" t="n">
        <v>200</v>
      </c>
      <c r="W265" s="14" t="n">
        <v>0</v>
      </c>
      <c r="X265" s="13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53</v>
      </c>
      <c r="F266" s="11" t="n">
        <v>24</v>
      </c>
      <c r="G266" s="13" t="s">
        <v>42</v>
      </c>
      <c r="H266" s="11" t="n">
        <v>2110101</v>
      </c>
      <c r="I266" s="13" t="s">
        <v>43</v>
      </c>
      <c r="J266" s="11" t="n">
        <v>1165934</v>
      </c>
      <c r="L266" s="11" t="n">
        <v>4474282</v>
      </c>
      <c r="M266" s="13" t="s">
        <v>44</v>
      </c>
      <c r="N266" s="13" t="s">
        <v>36</v>
      </c>
      <c r="P266" s="11" t="n">
        <v>128</v>
      </c>
      <c r="Q266" s="13" t="s">
        <v>45</v>
      </c>
      <c r="R266" s="13" t="s">
        <v>46</v>
      </c>
      <c r="S266" s="11" t="n">
        <v>1130101</v>
      </c>
      <c r="T266" s="13" t="s">
        <v>47</v>
      </c>
      <c r="U266" s="14" t="n">
        <v>487.33</v>
      </c>
      <c r="W266" s="14" t="n">
        <v>0</v>
      </c>
      <c r="X266" s="13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165</v>
      </c>
      <c r="F267" s="11" t="n">
        <v>24</v>
      </c>
      <c r="G267" s="13" t="s">
        <v>42</v>
      </c>
      <c r="H267" s="11" t="n">
        <v>2110101</v>
      </c>
      <c r="I267" s="13" t="s">
        <v>43</v>
      </c>
      <c r="J267" s="11" t="n">
        <v>1165976</v>
      </c>
      <c r="L267" s="11" t="n">
        <v>4086371</v>
      </c>
      <c r="M267" s="13" t="s">
        <v>44</v>
      </c>
      <c r="N267" s="13" t="s">
        <v>36</v>
      </c>
      <c r="P267" s="11" t="n">
        <v>128</v>
      </c>
      <c r="Q267" s="13" t="s">
        <v>45</v>
      </c>
      <c r="R267" s="13" t="s">
        <v>46</v>
      </c>
      <c r="S267" s="11" t="n">
        <v>1130101</v>
      </c>
      <c r="T267" s="13" t="s">
        <v>47</v>
      </c>
      <c r="U267" s="14" t="n">
        <v>654.49</v>
      </c>
      <c r="W267" s="14" t="n">
        <v>0</v>
      </c>
      <c r="X267" s="13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161</v>
      </c>
      <c r="F268" s="11" t="n">
        <v>24</v>
      </c>
      <c r="G268" s="13" t="s">
        <v>42</v>
      </c>
      <c r="H268" s="11" t="n">
        <v>2110101</v>
      </c>
      <c r="I268" s="13" t="s">
        <v>43</v>
      </c>
      <c r="J268" s="11" t="n">
        <v>1166021</v>
      </c>
      <c r="L268" s="11" t="n">
        <v>5717162</v>
      </c>
      <c r="M268" s="13" t="s">
        <v>44</v>
      </c>
      <c r="N268" s="13" t="s">
        <v>36</v>
      </c>
      <c r="P268" s="11" t="n">
        <v>128</v>
      </c>
      <c r="Q268" s="13" t="s">
        <v>45</v>
      </c>
      <c r="R268" s="13" t="s">
        <v>46</v>
      </c>
      <c r="S268" s="11" t="n">
        <v>1130101</v>
      </c>
      <c r="T268" s="13" t="s">
        <v>47</v>
      </c>
      <c r="U268" s="14" t="n">
        <v>514.55</v>
      </c>
      <c r="W268" s="14" t="n">
        <v>0</v>
      </c>
      <c r="X268" s="13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373</v>
      </c>
      <c r="F269" s="11" t="n">
        <v>24</v>
      </c>
      <c r="G269" s="13" t="s">
        <v>42</v>
      </c>
      <c r="H269" s="11" t="n">
        <v>2110101</v>
      </c>
      <c r="I269" s="13" t="s">
        <v>43</v>
      </c>
      <c r="J269" s="11" t="n">
        <v>1172540</v>
      </c>
      <c r="L269" s="11" t="n">
        <v>1410570</v>
      </c>
      <c r="M269" s="13" t="s">
        <v>44</v>
      </c>
      <c r="N269" s="13" t="s">
        <v>69</v>
      </c>
      <c r="P269" s="11" t="n">
        <v>128</v>
      </c>
      <c r="Q269" s="13" t="s">
        <v>45</v>
      </c>
      <c r="R269" s="13" t="s">
        <v>46</v>
      </c>
      <c r="S269" s="11" t="n">
        <v>1130101</v>
      </c>
      <c r="T269" s="13" t="s">
        <v>47</v>
      </c>
      <c r="U269" s="14" t="n">
        <v>706.2</v>
      </c>
      <c r="W269" s="14" t="n">
        <v>0</v>
      </c>
      <c r="X269" s="13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nao encontrado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373</v>
      </c>
      <c r="F270" s="11" t="n">
        <v>24</v>
      </c>
      <c r="G270" s="13" t="s">
        <v>42</v>
      </c>
      <c r="H270" s="11" t="n">
        <v>2110101</v>
      </c>
      <c r="I270" s="13" t="s">
        <v>43</v>
      </c>
      <c r="J270" s="11" t="n">
        <v>1175999</v>
      </c>
      <c r="L270" s="11" t="n">
        <v>1410571</v>
      </c>
      <c r="M270" s="13" t="s">
        <v>44</v>
      </c>
      <c r="N270" s="13" t="s">
        <v>69</v>
      </c>
      <c r="P270" s="11" t="n">
        <v>128</v>
      </c>
      <c r="Q270" s="13" t="s">
        <v>45</v>
      </c>
      <c r="R270" s="13" t="s">
        <v>46</v>
      </c>
      <c r="S270" s="11" t="n">
        <v>1130101</v>
      </c>
      <c r="T270" s="13" t="s">
        <v>47</v>
      </c>
      <c r="U270" s="14" t="n">
        <v>830.51</v>
      </c>
      <c r="W270" s="14" t="n">
        <v>0</v>
      </c>
      <c r="X270" s="13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nao encontrado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76</v>
      </c>
      <c r="F271" s="11" t="n">
        <v>24</v>
      </c>
      <c r="G271" s="13" t="s">
        <v>42</v>
      </c>
      <c r="H271" s="11" t="n">
        <v>2110101</v>
      </c>
      <c r="I271" s="13" t="s">
        <v>43</v>
      </c>
      <c r="J271" s="11" t="n">
        <v>1197378</v>
      </c>
      <c r="L271" s="11" t="n">
        <v>52012</v>
      </c>
      <c r="M271" s="13" t="s">
        <v>44</v>
      </c>
      <c r="N271" s="13" t="s">
        <v>36</v>
      </c>
      <c r="P271" s="11" t="n">
        <v>128</v>
      </c>
      <c r="Q271" s="13" t="s">
        <v>45</v>
      </c>
      <c r="R271" s="13" t="s">
        <v>46</v>
      </c>
      <c r="S271" s="11" t="n">
        <v>1130101</v>
      </c>
      <c r="T271" s="13" t="s">
        <v>47</v>
      </c>
      <c r="U271" s="14" t="n">
        <v>4151.7</v>
      </c>
      <c r="W271" s="14" t="n">
        <v>0</v>
      </c>
      <c r="X271" s="13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80</v>
      </c>
      <c r="F272" s="11" t="n">
        <v>34</v>
      </c>
      <c r="G272" s="13" t="s">
        <v>33</v>
      </c>
      <c r="H272" s="11" t="n">
        <v>2110101</v>
      </c>
      <c r="I272" s="13" t="s">
        <v>43</v>
      </c>
      <c r="J272" s="11" t="n">
        <v>1240669</v>
      </c>
      <c r="L272" s="11" t="n">
        <v>4260</v>
      </c>
      <c r="M272" s="13" t="s">
        <v>44</v>
      </c>
      <c r="N272" s="13" t="s">
        <v>69</v>
      </c>
      <c r="P272" s="11" t="n">
        <v>128</v>
      </c>
      <c r="Q272" s="13" t="s">
        <v>45</v>
      </c>
      <c r="R272" s="13" t="s">
        <v>46</v>
      </c>
      <c r="S272" s="11" t="n">
        <v>1130101</v>
      </c>
      <c r="T272" s="13" t="s">
        <v>47</v>
      </c>
      <c r="U272" s="14" t="n">
        <v>176</v>
      </c>
      <c r="W272" s="14" t="n">
        <v>176</v>
      </c>
      <c r="X272" s="13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80</v>
      </c>
      <c r="F273" s="11" t="n">
        <v>13</v>
      </c>
      <c r="G273" s="13" t="s">
        <v>81</v>
      </c>
      <c r="H273" s="11" t="n">
        <v>2110101</v>
      </c>
      <c r="I273" s="13" t="s">
        <v>43</v>
      </c>
      <c r="J273" s="11" t="n">
        <v>1240678</v>
      </c>
      <c r="L273" s="11" t="n">
        <v>4261</v>
      </c>
      <c r="M273" s="13" t="s">
        <v>44</v>
      </c>
      <c r="N273" s="13" t="s">
        <v>69</v>
      </c>
      <c r="P273" s="11" t="n">
        <v>128</v>
      </c>
      <c r="Q273" s="13" t="s">
        <v>45</v>
      </c>
      <c r="R273" s="13" t="s">
        <v>46</v>
      </c>
      <c r="S273" s="11" t="n">
        <v>1130101</v>
      </c>
      <c r="T273" s="13" t="s">
        <v>47</v>
      </c>
      <c r="U273" s="14" t="n">
        <v>120</v>
      </c>
      <c r="W273" s="14" t="n">
        <v>120</v>
      </c>
      <c r="X273" s="13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227</v>
      </c>
      <c r="F274" s="11" t="n">
        <v>13</v>
      </c>
      <c r="G274" s="13" t="s">
        <v>81</v>
      </c>
      <c r="H274" s="11" t="n">
        <v>2110101</v>
      </c>
      <c r="I274" s="13" t="s">
        <v>43</v>
      </c>
      <c r="J274" s="11" t="n">
        <v>1243882</v>
      </c>
      <c r="L274" s="11" t="n">
        <v>310</v>
      </c>
      <c r="M274" s="13" t="s">
        <v>44</v>
      </c>
      <c r="N274" s="13" t="s">
        <v>69</v>
      </c>
      <c r="P274" s="11" t="n">
        <v>128</v>
      </c>
      <c r="Q274" s="13" t="s">
        <v>45</v>
      </c>
      <c r="R274" s="13" t="s">
        <v>46</v>
      </c>
      <c r="S274" s="11" t="n">
        <v>1130101</v>
      </c>
      <c r="T274" s="13" t="s">
        <v>47</v>
      </c>
      <c r="U274" s="14" t="n">
        <v>1155</v>
      </c>
      <c r="W274" s="14" t="n">
        <v>1155</v>
      </c>
      <c r="X274" s="13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379</v>
      </c>
      <c r="F275" s="11" t="n">
        <v>34</v>
      </c>
      <c r="G275" s="13" t="s">
        <v>33</v>
      </c>
      <c r="H275" s="11" t="n">
        <v>2110405</v>
      </c>
      <c r="I275" s="13" t="s">
        <v>34</v>
      </c>
      <c r="J275" s="11" t="n">
        <v>628297</v>
      </c>
      <c r="L275" s="11" t="n">
        <v>100146</v>
      </c>
      <c r="M275" s="13" t="s">
        <v>380</v>
      </c>
      <c r="N275" s="13" t="s">
        <v>36</v>
      </c>
      <c r="P275" s="11" t="n">
        <v>102</v>
      </c>
      <c r="Q275" s="13" t="s">
        <v>186</v>
      </c>
      <c r="R275" s="13" t="s">
        <v>38</v>
      </c>
      <c r="S275" s="11" t="n">
        <v>4210202</v>
      </c>
      <c r="T275" s="13" t="s">
        <v>381</v>
      </c>
      <c r="U275" s="14" t="n">
        <v>2431.5</v>
      </c>
      <c r="W275" s="14" t="n">
        <v>0</v>
      </c>
      <c r="X275" s="13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84</v>
      </c>
      <c r="F276" s="11" t="n">
        <v>24</v>
      </c>
      <c r="G276" s="13" t="s">
        <v>42</v>
      </c>
      <c r="H276" s="11" t="n">
        <v>2110101</v>
      </c>
      <c r="I276" s="13" t="s">
        <v>43</v>
      </c>
      <c r="J276" s="11" t="n">
        <v>1265468</v>
      </c>
      <c r="L276" s="11" t="n">
        <v>197825</v>
      </c>
      <c r="M276" s="13" t="s">
        <v>44</v>
      </c>
      <c r="N276" s="13" t="s">
        <v>36</v>
      </c>
      <c r="P276" s="11" t="n">
        <v>102</v>
      </c>
      <c r="Q276" s="13" t="s">
        <v>186</v>
      </c>
      <c r="R276" s="13" t="s">
        <v>46</v>
      </c>
      <c r="S276" s="11" t="n">
        <v>1130101</v>
      </c>
      <c r="T276" s="13" t="s">
        <v>47</v>
      </c>
      <c r="U276" s="14" t="n">
        <v>194.77</v>
      </c>
      <c r="W276" s="14" t="n">
        <v>0</v>
      </c>
      <c r="X276" s="13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255</v>
      </c>
      <c r="F277" s="11" t="n">
        <v>24</v>
      </c>
      <c r="G277" s="13" t="s">
        <v>42</v>
      </c>
      <c r="H277" s="11" t="n">
        <v>2110101</v>
      </c>
      <c r="I277" s="13" t="s">
        <v>43</v>
      </c>
      <c r="J277" s="11" t="n">
        <v>1066149</v>
      </c>
      <c r="L277" s="11" t="n">
        <v>3722664</v>
      </c>
      <c r="M277" s="13" t="s">
        <v>44</v>
      </c>
      <c r="N277" s="13" t="s">
        <v>36</v>
      </c>
      <c r="P277" s="11" t="n">
        <v>128</v>
      </c>
      <c r="Q277" s="13" t="s">
        <v>45</v>
      </c>
      <c r="R277" s="13" t="s">
        <v>46</v>
      </c>
      <c r="S277" s="11" t="n">
        <v>1130101</v>
      </c>
      <c r="T277" s="13" t="s">
        <v>47</v>
      </c>
      <c r="U277" s="14" t="n">
        <v>813</v>
      </c>
      <c r="W277" s="14" t="n">
        <v>0</v>
      </c>
      <c r="X277" s="13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257</v>
      </c>
      <c r="F278" s="11" t="n">
        <v>24</v>
      </c>
      <c r="G278" s="13" t="s">
        <v>42</v>
      </c>
      <c r="H278" s="11" t="n">
        <v>2110101</v>
      </c>
      <c r="I278" s="13" t="s">
        <v>43</v>
      </c>
      <c r="J278" s="11" t="n">
        <v>1083319</v>
      </c>
      <c r="L278" s="11" t="n">
        <v>25084</v>
      </c>
      <c r="M278" s="13" t="s">
        <v>44</v>
      </c>
      <c r="N278" s="13" t="s">
        <v>36</v>
      </c>
      <c r="P278" s="11" t="n">
        <v>128</v>
      </c>
      <c r="Q278" s="13" t="s">
        <v>45</v>
      </c>
      <c r="R278" s="13" t="s">
        <v>46</v>
      </c>
      <c r="S278" s="11" t="n">
        <v>1130101</v>
      </c>
      <c r="T278" s="13" t="s">
        <v>47</v>
      </c>
      <c r="U278" s="14" t="n">
        <v>628.7</v>
      </c>
      <c r="W278" s="14" t="n">
        <v>0</v>
      </c>
      <c r="X278" s="13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260</v>
      </c>
      <c r="F279" s="11" t="n">
        <v>24</v>
      </c>
      <c r="G279" s="13" t="s">
        <v>42</v>
      </c>
      <c r="H279" s="11" t="n">
        <v>2110101</v>
      </c>
      <c r="I279" s="13" t="s">
        <v>43</v>
      </c>
      <c r="J279" s="11" t="n">
        <v>1098585</v>
      </c>
      <c r="L279" s="11" t="n">
        <v>2204733</v>
      </c>
      <c r="M279" s="13" t="s">
        <v>44</v>
      </c>
      <c r="N279" s="13" t="s">
        <v>36</v>
      </c>
      <c r="P279" s="11" t="n">
        <v>128</v>
      </c>
      <c r="Q279" s="13" t="s">
        <v>45</v>
      </c>
      <c r="R279" s="13" t="s">
        <v>46</v>
      </c>
      <c r="S279" s="11" t="n">
        <v>1130101</v>
      </c>
      <c r="T279" s="13" t="s">
        <v>47</v>
      </c>
      <c r="U279" s="14" t="n">
        <v>653.45</v>
      </c>
      <c r="W279" s="14" t="n">
        <v>0</v>
      </c>
      <c r="X279" s="13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262</v>
      </c>
      <c r="F280" s="11" t="n">
        <v>24</v>
      </c>
      <c r="G280" s="13" t="s">
        <v>42</v>
      </c>
      <c r="H280" s="11" t="n">
        <v>2110101</v>
      </c>
      <c r="I280" s="13" t="s">
        <v>43</v>
      </c>
      <c r="J280" s="11" t="n">
        <v>1101888</v>
      </c>
      <c r="L280" s="11" t="n">
        <v>7793</v>
      </c>
      <c r="M280" s="13" t="s">
        <v>44</v>
      </c>
      <c r="N280" s="13" t="s">
        <v>36</v>
      </c>
      <c r="P280" s="11" t="n">
        <v>129</v>
      </c>
      <c r="Q280" s="13" t="s">
        <v>102</v>
      </c>
      <c r="R280" s="13" t="s">
        <v>46</v>
      </c>
      <c r="S280" s="11" t="n">
        <v>1130101</v>
      </c>
      <c r="T280" s="13" t="s">
        <v>47</v>
      </c>
      <c r="U280" s="14" t="n">
        <v>503.88</v>
      </c>
      <c r="W280" s="14" t="n">
        <v>0</v>
      </c>
      <c r="X280" s="13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264</v>
      </c>
      <c r="F281" s="11" t="n">
        <v>24</v>
      </c>
      <c r="G281" s="13" t="s">
        <v>42</v>
      </c>
      <c r="H281" s="11" t="n">
        <v>2110101</v>
      </c>
      <c r="I281" s="13" t="s">
        <v>43</v>
      </c>
      <c r="J281" s="11" t="n">
        <v>1101919</v>
      </c>
      <c r="L281" s="11" t="n">
        <v>22843553</v>
      </c>
      <c r="M281" s="13" t="s">
        <v>44</v>
      </c>
      <c r="N281" s="13" t="s">
        <v>36</v>
      </c>
      <c r="P281" s="11" t="n">
        <v>129</v>
      </c>
      <c r="Q281" s="13" t="s">
        <v>102</v>
      </c>
      <c r="R281" s="13" t="s">
        <v>46</v>
      </c>
      <c r="S281" s="11" t="n">
        <v>1130101</v>
      </c>
      <c r="T281" s="13" t="s">
        <v>47</v>
      </c>
      <c r="U281" s="14" t="n">
        <v>681.13</v>
      </c>
      <c r="W281" s="14" t="n">
        <v>0</v>
      </c>
      <c r="X281" s="13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389</v>
      </c>
      <c r="F282" s="11" t="n">
        <v>24</v>
      </c>
      <c r="G282" s="13" t="s">
        <v>42</v>
      </c>
      <c r="H282" s="11" t="n">
        <v>2110101</v>
      </c>
      <c r="I282" s="13" t="s">
        <v>43</v>
      </c>
      <c r="J282" s="11" t="n">
        <v>1132841</v>
      </c>
      <c r="L282" s="11" t="n">
        <v>86041</v>
      </c>
      <c r="M282" s="13" t="s">
        <v>44</v>
      </c>
      <c r="N282" s="13" t="s">
        <v>36</v>
      </c>
      <c r="P282" s="11" t="n">
        <v>128</v>
      </c>
      <c r="Q282" s="13" t="s">
        <v>45</v>
      </c>
      <c r="R282" s="13" t="s">
        <v>46</v>
      </c>
      <c r="S282" s="11" t="n">
        <v>1130101</v>
      </c>
      <c r="T282" s="13" t="s">
        <v>47</v>
      </c>
      <c r="U282" s="14" t="n">
        <v>543.15</v>
      </c>
      <c r="W282" s="14" t="n">
        <v>0</v>
      </c>
      <c r="X282" s="13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269</v>
      </c>
      <c r="F283" s="11" t="n">
        <v>24</v>
      </c>
      <c r="G283" s="13" t="s">
        <v>42</v>
      </c>
      <c r="H283" s="11" t="n">
        <v>2110101</v>
      </c>
      <c r="I283" s="13" t="s">
        <v>43</v>
      </c>
      <c r="J283" s="11" t="n">
        <v>1150708</v>
      </c>
      <c r="L283" s="11" t="n">
        <v>1826403</v>
      </c>
      <c r="M283" s="13" t="s">
        <v>44</v>
      </c>
      <c r="N283" s="13" t="s">
        <v>36</v>
      </c>
      <c r="P283" s="11" t="n">
        <v>128</v>
      </c>
      <c r="Q283" s="13" t="s">
        <v>45</v>
      </c>
      <c r="R283" s="13" t="s">
        <v>46</v>
      </c>
      <c r="S283" s="11" t="n">
        <v>1130101</v>
      </c>
      <c r="T283" s="13" t="s">
        <v>47</v>
      </c>
      <c r="U283" s="14" t="n">
        <v>2431</v>
      </c>
      <c r="W283" s="14" t="n">
        <v>0</v>
      </c>
      <c r="X283" s="13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255</v>
      </c>
      <c r="F284" s="11" t="n">
        <v>24</v>
      </c>
      <c r="G284" s="13" t="s">
        <v>42</v>
      </c>
      <c r="H284" s="11" t="n">
        <v>2110101</v>
      </c>
      <c r="I284" s="13" t="s">
        <v>43</v>
      </c>
      <c r="J284" s="11" t="n">
        <v>1155839</v>
      </c>
      <c r="L284" s="11" t="n">
        <v>3729452</v>
      </c>
      <c r="M284" s="13" t="s">
        <v>44</v>
      </c>
      <c r="N284" s="13" t="s">
        <v>36</v>
      </c>
      <c r="P284" s="11" t="n">
        <v>128</v>
      </c>
      <c r="Q284" s="13" t="s">
        <v>45</v>
      </c>
      <c r="R284" s="13" t="s">
        <v>46</v>
      </c>
      <c r="S284" s="11" t="n">
        <v>1130101</v>
      </c>
      <c r="T284" s="13" t="s">
        <v>47</v>
      </c>
      <c r="U284" s="14" t="n">
        <v>953.92</v>
      </c>
      <c r="W284" s="14" t="n">
        <v>0</v>
      </c>
      <c r="X284" s="13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393</v>
      </c>
      <c r="F285" s="11" t="n">
        <v>24</v>
      </c>
      <c r="G285" s="13" t="s">
        <v>42</v>
      </c>
      <c r="H285" s="11" t="n">
        <v>2110101</v>
      </c>
      <c r="I285" s="13" t="s">
        <v>43</v>
      </c>
      <c r="J285" s="11" t="n">
        <v>1162503</v>
      </c>
      <c r="L285" s="11" t="n">
        <v>19540611</v>
      </c>
      <c r="M285" s="13" t="s">
        <v>44</v>
      </c>
      <c r="N285" s="13" t="s">
        <v>36</v>
      </c>
      <c r="P285" s="11" t="n">
        <v>128</v>
      </c>
      <c r="Q285" s="13" t="s">
        <v>45</v>
      </c>
      <c r="R285" s="13" t="s">
        <v>46</v>
      </c>
      <c r="S285" s="11" t="n">
        <v>1130101</v>
      </c>
      <c r="T285" s="13" t="s">
        <v>47</v>
      </c>
      <c r="U285" s="14" t="n">
        <v>1624.37</v>
      </c>
      <c r="W285" s="14" t="n">
        <v>0</v>
      </c>
      <c r="X285" s="13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251</v>
      </c>
      <c r="F286" s="11" t="n">
        <v>24</v>
      </c>
      <c r="G286" s="13" t="s">
        <v>42</v>
      </c>
      <c r="H286" s="11" t="n">
        <v>2110101</v>
      </c>
      <c r="I286" s="13" t="s">
        <v>43</v>
      </c>
      <c r="J286" s="11" t="n">
        <v>1166032</v>
      </c>
      <c r="L286" s="11" t="n">
        <v>8752971</v>
      </c>
      <c r="M286" s="13" t="s">
        <v>44</v>
      </c>
      <c r="N286" s="13" t="s">
        <v>36</v>
      </c>
      <c r="P286" s="11" t="n">
        <v>128</v>
      </c>
      <c r="Q286" s="13" t="s">
        <v>45</v>
      </c>
      <c r="R286" s="13" t="s">
        <v>46</v>
      </c>
      <c r="S286" s="11" t="n">
        <v>1130101</v>
      </c>
      <c r="T286" s="13" t="s">
        <v>47</v>
      </c>
      <c r="U286" s="14" t="n">
        <v>947.99</v>
      </c>
      <c r="W286" s="14" t="n">
        <v>0</v>
      </c>
      <c r="X286" s="13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80</v>
      </c>
      <c r="F287" s="11" t="n">
        <v>34</v>
      </c>
      <c r="G287" s="13" t="s">
        <v>33</v>
      </c>
      <c r="H287" s="11" t="n">
        <v>2110101</v>
      </c>
      <c r="I287" s="13" t="s">
        <v>43</v>
      </c>
      <c r="J287" s="11" t="n">
        <v>1167339</v>
      </c>
      <c r="L287" s="11" t="n">
        <v>4208</v>
      </c>
      <c r="M287" s="13" t="s">
        <v>150</v>
      </c>
      <c r="N287" s="13" t="s">
        <v>69</v>
      </c>
      <c r="P287" s="11" t="n">
        <v>128</v>
      </c>
      <c r="Q287" s="13" t="s">
        <v>45</v>
      </c>
      <c r="R287" s="13" t="s">
        <v>46</v>
      </c>
      <c r="S287" s="11" t="n">
        <v>1130101</v>
      </c>
      <c r="T287" s="13" t="s">
        <v>47</v>
      </c>
      <c r="U287" s="14" t="n">
        <v>1100</v>
      </c>
      <c r="W287" s="14" t="n">
        <v>0</v>
      </c>
      <c r="X287" s="13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165</v>
      </c>
      <c r="F288" s="11" t="n">
        <v>24</v>
      </c>
      <c r="G288" s="13" t="s">
        <v>42</v>
      </c>
      <c r="H288" s="11" t="n">
        <v>2110101</v>
      </c>
      <c r="I288" s="13" t="s">
        <v>43</v>
      </c>
      <c r="J288" s="11" t="n">
        <v>1171557</v>
      </c>
      <c r="L288" s="11" t="n">
        <v>4102091</v>
      </c>
      <c r="M288" s="13" t="s">
        <v>44</v>
      </c>
      <c r="N288" s="13" t="s">
        <v>36</v>
      </c>
      <c r="P288" s="11" t="n">
        <v>128</v>
      </c>
      <c r="Q288" s="13" t="s">
        <v>45</v>
      </c>
      <c r="R288" s="13" t="s">
        <v>46</v>
      </c>
      <c r="S288" s="11" t="n">
        <v>1130101</v>
      </c>
      <c r="T288" s="13" t="s">
        <v>47</v>
      </c>
      <c r="U288" s="14" t="n">
        <v>811.75</v>
      </c>
      <c r="W288" s="14" t="n">
        <v>0</v>
      </c>
      <c r="X288" s="13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223</v>
      </c>
      <c r="F289" s="11" t="n">
        <v>24</v>
      </c>
      <c r="G289" s="13" t="s">
        <v>42</v>
      </c>
      <c r="H289" s="11" t="n">
        <v>2110101</v>
      </c>
      <c r="I289" s="13" t="s">
        <v>43</v>
      </c>
      <c r="J289" s="11" t="n">
        <v>1186665</v>
      </c>
      <c r="L289" s="11" t="n">
        <v>1571092</v>
      </c>
      <c r="M289" s="13" t="s">
        <v>44</v>
      </c>
      <c r="N289" s="13" t="s">
        <v>36</v>
      </c>
      <c r="P289" s="11" t="n">
        <v>128</v>
      </c>
      <c r="Q289" s="13" t="s">
        <v>45</v>
      </c>
      <c r="R289" s="13" t="s">
        <v>46</v>
      </c>
      <c r="S289" s="11" t="n">
        <v>1130101</v>
      </c>
      <c r="T289" s="13" t="s">
        <v>47</v>
      </c>
      <c r="U289" s="14" t="n">
        <v>1650</v>
      </c>
      <c r="W289" s="14" t="n">
        <v>0</v>
      </c>
      <c r="X289" s="13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76</v>
      </c>
      <c r="F290" s="11" t="n">
        <v>24</v>
      </c>
      <c r="G290" s="13" t="s">
        <v>42</v>
      </c>
      <c r="H290" s="11" t="n">
        <v>2110101</v>
      </c>
      <c r="I290" s="13" t="s">
        <v>43</v>
      </c>
      <c r="J290" s="11" t="n">
        <v>1197191</v>
      </c>
      <c r="L290" s="11" t="n">
        <v>52120</v>
      </c>
      <c r="M290" s="13" t="s">
        <v>44</v>
      </c>
      <c r="N290" s="13" t="s">
        <v>36</v>
      </c>
      <c r="P290" s="11" t="n">
        <v>128</v>
      </c>
      <c r="Q290" s="13" t="s">
        <v>45</v>
      </c>
      <c r="R290" s="13" t="s">
        <v>46</v>
      </c>
      <c r="S290" s="11" t="n">
        <v>1130101</v>
      </c>
      <c r="T290" s="13" t="s">
        <v>47</v>
      </c>
      <c r="U290" s="14" t="n">
        <v>6255.2</v>
      </c>
      <c r="W290" s="14" t="n">
        <v>0</v>
      </c>
      <c r="X290" s="13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274</v>
      </c>
      <c r="F291" s="11" t="n">
        <v>24</v>
      </c>
      <c r="G291" s="13" t="s">
        <v>42</v>
      </c>
      <c r="H291" s="11" t="n">
        <v>2110101</v>
      </c>
      <c r="I291" s="13" t="s">
        <v>43</v>
      </c>
      <c r="J291" s="11" t="n">
        <v>1206419</v>
      </c>
      <c r="L291" s="11" t="n">
        <v>1025646</v>
      </c>
      <c r="M291" s="13" t="s">
        <v>44</v>
      </c>
      <c r="N291" s="13" t="s">
        <v>69</v>
      </c>
      <c r="P291" s="11" t="n">
        <v>128</v>
      </c>
      <c r="Q291" s="13" t="s">
        <v>45</v>
      </c>
      <c r="R291" s="13" t="s">
        <v>46</v>
      </c>
      <c r="S291" s="11" t="n">
        <v>1130101</v>
      </c>
      <c r="T291" s="13" t="s">
        <v>47</v>
      </c>
      <c r="U291" s="14" t="n">
        <v>590.66</v>
      </c>
      <c r="W291" s="14" t="n">
        <v>0</v>
      </c>
      <c r="X291" s="13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80</v>
      </c>
      <c r="F292" s="11" t="n">
        <v>34</v>
      </c>
      <c r="G292" s="13" t="s">
        <v>33</v>
      </c>
      <c r="H292" s="11" t="n">
        <v>2110101</v>
      </c>
      <c r="I292" s="13" t="s">
        <v>43</v>
      </c>
      <c r="J292" s="11" t="n">
        <v>1206443</v>
      </c>
      <c r="L292" s="11" t="n">
        <v>4232</v>
      </c>
      <c r="M292" s="13" t="s">
        <v>44</v>
      </c>
      <c r="N292" s="13" t="s">
        <v>69</v>
      </c>
      <c r="P292" s="11" t="n">
        <v>128</v>
      </c>
      <c r="Q292" s="13" t="s">
        <v>45</v>
      </c>
      <c r="R292" s="13" t="s">
        <v>46</v>
      </c>
      <c r="S292" s="11" t="n">
        <v>1130101</v>
      </c>
      <c r="T292" s="13" t="s">
        <v>47</v>
      </c>
      <c r="U292" s="14" t="n">
        <v>260</v>
      </c>
      <c r="W292" s="14" t="n">
        <v>0</v>
      </c>
      <c r="X292" s="13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76</v>
      </c>
      <c r="F293" s="11" t="n">
        <v>24</v>
      </c>
      <c r="G293" s="13" t="s">
        <v>42</v>
      </c>
      <c r="H293" s="11" t="n">
        <v>2110101</v>
      </c>
      <c r="I293" s="13" t="s">
        <v>43</v>
      </c>
      <c r="J293" s="11" t="n">
        <v>1206637</v>
      </c>
      <c r="L293" s="11" t="n">
        <v>52244</v>
      </c>
      <c r="M293" s="13" t="s">
        <v>44</v>
      </c>
      <c r="N293" s="13" t="s">
        <v>36</v>
      </c>
      <c r="P293" s="11" t="n">
        <v>128</v>
      </c>
      <c r="Q293" s="13" t="s">
        <v>45</v>
      </c>
      <c r="R293" s="13" t="s">
        <v>46</v>
      </c>
      <c r="S293" s="11" t="n">
        <v>1130101</v>
      </c>
      <c r="T293" s="13" t="s">
        <v>47</v>
      </c>
      <c r="U293" s="14" t="n">
        <v>3170</v>
      </c>
      <c r="W293" s="14" t="n">
        <v>0</v>
      </c>
      <c r="X293" s="13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179</v>
      </c>
      <c r="F294" s="11" t="n">
        <v>24</v>
      </c>
      <c r="G294" s="13" t="s">
        <v>42</v>
      </c>
      <c r="H294" s="11" t="n">
        <v>2110101</v>
      </c>
      <c r="I294" s="13" t="s">
        <v>43</v>
      </c>
      <c r="J294" s="11" t="n">
        <v>1206857</v>
      </c>
      <c r="L294" s="11" t="n">
        <v>11478</v>
      </c>
      <c r="M294" s="13" t="s">
        <v>44</v>
      </c>
      <c r="N294" s="13" t="s">
        <v>36</v>
      </c>
      <c r="P294" s="11" t="n">
        <v>128</v>
      </c>
      <c r="Q294" s="13" t="s">
        <v>45</v>
      </c>
      <c r="R294" s="13" t="s">
        <v>46</v>
      </c>
      <c r="S294" s="11" t="n">
        <v>1130101</v>
      </c>
      <c r="T294" s="13" t="s">
        <v>47</v>
      </c>
      <c r="U294" s="14" t="n">
        <v>196.02</v>
      </c>
      <c r="W294" s="14" t="n">
        <v>0</v>
      </c>
      <c r="X294" s="13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404</v>
      </c>
      <c r="F295" s="11" t="n">
        <v>24</v>
      </c>
      <c r="G295" s="13" t="s">
        <v>42</v>
      </c>
      <c r="H295" s="11" t="n">
        <v>2110101</v>
      </c>
      <c r="I295" s="13" t="s">
        <v>43</v>
      </c>
      <c r="J295" s="11" t="n">
        <v>1208159</v>
      </c>
      <c r="L295" s="11" t="n">
        <v>2868</v>
      </c>
      <c r="M295" s="13" t="s">
        <v>44</v>
      </c>
      <c r="N295" s="13" t="s">
        <v>69</v>
      </c>
      <c r="P295" s="11" t="n">
        <v>129</v>
      </c>
      <c r="Q295" s="13" t="s">
        <v>102</v>
      </c>
      <c r="R295" s="13" t="s">
        <v>46</v>
      </c>
      <c r="S295" s="11" t="n">
        <v>1130101</v>
      </c>
      <c r="T295" s="13" t="s">
        <v>47</v>
      </c>
      <c r="U295" s="14" t="n">
        <v>694</v>
      </c>
      <c r="W295" s="14" t="n">
        <v>0</v>
      </c>
      <c r="X295" s="13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312</v>
      </c>
      <c r="F296" s="11" t="n">
        <v>24</v>
      </c>
      <c r="G296" s="13" t="s">
        <v>42</v>
      </c>
      <c r="H296" s="11" t="n">
        <v>2110101</v>
      </c>
      <c r="I296" s="13" t="s">
        <v>43</v>
      </c>
      <c r="J296" s="11" t="n">
        <v>1210543</v>
      </c>
      <c r="L296" s="11" t="n">
        <v>188172905</v>
      </c>
      <c r="M296" s="13" t="s">
        <v>44</v>
      </c>
      <c r="N296" s="13" t="s">
        <v>36</v>
      </c>
      <c r="P296" s="11" t="n">
        <v>128</v>
      </c>
      <c r="Q296" s="13" t="s">
        <v>45</v>
      </c>
      <c r="R296" s="13" t="s">
        <v>46</v>
      </c>
      <c r="S296" s="11" t="n">
        <v>1130101</v>
      </c>
      <c r="T296" s="13" t="s">
        <v>47</v>
      </c>
      <c r="U296" s="14" t="n">
        <v>320</v>
      </c>
      <c r="W296" s="14" t="n">
        <v>0</v>
      </c>
      <c r="X296" s="13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120</v>
      </c>
      <c r="F297" s="11" t="n">
        <v>24</v>
      </c>
      <c r="G297" s="13" t="s">
        <v>42</v>
      </c>
      <c r="H297" s="11" t="n">
        <v>2110101</v>
      </c>
      <c r="I297" s="13" t="s">
        <v>43</v>
      </c>
      <c r="J297" s="11" t="n">
        <v>1210555</v>
      </c>
      <c r="L297" s="11" t="n">
        <v>17637</v>
      </c>
      <c r="M297" s="13" t="s">
        <v>44</v>
      </c>
      <c r="N297" s="13" t="s">
        <v>69</v>
      </c>
      <c r="P297" s="11" t="n">
        <v>128</v>
      </c>
      <c r="Q297" s="13" t="s">
        <v>45</v>
      </c>
      <c r="R297" s="13" t="s">
        <v>46</v>
      </c>
      <c r="S297" s="11" t="n">
        <v>1130101</v>
      </c>
      <c r="T297" s="13" t="s">
        <v>47</v>
      </c>
      <c r="U297" s="14" t="n">
        <v>300.5</v>
      </c>
      <c r="W297" s="14" t="n">
        <v>0</v>
      </c>
      <c r="X297" s="13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408</v>
      </c>
      <c r="F298" s="11" t="n">
        <v>24</v>
      </c>
      <c r="G298" s="13" t="s">
        <v>42</v>
      </c>
      <c r="H298" s="11" t="n">
        <v>2110101</v>
      </c>
      <c r="I298" s="13" t="s">
        <v>43</v>
      </c>
      <c r="J298" s="11" t="n">
        <v>1210583</v>
      </c>
      <c r="L298" s="11" t="n">
        <v>7937241</v>
      </c>
      <c r="M298" s="13" t="s">
        <v>44</v>
      </c>
      <c r="N298" s="13" t="s">
        <v>36</v>
      </c>
      <c r="P298" s="11" t="n">
        <v>128</v>
      </c>
      <c r="Q298" s="13" t="s">
        <v>45</v>
      </c>
      <c r="R298" s="13" t="s">
        <v>46</v>
      </c>
      <c r="S298" s="11" t="n">
        <v>1130101</v>
      </c>
      <c r="T298" s="13" t="s">
        <v>47</v>
      </c>
      <c r="U298" s="14" t="n">
        <v>647.83</v>
      </c>
      <c r="W298" s="14" t="n">
        <v>0</v>
      </c>
      <c r="X298" s="13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410</v>
      </c>
      <c r="F299" s="11" t="n">
        <v>24</v>
      </c>
      <c r="G299" s="13" t="s">
        <v>42</v>
      </c>
      <c r="H299" s="11" t="n">
        <v>2110101</v>
      </c>
      <c r="I299" s="13" t="s">
        <v>43</v>
      </c>
      <c r="J299" s="11" t="n">
        <v>1210603</v>
      </c>
      <c r="L299" s="11" t="n">
        <v>5636</v>
      </c>
      <c r="M299" s="13" t="s">
        <v>44</v>
      </c>
      <c r="N299" s="13" t="s">
        <v>69</v>
      </c>
      <c r="P299" s="11" t="n">
        <v>128</v>
      </c>
      <c r="Q299" s="13" t="s">
        <v>45</v>
      </c>
      <c r="R299" s="13" t="s">
        <v>46</v>
      </c>
      <c r="S299" s="11" t="n">
        <v>1130101</v>
      </c>
      <c r="T299" s="13" t="s">
        <v>47</v>
      </c>
      <c r="U299" s="14" t="n">
        <v>707.65</v>
      </c>
      <c r="W299" s="14" t="n">
        <v>0</v>
      </c>
      <c r="X299" s="13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218</v>
      </c>
      <c r="F300" s="11" t="n">
        <v>24</v>
      </c>
      <c r="G300" s="13" t="s">
        <v>42</v>
      </c>
      <c r="H300" s="11" t="n">
        <v>2110101</v>
      </c>
      <c r="I300" s="13" t="s">
        <v>43</v>
      </c>
      <c r="J300" s="11" t="n">
        <v>1210675</v>
      </c>
      <c r="L300" s="11" t="n">
        <v>2245</v>
      </c>
      <c r="M300" s="13" t="s">
        <v>44</v>
      </c>
      <c r="N300" s="13" t="s">
        <v>69</v>
      </c>
      <c r="P300" s="11" t="n">
        <v>128</v>
      </c>
      <c r="Q300" s="13" t="s">
        <v>45</v>
      </c>
      <c r="R300" s="13" t="s">
        <v>46</v>
      </c>
      <c r="S300" s="11" t="n">
        <v>1130101</v>
      </c>
      <c r="T300" s="13" t="s">
        <v>47</v>
      </c>
      <c r="U300" s="14" t="n">
        <v>1860</v>
      </c>
      <c r="W300" s="14" t="n">
        <v>0</v>
      </c>
      <c r="X300" s="13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306</v>
      </c>
      <c r="F301" s="11" t="n">
        <v>24</v>
      </c>
      <c r="G301" s="13" t="s">
        <v>42</v>
      </c>
      <c r="H301" s="11" t="n">
        <v>2110101</v>
      </c>
      <c r="I301" s="13" t="s">
        <v>43</v>
      </c>
      <c r="J301" s="11" t="n">
        <v>1210714</v>
      </c>
      <c r="L301" s="11" t="n">
        <v>841816</v>
      </c>
      <c r="M301" s="13" t="s">
        <v>44</v>
      </c>
      <c r="N301" s="13" t="s">
        <v>69</v>
      </c>
      <c r="P301" s="11" t="n">
        <v>128</v>
      </c>
      <c r="Q301" s="13" t="s">
        <v>45</v>
      </c>
      <c r="R301" s="13" t="s">
        <v>46</v>
      </c>
      <c r="S301" s="11" t="n">
        <v>1130101</v>
      </c>
      <c r="T301" s="13" t="s">
        <v>47</v>
      </c>
      <c r="U301" s="14" t="n">
        <v>3845.86</v>
      </c>
      <c r="W301" s="14" t="n">
        <v>0</v>
      </c>
      <c r="X301" s="13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306</v>
      </c>
      <c r="F302" s="11" t="n">
        <v>24</v>
      </c>
      <c r="G302" s="13" t="s">
        <v>42</v>
      </c>
      <c r="H302" s="11" t="n">
        <v>2110101</v>
      </c>
      <c r="I302" s="13" t="s">
        <v>43</v>
      </c>
      <c r="J302" s="11" t="n">
        <v>1210723</v>
      </c>
      <c r="L302" s="11" t="n">
        <v>189483</v>
      </c>
      <c r="M302" s="13" t="s">
        <v>44</v>
      </c>
      <c r="N302" s="13" t="s">
        <v>36</v>
      </c>
      <c r="P302" s="11" t="n">
        <v>128</v>
      </c>
      <c r="Q302" s="13" t="s">
        <v>45</v>
      </c>
      <c r="R302" s="13" t="s">
        <v>46</v>
      </c>
      <c r="S302" s="11" t="n">
        <v>1130101</v>
      </c>
      <c r="T302" s="13" t="s">
        <v>47</v>
      </c>
      <c r="U302" s="14" t="n">
        <v>1.55</v>
      </c>
      <c r="W302" s="14" t="n">
        <v>0</v>
      </c>
      <c r="X302" s="13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80</v>
      </c>
      <c r="F303" s="11" t="n">
        <v>34</v>
      </c>
      <c r="G303" s="13" t="s">
        <v>33</v>
      </c>
      <c r="H303" s="11" t="n">
        <v>2110101</v>
      </c>
      <c r="I303" s="13" t="s">
        <v>43</v>
      </c>
      <c r="J303" s="11" t="n">
        <v>1221825</v>
      </c>
      <c r="L303" s="11" t="n">
        <v>4246</v>
      </c>
      <c r="M303" s="13" t="s">
        <v>44</v>
      </c>
      <c r="N303" s="13" t="s">
        <v>69</v>
      </c>
      <c r="P303" s="11" t="n">
        <v>128</v>
      </c>
      <c r="Q303" s="13" t="s">
        <v>45</v>
      </c>
      <c r="R303" s="13" t="s">
        <v>46</v>
      </c>
      <c r="S303" s="11" t="n">
        <v>1130101</v>
      </c>
      <c r="T303" s="13" t="s">
        <v>47</v>
      </c>
      <c r="U303" s="14" t="n">
        <v>260</v>
      </c>
      <c r="W303" s="14" t="n">
        <v>0</v>
      </c>
      <c r="X303" s="13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223</v>
      </c>
      <c r="F304" s="11" t="n">
        <v>24</v>
      </c>
      <c r="G304" s="13" t="s">
        <v>42</v>
      </c>
      <c r="H304" s="11" t="n">
        <v>2110101</v>
      </c>
      <c r="I304" s="13" t="s">
        <v>43</v>
      </c>
      <c r="J304" s="11" t="n">
        <v>1222264</v>
      </c>
      <c r="L304" s="11" t="n">
        <v>1779291</v>
      </c>
      <c r="M304" s="13" t="s">
        <v>44</v>
      </c>
      <c r="N304" s="13" t="s">
        <v>36</v>
      </c>
      <c r="P304" s="11" t="n">
        <v>128</v>
      </c>
      <c r="Q304" s="13" t="s">
        <v>45</v>
      </c>
      <c r="R304" s="13" t="s">
        <v>46</v>
      </c>
      <c r="S304" s="11" t="n">
        <v>1130101</v>
      </c>
      <c r="T304" s="13" t="s">
        <v>47</v>
      </c>
      <c r="U304" s="14" t="n">
        <v>748</v>
      </c>
      <c r="W304" s="14" t="n">
        <v>0</v>
      </c>
      <c r="X304" s="13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417</v>
      </c>
      <c r="F305" s="11" t="n">
        <v>24</v>
      </c>
      <c r="G305" s="13" t="s">
        <v>42</v>
      </c>
      <c r="H305" s="11" t="n">
        <v>2110101</v>
      </c>
      <c r="I305" s="13" t="s">
        <v>43</v>
      </c>
      <c r="J305" s="11" t="n">
        <v>1223041</v>
      </c>
      <c r="L305" s="11" t="n">
        <v>6512</v>
      </c>
      <c r="M305" s="13" t="s">
        <v>44</v>
      </c>
      <c r="N305" s="13" t="s">
        <v>69</v>
      </c>
      <c r="P305" s="11" t="n">
        <v>128</v>
      </c>
      <c r="Q305" s="13" t="s">
        <v>45</v>
      </c>
      <c r="R305" s="13" t="s">
        <v>46</v>
      </c>
      <c r="S305" s="11" t="n">
        <v>1130101</v>
      </c>
      <c r="T305" s="13" t="s">
        <v>47</v>
      </c>
      <c r="U305" s="14" t="n">
        <v>210</v>
      </c>
      <c r="W305" s="14" t="n">
        <v>0</v>
      </c>
      <c r="X305" s="13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419</v>
      </c>
      <c r="F306" s="11" t="n">
        <v>24</v>
      </c>
      <c r="G306" s="13" t="s">
        <v>42</v>
      </c>
      <c r="H306" s="11" t="n">
        <v>2110101</v>
      </c>
      <c r="I306" s="13" t="s">
        <v>43</v>
      </c>
      <c r="J306" s="11" t="n">
        <v>1226148</v>
      </c>
      <c r="L306" s="11" t="n">
        <v>191967</v>
      </c>
      <c r="M306" s="13" t="s">
        <v>44</v>
      </c>
      <c r="N306" s="13" t="s">
        <v>36</v>
      </c>
      <c r="P306" s="11" t="n">
        <v>128</v>
      </c>
      <c r="Q306" s="13" t="s">
        <v>45</v>
      </c>
      <c r="R306" s="13" t="s">
        <v>46</v>
      </c>
      <c r="S306" s="11" t="n">
        <v>1130101</v>
      </c>
      <c r="T306" s="13" t="s">
        <v>47</v>
      </c>
      <c r="U306" s="14" t="n">
        <v>500</v>
      </c>
      <c r="W306" s="14" t="n">
        <v>0</v>
      </c>
      <c r="X306" s="13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80</v>
      </c>
      <c r="F307" s="11" t="n">
        <v>34</v>
      </c>
      <c r="G307" s="13" t="s">
        <v>33</v>
      </c>
      <c r="H307" s="11" t="n">
        <v>2110101</v>
      </c>
      <c r="I307" s="13" t="s">
        <v>43</v>
      </c>
      <c r="J307" s="11" t="n">
        <v>1227420</v>
      </c>
      <c r="L307" s="11" t="n">
        <v>4253</v>
      </c>
      <c r="M307" s="13" t="s">
        <v>44</v>
      </c>
      <c r="N307" s="13" t="s">
        <v>69</v>
      </c>
      <c r="P307" s="11" t="n">
        <v>128</v>
      </c>
      <c r="Q307" s="13" t="s">
        <v>45</v>
      </c>
      <c r="R307" s="13" t="s">
        <v>46</v>
      </c>
      <c r="S307" s="11" t="n">
        <v>1130101</v>
      </c>
      <c r="T307" s="13" t="s">
        <v>47</v>
      </c>
      <c r="U307" s="14" t="n">
        <v>2642.5</v>
      </c>
      <c r="W307" s="14" t="n">
        <v>0</v>
      </c>
      <c r="X307" s="13" t="s">
        <v>129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130</v>
      </c>
      <c r="F308" s="11" t="n">
        <v>34</v>
      </c>
      <c r="G308" s="13" t="s">
        <v>33</v>
      </c>
      <c r="H308" s="11" t="n">
        <v>2110101</v>
      </c>
      <c r="I308" s="13" t="s">
        <v>43</v>
      </c>
      <c r="J308" s="11" t="n">
        <v>1227431</v>
      </c>
      <c r="L308" s="11" t="n">
        <v>192141</v>
      </c>
      <c r="M308" s="13" t="s">
        <v>44</v>
      </c>
      <c r="N308" s="13" t="s">
        <v>36</v>
      </c>
      <c r="P308" s="11" t="n">
        <v>128</v>
      </c>
      <c r="Q308" s="13" t="s">
        <v>45</v>
      </c>
      <c r="R308" s="13" t="s">
        <v>46</v>
      </c>
      <c r="S308" s="11" t="n">
        <v>1130101</v>
      </c>
      <c r="T308" s="13" t="s">
        <v>47</v>
      </c>
      <c r="U308" s="14" t="n">
        <v>305</v>
      </c>
      <c r="W308" s="14" t="n">
        <v>0</v>
      </c>
      <c r="X308" s="13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130</v>
      </c>
      <c r="F309" s="11" t="n">
        <v>34</v>
      </c>
      <c r="G309" s="13" t="s">
        <v>33</v>
      </c>
      <c r="H309" s="11" t="n">
        <v>2110101</v>
      </c>
      <c r="I309" s="13" t="s">
        <v>43</v>
      </c>
      <c r="J309" s="11" t="n">
        <v>1227433</v>
      </c>
      <c r="L309" s="11" t="n">
        <v>14650</v>
      </c>
      <c r="M309" s="13" t="s">
        <v>44</v>
      </c>
      <c r="N309" s="13" t="s">
        <v>69</v>
      </c>
      <c r="P309" s="11" t="n">
        <v>128</v>
      </c>
      <c r="Q309" s="13" t="s">
        <v>45</v>
      </c>
      <c r="R309" s="13" t="s">
        <v>46</v>
      </c>
      <c r="S309" s="11" t="n">
        <v>1130101</v>
      </c>
      <c r="T309" s="13" t="s">
        <v>47</v>
      </c>
      <c r="U309" s="14" t="n">
        <v>250</v>
      </c>
      <c r="W309" s="14" t="n">
        <v>0</v>
      </c>
      <c r="X309" s="13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80</v>
      </c>
      <c r="F310" s="11" t="n">
        <v>13</v>
      </c>
      <c r="G310" s="13" t="s">
        <v>81</v>
      </c>
      <c r="H310" s="11" t="n">
        <v>2110101</v>
      </c>
      <c r="I310" s="13" t="s">
        <v>43</v>
      </c>
      <c r="J310" s="11" t="n">
        <v>1244190</v>
      </c>
      <c r="L310" s="11" t="n">
        <v>4264</v>
      </c>
      <c r="M310" s="13" t="s">
        <v>44</v>
      </c>
      <c r="N310" s="13" t="s">
        <v>69</v>
      </c>
      <c r="P310" s="11" t="n">
        <v>128</v>
      </c>
      <c r="Q310" s="13" t="s">
        <v>45</v>
      </c>
      <c r="R310" s="13" t="s">
        <v>46</v>
      </c>
      <c r="S310" s="11" t="n">
        <v>1130101</v>
      </c>
      <c r="T310" s="13" t="s">
        <v>47</v>
      </c>
      <c r="U310" s="14" t="n">
        <v>335</v>
      </c>
      <c r="W310" s="14" t="n">
        <v>335</v>
      </c>
      <c r="X310" s="13" t="s">
        <v>82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80</v>
      </c>
      <c r="F311" s="11" t="n">
        <v>13</v>
      </c>
      <c r="G311" s="13" t="s">
        <v>81</v>
      </c>
      <c r="H311" s="11" t="n">
        <v>2110101</v>
      </c>
      <c r="I311" s="13" t="s">
        <v>43</v>
      </c>
      <c r="J311" s="11" t="n">
        <v>1244727</v>
      </c>
      <c r="L311" s="11" t="n">
        <v>4265</v>
      </c>
      <c r="M311" s="13" t="s">
        <v>44</v>
      </c>
      <c r="N311" s="13" t="s">
        <v>69</v>
      </c>
      <c r="P311" s="11" t="n">
        <v>129</v>
      </c>
      <c r="Q311" s="13" t="s">
        <v>102</v>
      </c>
      <c r="R311" s="13" t="s">
        <v>46</v>
      </c>
      <c r="S311" s="11" t="n">
        <v>1130101</v>
      </c>
      <c r="T311" s="13" t="s">
        <v>47</v>
      </c>
      <c r="U311" s="14" t="n">
        <v>120</v>
      </c>
      <c r="W311" s="14" t="n">
        <v>120</v>
      </c>
      <c r="X311" s="13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80</v>
      </c>
      <c r="F312" s="11" t="n">
        <v>34</v>
      </c>
      <c r="G312" s="13" t="s">
        <v>33</v>
      </c>
      <c r="H312" s="11" t="n">
        <v>2110101</v>
      </c>
      <c r="I312" s="13" t="s">
        <v>43</v>
      </c>
      <c r="J312" s="11" t="n">
        <v>1102114</v>
      </c>
      <c r="L312" s="11" t="n">
        <v>4146</v>
      </c>
      <c r="M312" s="13" t="s">
        <v>44</v>
      </c>
      <c r="N312" s="13" t="s">
        <v>69</v>
      </c>
      <c r="P312" s="11" t="n">
        <v>129</v>
      </c>
      <c r="Q312" s="13" t="s">
        <v>102</v>
      </c>
      <c r="R312" s="13" t="s">
        <v>46</v>
      </c>
      <c r="S312" s="11" t="n">
        <v>1130101</v>
      </c>
      <c r="T312" s="13" t="s">
        <v>47</v>
      </c>
      <c r="U312" s="14" t="n">
        <v>155</v>
      </c>
      <c r="W312" s="14" t="n">
        <v>155</v>
      </c>
      <c r="X312" s="13" t="s">
        <v>137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76</v>
      </c>
      <c r="F313" s="11" t="n">
        <v>24</v>
      </c>
      <c r="G313" s="13" t="s">
        <v>42</v>
      </c>
      <c r="H313" s="11" t="n">
        <v>2110101</v>
      </c>
      <c r="I313" s="13" t="s">
        <v>43</v>
      </c>
      <c r="J313" s="11" t="n">
        <v>1206705</v>
      </c>
      <c r="L313" s="11" t="n">
        <v>52372</v>
      </c>
      <c r="M313" s="13" t="s">
        <v>44</v>
      </c>
      <c r="N313" s="13" t="s">
        <v>36</v>
      </c>
      <c r="P313" s="11" t="n">
        <v>128</v>
      </c>
      <c r="Q313" s="13" t="s">
        <v>45</v>
      </c>
      <c r="R313" s="13" t="s">
        <v>46</v>
      </c>
      <c r="S313" s="11" t="n">
        <v>1130101</v>
      </c>
      <c r="T313" s="13" t="s">
        <v>47</v>
      </c>
      <c r="U313" s="14" t="n">
        <v>1348.2</v>
      </c>
      <c r="W313" s="14" t="n">
        <v>0</v>
      </c>
      <c r="X313" s="13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425</v>
      </c>
      <c r="F314" s="11" t="n">
        <v>24</v>
      </c>
      <c r="G314" s="13" t="s">
        <v>42</v>
      </c>
      <c r="H314" s="11" t="n">
        <v>2110405</v>
      </c>
      <c r="I314" s="13" t="s">
        <v>34</v>
      </c>
      <c r="J314" s="11" t="n">
        <v>809440</v>
      </c>
      <c r="L314" s="11" t="n">
        <v>777006512</v>
      </c>
      <c r="M314" s="13" t="s">
        <v>315</v>
      </c>
      <c r="N314" s="13" t="s">
        <v>36</v>
      </c>
      <c r="P314" s="11" t="n">
        <v>101</v>
      </c>
      <c r="Q314" s="13" t="s">
        <v>37</v>
      </c>
      <c r="R314" s="13" t="s">
        <v>426</v>
      </c>
      <c r="S314" s="11" t="n">
        <v>4210401</v>
      </c>
      <c r="T314" s="13" t="s">
        <v>427</v>
      </c>
      <c r="U314" s="14" t="n">
        <v>225.2</v>
      </c>
      <c r="W314" s="14" t="n">
        <v>0</v>
      </c>
      <c r="X314" s="13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60</v>
      </c>
      <c r="F315" s="11" t="n">
        <v>24</v>
      </c>
      <c r="G315" s="13" t="s">
        <v>42</v>
      </c>
      <c r="H315" s="11" t="n">
        <v>2110101</v>
      </c>
      <c r="I315" s="13" t="s">
        <v>43</v>
      </c>
      <c r="J315" s="11" t="n">
        <v>1103131</v>
      </c>
      <c r="L315" s="11" t="n">
        <v>3011783</v>
      </c>
      <c r="M315" s="13" t="s">
        <v>44</v>
      </c>
      <c r="N315" s="13" t="s">
        <v>36</v>
      </c>
      <c r="P315" s="11" t="n">
        <v>128</v>
      </c>
      <c r="Q315" s="13" t="s">
        <v>45</v>
      </c>
      <c r="R315" s="13" t="s">
        <v>46</v>
      </c>
      <c r="S315" s="11" t="n">
        <v>1130101</v>
      </c>
      <c r="T315" s="13" t="s">
        <v>47</v>
      </c>
      <c r="U315" s="14" t="n">
        <v>763.96</v>
      </c>
      <c r="W315" s="14" t="n">
        <v>0</v>
      </c>
      <c r="X315" s="13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53</v>
      </c>
      <c r="F316" s="11" t="n">
        <v>24</v>
      </c>
      <c r="G316" s="13" t="s">
        <v>42</v>
      </c>
      <c r="H316" s="11" t="n">
        <v>2110101</v>
      </c>
      <c r="I316" s="13" t="s">
        <v>43</v>
      </c>
      <c r="J316" s="11" t="n">
        <v>1131506</v>
      </c>
      <c r="L316" s="11" t="n">
        <v>4456533</v>
      </c>
      <c r="M316" s="13" t="s">
        <v>44</v>
      </c>
      <c r="N316" s="13" t="s">
        <v>36</v>
      </c>
      <c r="P316" s="11" t="n">
        <v>128</v>
      </c>
      <c r="Q316" s="13" t="s">
        <v>45</v>
      </c>
      <c r="R316" s="13" t="s">
        <v>46</v>
      </c>
      <c r="S316" s="11" t="n">
        <v>1130101</v>
      </c>
      <c r="T316" s="13" t="s">
        <v>47</v>
      </c>
      <c r="U316" s="14" t="n">
        <v>2073.98</v>
      </c>
      <c r="W316" s="14" t="n">
        <v>0</v>
      </c>
      <c r="X316" s="13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177</v>
      </c>
      <c r="F317" s="11" t="n">
        <v>24</v>
      </c>
      <c r="G317" s="13" t="s">
        <v>42</v>
      </c>
      <c r="H317" s="11" t="n">
        <v>2110101</v>
      </c>
      <c r="I317" s="13" t="s">
        <v>43</v>
      </c>
      <c r="J317" s="11" t="n">
        <v>1160959</v>
      </c>
      <c r="L317" s="11" t="n">
        <v>15902222</v>
      </c>
      <c r="M317" s="13" t="s">
        <v>44</v>
      </c>
      <c r="N317" s="13" t="s">
        <v>36</v>
      </c>
      <c r="P317" s="11" t="n">
        <v>128</v>
      </c>
      <c r="Q317" s="13" t="s">
        <v>45</v>
      </c>
      <c r="R317" s="13" t="s">
        <v>46</v>
      </c>
      <c r="S317" s="11" t="n">
        <v>1130101</v>
      </c>
      <c r="T317" s="13" t="s">
        <v>47</v>
      </c>
      <c r="U317" s="14" t="n">
        <v>1582.46</v>
      </c>
      <c r="W317" s="14" t="n">
        <v>0</v>
      </c>
      <c r="X317" s="13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408</v>
      </c>
      <c r="F318" s="11" t="n">
        <v>24</v>
      </c>
      <c r="G318" s="13" t="s">
        <v>42</v>
      </c>
      <c r="H318" s="11" t="n">
        <v>2110101</v>
      </c>
      <c r="I318" s="13" t="s">
        <v>43</v>
      </c>
      <c r="J318" s="11" t="n">
        <v>1196486</v>
      </c>
      <c r="L318" s="11" t="n">
        <v>7947401</v>
      </c>
      <c r="M318" s="13" t="s">
        <v>44</v>
      </c>
      <c r="N318" s="13" t="s">
        <v>36</v>
      </c>
      <c r="P318" s="11" t="n">
        <v>128</v>
      </c>
      <c r="Q318" s="13" t="s">
        <v>45</v>
      </c>
      <c r="R318" s="13" t="s">
        <v>46</v>
      </c>
      <c r="S318" s="11" t="n">
        <v>1130101</v>
      </c>
      <c r="T318" s="13" t="s">
        <v>47</v>
      </c>
      <c r="U318" s="14" t="n">
        <v>911.38</v>
      </c>
      <c r="W318" s="14" t="n">
        <v>0</v>
      </c>
      <c r="X318" s="13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76</v>
      </c>
      <c r="F319" s="11" t="n">
        <v>24</v>
      </c>
      <c r="G319" s="13" t="s">
        <v>42</v>
      </c>
      <c r="H319" s="11" t="n">
        <v>2110101</v>
      </c>
      <c r="I319" s="13" t="s">
        <v>43</v>
      </c>
      <c r="J319" s="11" t="n">
        <v>1206546</v>
      </c>
      <c r="L319" s="11" t="n">
        <v>52456</v>
      </c>
      <c r="M319" s="13" t="s">
        <v>44</v>
      </c>
      <c r="N319" s="13" t="s">
        <v>36</v>
      </c>
      <c r="P319" s="11" t="n">
        <v>128</v>
      </c>
      <c r="Q319" s="13" t="s">
        <v>45</v>
      </c>
      <c r="R319" s="13" t="s">
        <v>46</v>
      </c>
      <c r="S319" s="11" t="n">
        <v>1130101</v>
      </c>
      <c r="T319" s="13" t="s">
        <v>47</v>
      </c>
      <c r="U319" s="14" t="n">
        <v>2872.8</v>
      </c>
      <c r="W319" s="14" t="n">
        <v>0</v>
      </c>
      <c r="X319" s="13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212</v>
      </c>
      <c r="F320" s="11" t="n">
        <v>24</v>
      </c>
      <c r="G320" s="13" t="s">
        <v>42</v>
      </c>
      <c r="H320" s="11" t="n">
        <v>2110101</v>
      </c>
      <c r="I320" s="13" t="s">
        <v>43</v>
      </c>
      <c r="J320" s="11" t="n">
        <v>1221468</v>
      </c>
      <c r="L320" s="11" t="n">
        <v>5625662</v>
      </c>
      <c r="M320" s="13" t="s">
        <v>44</v>
      </c>
      <c r="N320" s="13" t="s">
        <v>36</v>
      </c>
      <c r="P320" s="11" t="n">
        <v>128</v>
      </c>
      <c r="Q320" s="13" t="s">
        <v>45</v>
      </c>
      <c r="R320" s="13" t="s">
        <v>46</v>
      </c>
      <c r="S320" s="11" t="n">
        <v>1130101</v>
      </c>
      <c r="T320" s="13" t="s">
        <v>47</v>
      </c>
      <c r="U320" s="14" t="n">
        <v>2468.44</v>
      </c>
      <c r="W320" s="14" t="n">
        <v>0</v>
      </c>
      <c r="X320" s="13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133</v>
      </c>
      <c r="F321" s="11" t="n">
        <v>34</v>
      </c>
      <c r="G321" s="13" t="s">
        <v>33</v>
      </c>
      <c r="H321" s="11" t="n">
        <v>2110101</v>
      </c>
      <c r="I321" s="13" t="s">
        <v>43</v>
      </c>
      <c r="J321" s="11" t="n">
        <v>1243858</v>
      </c>
      <c r="L321" s="11" t="n">
        <v>5973</v>
      </c>
      <c r="M321" s="13" t="s">
        <v>44</v>
      </c>
      <c r="N321" s="13" t="s">
        <v>69</v>
      </c>
      <c r="P321" s="11" t="n">
        <v>128</v>
      </c>
      <c r="Q321" s="13" t="s">
        <v>45</v>
      </c>
      <c r="R321" s="13" t="s">
        <v>46</v>
      </c>
      <c r="S321" s="11" t="n">
        <v>1130101</v>
      </c>
      <c r="T321" s="13" t="s">
        <v>47</v>
      </c>
      <c r="U321" s="14" t="n">
        <v>240</v>
      </c>
      <c r="W321" s="14" t="n">
        <v>0</v>
      </c>
      <c r="X321" s="13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112</v>
      </c>
      <c r="F322" s="11" t="n">
        <v>13</v>
      </c>
      <c r="G322" s="13" t="s">
        <v>81</v>
      </c>
      <c r="H322" s="11" t="n">
        <v>2110101</v>
      </c>
      <c r="I322" s="13" t="s">
        <v>43</v>
      </c>
      <c r="J322" s="11" t="n">
        <v>1261038</v>
      </c>
      <c r="L322" s="11" t="n">
        <v>713</v>
      </c>
      <c r="M322" s="13" t="s">
        <v>44</v>
      </c>
      <c r="N322" s="13" t="s">
        <v>69</v>
      </c>
      <c r="P322" s="11" t="n">
        <v>128</v>
      </c>
      <c r="Q322" s="13" t="s">
        <v>45</v>
      </c>
      <c r="R322" s="13" t="s">
        <v>46</v>
      </c>
      <c r="S322" s="11" t="n">
        <v>1130101</v>
      </c>
      <c r="T322" s="13" t="s">
        <v>47</v>
      </c>
      <c r="U322" s="14" t="n">
        <v>270</v>
      </c>
      <c r="W322" s="14" t="n">
        <v>270</v>
      </c>
      <c r="X322" s="13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437</v>
      </c>
      <c r="F323" s="11" t="n">
        <v>24</v>
      </c>
      <c r="G323" s="13" t="s">
        <v>42</v>
      </c>
      <c r="H323" s="11" t="n">
        <v>2110405</v>
      </c>
      <c r="I323" s="13" t="s">
        <v>34</v>
      </c>
      <c r="J323" s="11" t="n">
        <v>1265899</v>
      </c>
      <c r="L323" s="11" t="n">
        <v>197895</v>
      </c>
      <c r="M323" s="13" t="s">
        <v>44</v>
      </c>
      <c r="N323" s="13" t="s">
        <v>36</v>
      </c>
      <c r="P323" s="11" t="n">
        <v>102</v>
      </c>
      <c r="Q323" s="13" t="s">
        <v>186</v>
      </c>
      <c r="R323" s="13" t="s">
        <v>72</v>
      </c>
      <c r="S323" s="11" t="n">
        <v>4210315</v>
      </c>
      <c r="T323" s="13" t="s">
        <v>438</v>
      </c>
      <c r="U323" s="14" t="n">
        <v>167.61</v>
      </c>
      <c r="W323" s="14" t="n">
        <v>0</v>
      </c>
      <c r="X323" s="13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84</v>
      </c>
      <c r="F324" s="11" t="n">
        <v>24</v>
      </c>
      <c r="G324" s="13" t="s">
        <v>42</v>
      </c>
      <c r="H324" s="11" t="n">
        <v>2110101</v>
      </c>
      <c r="I324" s="13" t="s">
        <v>43</v>
      </c>
      <c r="J324" s="11" t="n">
        <v>1265908</v>
      </c>
      <c r="L324" s="11" t="n">
        <v>197897</v>
      </c>
      <c r="M324" s="13" t="s">
        <v>44</v>
      </c>
      <c r="N324" s="13" t="s">
        <v>36</v>
      </c>
      <c r="P324" s="11" t="n">
        <v>102</v>
      </c>
      <c r="Q324" s="13" t="s">
        <v>186</v>
      </c>
      <c r="R324" s="13" t="s">
        <v>46</v>
      </c>
      <c r="S324" s="11" t="n">
        <v>1130101</v>
      </c>
      <c r="T324" s="13" t="s">
        <v>47</v>
      </c>
      <c r="U324" s="14" t="n">
        <v>381.61</v>
      </c>
      <c r="W324" s="14" t="n">
        <v>0</v>
      </c>
      <c r="X324" s="13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32</v>
      </c>
      <c r="F325" s="11" t="n">
        <v>34</v>
      </c>
      <c r="G325" s="13" t="s">
        <v>33</v>
      </c>
      <c r="H325" s="11" t="n">
        <v>2110405</v>
      </c>
      <c r="I325" s="13" t="s">
        <v>34</v>
      </c>
      <c r="J325" s="11" t="n">
        <v>1265947</v>
      </c>
      <c r="L325" s="11" t="n">
        <v>197904</v>
      </c>
      <c r="M325" s="13" t="s">
        <v>44</v>
      </c>
      <c r="N325" s="13" t="s">
        <v>36</v>
      </c>
      <c r="P325" s="11" t="n">
        <v>102</v>
      </c>
      <c r="Q325" s="13" t="s">
        <v>186</v>
      </c>
      <c r="R325" s="13" t="s">
        <v>203</v>
      </c>
      <c r="S325" s="11" t="n">
        <v>4220199</v>
      </c>
      <c r="T325" s="13" t="s">
        <v>204</v>
      </c>
      <c r="U325" s="14" t="n">
        <v>4340</v>
      </c>
      <c r="W325" s="14" t="n">
        <v>0</v>
      </c>
      <c r="X325" s="13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442</v>
      </c>
      <c r="F326" s="11" t="n">
        <v>34</v>
      </c>
      <c r="G326" s="13" t="s">
        <v>33</v>
      </c>
      <c r="H326" s="11" t="n">
        <v>2110405</v>
      </c>
      <c r="I326" s="13" t="s">
        <v>34</v>
      </c>
      <c r="J326" s="11" t="n">
        <v>1266422</v>
      </c>
      <c r="L326" s="11" t="n">
        <v>197965</v>
      </c>
      <c r="M326" s="13" t="s">
        <v>44</v>
      </c>
      <c r="N326" s="13" t="s">
        <v>36</v>
      </c>
      <c r="P326" s="11" t="n">
        <v>102</v>
      </c>
      <c r="Q326" s="13" t="s">
        <v>186</v>
      </c>
      <c r="R326" s="13" t="s">
        <v>34</v>
      </c>
      <c r="S326" s="11" t="n">
        <v>2110402</v>
      </c>
      <c r="T326" s="13" t="s">
        <v>443</v>
      </c>
      <c r="U326" s="14" t="n">
        <v>177.65</v>
      </c>
      <c r="W326" s="14" t="n">
        <v>0</v>
      </c>
      <c r="X326" s="13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445</v>
      </c>
      <c r="F327" s="11" t="n">
        <v>24</v>
      </c>
      <c r="G327" s="13" t="s">
        <v>42</v>
      </c>
      <c r="H327" s="11" t="n">
        <v>2110101</v>
      </c>
      <c r="I327" s="13" t="s">
        <v>43</v>
      </c>
      <c r="J327" s="11" t="n">
        <v>761502</v>
      </c>
      <c r="L327" s="11" t="n">
        <v>17147712</v>
      </c>
      <c r="M327" s="13" t="s">
        <v>44</v>
      </c>
      <c r="N327" s="13" t="s">
        <v>36</v>
      </c>
      <c r="P327" s="11" t="n">
        <v>128</v>
      </c>
      <c r="Q327" s="13" t="s">
        <v>45</v>
      </c>
      <c r="R327" s="13" t="s">
        <v>46</v>
      </c>
      <c r="S327" s="11" t="n">
        <v>1130101</v>
      </c>
      <c r="T327" s="13" t="s">
        <v>47</v>
      </c>
      <c r="U327" s="14" t="n">
        <v>591.83</v>
      </c>
      <c r="W327" s="14" t="n">
        <v>0</v>
      </c>
      <c r="X327" s="13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445</v>
      </c>
      <c r="F328" s="11" t="n">
        <v>24</v>
      </c>
      <c r="G328" s="13" t="s">
        <v>42</v>
      </c>
      <c r="H328" s="11" t="n">
        <v>2110101</v>
      </c>
      <c r="I328" s="13" t="s">
        <v>43</v>
      </c>
      <c r="J328" s="11" t="n">
        <v>761553</v>
      </c>
      <c r="L328" s="11" t="n">
        <v>17147709</v>
      </c>
      <c r="M328" s="13" t="s">
        <v>44</v>
      </c>
      <c r="N328" s="13" t="s">
        <v>36</v>
      </c>
      <c r="P328" s="11" t="n">
        <v>128</v>
      </c>
      <c r="Q328" s="13" t="s">
        <v>45</v>
      </c>
      <c r="R328" s="13" t="s">
        <v>46</v>
      </c>
      <c r="S328" s="11" t="n">
        <v>1130101</v>
      </c>
      <c r="T328" s="13" t="s">
        <v>47</v>
      </c>
      <c r="U328" s="14" t="n">
        <v>508.8</v>
      </c>
      <c r="W328" s="14" t="n">
        <v>0</v>
      </c>
      <c r="X328" s="13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41</v>
      </c>
      <c r="F329" s="11" t="n">
        <v>24</v>
      </c>
      <c r="G329" s="13" t="s">
        <v>42</v>
      </c>
      <c r="H329" s="11" t="n">
        <v>2110101</v>
      </c>
      <c r="I329" s="13" t="s">
        <v>43</v>
      </c>
      <c r="J329" s="11" t="n">
        <v>1096660</v>
      </c>
      <c r="L329" s="11" t="n">
        <v>16520494</v>
      </c>
      <c r="M329" s="13" t="s">
        <v>44</v>
      </c>
      <c r="N329" s="13" t="s">
        <v>36</v>
      </c>
      <c r="P329" s="11" t="n">
        <v>128</v>
      </c>
      <c r="Q329" s="13" t="s">
        <v>45</v>
      </c>
      <c r="R329" s="13" t="s">
        <v>46</v>
      </c>
      <c r="S329" s="11" t="n">
        <v>1130101</v>
      </c>
      <c r="T329" s="13" t="s">
        <v>47</v>
      </c>
      <c r="U329" s="14" t="n">
        <v>633.23</v>
      </c>
      <c r="W329" s="14" t="n">
        <v>0</v>
      </c>
      <c r="X329" s="13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57</v>
      </c>
      <c r="F330" s="11" t="n">
        <v>24</v>
      </c>
      <c r="G330" s="13" t="s">
        <v>42</v>
      </c>
      <c r="H330" s="11" t="n">
        <v>2110101</v>
      </c>
      <c r="I330" s="13" t="s">
        <v>43</v>
      </c>
      <c r="J330" s="11" t="n">
        <v>1083164</v>
      </c>
      <c r="L330" s="11" t="n">
        <v>5687954</v>
      </c>
      <c r="M330" s="13" t="s">
        <v>44</v>
      </c>
      <c r="N330" s="13" t="s">
        <v>36</v>
      </c>
      <c r="P330" s="11" t="n">
        <v>128</v>
      </c>
      <c r="Q330" s="13" t="s">
        <v>45</v>
      </c>
      <c r="R330" s="13" t="s">
        <v>46</v>
      </c>
      <c r="S330" s="11" t="n">
        <v>1130101</v>
      </c>
      <c r="T330" s="13" t="s">
        <v>47</v>
      </c>
      <c r="U330" s="14" t="n">
        <v>408.42</v>
      </c>
      <c r="W330" s="14" t="n">
        <v>0</v>
      </c>
      <c r="X330" s="13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287</v>
      </c>
      <c r="F331" s="11" t="n">
        <v>24</v>
      </c>
      <c r="G331" s="13" t="s">
        <v>42</v>
      </c>
      <c r="H331" s="11" t="n">
        <v>2110101</v>
      </c>
      <c r="I331" s="13" t="s">
        <v>43</v>
      </c>
      <c r="J331" s="11" t="n">
        <v>1101940</v>
      </c>
      <c r="L331" s="11" t="n">
        <v>1549192</v>
      </c>
      <c r="M331" s="13" t="s">
        <v>44</v>
      </c>
      <c r="N331" s="13" t="s">
        <v>36</v>
      </c>
      <c r="P331" s="11" t="n">
        <v>129</v>
      </c>
      <c r="Q331" s="13" t="s">
        <v>102</v>
      </c>
      <c r="R331" s="13" t="s">
        <v>46</v>
      </c>
      <c r="S331" s="11" t="n">
        <v>1130101</v>
      </c>
      <c r="T331" s="13" t="s">
        <v>47</v>
      </c>
      <c r="U331" s="14" t="n">
        <v>565.55</v>
      </c>
      <c r="W331" s="14" t="n">
        <v>0</v>
      </c>
      <c r="X331" s="13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122</v>
      </c>
      <c r="F332" s="11" t="n">
        <v>24</v>
      </c>
      <c r="G332" s="13" t="s">
        <v>42</v>
      </c>
      <c r="H332" s="11" t="n">
        <v>2110101</v>
      </c>
      <c r="I332" s="13" t="s">
        <v>43</v>
      </c>
      <c r="J332" s="11" t="n">
        <v>1116791</v>
      </c>
      <c r="L332" s="11" t="n">
        <v>11244027</v>
      </c>
      <c r="M332" s="13" t="s">
        <v>44</v>
      </c>
      <c r="N332" s="13" t="s">
        <v>36</v>
      </c>
      <c r="P332" s="11" t="n">
        <v>128</v>
      </c>
      <c r="Q332" s="13" t="s">
        <v>45</v>
      </c>
      <c r="R332" s="13" t="s">
        <v>46</v>
      </c>
      <c r="S332" s="11" t="n">
        <v>1130101</v>
      </c>
      <c r="T332" s="13" t="s">
        <v>47</v>
      </c>
      <c r="U332" s="14" t="n">
        <v>229.21</v>
      </c>
      <c r="W332" s="14" t="n">
        <v>0</v>
      </c>
      <c r="X332" s="13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49</v>
      </c>
      <c r="F333" s="11" t="n">
        <v>24</v>
      </c>
      <c r="G333" s="13" t="s">
        <v>42</v>
      </c>
      <c r="H333" s="11" t="n">
        <v>2110101</v>
      </c>
      <c r="I333" s="13" t="s">
        <v>43</v>
      </c>
      <c r="J333" s="11" t="n">
        <v>1122101</v>
      </c>
      <c r="L333" s="11" t="n">
        <v>31890523</v>
      </c>
      <c r="M333" s="13" t="s">
        <v>44</v>
      </c>
      <c r="N333" s="13" t="s">
        <v>36</v>
      </c>
      <c r="P333" s="11" t="n">
        <v>128</v>
      </c>
      <c r="Q333" s="13" t="s">
        <v>45</v>
      </c>
      <c r="R333" s="13" t="s">
        <v>46</v>
      </c>
      <c r="S333" s="11" t="n">
        <v>1130101</v>
      </c>
      <c r="T333" s="13" t="s">
        <v>47</v>
      </c>
      <c r="U333" s="14" t="n">
        <v>435.02</v>
      </c>
      <c r="W333" s="14" t="n">
        <v>0</v>
      </c>
      <c r="X333" s="13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163</v>
      </c>
      <c r="F334" s="11" t="n">
        <v>24</v>
      </c>
      <c r="G334" s="13" t="s">
        <v>42</v>
      </c>
      <c r="H334" s="11" t="n">
        <v>2110101</v>
      </c>
      <c r="I334" s="13" t="s">
        <v>43</v>
      </c>
      <c r="J334" s="11" t="n">
        <v>1122930</v>
      </c>
      <c r="L334" s="11" t="n">
        <v>4897163</v>
      </c>
      <c r="M334" s="13" t="s">
        <v>44</v>
      </c>
      <c r="N334" s="13" t="s">
        <v>36</v>
      </c>
      <c r="P334" s="11" t="n">
        <v>128</v>
      </c>
      <c r="Q334" s="13" t="s">
        <v>45</v>
      </c>
      <c r="R334" s="13" t="s">
        <v>46</v>
      </c>
      <c r="S334" s="11" t="n">
        <v>1130101</v>
      </c>
      <c r="T334" s="13" t="s">
        <v>47</v>
      </c>
      <c r="U334" s="14" t="n">
        <v>1199.93</v>
      </c>
      <c r="W334" s="14" t="n">
        <v>0</v>
      </c>
      <c r="X334" s="13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nao encontrado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301</v>
      </c>
      <c r="F335" s="11" t="n">
        <v>24</v>
      </c>
      <c r="G335" s="13" t="s">
        <v>42</v>
      </c>
      <c r="H335" s="11" t="n">
        <v>2110101</v>
      </c>
      <c r="I335" s="13" t="s">
        <v>43</v>
      </c>
      <c r="J335" s="11" t="n">
        <v>1151055</v>
      </c>
      <c r="L335" s="11" t="n">
        <v>26562</v>
      </c>
      <c r="M335" s="13" t="s">
        <v>44</v>
      </c>
      <c r="N335" s="13" t="s">
        <v>36</v>
      </c>
      <c r="P335" s="11" t="n">
        <v>128</v>
      </c>
      <c r="Q335" s="13" t="s">
        <v>45</v>
      </c>
      <c r="R335" s="13" t="s">
        <v>46</v>
      </c>
      <c r="S335" s="11" t="n">
        <v>1130101</v>
      </c>
      <c r="T335" s="13" t="s">
        <v>47</v>
      </c>
      <c r="U335" s="14" t="n">
        <v>663.67</v>
      </c>
      <c r="W335" s="14" t="n">
        <v>0</v>
      </c>
      <c r="X335" s="13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nao encontrado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67</v>
      </c>
      <c r="F336" s="11" t="n">
        <v>24</v>
      </c>
      <c r="G336" s="13" t="s">
        <v>42</v>
      </c>
      <c r="H336" s="11" t="n">
        <v>2110101</v>
      </c>
      <c r="I336" s="13" t="s">
        <v>43</v>
      </c>
      <c r="J336" s="11" t="n">
        <v>1156201</v>
      </c>
      <c r="L336" s="11" t="n">
        <v>13561022</v>
      </c>
      <c r="M336" s="13" t="s">
        <v>44</v>
      </c>
      <c r="N336" s="13" t="s">
        <v>36</v>
      </c>
      <c r="P336" s="11" t="n">
        <v>128</v>
      </c>
      <c r="Q336" s="13" t="s">
        <v>45</v>
      </c>
      <c r="R336" s="13" t="s">
        <v>46</v>
      </c>
      <c r="S336" s="11" t="n">
        <v>1130101</v>
      </c>
      <c r="T336" s="13" t="s">
        <v>47</v>
      </c>
      <c r="U336" s="14" t="n">
        <v>565</v>
      </c>
      <c r="W336" s="14" t="n">
        <v>0</v>
      </c>
      <c r="X336" s="13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nao encontrado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335</v>
      </c>
      <c r="F337" s="11" t="n">
        <v>24</v>
      </c>
      <c r="G337" s="13" t="s">
        <v>42</v>
      </c>
      <c r="H337" s="11" t="n">
        <v>2110101</v>
      </c>
      <c r="I337" s="13" t="s">
        <v>43</v>
      </c>
      <c r="J337" s="11" t="n">
        <v>1161709</v>
      </c>
      <c r="L337" s="11" t="n">
        <v>1928852</v>
      </c>
      <c r="M337" s="13" t="s">
        <v>44</v>
      </c>
      <c r="N337" s="13" t="s">
        <v>36</v>
      </c>
      <c r="P337" s="11" t="n">
        <v>128</v>
      </c>
      <c r="Q337" s="13" t="s">
        <v>45</v>
      </c>
      <c r="R337" s="13" t="s">
        <v>46</v>
      </c>
      <c r="S337" s="11" t="n">
        <v>1130101</v>
      </c>
      <c r="T337" s="13" t="s">
        <v>47</v>
      </c>
      <c r="U337" s="14" t="n">
        <v>1314.74</v>
      </c>
      <c r="W337" s="14" t="n">
        <v>0</v>
      </c>
      <c r="X337" s="13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nao encontrado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55</v>
      </c>
      <c r="F338" s="11" t="n">
        <v>24</v>
      </c>
      <c r="G338" s="13" t="s">
        <v>42</v>
      </c>
      <c r="H338" s="11" t="n">
        <v>2110101</v>
      </c>
      <c r="I338" s="13" t="s">
        <v>43</v>
      </c>
      <c r="J338" s="11" t="n">
        <v>1188539</v>
      </c>
      <c r="L338" s="11" t="n">
        <v>2020061</v>
      </c>
      <c r="M338" s="13" t="s">
        <v>44</v>
      </c>
      <c r="N338" s="13" t="s">
        <v>36</v>
      </c>
      <c r="P338" s="11" t="n">
        <v>128</v>
      </c>
      <c r="Q338" s="13" t="s">
        <v>45</v>
      </c>
      <c r="R338" s="13" t="s">
        <v>46</v>
      </c>
      <c r="S338" s="11" t="n">
        <v>1130101</v>
      </c>
      <c r="T338" s="13" t="s">
        <v>47</v>
      </c>
      <c r="U338" s="14" t="n">
        <v>226.77</v>
      </c>
      <c r="W338" s="14" t="n">
        <v>0</v>
      </c>
      <c r="X338" s="13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67</v>
      </c>
      <c r="F339" s="11" t="n">
        <v>24</v>
      </c>
      <c r="G339" s="13" t="s">
        <v>42</v>
      </c>
      <c r="H339" s="11" t="n">
        <v>2110101</v>
      </c>
      <c r="I339" s="13" t="s">
        <v>43</v>
      </c>
      <c r="J339" s="11" t="n">
        <v>1196741</v>
      </c>
      <c r="L339" s="11" t="n">
        <v>13607901</v>
      </c>
      <c r="M339" s="13" t="s">
        <v>44</v>
      </c>
      <c r="N339" s="13" t="s">
        <v>36</v>
      </c>
      <c r="P339" s="11" t="n">
        <v>128</v>
      </c>
      <c r="Q339" s="13" t="s">
        <v>45</v>
      </c>
      <c r="R339" s="13" t="s">
        <v>46</v>
      </c>
      <c r="S339" s="11" t="n">
        <v>1130101</v>
      </c>
      <c r="T339" s="13" t="s">
        <v>47</v>
      </c>
      <c r="U339" s="14" t="n">
        <v>595.25</v>
      </c>
      <c r="W339" s="14" t="n">
        <v>0</v>
      </c>
      <c r="X339" s="13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125</v>
      </c>
      <c r="F340" s="11" t="n">
        <v>24</v>
      </c>
      <c r="G340" s="13" t="s">
        <v>42</v>
      </c>
      <c r="H340" s="11" t="n">
        <v>2110101</v>
      </c>
      <c r="I340" s="13" t="s">
        <v>43</v>
      </c>
      <c r="J340" s="11" t="n">
        <v>1198150</v>
      </c>
      <c r="L340" s="11" t="n">
        <v>2527372</v>
      </c>
      <c r="M340" s="13" t="s">
        <v>44</v>
      </c>
      <c r="N340" s="13" t="s">
        <v>36</v>
      </c>
      <c r="P340" s="11" t="n">
        <v>128</v>
      </c>
      <c r="Q340" s="13" t="s">
        <v>45</v>
      </c>
      <c r="R340" s="13" t="s">
        <v>46</v>
      </c>
      <c r="S340" s="11" t="n">
        <v>1130101</v>
      </c>
      <c r="T340" s="13" t="s">
        <v>47</v>
      </c>
      <c r="U340" s="14" t="n">
        <v>340.75</v>
      </c>
      <c r="W340" s="14" t="n">
        <v>0</v>
      </c>
      <c r="X340" s="13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373</v>
      </c>
      <c r="F341" s="11" t="n">
        <v>24</v>
      </c>
      <c r="G341" s="13" t="s">
        <v>42</v>
      </c>
      <c r="H341" s="11" t="n">
        <v>2110101</v>
      </c>
      <c r="I341" s="13" t="s">
        <v>43</v>
      </c>
      <c r="J341" s="11" t="n">
        <v>1221350</v>
      </c>
      <c r="L341" s="11" t="n">
        <v>1412477</v>
      </c>
      <c r="M341" s="13" t="s">
        <v>44</v>
      </c>
      <c r="N341" s="13" t="s">
        <v>36</v>
      </c>
      <c r="P341" s="11" t="n">
        <v>128</v>
      </c>
      <c r="Q341" s="13" t="s">
        <v>45</v>
      </c>
      <c r="R341" s="13" t="s">
        <v>46</v>
      </c>
      <c r="S341" s="11" t="n">
        <v>1130101</v>
      </c>
      <c r="T341" s="13" t="s">
        <v>47</v>
      </c>
      <c r="U341" s="14" t="n">
        <v>453.6</v>
      </c>
      <c r="W341" s="14" t="n">
        <v>0</v>
      </c>
      <c r="X341" s="13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373</v>
      </c>
      <c r="F342" s="11" t="n">
        <v>24</v>
      </c>
      <c r="G342" s="13" t="s">
        <v>42</v>
      </c>
      <c r="H342" s="11" t="n">
        <v>2110101</v>
      </c>
      <c r="I342" s="13" t="s">
        <v>43</v>
      </c>
      <c r="J342" s="11" t="n">
        <v>1221362</v>
      </c>
      <c r="L342" s="11" t="n">
        <v>1412295</v>
      </c>
      <c r="M342" s="13" t="s">
        <v>44</v>
      </c>
      <c r="N342" s="13" t="s">
        <v>36</v>
      </c>
      <c r="P342" s="11" t="n">
        <v>128</v>
      </c>
      <c r="Q342" s="13" t="s">
        <v>45</v>
      </c>
      <c r="R342" s="13" t="s">
        <v>46</v>
      </c>
      <c r="S342" s="11" t="n">
        <v>1130101</v>
      </c>
      <c r="T342" s="13" t="s">
        <v>47</v>
      </c>
      <c r="U342" s="14" t="n">
        <v>220.73</v>
      </c>
      <c r="W342" s="14" t="n">
        <v>0</v>
      </c>
      <c r="X342" s="13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373</v>
      </c>
      <c r="F343" s="11" t="n">
        <v>24</v>
      </c>
      <c r="G343" s="13" t="s">
        <v>42</v>
      </c>
      <c r="H343" s="11" t="n">
        <v>2110101</v>
      </c>
      <c r="I343" s="13" t="s">
        <v>43</v>
      </c>
      <c r="J343" s="11" t="n">
        <v>1221368</v>
      </c>
      <c r="L343" s="11" t="n">
        <v>1412294</v>
      </c>
      <c r="M343" s="13" t="s">
        <v>44</v>
      </c>
      <c r="N343" s="13" t="s">
        <v>36</v>
      </c>
      <c r="P343" s="11" t="n">
        <v>128</v>
      </c>
      <c r="Q343" s="13" t="s">
        <v>45</v>
      </c>
      <c r="R343" s="13" t="s">
        <v>46</v>
      </c>
      <c r="S343" s="11" t="n">
        <v>1130101</v>
      </c>
      <c r="T343" s="13" t="s">
        <v>47</v>
      </c>
      <c r="U343" s="14" t="n">
        <v>554.53</v>
      </c>
      <c r="W343" s="14" t="n">
        <v>0</v>
      </c>
      <c r="X343" s="13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278</v>
      </c>
      <c r="F344" s="11" t="n">
        <v>24</v>
      </c>
      <c r="G344" s="13" t="s">
        <v>42</v>
      </c>
      <c r="H344" s="11" t="n">
        <v>2110101</v>
      </c>
      <c r="I344" s="13" t="s">
        <v>43</v>
      </c>
      <c r="J344" s="11" t="n">
        <v>1221537</v>
      </c>
      <c r="L344" s="11" t="n">
        <v>57946</v>
      </c>
      <c r="M344" s="13" t="s">
        <v>44</v>
      </c>
      <c r="N344" s="13" t="s">
        <v>36</v>
      </c>
      <c r="P344" s="11" t="n">
        <v>128</v>
      </c>
      <c r="Q344" s="13" t="s">
        <v>45</v>
      </c>
      <c r="R344" s="13" t="s">
        <v>46</v>
      </c>
      <c r="S344" s="11" t="n">
        <v>1130101</v>
      </c>
      <c r="T344" s="13" t="s">
        <v>47</v>
      </c>
      <c r="U344" s="14" t="n">
        <v>1126.74</v>
      </c>
      <c r="W344" s="14" t="n">
        <v>0</v>
      </c>
      <c r="X344" s="13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DEFUMADA DF DISTRIBUIDORA DE F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49</v>
      </c>
      <c r="F345" s="11" t="n">
        <v>24</v>
      </c>
      <c r="G345" s="13" t="s">
        <v>42</v>
      </c>
      <c r="H345" s="11" t="n">
        <v>2110101</v>
      </c>
      <c r="I345" s="13" t="s">
        <v>43</v>
      </c>
      <c r="J345" s="11" t="n">
        <v>1222279</v>
      </c>
      <c r="L345" s="11" t="n">
        <v>31985341</v>
      </c>
      <c r="M345" s="13" t="s">
        <v>44</v>
      </c>
      <c r="N345" s="13" t="s">
        <v>36</v>
      </c>
      <c r="P345" s="11" t="n">
        <v>128</v>
      </c>
      <c r="Q345" s="13" t="s">
        <v>45</v>
      </c>
      <c r="R345" s="13" t="s">
        <v>46</v>
      </c>
      <c r="S345" s="11" t="n">
        <v>1130101</v>
      </c>
      <c r="T345" s="13" t="s">
        <v>47</v>
      </c>
      <c r="U345" s="14" t="n">
        <v>324.73</v>
      </c>
      <c r="W345" s="14" t="n">
        <v>0</v>
      </c>
      <c r="X345" s="13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465</v>
      </c>
      <c r="F346" s="11" t="n">
        <v>24</v>
      </c>
      <c r="G346" s="13" t="s">
        <v>42</v>
      </c>
      <c r="H346" s="11" t="n">
        <v>2110101</v>
      </c>
      <c r="I346" s="13" t="s">
        <v>43</v>
      </c>
      <c r="J346" s="11" t="n">
        <v>1227476</v>
      </c>
      <c r="L346" s="11" t="n">
        <v>757</v>
      </c>
      <c r="M346" s="13" t="s">
        <v>44</v>
      </c>
      <c r="N346" s="13" t="s">
        <v>69</v>
      </c>
      <c r="P346" s="11" t="n">
        <v>128</v>
      </c>
      <c r="Q346" s="13" t="s">
        <v>45</v>
      </c>
      <c r="R346" s="13" t="s">
        <v>46</v>
      </c>
      <c r="S346" s="11" t="n">
        <v>1130101</v>
      </c>
      <c r="T346" s="13" t="s">
        <v>47</v>
      </c>
      <c r="U346" s="14" t="n">
        <v>330</v>
      </c>
      <c r="W346" s="14" t="n">
        <v>0</v>
      </c>
      <c r="X346" s="13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125</v>
      </c>
      <c r="F347" s="11" t="n">
        <v>24</v>
      </c>
      <c r="G347" s="13" t="s">
        <v>42</v>
      </c>
      <c r="H347" s="11" t="n">
        <v>2110101</v>
      </c>
      <c r="I347" s="13" t="s">
        <v>43</v>
      </c>
      <c r="J347" s="11" t="n">
        <v>1231830</v>
      </c>
      <c r="L347" s="11" t="n">
        <v>2532041</v>
      </c>
      <c r="M347" s="13" t="s">
        <v>44</v>
      </c>
      <c r="N347" s="13" t="s">
        <v>36</v>
      </c>
      <c r="P347" s="11" t="n">
        <v>128</v>
      </c>
      <c r="Q347" s="13" t="s">
        <v>45</v>
      </c>
      <c r="R347" s="13" t="s">
        <v>46</v>
      </c>
      <c r="S347" s="11" t="n">
        <v>1130101</v>
      </c>
      <c r="T347" s="13" t="s">
        <v>47</v>
      </c>
      <c r="U347" s="14" t="n">
        <v>424</v>
      </c>
      <c r="W347" s="14" t="n">
        <v>0</v>
      </c>
      <c r="X347" s="13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78</v>
      </c>
      <c r="F348" s="11" t="n">
        <v>24</v>
      </c>
      <c r="G348" s="13" t="s">
        <v>42</v>
      </c>
      <c r="H348" s="11" t="n">
        <v>2110101</v>
      </c>
      <c r="I348" s="13" t="s">
        <v>43</v>
      </c>
      <c r="J348" s="11" t="n">
        <v>1254764</v>
      </c>
      <c r="L348" s="11" t="n">
        <v>50381533</v>
      </c>
      <c r="M348" s="13" t="s">
        <v>44</v>
      </c>
      <c r="N348" s="13" t="s">
        <v>36</v>
      </c>
      <c r="P348" s="11" t="n">
        <v>128</v>
      </c>
      <c r="Q348" s="13" t="s">
        <v>45</v>
      </c>
      <c r="R348" s="13" t="s">
        <v>46</v>
      </c>
      <c r="S348" s="11" t="n">
        <v>1130101</v>
      </c>
      <c r="T348" s="13" t="s">
        <v>47</v>
      </c>
      <c r="U348" s="14" t="n">
        <v>325.94</v>
      </c>
      <c r="W348" s="14" t="n">
        <v>0</v>
      </c>
      <c r="X348" s="13" t="s">
        <v>79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135</v>
      </c>
      <c r="F349" s="11" t="n">
        <v>24</v>
      </c>
      <c r="G349" s="13" t="s">
        <v>42</v>
      </c>
      <c r="H349" s="11" t="n">
        <v>2110101</v>
      </c>
      <c r="I349" s="13" t="s">
        <v>43</v>
      </c>
      <c r="J349" s="11" t="n">
        <v>1255101</v>
      </c>
      <c r="L349" s="11" t="n">
        <v>497</v>
      </c>
      <c r="M349" s="13" t="s">
        <v>44</v>
      </c>
      <c r="N349" s="13" t="s">
        <v>69</v>
      </c>
      <c r="P349" s="11" t="n">
        <v>128</v>
      </c>
      <c r="Q349" s="13" t="s">
        <v>45</v>
      </c>
      <c r="R349" s="13" t="s">
        <v>46</v>
      </c>
      <c r="S349" s="11" t="n">
        <v>1130101</v>
      </c>
      <c r="T349" s="13" t="s">
        <v>47</v>
      </c>
      <c r="U349" s="14" t="n">
        <v>360</v>
      </c>
      <c r="W349" s="14" t="n">
        <v>0</v>
      </c>
      <c r="X349" s="13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80</v>
      </c>
      <c r="F350" s="11" t="n">
        <v>13</v>
      </c>
      <c r="G350" s="13" t="s">
        <v>81</v>
      </c>
      <c r="H350" s="11" t="n">
        <v>2110101</v>
      </c>
      <c r="I350" s="13" t="s">
        <v>43</v>
      </c>
      <c r="J350" s="11" t="n">
        <v>1260352</v>
      </c>
      <c r="L350" s="11" t="n">
        <v>4278</v>
      </c>
      <c r="M350" s="13" t="s">
        <v>44</v>
      </c>
      <c r="N350" s="13" t="s">
        <v>69</v>
      </c>
      <c r="P350" s="11" t="n">
        <v>128</v>
      </c>
      <c r="Q350" s="13" t="s">
        <v>45</v>
      </c>
      <c r="R350" s="13" t="s">
        <v>46</v>
      </c>
      <c r="S350" s="11" t="n">
        <v>1130101</v>
      </c>
      <c r="T350" s="13" t="s">
        <v>47</v>
      </c>
      <c r="U350" s="14" t="n">
        <v>86</v>
      </c>
      <c r="W350" s="14" t="n">
        <v>86</v>
      </c>
      <c r="X350" s="13" t="s">
        <v>137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80</v>
      </c>
      <c r="F351" s="11" t="n">
        <v>13</v>
      </c>
      <c r="G351" s="13" t="s">
        <v>81</v>
      </c>
      <c r="H351" s="11" t="n">
        <v>2110101</v>
      </c>
      <c r="I351" s="13" t="s">
        <v>43</v>
      </c>
      <c r="J351" s="11" t="n">
        <v>1260804</v>
      </c>
      <c r="L351" s="11" t="n">
        <v>4279</v>
      </c>
      <c r="M351" s="13" t="s">
        <v>44</v>
      </c>
      <c r="N351" s="13" t="s">
        <v>69</v>
      </c>
      <c r="P351" s="11" t="n">
        <v>128</v>
      </c>
      <c r="Q351" s="13" t="s">
        <v>45</v>
      </c>
      <c r="R351" s="13" t="s">
        <v>46</v>
      </c>
      <c r="S351" s="11" t="n">
        <v>1130101</v>
      </c>
      <c r="T351" s="13" t="s">
        <v>47</v>
      </c>
      <c r="U351" s="14" t="n">
        <v>240</v>
      </c>
      <c r="W351" s="14" t="n">
        <v>240</v>
      </c>
      <c r="X351" s="13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120</v>
      </c>
      <c r="F352" s="11" t="n">
        <v>24</v>
      </c>
      <c r="G352" s="13" t="s">
        <v>42</v>
      </c>
      <c r="H352" s="11" t="n">
        <v>2110101</v>
      </c>
      <c r="I352" s="13" t="s">
        <v>43</v>
      </c>
      <c r="J352" s="11" t="n">
        <v>1261839</v>
      </c>
      <c r="L352" s="11" t="n">
        <v>17698</v>
      </c>
      <c r="M352" s="13" t="s">
        <v>44</v>
      </c>
      <c r="N352" s="13" t="s">
        <v>69</v>
      </c>
      <c r="P352" s="11" t="n">
        <v>128</v>
      </c>
      <c r="Q352" s="13" t="s">
        <v>45</v>
      </c>
      <c r="R352" s="13" t="s">
        <v>46</v>
      </c>
      <c r="S352" s="11" t="n">
        <v>1130101</v>
      </c>
      <c r="T352" s="13" t="s">
        <v>47</v>
      </c>
      <c r="U352" s="14" t="n">
        <v>312.4</v>
      </c>
      <c r="W352" s="14" t="n">
        <v>0</v>
      </c>
      <c r="X352" s="13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183</v>
      </c>
      <c r="F353" s="11" t="n">
        <v>13</v>
      </c>
      <c r="G353" s="13" t="s">
        <v>81</v>
      </c>
      <c r="H353" s="11" t="n">
        <v>2110101</v>
      </c>
      <c r="I353" s="13" t="s">
        <v>43</v>
      </c>
      <c r="J353" s="11" t="n">
        <v>1264909</v>
      </c>
      <c r="L353" s="11" t="n">
        <v>291</v>
      </c>
      <c r="M353" s="13" t="s">
        <v>44</v>
      </c>
      <c r="N353" s="13" t="s">
        <v>69</v>
      </c>
      <c r="P353" s="11" t="n">
        <v>128</v>
      </c>
      <c r="Q353" s="13" t="s">
        <v>45</v>
      </c>
      <c r="R353" s="13" t="s">
        <v>46</v>
      </c>
      <c r="S353" s="11" t="n">
        <v>1130101</v>
      </c>
      <c r="T353" s="13" t="s">
        <v>47</v>
      </c>
      <c r="U353" s="14" t="n">
        <v>489.3</v>
      </c>
      <c r="W353" s="14" t="n">
        <v>489.3</v>
      </c>
      <c r="X353" s="13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471</v>
      </c>
      <c r="F354" s="11" t="n">
        <v>34</v>
      </c>
      <c r="G354" s="13" t="s">
        <v>33</v>
      </c>
      <c r="H354" s="11" t="n">
        <v>2110405</v>
      </c>
      <c r="I354" s="13" t="s">
        <v>34</v>
      </c>
      <c r="J354" s="11" t="n">
        <v>1274059</v>
      </c>
      <c r="L354" s="11" t="n">
        <v>199309</v>
      </c>
      <c r="M354" s="13" t="s">
        <v>44</v>
      </c>
      <c r="N354" s="13" t="s">
        <v>36</v>
      </c>
      <c r="P354" s="11" t="n">
        <v>102</v>
      </c>
      <c r="Q354" s="13" t="s">
        <v>186</v>
      </c>
      <c r="R354" s="13" t="s">
        <v>38</v>
      </c>
      <c r="S354" s="11" t="n">
        <v>4210227</v>
      </c>
      <c r="T354" s="13" t="s">
        <v>196</v>
      </c>
      <c r="U354" s="14" t="n">
        <v>243.35</v>
      </c>
      <c r="W354" s="14" t="n">
        <v>0</v>
      </c>
      <c r="X354" s="13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84</v>
      </c>
      <c r="F355" s="11" t="n">
        <v>24</v>
      </c>
      <c r="G355" s="13" t="s">
        <v>42</v>
      </c>
      <c r="H355" s="11" t="n">
        <v>2110101</v>
      </c>
      <c r="I355" s="13" t="s">
        <v>43</v>
      </c>
      <c r="J355" s="11" t="n">
        <v>1274099</v>
      </c>
      <c r="L355" s="11" t="n">
        <v>199317</v>
      </c>
      <c r="M355" s="13" t="s">
        <v>44</v>
      </c>
      <c r="N355" s="13" t="s">
        <v>36</v>
      </c>
      <c r="P355" s="11" t="n">
        <v>102</v>
      </c>
      <c r="Q355" s="13" t="s">
        <v>186</v>
      </c>
      <c r="R355" s="13" t="s">
        <v>46</v>
      </c>
      <c r="S355" s="11" t="n">
        <v>1130101</v>
      </c>
      <c r="T355" s="13" t="s">
        <v>47</v>
      </c>
      <c r="U355" s="14" t="n">
        <v>95.62</v>
      </c>
      <c r="W355" s="14" t="n">
        <v>0</v>
      </c>
      <c r="X355" s="13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113</v>
      </c>
      <c r="F356" s="11" t="n">
        <v>24</v>
      </c>
      <c r="G356" s="13" t="s">
        <v>42</v>
      </c>
      <c r="H356" s="11" t="n">
        <v>2110101</v>
      </c>
      <c r="I356" s="13" t="s">
        <v>43</v>
      </c>
      <c r="J356" s="11" t="n">
        <v>1196417</v>
      </c>
      <c r="L356" s="11" t="n">
        <v>2126411</v>
      </c>
      <c r="M356" s="13" t="s">
        <v>44</v>
      </c>
      <c r="N356" s="13" t="s">
        <v>36</v>
      </c>
      <c r="P356" s="11" t="n">
        <v>128</v>
      </c>
      <c r="Q356" s="13" t="s">
        <v>45</v>
      </c>
      <c r="R356" s="13" t="s">
        <v>46</v>
      </c>
      <c r="S356" s="11" t="n">
        <v>1130101</v>
      </c>
      <c r="T356" s="13" t="s">
        <v>47</v>
      </c>
      <c r="U356" s="14" t="n">
        <v>458.31</v>
      </c>
      <c r="W356" s="14" t="n">
        <v>0</v>
      </c>
      <c r="X356" s="13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170</v>
      </c>
      <c r="F357" s="11" t="n">
        <v>24</v>
      </c>
      <c r="G357" s="13" t="s">
        <v>42</v>
      </c>
      <c r="H357" s="11" t="n">
        <v>2110101</v>
      </c>
      <c r="I357" s="13" t="s">
        <v>43</v>
      </c>
      <c r="J357" s="11" t="n">
        <v>1196463</v>
      </c>
      <c r="L357" s="11" t="n">
        <v>12326071</v>
      </c>
      <c r="M357" s="13" t="s">
        <v>44</v>
      </c>
      <c r="N357" s="13" t="s">
        <v>36</v>
      </c>
      <c r="P357" s="11" t="n">
        <v>128</v>
      </c>
      <c r="Q357" s="13" t="s">
        <v>45</v>
      </c>
      <c r="R357" s="13" t="s">
        <v>46</v>
      </c>
      <c r="S357" s="11" t="n">
        <v>1130101</v>
      </c>
      <c r="T357" s="13" t="s">
        <v>47</v>
      </c>
      <c r="U357" s="14" t="n">
        <v>742.94</v>
      </c>
      <c r="W357" s="14" t="n">
        <v>0</v>
      </c>
      <c r="X357" s="13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174</v>
      </c>
      <c r="F358" s="11" t="n">
        <v>24</v>
      </c>
      <c r="G358" s="13" t="s">
        <v>42</v>
      </c>
      <c r="H358" s="11" t="n">
        <v>2110101</v>
      </c>
      <c r="I358" s="13" t="s">
        <v>43</v>
      </c>
      <c r="J358" s="11" t="n">
        <v>1151630</v>
      </c>
      <c r="L358" s="11" t="n">
        <v>118063</v>
      </c>
      <c r="M358" s="13" t="s">
        <v>44</v>
      </c>
      <c r="N358" s="13" t="s">
        <v>36</v>
      </c>
      <c r="P358" s="11" t="n">
        <v>128</v>
      </c>
      <c r="Q358" s="13" t="s">
        <v>45</v>
      </c>
      <c r="R358" s="13" t="s">
        <v>46</v>
      </c>
      <c r="S358" s="11" t="n">
        <v>1130101</v>
      </c>
      <c r="T358" s="13" t="s">
        <v>47</v>
      </c>
      <c r="U358" s="14" t="n">
        <v>732.69</v>
      </c>
      <c r="W358" s="14" t="n">
        <v>0</v>
      </c>
      <c r="X358" s="13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339</v>
      </c>
      <c r="F359" s="11" t="n">
        <v>24</v>
      </c>
      <c r="G359" s="13" t="s">
        <v>42</v>
      </c>
      <c r="H359" s="11" t="n">
        <v>2110101</v>
      </c>
      <c r="I359" s="13" t="s">
        <v>43</v>
      </c>
      <c r="J359" s="11" t="n">
        <v>1196756</v>
      </c>
      <c r="L359" s="11" t="n">
        <v>264832</v>
      </c>
      <c r="M359" s="13" t="s">
        <v>44</v>
      </c>
      <c r="N359" s="13" t="s">
        <v>36</v>
      </c>
      <c r="P359" s="11" t="n">
        <v>128</v>
      </c>
      <c r="Q359" s="13" t="s">
        <v>45</v>
      </c>
      <c r="R359" s="13" t="s">
        <v>46</v>
      </c>
      <c r="S359" s="11" t="n">
        <v>1130101</v>
      </c>
      <c r="T359" s="13" t="s">
        <v>47</v>
      </c>
      <c r="U359" s="14" t="n">
        <v>601.57</v>
      </c>
      <c r="W359" s="14" t="n">
        <v>0</v>
      </c>
      <c r="X359" s="13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125</v>
      </c>
      <c r="F360" s="11" t="n">
        <v>24</v>
      </c>
      <c r="G360" s="13" t="s">
        <v>42</v>
      </c>
      <c r="H360" s="11" t="n">
        <v>2110101</v>
      </c>
      <c r="I360" s="13" t="s">
        <v>43</v>
      </c>
      <c r="J360" s="11" t="n">
        <v>1198160</v>
      </c>
      <c r="L360" s="11" t="n">
        <v>252736</v>
      </c>
      <c r="M360" s="13" t="s">
        <v>44</v>
      </c>
      <c r="N360" s="13" t="s">
        <v>36</v>
      </c>
      <c r="P360" s="11" t="n">
        <v>128</v>
      </c>
      <c r="Q360" s="13" t="s">
        <v>45</v>
      </c>
      <c r="R360" s="13" t="s">
        <v>46</v>
      </c>
      <c r="S360" s="11" t="n">
        <v>1130101</v>
      </c>
      <c r="T360" s="13" t="s">
        <v>47</v>
      </c>
      <c r="U360" s="14" t="n">
        <v>510.86</v>
      </c>
      <c r="W360" s="14" t="n">
        <v>0</v>
      </c>
      <c r="X360" s="13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76</v>
      </c>
      <c r="F361" s="11" t="n">
        <v>24</v>
      </c>
      <c r="G361" s="13" t="s">
        <v>42</v>
      </c>
      <c r="H361" s="11" t="n">
        <v>2110101</v>
      </c>
      <c r="I361" s="13" t="s">
        <v>43</v>
      </c>
      <c r="J361" s="11" t="n">
        <v>1223204</v>
      </c>
      <c r="L361" s="11" t="n">
        <v>52629</v>
      </c>
      <c r="M361" s="13" t="s">
        <v>44</v>
      </c>
      <c r="N361" s="13" t="s">
        <v>36</v>
      </c>
      <c r="P361" s="11" t="n">
        <v>128</v>
      </c>
      <c r="Q361" s="13" t="s">
        <v>45</v>
      </c>
      <c r="R361" s="13" t="s">
        <v>46</v>
      </c>
      <c r="S361" s="11" t="n">
        <v>1130101</v>
      </c>
      <c r="T361" s="13" t="s">
        <v>47</v>
      </c>
      <c r="U361" s="14" t="n">
        <v>8627.3</v>
      </c>
      <c r="W361" s="14" t="n">
        <v>0</v>
      </c>
      <c r="X361" s="13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80</v>
      </c>
      <c r="F362" s="11" t="n">
        <v>34</v>
      </c>
      <c r="G362" s="13" t="s">
        <v>33</v>
      </c>
      <c r="H362" s="11" t="n">
        <v>2110101</v>
      </c>
      <c r="I362" s="13" t="s">
        <v>43</v>
      </c>
      <c r="J362" s="11" t="n">
        <v>1227035</v>
      </c>
      <c r="L362" s="11" t="n">
        <v>4252</v>
      </c>
      <c r="M362" s="13" t="s">
        <v>44</v>
      </c>
      <c r="N362" s="13" t="s">
        <v>69</v>
      </c>
      <c r="P362" s="11" t="n">
        <v>128</v>
      </c>
      <c r="Q362" s="13" t="s">
        <v>45</v>
      </c>
      <c r="R362" s="13" t="s">
        <v>46</v>
      </c>
      <c r="S362" s="11" t="n">
        <v>1130101</v>
      </c>
      <c r="T362" s="13" t="s">
        <v>47</v>
      </c>
      <c r="U362" s="14" t="n">
        <v>260</v>
      </c>
      <c r="W362" s="14" t="n">
        <v>0</v>
      </c>
      <c r="X362" s="13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181</v>
      </c>
      <c r="F363" s="11" t="n">
        <v>34</v>
      </c>
      <c r="G363" s="13" t="s">
        <v>33</v>
      </c>
      <c r="H363" s="11" t="n">
        <v>2110101</v>
      </c>
      <c r="I363" s="13" t="s">
        <v>43</v>
      </c>
      <c r="J363" s="11" t="n">
        <v>1227376</v>
      </c>
      <c r="L363" s="11" t="n">
        <v>192129</v>
      </c>
      <c r="M363" s="13" t="s">
        <v>44</v>
      </c>
      <c r="N363" s="13" t="s">
        <v>36</v>
      </c>
      <c r="P363" s="11" t="n">
        <v>128</v>
      </c>
      <c r="Q363" s="13" t="s">
        <v>45</v>
      </c>
      <c r="R363" s="13" t="s">
        <v>46</v>
      </c>
      <c r="S363" s="11" t="n">
        <v>1130101</v>
      </c>
      <c r="T363" s="13" t="s">
        <v>47</v>
      </c>
      <c r="U363" s="14" t="n">
        <v>200</v>
      </c>
      <c r="W363" s="14" t="n">
        <v>0</v>
      </c>
      <c r="X363" s="13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181</v>
      </c>
      <c r="F364" s="11" t="n">
        <v>2</v>
      </c>
      <c r="G364" s="13" t="s">
        <v>482</v>
      </c>
      <c r="H364" s="11" t="n">
        <v>2110405</v>
      </c>
      <c r="I364" s="13" t="s">
        <v>34</v>
      </c>
      <c r="J364" s="11" t="n">
        <v>1227464</v>
      </c>
      <c r="L364" s="11" t="n">
        <v>192146</v>
      </c>
      <c r="M364" s="13" t="s">
        <v>44</v>
      </c>
      <c r="N364" s="13" t="s">
        <v>36</v>
      </c>
      <c r="P364" s="11" t="n">
        <v>128</v>
      </c>
      <c r="Q364" s="13" t="s">
        <v>45</v>
      </c>
      <c r="R364" s="13" t="s">
        <v>38</v>
      </c>
      <c r="S364" s="11" t="n">
        <v>4210227</v>
      </c>
      <c r="T364" s="13" t="s">
        <v>196</v>
      </c>
      <c r="U364" s="14" t="n">
        <v>63.92</v>
      </c>
      <c r="W364" s="14" t="n">
        <v>0</v>
      </c>
      <c r="X364" s="13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181</v>
      </c>
      <c r="F365" s="11" t="n">
        <v>2</v>
      </c>
      <c r="G365" s="13" t="s">
        <v>482</v>
      </c>
      <c r="H365" s="11" t="n">
        <v>2110405</v>
      </c>
      <c r="I365" s="13" t="s">
        <v>34</v>
      </c>
      <c r="J365" s="11" t="n">
        <v>1227468</v>
      </c>
      <c r="L365" s="11" t="n">
        <v>192147</v>
      </c>
      <c r="M365" s="13" t="s">
        <v>44</v>
      </c>
      <c r="N365" s="13" t="s">
        <v>36</v>
      </c>
      <c r="P365" s="11" t="n">
        <v>128</v>
      </c>
      <c r="Q365" s="13" t="s">
        <v>45</v>
      </c>
      <c r="R365" s="13" t="s">
        <v>38</v>
      </c>
      <c r="S365" s="11" t="n">
        <v>4210227</v>
      </c>
      <c r="T365" s="13" t="s">
        <v>196</v>
      </c>
      <c r="U365" s="14" t="n">
        <v>52</v>
      </c>
      <c r="W365" s="14" t="n">
        <v>0</v>
      </c>
      <c r="X365" s="13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181</v>
      </c>
      <c r="F366" s="11" t="n">
        <v>2</v>
      </c>
      <c r="G366" s="13" t="s">
        <v>482</v>
      </c>
      <c r="H366" s="11" t="n">
        <v>2110405</v>
      </c>
      <c r="I366" s="13" t="s">
        <v>34</v>
      </c>
      <c r="J366" s="11" t="n">
        <v>1227470</v>
      </c>
      <c r="L366" s="11" t="n">
        <v>192149</v>
      </c>
      <c r="M366" s="13" t="s">
        <v>44</v>
      </c>
      <c r="N366" s="13" t="s">
        <v>36</v>
      </c>
      <c r="P366" s="11" t="n">
        <v>128</v>
      </c>
      <c r="Q366" s="13" t="s">
        <v>45</v>
      </c>
      <c r="R366" s="13" t="s">
        <v>38</v>
      </c>
      <c r="S366" s="11" t="n">
        <v>4210227</v>
      </c>
      <c r="T366" s="13" t="s">
        <v>196</v>
      </c>
      <c r="U366" s="14" t="n">
        <v>97.93</v>
      </c>
      <c r="W366" s="14" t="n">
        <v>0</v>
      </c>
      <c r="X366" s="13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80</v>
      </c>
      <c r="F367" s="11" t="n">
        <v>13</v>
      </c>
      <c r="G367" s="13" t="s">
        <v>81</v>
      </c>
      <c r="H367" s="11" t="n">
        <v>2110101</v>
      </c>
      <c r="I367" s="13" t="s">
        <v>43</v>
      </c>
      <c r="J367" s="11" t="n">
        <v>1265526</v>
      </c>
      <c r="L367" s="11" t="n">
        <v>4282</v>
      </c>
      <c r="M367" s="13" t="s">
        <v>44</v>
      </c>
      <c r="N367" s="13" t="s">
        <v>69</v>
      </c>
      <c r="P367" s="11" t="n">
        <v>128</v>
      </c>
      <c r="Q367" s="13" t="s">
        <v>45</v>
      </c>
      <c r="R367" s="13" t="s">
        <v>46</v>
      </c>
      <c r="S367" s="11" t="n">
        <v>1130101</v>
      </c>
      <c r="T367" s="13" t="s">
        <v>47</v>
      </c>
      <c r="U367" s="14" t="n">
        <v>181</v>
      </c>
      <c r="W367" s="14" t="n">
        <v>181</v>
      </c>
      <c r="X367" s="13" t="s">
        <v>137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/>
      <c r="AC367" s="1"/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80</v>
      </c>
      <c r="F368" s="11" t="n">
        <v>34</v>
      </c>
      <c r="G368" s="13" t="s">
        <v>33</v>
      </c>
      <c r="H368" s="11" t="n">
        <v>2110101</v>
      </c>
      <c r="I368" s="13" t="s">
        <v>43</v>
      </c>
      <c r="J368" s="11" t="n">
        <v>1241320</v>
      </c>
      <c r="L368" s="11" t="n">
        <v>4263</v>
      </c>
      <c r="M368" s="13" t="s">
        <v>44</v>
      </c>
      <c r="N368" s="13" t="s">
        <v>69</v>
      </c>
      <c r="P368" s="11" t="n">
        <v>128</v>
      </c>
      <c r="Q368" s="13" t="s">
        <v>45</v>
      </c>
      <c r="R368" s="13" t="s">
        <v>46</v>
      </c>
      <c r="S368" s="11" t="n">
        <v>1130101</v>
      </c>
      <c r="T368" s="13" t="s">
        <v>47</v>
      </c>
      <c r="U368" s="14" t="n">
        <v>3014.5</v>
      </c>
      <c r="W368" s="14" t="n">
        <v>0</v>
      </c>
      <c r="X368" s="13" t="s">
        <v>129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130</v>
      </c>
      <c r="F369" s="11" t="n">
        <v>34</v>
      </c>
      <c r="G369" s="13" t="s">
        <v>33</v>
      </c>
      <c r="H369" s="11" t="n">
        <v>2110101</v>
      </c>
      <c r="I369" s="13" t="s">
        <v>43</v>
      </c>
      <c r="J369" s="11" t="n">
        <v>1241326</v>
      </c>
      <c r="L369" s="11" t="n">
        <v>14672</v>
      </c>
      <c r="M369" s="13" t="s">
        <v>44</v>
      </c>
      <c r="N369" s="13" t="s">
        <v>69</v>
      </c>
      <c r="P369" s="11" t="n">
        <v>128</v>
      </c>
      <c r="Q369" s="13" t="s">
        <v>45</v>
      </c>
      <c r="R369" s="13" t="s">
        <v>46</v>
      </c>
      <c r="S369" s="11" t="n">
        <v>1130101</v>
      </c>
      <c r="T369" s="13" t="s">
        <v>47</v>
      </c>
      <c r="U369" s="14" t="n">
        <v>670</v>
      </c>
      <c r="W369" s="14" t="n">
        <v>0</v>
      </c>
      <c r="X369" s="13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130</v>
      </c>
      <c r="F370" s="11" t="n">
        <v>34</v>
      </c>
      <c r="G370" s="13" t="s">
        <v>33</v>
      </c>
      <c r="H370" s="11" t="n">
        <v>2110101</v>
      </c>
      <c r="I370" s="13" t="s">
        <v>43</v>
      </c>
      <c r="J370" s="11" t="n">
        <v>1241339</v>
      </c>
      <c r="L370" s="11" t="n">
        <v>194163</v>
      </c>
      <c r="M370" s="13" t="s">
        <v>44</v>
      </c>
      <c r="N370" s="13" t="s">
        <v>36</v>
      </c>
      <c r="P370" s="11" t="n">
        <v>128</v>
      </c>
      <c r="Q370" s="13" t="s">
        <v>45</v>
      </c>
      <c r="R370" s="13" t="s">
        <v>46</v>
      </c>
      <c r="S370" s="11" t="n">
        <v>1130101</v>
      </c>
      <c r="T370" s="13" t="s">
        <v>47</v>
      </c>
      <c r="U370" s="14" t="n">
        <v>190</v>
      </c>
      <c r="W370" s="14" t="n">
        <v>0</v>
      </c>
      <c r="X370" s="13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105</v>
      </c>
      <c r="F371" s="11" t="n">
        <v>2</v>
      </c>
      <c r="G371" s="13" t="s">
        <v>482</v>
      </c>
      <c r="H371" s="11" t="n">
        <v>2110405</v>
      </c>
      <c r="I371" s="13" t="s">
        <v>34</v>
      </c>
      <c r="J371" s="11" t="n">
        <v>1274598</v>
      </c>
      <c r="L371" s="11" t="n">
        <v>199407</v>
      </c>
      <c r="M371" s="13" t="s">
        <v>44</v>
      </c>
      <c r="N371" s="13" t="s">
        <v>36</v>
      </c>
      <c r="P371" s="11" t="n">
        <v>102</v>
      </c>
      <c r="Q371" s="13" t="s">
        <v>186</v>
      </c>
      <c r="R371" s="13" t="s">
        <v>85</v>
      </c>
      <c r="S371" s="11" t="n">
        <v>4210506</v>
      </c>
      <c r="T371" s="13" t="s">
        <v>486</v>
      </c>
      <c r="U371" s="14" t="n">
        <v>18.75</v>
      </c>
      <c r="W371" s="14" t="n">
        <v>0</v>
      </c>
      <c r="X371" s="13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105</v>
      </c>
      <c r="F372" s="11" t="n">
        <v>34</v>
      </c>
      <c r="G372" s="13" t="s">
        <v>33</v>
      </c>
      <c r="H372" s="11" t="n">
        <v>2110405</v>
      </c>
      <c r="I372" s="13" t="s">
        <v>34</v>
      </c>
      <c r="J372" s="11" t="n">
        <v>1279625</v>
      </c>
      <c r="L372" s="11" t="n">
        <v>199883</v>
      </c>
      <c r="M372" s="13" t="s">
        <v>44</v>
      </c>
      <c r="N372" s="13" t="s">
        <v>36</v>
      </c>
      <c r="P372" s="11" t="n">
        <v>102</v>
      </c>
      <c r="Q372" s="13" t="s">
        <v>186</v>
      </c>
      <c r="R372" s="13" t="s">
        <v>85</v>
      </c>
      <c r="S372" s="11" t="n">
        <v>4210504</v>
      </c>
      <c r="T372" s="13" t="s">
        <v>142</v>
      </c>
      <c r="U372" s="14" t="n">
        <v>3206.14</v>
      </c>
      <c r="W372" s="14" t="n">
        <v>0</v>
      </c>
      <c r="X372" s="13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84</v>
      </c>
      <c r="F373" s="11" t="n">
        <v>24</v>
      </c>
      <c r="G373" s="13" t="s">
        <v>42</v>
      </c>
      <c r="H373" s="11" t="n">
        <v>2110101</v>
      </c>
      <c r="I373" s="13" t="s">
        <v>43</v>
      </c>
      <c r="J373" s="11" t="n">
        <v>1279656</v>
      </c>
      <c r="L373" s="11" t="n">
        <v>199887</v>
      </c>
      <c r="M373" s="13" t="s">
        <v>44</v>
      </c>
      <c r="N373" s="13" t="s">
        <v>36</v>
      </c>
      <c r="P373" s="11" t="n">
        <v>102</v>
      </c>
      <c r="Q373" s="13" t="s">
        <v>186</v>
      </c>
      <c r="R373" s="13" t="s">
        <v>46</v>
      </c>
      <c r="S373" s="11" t="n">
        <v>1130101</v>
      </c>
      <c r="T373" s="13" t="s">
        <v>47</v>
      </c>
      <c r="U373" s="14" t="n">
        <v>80.92</v>
      </c>
      <c r="W373" s="14" t="n">
        <v>0</v>
      </c>
      <c r="X373" s="13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105</v>
      </c>
      <c r="F374" s="11" t="n">
        <v>34</v>
      </c>
      <c r="G374" s="13" t="s">
        <v>33</v>
      </c>
      <c r="H374" s="11" t="n">
        <v>2110405</v>
      </c>
      <c r="I374" s="13" t="s">
        <v>34</v>
      </c>
      <c r="J374" s="11" t="n">
        <v>818253</v>
      </c>
      <c r="L374" s="11" t="n">
        <v>129421</v>
      </c>
      <c r="M374" s="13" t="s">
        <v>35</v>
      </c>
      <c r="N374" s="13" t="s">
        <v>36</v>
      </c>
      <c r="P374" s="11" t="n">
        <v>102</v>
      </c>
      <c r="Q374" s="13" t="s">
        <v>186</v>
      </c>
      <c r="R374" s="13" t="s">
        <v>139</v>
      </c>
      <c r="S374" s="11" t="n">
        <v>2110901</v>
      </c>
      <c r="T374" s="13" t="s">
        <v>140</v>
      </c>
      <c r="U374" s="14" t="n">
        <v>2090.82</v>
      </c>
      <c r="W374" s="14" t="n">
        <v>0</v>
      </c>
      <c r="X374" s="13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152</v>
      </c>
      <c r="F375" s="11" t="n">
        <v>24</v>
      </c>
      <c r="G375" s="13" t="s">
        <v>42</v>
      </c>
      <c r="H375" s="11" t="n">
        <v>2110101</v>
      </c>
      <c r="I375" s="13" t="s">
        <v>43</v>
      </c>
      <c r="J375" s="11" t="n">
        <v>1092650</v>
      </c>
      <c r="L375" s="11" t="n">
        <v>7792</v>
      </c>
      <c r="M375" s="13" t="s">
        <v>244</v>
      </c>
      <c r="N375" s="13" t="s">
        <v>69</v>
      </c>
      <c r="P375" s="11" t="n">
        <v>129</v>
      </c>
      <c r="Q375" s="13" t="s">
        <v>102</v>
      </c>
      <c r="R375" s="13" t="s">
        <v>46</v>
      </c>
      <c r="S375" s="11" t="n">
        <v>1130101</v>
      </c>
      <c r="T375" s="13" t="s">
        <v>47</v>
      </c>
      <c r="U375" s="14" t="n">
        <v>350.3</v>
      </c>
      <c r="W375" s="14" t="n">
        <v>0</v>
      </c>
      <c r="X375" s="13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165</v>
      </c>
      <c r="F376" s="11" t="n">
        <v>24</v>
      </c>
      <c r="G376" s="13" t="s">
        <v>42</v>
      </c>
      <c r="H376" s="11" t="n">
        <v>2110101</v>
      </c>
      <c r="I376" s="13" t="s">
        <v>43</v>
      </c>
      <c r="J376" s="11" t="n">
        <v>1127485</v>
      </c>
      <c r="L376" s="11" t="n">
        <v>4055343</v>
      </c>
      <c r="M376" s="13" t="s">
        <v>44</v>
      </c>
      <c r="N376" s="13" t="s">
        <v>36</v>
      </c>
      <c r="P376" s="11" t="n">
        <v>128</v>
      </c>
      <c r="Q376" s="13" t="s">
        <v>45</v>
      </c>
      <c r="R376" s="13" t="s">
        <v>46</v>
      </c>
      <c r="S376" s="11" t="n">
        <v>1130101</v>
      </c>
      <c r="T376" s="13" t="s">
        <v>47</v>
      </c>
      <c r="U376" s="14" t="n">
        <v>236.31</v>
      </c>
      <c r="W376" s="14" t="n">
        <v>0</v>
      </c>
      <c r="X376" s="13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nao encontrado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359</v>
      </c>
      <c r="F377" s="11" t="n">
        <v>24</v>
      </c>
      <c r="G377" s="13" t="s">
        <v>42</v>
      </c>
      <c r="H377" s="11" t="n">
        <v>2110101</v>
      </c>
      <c r="I377" s="13" t="s">
        <v>43</v>
      </c>
      <c r="J377" s="11" t="n">
        <v>1128072</v>
      </c>
      <c r="L377" s="11" t="n">
        <v>21042</v>
      </c>
      <c r="M377" s="13" t="s">
        <v>44</v>
      </c>
      <c r="N377" s="13" t="s">
        <v>36</v>
      </c>
      <c r="P377" s="11" t="n">
        <v>128</v>
      </c>
      <c r="Q377" s="13" t="s">
        <v>45</v>
      </c>
      <c r="R377" s="13" t="s">
        <v>46</v>
      </c>
      <c r="S377" s="11" t="n">
        <v>1130101</v>
      </c>
      <c r="T377" s="13" t="s">
        <v>47</v>
      </c>
      <c r="U377" s="14" t="n">
        <v>670.83</v>
      </c>
      <c r="W377" s="14" t="n">
        <v>0</v>
      </c>
      <c r="X377" s="13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nao encontrado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170</v>
      </c>
      <c r="F378" s="11" t="n">
        <v>24</v>
      </c>
      <c r="G378" s="13" t="s">
        <v>42</v>
      </c>
      <c r="H378" s="11" t="n">
        <v>2110101</v>
      </c>
      <c r="I378" s="13" t="s">
        <v>43</v>
      </c>
      <c r="J378" s="11" t="n">
        <v>1128581</v>
      </c>
      <c r="L378" s="11" t="n">
        <v>12285633</v>
      </c>
      <c r="M378" s="13" t="s">
        <v>44</v>
      </c>
      <c r="N378" s="13" t="s">
        <v>36</v>
      </c>
      <c r="P378" s="11" t="n">
        <v>128</v>
      </c>
      <c r="Q378" s="13" t="s">
        <v>45</v>
      </c>
      <c r="R378" s="13" t="s">
        <v>46</v>
      </c>
      <c r="S378" s="11" t="n">
        <v>1130101</v>
      </c>
      <c r="T378" s="13" t="s">
        <v>47</v>
      </c>
      <c r="U378" s="14" t="n">
        <v>1199.1</v>
      </c>
      <c r="W378" s="14" t="n">
        <v>0</v>
      </c>
      <c r="X378" s="13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nao encontrado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163</v>
      </c>
      <c r="F379" s="11" t="n">
        <v>24</v>
      </c>
      <c r="G379" s="13" t="s">
        <v>42</v>
      </c>
      <c r="H379" s="11" t="n">
        <v>2110101</v>
      </c>
      <c r="I379" s="13" t="s">
        <v>43</v>
      </c>
      <c r="J379" s="11" t="n">
        <v>1131752</v>
      </c>
      <c r="L379" s="11" t="n">
        <v>4910422</v>
      </c>
      <c r="M379" s="13" t="s">
        <v>44</v>
      </c>
      <c r="N379" s="13" t="s">
        <v>36</v>
      </c>
      <c r="P379" s="11" t="n">
        <v>128</v>
      </c>
      <c r="Q379" s="13" t="s">
        <v>45</v>
      </c>
      <c r="R379" s="13" t="s">
        <v>46</v>
      </c>
      <c r="S379" s="11" t="n">
        <v>1130101</v>
      </c>
      <c r="T379" s="13" t="s">
        <v>47</v>
      </c>
      <c r="U379" s="14" t="n">
        <v>750.73</v>
      </c>
      <c r="W379" s="14" t="n">
        <v>0</v>
      </c>
      <c r="X379" s="13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41</v>
      </c>
      <c r="F380" s="11" t="n">
        <v>24</v>
      </c>
      <c r="G380" s="13" t="s">
        <v>42</v>
      </c>
      <c r="H380" s="11" t="n">
        <v>2110101</v>
      </c>
      <c r="I380" s="13" t="s">
        <v>43</v>
      </c>
      <c r="J380" s="11" t="n">
        <v>1157640</v>
      </c>
      <c r="L380" s="11" t="n">
        <v>16619113</v>
      </c>
      <c r="M380" s="13" t="s">
        <v>44</v>
      </c>
      <c r="N380" s="13" t="s">
        <v>36</v>
      </c>
      <c r="P380" s="11" t="n">
        <v>128</v>
      </c>
      <c r="Q380" s="13" t="s">
        <v>45</v>
      </c>
      <c r="R380" s="13" t="s">
        <v>46</v>
      </c>
      <c r="S380" s="11" t="n">
        <v>1130101</v>
      </c>
      <c r="T380" s="13" t="s">
        <v>47</v>
      </c>
      <c r="U380" s="14" t="n">
        <v>236.72</v>
      </c>
      <c r="W380" s="14" t="n">
        <v>0</v>
      </c>
      <c r="X380" s="13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497</v>
      </c>
      <c r="F381" s="11" t="n">
        <v>24</v>
      </c>
      <c r="G381" s="13" t="s">
        <v>42</v>
      </c>
      <c r="H381" s="11" t="n">
        <v>2110101</v>
      </c>
      <c r="I381" s="13" t="s">
        <v>43</v>
      </c>
      <c r="J381" s="11" t="n">
        <v>1160697</v>
      </c>
      <c r="L381" s="11" t="n">
        <v>1898651</v>
      </c>
      <c r="M381" s="13" t="s">
        <v>44</v>
      </c>
      <c r="N381" s="13" t="s">
        <v>36</v>
      </c>
      <c r="P381" s="11" t="n">
        <v>128</v>
      </c>
      <c r="Q381" s="13" t="s">
        <v>45</v>
      </c>
      <c r="R381" s="13" t="s">
        <v>46</v>
      </c>
      <c r="S381" s="11" t="n">
        <v>1130101</v>
      </c>
      <c r="T381" s="13" t="s">
        <v>47</v>
      </c>
      <c r="U381" s="14" t="n">
        <v>406.15</v>
      </c>
      <c r="W381" s="14" t="n">
        <v>0</v>
      </c>
      <c r="X381" s="13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499</v>
      </c>
      <c r="F382" s="11" t="n">
        <v>24</v>
      </c>
      <c r="G382" s="13" t="s">
        <v>42</v>
      </c>
      <c r="H382" s="11" t="n">
        <v>2110101</v>
      </c>
      <c r="I382" s="13" t="s">
        <v>43</v>
      </c>
      <c r="J382" s="11" t="n">
        <v>1160736</v>
      </c>
      <c r="L382" s="11" t="n">
        <v>5051</v>
      </c>
      <c r="M382" s="13" t="s">
        <v>44</v>
      </c>
      <c r="N382" s="13" t="s">
        <v>36</v>
      </c>
      <c r="P382" s="11" t="n">
        <v>128</v>
      </c>
      <c r="Q382" s="13" t="s">
        <v>45</v>
      </c>
      <c r="R382" s="13" t="s">
        <v>46</v>
      </c>
      <c r="S382" s="11" t="n">
        <v>1130101</v>
      </c>
      <c r="T382" s="13" t="s">
        <v>47</v>
      </c>
      <c r="U382" s="14" t="n">
        <v>531.1</v>
      </c>
      <c r="W382" s="14" t="n">
        <v>0</v>
      </c>
      <c r="X382" s="13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BLOOM 600G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125</v>
      </c>
      <c r="F383" s="11" t="n">
        <v>24</v>
      </c>
      <c r="G383" s="13" t="s">
        <v>42</v>
      </c>
      <c r="H383" s="11" t="n">
        <v>2110101</v>
      </c>
      <c r="I383" s="13" t="s">
        <v>43</v>
      </c>
      <c r="J383" s="11" t="n">
        <v>1162340</v>
      </c>
      <c r="L383" s="11" t="n">
        <v>252351</v>
      </c>
      <c r="M383" s="13" t="s">
        <v>44</v>
      </c>
      <c r="N383" s="13" t="s">
        <v>36</v>
      </c>
      <c r="P383" s="11" t="n">
        <v>128</v>
      </c>
      <c r="Q383" s="13" t="s">
        <v>45</v>
      </c>
      <c r="R383" s="13" t="s">
        <v>46</v>
      </c>
      <c r="S383" s="11" t="n">
        <v>1130101</v>
      </c>
      <c r="T383" s="13" t="s">
        <v>47</v>
      </c>
      <c r="U383" s="14" t="n">
        <v>362.95</v>
      </c>
      <c r="W383" s="14" t="n">
        <v>0</v>
      </c>
      <c r="X383" s="13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67</v>
      </c>
      <c r="F384" s="11" t="n">
        <v>24</v>
      </c>
      <c r="G384" s="13" t="s">
        <v>42</v>
      </c>
      <c r="H384" s="11" t="n">
        <v>2110101</v>
      </c>
      <c r="I384" s="13" t="s">
        <v>43</v>
      </c>
      <c r="J384" s="11" t="n">
        <v>1165954</v>
      </c>
      <c r="L384" s="11" t="n">
        <v>13581822</v>
      </c>
      <c r="M384" s="13" t="s">
        <v>44</v>
      </c>
      <c r="N384" s="13" t="s">
        <v>36</v>
      </c>
      <c r="P384" s="11" t="n">
        <v>128</v>
      </c>
      <c r="Q384" s="13" t="s">
        <v>45</v>
      </c>
      <c r="R384" s="13" t="s">
        <v>46</v>
      </c>
      <c r="S384" s="11" t="n">
        <v>1130101</v>
      </c>
      <c r="T384" s="13" t="s">
        <v>47</v>
      </c>
      <c r="U384" s="14" t="n">
        <v>1082.85</v>
      </c>
      <c r="W384" s="14" t="n">
        <v>0</v>
      </c>
      <c r="X384" s="13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165</v>
      </c>
      <c r="F385" s="11" t="n">
        <v>24</v>
      </c>
      <c r="G385" s="13" t="s">
        <v>42</v>
      </c>
      <c r="H385" s="11" t="n">
        <v>2110101</v>
      </c>
      <c r="I385" s="13" t="s">
        <v>43</v>
      </c>
      <c r="J385" s="11" t="n">
        <v>1165986</v>
      </c>
      <c r="L385" s="11" t="n">
        <v>4086372</v>
      </c>
      <c r="M385" s="13" t="s">
        <v>44</v>
      </c>
      <c r="N385" s="13" t="s">
        <v>36</v>
      </c>
      <c r="P385" s="11" t="n">
        <v>128</v>
      </c>
      <c r="Q385" s="13" t="s">
        <v>45</v>
      </c>
      <c r="R385" s="13" t="s">
        <v>46</v>
      </c>
      <c r="S385" s="11" t="n">
        <v>1130101</v>
      </c>
      <c r="T385" s="13" t="s">
        <v>47</v>
      </c>
      <c r="U385" s="14" t="n">
        <v>654.5</v>
      </c>
      <c r="W385" s="14" t="n">
        <v>0</v>
      </c>
      <c r="X385" s="13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nao encontrado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373</v>
      </c>
      <c r="F386" s="11" t="n">
        <v>24</v>
      </c>
      <c r="G386" s="13" t="s">
        <v>42</v>
      </c>
      <c r="H386" s="11" t="n">
        <v>2110101</v>
      </c>
      <c r="I386" s="13" t="s">
        <v>43</v>
      </c>
      <c r="J386" s="11" t="n">
        <v>1172561</v>
      </c>
      <c r="L386" s="11" t="n">
        <v>1410569</v>
      </c>
      <c r="M386" s="13" t="s">
        <v>44</v>
      </c>
      <c r="N386" s="13" t="s">
        <v>69</v>
      </c>
      <c r="P386" s="11" t="n">
        <v>128</v>
      </c>
      <c r="Q386" s="13" t="s">
        <v>45</v>
      </c>
      <c r="R386" s="13" t="s">
        <v>46</v>
      </c>
      <c r="S386" s="11" t="n">
        <v>1130101</v>
      </c>
      <c r="T386" s="13" t="s">
        <v>47</v>
      </c>
      <c r="U386" s="14" t="n">
        <v>824.37</v>
      </c>
      <c r="W386" s="14" t="n">
        <v>0</v>
      </c>
      <c r="X386" s="13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nao encontrado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373</v>
      </c>
      <c r="F387" s="11" t="n">
        <v>24</v>
      </c>
      <c r="G387" s="13" t="s">
        <v>42</v>
      </c>
      <c r="H387" s="11" t="n">
        <v>2110101</v>
      </c>
      <c r="I387" s="13" t="s">
        <v>43</v>
      </c>
      <c r="J387" s="11" t="n">
        <v>1175881</v>
      </c>
      <c r="L387" s="11" t="n">
        <v>1410572</v>
      </c>
      <c r="M387" s="13" t="s">
        <v>44</v>
      </c>
      <c r="N387" s="13" t="s">
        <v>36</v>
      </c>
      <c r="P387" s="11" t="n">
        <v>128</v>
      </c>
      <c r="Q387" s="13" t="s">
        <v>45</v>
      </c>
      <c r="R387" s="13" t="s">
        <v>46</v>
      </c>
      <c r="S387" s="11" t="n">
        <v>1130101</v>
      </c>
      <c r="T387" s="13" t="s">
        <v>47</v>
      </c>
      <c r="U387" s="14" t="n">
        <v>784.17</v>
      </c>
      <c r="W387" s="14" t="n">
        <v>0</v>
      </c>
      <c r="X387" s="13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53</v>
      </c>
      <c r="F388" s="11" t="n">
        <v>24</v>
      </c>
      <c r="G388" s="13" t="s">
        <v>42</v>
      </c>
      <c r="H388" s="11" t="n">
        <v>2110101</v>
      </c>
      <c r="I388" s="13" t="s">
        <v>43</v>
      </c>
      <c r="J388" s="11" t="n">
        <v>1197421</v>
      </c>
      <c r="L388" s="11" t="n">
        <v>4485761</v>
      </c>
      <c r="M388" s="13" t="s">
        <v>44</v>
      </c>
      <c r="N388" s="13" t="s">
        <v>36</v>
      </c>
      <c r="P388" s="11" t="n">
        <v>128</v>
      </c>
      <c r="Q388" s="13" t="s">
        <v>45</v>
      </c>
      <c r="R388" s="13" t="s">
        <v>46</v>
      </c>
      <c r="S388" s="11" t="n">
        <v>1130101</v>
      </c>
      <c r="T388" s="13" t="s">
        <v>47</v>
      </c>
      <c r="U388" s="14" t="n">
        <v>1491.45</v>
      </c>
      <c r="W388" s="14" t="n">
        <v>0</v>
      </c>
      <c r="X388" s="13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170</v>
      </c>
      <c r="F389" s="11" t="n">
        <v>24</v>
      </c>
      <c r="G389" s="13" t="s">
        <v>42</v>
      </c>
      <c r="H389" s="11" t="n">
        <v>2110101</v>
      </c>
      <c r="I389" s="13" t="s">
        <v>43</v>
      </c>
      <c r="J389" s="11" t="n">
        <v>1205864</v>
      </c>
      <c r="L389" s="11" t="n">
        <v>12334231</v>
      </c>
      <c r="M389" s="13" t="s">
        <v>44</v>
      </c>
      <c r="N389" s="13" t="s">
        <v>36</v>
      </c>
      <c r="P389" s="11" t="n">
        <v>128</v>
      </c>
      <c r="Q389" s="13" t="s">
        <v>45</v>
      </c>
      <c r="R389" s="13" t="s">
        <v>46</v>
      </c>
      <c r="S389" s="11" t="n">
        <v>1130101</v>
      </c>
      <c r="T389" s="13" t="s">
        <v>47</v>
      </c>
      <c r="U389" s="14" t="n">
        <v>287.05</v>
      </c>
      <c r="W389" s="14" t="n">
        <v>0</v>
      </c>
      <c r="X389" s="13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223</v>
      </c>
      <c r="F390" s="11" t="n">
        <v>24</v>
      </c>
      <c r="G390" s="13" t="s">
        <v>42</v>
      </c>
      <c r="H390" s="11" t="n">
        <v>2110101</v>
      </c>
      <c r="I390" s="13" t="s">
        <v>43</v>
      </c>
      <c r="J390" s="11" t="n">
        <v>1235159</v>
      </c>
      <c r="L390" s="11" t="n">
        <v>1362081</v>
      </c>
      <c r="M390" s="13" t="s">
        <v>44</v>
      </c>
      <c r="N390" s="13" t="s">
        <v>36</v>
      </c>
      <c r="P390" s="11" t="n">
        <v>128</v>
      </c>
      <c r="Q390" s="13" t="s">
        <v>45</v>
      </c>
      <c r="R390" s="13" t="s">
        <v>46</v>
      </c>
      <c r="S390" s="11" t="n">
        <v>1130101</v>
      </c>
      <c r="T390" s="13" t="s">
        <v>47</v>
      </c>
      <c r="U390" s="14" t="n">
        <v>2190</v>
      </c>
      <c r="W390" s="14" t="n">
        <v>0</v>
      </c>
      <c r="X390" s="13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179</v>
      </c>
      <c r="F391" s="11" t="n">
        <v>24</v>
      </c>
      <c r="G391" s="13" t="s">
        <v>42</v>
      </c>
      <c r="H391" s="11" t="n">
        <v>2110101</v>
      </c>
      <c r="I391" s="13" t="s">
        <v>43</v>
      </c>
      <c r="J391" s="11" t="n">
        <v>1236625</v>
      </c>
      <c r="L391" s="11" t="n">
        <v>11674</v>
      </c>
      <c r="M391" s="13" t="s">
        <v>44</v>
      </c>
      <c r="N391" s="13" t="s">
        <v>69</v>
      </c>
      <c r="P391" s="11" t="n">
        <v>128</v>
      </c>
      <c r="Q391" s="13" t="s">
        <v>45</v>
      </c>
      <c r="R391" s="13" t="s">
        <v>46</v>
      </c>
      <c r="S391" s="11" t="n">
        <v>1130101</v>
      </c>
      <c r="T391" s="13" t="s">
        <v>47</v>
      </c>
      <c r="U391" s="14" t="n">
        <v>436.38</v>
      </c>
      <c r="W391" s="14" t="n">
        <v>0</v>
      </c>
      <c r="X391" s="13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80</v>
      </c>
      <c r="F392" s="11" t="n">
        <v>34</v>
      </c>
      <c r="G392" s="13" t="s">
        <v>33</v>
      </c>
      <c r="H392" s="11" t="n">
        <v>2110101</v>
      </c>
      <c r="I392" s="13" t="s">
        <v>43</v>
      </c>
      <c r="J392" s="11" t="n">
        <v>1255650</v>
      </c>
      <c r="L392" s="11" t="n">
        <v>4266</v>
      </c>
      <c r="M392" s="13" t="s">
        <v>44</v>
      </c>
      <c r="N392" s="13" t="s">
        <v>69</v>
      </c>
      <c r="P392" s="11" t="n">
        <v>128</v>
      </c>
      <c r="Q392" s="13" t="s">
        <v>45</v>
      </c>
      <c r="R392" s="13" t="s">
        <v>46</v>
      </c>
      <c r="S392" s="11" t="n">
        <v>1130101</v>
      </c>
      <c r="T392" s="13" t="s">
        <v>47</v>
      </c>
      <c r="U392" s="14" t="n">
        <v>1670</v>
      </c>
      <c r="W392" s="14" t="n">
        <v>0</v>
      </c>
      <c r="X392" s="13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80</v>
      </c>
      <c r="F393" s="11" t="n">
        <v>13</v>
      </c>
      <c r="G393" s="13" t="s">
        <v>81</v>
      </c>
      <c r="H393" s="11" t="n">
        <v>2110101</v>
      </c>
      <c r="I393" s="13" t="s">
        <v>43</v>
      </c>
      <c r="J393" s="11" t="n">
        <v>1269055</v>
      </c>
      <c r="L393" s="11" t="n">
        <v>4283</v>
      </c>
      <c r="M393" s="13" t="s">
        <v>44</v>
      </c>
      <c r="N393" s="13" t="s">
        <v>69</v>
      </c>
      <c r="P393" s="11" t="n">
        <v>128</v>
      </c>
      <c r="Q393" s="13" t="s">
        <v>45</v>
      </c>
      <c r="R393" s="13" t="s">
        <v>46</v>
      </c>
      <c r="S393" s="11" t="n">
        <v>1130101</v>
      </c>
      <c r="T393" s="13" t="s">
        <v>47</v>
      </c>
      <c r="U393" s="14" t="n">
        <v>130</v>
      </c>
      <c r="W393" s="14" t="n">
        <v>130</v>
      </c>
      <c r="X393" s="13" t="s">
        <v>82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80</v>
      </c>
      <c r="F394" s="11" t="n">
        <v>13</v>
      </c>
      <c r="G394" s="13" t="s">
        <v>81</v>
      </c>
      <c r="H394" s="11" t="n">
        <v>2110101</v>
      </c>
      <c r="I394" s="13" t="s">
        <v>43</v>
      </c>
      <c r="J394" s="11" t="n">
        <v>1269133</v>
      </c>
      <c r="L394" s="11" t="n">
        <v>4285</v>
      </c>
      <c r="M394" s="13" t="s">
        <v>44</v>
      </c>
      <c r="N394" s="13" t="s">
        <v>69</v>
      </c>
      <c r="P394" s="11" t="n">
        <v>128</v>
      </c>
      <c r="Q394" s="13" t="s">
        <v>45</v>
      </c>
      <c r="R394" s="13" t="s">
        <v>46</v>
      </c>
      <c r="S394" s="11" t="n">
        <v>1130101</v>
      </c>
      <c r="T394" s="13" t="s">
        <v>47</v>
      </c>
      <c r="U394" s="14" t="n">
        <v>240</v>
      </c>
      <c r="W394" s="14" t="n">
        <v>240</v>
      </c>
      <c r="X394" s="13" t="s">
        <v>83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105</v>
      </c>
      <c r="F395" s="11" t="n">
        <v>34</v>
      </c>
      <c r="G395" s="13" t="s">
        <v>33</v>
      </c>
      <c r="H395" s="11" t="n">
        <v>2110405</v>
      </c>
      <c r="I395" s="13" t="s">
        <v>34</v>
      </c>
      <c r="J395" s="11" t="n">
        <v>1279989</v>
      </c>
      <c r="L395" s="11" t="n">
        <v>199938</v>
      </c>
      <c r="M395" s="13" t="s">
        <v>44</v>
      </c>
      <c r="N395" s="13" t="s">
        <v>36</v>
      </c>
      <c r="P395" s="11" t="n">
        <v>102</v>
      </c>
      <c r="Q395" s="13" t="s">
        <v>186</v>
      </c>
      <c r="R395" s="13" t="s">
        <v>38</v>
      </c>
      <c r="S395" s="11" t="n">
        <v>4210210</v>
      </c>
      <c r="T395" s="13" t="s">
        <v>39</v>
      </c>
      <c r="U395" s="14" t="n">
        <v>45.73</v>
      </c>
      <c r="W395" s="14" t="n">
        <v>0</v>
      </c>
      <c r="X395" s="13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84</v>
      </c>
      <c r="F396" s="11" t="n">
        <v>24</v>
      </c>
      <c r="G396" s="13" t="s">
        <v>42</v>
      </c>
      <c r="H396" s="11" t="n">
        <v>2110101</v>
      </c>
      <c r="I396" s="13" t="s">
        <v>43</v>
      </c>
      <c r="J396" s="11" t="n">
        <v>1280116</v>
      </c>
      <c r="L396" s="11" t="n">
        <v>199975</v>
      </c>
      <c r="M396" s="13" t="s">
        <v>44</v>
      </c>
      <c r="N396" s="13" t="s">
        <v>36</v>
      </c>
      <c r="P396" s="11" t="n">
        <v>102</v>
      </c>
      <c r="Q396" s="13" t="s">
        <v>186</v>
      </c>
      <c r="R396" s="13" t="s">
        <v>46</v>
      </c>
      <c r="S396" s="11" t="n">
        <v>1130101</v>
      </c>
      <c r="T396" s="13" t="s">
        <v>47</v>
      </c>
      <c r="U396" s="14" t="n">
        <v>180.96</v>
      </c>
      <c r="W396" s="14" t="n">
        <v>0</v>
      </c>
      <c r="X396" s="13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41</v>
      </c>
      <c r="F397" s="11" t="n">
        <v>24</v>
      </c>
      <c r="G397" s="13" t="s">
        <v>42</v>
      </c>
      <c r="H397" s="11" t="n">
        <v>2110101</v>
      </c>
      <c r="I397" s="13" t="s">
        <v>43</v>
      </c>
      <c r="J397" s="11" t="n">
        <v>1128217</v>
      </c>
      <c r="L397" s="11" t="n">
        <v>16584843</v>
      </c>
      <c r="M397" s="13" t="s">
        <v>44</v>
      </c>
      <c r="N397" s="13" t="s">
        <v>36</v>
      </c>
      <c r="P397" s="11" t="n">
        <v>128</v>
      </c>
      <c r="Q397" s="13" t="s">
        <v>45</v>
      </c>
      <c r="R397" s="13" t="s">
        <v>46</v>
      </c>
      <c r="S397" s="11" t="n">
        <v>1130101</v>
      </c>
      <c r="T397" s="13" t="s">
        <v>47</v>
      </c>
      <c r="U397" s="14" t="n">
        <v>553.77</v>
      </c>
      <c r="W397" s="14" t="n">
        <v>0</v>
      </c>
      <c r="X397" s="13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nao encontrado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41</v>
      </c>
      <c r="F398" s="11" t="n">
        <v>24</v>
      </c>
      <c r="G398" s="13" t="s">
        <v>42</v>
      </c>
      <c r="H398" s="11" t="n">
        <v>2110101</v>
      </c>
      <c r="I398" s="13" t="s">
        <v>43</v>
      </c>
      <c r="J398" s="11" t="n">
        <v>1136587</v>
      </c>
      <c r="L398" s="11" t="n">
        <v>16588912</v>
      </c>
      <c r="M398" s="13" t="s">
        <v>44</v>
      </c>
      <c r="N398" s="13" t="s">
        <v>36</v>
      </c>
      <c r="P398" s="11" t="n">
        <v>128</v>
      </c>
      <c r="Q398" s="13" t="s">
        <v>45</v>
      </c>
      <c r="R398" s="13" t="s">
        <v>46</v>
      </c>
      <c r="S398" s="11" t="n">
        <v>1130101</v>
      </c>
      <c r="T398" s="13" t="s">
        <v>47</v>
      </c>
      <c r="U398" s="14" t="n">
        <v>578.43</v>
      </c>
      <c r="W398" s="14" t="n">
        <v>0</v>
      </c>
      <c r="X398" s="13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nao encontrado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60</v>
      </c>
      <c r="F399" s="11" t="n">
        <v>24</v>
      </c>
      <c r="G399" s="13" t="s">
        <v>42</v>
      </c>
      <c r="H399" s="11" t="n">
        <v>2110101</v>
      </c>
      <c r="I399" s="13" t="s">
        <v>43</v>
      </c>
      <c r="J399" s="11" t="n">
        <v>1161691</v>
      </c>
      <c r="L399" s="11" t="n">
        <v>3023912</v>
      </c>
      <c r="M399" s="13" t="s">
        <v>44</v>
      </c>
      <c r="N399" s="13" t="s">
        <v>36</v>
      </c>
      <c r="P399" s="11" t="n">
        <v>128</v>
      </c>
      <c r="Q399" s="13" t="s">
        <v>45</v>
      </c>
      <c r="R399" s="13" t="s">
        <v>46</v>
      </c>
      <c r="S399" s="11" t="n">
        <v>1130101</v>
      </c>
      <c r="T399" s="13" t="s">
        <v>47</v>
      </c>
      <c r="U399" s="14" t="n">
        <v>1210.97</v>
      </c>
      <c r="W399" s="14" t="n">
        <v>0</v>
      </c>
      <c r="X399" s="13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53</v>
      </c>
      <c r="F400" s="11" t="n">
        <v>24</v>
      </c>
      <c r="G400" s="13" t="s">
        <v>42</v>
      </c>
      <c r="H400" s="11" t="n">
        <v>2110101</v>
      </c>
      <c r="I400" s="13" t="s">
        <v>43</v>
      </c>
      <c r="J400" s="11" t="n">
        <v>1165940</v>
      </c>
      <c r="L400" s="11" t="n">
        <v>4474283</v>
      </c>
      <c r="M400" s="13" t="s">
        <v>44</v>
      </c>
      <c r="N400" s="13" t="s">
        <v>36</v>
      </c>
      <c r="P400" s="11" t="n">
        <v>128</v>
      </c>
      <c r="Q400" s="13" t="s">
        <v>45</v>
      </c>
      <c r="R400" s="13" t="s">
        <v>46</v>
      </c>
      <c r="S400" s="11" t="n">
        <v>1130101</v>
      </c>
      <c r="T400" s="13" t="s">
        <v>47</v>
      </c>
      <c r="U400" s="14" t="n">
        <v>487.34</v>
      </c>
      <c r="W400" s="14" t="n">
        <v>0</v>
      </c>
      <c r="X400" s="13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497</v>
      </c>
      <c r="F401" s="11" t="n">
        <v>24</v>
      </c>
      <c r="G401" s="13" t="s">
        <v>42</v>
      </c>
      <c r="H401" s="11" t="n">
        <v>2110101</v>
      </c>
      <c r="I401" s="13" t="s">
        <v>43</v>
      </c>
      <c r="J401" s="11" t="n">
        <v>1171264</v>
      </c>
      <c r="L401" s="11" t="n">
        <v>1897971</v>
      </c>
      <c r="M401" s="13" t="s">
        <v>44</v>
      </c>
      <c r="N401" s="13" t="s">
        <v>36</v>
      </c>
      <c r="P401" s="11" t="n">
        <v>128</v>
      </c>
      <c r="Q401" s="13" t="s">
        <v>45</v>
      </c>
      <c r="R401" s="13" t="s">
        <v>46</v>
      </c>
      <c r="S401" s="11" t="n">
        <v>1130101</v>
      </c>
      <c r="T401" s="13" t="s">
        <v>47</v>
      </c>
      <c r="U401" s="14" t="n">
        <v>1138.78</v>
      </c>
      <c r="W401" s="14" t="n">
        <v>0</v>
      </c>
      <c r="X401" s="13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41</v>
      </c>
      <c r="F402" s="11" t="n">
        <v>24</v>
      </c>
      <c r="G402" s="13" t="s">
        <v>42</v>
      </c>
      <c r="H402" s="11" t="n">
        <v>2110101</v>
      </c>
      <c r="I402" s="13" t="s">
        <v>43</v>
      </c>
      <c r="J402" s="11" t="n">
        <v>1205817</v>
      </c>
      <c r="L402" s="11" t="n">
        <v>16679321</v>
      </c>
      <c r="M402" s="13" t="s">
        <v>44</v>
      </c>
      <c r="N402" s="13" t="s">
        <v>36</v>
      </c>
      <c r="P402" s="11" t="n">
        <v>128</v>
      </c>
      <c r="Q402" s="13" t="s">
        <v>45</v>
      </c>
      <c r="R402" s="13" t="s">
        <v>46</v>
      </c>
      <c r="S402" s="11" t="n">
        <v>1130101</v>
      </c>
      <c r="T402" s="13" t="s">
        <v>47</v>
      </c>
      <c r="U402" s="14" t="n">
        <v>712.11</v>
      </c>
      <c r="W402" s="14" t="n">
        <v>0</v>
      </c>
      <c r="X402" s="13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67</v>
      </c>
      <c r="F403" s="11" t="n">
        <v>24</v>
      </c>
      <c r="G403" s="13" t="s">
        <v>42</v>
      </c>
      <c r="H403" s="11" t="n">
        <v>2110101</v>
      </c>
      <c r="I403" s="13" t="s">
        <v>43</v>
      </c>
      <c r="J403" s="11" t="n">
        <v>1221404</v>
      </c>
      <c r="L403" s="11" t="n">
        <v>13641661</v>
      </c>
      <c r="M403" s="13" t="s">
        <v>44</v>
      </c>
      <c r="N403" s="13" t="s">
        <v>36</v>
      </c>
      <c r="P403" s="11" t="n">
        <v>128</v>
      </c>
      <c r="Q403" s="13" t="s">
        <v>45</v>
      </c>
      <c r="R403" s="13" t="s">
        <v>46</v>
      </c>
      <c r="S403" s="11" t="n">
        <v>1130101</v>
      </c>
      <c r="T403" s="13" t="s">
        <v>47</v>
      </c>
      <c r="U403" s="14" t="n">
        <v>630.75</v>
      </c>
      <c r="W403" s="14" t="n">
        <v>0</v>
      </c>
      <c r="X403" s="13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518</v>
      </c>
      <c r="F404" s="11" t="n">
        <v>34</v>
      </c>
      <c r="G404" s="13" t="s">
        <v>33</v>
      </c>
      <c r="H404" s="11" t="n">
        <v>2110405</v>
      </c>
      <c r="I404" s="13" t="s">
        <v>34</v>
      </c>
      <c r="J404" s="11" t="n">
        <v>1261607</v>
      </c>
      <c r="L404" s="11" t="n">
        <v>197213</v>
      </c>
      <c r="M404" s="13" t="s">
        <v>44</v>
      </c>
      <c r="N404" s="13" t="s">
        <v>36</v>
      </c>
      <c r="P404" s="11" t="n">
        <v>101</v>
      </c>
      <c r="Q404" s="13" t="s">
        <v>37</v>
      </c>
      <c r="R404" s="13" t="s">
        <v>72</v>
      </c>
      <c r="S404" s="11" t="n">
        <v>4210302</v>
      </c>
      <c r="T404" s="13" t="s">
        <v>519</v>
      </c>
      <c r="U404" s="14" t="n">
        <v>4130.91</v>
      </c>
      <c r="W404" s="14" t="n">
        <v>0</v>
      </c>
      <c r="X404" s="13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518</v>
      </c>
      <c r="F405" s="11" t="n">
        <v>34</v>
      </c>
      <c r="G405" s="13" t="s">
        <v>33</v>
      </c>
      <c r="H405" s="11" t="n">
        <v>2110405</v>
      </c>
      <c r="I405" s="13" t="s">
        <v>34</v>
      </c>
      <c r="J405" s="11" t="n">
        <v>1261609</v>
      </c>
      <c r="L405" s="11" t="n">
        <v>197214</v>
      </c>
      <c r="M405" s="13" t="s">
        <v>44</v>
      </c>
      <c r="N405" s="13" t="s">
        <v>36</v>
      </c>
      <c r="P405" s="11" t="n">
        <v>101</v>
      </c>
      <c r="Q405" s="13" t="s">
        <v>37</v>
      </c>
      <c r="R405" s="13" t="s">
        <v>72</v>
      </c>
      <c r="S405" s="11" t="n">
        <v>4210303</v>
      </c>
      <c r="T405" s="13" t="s">
        <v>521</v>
      </c>
      <c r="U405" s="14" t="n">
        <v>1379.01</v>
      </c>
      <c r="W405" s="14" t="n">
        <v>0</v>
      </c>
      <c r="X405" s="13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80</v>
      </c>
      <c r="F406" s="11" t="n">
        <v>13</v>
      </c>
      <c r="G406" s="13" t="s">
        <v>81</v>
      </c>
      <c r="H406" s="11" t="n">
        <v>2110101</v>
      </c>
      <c r="I406" s="13" t="s">
        <v>43</v>
      </c>
      <c r="J406" s="11" t="n">
        <v>1272871</v>
      </c>
      <c r="L406" s="11" t="n">
        <v>4290</v>
      </c>
      <c r="M406" s="13" t="s">
        <v>44</v>
      </c>
      <c r="N406" s="13" t="s">
        <v>69</v>
      </c>
      <c r="P406" s="11" t="n">
        <v>128</v>
      </c>
      <c r="Q406" s="13" t="s">
        <v>45</v>
      </c>
      <c r="R406" s="13" t="s">
        <v>46</v>
      </c>
      <c r="S406" s="11" t="n">
        <v>1130101</v>
      </c>
      <c r="T406" s="13" t="s">
        <v>47</v>
      </c>
      <c r="U406" s="14" t="n">
        <v>145</v>
      </c>
      <c r="W406" s="14" t="n">
        <v>145</v>
      </c>
      <c r="X406" s="13" t="s">
        <v>137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71</v>
      </c>
      <c r="F407" s="11" t="n">
        <v>34</v>
      </c>
      <c r="G407" s="13" t="s">
        <v>33</v>
      </c>
      <c r="H407" s="11" t="n">
        <v>2110405</v>
      </c>
      <c r="I407" s="13" t="s">
        <v>34</v>
      </c>
      <c r="J407" s="11" t="n">
        <v>1273760</v>
      </c>
      <c r="L407" s="11" t="n">
        <v>199258</v>
      </c>
      <c r="M407" s="13" t="s">
        <v>44</v>
      </c>
      <c r="N407" s="13" t="s">
        <v>36</v>
      </c>
      <c r="P407" s="11" t="n">
        <v>101</v>
      </c>
      <c r="Q407" s="13" t="s">
        <v>37</v>
      </c>
      <c r="R407" s="13" t="s">
        <v>109</v>
      </c>
      <c r="S407" s="11" t="n">
        <v>1240203</v>
      </c>
      <c r="T407" s="13" t="s">
        <v>110</v>
      </c>
      <c r="U407" s="14" t="n">
        <v>666.66</v>
      </c>
      <c r="W407" s="14" t="n">
        <v>0</v>
      </c>
      <c r="X407" s="13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227</v>
      </c>
      <c r="F408" s="11" t="n">
        <v>13</v>
      </c>
      <c r="G408" s="13" t="s">
        <v>81</v>
      </c>
      <c r="H408" s="11" t="n">
        <v>2110101</v>
      </c>
      <c r="I408" s="13" t="s">
        <v>43</v>
      </c>
      <c r="J408" s="11" t="n">
        <v>1279589</v>
      </c>
      <c r="L408" s="11" t="n">
        <v>317</v>
      </c>
      <c r="M408" s="13" t="s">
        <v>44</v>
      </c>
      <c r="N408" s="13" t="s">
        <v>69</v>
      </c>
      <c r="P408" s="11" t="n">
        <v>128</v>
      </c>
      <c r="Q408" s="13" t="s">
        <v>45</v>
      </c>
      <c r="R408" s="13" t="s">
        <v>46</v>
      </c>
      <c r="S408" s="11" t="n">
        <v>1130101</v>
      </c>
      <c r="T408" s="13" t="s">
        <v>47</v>
      </c>
      <c r="U408" s="14" t="n">
        <v>927</v>
      </c>
      <c r="W408" s="14" t="n">
        <v>927</v>
      </c>
      <c r="X408" s="13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202</v>
      </c>
      <c r="F409" s="11" t="n">
        <v>24</v>
      </c>
      <c r="G409" s="13" t="s">
        <v>42</v>
      </c>
      <c r="H409" s="11" t="n">
        <v>2110405</v>
      </c>
      <c r="I409" s="13" t="s">
        <v>34</v>
      </c>
      <c r="J409" s="11" t="n">
        <v>1280619</v>
      </c>
      <c r="L409" s="11" t="n">
        <v>200077</v>
      </c>
      <c r="M409" s="13" t="s">
        <v>44</v>
      </c>
      <c r="N409" s="13" t="s">
        <v>36</v>
      </c>
      <c r="P409" s="11" t="n">
        <v>102</v>
      </c>
      <c r="Q409" s="13" t="s">
        <v>186</v>
      </c>
      <c r="R409" s="13" t="s">
        <v>203</v>
      </c>
      <c r="S409" s="11" t="n">
        <v>4220199</v>
      </c>
      <c r="T409" s="13" t="s">
        <v>204</v>
      </c>
      <c r="U409" s="14" t="n">
        <v>620</v>
      </c>
      <c r="W409" s="14" t="n">
        <v>0</v>
      </c>
      <c r="X409" s="13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84</v>
      </c>
      <c r="F410" s="11" t="n">
        <v>24</v>
      </c>
      <c r="G410" s="13" t="s">
        <v>42</v>
      </c>
      <c r="H410" s="11" t="n">
        <v>2110101</v>
      </c>
      <c r="I410" s="13" t="s">
        <v>43</v>
      </c>
      <c r="J410" s="11" t="n">
        <v>1280654</v>
      </c>
      <c r="L410" s="11" t="n">
        <v>200084</v>
      </c>
      <c r="M410" s="13" t="s">
        <v>44</v>
      </c>
      <c r="N410" s="13" t="s">
        <v>36</v>
      </c>
      <c r="P410" s="11" t="n">
        <v>102</v>
      </c>
      <c r="Q410" s="13" t="s">
        <v>186</v>
      </c>
      <c r="R410" s="13" t="s">
        <v>46</v>
      </c>
      <c r="S410" s="11" t="n">
        <v>1130101</v>
      </c>
      <c r="T410" s="13" t="s">
        <v>47</v>
      </c>
      <c r="U410" s="14" t="n">
        <v>79.32</v>
      </c>
      <c r="W410" s="14" t="n">
        <v>0</v>
      </c>
      <c r="X410" s="13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32</v>
      </c>
      <c r="F411" s="11" t="n">
        <v>34</v>
      </c>
      <c r="G411" s="13" t="s">
        <v>33</v>
      </c>
      <c r="H411" s="11" t="n">
        <v>2110405</v>
      </c>
      <c r="I411" s="13" t="s">
        <v>34</v>
      </c>
      <c r="J411" s="11" t="n">
        <v>695960</v>
      </c>
      <c r="L411" s="11" t="n">
        <v>3</v>
      </c>
      <c r="M411" s="13" t="s">
        <v>525</v>
      </c>
      <c r="N411" s="13" t="s">
        <v>36</v>
      </c>
      <c r="P411" s="11" t="n">
        <v>101</v>
      </c>
      <c r="Q411" s="13" t="s">
        <v>37</v>
      </c>
      <c r="R411" s="13" t="s">
        <v>38</v>
      </c>
      <c r="S411" s="11" t="n">
        <v>4210210</v>
      </c>
      <c r="T411" s="13" t="s">
        <v>39</v>
      </c>
      <c r="U411" s="14" t="n">
        <v>807.37</v>
      </c>
      <c r="W411" s="14" t="n">
        <v>0</v>
      </c>
      <c r="X411" s="13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257</v>
      </c>
      <c r="F412" s="11" t="n">
        <v>24</v>
      </c>
      <c r="G412" s="13" t="s">
        <v>42</v>
      </c>
      <c r="H412" s="11" t="n">
        <v>2110101</v>
      </c>
      <c r="I412" s="13" t="s">
        <v>43</v>
      </c>
      <c r="J412" s="11" t="n">
        <v>1083330</v>
      </c>
      <c r="L412" s="11" t="n">
        <v>25085</v>
      </c>
      <c r="M412" s="13" t="s">
        <v>44</v>
      </c>
      <c r="N412" s="13" t="s">
        <v>36</v>
      </c>
      <c r="P412" s="11" t="n">
        <v>128</v>
      </c>
      <c r="Q412" s="13" t="s">
        <v>45</v>
      </c>
      <c r="R412" s="13" t="s">
        <v>46</v>
      </c>
      <c r="S412" s="11" t="n">
        <v>1130101</v>
      </c>
      <c r="T412" s="13" t="s">
        <v>47</v>
      </c>
      <c r="U412" s="14" t="n">
        <v>628.68</v>
      </c>
      <c r="W412" s="14" t="n">
        <v>0</v>
      </c>
      <c r="X412" s="13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260</v>
      </c>
      <c r="F413" s="11" t="n">
        <v>24</v>
      </c>
      <c r="G413" s="13" t="s">
        <v>42</v>
      </c>
      <c r="H413" s="11" t="n">
        <v>2110101</v>
      </c>
      <c r="I413" s="13" t="s">
        <v>43</v>
      </c>
      <c r="J413" s="11" t="n">
        <v>1098565</v>
      </c>
      <c r="L413" s="11" t="n">
        <v>2204732</v>
      </c>
      <c r="M413" s="13" t="s">
        <v>44</v>
      </c>
      <c r="N413" s="13" t="s">
        <v>36</v>
      </c>
      <c r="P413" s="11" t="n">
        <v>128</v>
      </c>
      <c r="Q413" s="13" t="s">
        <v>45</v>
      </c>
      <c r="R413" s="13" t="s">
        <v>46</v>
      </c>
      <c r="S413" s="11" t="n">
        <v>1130101</v>
      </c>
      <c r="T413" s="13" t="s">
        <v>47</v>
      </c>
      <c r="U413" s="14" t="n">
        <v>653.45</v>
      </c>
      <c r="W413" s="14" t="n">
        <v>0</v>
      </c>
      <c r="X413" s="13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262</v>
      </c>
      <c r="F414" s="11" t="n">
        <v>24</v>
      </c>
      <c r="G414" s="13" t="s">
        <v>42</v>
      </c>
      <c r="H414" s="11" t="n">
        <v>2110101</v>
      </c>
      <c r="I414" s="13" t="s">
        <v>43</v>
      </c>
      <c r="J414" s="11" t="n">
        <v>1101892</v>
      </c>
      <c r="L414" s="11" t="n">
        <v>7794</v>
      </c>
      <c r="M414" s="13" t="s">
        <v>44</v>
      </c>
      <c r="N414" s="13" t="s">
        <v>36</v>
      </c>
      <c r="P414" s="11" t="n">
        <v>129</v>
      </c>
      <c r="Q414" s="13" t="s">
        <v>102</v>
      </c>
      <c r="R414" s="13" t="s">
        <v>46</v>
      </c>
      <c r="S414" s="11" t="n">
        <v>1130101</v>
      </c>
      <c r="T414" s="13" t="s">
        <v>47</v>
      </c>
      <c r="U414" s="14" t="n">
        <v>503.88</v>
      </c>
      <c r="W414" s="14" t="n">
        <v>0</v>
      </c>
      <c r="X414" s="13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195</v>
      </c>
      <c r="F415" s="11" t="n">
        <v>24</v>
      </c>
      <c r="G415" s="13" t="s">
        <v>42</v>
      </c>
      <c r="H415" s="11" t="n">
        <v>2110405</v>
      </c>
      <c r="I415" s="13" t="s">
        <v>34</v>
      </c>
      <c r="J415" s="11" t="n">
        <v>1131661</v>
      </c>
      <c r="L415" s="11" t="n">
        <v>28323</v>
      </c>
      <c r="M415" s="13" t="s">
        <v>44</v>
      </c>
      <c r="N415" s="13" t="s">
        <v>36</v>
      </c>
      <c r="P415" s="11" t="n">
        <v>128</v>
      </c>
      <c r="Q415" s="13" t="s">
        <v>45</v>
      </c>
      <c r="R415" s="13" t="s">
        <v>38</v>
      </c>
      <c r="S415" s="11" t="n">
        <v>4210227</v>
      </c>
      <c r="T415" s="13" t="s">
        <v>196</v>
      </c>
      <c r="U415" s="14" t="n">
        <v>353.08</v>
      </c>
      <c r="W415" s="14" t="n">
        <v>0</v>
      </c>
      <c r="X415" s="13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nao encontrado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71</v>
      </c>
      <c r="F416" s="11" t="n">
        <v>34</v>
      </c>
      <c r="G416" s="13" t="s">
        <v>33</v>
      </c>
      <c r="H416" s="11" t="n">
        <v>2110405</v>
      </c>
      <c r="I416" s="13" t="s">
        <v>34</v>
      </c>
      <c r="J416" s="11" t="n">
        <v>980352</v>
      </c>
      <c r="L416" s="11" t="n">
        <v>154563</v>
      </c>
      <c r="M416" s="13" t="s">
        <v>244</v>
      </c>
      <c r="N416" s="13" t="s">
        <v>36</v>
      </c>
      <c r="P416" s="11" t="n">
        <v>102</v>
      </c>
      <c r="Q416" s="13" t="s">
        <v>186</v>
      </c>
      <c r="R416" s="13" t="s">
        <v>63</v>
      </c>
      <c r="S416" s="11" t="n">
        <v>4210107</v>
      </c>
      <c r="T416" s="13" t="s">
        <v>530</v>
      </c>
      <c r="U416" s="14" t="n">
        <v>219.64</v>
      </c>
      <c r="W416" s="14" t="n">
        <v>0</v>
      </c>
      <c r="X416" s="13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255</v>
      </c>
      <c r="F417" s="11" t="n">
        <v>24</v>
      </c>
      <c r="G417" s="13" t="s">
        <v>42</v>
      </c>
      <c r="H417" s="11" t="n">
        <v>2110101</v>
      </c>
      <c r="I417" s="13" t="s">
        <v>43</v>
      </c>
      <c r="J417" s="11" t="n">
        <v>1155842</v>
      </c>
      <c r="L417" s="11" t="n">
        <v>3729453</v>
      </c>
      <c r="M417" s="13" t="s">
        <v>44</v>
      </c>
      <c r="N417" s="13" t="s">
        <v>36</v>
      </c>
      <c r="P417" s="11" t="n">
        <v>128</v>
      </c>
      <c r="Q417" s="13" t="s">
        <v>45</v>
      </c>
      <c r="R417" s="13" t="s">
        <v>46</v>
      </c>
      <c r="S417" s="11" t="n">
        <v>1130101</v>
      </c>
      <c r="T417" s="13" t="s">
        <v>47</v>
      </c>
      <c r="U417" s="14" t="n">
        <v>953.92</v>
      </c>
      <c r="W417" s="14" t="n">
        <v>0</v>
      </c>
      <c r="X417" s="13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393</v>
      </c>
      <c r="F418" s="11" t="n">
        <v>24</v>
      </c>
      <c r="G418" s="13" t="s">
        <v>42</v>
      </c>
      <c r="H418" s="11" t="n">
        <v>2110101</v>
      </c>
      <c r="I418" s="13" t="s">
        <v>43</v>
      </c>
      <c r="J418" s="11" t="n">
        <v>1162514</v>
      </c>
      <c r="L418" s="11" t="n">
        <v>19540612</v>
      </c>
      <c r="M418" s="13" t="s">
        <v>44</v>
      </c>
      <c r="N418" s="13" t="s">
        <v>36</v>
      </c>
      <c r="P418" s="11" t="n">
        <v>128</v>
      </c>
      <c r="Q418" s="13" t="s">
        <v>45</v>
      </c>
      <c r="R418" s="13" t="s">
        <v>46</v>
      </c>
      <c r="S418" s="11" t="n">
        <v>1130101</v>
      </c>
      <c r="T418" s="13" t="s">
        <v>47</v>
      </c>
      <c r="U418" s="14" t="n">
        <v>1624.37</v>
      </c>
      <c r="W418" s="14" t="n">
        <v>0</v>
      </c>
      <c r="X418" s="13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nao encontrado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497</v>
      </c>
      <c r="F419" s="11" t="n">
        <v>24</v>
      </c>
      <c r="G419" s="13" t="s">
        <v>42</v>
      </c>
      <c r="H419" s="11" t="n">
        <v>2110101</v>
      </c>
      <c r="I419" s="13" t="s">
        <v>43</v>
      </c>
      <c r="J419" s="11" t="n">
        <v>1171290</v>
      </c>
      <c r="L419" s="11" t="n">
        <v>1897991</v>
      </c>
      <c r="M419" s="13" t="s">
        <v>44</v>
      </c>
      <c r="N419" s="13" t="s">
        <v>36</v>
      </c>
      <c r="P419" s="11" t="n">
        <v>128</v>
      </c>
      <c r="Q419" s="13" t="s">
        <v>45</v>
      </c>
      <c r="R419" s="13" t="s">
        <v>46</v>
      </c>
      <c r="S419" s="11" t="n">
        <v>1130101</v>
      </c>
      <c r="T419" s="13" t="s">
        <v>47</v>
      </c>
      <c r="U419" s="14" t="n">
        <v>485.13</v>
      </c>
      <c r="W419" s="14" t="n">
        <v>0</v>
      </c>
      <c r="X419" s="13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165</v>
      </c>
      <c r="F420" s="11" t="n">
        <v>24</v>
      </c>
      <c r="G420" s="13" t="s">
        <v>42</v>
      </c>
      <c r="H420" s="11" t="n">
        <v>2110101</v>
      </c>
      <c r="I420" s="13" t="s">
        <v>43</v>
      </c>
      <c r="J420" s="11" t="n">
        <v>1171564</v>
      </c>
      <c r="L420" s="11" t="n">
        <v>4102092</v>
      </c>
      <c r="M420" s="13" t="s">
        <v>44</v>
      </c>
      <c r="N420" s="13" t="s">
        <v>36</v>
      </c>
      <c r="P420" s="11" t="n">
        <v>128</v>
      </c>
      <c r="Q420" s="13" t="s">
        <v>45</v>
      </c>
      <c r="R420" s="13" t="s">
        <v>46</v>
      </c>
      <c r="S420" s="11" t="n">
        <v>1130101</v>
      </c>
      <c r="T420" s="13" t="s">
        <v>47</v>
      </c>
      <c r="U420" s="14" t="n">
        <v>811.74</v>
      </c>
      <c r="W420" s="14" t="n">
        <v>0</v>
      </c>
      <c r="X420" s="13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208</v>
      </c>
      <c r="F421" s="11" t="n">
        <v>24</v>
      </c>
      <c r="G421" s="13" t="s">
        <v>42</v>
      </c>
      <c r="H421" s="11" t="n">
        <v>2110101</v>
      </c>
      <c r="I421" s="13" t="s">
        <v>43</v>
      </c>
      <c r="J421" s="11" t="n">
        <v>1176062</v>
      </c>
      <c r="L421" s="11" t="n">
        <v>6561741</v>
      </c>
      <c r="M421" s="13" t="s">
        <v>44</v>
      </c>
      <c r="N421" s="13" t="s">
        <v>36</v>
      </c>
      <c r="P421" s="11" t="n">
        <v>128</v>
      </c>
      <c r="Q421" s="13" t="s">
        <v>45</v>
      </c>
      <c r="R421" s="13" t="s">
        <v>46</v>
      </c>
      <c r="S421" s="11" t="n">
        <v>1130101</v>
      </c>
      <c r="T421" s="13" t="s">
        <v>47</v>
      </c>
      <c r="U421" s="14" t="n">
        <v>653.4</v>
      </c>
      <c r="W421" s="14" t="n">
        <v>0</v>
      </c>
      <c r="X421" s="13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251</v>
      </c>
      <c r="F422" s="11" t="n">
        <v>24</v>
      </c>
      <c r="G422" s="13" t="s">
        <v>42</v>
      </c>
      <c r="H422" s="11" t="n">
        <v>2110101</v>
      </c>
      <c r="I422" s="13" t="s">
        <v>43</v>
      </c>
      <c r="J422" s="11" t="n">
        <v>1197351</v>
      </c>
      <c r="L422" s="11" t="n">
        <v>8763151</v>
      </c>
      <c r="M422" s="13" t="s">
        <v>44</v>
      </c>
      <c r="N422" s="13" t="s">
        <v>36</v>
      </c>
      <c r="P422" s="11" t="n">
        <v>128</v>
      </c>
      <c r="Q422" s="13" t="s">
        <v>45</v>
      </c>
      <c r="R422" s="13" t="s">
        <v>46</v>
      </c>
      <c r="S422" s="11" t="n">
        <v>1130101</v>
      </c>
      <c r="T422" s="13" t="s">
        <v>47</v>
      </c>
      <c r="U422" s="14" t="n">
        <v>434.49</v>
      </c>
      <c r="W422" s="14" t="n">
        <v>0</v>
      </c>
      <c r="X422" s="13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198</v>
      </c>
      <c r="F423" s="11" t="n">
        <v>24</v>
      </c>
      <c r="G423" s="13" t="s">
        <v>42</v>
      </c>
      <c r="H423" s="11" t="n">
        <v>2110101</v>
      </c>
      <c r="I423" s="13" t="s">
        <v>43</v>
      </c>
      <c r="J423" s="11" t="n">
        <v>1206796</v>
      </c>
      <c r="L423" s="11" t="n">
        <v>10517</v>
      </c>
      <c r="M423" s="13" t="s">
        <v>44</v>
      </c>
      <c r="N423" s="13" t="s">
        <v>69</v>
      </c>
      <c r="P423" s="11" t="n">
        <v>128</v>
      </c>
      <c r="Q423" s="13" t="s">
        <v>45</v>
      </c>
      <c r="R423" s="13" t="s">
        <v>46</v>
      </c>
      <c r="S423" s="11" t="n">
        <v>1130101</v>
      </c>
      <c r="T423" s="13" t="s">
        <v>47</v>
      </c>
      <c r="U423" s="14" t="n">
        <v>228</v>
      </c>
      <c r="W423" s="14" t="n">
        <v>0</v>
      </c>
      <c r="X423" s="13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362</v>
      </c>
      <c r="F424" s="11" t="n">
        <v>24</v>
      </c>
      <c r="G424" s="13" t="s">
        <v>42</v>
      </c>
      <c r="H424" s="11" t="n">
        <v>2110101</v>
      </c>
      <c r="I424" s="13" t="s">
        <v>43</v>
      </c>
      <c r="J424" s="11" t="n">
        <v>1206830</v>
      </c>
      <c r="L424" s="11" t="n">
        <v>77111</v>
      </c>
      <c r="M424" s="13" t="s">
        <v>44</v>
      </c>
      <c r="N424" s="13" t="s">
        <v>36</v>
      </c>
      <c r="P424" s="11" t="n">
        <v>128</v>
      </c>
      <c r="Q424" s="13" t="s">
        <v>45</v>
      </c>
      <c r="R424" s="13" t="s">
        <v>46</v>
      </c>
      <c r="S424" s="11" t="n">
        <v>1130101</v>
      </c>
      <c r="T424" s="13" t="s">
        <v>47</v>
      </c>
      <c r="U424" s="14" t="n">
        <v>755.92</v>
      </c>
      <c r="W424" s="14" t="n">
        <v>0</v>
      </c>
      <c r="X424" s="13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408</v>
      </c>
      <c r="F425" s="11" t="n">
        <v>24</v>
      </c>
      <c r="G425" s="13" t="s">
        <v>42</v>
      </c>
      <c r="H425" s="11" t="n">
        <v>2110101</v>
      </c>
      <c r="I425" s="13" t="s">
        <v>43</v>
      </c>
      <c r="J425" s="11" t="n">
        <v>1210588</v>
      </c>
      <c r="L425" s="11" t="n">
        <v>6704622</v>
      </c>
      <c r="M425" s="13" t="s">
        <v>44</v>
      </c>
      <c r="N425" s="13" t="s">
        <v>36</v>
      </c>
      <c r="P425" s="11" t="n">
        <v>128</v>
      </c>
      <c r="Q425" s="13" t="s">
        <v>45</v>
      </c>
      <c r="R425" s="13" t="s">
        <v>46</v>
      </c>
      <c r="S425" s="11" t="n">
        <v>1130101</v>
      </c>
      <c r="T425" s="13" t="s">
        <v>47</v>
      </c>
      <c r="U425" s="14" t="n">
        <v>647.83</v>
      </c>
      <c r="W425" s="14" t="n">
        <v>0</v>
      </c>
      <c r="X425" s="13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541</v>
      </c>
      <c r="F426" s="11" t="n">
        <v>24</v>
      </c>
      <c r="G426" s="13" t="s">
        <v>42</v>
      </c>
      <c r="H426" s="11" t="n">
        <v>2110405</v>
      </c>
      <c r="I426" s="13" t="s">
        <v>34</v>
      </c>
      <c r="J426" s="11" t="n">
        <v>1210735</v>
      </c>
      <c r="L426" s="11" t="n">
        <v>653751</v>
      </c>
      <c r="M426" s="13" t="s">
        <v>44</v>
      </c>
      <c r="N426" s="13" t="s">
        <v>36</v>
      </c>
      <c r="P426" s="11" t="n">
        <v>128</v>
      </c>
      <c r="Q426" s="13" t="s">
        <v>45</v>
      </c>
      <c r="R426" s="13" t="s">
        <v>38</v>
      </c>
      <c r="S426" s="11" t="n">
        <v>4210227</v>
      </c>
      <c r="T426" s="13" t="s">
        <v>196</v>
      </c>
      <c r="U426" s="14" t="n">
        <v>462.4</v>
      </c>
      <c r="W426" s="14" t="n">
        <v>0</v>
      </c>
      <c r="X426" s="13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41</v>
      </c>
      <c r="F427" s="11" t="n">
        <v>24</v>
      </c>
      <c r="G427" s="13" t="s">
        <v>42</v>
      </c>
      <c r="H427" s="11" t="n">
        <v>2110101</v>
      </c>
      <c r="I427" s="13" t="s">
        <v>43</v>
      </c>
      <c r="J427" s="11" t="n">
        <v>1221386</v>
      </c>
      <c r="L427" s="11" t="n">
        <v>16688321</v>
      </c>
      <c r="M427" s="13" t="s">
        <v>44</v>
      </c>
      <c r="N427" s="13" t="s">
        <v>36</v>
      </c>
      <c r="P427" s="11" t="n">
        <v>128</v>
      </c>
      <c r="Q427" s="13" t="s">
        <v>45</v>
      </c>
      <c r="R427" s="13" t="s">
        <v>46</v>
      </c>
      <c r="S427" s="11" t="n">
        <v>1130101</v>
      </c>
      <c r="T427" s="13" t="s">
        <v>47</v>
      </c>
      <c r="U427" s="14" t="n">
        <v>1135.23</v>
      </c>
      <c r="W427" s="14" t="n">
        <v>0</v>
      </c>
      <c r="X427" s="13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223</v>
      </c>
      <c r="F428" s="11" t="n">
        <v>24</v>
      </c>
      <c r="G428" s="13" t="s">
        <v>42</v>
      </c>
      <c r="H428" s="11" t="n">
        <v>2110101</v>
      </c>
      <c r="I428" s="13" t="s">
        <v>43</v>
      </c>
      <c r="J428" s="11" t="n">
        <v>1222268</v>
      </c>
      <c r="L428" s="11" t="n">
        <v>1779292</v>
      </c>
      <c r="M428" s="13" t="s">
        <v>44</v>
      </c>
      <c r="N428" s="13" t="s">
        <v>36</v>
      </c>
      <c r="P428" s="11" t="n">
        <v>128</v>
      </c>
      <c r="Q428" s="13" t="s">
        <v>45</v>
      </c>
      <c r="R428" s="13" t="s">
        <v>46</v>
      </c>
      <c r="S428" s="11" t="n">
        <v>1130101</v>
      </c>
      <c r="T428" s="13" t="s">
        <v>47</v>
      </c>
      <c r="U428" s="14" t="n">
        <v>748</v>
      </c>
      <c r="W428" s="14" t="n">
        <v>0</v>
      </c>
      <c r="X428" s="13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76</v>
      </c>
      <c r="F429" s="11" t="n">
        <v>24</v>
      </c>
      <c r="G429" s="13" t="s">
        <v>42</v>
      </c>
      <c r="H429" s="11" t="n">
        <v>2110101</v>
      </c>
      <c r="I429" s="13" t="s">
        <v>43</v>
      </c>
      <c r="J429" s="11" t="n">
        <v>1230861</v>
      </c>
      <c r="L429" s="11" t="n">
        <v>52878</v>
      </c>
      <c r="M429" s="13" t="s">
        <v>44</v>
      </c>
      <c r="N429" s="13" t="s">
        <v>36</v>
      </c>
      <c r="P429" s="11" t="n">
        <v>128</v>
      </c>
      <c r="Q429" s="13" t="s">
        <v>45</v>
      </c>
      <c r="R429" s="13" t="s">
        <v>46</v>
      </c>
      <c r="S429" s="11" t="n">
        <v>1130101</v>
      </c>
      <c r="T429" s="13" t="s">
        <v>47</v>
      </c>
      <c r="U429" s="14" t="n">
        <v>3106.4</v>
      </c>
      <c r="W429" s="14" t="n">
        <v>0</v>
      </c>
      <c r="X429" s="13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274</v>
      </c>
      <c r="F430" s="11" t="n">
        <v>24</v>
      </c>
      <c r="G430" s="13" t="s">
        <v>42</v>
      </c>
      <c r="H430" s="11" t="n">
        <v>2110101</v>
      </c>
      <c r="I430" s="13" t="s">
        <v>43</v>
      </c>
      <c r="J430" s="11" t="n">
        <v>1235266</v>
      </c>
      <c r="L430" s="11" t="n">
        <v>1026635</v>
      </c>
      <c r="M430" s="13" t="s">
        <v>44</v>
      </c>
      <c r="N430" s="13" t="s">
        <v>69</v>
      </c>
      <c r="P430" s="11" t="n">
        <v>128</v>
      </c>
      <c r="Q430" s="13" t="s">
        <v>45</v>
      </c>
      <c r="R430" s="13" t="s">
        <v>46</v>
      </c>
      <c r="S430" s="11" t="n">
        <v>1130101</v>
      </c>
      <c r="T430" s="13" t="s">
        <v>47</v>
      </c>
      <c r="U430" s="14" t="n">
        <v>729.38</v>
      </c>
      <c r="W430" s="14" t="n">
        <v>0</v>
      </c>
      <c r="X430" s="13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122</v>
      </c>
      <c r="F431" s="11" t="n">
        <v>24</v>
      </c>
      <c r="G431" s="13" t="s">
        <v>42</v>
      </c>
      <c r="H431" s="11" t="n">
        <v>2110101</v>
      </c>
      <c r="I431" s="13" t="s">
        <v>43</v>
      </c>
      <c r="J431" s="11" t="n">
        <v>1239802</v>
      </c>
      <c r="L431" s="11" t="n">
        <v>11597197</v>
      </c>
      <c r="M431" s="13" t="s">
        <v>44</v>
      </c>
      <c r="N431" s="13" t="s">
        <v>36</v>
      </c>
      <c r="P431" s="11" t="n">
        <v>128</v>
      </c>
      <c r="Q431" s="13" t="s">
        <v>45</v>
      </c>
      <c r="R431" s="13" t="s">
        <v>46</v>
      </c>
      <c r="S431" s="11" t="n">
        <v>1130101</v>
      </c>
      <c r="T431" s="13" t="s">
        <v>47</v>
      </c>
      <c r="U431" s="14" t="n">
        <v>608.86</v>
      </c>
      <c r="W431" s="14" t="n">
        <v>0</v>
      </c>
      <c r="X431" s="13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122</v>
      </c>
      <c r="F432" s="11" t="n">
        <v>24</v>
      </c>
      <c r="G432" s="13" t="s">
        <v>42</v>
      </c>
      <c r="H432" s="11" t="n">
        <v>2110101</v>
      </c>
      <c r="I432" s="13" t="s">
        <v>43</v>
      </c>
      <c r="J432" s="11" t="n">
        <v>1239807</v>
      </c>
      <c r="L432" s="11" t="n">
        <v>18791075</v>
      </c>
      <c r="M432" s="13" t="s">
        <v>44</v>
      </c>
      <c r="N432" s="13" t="s">
        <v>36</v>
      </c>
      <c r="P432" s="11" t="n">
        <v>128</v>
      </c>
      <c r="Q432" s="13" t="s">
        <v>45</v>
      </c>
      <c r="R432" s="13" t="s">
        <v>46</v>
      </c>
      <c r="S432" s="11" t="n">
        <v>1130101</v>
      </c>
      <c r="T432" s="13" t="s">
        <v>47</v>
      </c>
      <c r="U432" s="14" t="n">
        <v>6197.73</v>
      </c>
      <c r="W432" s="14" t="n">
        <v>0</v>
      </c>
      <c r="X432" s="13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218</v>
      </c>
      <c r="F433" s="11" t="n">
        <v>24</v>
      </c>
      <c r="G433" s="13" t="s">
        <v>42</v>
      </c>
      <c r="H433" s="11" t="n">
        <v>2110101</v>
      </c>
      <c r="I433" s="13" t="s">
        <v>43</v>
      </c>
      <c r="J433" s="11" t="n">
        <v>1239937</v>
      </c>
      <c r="L433" s="11" t="n">
        <v>2284</v>
      </c>
      <c r="M433" s="13" t="s">
        <v>44</v>
      </c>
      <c r="N433" s="13" t="s">
        <v>36</v>
      </c>
      <c r="P433" s="11" t="n">
        <v>128</v>
      </c>
      <c r="Q433" s="13" t="s">
        <v>45</v>
      </c>
      <c r="R433" s="13" t="s">
        <v>46</v>
      </c>
      <c r="S433" s="11" t="n">
        <v>1130101</v>
      </c>
      <c r="T433" s="13" t="s">
        <v>47</v>
      </c>
      <c r="U433" s="14" t="n">
        <v>2050</v>
      </c>
      <c r="W433" s="14" t="n">
        <v>0</v>
      </c>
      <c r="X433" s="13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278</v>
      </c>
      <c r="F434" s="11" t="n">
        <v>24</v>
      </c>
      <c r="G434" s="13" t="s">
        <v>42</v>
      </c>
      <c r="H434" s="11" t="n">
        <v>2110101</v>
      </c>
      <c r="I434" s="13" t="s">
        <v>43</v>
      </c>
      <c r="J434" s="11" t="n">
        <v>1239961</v>
      </c>
      <c r="L434" s="11" t="n">
        <v>1334</v>
      </c>
      <c r="M434" s="13" t="s">
        <v>44</v>
      </c>
      <c r="N434" s="13" t="s">
        <v>69</v>
      </c>
      <c r="P434" s="11" t="n">
        <v>128</v>
      </c>
      <c r="Q434" s="13" t="s">
        <v>45</v>
      </c>
      <c r="R434" s="13" t="s">
        <v>46</v>
      </c>
      <c r="S434" s="11" t="n">
        <v>1130101</v>
      </c>
      <c r="T434" s="13" t="s">
        <v>47</v>
      </c>
      <c r="U434" s="14" t="n">
        <v>1053.9</v>
      </c>
      <c r="W434" s="14" t="n">
        <v>0</v>
      </c>
      <c r="X434" s="13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 PERU DF DISTRIBUIDORA DE FR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266</v>
      </c>
      <c r="F435" s="11" t="n">
        <v>24</v>
      </c>
      <c r="G435" s="13" t="s">
        <v>42</v>
      </c>
      <c r="H435" s="11" t="n">
        <v>2110101</v>
      </c>
      <c r="I435" s="13" t="s">
        <v>43</v>
      </c>
      <c r="J435" s="11" t="n">
        <v>1241389</v>
      </c>
      <c r="L435" s="11" t="n">
        <v>19601</v>
      </c>
      <c r="M435" s="13" t="s">
        <v>44</v>
      </c>
      <c r="N435" s="13" t="s">
        <v>36</v>
      </c>
      <c r="P435" s="11" t="n">
        <v>128</v>
      </c>
      <c r="Q435" s="13" t="s">
        <v>45</v>
      </c>
      <c r="R435" s="13" t="s">
        <v>46</v>
      </c>
      <c r="S435" s="11" t="n">
        <v>1130101</v>
      </c>
      <c r="T435" s="13" t="s">
        <v>47</v>
      </c>
      <c r="U435" s="14" t="n">
        <v>925.91</v>
      </c>
      <c r="W435" s="14" t="n">
        <v>0</v>
      </c>
      <c r="X435" s="13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177</v>
      </c>
      <c r="F436" s="11" t="n">
        <v>24</v>
      </c>
      <c r="G436" s="13" t="s">
        <v>42</v>
      </c>
      <c r="H436" s="11" t="n">
        <v>2110101</v>
      </c>
      <c r="I436" s="13" t="s">
        <v>43</v>
      </c>
      <c r="J436" s="11" t="n">
        <v>1255794</v>
      </c>
      <c r="L436" s="11" t="n">
        <v>15963141</v>
      </c>
      <c r="M436" s="13" t="s">
        <v>44</v>
      </c>
      <c r="N436" s="13" t="s">
        <v>36</v>
      </c>
      <c r="P436" s="11" t="n">
        <v>128</v>
      </c>
      <c r="Q436" s="13" t="s">
        <v>45</v>
      </c>
      <c r="R436" s="13" t="s">
        <v>46</v>
      </c>
      <c r="S436" s="11" t="n">
        <v>1130101</v>
      </c>
      <c r="T436" s="13" t="s">
        <v>47</v>
      </c>
      <c r="U436" s="14" t="n">
        <v>1017.52</v>
      </c>
      <c r="W436" s="14" t="n">
        <v>0</v>
      </c>
      <c r="X436" s="13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76</v>
      </c>
      <c r="F437" s="11" t="n">
        <v>24</v>
      </c>
      <c r="G437" s="13" t="s">
        <v>42</v>
      </c>
      <c r="H437" s="11" t="n">
        <v>2110101</v>
      </c>
      <c r="I437" s="13" t="s">
        <v>43</v>
      </c>
      <c r="J437" s="11" t="n">
        <v>1260057</v>
      </c>
      <c r="L437" s="11" t="n">
        <v>52849</v>
      </c>
      <c r="M437" s="13" t="s">
        <v>44</v>
      </c>
      <c r="N437" s="13" t="s">
        <v>36</v>
      </c>
      <c r="P437" s="11" t="n">
        <v>128</v>
      </c>
      <c r="Q437" s="13" t="s">
        <v>45</v>
      </c>
      <c r="R437" s="13" t="s">
        <v>46</v>
      </c>
      <c r="S437" s="11" t="n">
        <v>1130101</v>
      </c>
      <c r="T437" s="13" t="s">
        <v>47</v>
      </c>
      <c r="U437" s="14" t="n">
        <v>5708.8</v>
      </c>
      <c r="W437" s="14" t="n">
        <v>0</v>
      </c>
      <c r="X437" s="13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554</v>
      </c>
      <c r="F438" s="11" t="n">
        <v>24</v>
      </c>
      <c r="G438" s="13" t="s">
        <v>42</v>
      </c>
      <c r="H438" s="11" t="n">
        <v>2110101</v>
      </c>
      <c r="I438" s="13" t="s">
        <v>43</v>
      </c>
      <c r="J438" s="11" t="n">
        <v>1260185</v>
      </c>
      <c r="L438" s="11" t="n">
        <v>545751</v>
      </c>
      <c r="M438" s="13" t="s">
        <v>44</v>
      </c>
      <c r="N438" s="13" t="s">
        <v>36</v>
      </c>
      <c r="P438" s="11" t="n">
        <v>128</v>
      </c>
      <c r="Q438" s="13" t="s">
        <v>45</v>
      </c>
      <c r="R438" s="13" t="s">
        <v>46</v>
      </c>
      <c r="S438" s="11" t="n">
        <v>1130101</v>
      </c>
      <c r="T438" s="13" t="s">
        <v>47</v>
      </c>
      <c r="U438" s="14" t="n">
        <v>1094.25</v>
      </c>
      <c r="W438" s="14" t="n">
        <v>0</v>
      </c>
      <c r="X438" s="13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130</v>
      </c>
      <c r="F439" s="11" t="n">
        <v>34</v>
      </c>
      <c r="G439" s="13" t="s">
        <v>33</v>
      </c>
      <c r="H439" s="11" t="n">
        <v>2110101</v>
      </c>
      <c r="I439" s="13" t="s">
        <v>43</v>
      </c>
      <c r="J439" s="11" t="n">
        <v>1261661</v>
      </c>
      <c r="L439" s="11" t="n">
        <v>197223</v>
      </c>
      <c r="M439" s="13" t="s">
        <v>44</v>
      </c>
      <c r="N439" s="13" t="s">
        <v>36</v>
      </c>
      <c r="P439" s="11" t="n">
        <v>128</v>
      </c>
      <c r="Q439" s="13" t="s">
        <v>45</v>
      </c>
      <c r="R439" s="13" t="s">
        <v>46</v>
      </c>
      <c r="S439" s="11" t="n">
        <v>1130101</v>
      </c>
      <c r="T439" s="13" t="s">
        <v>47</v>
      </c>
      <c r="U439" s="14" t="n">
        <v>381</v>
      </c>
      <c r="W439" s="14" t="n">
        <v>0</v>
      </c>
      <c r="X439" s="13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80</v>
      </c>
      <c r="F440" s="11" t="n">
        <v>34</v>
      </c>
      <c r="G440" s="13" t="s">
        <v>33</v>
      </c>
      <c r="H440" s="11" t="n">
        <v>2110101</v>
      </c>
      <c r="I440" s="13" t="s">
        <v>43</v>
      </c>
      <c r="J440" s="11" t="n">
        <v>1261666</v>
      </c>
      <c r="L440" s="11" t="n">
        <v>4281</v>
      </c>
      <c r="M440" s="13" t="s">
        <v>44</v>
      </c>
      <c r="N440" s="13" t="s">
        <v>69</v>
      </c>
      <c r="P440" s="11" t="n">
        <v>128</v>
      </c>
      <c r="Q440" s="13" t="s">
        <v>45</v>
      </c>
      <c r="R440" s="13" t="s">
        <v>46</v>
      </c>
      <c r="S440" s="11" t="n">
        <v>1130101</v>
      </c>
      <c r="T440" s="13" t="s">
        <v>47</v>
      </c>
      <c r="U440" s="14" t="n">
        <v>2433</v>
      </c>
      <c r="W440" s="14" t="n">
        <v>0</v>
      </c>
      <c r="X440" s="13" t="s">
        <v>129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130</v>
      </c>
      <c r="F441" s="11" t="n">
        <v>34</v>
      </c>
      <c r="G441" s="13" t="s">
        <v>33</v>
      </c>
      <c r="H441" s="11" t="n">
        <v>2110101</v>
      </c>
      <c r="I441" s="13" t="s">
        <v>43</v>
      </c>
      <c r="J441" s="11" t="n">
        <v>1261684</v>
      </c>
      <c r="L441" s="11" t="n">
        <v>14693</v>
      </c>
      <c r="M441" s="13" t="s">
        <v>44</v>
      </c>
      <c r="N441" s="13" t="s">
        <v>69</v>
      </c>
      <c r="P441" s="11" t="n">
        <v>128</v>
      </c>
      <c r="Q441" s="13" t="s">
        <v>45</v>
      </c>
      <c r="R441" s="13" t="s">
        <v>46</v>
      </c>
      <c r="S441" s="11" t="n">
        <v>1130101</v>
      </c>
      <c r="T441" s="13" t="s">
        <v>47</v>
      </c>
      <c r="U441" s="14" t="n">
        <v>450</v>
      </c>
      <c r="W441" s="14" t="n">
        <v>0</v>
      </c>
      <c r="X441" s="13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80</v>
      </c>
      <c r="F442" s="11" t="n">
        <v>13</v>
      </c>
      <c r="G442" s="13" t="s">
        <v>81</v>
      </c>
      <c r="H442" s="11" t="n">
        <v>2110101</v>
      </c>
      <c r="I442" s="13" t="s">
        <v>43</v>
      </c>
      <c r="J442" s="11" t="n">
        <v>1279605</v>
      </c>
      <c r="L442" s="11" t="n">
        <v>4292</v>
      </c>
      <c r="M442" s="13" t="s">
        <v>44</v>
      </c>
      <c r="N442" s="13" t="s">
        <v>69</v>
      </c>
      <c r="P442" s="11" t="n">
        <v>128</v>
      </c>
      <c r="Q442" s="13" t="s">
        <v>45</v>
      </c>
      <c r="R442" s="13" t="s">
        <v>46</v>
      </c>
      <c r="S442" s="11" t="n">
        <v>1130101</v>
      </c>
      <c r="T442" s="13" t="s">
        <v>47</v>
      </c>
      <c r="U442" s="14" t="n">
        <v>359</v>
      </c>
      <c r="W442" s="14" t="n">
        <v>359</v>
      </c>
      <c r="X442" s="13" t="s">
        <v>82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80</v>
      </c>
      <c r="F443" s="11" t="n">
        <v>13</v>
      </c>
      <c r="G443" s="13" t="s">
        <v>81</v>
      </c>
      <c r="H443" s="11" t="n">
        <v>2110101</v>
      </c>
      <c r="I443" s="13" t="s">
        <v>43</v>
      </c>
      <c r="J443" s="11" t="n">
        <v>1279635</v>
      </c>
      <c r="L443" s="11" t="n">
        <v>4293</v>
      </c>
      <c r="M443" s="13" t="s">
        <v>44</v>
      </c>
      <c r="N443" s="13" t="s">
        <v>69</v>
      </c>
      <c r="P443" s="11" t="n">
        <v>128</v>
      </c>
      <c r="Q443" s="13" t="s">
        <v>45</v>
      </c>
      <c r="R443" s="13" t="s">
        <v>46</v>
      </c>
      <c r="S443" s="11" t="n">
        <v>1130101</v>
      </c>
      <c r="T443" s="13" t="s">
        <v>47</v>
      </c>
      <c r="U443" s="14" t="n">
        <v>240</v>
      </c>
      <c r="W443" s="14" t="n">
        <v>240</v>
      </c>
      <c r="X443" s="13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76</v>
      </c>
      <c r="F444" s="11" t="n">
        <v>24</v>
      </c>
      <c r="G444" s="13" t="s">
        <v>42</v>
      </c>
      <c r="H444" s="11" t="n">
        <v>2110101</v>
      </c>
      <c r="I444" s="13" t="s">
        <v>43</v>
      </c>
      <c r="J444" s="11" t="n">
        <v>1257241</v>
      </c>
      <c r="L444" s="11" t="n">
        <v>53073</v>
      </c>
      <c r="M444" s="13" t="s">
        <v>44</v>
      </c>
      <c r="N444" s="13" t="s">
        <v>36</v>
      </c>
      <c r="P444" s="11" t="n">
        <v>128</v>
      </c>
      <c r="Q444" s="13" t="s">
        <v>45</v>
      </c>
      <c r="R444" s="13" t="s">
        <v>46</v>
      </c>
      <c r="S444" s="11" t="n">
        <v>1130101</v>
      </c>
      <c r="T444" s="13" t="s">
        <v>47</v>
      </c>
      <c r="U444" s="14" t="n">
        <v>4748.8</v>
      </c>
      <c r="W444" s="14" t="n">
        <v>0</v>
      </c>
      <c r="X444" s="13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212</v>
      </c>
      <c r="F445" s="11" t="n">
        <v>24</v>
      </c>
      <c r="G445" s="13" t="s">
        <v>42</v>
      </c>
      <c r="H445" s="11" t="n">
        <v>2110101</v>
      </c>
      <c r="I445" s="13" t="s">
        <v>43</v>
      </c>
      <c r="J445" s="11" t="n">
        <v>1221461</v>
      </c>
      <c r="L445" s="11" t="n">
        <v>5625661</v>
      </c>
      <c r="M445" s="13" t="s">
        <v>44</v>
      </c>
      <c r="N445" s="13" t="s">
        <v>36</v>
      </c>
      <c r="P445" s="11" t="n">
        <v>128</v>
      </c>
      <c r="Q445" s="13" t="s">
        <v>45</v>
      </c>
      <c r="R445" s="13" t="s">
        <v>46</v>
      </c>
      <c r="S445" s="11" t="n">
        <v>1130101</v>
      </c>
      <c r="T445" s="13" t="s">
        <v>47</v>
      </c>
      <c r="U445" s="14" t="n">
        <v>2468.44</v>
      </c>
      <c r="W445" s="14" t="n">
        <v>0</v>
      </c>
      <c r="X445" s="13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306</v>
      </c>
      <c r="F446" s="11" t="n">
        <v>24</v>
      </c>
      <c r="G446" s="13" t="s">
        <v>42</v>
      </c>
      <c r="H446" s="11" t="n">
        <v>2110101</v>
      </c>
      <c r="I446" s="13" t="s">
        <v>43</v>
      </c>
      <c r="J446" s="11" t="n">
        <v>1255723</v>
      </c>
      <c r="L446" s="11" t="n">
        <v>855981</v>
      </c>
      <c r="M446" s="13" t="s">
        <v>44</v>
      </c>
      <c r="N446" s="13" t="s">
        <v>69</v>
      </c>
      <c r="P446" s="11" t="n">
        <v>128</v>
      </c>
      <c r="Q446" s="13" t="s">
        <v>45</v>
      </c>
      <c r="R446" s="13" t="s">
        <v>46</v>
      </c>
      <c r="S446" s="11" t="n">
        <v>1130101</v>
      </c>
      <c r="T446" s="13" t="s">
        <v>47</v>
      </c>
      <c r="U446" s="14" t="n">
        <v>4393.07</v>
      </c>
      <c r="W446" s="14" t="n">
        <v>0</v>
      </c>
      <c r="X446" s="13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306</v>
      </c>
      <c r="F447" s="11" t="n">
        <v>24</v>
      </c>
      <c r="G447" s="13" t="s">
        <v>42</v>
      </c>
      <c r="H447" s="11" t="n">
        <v>2110101</v>
      </c>
      <c r="I447" s="13" t="s">
        <v>43</v>
      </c>
      <c r="J447" s="11" t="n">
        <v>1255729</v>
      </c>
      <c r="L447" s="11" t="n">
        <v>196362</v>
      </c>
      <c r="M447" s="13" t="s">
        <v>44</v>
      </c>
      <c r="N447" s="13" t="s">
        <v>36</v>
      </c>
      <c r="P447" s="11" t="n">
        <v>128</v>
      </c>
      <c r="Q447" s="13" t="s">
        <v>45</v>
      </c>
      <c r="R447" s="13" t="s">
        <v>46</v>
      </c>
      <c r="S447" s="11" t="n">
        <v>1130101</v>
      </c>
      <c r="T447" s="13" t="s">
        <v>47</v>
      </c>
      <c r="U447" s="14" t="n">
        <v>1.55</v>
      </c>
      <c r="W447" s="14" t="n">
        <v>0</v>
      </c>
      <c r="X447" s="13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76</v>
      </c>
      <c r="F448" s="11" t="n">
        <v>24</v>
      </c>
      <c r="G448" s="13" t="s">
        <v>42</v>
      </c>
      <c r="H448" s="11" t="n">
        <v>2110101</v>
      </c>
      <c r="I448" s="13" t="s">
        <v>43</v>
      </c>
      <c r="J448" s="11" t="n">
        <v>1256598</v>
      </c>
      <c r="L448" s="11" t="n">
        <v>53168</v>
      </c>
      <c r="M448" s="13" t="s">
        <v>44</v>
      </c>
      <c r="N448" s="13" t="s">
        <v>36</v>
      </c>
      <c r="P448" s="11" t="n">
        <v>128</v>
      </c>
      <c r="Q448" s="13" t="s">
        <v>45</v>
      </c>
      <c r="R448" s="13" t="s">
        <v>46</v>
      </c>
      <c r="S448" s="11" t="n">
        <v>1130101</v>
      </c>
      <c r="T448" s="13" t="s">
        <v>47</v>
      </c>
      <c r="U448" s="14" t="n">
        <v>2252.8</v>
      </c>
      <c r="W448" s="14" t="n">
        <v>0</v>
      </c>
      <c r="X448" s="13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122</v>
      </c>
      <c r="F449" s="11" t="n">
        <v>24</v>
      </c>
      <c r="G449" s="13" t="s">
        <v>42</v>
      </c>
      <c r="H449" s="11" t="n">
        <v>2110101</v>
      </c>
      <c r="I449" s="13" t="s">
        <v>43</v>
      </c>
      <c r="J449" s="11" t="n">
        <v>1260144</v>
      </c>
      <c r="L449" s="11" t="n">
        <v>18811325</v>
      </c>
      <c r="M449" s="13" t="s">
        <v>44</v>
      </c>
      <c r="N449" s="13" t="s">
        <v>36</v>
      </c>
      <c r="P449" s="11" t="n">
        <v>128</v>
      </c>
      <c r="Q449" s="13" t="s">
        <v>45</v>
      </c>
      <c r="R449" s="13" t="s">
        <v>46</v>
      </c>
      <c r="S449" s="11" t="n">
        <v>1130101</v>
      </c>
      <c r="T449" s="13" t="s">
        <v>47</v>
      </c>
      <c r="U449" s="14" t="n">
        <v>1514.13</v>
      </c>
      <c r="W449" s="14" t="n">
        <v>0</v>
      </c>
      <c r="X449" s="13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122</v>
      </c>
      <c r="F450" s="11" t="n">
        <v>24</v>
      </c>
      <c r="G450" s="13" t="s">
        <v>42</v>
      </c>
      <c r="H450" s="11" t="n">
        <v>2110101</v>
      </c>
      <c r="I450" s="13" t="s">
        <v>43</v>
      </c>
      <c r="J450" s="11" t="n">
        <v>1260157</v>
      </c>
      <c r="L450" s="11" t="n">
        <v>11620027</v>
      </c>
      <c r="M450" s="13" t="s">
        <v>44</v>
      </c>
      <c r="N450" s="13" t="s">
        <v>36</v>
      </c>
      <c r="P450" s="11" t="n">
        <v>128</v>
      </c>
      <c r="Q450" s="13" t="s">
        <v>45</v>
      </c>
      <c r="R450" s="13" t="s">
        <v>46</v>
      </c>
      <c r="S450" s="11" t="n">
        <v>1130101</v>
      </c>
      <c r="T450" s="13" t="s">
        <v>47</v>
      </c>
      <c r="U450" s="14" t="n">
        <v>1178.92</v>
      </c>
      <c r="W450" s="14" t="n">
        <v>0</v>
      </c>
      <c r="X450" s="13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518</v>
      </c>
      <c r="F451" s="11" t="n">
        <v>34</v>
      </c>
      <c r="G451" s="13" t="s">
        <v>33</v>
      </c>
      <c r="H451" s="11" t="n">
        <v>2110405</v>
      </c>
      <c r="I451" s="13" t="s">
        <v>34</v>
      </c>
      <c r="J451" s="11" t="n">
        <v>1273035</v>
      </c>
      <c r="L451" s="11" t="n">
        <v>199127</v>
      </c>
      <c r="M451" s="13" t="s">
        <v>44</v>
      </c>
      <c r="N451" s="13" t="s">
        <v>36</v>
      </c>
      <c r="P451" s="11" t="n">
        <v>101</v>
      </c>
      <c r="Q451" s="13" t="s">
        <v>37</v>
      </c>
      <c r="R451" s="13" t="s">
        <v>565</v>
      </c>
      <c r="S451" s="11" t="n">
        <v>2110707</v>
      </c>
      <c r="T451" s="13" t="s">
        <v>566</v>
      </c>
      <c r="U451" s="14" t="n">
        <v>2657.81</v>
      </c>
      <c r="W451" s="14" t="n">
        <v>0</v>
      </c>
      <c r="X451" s="13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568</v>
      </c>
      <c r="F452" s="11" t="n">
        <v>24</v>
      </c>
      <c r="G452" s="13" t="s">
        <v>42</v>
      </c>
      <c r="H452" s="11" t="n">
        <v>2110101</v>
      </c>
      <c r="I452" s="13" t="s">
        <v>43</v>
      </c>
      <c r="J452" s="11" t="n">
        <v>1273068</v>
      </c>
      <c r="L452" s="11" t="n">
        <v>526</v>
      </c>
      <c r="M452" s="13" t="s">
        <v>44</v>
      </c>
      <c r="N452" s="13" t="s">
        <v>36</v>
      </c>
      <c r="P452" s="11" t="n">
        <v>101</v>
      </c>
      <c r="Q452" s="13" t="s">
        <v>37</v>
      </c>
      <c r="R452" s="13" t="s">
        <v>565</v>
      </c>
      <c r="S452" s="11" t="n">
        <v>2110701</v>
      </c>
      <c r="T452" s="13" t="s">
        <v>569</v>
      </c>
      <c r="U452" s="14" t="n">
        <v>4267.28</v>
      </c>
      <c r="W452" s="14" t="n">
        <v>0</v>
      </c>
      <c r="X452" s="13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80</v>
      </c>
      <c r="F453" s="11" t="n">
        <v>13</v>
      </c>
      <c r="G453" s="13" t="s">
        <v>81</v>
      </c>
      <c r="H453" s="11" t="n">
        <v>2110101</v>
      </c>
      <c r="I453" s="13" t="s">
        <v>43</v>
      </c>
      <c r="J453" s="11" t="n">
        <v>1289186</v>
      </c>
      <c r="L453" s="11" t="n">
        <v>4294</v>
      </c>
      <c r="M453" s="13" t="s">
        <v>44</v>
      </c>
      <c r="N453" s="13" t="s">
        <v>69</v>
      </c>
      <c r="P453" s="11" t="n">
        <v>128</v>
      </c>
      <c r="Q453" s="13" t="s">
        <v>45</v>
      </c>
      <c r="R453" s="13" t="s">
        <v>46</v>
      </c>
      <c r="S453" s="11" t="n">
        <v>1130101</v>
      </c>
      <c r="T453" s="13" t="s">
        <v>47</v>
      </c>
      <c r="U453" s="14" t="n">
        <v>115</v>
      </c>
      <c r="W453" s="14" t="n">
        <v>115</v>
      </c>
      <c r="X453" s="13" t="s">
        <v>82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80</v>
      </c>
      <c r="F454" s="11" t="n">
        <v>13</v>
      </c>
      <c r="G454" s="13" t="s">
        <v>81</v>
      </c>
      <c r="H454" s="11" t="n">
        <v>2110101</v>
      </c>
      <c r="I454" s="13" t="s">
        <v>43</v>
      </c>
      <c r="J454" s="11" t="n">
        <v>1289537</v>
      </c>
      <c r="L454" s="11" t="n">
        <v>4297</v>
      </c>
      <c r="M454" s="13" t="s">
        <v>44</v>
      </c>
      <c r="N454" s="13" t="s">
        <v>69</v>
      </c>
      <c r="P454" s="11" t="n">
        <v>128</v>
      </c>
      <c r="Q454" s="13" t="s">
        <v>45</v>
      </c>
      <c r="R454" s="13" t="s">
        <v>46</v>
      </c>
      <c r="S454" s="11" t="n">
        <v>1130101</v>
      </c>
      <c r="T454" s="13" t="s">
        <v>47</v>
      </c>
      <c r="U454" s="14" t="n">
        <v>120</v>
      </c>
      <c r="W454" s="14" t="n">
        <v>120</v>
      </c>
      <c r="X454" s="13" t="s">
        <v>83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84</v>
      </c>
      <c r="F455" s="11" t="n">
        <v>24</v>
      </c>
      <c r="G455" s="13" t="s">
        <v>42</v>
      </c>
      <c r="H455" s="11" t="n">
        <v>2110101</v>
      </c>
      <c r="I455" s="13" t="s">
        <v>43</v>
      </c>
      <c r="J455" s="11" t="n">
        <v>1292047</v>
      </c>
      <c r="L455" s="11" t="n">
        <v>201975</v>
      </c>
      <c r="M455" s="13" t="s">
        <v>44</v>
      </c>
      <c r="N455" s="13" t="s">
        <v>36</v>
      </c>
      <c r="P455" s="11" t="n">
        <v>102</v>
      </c>
      <c r="Q455" s="13" t="s">
        <v>186</v>
      </c>
      <c r="R455" s="13" t="s">
        <v>46</v>
      </c>
      <c r="S455" s="11" t="n">
        <v>1130101</v>
      </c>
      <c r="T455" s="13" t="s">
        <v>47</v>
      </c>
      <c r="U455" s="14" t="n">
        <v>556.75</v>
      </c>
      <c r="W455" s="14" t="n">
        <v>0</v>
      </c>
      <c r="X455" s="13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32</v>
      </c>
      <c r="F456" s="11" t="n">
        <v>34</v>
      </c>
      <c r="G456" s="13" t="s">
        <v>33</v>
      </c>
      <c r="H456" s="11" t="n">
        <v>2110405</v>
      </c>
      <c r="I456" s="13" t="s">
        <v>34</v>
      </c>
      <c r="J456" s="11" t="n">
        <v>1306220</v>
      </c>
      <c r="L456" s="11" t="n">
        <v>203991</v>
      </c>
      <c r="M456" s="13" t="s">
        <v>35</v>
      </c>
      <c r="N456" s="13" t="s">
        <v>36</v>
      </c>
      <c r="P456" s="11" t="n">
        <v>101</v>
      </c>
      <c r="Q456" s="13" t="s">
        <v>37</v>
      </c>
      <c r="R456" s="13" t="s">
        <v>139</v>
      </c>
      <c r="S456" s="11" t="n">
        <v>2110901</v>
      </c>
      <c r="T456" s="13" t="s">
        <v>140</v>
      </c>
      <c r="U456" s="14" t="n">
        <v>6601.19</v>
      </c>
      <c r="W456" s="14" t="n">
        <v>0</v>
      </c>
      <c r="X456" s="13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41</v>
      </c>
      <c r="F457" s="11" t="n">
        <v>24</v>
      </c>
      <c r="G457" s="13" t="s">
        <v>42</v>
      </c>
      <c r="H457" s="11" t="n">
        <v>2110101</v>
      </c>
      <c r="I457" s="13" t="s">
        <v>43</v>
      </c>
      <c r="J457" s="11" t="n">
        <v>1096666</v>
      </c>
      <c r="L457" s="11" t="n">
        <v>16520495</v>
      </c>
      <c r="M457" s="13" t="s">
        <v>44</v>
      </c>
      <c r="N457" s="13" t="s">
        <v>36</v>
      </c>
      <c r="P457" s="11" t="n">
        <v>128</v>
      </c>
      <c r="Q457" s="13" t="s">
        <v>45</v>
      </c>
      <c r="R457" s="13" t="s">
        <v>46</v>
      </c>
      <c r="S457" s="11" t="n">
        <v>1130101</v>
      </c>
      <c r="T457" s="13" t="s">
        <v>47</v>
      </c>
      <c r="U457" s="14" t="n">
        <v>633.23</v>
      </c>
      <c r="W457" s="14" t="n">
        <v>0</v>
      </c>
      <c r="X457" s="13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nao encontrado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57</v>
      </c>
      <c r="F458" s="11" t="n">
        <v>24</v>
      </c>
      <c r="G458" s="13" t="s">
        <v>42</v>
      </c>
      <c r="H458" s="11" t="n">
        <v>2110101</v>
      </c>
      <c r="I458" s="13" t="s">
        <v>43</v>
      </c>
      <c r="J458" s="11" t="n">
        <v>1083168</v>
      </c>
      <c r="L458" s="11" t="n">
        <v>5687955</v>
      </c>
      <c r="M458" s="13" t="s">
        <v>44</v>
      </c>
      <c r="N458" s="13" t="s">
        <v>36</v>
      </c>
      <c r="P458" s="11" t="n">
        <v>128</v>
      </c>
      <c r="Q458" s="13" t="s">
        <v>45</v>
      </c>
      <c r="R458" s="13" t="s">
        <v>46</v>
      </c>
      <c r="S458" s="11" t="n">
        <v>1130101</v>
      </c>
      <c r="T458" s="13" t="s">
        <v>47</v>
      </c>
      <c r="U458" s="14" t="n">
        <v>408.42</v>
      </c>
      <c r="W458" s="14" t="n">
        <v>0</v>
      </c>
      <c r="X458" s="13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287</v>
      </c>
      <c r="F459" s="11" t="n">
        <v>24</v>
      </c>
      <c r="G459" s="13" t="s">
        <v>42</v>
      </c>
      <c r="H459" s="11" t="n">
        <v>2110101</v>
      </c>
      <c r="I459" s="13" t="s">
        <v>43</v>
      </c>
      <c r="J459" s="11" t="n">
        <v>1101944</v>
      </c>
      <c r="L459" s="11" t="n">
        <v>1549193</v>
      </c>
      <c r="M459" s="13" t="s">
        <v>44</v>
      </c>
      <c r="N459" s="13" t="s">
        <v>36</v>
      </c>
      <c r="P459" s="11" t="n">
        <v>129</v>
      </c>
      <c r="Q459" s="13" t="s">
        <v>102</v>
      </c>
      <c r="R459" s="13" t="s">
        <v>46</v>
      </c>
      <c r="S459" s="11" t="n">
        <v>1130101</v>
      </c>
      <c r="T459" s="13" t="s">
        <v>47</v>
      </c>
      <c r="U459" s="14" t="n">
        <v>565.55</v>
      </c>
      <c r="W459" s="14" t="n">
        <v>0</v>
      </c>
      <c r="X459" s="13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49</v>
      </c>
      <c r="F460" s="11" t="n">
        <v>24</v>
      </c>
      <c r="G460" s="13" t="s">
        <v>42</v>
      </c>
      <c r="H460" s="11" t="n">
        <v>2110101</v>
      </c>
      <c r="I460" s="13" t="s">
        <v>43</v>
      </c>
      <c r="J460" s="11" t="n">
        <v>1122121</v>
      </c>
      <c r="L460" s="11" t="n">
        <v>31890524</v>
      </c>
      <c r="M460" s="13" t="s">
        <v>44</v>
      </c>
      <c r="N460" s="13" t="s">
        <v>36</v>
      </c>
      <c r="P460" s="11" t="n">
        <v>128</v>
      </c>
      <c r="Q460" s="13" t="s">
        <v>45</v>
      </c>
      <c r="R460" s="13" t="s">
        <v>46</v>
      </c>
      <c r="S460" s="11" t="n">
        <v>1130101</v>
      </c>
      <c r="T460" s="13" t="s">
        <v>47</v>
      </c>
      <c r="U460" s="14" t="n">
        <v>435.02</v>
      </c>
      <c r="W460" s="14" t="n">
        <v>0</v>
      </c>
      <c r="X460" s="13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301</v>
      </c>
      <c r="F461" s="11" t="n">
        <v>24</v>
      </c>
      <c r="G461" s="13" t="s">
        <v>42</v>
      </c>
      <c r="H461" s="11" t="n">
        <v>2110101</v>
      </c>
      <c r="I461" s="13" t="s">
        <v>43</v>
      </c>
      <c r="J461" s="11" t="n">
        <v>1151060</v>
      </c>
      <c r="L461" s="11" t="n">
        <v>26563</v>
      </c>
      <c r="M461" s="13" t="s">
        <v>44</v>
      </c>
      <c r="N461" s="13" t="s">
        <v>36</v>
      </c>
      <c r="P461" s="11" t="n">
        <v>128</v>
      </c>
      <c r="Q461" s="13" t="s">
        <v>45</v>
      </c>
      <c r="R461" s="13" t="s">
        <v>46</v>
      </c>
      <c r="S461" s="11" t="n">
        <v>1130101</v>
      </c>
      <c r="T461" s="13" t="s">
        <v>47</v>
      </c>
      <c r="U461" s="14" t="n">
        <v>663.67</v>
      </c>
      <c r="W461" s="14" t="n">
        <v>0</v>
      </c>
      <c r="X461" s="13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251</v>
      </c>
      <c r="F462" s="11" t="n">
        <v>24</v>
      </c>
      <c r="G462" s="13" t="s">
        <v>42</v>
      </c>
      <c r="H462" s="11" t="n">
        <v>2110101</v>
      </c>
      <c r="I462" s="13" t="s">
        <v>43</v>
      </c>
      <c r="J462" s="11" t="n">
        <v>1166045</v>
      </c>
      <c r="L462" s="11" t="n">
        <v>8752972</v>
      </c>
      <c r="M462" s="13" t="s">
        <v>44</v>
      </c>
      <c r="N462" s="13" t="s">
        <v>36</v>
      </c>
      <c r="P462" s="11" t="n">
        <v>128</v>
      </c>
      <c r="Q462" s="13" t="s">
        <v>45</v>
      </c>
      <c r="R462" s="13" t="s">
        <v>46</v>
      </c>
      <c r="S462" s="11" t="n">
        <v>1130101</v>
      </c>
      <c r="T462" s="13" t="s">
        <v>47</v>
      </c>
      <c r="U462" s="14" t="n">
        <v>947.98</v>
      </c>
      <c r="W462" s="14" t="n">
        <v>0</v>
      </c>
      <c r="X462" s="13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55</v>
      </c>
      <c r="F463" s="11" t="n">
        <v>24</v>
      </c>
      <c r="G463" s="13" t="s">
        <v>42</v>
      </c>
      <c r="H463" s="11" t="n">
        <v>2110101</v>
      </c>
      <c r="I463" s="13" t="s">
        <v>43</v>
      </c>
      <c r="J463" s="11" t="n">
        <v>1188558</v>
      </c>
      <c r="L463" s="11" t="n">
        <v>2020062</v>
      </c>
      <c r="M463" s="13" t="s">
        <v>44</v>
      </c>
      <c r="N463" s="13" t="s">
        <v>36</v>
      </c>
      <c r="P463" s="11" t="n">
        <v>128</v>
      </c>
      <c r="Q463" s="13" t="s">
        <v>45</v>
      </c>
      <c r="R463" s="13" t="s">
        <v>46</v>
      </c>
      <c r="S463" s="11" t="n">
        <v>1130101</v>
      </c>
      <c r="T463" s="13" t="s">
        <v>47</v>
      </c>
      <c r="U463" s="14" t="n">
        <v>226.76</v>
      </c>
      <c r="W463" s="14" t="n">
        <v>0</v>
      </c>
      <c r="X463" s="13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408</v>
      </c>
      <c r="F464" s="11" t="n">
        <v>24</v>
      </c>
      <c r="G464" s="13" t="s">
        <v>42</v>
      </c>
      <c r="H464" s="11" t="n">
        <v>2110101</v>
      </c>
      <c r="I464" s="13" t="s">
        <v>43</v>
      </c>
      <c r="J464" s="11" t="n">
        <v>1196490</v>
      </c>
      <c r="L464" s="11" t="n">
        <v>7947402</v>
      </c>
      <c r="M464" s="13" t="s">
        <v>44</v>
      </c>
      <c r="N464" s="13" t="s">
        <v>36</v>
      </c>
      <c r="P464" s="11" t="n">
        <v>128</v>
      </c>
      <c r="Q464" s="13" t="s">
        <v>45</v>
      </c>
      <c r="R464" s="13" t="s">
        <v>46</v>
      </c>
      <c r="S464" s="11" t="n">
        <v>1130101</v>
      </c>
      <c r="T464" s="13" t="s">
        <v>47</v>
      </c>
      <c r="U464" s="14" t="n">
        <v>911.38</v>
      </c>
      <c r="W464" s="14" t="n">
        <v>0</v>
      </c>
      <c r="X464" s="13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67</v>
      </c>
      <c r="F465" s="11" t="n">
        <v>24</v>
      </c>
      <c r="G465" s="13" t="s">
        <v>42</v>
      </c>
      <c r="H465" s="11" t="n">
        <v>2110101</v>
      </c>
      <c r="I465" s="13" t="s">
        <v>43</v>
      </c>
      <c r="J465" s="11" t="n">
        <v>1196748</v>
      </c>
      <c r="L465" s="11" t="n">
        <v>13607902</v>
      </c>
      <c r="M465" s="13" t="s">
        <v>44</v>
      </c>
      <c r="N465" s="13" t="s">
        <v>36</v>
      </c>
      <c r="P465" s="11" t="n">
        <v>128</v>
      </c>
      <c r="Q465" s="13" t="s">
        <v>45</v>
      </c>
      <c r="R465" s="13" t="s">
        <v>46</v>
      </c>
      <c r="S465" s="11" t="n">
        <v>1130101</v>
      </c>
      <c r="T465" s="13" t="s">
        <v>47</v>
      </c>
      <c r="U465" s="14" t="n">
        <v>595.25</v>
      </c>
      <c r="W465" s="14" t="n">
        <v>0</v>
      </c>
      <c r="X465" s="13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301</v>
      </c>
      <c r="F466" s="11" t="n">
        <v>24</v>
      </c>
      <c r="G466" s="13" t="s">
        <v>42</v>
      </c>
      <c r="H466" s="11" t="n">
        <v>2110101</v>
      </c>
      <c r="I466" s="13" t="s">
        <v>43</v>
      </c>
      <c r="J466" s="11" t="n">
        <v>1221217</v>
      </c>
      <c r="L466" s="11" t="n">
        <v>28671</v>
      </c>
      <c r="M466" s="13" t="s">
        <v>44</v>
      </c>
      <c r="N466" s="13" t="s">
        <v>36</v>
      </c>
      <c r="P466" s="11" t="n">
        <v>128</v>
      </c>
      <c r="Q466" s="13" t="s">
        <v>45</v>
      </c>
      <c r="R466" s="13" t="s">
        <v>46</v>
      </c>
      <c r="S466" s="11" t="n">
        <v>1130101</v>
      </c>
      <c r="T466" s="13" t="s">
        <v>47</v>
      </c>
      <c r="U466" s="14" t="n">
        <v>594.75</v>
      </c>
      <c r="W466" s="14" t="n">
        <v>0</v>
      </c>
      <c r="X466" s="13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351</v>
      </c>
      <c r="F467" s="11" t="n">
        <v>24</v>
      </c>
      <c r="G467" s="13" t="s">
        <v>42</v>
      </c>
      <c r="H467" s="11" t="n">
        <v>2110101</v>
      </c>
      <c r="I467" s="13" t="s">
        <v>43</v>
      </c>
      <c r="J467" s="11" t="n">
        <v>1221271</v>
      </c>
      <c r="L467" s="11" t="n">
        <v>39214</v>
      </c>
      <c r="M467" s="13" t="s">
        <v>44</v>
      </c>
      <c r="N467" s="13" t="s">
        <v>69</v>
      </c>
      <c r="P467" s="11" t="n">
        <v>128</v>
      </c>
      <c r="Q467" s="13" t="s">
        <v>45</v>
      </c>
      <c r="R467" s="13" t="s">
        <v>46</v>
      </c>
      <c r="S467" s="11" t="n">
        <v>1130101</v>
      </c>
      <c r="T467" s="13" t="s">
        <v>47</v>
      </c>
      <c r="U467" s="14" t="n">
        <v>198.5</v>
      </c>
      <c r="W467" s="14" t="n">
        <v>0</v>
      </c>
      <c r="X467" s="13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373</v>
      </c>
      <c r="F468" s="11" t="n">
        <v>24</v>
      </c>
      <c r="G468" s="13" t="s">
        <v>42</v>
      </c>
      <c r="H468" s="11" t="n">
        <v>2110101</v>
      </c>
      <c r="I468" s="13" t="s">
        <v>43</v>
      </c>
      <c r="J468" s="11" t="n">
        <v>1221341</v>
      </c>
      <c r="L468" s="11" t="n">
        <v>1412292</v>
      </c>
      <c r="M468" s="13" t="s">
        <v>44</v>
      </c>
      <c r="N468" s="13" t="s">
        <v>36</v>
      </c>
      <c r="P468" s="11" t="n">
        <v>128</v>
      </c>
      <c r="Q468" s="13" t="s">
        <v>45</v>
      </c>
      <c r="R468" s="13" t="s">
        <v>46</v>
      </c>
      <c r="S468" s="11" t="n">
        <v>1130101</v>
      </c>
      <c r="T468" s="13" t="s">
        <v>47</v>
      </c>
      <c r="U468" s="14" t="n">
        <v>668.05</v>
      </c>
      <c r="W468" s="14" t="n">
        <v>0</v>
      </c>
      <c r="X468" s="13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373</v>
      </c>
      <c r="F469" s="11" t="n">
        <v>24</v>
      </c>
      <c r="G469" s="13" t="s">
        <v>42</v>
      </c>
      <c r="H469" s="11" t="n">
        <v>2110101</v>
      </c>
      <c r="I469" s="13" t="s">
        <v>43</v>
      </c>
      <c r="J469" s="11" t="n">
        <v>1221372</v>
      </c>
      <c r="L469" s="11" t="n">
        <v>1412293</v>
      </c>
      <c r="M469" s="13" t="s">
        <v>44</v>
      </c>
      <c r="N469" s="13" t="s">
        <v>36</v>
      </c>
      <c r="P469" s="11" t="n">
        <v>128</v>
      </c>
      <c r="Q469" s="13" t="s">
        <v>45</v>
      </c>
      <c r="R469" s="13" t="s">
        <v>46</v>
      </c>
      <c r="S469" s="11" t="n">
        <v>1130101</v>
      </c>
      <c r="T469" s="13" t="s">
        <v>47</v>
      </c>
      <c r="U469" s="14" t="n">
        <v>547.22</v>
      </c>
      <c r="W469" s="14" t="n">
        <v>0</v>
      </c>
      <c r="X469" s="13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53</v>
      </c>
      <c r="F470" s="11" t="n">
        <v>24</v>
      </c>
      <c r="G470" s="13" t="s">
        <v>42</v>
      </c>
      <c r="H470" s="11" t="n">
        <v>2110101</v>
      </c>
      <c r="I470" s="13" t="s">
        <v>43</v>
      </c>
      <c r="J470" s="11" t="n">
        <v>1223008</v>
      </c>
      <c r="L470" s="11" t="n">
        <v>4490991</v>
      </c>
      <c r="M470" s="13" t="s">
        <v>44</v>
      </c>
      <c r="N470" s="13" t="s">
        <v>36</v>
      </c>
      <c r="P470" s="11" t="n">
        <v>128</v>
      </c>
      <c r="Q470" s="13" t="s">
        <v>45</v>
      </c>
      <c r="R470" s="13" t="s">
        <v>46</v>
      </c>
      <c r="S470" s="11" t="n">
        <v>1130101</v>
      </c>
      <c r="T470" s="13" t="s">
        <v>47</v>
      </c>
      <c r="U470" s="14" t="n">
        <v>706.2</v>
      </c>
      <c r="W470" s="14" t="n">
        <v>0</v>
      </c>
      <c r="X470" s="13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HAMBURGUER FRIBOI BOVINO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587</v>
      </c>
      <c r="F471" s="11" t="n">
        <v>24</v>
      </c>
      <c r="G471" s="13" t="s">
        <v>42</v>
      </c>
      <c r="H471" s="11" t="n">
        <v>2110101</v>
      </c>
      <c r="I471" s="13" t="s">
        <v>43</v>
      </c>
      <c r="J471" s="11" t="n">
        <v>1226204</v>
      </c>
      <c r="L471" s="11" t="n">
        <v>51202</v>
      </c>
      <c r="M471" s="13" t="s">
        <v>44</v>
      </c>
      <c r="N471" s="13" t="s">
        <v>69</v>
      </c>
      <c r="P471" s="11" t="n">
        <v>128</v>
      </c>
      <c r="Q471" s="13" t="s">
        <v>45</v>
      </c>
      <c r="R471" s="13" t="s">
        <v>46</v>
      </c>
      <c r="S471" s="11" t="n">
        <v>1130101</v>
      </c>
      <c r="T471" s="13" t="s">
        <v>47</v>
      </c>
      <c r="U471" s="14" t="n">
        <v>263.27</v>
      </c>
      <c r="W471" s="14" t="n">
        <v>0</v>
      </c>
      <c r="X471" s="13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253</v>
      </c>
      <c r="F472" s="11" t="n">
        <v>24</v>
      </c>
      <c r="G472" s="13" t="s">
        <v>42</v>
      </c>
      <c r="H472" s="11" t="n">
        <v>2110101</v>
      </c>
      <c r="I472" s="13" t="s">
        <v>43</v>
      </c>
      <c r="J472" s="11" t="n">
        <v>1226679</v>
      </c>
      <c r="L472" s="11" t="n">
        <v>1030521</v>
      </c>
      <c r="M472" s="13" t="s">
        <v>44</v>
      </c>
      <c r="N472" s="13" t="s">
        <v>36</v>
      </c>
      <c r="P472" s="11" t="n">
        <v>128</v>
      </c>
      <c r="Q472" s="13" t="s">
        <v>45</v>
      </c>
      <c r="R472" s="13" t="s">
        <v>46</v>
      </c>
      <c r="S472" s="11" t="n">
        <v>1130101</v>
      </c>
      <c r="T472" s="13" t="s">
        <v>47</v>
      </c>
      <c r="U472" s="14" t="n">
        <v>593.7</v>
      </c>
      <c r="W472" s="14" t="n">
        <v>0</v>
      </c>
      <c r="X472" s="13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590</v>
      </c>
      <c r="F473" s="11" t="n">
        <v>24</v>
      </c>
      <c r="G473" s="13" t="s">
        <v>42</v>
      </c>
      <c r="H473" s="11" t="n">
        <v>2110405</v>
      </c>
      <c r="I473" s="13" t="s">
        <v>34</v>
      </c>
      <c r="J473" s="11" t="n">
        <v>1226789</v>
      </c>
      <c r="L473" s="11" t="n">
        <v>192037</v>
      </c>
      <c r="M473" s="13" t="s">
        <v>44</v>
      </c>
      <c r="N473" s="13" t="s">
        <v>36</v>
      </c>
      <c r="P473" s="11" t="n">
        <v>101</v>
      </c>
      <c r="Q473" s="13" t="s">
        <v>37</v>
      </c>
      <c r="R473" s="13" t="s">
        <v>72</v>
      </c>
      <c r="S473" s="11" t="n">
        <v>4210315</v>
      </c>
      <c r="T473" s="13" t="s">
        <v>438</v>
      </c>
      <c r="U473" s="14" t="n">
        <v>595.9</v>
      </c>
      <c r="W473" s="14" t="n">
        <v>0</v>
      </c>
      <c r="X473" s="13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592</v>
      </c>
      <c r="F474" s="11" t="n">
        <v>24</v>
      </c>
      <c r="G474" s="13" t="s">
        <v>42</v>
      </c>
      <c r="H474" s="11" t="n">
        <v>2110101</v>
      </c>
      <c r="I474" s="13" t="s">
        <v>43</v>
      </c>
      <c r="J474" s="11" t="n">
        <v>1235177</v>
      </c>
      <c r="L474" s="11" t="n">
        <v>3460351</v>
      </c>
      <c r="M474" s="13" t="s">
        <v>44</v>
      </c>
      <c r="N474" s="13" t="s">
        <v>36</v>
      </c>
      <c r="P474" s="11" t="n">
        <v>128</v>
      </c>
      <c r="Q474" s="13" t="s">
        <v>45</v>
      </c>
      <c r="R474" s="13" t="s">
        <v>46</v>
      </c>
      <c r="S474" s="11" t="n">
        <v>1130101</v>
      </c>
      <c r="T474" s="13" t="s">
        <v>47</v>
      </c>
      <c r="U474" s="14" t="n">
        <v>1108.36</v>
      </c>
      <c r="W474" s="14" t="n">
        <v>0</v>
      </c>
      <c r="X474" s="13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CLARA 400G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594</v>
      </c>
      <c r="F475" s="11" t="n">
        <v>24</v>
      </c>
      <c r="G475" s="13" t="s">
        <v>42</v>
      </c>
      <c r="H475" s="11" t="n">
        <v>2110101</v>
      </c>
      <c r="I475" s="13" t="s">
        <v>43</v>
      </c>
      <c r="J475" s="11" t="n">
        <v>1255877</v>
      </c>
      <c r="L475" s="11" t="n">
        <v>186571</v>
      </c>
      <c r="M475" s="13" t="s">
        <v>44</v>
      </c>
      <c r="N475" s="13" t="s">
        <v>36</v>
      </c>
      <c r="P475" s="11" t="n">
        <v>128</v>
      </c>
      <c r="Q475" s="13" t="s">
        <v>45</v>
      </c>
      <c r="R475" s="13" t="s">
        <v>46</v>
      </c>
      <c r="S475" s="11" t="n">
        <v>1130101</v>
      </c>
      <c r="T475" s="13" t="s">
        <v>47</v>
      </c>
      <c r="U475" s="14" t="n">
        <v>835.76</v>
      </c>
      <c r="W475" s="14" t="n">
        <v>0</v>
      </c>
      <c r="X475" s="13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84</v>
      </c>
      <c r="F476" s="11" t="n">
        <v>24</v>
      </c>
      <c r="G476" s="13" t="s">
        <v>42</v>
      </c>
      <c r="H476" s="11" t="n">
        <v>2110101</v>
      </c>
      <c r="I476" s="13" t="s">
        <v>43</v>
      </c>
      <c r="J476" s="11" t="n">
        <v>1295753</v>
      </c>
      <c r="L476" s="11" t="n">
        <v>202455</v>
      </c>
      <c r="M476" s="13" t="s">
        <v>44</v>
      </c>
      <c r="N476" s="13" t="s">
        <v>36</v>
      </c>
      <c r="P476" s="11" t="n">
        <v>101</v>
      </c>
      <c r="Q476" s="13" t="s">
        <v>37</v>
      </c>
      <c r="R476" s="13" t="s">
        <v>85</v>
      </c>
      <c r="S476" s="11" t="n">
        <v>4210501</v>
      </c>
      <c r="T476" s="13" t="s">
        <v>86</v>
      </c>
      <c r="U476" s="14" t="n">
        <v>165.82</v>
      </c>
      <c r="W476" s="14" t="n">
        <v>0</v>
      </c>
      <c r="X476" s="13" t="s">
        <v>596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78</v>
      </c>
      <c r="F477" s="11" t="n">
        <v>24</v>
      </c>
      <c r="G477" s="13" t="s">
        <v>42</v>
      </c>
      <c r="H477" s="11" t="n">
        <v>2110101</v>
      </c>
      <c r="I477" s="13" t="s">
        <v>43</v>
      </c>
      <c r="J477" s="11" t="n">
        <v>1288970</v>
      </c>
      <c r="L477" s="11" t="n">
        <v>50417692</v>
      </c>
      <c r="M477" s="13" t="s">
        <v>44</v>
      </c>
      <c r="N477" s="13" t="s">
        <v>36</v>
      </c>
      <c r="P477" s="11" t="n">
        <v>128</v>
      </c>
      <c r="Q477" s="13" t="s">
        <v>45</v>
      </c>
      <c r="R477" s="13" t="s">
        <v>46</v>
      </c>
      <c r="S477" s="11" t="n">
        <v>1130101</v>
      </c>
      <c r="T477" s="13" t="s">
        <v>47</v>
      </c>
      <c r="U477" s="14" t="n">
        <v>542.08</v>
      </c>
      <c r="W477" s="14" t="n">
        <v>0</v>
      </c>
      <c r="X477" s="13" t="s">
        <v>597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80</v>
      </c>
      <c r="F478" s="11" t="n">
        <v>13</v>
      </c>
      <c r="G478" s="13" t="s">
        <v>81</v>
      </c>
      <c r="H478" s="11" t="n">
        <v>2110101</v>
      </c>
      <c r="I478" s="13" t="s">
        <v>43</v>
      </c>
      <c r="J478" s="11" t="n">
        <v>1294628</v>
      </c>
      <c r="L478" s="11" t="n">
        <v>4300</v>
      </c>
      <c r="M478" s="13" t="s">
        <v>44</v>
      </c>
      <c r="N478" s="13" t="s">
        <v>69</v>
      </c>
      <c r="P478" s="11" t="n">
        <v>128</v>
      </c>
      <c r="Q478" s="13" t="s">
        <v>45</v>
      </c>
      <c r="R478" s="13" t="s">
        <v>46</v>
      </c>
      <c r="S478" s="11" t="n">
        <v>1130101</v>
      </c>
      <c r="T478" s="13" t="s">
        <v>47</v>
      </c>
      <c r="U478" s="14" t="n">
        <v>115</v>
      </c>
      <c r="W478" s="14" t="n">
        <v>115</v>
      </c>
      <c r="X478" s="13" t="s">
        <v>82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80</v>
      </c>
      <c r="F479" s="11" t="n">
        <v>13</v>
      </c>
      <c r="G479" s="13" t="s">
        <v>81</v>
      </c>
      <c r="H479" s="11" t="n">
        <v>2110101</v>
      </c>
      <c r="I479" s="13" t="s">
        <v>43</v>
      </c>
      <c r="J479" s="11" t="n">
        <v>1294636</v>
      </c>
      <c r="L479" s="11" t="n">
        <v>4301</v>
      </c>
      <c r="M479" s="13" t="s">
        <v>44</v>
      </c>
      <c r="N479" s="13" t="s">
        <v>69</v>
      </c>
      <c r="P479" s="11" t="n">
        <v>128</v>
      </c>
      <c r="Q479" s="13" t="s">
        <v>45</v>
      </c>
      <c r="R479" s="13" t="s">
        <v>46</v>
      </c>
      <c r="S479" s="11" t="n">
        <v>1130101</v>
      </c>
      <c r="T479" s="13" t="s">
        <v>47</v>
      </c>
      <c r="U479" s="14" t="n">
        <v>120</v>
      </c>
      <c r="W479" s="14" t="n">
        <v>120</v>
      </c>
      <c r="X479" s="13" t="s">
        <v>83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112</v>
      </c>
      <c r="F480" s="11" t="n">
        <v>13</v>
      </c>
      <c r="G480" s="13" t="s">
        <v>81</v>
      </c>
      <c r="H480" s="11" t="n">
        <v>2110101</v>
      </c>
      <c r="I480" s="13" t="s">
        <v>43</v>
      </c>
      <c r="J480" s="11" t="n">
        <v>1298961</v>
      </c>
      <c r="L480" s="11" t="n">
        <v>723</v>
      </c>
      <c r="M480" s="13" t="s">
        <v>44</v>
      </c>
      <c r="N480" s="13" t="s">
        <v>69</v>
      </c>
      <c r="P480" s="11" t="n">
        <v>128</v>
      </c>
      <c r="Q480" s="13" t="s">
        <v>45</v>
      </c>
      <c r="R480" s="13" t="s">
        <v>46</v>
      </c>
      <c r="S480" s="11" t="n">
        <v>1130101</v>
      </c>
      <c r="T480" s="13" t="s">
        <v>47</v>
      </c>
      <c r="U480" s="14" t="n">
        <v>270</v>
      </c>
      <c r="W480" s="14" t="n">
        <v>270</v>
      </c>
      <c r="X480" s="13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170</v>
      </c>
      <c r="F481" s="11" t="n">
        <v>24</v>
      </c>
      <c r="G481" s="13" t="s">
        <v>42</v>
      </c>
      <c r="H481" s="11" t="n">
        <v>2110101</v>
      </c>
      <c r="I481" s="13" t="s">
        <v>43</v>
      </c>
      <c r="J481" s="11" t="n">
        <v>1196467</v>
      </c>
      <c r="L481" s="11" t="n">
        <v>12326072</v>
      </c>
      <c r="M481" s="13" t="s">
        <v>44</v>
      </c>
      <c r="N481" s="13" t="s">
        <v>36</v>
      </c>
      <c r="P481" s="11" t="n">
        <v>128</v>
      </c>
      <c r="Q481" s="13" t="s">
        <v>45</v>
      </c>
      <c r="R481" s="13" t="s">
        <v>46</v>
      </c>
      <c r="S481" s="11" t="n">
        <v>1130101</v>
      </c>
      <c r="T481" s="13" t="s">
        <v>47</v>
      </c>
      <c r="U481" s="14" t="n">
        <v>742.93</v>
      </c>
      <c r="W481" s="14" t="n">
        <v>0</v>
      </c>
      <c r="X481" s="13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53</v>
      </c>
      <c r="F482" s="11" t="n">
        <v>24</v>
      </c>
      <c r="G482" s="13" t="s">
        <v>42</v>
      </c>
      <c r="H482" s="11" t="n">
        <v>2110101</v>
      </c>
      <c r="I482" s="13" t="s">
        <v>43</v>
      </c>
      <c r="J482" s="11" t="n">
        <v>1197430</v>
      </c>
      <c r="L482" s="11" t="n">
        <v>4485762</v>
      </c>
      <c r="M482" s="13" t="s">
        <v>44</v>
      </c>
      <c r="N482" s="13" t="s">
        <v>36</v>
      </c>
      <c r="P482" s="11" t="n">
        <v>128</v>
      </c>
      <c r="Q482" s="13" t="s">
        <v>45</v>
      </c>
      <c r="R482" s="13" t="s">
        <v>46</v>
      </c>
      <c r="S482" s="11" t="n">
        <v>1130101</v>
      </c>
      <c r="T482" s="13" t="s">
        <v>47</v>
      </c>
      <c r="U482" s="14" t="n">
        <v>1491.45</v>
      </c>
      <c r="W482" s="14" t="n">
        <v>0</v>
      </c>
      <c r="X482" s="13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170</v>
      </c>
      <c r="F483" s="11" t="n">
        <v>24</v>
      </c>
      <c r="G483" s="13" t="s">
        <v>42</v>
      </c>
      <c r="H483" s="11" t="n">
        <v>2110101</v>
      </c>
      <c r="I483" s="13" t="s">
        <v>43</v>
      </c>
      <c r="J483" s="11" t="n">
        <v>1230753</v>
      </c>
      <c r="L483" s="11" t="n">
        <v>12346571</v>
      </c>
      <c r="M483" s="13" t="s">
        <v>44</v>
      </c>
      <c r="N483" s="13" t="s">
        <v>36</v>
      </c>
      <c r="P483" s="11" t="n">
        <v>128</v>
      </c>
      <c r="Q483" s="13" t="s">
        <v>45</v>
      </c>
      <c r="R483" s="13" t="s">
        <v>46</v>
      </c>
      <c r="S483" s="11" t="n">
        <v>1130101</v>
      </c>
      <c r="T483" s="13" t="s">
        <v>47</v>
      </c>
      <c r="U483" s="14" t="n">
        <v>1155.4</v>
      </c>
      <c r="W483" s="14" t="n">
        <v>0</v>
      </c>
      <c r="X483" s="13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67</v>
      </c>
      <c r="F484" s="11" t="n">
        <v>24</v>
      </c>
      <c r="G484" s="13" t="s">
        <v>42</v>
      </c>
      <c r="H484" s="11" t="n">
        <v>2110101</v>
      </c>
      <c r="I484" s="13" t="s">
        <v>43</v>
      </c>
      <c r="J484" s="11" t="n">
        <v>1231139</v>
      </c>
      <c r="L484" s="11" t="n">
        <v>13661221</v>
      </c>
      <c r="M484" s="13" t="s">
        <v>44</v>
      </c>
      <c r="N484" s="13" t="s">
        <v>36</v>
      </c>
      <c r="P484" s="11" t="n">
        <v>128</v>
      </c>
      <c r="Q484" s="13" t="s">
        <v>45</v>
      </c>
      <c r="R484" s="13" t="s">
        <v>46</v>
      </c>
      <c r="S484" s="11" t="n">
        <v>1130101</v>
      </c>
      <c r="T484" s="13" t="s">
        <v>47</v>
      </c>
      <c r="U484" s="14" t="n">
        <v>441.5</v>
      </c>
      <c r="W484" s="14" t="n">
        <v>0</v>
      </c>
      <c r="X484" s="13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80</v>
      </c>
      <c r="F485" s="11" t="n">
        <v>34</v>
      </c>
      <c r="G485" s="13" t="s">
        <v>33</v>
      </c>
      <c r="H485" s="11" t="n">
        <v>2110101</v>
      </c>
      <c r="I485" s="13" t="s">
        <v>43</v>
      </c>
      <c r="J485" s="11" t="n">
        <v>1241187</v>
      </c>
      <c r="L485" s="11" t="n">
        <v>4262</v>
      </c>
      <c r="M485" s="13" t="s">
        <v>44</v>
      </c>
      <c r="N485" s="13" t="s">
        <v>69</v>
      </c>
      <c r="P485" s="11" t="n">
        <v>128</v>
      </c>
      <c r="Q485" s="13" t="s">
        <v>45</v>
      </c>
      <c r="R485" s="13" t="s">
        <v>46</v>
      </c>
      <c r="S485" s="11" t="n">
        <v>1130101</v>
      </c>
      <c r="T485" s="13" t="s">
        <v>47</v>
      </c>
      <c r="U485" s="14" t="n">
        <v>260</v>
      </c>
      <c r="W485" s="14" t="n">
        <v>0</v>
      </c>
      <c r="X485" s="13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76</v>
      </c>
      <c r="F486" s="11" t="n">
        <v>24</v>
      </c>
      <c r="G486" s="13" t="s">
        <v>42</v>
      </c>
      <c r="H486" s="11" t="n">
        <v>2110101</v>
      </c>
      <c r="I486" s="13" t="s">
        <v>43</v>
      </c>
      <c r="J486" s="11" t="n">
        <v>1256689</v>
      </c>
      <c r="L486" s="11" t="n">
        <v>53342</v>
      </c>
      <c r="M486" s="13" t="s">
        <v>44</v>
      </c>
      <c r="N486" s="13" t="s">
        <v>36</v>
      </c>
      <c r="P486" s="11" t="n">
        <v>128</v>
      </c>
      <c r="Q486" s="13" t="s">
        <v>45</v>
      </c>
      <c r="R486" s="13" t="s">
        <v>46</v>
      </c>
      <c r="S486" s="11" t="n">
        <v>1130101</v>
      </c>
      <c r="T486" s="13" t="s">
        <v>47</v>
      </c>
      <c r="U486" s="14" t="n">
        <v>5746</v>
      </c>
      <c r="W486" s="14" t="n">
        <v>0</v>
      </c>
      <c r="X486" s="13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594</v>
      </c>
      <c r="F487" s="11" t="n">
        <v>34</v>
      </c>
      <c r="G487" s="13" t="s">
        <v>33</v>
      </c>
      <c r="H487" s="11" t="n">
        <v>2110101</v>
      </c>
      <c r="I487" s="13" t="s">
        <v>43</v>
      </c>
      <c r="J487" s="11" t="n">
        <v>1260233</v>
      </c>
      <c r="L487" s="11" t="n">
        <v>197017</v>
      </c>
      <c r="M487" s="13" t="s">
        <v>44</v>
      </c>
      <c r="N487" s="13" t="s">
        <v>36</v>
      </c>
      <c r="P487" s="11" t="n">
        <v>128</v>
      </c>
      <c r="Q487" s="13" t="s">
        <v>45</v>
      </c>
      <c r="R487" s="13" t="s">
        <v>46</v>
      </c>
      <c r="S487" s="11" t="n">
        <v>1130101</v>
      </c>
      <c r="T487" s="13" t="s">
        <v>47</v>
      </c>
      <c r="U487" s="14" t="n">
        <v>390</v>
      </c>
      <c r="W487" s="14" t="n">
        <v>0</v>
      </c>
      <c r="X487" s="13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223</v>
      </c>
      <c r="F488" s="11" t="n">
        <v>24</v>
      </c>
      <c r="G488" s="13" t="s">
        <v>42</v>
      </c>
      <c r="H488" s="11" t="n">
        <v>2110101</v>
      </c>
      <c r="I488" s="13" t="s">
        <v>43</v>
      </c>
      <c r="J488" s="11" t="n">
        <v>1264980</v>
      </c>
      <c r="L488" s="11" t="n">
        <v>1574601</v>
      </c>
      <c r="M488" s="13" t="s">
        <v>44</v>
      </c>
      <c r="N488" s="13" t="s">
        <v>36</v>
      </c>
      <c r="P488" s="11" t="n">
        <v>128</v>
      </c>
      <c r="Q488" s="13" t="s">
        <v>45</v>
      </c>
      <c r="R488" s="13" t="s">
        <v>46</v>
      </c>
      <c r="S488" s="11" t="n">
        <v>1130101</v>
      </c>
      <c r="T488" s="13" t="s">
        <v>47</v>
      </c>
      <c r="U488" s="14" t="n">
        <v>552</v>
      </c>
      <c r="W488" s="14" t="n">
        <v>0</v>
      </c>
      <c r="X488" s="13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80</v>
      </c>
      <c r="F489" s="11" t="n">
        <v>34</v>
      </c>
      <c r="G489" s="13" t="s">
        <v>33</v>
      </c>
      <c r="H489" s="11" t="n">
        <v>2110101</v>
      </c>
      <c r="I489" s="13" t="s">
        <v>43</v>
      </c>
      <c r="J489" s="11" t="n">
        <v>1273898</v>
      </c>
      <c r="L489" s="11" t="n">
        <v>4291</v>
      </c>
      <c r="M489" s="13" t="s">
        <v>44</v>
      </c>
      <c r="N489" s="13" t="s">
        <v>69</v>
      </c>
      <c r="P489" s="11" t="n">
        <v>128</v>
      </c>
      <c r="Q489" s="13" t="s">
        <v>45</v>
      </c>
      <c r="R489" s="13" t="s">
        <v>46</v>
      </c>
      <c r="S489" s="11" t="n">
        <v>1130101</v>
      </c>
      <c r="T489" s="13" t="s">
        <v>47</v>
      </c>
      <c r="U489" s="14" t="n">
        <v>2624</v>
      </c>
      <c r="W489" s="14" t="n">
        <v>0</v>
      </c>
      <c r="X489" s="13" t="s">
        <v>129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130</v>
      </c>
      <c r="F490" s="11" t="n">
        <v>34</v>
      </c>
      <c r="G490" s="13" t="s">
        <v>33</v>
      </c>
      <c r="H490" s="11" t="n">
        <v>2110101</v>
      </c>
      <c r="I490" s="13" t="s">
        <v>43</v>
      </c>
      <c r="J490" s="11" t="n">
        <v>1273904</v>
      </c>
      <c r="L490" s="11" t="n">
        <v>14714</v>
      </c>
      <c r="M490" s="13" t="s">
        <v>44</v>
      </c>
      <c r="N490" s="13" t="s">
        <v>69</v>
      </c>
      <c r="P490" s="11" t="n">
        <v>128</v>
      </c>
      <c r="Q490" s="13" t="s">
        <v>45</v>
      </c>
      <c r="R490" s="13" t="s">
        <v>46</v>
      </c>
      <c r="S490" s="11" t="n">
        <v>1130101</v>
      </c>
      <c r="T490" s="13" t="s">
        <v>47</v>
      </c>
      <c r="U490" s="14" t="n">
        <v>170</v>
      </c>
      <c r="W490" s="14" t="n">
        <v>0</v>
      </c>
      <c r="X490" s="13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130</v>
      </c>
      <c r="F491" s="11" t="n">
        <v>34</v>
      </c>
      <c r="G491" s="13" t="s">
        <v>33</v>
      </c>
      <c r="H491" s="11" t="n">
        <v>2110101</v>
      </c>
      <c r="I491" s="13" t="s">
        <v>43</v>
      </c>
      <c r="J491" s="11" t="n">
        <v>1273906</v>
      </c>
      <c r="L491" s="11" t="n">
        <v>199289</v>
      </c>
      <c r="M491" s="13" t="s">
        <v>44</v>
      </c>
      <c r="N491" s="13" t="s">
        <v>36</v>
      </c>
      <c r="P491" s="11" t="n">
        <v>128</v>
      </c>
      <c r="Q491" s="13" t="s">
        <v>45</v>
      </c>
      <c r="R491" s="13" t="s">
        <v>46</v>
      </c>
      <c r="S491" s="11" t="n">
        <v>1130101</v>
      </c>
      <c r="T491" s="13" t="s">
        <v>47</v>
      </c>
      <c r="U491" s="14" t="n">
        <v>216</v>
      </c>
      <c r="W491" s="14" t="n">
        <v>0</v>
      </c>
      <c r="X491" s="13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608</v>
      </c>
      <c r="F492" s="11" t="n">
        <v>34</v>
      </c>
      <c r="G492" s="13" t="s">
        <v>33</v>
      </c>
      <c r="H492" s="11" t="n">
        <v>2110101</v>
      </c>
      <c r="I492" s="13" t="s">
        <v>43</v>
      </c>
      <c r="J492" s="11" t="n">
        <v>1299087</v>
      </c>
      <c r="L492" s="11" t="n">
        <v>27</v>
      </c>
      <c r="M492" s="13" t="s">
        <v>44</v>
      </c>
      <c r="N492" s="13" t="s">
        <v>69</v>
      </c>
      <c r="P492" s="11" t="n">
        <v>128</v>
      </c>
      <c r="Q492" s="13" t="s">
        <v>45</v>
      </c>
      <c r="R492" s="13" t="s">
        <v>46</v>
      </c>
      <c r="S492" s="11" t="n">
        <v>1130101</v>
      </c>
      <c r="T492" s="13" t="s">
        <v>47</v>
      </c>
      <c r="U492" s="14" t="n">
        <v>120</v>
      </c>
      <c r="W492" s="14" t="n">
        <v>0</v>
      </c>
      <c r="X492" s="13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84</v>
      </c>
      <c r="F493" s="11" t="n">
        <v>24</v>
      </c>
      <c r="G493" s="13" t="s">
        <v>42</v>
      </c>
      <c r="H493" s="11" t="n">
        <v>2110101</v>
      </c>
      <c r="I493" s="13" t="s">
        <v>43</v>
      </c>
      <c r="J493" s="11" t="n">
        <v>1300929</v>
      </c>
      <c r="L493" s="11" t="n">
        <v>203180</v>
      </c>
      <c r="M493" s="13" t="s">
        <v>44</v>
      </c>
      <c r="N493" s="13" t="s">
        <v>36</v>
      </c>
      <c r="P493" s="11" t="n">
        <v>101</v>
      </c>
      <c r="Q493" s="13" t="s">
        <v>37</v>
      </c>
      <c r="R493" s="13" t="s">
        <v>85</v>
      </c>
      <c r="S493" s="11" t="n">
        <v>4210501</v>
      </c>
      <c r="T493" s="13" t="s">
        <v>86</v>
      </c>
      <c r="U493" s="14" t="n">
        <v>88.04</v>
      </c>
      <c r="W493" s="14" t="n">
        <v>0</v>
      </c>
      <c r="X493" s="13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611</v>
      </c>
      <c r="F494" s="11" t="n">
        <v>2</v>
      </c>
      <c r="G494" s="13" t="s">
        <v>482</v>
      </c>
      <c r="H494" s="11" t="n">
        <v>2110405</v>
      </c>
      <c r="I494" s="13" t="s">
        <v>34</v>
      </c>
      <c r="J494" s="11" t="n">
        <v>1107233</v>
      </c>
      <c r="L494" s="11" t="n">
        <v>174070</v>
      </c>
      <c r="M494" s="13" t="s">
        <v>44</v>
      </c>
      <c r="N494" s="13" t="s">
        <v>36</v>
      </c>
      <c r="P494" s="11" t="n">
        <v>128</v>
      </c>
      <c r="Q494" s="13" t="s">
        <v>45</v>
      </c>
      <c r="R494" s="13" t="s">
        <v>38</v>
      </c>
      <c r="S494" s="11" t="n">
        <v>4210227</v>
      </c>
      <c r="T494" s="13" t="s">
        <v>196</v>
      </c>
      <c r="U494" s="14" t="n">
        <v>711.75</v>
      </c>
      <c r="W494" s="14" t="n">
        <v>0</v>
      </c>
      <c r="X494" s="13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nao encontrado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613</v>
      </c>
      <c r="F495" s="11" t="n">
        <v>2</v>
      </c>
      <c r="G495" s="13" t="s">
        <v>482</v>
      </c>
      <c r="H495" s="11" t="n">
        <v>2110102</v>
      </c>
      <c r="I495" s="13" t="s">
        <v>614</v>
      </c>
      <c r="J495" s="11" t="n">
        <v>315650</v>
      </c>
      <c r="L495" s="11" t="n">
        <v>86749</v>
      </c>
      <c r="M495" s="13" t="s">
        <v>525</v>
      </c>
      <c r="N495" s="13" t="s">
        <v>69</v>
      </c>
      <c r="P495" s="11" t="n">
        <v>163</v>
      </c>
      <c r="Q495" s="13" t="s">
        <v>102</v>
      </c>
      <c r="R495" s="13" t="s">
        <v>38</v>
      </c>
      <c r="S495" s="11" t="n">
        <v>4210204</v>
      </c>
      <c r="T495" s="13" t="s">
        <v>615</v>
      </c>
      <c r="U495" s="14" t="n">
        <v>47.99</v>
      </c>
      <c r="W495" s="14" t="n">
        <v>0</v>
      </c>
      <c r="X495" s="13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617</v>
      </c>
      <c r="F496" s="11" t="n">
        <v>2</v>
      </c>
      <c r="G496" s="13" t="s">
        <v>482</v>
      </c>
      <c r="H496" s="11" t="n">
        <v>2110405</v>
      </c>
      <c r="I496" s="13" t="s">
        <v>34</v>
      </c>
      <c r="J496" s="11" t="n">
        <v>777941</v>
      </c>
      <c r="L496" s="11" t="n">
        <v>123778</v>
      </c>
      <c r="M496" s="13" t="s">
        <v>525</v>
      </c>
      <c r="N496" s="13" t="s">
        <v>36</v>
      </c>
      <c r="P496" s="11" t="n">
        <v>129</v>
      </c>
      <c r="Q496" s="13" t="s">
        <v>102</v>
      </c>
      <c r="R496" s="13" t="s">
        <v>38</v>
      </c>
      <c r="S496" s="11" t="n">
        <v>4210227</v>
      </c>
      <c r="T496" s="13" t="s">
        <v>196</v>
      </c>
      <c r="U496" s="14" t="n">
        <v>55.2</v>
      </c>
      <c r="W496" s="14" t="n">
        <v>0</v>
      </c>
      <c r="X496" s="13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619</v>
      </c>
      <c r="F497" s="11" t="n">
        <v>2</v>
      </c>
      <c r="G497" s="13" t="s">
        <v>482</v>
      </c>
      <c r="H497" s="11" t="n">
        <v>2110405</v>
      </c>
      <c r="I497" s="13" t="s">
        <v>34</v>
      </c>
      <c r="J497" s="11" t="n">
        <v>999534</v>
      </c>
      <c r="L497" s="11" t="n">
        <v>157590</v>
      </c>
      <c r="M497" s="13" t="s">
        <v>44</v>
      </c>
      <c r="N497" s="13" t="s">
        <v>36</v>
      </c>
      <c r="P497" s="11" t="n">
        <v>128</v>
      </c>
      <c r="Q497" s="13" t="s">
        <v>45</v>
      </c>
      <c r="R497" s="13" t="s">
        <v>38</v>
      </c>
      <c r="S497" s="11" t="n">
        <v>4210227</v>
      </c>
      <c r="T497" s="13" t="s">
        <v>196</v>
      </c>
      <c r="U497" s="14" t="n">
        <v>127.68</v>
      </c>
      <c r="W497" s="14" t="n">
        <v>0</v>
      </c>
      <c r="X497" s="13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251</v>
      </c>
      <c r="F498" s="11" t="n">
        <v>24</v>
      </c>
      <c r="G498" s="13" t="s">
        <v>42</v>
      </c>
      <c r="H498" s="11" t="n">
        <v>2110101</v>
      </c>
      <c r="I498" s="13" t="s">
        <v>43</v>
      </c>
      <c r="J498" s="11" t="n">
        <v>1062372</v>
      </c>
      <c r="L498" s="11" t="n">
        <v>8701272</v>
      </c>
      <c r="M498" s="13" t="s">
        <v>44</v>
      </c>
      <c r="N498" s="13" t="s">
        <v>36</v>
      </c>
      <c r="P498" s="11" t="n">
        <v>128</v>
      </c>
      <c r="Q498" s="13" t="s">
        <v>45</v>
      </c>
      <c r="R498" s="13" t="s">
        <v>46</v>
      </c>
      <c r="S498" s="11" t="n">
        <v>1130101</v>
      </c>
      <c r="T498" s="13" t="s">
        <v>47</v>
      </c>
      <c r="U498" s="14" t="n">
        <v>616.08</v>
      </c>
      <c r="W498" s="14" t="n">
        <v>0</v>
      </c>
      <c r="X498" s="13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113</v>
      </c>
      <c r="F499" s="11" t="n">
        <v>24</v>
      </c>
      <c r="G499" s="13" t="s">
        <v>42</v>
      </c>
      <c r="H499" s="11" t="n">
        <v>2110101</v>
      </c>
      <c r="I499" s="13" t="s">
        <v>43</v>
      </c>
      <c r="J499" s="11" t="n">
        <v>1196427</v>
      </c>
      <c r="L499" s="11" t="n">
        <v>2126412</v>
      </c>
      <c r="M499" s="13" t="s">
        <v>44</v>
      </c>
      <c r="N499" s="13" t="s">
        <v>36</v>
      </c>
      <c r="P499" s="11" t="n">
        <v>128</v>
      </c>
      <c r="Q499" s="13" t="s">
        <v>45</v>
      </c>
      <c r="R499" s="13" t="s">
        <v>46</v>
      </c>
      <c r="S499" s="11" t="n">
        <v>1130101</v>
      </c>
      <c r="T499" s="13" t="s">
        <v>47</v>
      </c>
      <c r="U499" s="14" t="n">
        <v>458.31</v>
      </c>
      <c r="W499" s="14" t="n">
        <v>0</v>
      </c>
      <c r="X499" s="13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623</v>
      </c>
      <c r="F500" s="11" t="n">
        <v>2</v>
      </c>
      <c r="G500" s="13" t="s">
        <v>482</v>
      </c>
      <c r="H500" s="11" t="n">
        <v>2110405</v>
      </c>
      <c r="I500" s="13" t="s">
        <v>34</v>
      </c>
      <c r="J500" s="11" t="n">
        <v>1107213</v>
      </c>
      <c r="L500" s="11" t="n">
        <v>174066</v>
      </c>
      <c r="M500" s="13" t="s">
        <v>44</v>
      </c>
      <c r="N500" s="13" t="s">
        <v>36</v>
      </c>
      <c r="P500" s="11" t="n">
        <v>128</v>
      </c>
      <c r="Q500" s="13" t="s">
        <v>45</v>
      </c>
      <c r="R500" s="13" t="s">
        <v>38</v>
      </c>
      <c r="S500" s="11" t="n">
        <v>4210227</v>
      </c>
      <c r="T500" s="13" t="s">
        <v>196</v>
      </c>
      <c r="U500" s="14" t="n">
        <v>89.1</v>
      </c>
      <c r="W500" s="14" t="n">
        <v>0</v>
      </c>
      <c r="X500" s="13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389</v>
      </c>
      <c r="F501" s="11" t="n">
        <v>34</v>
      </c>
      <c r="G501" s="13" t="s">
        <v>33</v>
      </c>
      <c r="H501" s="11" t="n">
        <v>2110101</v>
      </c>
      <c r="I501" s="13" t="s">
        <v>43</v>
      </c>
      <c r="J501" s="11" t="n">
        <v>1132849</v>
      </c>
      <c r="L501" s="11" t="n">
        <v>86042</v>
      </c>
      <c r="M501" s="13" t="s">
        <v>44</v>
      </c>
      <c r="N501" s="13" t="s">
        <v>36</v>
      </c>
      <c r="P501" s="11" t="n">
        <v>128</v>
      </c>
      <c r="Q501" s="13" t="s">
        <v>45</v>
      </c>
      <c r="R501" s="13" t="s">
        <v>46</v>
      </c>
      <c r="S501" s="11" t="n">
        <v>1130101</v>
      </c>
      <c r="T501" s="13" t="s">
        <v>47</v>
      </c>
      <c r="U501" s="14" t="n">
        <v>543.15</v>
      </c>
      <c r="W501" s="14" t="n">
        <v>0</v>
      </c>
      <c r="X501" s="13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nao encontrado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626</v>
      </c>
      <c r="F502" s="11" t="n">
        <v>2</v>
      </c>
      <c r="G502" s="13" t="s">
        <v>482</v>
      </c>
      <c r="H502" s="11" t="n">
        <v>2110405</v>
      </c>
      <c r="I502" s="13" t="s">
        <v>34</v>
      </c>
      <c r="J502" s="11" t="n">
        <v>1155856</v>
      </c>
      <c r="L502" s="11" t="n">
        <v>181374</v>
      </c>
      <c r="M502" s="13" t="s">
        <v>44</v>
      </c>
      <c r="N502" s="13" t="s">
        <v>36</v>
      </c>
      <c r="P502" s="11" t="n">
        <v>128</v>
      </c>
      <c r="Q502" s="13" t="s">
        <v>45</v>
      </c>
      <c r="R502" s="13" t="s">
        <v>46</v>
      </c>
      <c r="S502" s="11" t="n">
        <v>1130101</v>
      </c>
      <c r="T502" s="13" t="s">
        <v>47</v>
      </c>
      <c r="U502" s="14" t="n">
        <v>309.75</v>
      </c>
      <c r="W502" s="14" t="n">
        <v>0</v>
      </c>
      <c r="X502" s="13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nao encontrado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613</v>
      </c>
      <c r="F503" s="11" t="n">
        <v>2</v>
      </c>
      <c r="G503" s="13" t="s">
        <v>482</v>
      </c>
      <c r="H503" s="11" t="n">
        <v>2110405</v>
      </c>
      <c r="I503" s="13" t="s">
        <v>34</v>
      </c>
      <c r="J503" s="11" t="n">
        <v>1156455</v>
      </c>
      <c r="L503" s="11" t="n">
        <v>181468</v>
      </c>
      <c r="M503" s="13" t="s">
        <v>44</v>
      </c>
      <c r="N503" s="13" t="s">
        <v>36</v>
      </c>
      <c r="P503" s="11" t="n">
        <v>128</v>
      </c>
      <c r="Q503" s="13" t="s">
        <v>45</v>
      </c>
      <c r="R503" s="13" t="s">
        <v>38</v>
      </c>
      <c r="S503" s="11" t="n">
        <v>4210227</v>
      </c>
      <c r="T503" s="13" t="s">
        <v>196</v>
      </c>
      <c r="U503" s="14" t="n">
        <v>49.98</v>
      </c>
      <c r="W503" s="14" t="n">
        <v>0</v>
      </c>
      <c r="X503" s="13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nao encontrado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335</v>
      </c>
      <c r="F504" s="11" t="n">
        <v>24</v>
      </c>
      <c r="G504" s="13" t="s">
        <v>42</v>
      </c>
      <c r="H504" s="11" t="n">
        <v>2110101</v>
      </c>
      <c r="I504" s="13" t="s">
        <v>43</v>
      </c>
      <c r="J504" s="11" t="n">
        <v>1161713</v>
      </c>
      <c r="L504" s="11" t="n">
        <v>1928853</v>
      </c>
      <c r="M504" s="13" t="s">
        <v>44</v>
      </c>
      <c r="N504" s="13" t="s">
        <v>36</v>
      </c>
      <c r="P504" s="11" t="n">
        <v>128</v>
      </c>
      <c r="Q504" s="13" t="s">
        <v>45</v>
      </c>
      <c r="R504" s="13" t="s">
        <v>46</v>
      </c>
      <c r="S504" s="11" t="n">
        <v>1130101</v>
      </c>
      <c r="T504" s="13" t="s">
        <v>47</v>
      </c>
      <c r="U504" s="14" t="n">
        <v>1314.74</v>
      </c>
      <c r="W504" s="14" t="n">
        <v>0</v>
      </c>
      <c r="X504" s="13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630</v>
      </c>
      <c r="F505" s="11" t="n">
        <v>2</v>
      </c>
      <c r="G505" s="13" t="s">
        <v>482</v>
      </c>
      <c r="H505" s="11" t="n">
        <v>2110405</v>
      </c>
      <c r="I505" s="13" t="s">
        <v>34</v>
      </c>
      <c r="J505" s="11" t="n">
        <v>1166125</v>
      </c>
      <c r="L505" s="11" t="n">
        <v>182783</v>
      </c>
      <c r="M505" s="13" t="s">
        <v>44</v>
      </c>
      <c r="N505" s="13" t="s">
        <v>36</v>
      </c>
      <c r="P505" s="11" t="n">
        <v>128</v>
      </c>
      <c r="Q505" s="13" t="s">
        <v>45</v>
      </c>
      <c r="R505" s="13" t="s">
        <v>46</v>
      </c>
      <c r="S505" s="11" t="n">
        <v>1130101</v>
      </c>
      <c r="T505" s="13" t="s">
        <v>47</v>
      </c>
      <c r="U505" s="14" t="n">
        <v>1633.2</v>
      </c>
      <c r="W505" s="14" t="n">
        <v>0</v>
      </c>
      <c r="X505" s="13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nao encontrado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632</v>
      </c>
      <c r="F506" s="11" t="n">
        <v>2</v>
      </c>
      <c r="G506" s="13" t="s">
        <v>482</v>
      </c>
      <c r="H506" s="11" t="n">
        <v>2110405</v>
      </c>
      <c r="I506" s="13" t="s">
        <v>34</v>
      </c>
      <c r="J506" s="11" t="n">
        <v>1170952</v>
      </c>
      <c r="L506" s="11" t="n">
        <v>183468</v>
      </c>
      <c r="M506" s="13" t="s">
        <v>44</v>
      </c>
      <c r="N506" s="13" t="s">
        <v>36</v>
      </c>
      <c r="P506" s="11" t="n">
        <v>128</v>
      </c>
      <c r="Q506" s="13" t="s">
        <v>45</v>
      </c>
      <c r="R506" s="13" t="s">
        <v>46</v>
      </c>
      <c r="S506" s="11" t="n">
        <v>1130101</v>
      </c>
      <c r="T506" s="13" t="s">
        <v>47</v>
      </c>
      <c r="U506" s="14" t="n">
        <v>337</v>
      </c>
      <c r="W506" s="14" t="n">
        <v>0</v>
      </c>
      <c r="X506" s="13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264</v>
      </c>
      <c r="F507" s="11" t="n">
        <v>24</v>
      </c>
      <c r="G507" s="13" t="s">
        <v>42</v>
      </c>
      <c r="H507" s="11" t="n">
        <v>2110101</v>
      </c>
      <c r="I507" s="13" t="s">
        <v>43</v>
      </c>
      <c r="J507" s="11" t="n">
        <v>1210620</v>
      </c>
      <c r="L507" s="11" t="n">
        <v>22908831</v>
      </c>
      <c r="M507" s="13" t="s">
        <v>44</v>
      </c>
      <c r="N507" s="13" t="s">
        <v>36</v>
      </c>
      <c r="P507" s="11" t="n">
        <v>128</v>
      </c>
      <c r="Q507" s="13" t="s">
        <v>45</v>
      </c>
      <c r="R507" s="13" t="s">
        <v>46</v>
      </c>
      <c r="S507" s="11" t="n">
        <v>1130101</v>
      </c>
      <c r="T507" s="13" t="s">
        <v>47</v>
      </c>
      <c r="U507" s="14" t="n">
        <v>350</v>
      </c>
      <c r="W507" s="14" t="n">
        <v>0</v>
      </c>
      <c r="X507" s="13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49</v>
      </c>
      <c r="F508" s="11" t="n">
        <v>24</v>
      </c>
      <c r="G508" s="13" t="s">
        <v>42</v>
      </c>
      <c r="H508" s="11" t="n">
        <v>2110101</v>
      </c>
      <c r="I508" s="13" t="s">
        <v>43</v>
      </c>
      <c r="J508" s="11" t="n">
        <v>1222282</v>
      </c>
      <c r="L508" s="11" t="n">
        <v>31985342</v>
      </c>
      <c r="M508" s="13" t="s">
        <v>44</v>
      </c>
      <c r="N508" s="13" t="s">
        <v>36</v>
      </c>
      <c r="P508" s="11" t="n">
        <v>128</v>
      </c>
      <c r="Q508" s="13" t="s">
        <v>45</v>
      </c>
      <c r="R508" s="13" t="s">
        <v>46</v>
      </c>
      <c r="S508" s="11" t="n">
        <v>1130101</v>
      </c>
      <c r="T508" s="13" t="s">
        <v>47</v>
      </c>
      <c r="U508" s="14" t="n">
        <v>326.65</v>
      </c>
      <c r="W508" s="14" t="n">
        <v>0</v>
      </c>
      <c r="X508" s="13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445</v>
      </c>
      <c r="F509" s="11" t="n">
        <v>24</v>
      </c>
      <c r="G509" s="13" t="s">
        <v>42</v>
      </c>
      <c r="H509" s="11" t="n">
        <v>2110101</v>
      </c>
      <c r="I509" s="13" t="s">
        <v>43</v>
      </c>
      <c r="J509" s="11" t="n">
        <v>1230653</v>
      </c>
      <c r="L509" s="11" t="n">
        <v>180513071</v>
      </c>
      <c r="M509" s="13" t="s">
        <v>44</v>
      </c>
      <c r="N509" s="13" t="s">
        <v>36</v>
      </c>
      <c r="P509" s="11" t="n">
        <v>128</v>
      </c>
      <c r="Q509" s="13" t="s">
        <v>45</v>
      </c>
      <c r="R509" s="13" t="s">
        <v>46</v>
      </c>
      <c r="S509" s="11" t="n">
        <v>1130101</v>
      </c>
      <c r="T509" s="13" t="s">
        <v>47</v>
      </c>
      <c r="U509" s="14" t="n">
        <v>398.48</v>
      </c>
      <c r="W509" s="14" t="n">
        <v>0</v>
      </c>
      <c r="X509" s="13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159</v>
      </c>
      <c r="F510" s="11" t="n">
        <v>24</v>
      </c>
      <c r="G510" s="13" t="s">
        <v>42</v>
      </c>
      <c r="H510" s="11" t="n">
        <v>2110101</v>
      </c>
      <c r="I510" s="13" t="s">
        <v>43</v>
      </c>
      <c r="J510" s="11" t="n">
        <v>1231365</v>
      </c>
      <c r="L510" s="11" t="n">
        <v>7269631</v>
      </c>
      <c r="M510" s="13" t="s">
        <v>44</v>
      </c>
      <c r="N510" s="13" t="s">
        <v>36</v>
      </c>
      <c r="P510" s="11" t="n">
        <v>128</v>
      </c>
      <c r="Q510" s="13" t="s">
        <v>45</v>
      </c>
      <c r="R510" s="13" t="s">
        <v>46</v>
      </c>
      <c r="S510" s="11" t="n">
        <v>1130101</v>
      </c>
      <c r="T510" s="13" t="s">
        <v>47</v>
      </c>
      <c r="U510" s="14" t="n">
        <v>648.24</v>
      </c>
      <c r="W510" s="14" t="n">
        <v>0</v>
      </c>
      <c r="X510" s="13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125</v>
      </c>
      <c r="F511" s="11" t="n">
        <v>24</v>
      </c>
      <c r="G511" s="13" t="s">
        <v>42</v>
      </c>
      <c r="H511" s="11" t="n">
        <v>2110101</v>
      </c>
      <c r="I511" s="13" t="s">
        <v>43</v>
      </c>
      <c r="J511" s="11" t="n">
        <v>1231833</v>
      </c>
      <c r="L511" s="11" t="n">
        <v>2532042</v>
      </c>
      <c r="M511" s="13" t="s">
        <v>44</v>
      </c>
      <c r="N511" s="13" t="s">
        <v>36</v>
      </c>
      <c r="P511" s="11" t="n">
        <v>128</v>
      </c>
      <c r="Q511" s="13" t="s">
        <v>45</v>
      </c>
      <c r="R511" s="13" t="s">
        <v>46</v>
      </c>
      <c r="S511" s="11" t="n">
        <v>1130101</v>
      </c>
      <c r="T511" s="13" t="s">
        <v>47</v>
      </c>
      <c r="U511" s="14" t="n">
        <v>425.69</v>
      </c>
      <c r="W511" s="14" t="n">
        <v>0</v>
      </c>
      <c r="X511" s="13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639</v>
      </c>
      <c r="F512" s="11" t="n">
        <v>2</v>
      </c>
      <c r="G512" s="13" t="s">
        <v>482</v>
      </c>
      <c r="H512" s="11" t="n">
        <v>2110405</v>
      </c>
      <c r="I512" s="13" t="s">
        <v>34</v>
      </c>
      <c r="J512" s="11" t="n">
        <v>1231900</v>
      </c>
      <c r="L512" s="11" t="n">
        <v>192802</v>
      </c>
      <c r="M512" s="13" t="s">
        <v>44</v>
      </c>
      <c r="N512" s="13" t="s">
        <v>36</v>
      </c>
      <c r="P512" s="11" t="n">
        <v>128</v>
      </c>
      <c r="Q512" s="13" t="s">
        <v>45</v>
      </c>
      <c r="R512" s="13" t="s">
        <v>46</v>
      </c>
      <c r="S512" s="11" t="n">
        <v>1130101</v>
      </c>
      <c r="T512" s="13" t="s">
        <v>47</v>
      </c>
      <c r="U512" s="14" t="n">
        <v>205.76</v>
      </c>
      <c r="W512" s="14" t="n">
        <v>0</v>
      </c>
      <c r="X512" s="13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220</v>
      </c>
      <c r="F513" s="11" t="n">
        <v>34</v>
      </c>
      <c r="G513" s="13" t="s">
        <v>33</v>
      </c>
      <c r="H513" s="11" t="n">
        <v>2110101</v>
      </c>
      <c r="I513" s="13" t="s">
        <v>43</v>
      </c>
      <c r="J513" s="11" t="n">
        <v>1235422</v>
      </c>
      <c r="L513" s="11" t="n">
        <v>1636</v>
      </c>
      <c r="M513" s="13" t="s">
        <v>44</v>
      </c>
      <c r="N513" s="13" t="s">
        <v>69</v>
      </c>
      <c r="P513" s="11" t="n">
        <v>128</v>
      </c>
      <c r="Q513" s="13" t="s">
        <v>45</v>
      </c>
      <c r="R513" s="13" t="s">
        <v>46</v>
      </c>
      <c r="S513" s="11" t="n">
        <v>1130101</v>
      </c>
      <c r="T513" s="13" t="s">
        <v>47</v>
      </c>
      <c r="U513" s="14" t="n">
        <v>250</v>
      </c>
      <c r="W513" s="14" t="n">
        <v>0</v>
      </c>
      <c r="X513" s="13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67</v>
      </c>
      <c r="F514" s="11" t="n">
        <v>24</v>
      </c>
      <c r="G514" s="13" t="s">
        <v>42</v>
      </c>
      <c r="H514" s="11" t="n">
        <v>2110101</v>
      </c>
      <c r="I514" s="13" t="s">
        <v>43</v>
      </c>
      <c r="J514" s="11" t="n">
        <v>1241457</v>
      </c>
      <c r="L514" s="11" t="n">
        <v>13694071</v>
      </c>
      <c r="M514" s="13" t="s">
        <v>44</v>
      </c>
      <c r="N514" s="13" t="s">
        <v>36</v>
      </c>
      <c r="P514" s="11" t="n">
        <v>128</v>
      </c>
      <c r="Q514" s="13" t="s">
        <v>45</v>
      </c>
      <c r="R514" s="13" t="s">
        <v>46</v>
      </c>
      <c r="S514" s="11" t="n">
        <v>1130101</v>
      </c>
      <c r="T514" s="13" t="s">
        <v>47</v>
      </c>
      <c r="U514" s="14" t="n">
        <v>562.05</v>
      </c>
      <c r="W514" s="14" t="n">
        <v>0</v>
      </c>
      <c r="X514" s="13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177</v>
      </c>
      <c r="F515" s="11" t="n">
        <v>24</v>
      </c>
      <c r="G515" s="13" t="s">
        <v>42</v>
      </c>
      <c r="H515" s="11" t="n">
        <v>2110101</v>
      </c>
      <c r="I515" s="13" t="s">
        <v>43</v>
      </c>
      <c r="J515" s="11" t="n">
        <v>1255807</v>
      </c>
      <c r="L515" s="11" t="n">
        <v>15963142</v>
      </c>
      <c r="M515" s="13" t="s">
        <v>44</v>
      </c>
      <c r="N515" s="13" t="s">
        <v>36</v>
      </c>
      <c r="P515" s="11" t="n">
        <v>128</v>
      </c>
      <c r="Q515" s="13" t="s">
        <v>45</v>
      </c>
      <c r="R515" s="13" t="s">
        <v>46</v>
      </c>
      <c r="S515" s="11" t="n">
        <v>1130101</v>
      </c>
      <c r="T515" s="13" t="s">
        <v>47</v>
      </c>
      <c r="U515" s="14" t="n">
        <v>1017.52</v>
      </c>
      <c r="W515" s="14" t="n">
        <v>0</v>
      </c>
      <c r="X515" s="13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80</v>
      </c>
      <c r="F516" s="11" t="n">
        <v>34</v>
      </c>
      <c r="G516" s="13" t="s">
        <v>33</v>
      </c>
      <c r="H516" s="11" t="n">
        <v>2110101</v>
      </c>
      <c r="I516" s="13" t="s">
        <v>43</v>
      </c>
      <c r="J516" s="11" t="n">
        <v>1256555</v>
      </c>
      <c r="L516" s="11" t="n">
        <v>4267</v>
      </c>
      <c r="M516" s="13" t="s">
        <v>44</v>
      </c>
      <c r="N516" s="13" t="s">
        <v>69</v>
      </c>
      <c r="P516" s="11" t="n">
        <v>128</v>
      </c>
      <c r="Q516" s="13" t="s">
        <v>45</v>
      </c>
      <c r="R516" s="13" t="s">
        <v>46</v>
      </c>
      <c r="S516" s="11" t="n">
        <v>1130101</v>
      </c>
      <c r="T516" s="13" t="s">
        <v>47</v>
      </c>
      <c r="U516" s="14" t="n">
        <v>280</v>
      </c>
      <c r="W516" s="14" t="n">
        <v>0</v>
      </c>
      <c r="X516" s="13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161</v>
      </c>
      <c r="F517" s="11" t="n">
        <v>24</v>
      </c>
      <c r="G517" s="13" t="s">
        <v>42</v>
      </c>
      <c r="H517" s="11" t="n">
        <v>2110101</v>
      </c>
      <c r="I517" s="13" t="s">
        <v>43</v>
      </c>
      <c r="J517" s="11" t="n">
        <v>1261019</v>
      </c>
      <c r="L517" s="11" t="n">
        <v>5847651</v>
      </c>
      <c r="M517" s="13" t="s">
        <v>44</v>
      </c>
      <c r="N517" s="13" t="s">
        <v>36</v>
      </c>
      <c r="P517" s="11" t="n">
        <v>128</v>
      </c>
      <c r="Q517" s="13" t="s">
        <v>45</v>
      </c>
      <c r="R517" s="13" t="s">
        <v>46</v>
      </c>
      <c r="S517" s="11" t="n">
        <v>1130101</v>
      </c>
      <c r="T517" s="13" t="s">
        <v>47</v>
      </c>
      <c r="U517" s="14" t="n">
        <v>520</v>
      </c>
      <c r="W517" s="14" t="n">
        <v>0</v>
      </c>
      <c r="X517" s="13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339</v>
      </c>
      <c r="F518" s="11" t="n">
        <v>24</v>
      </c>
      <c r="G518" s="13" t="s">
        <v>42</v>
      </c>
      <c r="H518" s="11" t="n">
        <v>2110101</v>
      </c>
      <c r="I518" s="13" t="s">
        <v>43</v>
      </c>
      <c r="J518" s="11" t="n">
        <v>1261167</v>
      </c>
      <c r="L518" s="11" t="n">
        <v>268261</v>
      </c>
      <c r="M518" s="13" t="s">
        <v>44</v>
      </c>
      <c r="N518" s="13" t="s">
        <v>36</v>
      </c>
      <c r="P518" s="11" t="n">
        <v>128</v>
      </c>
      <c r="Q518" s="13" t="s">
        <v>45</v>
      </c>
      <c r="R518" s="13" t="s">
        <v>46</v>
      </c>
      <c r="S518" s="11" t="n">
        <v>1130101</v>
      </c>
      <c r="T518" s="13" t="s">
        <v>47</v>
      </c>
      <c r="U518" s="14" t="n">
        <v>486.97</v>
      </c>
      <c r="W518" s="14" t="n">
        <v>0</v>
      </c>
      <c r="X518" s="13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181</v>
      </c>
      <c r="F519" s="11" t="n">
        <v>34</v>
      </c>
      <c r="G519" s="13" t="s">
        <v>33</v>
      </c>
      <c r="H519" s="11" t="n">
        <v>2110101</v>
      </c>
      <c r="I519" s="13" t="s">
        <v>43</v>
      </c>
      <c r="J519" s="11" t="n">
        <v>1261866</v>
      </c>
      <c r="L519" s="11" t="n">
        <v>197244</v>
      </c>
      <c r="M519" s="13" t="s">
        <v>44</v>
      </c>
      <c r="N519" s="13" t="s">
        <v>36</v>
      </c>
      <c r="P519" s="11" t="n">
        <v>128</v>
      </c>
      <c r="Q519" s="13" t="s">
        <v>45</v>
      </c>
      <c r="R519" s="13" t="s">
        <v>46</v>
      </c>
      <c r="S519" s="11" t="n">
        <v>1130101</v>
      </c>
      <c r="T519" s="13" t="s">
        <v>47</v>
      </c>
      <c r="U519" s="14" t="n">
        <v>400</v>
      </c>
      <c r="W519" s="14" t="n">
        <v>0</v>
      </c>
      <c r="X519" s="13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120</v>
      </c>
      <c r="F520" s="11" t="n">
        <v>24</v>
      </c>
      <c r="G520" s="13" t="s">
        <v>42</v>
      </c>
      <c r="H520" s="11" t="n">
        <v>2110101</v>
      </c>
      <c r="I520" s="13" t="s">
        <v>43</v>
      </c>
      <c r="J520" s="11" t="n">
        <v>1262266</v>
      </c>
      <c r="L520" s="11" t="n">
        <v>17804</v>
      </c>
      <c r="M520" s="13" t="s">
        <v>44</v>
      </c>
      <c r="N520" s="13" t="s">
        <v>69</v>
      </c>
      <c r="P520" s="11" t="n">
        <v>128</v>
      </c>
      <c r="Q520" s="13" t="s">
        <v>45</v>
      </c>
      <c r="R520" s="13" t="s">
        <v>46</v>
      </c>
      <c r="S520" s="11" t="n">
        <v>1130101</v>
      </c>
      <c r="T520" s="13" t="s">
        <v>47</v>
      </c>
      <c r="U520" s="14" t="n">
        <v>221</v>
      </c>
      <c r="W520" s="14" t="n">
        <v>0</v>
      </c>
      <c r="X520" s="13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122</v>
      </c>
      <c r="F521" s="11" t="n">
        <v>24</v>
      </c>
      <c r="G521" s="13" t="s">
        <v>42</v>
      </c>
      <c r="H521" s="11" t="n">
        <v>2110101</v>
      </c>
      <c r="I521" s="13" t="s">
        <v>43</v>
      </c>
      <c r="J521" s="11" t="n">
        <v>1265343</v>
      </c>
      <c r="L521" s="11" t="n">
        <v>18868445</v>
      </c>
      <c r="M521" s="13" t="s">
        <v>44</v>
      </c>
      <c r="N521" s="13" t="s">
        <v>36</v>
      </c>
      <c r="P521" s="11" t="n">
        <v>128</v>
      </c>
      <c r="Q521" s="13" t="s">
        <v>45</v>
      </c>
      <c r="R521" s="13" t="s">
        <v>46</v>
      </c>
      <c r="S521" s="11" t="n">
        <v>1130101</v>
      </c>
      <c r="T521" s="13" t="s">
        <v>47</v>
      </c>
      <c r="U521" s="14" t="n">
        <v>4076.71</v>
      </c>
      <c r="W521" s="14" t="n">
        <v>0</v>
      </c>
      <c r="X521" s="13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122</v>
      </c>
      <c r="F522" s="11" t="n">
        <v>24</v>
      </c>
      <c r="G522" s="13" t="s">
        <v>42</v>
      </c>
      <c r="H522" s="11" t="n">
        <v>2110101</v>
      </c>
      <c r="I522" s="13" t="s">
        <v>43</v>
      </c>
      <c r="J522" s="11" t="n">
        <v>1265346</v>
      </c>
      <c r="L522" s="11" t="n">
        <v>11670477</v>
      </c>
      <c r="M522" s="13" t="s">
        <v>44</v>
      </c>
      <c r="N522" s="13" t="s">
        <v>36</v>
      </c>
      <c r="P522" s="11" t="n">
        <v>128</v>
      </c>
      <c r="Q522" s="13" t="s">
        <v>45</v>
      </c>
      <c r="R522" s="13" t="s">
        <v>46</v>
      </c>
      <c r="S522" s="11" t="n">
        <v>1130101</v>
      </c>
      <c r="T522" s="13" t="s">
        <v>47</v>
      </c>
      <c r="U522" s="14" t="n">
        <v>916.19</v>
      </c>
      <c r="W522" s="14" t="n">
        <v>0</v>
      </c>
      <c r="X522" s="13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125</v>
      </c>
      <c r="F523" s="11" t="n">
        <v>24</v>
      </c>
      <c r="G523" s="13" t="s">
        <v>42</v>
      </c>
      <c r="H523" s="11" t="n">
        <v>2110101</v>
      </c>
      <c r="I523" s="13" t="s">
        <v>43</v>
      </c>
      <c r="J523" s="11" t="n">
        <v>1266163</v>
      </c>
      <c r="L523" s="11" t="n">
        <v>2536321</v>
      </c>
      <c r="M523" s="13" t="s">
        <v>44</v>
      </c>
      <c r="N523" s="13" t="s">
        <v>36</v>
      </c>
      <c r="P523" s="11" t="n">
        <v>128</v>
      </c>
      <c r="Q523" s="13" t="s">
        <v>45</v>
      </c>
      <c r="R523" s="13" t="s">
        <v>46</v>
      </c>
      <c r="S523" s="11" t="n">
        <v>1130101</v>
      </c>
      <c r="T523" s="13" t="s">
        <v>47</v>
      </c>
      <c r="U523" s="14" t="n">
        <v>451</v>
      </c>
      <c r="W523" s="14" t="n">
        <v>0</v>
      </c>
      <c r="X523" s="13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80</v>
      </c>
      <c r="F524" s="11" t="n">
        <v>34</v>
      </c>
      <c r="G524" s="13" t="s">
        <v>33</v>
      </c>
      <c r="H524" s="11" t="n">
        <v>2110101</v>
      </c>
      <c r="I524" s="13" t="s">
        <v>43</v>
      </c>
      <c r="J524" s="11" t="n">
        <v>1269127</v>
      </c>
      <c r="L524" s="11" t="n">
        <v>4284</v>
      </c>
      <c r="M524" s="13" t="s">
        <v>44</v>
      </c>
      <c r="N524" s="13" t="s">
        <v>69</v>
      </c>
      <c r="P524" s="11" t="n">
        <v>128</v>
      </c>
      <c r="Q524" s="13" t="s">
        <v>45</v>
      </c>
      <c r="R524" s="13" t="s">
        <v>46</v>
      </c>
      <c r="S524" s="11" t="n">
        <v>1130101</v>
      </c>
      <c r="T524" s="13" t="s">
        <v>47</v>
      </c>
      <c r="U524" s="14" t="n">
        <v>280</v>
      </c>
      <c r="W524" s="14" t="n">
        <v>0</v>
      </c>
      <c r="X524" s="13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135</v>
      </c>
      <c r="F525" s="11" t="n">
        <v>24</v>
      </c>
      <c r="G525" s="13" t="s">
        <v>42</v>
      </c>
      <c r="H525" s="11" t="n">
        <v>2110101</v>
      </c>
      <c r="I525" s="13" t="s">
        <v>43</v>
      </c>
      <c r="J525" s="11" t="n">
        <v>1288971</v>
      </c>
      <c r="L525" s="11" t="n">
        <v>505</v>
      </c>
      <c r="M525" s="13" t="s">
        <v>44</v>
      </c>
      <c r="N525" s="13" t="s">
        <v>69</v>
      </c>
      <c r="P525" s="11" t="n">
        <v>128</v>
      </c>
      <c r="Q525" s="13" t="s">
        <v>45</v>
      </c>
      <c r="R525" s="13" t="s">
        <v>46</v>
      </c>
      <c r="S525" s="11" t="n">
        <v>1130101</v>
      </c>
      <c r="T525" s="13" t="s">
        <v>47</v>
      </c>
      <c r="U525" s="14" t="n">
        <v>240</v>
      </c>
      <c r="W525" s="14" t="n">
        <v>0</v>
      </c>
      <c r="X525" s="13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BOLO BLOOM 600G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608</v>
      </c>
      <c r="F526" s="11" t="n">
        <v>34</v>
      </c>
      <c r="G526" s="13" t="s">
        <v>33</v>
      </c>
      <c r="H526" s="11" t="n">
        <v>2110101</v>
      </c>
      <c r="I526" s="13" t="s">
        <v>43</v>
      </c>
      <c r="J526" s="11" t="n">
        <v>1299098</v>
      </c>
      <c r="L526" s="11" t="n">
        <v>28</v>
      </c>
      <c r="M526" s="13" t="s">
        <v>44</v>
      </c>
      <c r="N526" s="13" t="s">
        <v>69</v>
      </c>
      <c r="P526" s="11" t="n">
        <v>128</v>
      </c>
      <c r="Q526" s="13" t="s">
        <v>45</v>
      </c>
      <c r="R526" s="13" t="s">
        <v>46</v>
      </c>
      <c r="S526" s="11" t="n">
        <v>1130101</v>
      </c>
      <c r="T526" s="13" t="s">
        <v>47</v>
      </c>
      <c r="U526" s="14" t="n">
        <v>180</v>
      </c>
      <c r="W526" s="14" t="n">
        <v>0</v>
      </c>
      <c r="X526" s="13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80</v>
      </c>
      <c r="F527" s="11" t="n">
        <v>13</v>
      </c>
      <c r="G527" s="13" t="s">
        <v>81</v>
      </c>
      <c r="H527" s="11" t="n">
        <v>2110101</v>
      </c>
      <c r="I527" s="13" t="s">
        <v>43</v>
      </c>
      <c r="J527" s="11" t="n">
        <v>1299260</v>
      </c>
      <c r="L527" s="11" t="n">
        <v>4304</v>
      </c>
      <c r="M527" s="13" t="s">
        <v>44</v>
      </c>
      <c r="N527" s="13" t="s">
        <v>69</v>
      </c>
      <c r="P527" s="11" t="n">
        <v>128</v>
      </c>
      <c r="Q527" s="13" t="s">
        <v>45</v>
      </c>
      <c r="R527" s="13" t="s">
        <v>46</v>
      </c>
      <c r="S527" s="11" t="n">
        <v>1130101</v>
      </c>
      <c r="T527" s="13" t="s">
        <v>47</v>
      </c>
      <c r="U527" s="14" t="n">
        <v>120</v>
      </c>
      <c r="W527" s="14" t="n">
        <v>120</v>
      </c>
      <c r="X527" s="13" t="s">
        <v>83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/>
      <c r="AC527" s="1"/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80</v>
      </c>
      <c r="F528" s="11" t="n">
        <v>13</v>
      </c>
      <c r="G528" s="13" t="s">
        <v>81</v>
      </c>
      <c r="H528" s="11" t="n">
        <v>2110101</v>
      </c>
      <c r="I528" s="13" t="s">
        <v>43</v>
      </c>
      <c r="J528" s="11" t="n">
        <v>1299271</v>
      </c>
      <c r="L528" s="11" t="n">
        <v>4305</v>
      </c>
      <c r="M528" s="13" t="s">
        <v>44</v>
      </c>
      <c r="N528" s="13" t="s">
        <v>69</v>
      </c>
      <c r="P528" s="11" t="n">
        <v>128</v>
      </c>
      <c r="Q528" s="13" t="s">
        <v>45</v>
      </c>
      <c r="R528" s="13" t="s">
        <v>46</v>
      </c>
      <c r="S528" s="11" t="n">
        <v>1130101</v>
      </c>
      <c r="T528" s="13" t="s">
        <v>47</v>
      </c>
      <c r="U528" s="14" t="n">
        <v>144</v>
      </c>
      <c r="W528" s="14" t="n">
        <v>144</v>
      </c>
      <c r="X528" s="13" t="s">
        <v>82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654</v>
      </c>
      <c r="F529" s="11" t="n">
        <v>34</v>
      </c>
      <c r="G529" s="13" t="s">
        <v>33</v>
      </c>
      <c r="H529" s="11" t="n">
        <v>2110101</v>
      </c>
      <c r="I529" s="13" t="s">
        <v>43</v>
      </c>
      <c r="J529" s="11" t="n">
        <v>1304535</v>
      </c>
      <c r="L529" s="11" t="n">
        <v>310</v>
      </c>
      <c r="M529" s="13" t="s">
        <v>44</v>
      </c>
      <c r="N529" s="13" t="s">
        <v>36</v>
      </c>
      <c r="P529" s="11" t="n">
        <v>128</v>
      </c>
      <c r="Q529" s="13" t="s">
        <v>45</v>
      </c>
      <c r="R529" s="13" t="s">
        <v>46</v>
      </c>
      <c r="S529" s="11" t="n">
        <v>1130101</v>
      </c>
      <c r="T529" s="13" t="s">
        <v>47</v>
      </c>
      <c r="U529" s="14" t="n">
        <v>1790</v>
      </c>
      <c r="W529" s="14" t="n">
        <v>0</v>
      </c>
      <c r="X529" s="13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80</v>
      </c>
      <c r="F530" s="11" t="n">
        <v>13</v>
      </c>
      <c r="G530" s="13" t="s">
        <v>81</v>
      </c>
      <c r="H530" s="11" t="n">
        <v>2110101</v>
      </c>
      <c r="I530" s="13" t="s">
        <v>43</v>
      </c>
      <c r="J530" s="11" t="n">
        <v>1304906</v>
      </c>
      <c r="L530" s="11" t="n">
        <v>4307</v>
      </c>
      <c r="M530" s="13" t="s">
        <v>44</v>
      </c>
      <c r="N530" s="13" t="s">
        <v>69</v>
      </c>
      <c r="P530" s="11" t="n">
        <v>128</v>
      </c>
      <c r="Q530" s="13" t="s">
        <v>45</v>
      </c>
      <c r="R530" s="13" t="s">
        <v>46</v>
      </c>
      <c r="S530" s="11" t="n">
        <v>1130101</v>
      </c>
      <c r="T530" s="13" t="s">
        <v>47</v>
      </c>
      <c r="U530" s="14" t="n">
        <v>100</v>
      </c>
      <c r="W530" s="14" t="n">
        <v>100</v>
      </c>
      <c r="X530" s="13" t="s">
        <v>82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84</v>
      </c>
      <c r="F531" s="11" t="n">
        <v>24</v>
      </c>
      <c r="G531" s="13" t="s">
        <v>42</v>
      </c>
      <c r="H531" s="11" t="n">
        <v>2110101</v>
      </c>
      <c r="I531" s="13" t="s">
        <v>43</v>
      </c>
      <c r="J531" s="11" t="n">
        <v>1309569</v>
      </c>
      <c r="L531" s="11" t="n">
        <v>204588</v>
      </c>
      <c r="M531" s="13" t="s">
        <v>44</v>
      </c>
      <c r="N531" s="13" t="s">
        <v>36</v>
      </c>
      <c r="P531" s="11" t="n">
        <v>102</v>
      </c>
      <c r="Q531" s="13" t="s">
        <v>186</v>
      </c>
      <c r="R531" s="13" t="s">
        <v>46</v>
      </c>
      <c r="S531" s="11" t="n">
        <v>1130101</v>
      </c>
      <c r="T531" s="13" t="s">
        <v>47</v>
      </c>
      <c r="U531" s="14" t="n">
        <v>305.91</v>
      </c>
      <c r="W531" s="14" t="n">
        <v>0</v>
      </c>
      <c r="X531" s="13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71</v>
      </c>
      <c r="F532" s="11" t="n">
        <v>34</v>
      </c>
      <c r="G532" s="13" t="s">
        <v>33</v>
      </c>
      <c r="H532" s="11" t="n">
        <v>2110405</v>
      </c>
      <c r="I532" s="13" t="s">
        <v>34</v>
      </c>
      <c r="J532" s="11" t="n">
        <v>1132017</v>
      </c>
      <c r="L532" s="11" t="n">
        <v>177803</v>
      </c>
      <c r="M532" s="13" t="s">
        <v>150</v>
      </c>
      <c r="N532" s="13" t="s">
        <v>36</v>
      </c>
      <c r="P532" s="11" t="n">
        <v>102</v>
      </c>
      <c r="Q532" s="13" t="s">
        <v>186</v>
      </c>
      <c r="R532" s="13" t="s">
        <v>656</v>
      </c>
      <c r="S532" s="11" t="n">
        <v>1140101</v>
      </c>
      <c r="T532" s="13" t="s">
        <v>657</v>
      </c>
      <c r="U532" s="14" t="n">
        <v>79.73</v>
      </c>
      <c r="W532" s="14" t="n">
        <v>0</v>
      </c>
      <c r="X532" s="13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53</v>
      </c>
      <c r="F533" s="11" t="n">
        <v>24</v>
      </c>
      <c r="G533" s="13" t="s">
        <v>42</v>
      </c>
      <c r="H533" s="11" t="n">
        <v>2110101</v>
      </c>
      <c r="I533" s="13" t="s">
        <v>43</v>
      </c>
      <c r="J533" s="11" t="n">
        <v>1223012</v>
      </c>
      <c r="L533" s="11" t="n">
        <v>4490992</v>
      </c>
      <c r="M533" s="13" t="s">
        <v>44</v>
      </c>
      <c r="N533" s="13" t="s">
        <v>36</v>
      </c>
      <c r="P533" s="11" t="n">
        <v>128</v>
      </c>
      <c r="Q533" s="13" t="s">
        <v>45</v>
      </c>
      <c r="R533" s="13" t="s">
        <v>46</v>
      </c>
      <c r="S533" s="11" t="n">
        <v>1130101</v>
      </c>
      <c r="T533" s="13" t="s">
        <v>47</v>
      </c>
      <c r="U533" s="14" t="n">
        <v>706.2</v>
      </c>
      <c r="W533" s="14" t="n">
        <v>0</v>
      </c>
      <c r="X533" s="13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HAMBURGUER FRIBOI BOVINO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53</v>
      </c>
      <c r="F534" s="11" t="n">
        <v>24</v>
      </c>
      <c r="G534" s="13" t="s">
        <v>42</v>
      </c>
      <c r="H534" s="11" t="n">
        <v>2110101</v>
      </c>
      <c r="I534" s="13" t="s">
        <v>43</v>
      </c>
      <c r="J534" s="11" t="n">
        <v>1235345</v>
      </c>
      <c r="L534" s="11" t="n">
        <v>4501671</v>
      </c>
      <c r="M534" s="13" t="s">
        <v>44</v>
      </c>
      <c r="N534" s="13" t="s">
        <v>36</v>
      </c>
      <c r="P534" s="11" t="n">
        <v>128</v>
      </c>
      <c r="Q534" s="13" t="s">
        <v>45</v>
      </c>
      <c r="R534" s="13" t="s">
        <v>46</v>
      </c>
      <c r="S534" s="11" t="n">
        <v>1130101</v>
      </c>
      <c r="T534" s="13" t="s">
        <v>47</v>
      </c>
      <c r="U534" s="14" t="n">
        <v>2315.49</v>
      </c>
      <c r="W534" s="14" t="n">
        <v>0</v>
      </c>
      <c r="X534" s="13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FRANGO A PASSARINHO 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76</v>
      </c>
      <c r="F535" s="11" t="n">
        <v>24</v>
      </c>
      <c r="G535" s="13" t="s">
        <v>42</v>
      </c>
      <c r="H535" s="11" t="n">
        <v>2110101</v>
      </c>
      <c r="I535" s="13" t="s">
        <v>43</v>
      </c>
      <c r="J535" s="11" t="n">
        <v>1257161</v>
      </c>
      <c r="L535" s="11" t="n">
        <v>53455</v>
      </c>
      <c r="M535" s="13" t="s">
        <v>44</v>
      </c>
      <c r="N535" s="13" t="s">
        <v>36</v>
      </c>
      <c r="P535" s="11" t="n">
        <v>128</v>
      </c>
      <c r="Q535" s="13" t="s">
        <v>45</v>
      </c>
      <c r="R535" s="13" t="s">
        <v>46</v>
      </c>
      <c r="S535" s="11" t="n">
        <v>1130101</v>
      </c>
      <c r="T535" s="13" t="s">
        <v>47</v>
      </c>
      <c r="U535" s="14" t="n">
        <v>3966.4</v>
      </c>
      <c r="W535" s="14" t="n">
        <v>0</v>
      </c>
      <c r="X535" s="13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177</v>
      </c>
      <c r="F536" s="11" t="n">
        <v>24</v>
      </c>
      <c r="G536" s="13" t="s">
        <v>42</v>
      </c>
      <c r="H536" s="11" t="n">
        <v>2110101</v>
      </c>
      <c r="I536" s="13" t="s">
        <v>43</v>
      </c>
      <c r="J536" s="11" t="n">
        <v>1268693</v>
      </c>
      <c r="L536" s="11" t="n">
        <v>15983481</v>
      </c>
      <c r="M536" s="13" t="s">
        <v>44</v>
      </c>
      <c r="N536" s="13" t="s">
        <v>36</v>
      </c>
      <c r="P536" s="11" t="n">
        <v>128</v>
      </c>
      <c r="Q536" s="13" t="s">
        <v>45</v>
      </c>
      <c r="R536" s="13" t="s">
        <v>46</v>
      </c>
      <c r="S536" s="11" t="n">
        <v>1130101</v>
      </c>
      <c r="T536" s="13" t="s">
        <v>47</v>
      </c>
      <c r="U536" s="14" t="n">
        <v>2026.67</v>
      </c>
      <c r="W536" s="14" t="n">
        <v>0</v>
      </c>
      <c r="X536" s="13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663</v>
      </c>
      <c r="F537" s="11" t="n">
        <v>24</v>
      </c>
      <c r="G537" s="13" t="s">
        <v>42</v>
      </c>
      <c r="H537" s="11" t="n">
        <v>2110405</v>
      </c>
      <c r="I537" s="13" t="s">
        <v>34</v>
      </c>
      <c r="J537" s="11" t="n">
        <v>1273116</v>
      </c>
      <c r="L537" s="11" t="n">
        <v>199138</v>
      </c>
      <c r="M537" s="13" t="s">
        <v>44</v>
      </c>
      <c r="N537" s="13" t="s">
        <v>36</v>
      </c>
      <c r="P537" s="11" t="n">
        <v>101</v>
      </c>
      <c r="Q537" s="13" t="s">
        <v>37</v>
      </c>
      <c r="R537" s="13" t="s">
        <v>72</v>
      </c>
      <c r="S537" s="11" t="n">
        <v>421033</v>
      </c>
      <c r="T537" s="13" t="s">
        <v>664</v>
      </c>
      <c r="U537" s="14" t="n">
        <v>299.9</v>
      </c>
      <c r="W537" s="14" t="n">
        <v>0</v>
      </c>
      <c r="X537" s="13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71</v>
      </c>
      <c r="F538" s="11" t="n">
        <v>34</v>
      </c>
      <c r="G538" s="13" t="s">
        <v>33</v>
      </c>
      <c r="H538" s="11" t="n">
        <v>2110405</v>
      </c>
      <c r="I538" s="13" t="s">
        <v>34</v>
      </c>
      <c r="J538" s="11" t="n">
        <v>1306082</v>
      </c>
      <c r="L538" s="11" t="n">
        <v>203978</v>
      </c>
      <c r="M538" s="13" t="s">
        <v>44</v>
      </c>
      <c r="N538" s="13" t="s">
        <v>36</v>
      </c>
      <c r="P538" s="11" t="n">
        <v>101</v>
      </c>
      <c r="Q538" s="13" t="s">
        <v>37</v>
      </c>
      <c r="R538" s="13" t="s">
        <v>38</v>
      </c>
      <c r="S538" s="11" t="n">
        <v>4210234</v>
      </c>
      <c r="T538" s="13" t="s">
        <v>666</v>
      </c>
      <c r="U538" s="14" t="n">
        <v>49.44</v>
      </c>
      <c r="W538" s="14" t="n">
        <v>0</v>
      </c>
      <c r="X538" s="13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80</v>
      </c>
      <c r="F539" s="11" t="n">
        <v>13</v>
      </c>
      <c r="G539" s="13" t="s">
        <v>81</v>
      </c>
      <c r="H539" s="11" t="n">
        <v>2110101</v>
      </c>
      <c r="I539" s="13" t="s">
        <v>43</v>
      </c>
      <c r="J539" s="11" t="n">
        <v>1309148</v>
      </c>
      <c r="L539" s="11" t="n">
        <v>4308</v>
      </c>
      <c r="M539" s="13" t="s">
        <v>44</v>
      </c>
      <c r="N539" s="13" t="s">
        <v>69</v>
      </c>
      <c r="P539" s="11" t="n">
        <v>129</v>
      </c>
      <c r="Q539" s="13" t="s">
        <v>102</v>
      </c>
      <c r="R539" s="13" t="s">
        <v>46</v>
      </c>
      <c r="S539" s="11" t="n">
        <v>1130101</v>
      </c>
      <c r="T539" s="13" t="s">
        <v>47</v>
      </c>
      <c r="U539" s="14" t="n">
        <v>85</v>
      </c>
      <c r="W539" s="14" t="n">
        <v>85</v>
      </c>
      <c r="X539" s="13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80</v>
      </c>
      <c r="F540" s="11" t="n">
        <v>13</v>
      </c>
      <c r="G540" s="13" t="s">
        <v>81</v>
      </c>
      <c r="H540" s="11" t="n">
        <v>2110101</v>
      </c>
      <c r="I540" s="13" t="s">
        <v>43</v>
      </c>
      <c r="J540" s="11" t="n">
        <v>1309164</v>
      </c>
      <c r="L540" s="11" t="n">
        <v>4309</v>
      </c>
      <c r="M540" s="13" t="s">
        <v>44</v>
      </c>
      <c r="N540" s="13" t="s">
        <v>69</v>
      </c>
      <c r="P540" s="11" t="n">
        <v>129</v>
      </c>
      <c r="Q540" s="13" t="s">
        <v>102</v>
      </c>
      <c r="R540" s="13" t="s">
        <v>46</v>
      </c>
      <c r="S540" s="11" t="n">
        <v>1130101</v>
      </c>
      <c r="T540" s="13" t="s">
        <v>47</v>
      </c>
      <c r="U540" s="14" t="n">
        <v>120</v>
      </c>
      <c r="W540" s="14" t="n">
        <v>120</v>
      </c>
      <c r="X540" s="13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84</v>
      </c>
      <c r="F541" s="11" t="n">
        <v>24</v>
      </c>
      <c r="G541" s="13" t="s">
        <v>42</v>
      </c>
      <c r="H541" s="11" t="n">
        <v>2110101</v>
      </c>
      <c r="I541" s="13" t="s">
        <v>43</v>
      </c>
      <c r="J541" s="11" t="n">
        <v>1310204</v>
      </c>
      <c r="L541" s="11" t="n">
        <v>204716</v>
      </c>
      <c r="M541" s="13" t="s">
        <v>44</v>
      </c>
      <c r="N541" s="13" t="s">
        <v>36</v>
      </c>
      <c r="P541" s="11" t="n">
        <v>102</v>
      </c>
      <c r="Q541" s="13" t="s">
        <v>186</v>
      </c>
      <c r="R541" s="13" t="s">
        <v>46</v>
      </c>
      <c r="S541" s="11" t="n">
        <v>1130101</v>
      </c>
      <c r="T541" s="13" t="s">
        <v>47</v>
      </c>
      <c r="U541" s="14" t="n">
        <v>112.65</v>
      </c>
      <c r="W541" s="14" t="n">
        <v>0</v>
      </c>
      <c r="X541" s="13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32</v>
      </c>
      <c r="F542" s="11" t="n">
        <v>34</v>
      </c>
      <c r="G542" s="13" t="s">
        <v>33</v>
      </c>
      <c r="H542" s="11" t="n">
        <v>2110405</v>
      </c>
      <c r="I542" s="13" t="s">
        <v>34</v>
      </c>
      <c r="J542" s="11" t="n">
        <v>1310259</v>
      </c>
      <c r="L542" s="11" t="n">
        <v>204721</v>
      </c>
      <c r="M542" s="13" t="s">
        <v>44</v>
      </c>
      <c r="N542" s="13" t="s">
        <v>36</v>
      </c>
      <c r="P542" s="11" t="n">
        <v>102</v>
      </c>
      <c r="Q542" s="13" t="s">
        <v>186</v>
      </c>
      <c r="R542" s="13" t="s">
        <v>203</v>
      </c>
      <c r="S542" s="11" t="n">
        <v>4220199</v>
      </c>
      <c r="T542" s="13" t="s">
        <v>204</v>
      </c>
      <c r="U542" s="14" t="n">
        <v>5800</v>
      </c>
      <c r="W542" s="14" t="n">
        <v>0</v>
      </c>
      <c r="X542" s="13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227</v>
      </c>
      <c r="F543" s="11" t="n">
        <v>13</v>
      </c>
      <c r="G543" s="13" t="s">
        <v>81</v>
      </c>
      <c r="H543" s="11" t="n">
        <v>2110101</v>
      </c>
      <c r="I543" s="13" t="s">
        <v>43</v>
      </c>
      <c r="J543" s="11" t="n">
        <v>1312429</v>
      </c>
      <c r="L543" s="11" t="n">
        <v>329</v>
      </c>
      <c r="M543" s="13" t="s">
        <v>44</v>
      </c>
      <c r="N543" s="13" t="s">
        <v>69</v>
      </c>
      <c r="P543" s="11" t="n">
        <v>128</v>
      </c>
      <c r="Q543" s="13" t="s">
        <v>45</v>
      </c>
      <c r="R543" s="13" t="s">
        <v>46</v>
      </c>
      <c r="S543" s="11" t="n">
        <v>1130101</v>
      </c>
      <c r="T543" s="13" t="s">
        <v>47</v>
      </c>
      <c r="U543" s="14" t="n">
        <v>1071.5</v>
      </c>
      <c r="W543" s="14" t="n">
        <v>1071.5</v>
      </c>
      <c r="X543" s="13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359</v>
      </c>
      <c r="F544" s="11" t="n">
        <v>24</v>
      </c>
      <c r="G544" s="13" t="s">
        <v>42</v>
      </c>
      <c r="H544" s="11" t="n">
        <v>2110101</v>
      </c>
      <c r="I544" s="13" t="s">
        <v>43</v>
      </c>
      <c r="J544" s="11" t="n">
        <v>1128083</v>
      </c>
      <c r="L544" s="11" t="n">
        <v>21043</v>
      </c>
      <c r="M544" s="13" t="s">
        <v>44</v>
      </c>
      <c r="N544" s="13" t="s">
        <v>36</v>
      </c>
      <c r="P544" s="11" t="n">
        <v>128</v>
      </c>
      <c r="Q544" s="13" t="s">
        <v>45</v>
      </c>
      <c r="R544" s="13" t="s">
        <v>46</v>
      </c>
      <c r="S544" s="11" t="n">
        <v>1130101</v>
      </c>
      <c r="T544" s="13" t="s">
        <v>47</v>
      </c>
      <c r="U544" s="14" t="n">
        <v>670.83</v>
      </c>
      <c r="W544" s="14" t="n">
        <v>0</v>
      </c>
      <c r="X544" s="13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163</v>
      </c>
      <c r="F545" s="11" t="n">
        <v>24</v>
      </c>
      <c r="G545" s="13" t="s">
        <v>42</v>
      </c>
      <c r="H545" s="11" t="n">
        <v>2110101</v>
      </c>
      <c r="I545" s="13" t="s">
        <v>43</v>
      </c>
      <c r="J545" s="11" t="n">
        <v>1131768</v>
      </c>
      <c r="L545" s="11" t="n">
        <v>4910423</v>
      </c>
      <c r="M545" s="13" t="s">
        <v>44</v>
      </c>
      <c r="N545" s="13" t="s">
        <v>36</v>
      </c>
      <c r="P545" s="11" t="n">
        <v>128</v>
      </c>
      <c r="Q545" s="13" t="s">
        <v>45</v>
      </c>
      <c r="R545" s="13" t="s">
        <v>46</v>
      </c>
      <c r="S545" s="11" t="n">
        <v>1130101</v>
      </c>
      <c r="T545" s="13" t="s">
        <v>47</v>
      </c>
      <c r="U545" s="14" t="n">
        <v>750.73</v>
      </c>
      <c r="W545" s="14" t="n">
        <v>0</v>
      </c>
      <c r="X545" s="13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41</v>
      </c>
      <c r="F546" s="11" t="n">
        <v>24</v>
      </c>
      <c r="G546" s="13" t="s">
        <v>42</v>
      </c>
      <c r="H546" s="11" t="n">
        <v>2110101</v>
      </c>
      <c r="I546" s="13" t="s">
        <v>43</v>
      </c>
      <c r="J546" s="11" t="n">
        <v>1136594</v>
      </c>
      <c r="L546" s="11" t="n">
        <v>16588913</v>
      </c>
      <c r="M546" s="13" t="s">
        <v>44</v>
      </c>
      <c r="N546" s="13" t="s">
        <v>36</v>
      </c>
      <c r="P546" s="11" t="n">
        <v>128</v>
      </c>
      <c r="Q546" s="13" t="s">
        <v>45</v>
      </c>
      <c r="R546" s="13" t="s">
        <v>46</v>
      </c>
      <c r="S546" s="11" t="n">
        <v>1130101</v>
      </c>
      <c r="T546" s="13" t="s">
        <v>47</v>
      </c>
      <c r="U546" s="14" t="n">
        <v>578.43</v>
      </c>
      <c r="W546" s="14" t="n">
        <v>0</v>
      </c>
      <c r="X546" s="13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nao encontrado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60</v>
      </c>
      <c r="F547" s="11" t="n">
        <v>24</v>
      </c>
      <c r="G547" s="13" t="s">
        <v>42</v>
      </c>
      <c r="H547" s="11" t="n">
        <v>2110101</v>
      </c>
      <c r="I547" s="13" t="s">
        <v>43</v>
      </c>
      <c r="J547" s="11" t="n">
        <v>1161695</v>
      </c>
      <c r="L547" s="11" t="n">
        <v>3023913</v>
      </c>
      <c r="M547" s="13" t="s">
        <v>44</v>
      </c>
      <c r="N547" s="13" t="s">
        <v>36</v>
      </c>
      <c r="P547" s="11" t="n">
        <v>128</v>
      </c>
      <c r="Q547" s="13" t="s">
        <v>45</v>
      </c>
      <c r="R547" s="13" t="s">
        <v>46</v>
      </c>
      <c r="S547" s="11" t="n">
        <v>1130101</v>
      </c>
      <c r="T547" s="13" t="s">
        <v>47</v>
      </c>
      <c r="U547" s="14" t="n">
        <v>1210.96</v>
      </c>
      <c r="W547" s="14" t="n">
        <v>0</v>
      </c>
      <c r="X547" s="13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393</v>
      </c>
      <c r="F548" s="11" t="n">
        <v>24</v>
      </c>
      <c r="G548" s="13" t="s">
        <v>42</v>
      </c>
      <c r="H548" s="11" t="n">
        <v>2110101</v>
      </c>
      <c r="I548" s="13" t="s">
        <v>43</v>
      </c>
      <c r="J548" s="11" t="n">
        <v>1162529</v>
      </c>
      <c r="L548" s="11" t="n">
        <v>19540613</v>
      </c>
      <c r="M548" s="13" t="s">
        <v>44</v>
      </c>
      <c r="N548" s="13" t="s">
        <v>36</v>
      </c>
      <c r="P548" s="11" t="n">
        <v>128</v>
      </c>
      <c r="Q548" s="13" t="s">
        <v>45</v>
      </c>
      <c r="R548" s="13" t="s">
        <v>46</v>
      </c>
      <c r="S548" s="11" t="n">
        <v>1130101</v>
      </c>
      <c r="T548" s="13" t="s">
        <v>47</v>
      </c>
      <c r="U548" s="14" t="n">
        <v>1624.37</v>
      </c>
      <c r="W548" s="14" t="n">
        <v>0</v>
      </c>
      <c r="X548" s="13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nao encontrado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165</v>
      </c>
      <c r="F549" s="11" t="n">
        <v>24</v>
      </c>
      <c r="G549" s="13" t="s">
        <v>42</v>
      </c>
      <c r="H549" s="11" t="n">
        <v>2110101</v>
      </c>
      <c r="I549" s="13" t="s">
        <v>43</v>
      </c>
      <c r="J549" s="11" t="n">
        <v>1165995</v>
      </c>
      <c r="L549" s="11" t="n">
        <v>4086373</v>
      </c>
      <c r="M549" s="13" t="s">
        <v>44</v>
      </c>
      <c r="N549" s="13" t="s">
        <v>36</v>
      </c>
      <c r="P549" s="11" t="n">
        <v>128</v>
      </c>
      <c r="Q549" s="13" t="s">
        <v>45</v>
      </c>
      <c r="R549" s="13" t="s">
        <v>46</v>
      </c>
      <c r="S549" s="11" t="n">
        <v>1130101</v>
      </c>
      <c r="T549" s="13" t="s">
        <v>47</v>
      </c>
      <c r="U549" s="14" t="n">
        <v>654.5</v>
      </c>
      <c r="W549" s="14" t="n">
        <v>0</v>
      </c>
      <c r="X549" s="13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nao encontrado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497</v>
      </c>
      <c r="F550" s="11" t="n">
        <v>24</v>
      </c>
      <c r="G550" s="13" t="s">
        <v>42</v>
      </c>
      <c r="H550" s="11" t="n">
        <v>2110101</v>
      </c>
      <c r="I550" s="13" t="s">
        <v>43</v>
      </c>
      <c r="J550" s="11" t="n">
        <v>1171273</v>
      </c>
      <c r="L550" s="11" t="n">
        <v>1897972</v>
      </c>
      <c r="M550" s="13" t="s">
        <v>44</v>
      </c>
      <c r="N550" s="13" t="s">
        <v>36</v>
      </c>
      <c r="P550" s="11" t="n">
        <v>128</v>
      </c>
      <c r="Q550" s="13" t="s">
        <v>45</v>
      </c>
      <c r="R550" s="13" t="s">
        <v>46</v>
      </c>
      <c r="S550" s="11" t="n">
        <v>1130101</v>
      </c>
      <c r="T550" s="13" t="s">
        <v>47</v>
      </c>
      <c r="U550" s="14" t="n">
        <v>1138.78</v>
      </c>
      <c r="W550" s="14" t="n">
        <v>0</v>
      </c>
      <c r="X550" s="13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nao encontrado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497</v>
      </c>
      <c r="F551" s="11" t="n">
        <v>24</v>
      </c>
      <c r="G551" s="13" t="s">
        <v>42</v>
      </c>
      <c r="H551" s="11" t="n">
        <v>2110101</v>
      </c>
      <c r="I551" s="13" t="s">
        <v>43</v>
      </c>
      <c r="J551" s="11" t="n">
        <v>1171299</v>
      </c>
      <c r="L551" s="11" t="n">
        <v>1897992</v>
      </c>
      <c r="M551" s="13" t="s">
        <v>44</v>
      </c>
      <c r="N551" s="13" t="s">
        <v>36</v>
      </c>
      <c r="P551" s="11" t="n">
        <v>128</v>
      </c>
      <c r="Q551" s="13" t="s">
        <v>45</v>
      </c>
      <c r="R551" s="13" t="s">
        <v>46</v>
      </c>
      <c r="S551" s="11" t="n">
        <v>1130101</v>
      </c>
      <c r="T551" s="13" t="s">
        <v>47</v>
      </c>
      <c r="U551" s="14" t="n">
        <v>485.13</v>
      </c>
      <c r="W551" s="14" t="n">
        <v>0</v>
      </c>
      <c r="X551" s="13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165</v>
      </c>
      <c r="F552" s="11" t="n">
        <v>24</v>
      </c>
      <c r="G552" s="13" t="s">
        <v>42</v>
      </c>
      <c r="H552" s="11" t="n">
        <v>2110101</v>
      </c>
      <c r="I552" s="13" t="s">
        <v>43</v>
      </c>
      <c r="J552" s="11" t="n">
        <v>1171582</v>
      </c>
      <c r="L552" s="11" t="n">
        <v>4102093</v>
      </c>
      <c r="M552" s="13" t="s">
        <v>44</v>
      </c>
      <c r="N552" s="13" t="s">
        <v>36</v>
      </c>
      <c r="P552" s="11" t="n">
        <v>128</v>
      </c>
      <c r="Q552" s="13" t="s">
        <v>45</v>
      </c>
      <c r="R552" s="13" t="s">
        <v>46</v>
      </c>
      <c r="S552" s="11" t="n">
        <v>1130101</v>
      </c>
      <c r="T552" s="13" t="s">
        <v>47</v>
      </c>
      <c r="U552" s="14" t="n">
        <v>811.74</v>
      </c>
      <c r="W552" s="14" t="n">
        <v>0</v>
      </c>
      <c r="X552" s="13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208</v>
      </c>
      <c r="F553" s="11" t="n">
        <v>24</v>
      </c>
      <c r="G553" s="13" t="s">
        <v>42</v>
      </c>
      <c r="H553" s="11" t="n">
        <v>2110101</v>
      </c>
      <c r="I553" s="13" t="s">
        <v>43</v>
      </c>
      <c r="J553" s="11" t="n">
        <v>1176071</v>
      </c>
      <c r="L553" s="11" t="n">
        <v>6561742</v>
      </c>
      <c r="M553" s="13" t="s">
        <v>44</v>
      </c>
      <c r="N553" s="13" t="s">
        <v>36</v>
      </c>
      <c r="P553" s="11" t="n">
        <v>128</v>
      </c>
      <c r="Q553" s="13" t="s">
        <v>45</v>
      </c>
      <c r="R553" s="13" t="s">
        <v>46</v>
      </c>
      <c r="S553" s="11" t="n">
        <v>1130101</v>
      </c>
      <c r="T553" s="13" t="s">
        <v>47</v>
      </c>
      <c r="U553" s="14" t="n">
        <v>653.4</v>
      </c>
      <c r="W553" s="14" t="n">
        <v>0</v>
      </c>
      <c r="X553" s="13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251</v>
      </c>
      <c r="F554" s="11" t="n">
        <v>24</v>
      </c>
      <c r="G554" s="13" t="s">
        <v>42</v>
      </c>
      <c r="H554" s="11" t="n">
        <v>2110101</v>
      </c>
      <c r="I554" s="13" t="s">
        <v>43</v>
      </c>
      <c r="J554" s="11" t="n">
        <v>1197356</v>
      </c>
      <c r="L554" s="11" t="n">
        <v>8763152</v>
      </c>
      <c r="M554" s="13" t="s">
        <v>44</v>
      </c>
      <c r="N554" s="13" t="s">
        <v>36</v>
      </c>
      <c r="P554" s="11" t="n">
        <v>128</v>
      </c>
      <c r="Q554" s="13" t="s">
        <v>45</v>
      </c>
      <c r="R554" s="13" t="s">
        <v>46</v>
      </c>
      <c r="S554" s="11" t="n">
        <v>1130101</v>
      </c>
      <c r="T554" s="13" t="s">
        <v>47</v>
      </c>
      <c r="U554" s="14" t="n">
        <v>434.48</v>
      </c>
      <c r="W554" s="14" t="n">
        <v>0</v>
      </c>
      <c r="X554" s="13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41</v>
      </c>
      <c r="F555" s="11" t="n">
        <v>24</v>
      </c>
      <c r="G555" s="13" t="s">
        <v>42</v>
      </c>
      <c r="H555" s="11" t="n">
        <v>2110101</v>
      </c>
      <c r="I555" s="13" t="s">
        <v>43</v>
      </c>
      <c r="J555" s="11" t="n">
        <v>1205831</v>
      </c>
      <c r="L555" s="11" t="n">
        <v>16679322</v>
      </c>
      <c r="M555" s="13" t="s">
        <v>44</v>
      </c>
      <c r="N555" s="13" t="s">
        <v>36</v>
      </c>
      <c r="P555" s="11" t="n">
        <v>128</v>
      </c>
      <c r="Q555" s="13" t="s">
        <v>45</v>
      </c>
      <c r="R555" s="13" t="s">
        <v>46</v>
      </c>
      <c r="S555" s="11" t="n">
        <v>1130101</v>
      </c>
      <c r="T555" s="13" t="s">
        <v>47</v>
      </c>
      <c r="U555" s="14" t="n">
        <v>712.11</v>
      </c>
      <c r="W555" s="14" t="n">
        <v>0</v>
      </c>
      <c r="X555" s="13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362</v>
      </c>
      <c r="F556" s="11" t="n">
        <v>24</v>
      </c>
      <c r="G556" s="13" t="s">
        <v>42</v>
      </c>
      <c r="H556" s="11" t="n">
        <v>2110101</v>
      </c>
      <c r="I556" s="13" t="s">
        <v>43</v>
      </c>
      <c r="J556" s="11" t="n">
        <v>1206841</v>
      </c>
      <c r="L556" s="11" t="n">
        <v>77112</v>
      </c>
      <c r="M556" s="13" t="s">
        <v>44</v>
      </c>
      <c r="N556" s="13" t="s">
        <v>36</v>
      </c>
      <c r="P556" s="11" t="n">
        <v>128</v>
      </c>
      <c r="Q556" s="13" t="s">
        <v>45</v>
      </c>
      <c r="R556" s="13" t="s">
        <v>46</v>
      </c>
      <c r="S556" s="11" t="n">
        <v>1130101</v>
      </c>
      <c r="T556" s="13" t="s">
        <v>47</v>
      </c>
      <c r="U556" s="14" t="n">
        <v>755.9</v>
      </c>
      <c r="W556" s="14" t="n">
        <v>0</v>
      </c>
      <c r="X556" s="13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408</v>
      </c>
      <c r="F557" s="11" t="n">
        <v>24</v>
      </c>
      <c r="G557" s="13" t="s">
        <v>42</v>
      </c>
      <c r="H557" s="11" t="n">
        <v>2110101</v>
      </c>
      <c r="I557" s="13" t="s">
        <v>43</v>
      </c>
      <c r="J557" s="11" t="n">
        <v>1210593</v>
      </c>
      <c r="L557" s="11" t="n">
        <v>7937243</v>
      </c>
      <c r="M557" s="13" t="s">
        <v>44</v>
      </c>
      <c r="N557" s="13" t="s">
        <v>36</v>
      </c>
      <c r="P557" s="11" t="n">
        <v>128</v>
      </c>
      <c r="Q557" s="13" t="s">
        <v>45</v>
      </c>
      <c r="R557" s="13" t="s">
        <v>46</v>
      </c>
      <c r="S557" s="11" t="n">
        <v>1130101</v>
      </c>
      <c r="T557" s="13" t="s">
        <v>47</v>
      </c>
      <c r="U557" s="14" t="n">
        <v>647.83</v>
      </c>
      <c r="W557" s="14" t="n">
        <v>0</v>
      </c>
      <c r="X557" s="13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541</v>
      </c>
      <c r="F558" s="11" t="n">
        <v>24</v>
      </c>
      <c r="G558" s="13" t="s">
        <v>42</v>
      </c>
      <c r="H558" s="11" t="n">
        <v>2110405</v>
      </c>
      <c r="I558" s="13" t="s">
        <v>34</v>
      </c>
      <c r="J558" s="11" t="n">
        <v>1210748</v>
      </c>
      <c r="L558" s="11" t="n">
        <v>653752</v>
      </c>
      <c r="M558" s="13" t="s">
        <v>44</v>
      </c>
      <c r="N558" s="13" t="s">
        <v>36</v>
      </c>
      <c r="P558" s="11" t="n">
        <v>128</v>
      </c>
      <c r="Q558" s="13" t="s">
        <v>45</v>
      </c>
      <c r="R558" s="13" t="s">
        <v>38</v>
      </c>
      <c r="S558" s="11" t="n">
        <v>4210227</v>
      </c>
      <c r="T558" s="13" t="s">
        <v>196</v>
      </c>
      <c r="U558" s="14" t="n">
        <v>462.4</v>
      </c>
      <c r="W558" s="14" t="n">
        <v>0</v>
      </c>
      <c r="X558" s="13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67</v>
      </c>
      <c r="F559" s="11" t="n">
        <v>24</v>
      </c>
      <c r="G559" s="13" t="s">
        <v>42</v>
      </c>
      <c r="H559" s="11" t="n">
        <v>2110101</v>
      </c>
      <c r="I559" s="13" t="s">
        <v>43</v>
      </c>
      <c r="J559" s="11" t="n">
        <v>1221411</v>
      </c>
      <c r="L559" s="11" t="n">
        <v>13641662</v>
      </c>
      <c r="M559" s="13" t="s">
        <v>44</v>
      </c>
      <c r="N559" s="13" t="s">
        <v>36</v>
      </c>
      <c r="P559" s="11" t="n">
        <v>128</v>
      </c>
      <c r="Q559" s="13" t="s">
        <v>45</v>
      </c>
      <c r="R559" s="13" t="s">
        <v>46</v>
      </c>
      <c r="S559" s="11" t="n">
        <v>1130101</v>
      </c>
      <c r="T559" s="13" t="s">
        <v>47</v>
      </c>
      <c r="U559" s="14" t="n">
        <v>630.75</v>
      </c>
      <c r="W559" s="14" t="n">
        <v>0</v>
      </c>
      <c r="X559" s="13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152</v>
      </c>
      <c r="F560" s="11" t="n">
        <v>24</v>
      </c>
      <c r="G560" s="13" t="s">
        <v>42</v>
      </c>
      <c r="H560" s="11" t="n">
        <v>2110101</v>
      </c>
      <c r="I560" s="13" t="s">
        <v>43</v>
      </c>
      <c r="J560" s="11" t="n">
        <v>1230846</v>
      </c>
      <c r="L560" s="11" t="n">
        <v>48801</v>
      </c>
      <c r="M560" s="13" t="s">
        <v>44</v>
      </c>
      <c r="N560" s="13" t="s">
        <v>36</v>
      </c>
      <c r="P560" s="11" t="n">
        <v>128</v>
      </c>
      <c r="Q560" s="13" t="s">
        <v>45</v>
      </c>
      <c r="R560" s="13" t="s">
        <v>46</v>
      </c>
      <c r="S560" s="11" t="n">
        <v>1130101</v>
      </c>
      <c r="T560" s="13" t="s">
        <v>47</v>
      </c>
      <c r="U560" s="14" t="n">
        <v>496.03</v>
      </c>
      <c r="W560" s="14" t="n">
        <v>0</v>
      </c>
      <c r="X560" s="13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113</v>
      </c>
      <c r="F561" s="11" t="n">
        <v>24</v>
      </c>
      <c r="G561" s="13" t="s">
        <v>42</v>
      </c>
      <c r="H561" s="11" t="n">
        <v>2110101</v>
      </c>
      <c r="I561" s="13" t="s">
        <v>43</v>
      </c>
      <c r="J561" s="11" t="n">
        <v>1235319</v>
      </c>
      <c r="L561" s="11" t="n">
        <v>213121</v>
      </c>
      <c r="M561" s="13" t="s">
        <v>44</v>
      </c>
      <c r="N561" s="13" t="s">
        <v>36</v>
      </c>
      <c r="P561" s="11" t="n">
        <v>128</v>
      </c>
      <c r="Q561" s="13" t="s">
        <v>45</v>
      </c>
      <c r="R561" s="13" t="s">
        <v>46</v>
      </c>
      <c r="S561" s="11" t="n">
        <v>1130101</v>
      </c>
      <c r="T561" s="13" t="s">
        <v>47</v>
      </c>
      <c r="U561" s="14" t="n">
        <v>572.7</v>
      </c>
      <c r="W561" s="14" t="n">
        <v>0</v>
      </c>
      <c r="X561" s="13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60</v>
      </c>
      <c r="F562" s="11" t="n">
        <v>24</v>
      </c>
      <c r="G562" s="13" t="s">
        <v>42</v>
      </c>
      <c r="H562" s="11" t="n">
        <v>2110101</v>
      </c>
      <c r="I562" s="13" t="s">
        <v>43</v>
      </c>
      <c r="J562" s="11" t="n">
        <v>1235703</v>
      </c>
      <c r="L562" s="11" t="n">
        <v>3041741</v>
      </c>
      <c r="M562" s="13" t="s">
        <v>44</v>
      </c>
      <c r="N562" s="13" t="s">
        <v>36</v>
      </c>
      <c r="P562" s="11" t="n">
        <v>128</v>
      </c>
      <c r="Q562" s="13" t="s">
        <v>45</v>
      </c>
      <c r="R562" s="13" t="s">
        <v>46</v>
      </c>
      <c r="S562" s="11" t="n">
        <v>1130101</v>
      </c>
      <c r="T562" s="13" t="s">
        <v>47</v>
      </c>
      <c r="U562" s="14" t="n">
        <v>1244.8</v>
      </c>
      <c r="W562" s="14" t="n">
        <v>0</v>
      </c>
      <c r="X562" s="13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155</v>
      </c>
      <c r="F563" s="11" t="n">
        <v>24</v>
      </c>
      <c r="G563" s="13" t="s">
        <v>42</v>
      </c>
      <c r="H563" s="11" t="n">
        <v>2110101</v>
      </c>
      <c r="I563" s="13" t="s">
        <v>43</v>
      </c>
      <c r="J563" s="11" t="n">
        <v>1235976</v>
      </c>
      <c r="L563" s="11" t="n">
        <v>9383741</v>
      </c>
      <c r="M563" s="13" t="s">
        <v>44</v>
      </c>
      <c r="N563" s="13" t="s">
        <v>36</v>
      </c>
      <c r="P563" s="11" t="n">
        <v>128</v>
      </c>
      <c r="Q563" s="13" t="s">
        <v>45</v>
      </c>
      <c r="R563" s="13" t="s">
        <v>46</v>
      </c>
      <c r="S563" s="11" t="n">
        <v>1130101</v>
      </c>
      <c r="T563" s="13" t="s">
        <v>47</v>
      </c>
      <c r="U563" s="14" t="n">
        <v>504.27</v>
      </c>
      <c r="W563" s="14" t="n">
        <v>0</v>
      </c>
      <c r="X563" s="13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266</v>
      </c>
      <c r="F564" s="11" t="n">
        <v>24</v>
      </c>
      <c r="G564" s="13" t="s">
        <v>42</v>
      </c>
      <c r="H564" s="11" t="n">
        <v>2110101</v>
      </c>
      <c r="I564" s="13" t="s">
        <v>43</v>
      </c>
      <c r="J564" s="11" t="n">
        <v>1241394</v>
      </c>
      <c r="L564" s="11" t="n">
        <v>19602</v>
      </c>
      <c r="M564" s="13" t="s">
        <v>44</v>
      </c>
      <c r="N564" s="13" t="s">
        <v>36</v>
      </c>
      <c r="P564" s="11" t="n">
        <v>128</v>
      </c>
      <c r="Q564" s="13" t="s">
        <v>45</v>
      </c>
      <c r="R564" s="13" t="s">
        <v>46</v>
      </c>
      <c r="S564" s="11" t="n">
        <v>1130101</v>
      </c>
      <c r="T564" s="13" t="s">
        <v>47</v>
      </c>
      <c r="U564" s="14" t="n">
        <v>925.91</v>
      </c>
      <c r="W564" s="14" t="n">
        <v>0</v>
      </c>
      <c r="X564" s="13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693</v>
      </c>
      <c r="F565" s="11" t="n">
        <v>24</v>
      </c>
      <c r="G565" s="13" t="s">
        <v>42</v>
      </c>
      <c r="H565" s="11" t="n">
        <v>2110101</v>
      </c>
      <c r="I565" s="13" t="s">
        <v>43</v>
      </c>
      <c r="J565" s="11" t="n">
        <v>1241433</v>
      </c>
      <c r="L565" s="11" t="n">
        <v>498831</v>
      </c>
      <c r="M565" s="13" t="s">
        <v>44</v>
      </c>
      <c r="N565" s="13" t="s">
        <v>36</v>
      </c>
      <c r="P565" s="11" t="n">
        <v>128</v>
      </c>
      <c r="Q565" s="13" t="s">
        <v>45</v>
      </c>
      <c r="R565" s="13" t="s">
        <v>46</v>
      </c>
      <c r="S565" s="11" t="n">
        <v>1130101</v>
      </c>
      <c r="T565" s="13" t="s">
        <v>47</v>
      </c>
      <c r="U565" s="14" t="n">
        <v>991.48</v>
      </c>
      <c r="W565" s="14" t="n">
        <v>0</v>
      </c>
      <c r="X565" s="13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113</v>
      </c>
      <c r="F566" s="11" t="n">
        <v>24</v>
      </c>
      <c r="G566" s="13" t="s">
        <v>42</v>
      </c>
      <c r="H566" s="11" t="n">
        <v>2110101</v>
      </c>
      <c r="I566" s="13" t="s">
        <v>43</v>
      </c>
      <c r="J566" s="11" t="n">
        <v>1243902</v>
      </c>
      <c r="L566" s="11" t="n">
        <v>213923</v>
      </c>
      <c r="M566" s="13" t="s">
        <v>44</v>
      </c>
      <c r="N566" s="13" t="s">
        <v>69</v>
      </c>
      <c r="P566" s="11" t="n">
        <v>128</v>
      </c>
      <c r="Q566" s="13" t="s">
        <v>45</v>
      </c>
      <c r="R566" s="13" t="s">
        <v>46</v>
      </c>
      <c r="S566" s="11" t="n">
        <v>1130101</v>
      </c>
      <c r="T566" s="13" t="s">
        <v>47</v>
      </c>
      <c r="U566" s="14" t="n">
        <v>446.46</v>
      </c>
      <c r="W566" s="14" t="n">
        <v>0</v>
      </c>
      <c r="X566" s="13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190</v>
      </c>
      <c r="F567" s="11" t="n">
        <v>24</v>
      </c>
      <c r="G567" s="13" t="s">
        <v>42</v>
      </c>
      <c r="H567" s="11" t="n">
        <v>2110101</v>
      </c>
      <c r="I567" s="13" t="s">
        <v>43</v>
      </c>
      <c r="J567" s="11" t="n">
        <v>1243946</v>
      </c>
      <c r="L567" s="11" t="n">
        <v>2557321</v>
      </c>
      <c r="M567" s="13" t="s">
        <v>44</v>
      </c>
      <c r="N567" s="13" t="s">
        <v>36</v>
      </c>
      <c r="P567" s="11" t="n">
        <v>128</v>
      </c>
      <c r="Q567" s="13" t="s">
        <v>45</v>
      </c>
      <c r="R567" s="13" t="s">
        <v>46</v>
      </c>
      <c r="S567" s="11" t="n">
        <v>1130101</v>
      </c>
      <c r="T567" s="13" t="s">
        <v>47</v>
      </c>
      <c r="U567" s="14" t="n">
        <v>870.75</v>
      </c>
      <c r="W567" s="14" t="n">
        <v>0</v>
      </c>
      <c r="X567" s="13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697</v>
      </c>
      <c r="F568" s="11" t="n">
        <v>24</v>
      </c>
      <c r="G568" s="13" t="s">
        <v>42</v>
      </c>
      <c r="H568" s="11" t="n">
        <v>2110101</v>
      </c>
      <c r="I568" s="13" t="s">
        <v>43</v>
      </c>
      <c r="J568" s="11" t="n">
        <v>1244012</v>
      </c>
      <c r="L568" s="11" t="n">
        <v>6457681</v>
      </c>
      <c r="M568" s="13" t="s">
        <v>44</v>
      </c>
      <c r="N568" s="13" t="s">
        <v>36</v>
      </c>
      <c r="P568" s="11" t="n">
        <v>128</v>
      </c>
      <c r="Q568" s="13" t="s">
        <v>45</v>
      </c>
      <c r="R568" s="13" t="s">
        <v>46</v>
      </c>
      <c r="S568" s="11" t="n">
        <v>1130101</v>
      </c>
      <c r="T568" s="13" t="s">
        <v>47</v>
      </c>
      <c r="U568" s="14" t="n">
        <v>858.24</v>
      </c>
      <c r="W568" s="14" t="n">
        <v>0</v>
      </c>
      <c r="X568" s="13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 MAGIA 500ML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699</v>
      </c>
      <c r="F569" s="11" t="n">
        <v>24</v>
      </c>
      <c r="G569" s="13" t="s">
        <v>42</v>
      </c>
      <c r="H569" s="11" t="n">
        <v>2110101</v>
      </c>
      <c r="I569" s="13" t="s">
        <v>43</v>
      </c>
      <c r="J569" s="11" t="n">
        <v>1244046</v>
      </c>
      <c r="L569" s="11" t="n">
        <v>326851</v>
      </c>
      <c r="M569" s="13" t="s">
        <v>44</v>
      </c>
      <c r="N569" s="13" t="s">
        <v>36</v>
      </c>
      <c r="P569" s="11" t="n">
        <v>128</v>
      </c>
      <c r="Q569" s="13" t="s">
        <v>45</v>
      </c>
      <c r="R569" s="13" t="s">
        <v>46</v>
      </c>
      <c r="S569" s="11" t="n">
        <v>1130101</v>
      </c>
      <c r="T569" s="13" t="s">
        <v>47</v>
      </c>
      <c r="U569" s="14" t="n">
        <v>467.19</v>
      </c>
      <c r="W569" s="14" t="n">
        <v>0</v>
      </c>
      <c r="X569" s="13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373</v>
      </c>
      <c r="F570" s="11" t="n">
        <v>24</v>
      </c>
      <c r="G570" s="13" t="s">
        <v>42</v>
      </c>
      <c r="H570" s="11" t="n">
        <v>2110101</v>
      </c>
      <c r="I570" s="13" t="s">
        <v>43</v>
      </c>
      <c r="J570" s="11" t="n">
        <v>1255829</v>
      </c>
      <c r="L570" s="11" t="n">
        <v>1415342</v>
      </c>
      <c r="M570" s="13" t="s">
        <v>44</v>
      </c>
      <c r="N570" s="13" t="s">
        <v>69</v>
      </c>
      <c r="P570" s="11" t="n">
        <v>128</v>
      </c>
      <c r="Q570" s="13" t="s">
        <v>45</v>
      </c>
      <c r="R570" s="13" t="s">
        <v>46</v>
      </c>
      <c r="S570" s="11" t="n">
        <v>1130101</v>
      </c>
      <c r="T570" s="13" t="s">
        <v>47</v>
      </c>
      <c r="U570" s="14" t="n">
        <v>716.75</v>
      </c>
      <c r="W570" s="14" t="n">
        <v>0</v>
      </c>
      <c r="X570" s="13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554</v>
      </c>
      <c r="F571" s="11" t="n">
        <v>24</v>
      </c>
      <c r="G571" s="13" t="s">
        <v>42</v>
      </c>
      <c r="H571" s="11" t="n">
        <v>2110101</v>
      </c>
      <c r="I571" s="13" t="s">
        <v>43</v>
      </c>
      <c r="J571" s="11" t="n">
        <v>1260187</v>
      </c>
      <c r="L571" s="11" t="n">
        <v>545752</v>
      </c>
      <c r="M571" s="13" t="s">
        <v>44</v>
      </c>
      <c r="N571" s="13" t="s">
        <v>36</v>
      </c>
      <c r="P571" s="11" t="n">
        <v>128</v>
      </c>
      <c r="Q571" s="13" t="s">
        <v>45</v>
      </c>
      <c r="R571" s="13" t="s">
        <v>46</v>
      </c>
      <c r="S571" s="11" t="n">
        <v>1130101</v>
      </c>
      <c r="T571" s="13" t="s">
        <v>47</v>
      </c>
      <c r="U571" s="14" t="n">
        <v>1094.25</v>
      </c>
      <c r="W571" s="14" t="n">
        <v>0</v>
      </c>
      <c r="X571" s="13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179</v>
      </c>
      <c r="F572" s="11" t="n">
        <v>24</v>
      </c>
      <c r="G572" s="13" t="s">
        <v>42</v>
      </c>
      <c r="H572" s="11" t="n">
        <v>2110101</v>
      </c>
      <c r="I572" s="13" t="s">
        <v>43</v>
      </c>
      <c r="J572" s="11" t="n">
        <v>1268668</v>
      </c>
      <c r="L572" s="11" t="n">
        <v>11971</v>
      </c>
      <c r="M572" s="13" t="s">
        <v>44</v>
      </c>
      <c r="N572" s="13" t="s">
        <v>69</v>
      </c>
      <c r="P572" s="11" t="n">
        <v>128</v>
      </c>
      <c r="Q572" s="13" t="s">
        <v>45</v>
      </c>
      <c r="R572" s="13" t="s">
        <v>46</v>
      </c>
      <c r="S572" s="11" t="n">
        <v>1130101</v>
      </c>
      <c r="T572" s="13" t="s">
        <v>47</v>
      </c>
      <c r="U572" s="14" t="n">
        <v>180.27</v>
      </c>
      <c r="W572" s="14" t="n">
        <v>0</v>
      </c>
      <c r="X572" s="13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274</v>
      </c>
      <c r="F573" s="11" t="n">
        <v>24</v>
      </c>
      <c r="G573" s="13" t="s">
        <v>42</v>
      </c>
      <c r="H573" s="11" t="n">
        <v>2110101</v>
      </c>
      <c r="I573" s="13" t="s">
        <v>43</v>
      </c>
      <c r="J573" s="11" t="n">
        <v>1269330</v>
      </c>
      <c r="L573" s="11" t="n">
        <v>1027742</v>
      </c>
      <c r="M573" s="13" t="s">
        <v>44</v>
      </c>
      <c r="N573" s="13" t="s">
        <v>69</v>
      </c>
      <c r="P573" s="11" t="n">
        <v>128</v>
      </c>
      <c r="Q573" s="13" t="s">
        <v>45</v>
      </c>
      <c r="R573" s="13" t="s">
        <v>46</v>
      </c>
      <c r="S573" s="11" t="n">
        <v>1130101</v>
      </c>
      <c r="T573" s="13" t="s">
        <v>47</v>
      </c>
      <c r="U573" s="14" t="n">
        <v>756.82</v>
      </c>
      <c r="W573" s="14" t="n">
        <v>0</v>
      </c>
      <c r="X573" s="13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410</v>
      </c>
      <c r="F574" s="11" t="n">
        <v>24</v>
      </c>
      <c r="G574" s="13" t="s">
        <v>42</v>
      </c>
      <c r="H574" s="11" t="n">
        <v>2110101</v>
      </c>
      <c r="I574" s="13" t="s">
        <v>43</v>
      </c>
      <c r="J574" s="11" t="n">
        <v>1270052</v>
      </c>
      <c r="L574" s="11" t="n">
        <v>5672</v>
      </c>
      <c r="M574" s="13" t="s">
        <v>44</v>
      </c>
      <c r="N574" s="13" t="s">
        <v>69</v>
      </c>
      <c r="P574" s="11" t="n">
        <v>128</v>
      </c>
      <c r="Q574" s="13" t="s">
        <v>45</v>
      </c>
      <c r="R574" s="13" t="s">
        <v>46</v>
      </c>
      <c r="S574" s="11" t="n">
        <v>1130101</v>
      </c>
      <c r="T574" s="13" t="s">
        <v>47</v>
      </c>
      <c r="U574" s="14" t="n">
        <v>566</v>
      </c>
      <c r="W574" s="14" t="n">
        <v>0</v>
      </c>
      <c r="X574" s="13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312</v>
      </c>
      <c r="F575" s="11" t="n">
        <v>24</v>
      </c>
      <c r="G575" s="13" t="s">
        <v>42</v>
      </c>
      <c r="H575" s="11" t="n">
        <v>2110101</v>
      </c>
      <c r="I575" s="13" t="s">
        <v>43</v>
      </c>
      <c r="J575" s="11" t="n">
        <v>1272618</v>
      </c>
      <c r="L575" s="11" t="n">
        <v>189834610</v>
      </c>
      <c r="M575" s="13" t="s">
        <v>44</v>
      </c>
      <c r="N575" s="13" t="s">
        <v>36</v>
      </c>
      <c r="P575" s="11" t="n">
        <v>128</v>
      </c>
      <c r="Q575" s="13" t="s">
        <v>45</v>
      </c>
      <c r="R575" s="13" t="s">
        <v>46</v>
      </c>
      <c r="S575" s="11" t="n">
        <v>1130101</v>
      </c>
      <c r="T575" s="13" t="s">
        <v>47</v>
      </c>
      <c r="U575" s="14" t="n">
        <v>432</v>
      </c>
      <c r="W575" s="14" t="n">
        <v>0</v>
      </c>
      <c r="X575" s="13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218</v>
      </c>
      <c r="F576" s="11" t="n">
        <v>24</v>
      </c>
      <c r="G576" s="13" t="s">
        <v>42</v>
      </c>
      <c r="H576" s="11" t="n">
        <v>2110101</v>
      </c>
      <c r="I576" s="13" t="s">
        <v>43</v>
      </c>
      <c r="J576" s="11" t="n">
        <v>1272635</v>
      </c>
      <c r="L576" s="11" t="n">
        <v>2347</v>
      </c>
      <c r="M576" s="13" t="s">
        <v>44</v>
      </c>
      <c r="N576" s="13" t="s">
        <v>36</v>
      </c>
      <c r="P576" s="11" t="n">
        <v>128</v>
      </c>
      <c r="Q576" s="13" t="s">
        <v>45</v>
      </c>
      <c r="R576" s="13" t="s">
        <v>46</v>
      </c>
      <c r="S576" s="11" t="n">
        <v>1130101</v>
      </c>
      <c r="T576" s="13" t="s">
        <v>47</v>
      </c>
      <c r="U576" s="14" t="n">
        <v>1865</v>
      </c>
      <c r="W576" s="14" t="n">
        <v>0</v>
      </c>
      <c r="X576" s="13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76</v>
      </c>
      <c r="F577" s="11" t="n">
        <v>24</v>
      </c>
      <c r="G577" s="13" t="s">
        <v>42</v>
      </c>
      <c r="H577" s="11" t="n">
        <v>2110101</v>
      </c>
      <c r="I577" s="13" t="s">
        <v>43</v>
      </c>
      <c r="J577" s="11" t="n">
        <v>1272647</v>
      </c>
      <c r="L577" s="11" t="n">
        <v>53611</v>
      </c>
      <c r="M577" s="13" t="s">
        <v>44</v>
      </c>
      <c r="N577" s="13" t="s">
        <v>36</v>
      </c>
      <c r="P577" s="11" t="n">
        <v>128</v>
      </c>
      <c r="Q577" s="13" t="s">
        <v>45</v>
      </c>
      <c r="R577" s="13" t="s">
        <v>46</v>
      </c>
      <c r="S577" s="11" t="n">
        <v>1130101</v>
      </c>
      <c r="T577" s="13" t="s">
        <v>47</v>
      </c>
      <c r="U577" s="14" t="n">
        <v>4761.6</v>
      </c>
      <c r="W577" s="14" t="n">
        <v>0</v>
      </c>
      <c r="X577" s="13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76</v>
      </c>
      <c r="F578" s="11" t="n">
        <v>24</v>
      </c>
      <c r="G578" s="13" t="s">
        <v>42</v>
      </c>
      <c r="H578" s="11" t="n">
        <v>2110101</v>
      </c>
      <c r="I578" s="13" t="s">
        <v>43</v>
      </c>
      <c r="J578" s="11" t="n">
        <v>1272655</v>
      </c>
      <c r="L578" s="11" t="n">
        <v>53512</v>
      </c>
      <c r="M578" s="13" t="s">
        <v>44</v>
      </c>
      <c r="N578" s="13" t="s">
        <v>36</v>
      </c>
      <c r="P578" s="11" t="n">
        <v>128</v>
      </c>
      <c r="Q578" s="13" t="s">
        <v>45</v>
      </c>
      <c r="R578" s="13" t="s">
        <v>46</v>
      </c>
      <c r="S578" s="11" t="n">
        <v>1130101</v>
      </c>
      <c r="T578" s="13" t="s">
        <v>47</v>
      </c>
      <c r="U578" s="14" t="n">
        <v>2882</v>
      </c>
      <c r="W578" s="14" t="n">
        <v>0</v>
      </c>
      <c r="X578" s="13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278</v>
      </c>
      <c r="F579" s="11" t="n">
        <v>24</v>
      </c>
      <c r="G579" s="13" t="s">
        <v>42</v>
      </c>
      <c r="H579" s="11" t="n">
        <v>2110101</v>
      </c>
      <c r="I579" s="13" t="s">
        <v>43</v>
      </c>
      <c r="J579" s="11" t="n">
        <v>1273027</v>
      </c>
      <c r="L579" s="11" t="n">
        <v>1340</v>
      </c>
      <c r="M579" s="13" t="s">
        <v>44</v>
      </c>
      <c r="N579" s="13" t="s">
        <v>69</v>
      </c>
      <c r="P579" s="11" t="n">
        <v>128</v>
      </c>
      <c r="Q579" s="13" t="s">
        <v>45</v>
      </c>
      <c r="R579" s="13" t="s">
        <v>46</v>
      </c>
      <c r="S579" s="11" t="n">
        <v>1130101</v>
      </c>
      <c r="T579" s="13" t="s">
        <v>47</v>
      </c>
      <c r="U579" s="14" t="n">
        <v>941.2</v>
      </c>
      <c r="W579" s="14" t="n">
        <v>0</v>
      </c>
      <c r="X579" s="13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 PERU DF DISTRIBUIDORA DE FR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120</v>
      </c>
      <c r="F580" s="11" t="n">
        <v>24</v>
      </c>
      <c r="G580" s="13" t="s">
        <v>42</v>
      </c>
      <c r="H580" s="11" t="n">
        <v>2110101</v>
      </c>
      <c r="I580" s="13" t="s">
        <v>43</v>
      </c>
      <c r="J580" s="11" t="n">
        <v>1274409</v>
      </c>
      <c r="L580" s="11" t="n">
        <v>17861</v>
      </c>
      <c r="M580" s="13" t="s">
        <v>44</v>
      </c>
      <c r="N580" s="13" t="s">
        <v>69</v>
      </c>
      <c r="P580" s="11" t="n">
        <v>128</v>
      </c>
      <c r="Q580" s="13" t="s">
        <v>45</v>
      </c>
      <c r="R580" s="13" t="s">
        <v>46</v>
      </c>
      <c r="S580" s="11" t="n">
        <v>1130101</v>
      </c>
      <c r="T580" s="13" t="s">
        <v>47</v>
      </c>
      <c r="U580" s="14" t="n">
        <v>201</v>
      </c>
      <c r="W580" s="14" t="n">
        <v>0</v>
      </c>
      <c r="X580" s="13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404</v>
      </c>
      <c r="F581" s="11" t="n">
        <v>24</v>
      </c>
      <c r="G581" s="13" t="s">
        <v>42</v>
      </c>
      <c r="H581" s="11" t="n">
        <v>2110101</v>
      </c>
      <c r="I581" s="13" t="s">
        <v>43</v>
      </c>
      <c r="J581" s="11" t="n">
        <v>1289177</v>
      </c>
      <c r="L581" s="11" t="n">
        <v>12</v>
      </c>
      <c r="M581" s="13" t="s">
        <v>44</v>
      </c>
      <c r="N581" s="13" t="s">
        <v>36</v>
      </c>
      <c r="P581" s="11" t="n">
        <v>128</v>
      </c>
      <c r="Q581" s="13" t="s">
        <v>45</v>
      </c>
      <c r="R581" s="13" t="s">
        <v>46</v>
      </c>
      <c r="S581" s="11" t="n">
        <v>1130101</v>
      </c>
      <c r="T581" s="13" t="s">
        <v>47</v>
      </c>
      <c r="U581" s="14" t="n">
        <v>536.1</v>
      </c>
      <c r="W581" s="14" t="n">
        <v>0</v>
      </c>
      <c r="X581" s="13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320</v>
      </c>
      <c r="F582" s="11" t="n">
        <v>24</v>
      </c>
      <c r="G582" s="13" t="s">
        <v>42</v>
      </c>
      <c r="H582" s="11" t="n">
        <v>2110101</v>
      </c>
      <c r="I582" s="13" t="s">
        <v>43</v>
      </c>
      <c r="J582" s="11" t="n">
        <v>1290729</v>
      </c>
      <c r="L582" s="11" t="n">
        <v>145281</v>
      </c>
      <c r="M582" s="13" t="s">
        <v>44</v>
      </c>
      <c r="N582" s="13" t="s">
        <v>36</v>
      </c>
      <c r="P582" s="11" t="n">
        <v>128</v>
      </c>
      <c r="Q582" s="13" t="s">
        <v>45</v>
      </c>
      <c r="R582" s="13" t="s">
        <v>46</v>
      </c>
      <c r="S582" s="11" t="n">
        <v>1130101</v>
      </c>
      <c r="T582" s="13" t="s">
        <v>47</v>
      </c>
      <c r="U582" s="14" t="n">
        <v>5950.93</v>
      </c>
      <c r="W582" s="14" t="n">
        <v>0</v>
      </c>
      <c r="X582" s="13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80</v>
      </c>
      <c r="F583" s="11" t="n">
        <v>34</v>
      </c>
      <c r="G583" s="13" t="s">
        <v>33</v>
      </c>
      <c r="H583" s="11" t="n">
        <v>2110101</v>
      </c>
      <c r="I583" s="13" t="s">
        <v>43</v>
      </c>
      <c r="J583" s="11" t="n">
        <v>1295664</v>
      </c>
      <c r="L583" s="11" t="n">
        <v>4303</v>
      </c>
      <c r="M583" s="13" t="s">
        <v>44</v>
      </c>
      <c r="N583" s="13" t="s">
        <v>69</v>
      </c>
      <c r="P583" s="11" t="n">
        <v>128</v>
      </c>
      <c r="Q583" s="13" t="s">
        <v>45</v>
      </c>
      <c r="R583" s="13" t="s">
        <v>46</v>
      </c>
      <c r="S583" s="11" t="n">
        <v>1130101</v>
      </c>
      <c r="T583" s="13" t="s">
        <v>47</v>
      </c>
      <c r="U583" s="14" t="n">
        <v>2570.5</v>
      </c>
      <c r="W583" s="14" t="n">
        <v>0</v>
      </c>
      <c r="X583" s="13" t="s">
        <v>129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130</v>
      </c>
      <c r="F584" s="11" t="n">
        <v>34</v>
      </c>
      <c r="G584" s="13" t="s">
        <v>33</v>
      </c>
      <c r="H584" s="11" t="n">
        <v>2110101</v>
      </c>
      <c r="I584" s="13" t="s">
        <v>43</v>
      </c>
      <c r="J584" s="11" t="n">
        <v>1295708</v>
      </c>
      <c r="L584" s="11" t="n">
        <v>202450</v>
      </c>
      <c r="M584" s="13" t="s">
        <v>44</v>
      </c>
      <c r="N584" s="13" t="s">
        <v>36</v>
      </c>
      <c r="P584" s="11" t="n">
        <v>128</v>
      </c>
      <c r="Q584" s="13" t="s">
        <v>45</v>
      </c>
      <c r="R584" s="13" t="s">
        <v>46</v>
      </c>
      <c r="S584" s="11" t="n">
        <v>1130101</v>
      </c>
      <c r="T584" s="13" t="s">
        <v>47</v>
      </c>
      <c r="U584" s="14" t="n">
        <v>296</v>
      </c>
      <c r="W584" s="14" t="n">
        <v>0</v>
      </c>
      <c r="X584" s="13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130</v>
      </c>
      <c r="F585" s="11" t="n">
        <v>34</v>
      </c>
      <c r="G585" s="13" t="s">
        <v>33</v>
      </c>
      <c r="H585" s="11" t="n">
        <v>2110101</v>
      </c>
      <c r="I585" s="13" t="s">
        <v>43</v>
      </c>
      <c r="J585" s="11" t="n">
        <v>1309973</v>
      </c>
      <c r="L585" s="11" t="n">
        <v>204674</v>
      </c>
      <c r="M585" s="13" t="s">
        <v>44</v>
      </c>
      <c r="N585" s="13" t="s">
        <v>36</v>
      </c>
      <c r="P585" s="11" t="n">
        <v>129</v>
      </c>
      <c r="Q585" s="13" t="s">
        <v>102</v>
      </c>
      <c r="R585" s="13" t="s">
        <v>46</v>
      </c>
      <c r="S585" s="11" t="n">
        <v>1130101</v>
      </c>
      <c r="T585" s="13" t="s">
        <v>47</v>
      </c>
      <c r="U585" s="14" t="n">
        <v>148</v>
      </c>
      <c r="W585" s="14" t="n">
        <v>0</v>
      </c>
      <c r="X585" s="13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80</v>
      </c>
      <c r="F586" s="11" t="n">
        <v>13</v>
      </c>
      <c r="G586" s="13" t="s">
        <v>81</v>
      </c>
      <c r="H586" s="11" t="n">
        <v>2110101</v>
      </c>
      <c r="I586" s="13" t="s">
        <v>43</v>
      </c>
      <c r="J586" s="11" t="n">
        <v>1312572</v>
      </c>
      <c r="L586" s="11" t="n">
        <v>4311</v>
      </c>
      <c r="M586" s="13" t="s">
        <v>44</v>
      </c>
      <c r="N586" s="13" t="s">
        <v>69</v>
      </c>
      <c r="P586" s="11" t="n">
        <v>128</v>
      </c>
      <c r="Q586" s="13" t="s">
        <v>45</v>
      </c>
      <c r="R586" s="13" t="s">
        <v>46</v>
      </c>
      <c r="S586" s="11" t="n">
        <v>1130101</v>
      </c>
      <c r="T586" s="13" t="s">
        <v>47</v>
      </c>
      <c r="U586" s="14" t="n">
        <v>385</v>
      </c>
      <c r="W586" s="14" t="n">
        <v>385</v>
      </c>
      <c r="X586" s="13" t="s">
        <v>82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80</v>
      </c>
      <c r="F587" s="11" t="n">
        <v>13</v>
      </c>
      <c r="G587" s="13" t="s">
        <v>81</v>
      </c>
      <c r="H587" s="11" t="n">
        <v>2110101</v>
      </c>
      <c r="I587" s="13" t="s">
        <v>43</v>
      </c>
      <c r="J587" s="11" t="n">
        <v>1313262</v>
      </c>
      <c r="L587" s="11" t="n">
        <v>4312</v>
      </c>
      <c r="M587" s="13" t="s">
        <v>44</v>
      </c>
      <c r="N587" s="13" t="s">
        <v>69</v>
      </c>
      <c r="P587" s="11" t="n">
        <v>129</v>
      </c>
      <c r="Q587" s="13" t="s">
        <v>102</v>
      </c>
      <c r="R587" s="13" t="s">
        <v>46</v>
      </c>
      <c r="S587" s="11" t="n">
        <v>1130101</v>
      </c>
      <c r="T587" s="13" t="s">
        <v>47</v>
      </c>
      <c r="U587" s="14" t="n">
        <v>240</v>
      </c>
      <c r="W587" s="14" t="n">
        <v>240</v>
      </c>
      <c r="X587" s="13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716</v>
      </c>
      <c r="F588" s="11" t="n">
        <v>13</v>
      </c>
      <c r="G588" s="13" t="s">
        <v>81</v>
      </c>
      <c r="H588" s="11" t="n">
        <v>2110101</v>
      </c>
      <c r="I588" s="13" t="s">
        <v>43</v>
      </c>
      <c r="J588" s="11" t="n">
        <v>1321565</v>
      </c>
      <c r="L588" s="11" t="n">
        <v>1286</v>
      </c>
      <c r="M588" s="13" t="s">
        <v>44</v>
      </c>
      <c r="N588" s="13" t="s">
        <v>69</v>
      </c>
      <c r="P588" s="11" t="n">
        <v>128</v>
      </c>
      <c r="Q588" s="13" t="s">
        <v>45</v>
      </c>
      <c r="R588" s="13" t="s">
        <v>46</v>
      </c>
      <c r="S588" s="11" t="n">
        <v>1130101</v>
      </c>
      <c r="T588" s="13" t="s">
        <v>47</v>
      </c>
      <c r="U588" s="14" t="n">
        <v>208.5</v>
      </c>
      <c r="W588" s="14" t="n">
        <v>208.5</v>
      </c>
      <c r="X588" s="13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499</v>
      </c>
      <c r="F589" s="11" t="n">
        <v>24</v>
      </c>
      <c r="G589" s="13" t="s">
        <v>42</v>
      </c>
      <c r="H589" s="11" t="n">
        <v>2110101</v>
      </c>
      <c r="I589" s="13" t="s">
        <v>43</v>
      </c>
      <c r="J589" s="11" t="n">
        <v>1160743</v>
      </c>
      <c r="L589" s="11" t="n">
        <v>5052</v>
      </c>
      <c r="M589" s="13" t="s">
        <v>44</v>
      </c>
      <c r="N589" s="13" t="s">
        <v>36</v>
      </c>
      <c r="P589" s="11" t="n">
        <v>128</v>
      </c>
      <c r="Q589" s="13" t="s">
        <v>45</v>
      </c>
      <c r="R589" s="13" t="s">
        <v>46</v>
      </c>
      <c r="S589" s="11" t="n">
        <v>1130101</v>
      </c>
      <c r="T589" s="13" t="s">
        <v>47</v>
      </c>
      <c r="U589" s="14" t="n">
        <v>531.1</v>
      </c>
      <c r="W589" s="14" t="n">
        <v>0</v>
      </c>
      <c r="X589" s="13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BOLO BLOOM 600G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295</v>
      </c>
      <c r="F590" s="11" t="n">
        <v>24</v>
      </c>
      <c r="G590" s="13" t="s">
        <v>42</v>
      </c>
      <c r="H590" s="11" t="n">
        <v>2110101</v>
      </c>
      <c r="I590" s="13" t="s">
        <v>43</v>
      </c>
      <c r="J590" s="11" t="n">
        <v>1225978</v>
      </c>
      <c r="L590" s="11" t="n">
        <v>843354</v>
      </c>
      <c r="M590" s="13" t="s">
        <v>44</v>
      </c>
      <c r="N590" s="13" t="s">
        <v>36</v>
      </c>
      <c r="P590" s="11" t="n">
        <v>128</v>
      </c>
      <c r="Q590" s="13" t="s">
        <v>45</v>
      </c>
      <c r="R590" s="13" t="s">
        <v>46</v>
      </c>
      <c r="S590" s="11" t="n">
        <v>1130101</v>
      </c>
      <c r="T590" s="13" t="s">
        <v>47</v>
      </c>
      <c r="U590" s="14" t="n">
        <v>736.8</v>
      </c>
      <c r="W590" s="14" t="n">
        <v>0</v>
      </c>
      <c r="X590" s="13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720</v>
      </c>
      <c r="F591" s="11" t="n">
        <v>24</v>
      </c>
      <c r="G591" s="13" t="s">
        <v>42</v>
      </c>
      <c r="H591" s="11" t="n">
        <v>2110101</v>
      </c>
      <c r="I591" s="13" t="s">
        <v>43</v>
      </c>
      <c r="J591" s="11" t="n">
        <v>1231847</v>
      </c>
      <c r="L591" s="11" t="n">
        <v>202661</v>
      </c>
      <c r="M591" s="13" t="s">
        <v>44</v>
      </c>
      <c r="N591" s="13" t="s">
        <v>36</v>
      </c>
      <c r="P591" s="11" t="n">
        <v>128</v>
      </c>
      <c r="Q591" s="13" t="s">
        <v>45</v>
      </c>
      <c r="R591" s="13" t="s">
        <v>46</v>
      </c>
      <c r="S591" s="11" t="n">
        <v>1130101</v>
      </c>
      <c r="T591" s="13" t="s">
        <v>47</v>
      </c>
      <c r="U591" s="14" t="n">
        <v>227.29</v>
      </c>
      <c r="W591" s="14" t="n">
        <v>0</v>
      </c>
      <c r="X591" s="13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306</v>
      </c>
      <c r="F592" s="11" t="n">
        <v>24</v>
      </c>
      <c r="G592" s="13" t="s">
        <v>42</v>
      </c>
      <c r="H592" s="11" t="n">
        <v>2110101</v>
      </c>
      <c r="I592" s="13" t="s">
        <v>43</v>
      </c>
      <c r="J592" s="11" t="n">
        <v>1279218</v>
      </c>
      <c r="L592" s="11" t="n">
        <v>867516</v>
      </c>
      <c r="M592" s="13" t="s">
        <v>44</v>
      </c>
      <c r="N592" s="13" t="s">
        <v>69</v>
      </c>
      <c r="P592" s="11" t="n">
        <v>128</v>
      </c>
      <c r="Q592" s="13" t="s">
        <v>45</v>
      </c>
      <c r="R592" s="13" t="s">
        <v>46</v>
      </c>
      <c r="S592" s="11" t="n">
        <v>1130101</v>
      </c>
      <c r="T592" s="13" t="s">
        <v>47</v>
      </c>
      <c r="U592" s="14" t="n">
        <v>3902.24</v>
      </c>
      <c r="W592" s="14" t="n">
        <v>0</v>
      </c>
      <c r="X592" s="13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306</v>
      </c>
      <c r="F593" s="11" t="n">
        <v>24</v>
      </c>
      <c r="G593" s="13" t="s">
        <v>42</v>
      </c>
      <c r="H593" s="11" t="n">
        <v>2110101</v>
      </c>
      <c r="I593" s="13" t="s">
        <v>43</v>
      </c>
      <c r="J593" s="11" t="n">
        <v>1279223</v>
      </c>
      <c r="L593" s="11" t="n">
        <v>199847</v>
      </c>
      <c r="M593" s="13" t="s">
        <v>44</v>
      </c>
      <c r="N593" s="13" t="s">
        <v>36</v>
      </c>
      <c r="P593" s="11" t="n">
        <v>128</v>
      </c>
      <c r="Q593" s="13" t="s">
        <v>45</v>
      </c>
      <c r="R593" s="13" t="s">
        <v>46</v>
      </c>
      <c r="S593" s="11" t="n">
        <v>1130101</v>
      </c>
      <c r="T593" s="13" t="s">
        <v>47</v>
      </c>
      <c r="U593" s="14" t="n">
        <v>1.55</v>
      </c>
      <c r="W593" s="14" t="n">
        <v>0</v>
      </c>
      <c r="X593" s="13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306</v>
      </c>
      <c r="F594" s="11" t="n">
        <v>24</v>
      </c>
      <c r="G594" s="13" t="s">
        <v>42</v>
      </c>
      <c r="H594" s="11" t="n">
        <v>2110101</v>
      </c>
      <c r="I594" s="13" t="s">
        <v>43</v>
      </c>
      <c r="J594" s="11" t="n">
        <v>1289305</v>
      </c>
      <c r="L594" s="11" t="n">
        <v>870113</v>
      </c>
      <c r="M594" s="13" t="s">
        <v>44</v>
      </c>
      <c r="N594" s="13" t="s">
        <v>69</v>
      </c>
      <c r="P594" s="11" t="n">
        <v>128</v>
      </c>
      <c r="Q594" s="13" t="s">
        <v>45</v>
      </c>
      <c r="R594" s="13" t="s">
        <v>46</v>
      </c>
      <c r="S594" s="11" t="n">
        <v>1130101</v>
      </c>
      <c r="T594" s="13" t="s">
        <v>47</v>
      </c>
      <c r="U594" s="14" t="n">
        <v>1050.99</v>
      </c>
      <c r="W594" s="14" t="n">
        <v>0</v>
      </c>
      <c r="X594" s="13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306</v>
      </c>
      <c r="F595" s="11" t="n">
        <v>24</v>
      </c>
      <c r="G595" s="13" t="s">
        <v>42</v>
      </c>
      <c r="H595" s="11" t="n">
        <v>2110101</v>
      </c>
      <c r="I595" s="13" t="s">
        <v>43</v>
      </c>
      <c r="J595" s="11" t="n">
        <v>1289311</v>
      </c>
      <c r="L595" s="11" t="n">
        <v>201585</v>
      </c>
      <c r="M595" s="13" t="s">
        <v>44</v>
      </c>
      <c r="N595" s="13" t="s">
        <v>36</v>
      </c>
      <c r="P595" s="11" t="n">
        <v>128</v>
      </c>
      <c r="Q595" s="13" t="s">
        <v>45</v>
      </c>
      <c r="R595" s="13" t="s">
        <v>46</v>
      </c>
      <c r="S595" s="11" t="n">
        <v>1130101</v>
      </c>
      <c r="T595" s="13" t="s">
        <v>47</v>
      </c>
      <c r="U595" s="14" t="n">
        <v>1.55</v>
      </c>
      <c r="W595" s="14" t="n">
        <v>0</v>
      </c>
      <c r="X595" s="13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102</v>
      </c>
      <c r="F596" s="11" t="n">
        <v>34</v>
      </c>
      <c r="G596" s="13" t="s">
        <v>33</v>
      </c>
      <c r="H596" s="11" t="n">
        <v>2110405</v>
      </c>
      <c r="I596" s="13" t="s">
        <v>34</v>
      </c>
      <c r="J596" s="11" t="n">
        <v>1309304</v>
      </c>
      <c r="L596" s="11" t="n">
        <v>20252026</v>
      </c>
      <c r="M596" s="13" t="s">
        <v>44</v>
      </c>
      <c r="N596" s="13" t="s">
        <v>36</v>
      </c>
      <c r="P596" s="11" t="n">
        <v>101</v>
      </c>
      <c r="Q596" s="13" t="s">
        <v>37</v>
      </c>
      <c r="R596" s="13" t="s">
        <v>72</v>
      </c>
      <c r="S596" s="11" t="n">
        <v>4210304</v>
      </c>
      <c r="T596" s="13" t="s">
        <v>726</v>
      </c>
      <c r="U596" s="14" t="n">
        <v>2301.62</v>
      </c>
      <c r="W596" s="14" t="n">
        <v>0</v>
      </c>
      <c r="X596" s="13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95</v>
      </c>
      <c r="F597" s="11" t="n">
        <v>34</v>
      </c>
      <c r="G597" s="13" t="s">
        <v>33</v>
      </c>
      <c r="H597" s="11" t="n">
        <v>2110405</v>
      </c>
      <c r="I597" s="13" t="s">
        <v>34</v>
      </c>
      <c r="J597" s="11" t="n">
        <v>1309795</v>
      </c>
      <c r="L597" s="11" t="n">
        <v>20252026</v>
      </c>
      <c r="M597" s="13" t="s">
        <v>44</v>
      </c>
      <c r="N597" s="13" t="s">
        <v>36</v>
      </c>
      <c r="P597" s="11" t="n">
        <v>101</v>
      </c>
      <c r="Q597" s="13" t="s">
        <v>37</v>
      </c>
      <c r="R597" s="13" t="s">
        <v>72</v>
      </c>
      <c r="S597" s="11" t="n">
        <v>4210304</v>
      </c>
      <c r="T597" s="13" t="s">
        <v>726</v>
      </c>
      <c r="U597" s="14" t="n">
        <v>2377.94</v>
      </c>
      <c r="W597" s="14" t="n">
        <v>0</v>
      </c>
      <c r="X597" s="13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80</v>
      </c>
      <c r="F598" s="11" t="n">
        <v>13</v>
      </c>
      <c r="G598" s="13" t="s">
        <v>81</v>
      </c>
      <c r="H598" s="11" t="n">
        <v>2110101</v>
      </c>
      <c r="I598" s="13" t="s">
        <v>43</v>
      </c>
      <c r="J598" s="11" t="n">
        <v>1321970</v>
      </c>
      <c r="L598" s="11" t="n">
        <v>4323</v>
      </c>
      <c r="M598" s="13" t="s">
        <v>44</v>
      </c>
      <c r="N598" s="13" t="s">
        <v>69</v>
      </c>
      <c r="P598" s="11" t="n">
        <v>128</v>
      </c>
      <c r="Q598" s="13" t="s">
        <v>45</v>
      </c>
      <c r="R598" s="13" t="s">
        <v>46</v>
      </c>
      <c r="S598" s="11" t="n">
        <v>1130101</v>
      </c>
      <c r="T598" s="13" t="s">
        <v>47</v>
      </c>
      <c r="U598" s="14" t="n">
        <v>240</v>
      </c>
      <c r="W598" s="14" t="n">
        <v>240</v>
      </c>
      <c r="X598" s="13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80</v>
      </c>
      <c r="F599" s="11" t="n">
        <v>13</v>
      </c>
      <c r="G599" s="13" t="s">
        <v>81</v>
      </c>
      <c r="H599" s="11" t="n">
        <v>2110101</v>
      </c>
      <c r="I599" s="13" t="s">
        <v>43</v>
      </c>
      <c r="J599" s="11" t="n">
        <v>1322132</v>
      </c>
      <c r="L599" s="11" t="n">
        <v>4325</v>
      </c>
      <c r="M599" s="13" t="s">
        <v>44</v>
      </c>
      <c r="N599" s="13" t="s">
        <v>69</v>
      </c>
      <c r="P599" s="11" t="n">
        <v>128</v>
      </c>
      <c r="Q599" s="13" t="s">
        <v>45</v>
      </c>
      <c r="R599" s="13" t="s">
        <v>46</v>
      </c>
      <c r="S599" s="11" t="n">
        <v>1130101</v>
      </c>
      <c r="T599" s="13" t="s">
        <v>47</v>
      </c>
      <c r="U599" s="14" t="n">
        <v>385</v>
      </c>
      <c r="W599" s="14" t="n">
        <v>0</v>
      </c>
      <c r="X599" s="13" t="s">
        <v>82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84</v>
      </c>
      <c r="F600" s="11" t="n">
        <v>24</v>
      </c>
      <c r="G600" s="13" t="s">
        <v>42</v>
      </c>
      <c r="H600" s="11" t="n">
        <v>2110101</v>
      </c>
      <c r="I600" s="13" t="s">
        <v>43</v>
      </c>
      <c r="J600" s="11" t="n">
        <v>1335239</v>
      </c>
      <c r="L600" s="11" t="n">
        <v>208547</v>
      </c>
      <c r="M600" s="13" t="s">
        <v>44</v>
      </c>
      <c r="N600" s="13" t="s">
        <v>36</v>
      </c>
      <c r="P600" s="11" t="n">
        <v>102</v>
      </c>
      <c r="Q600" s="13" t="s">
        <v>186</v>
      </c>
      <c r="R600" s="13" t="s">
        <v>46</v>
      </c>
      <c r="S600" s="11" t="n">
        <v>1130101</v>
      </c>
      <c r="T600" s="13" t="s">
        <v>47</v>
      </c>
      <c r="U600" s="14" t="n">
        <v>634.12</v>
      </c>
      <c r="W600" s="14" t="n">
        <v>0</v>
      </c>
      <c r="X600" s="13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730</v>
      </c>
      <c r="F601" s="11" t="n">
        <v>24</v>
      </c>
      <c r="G601" s="13" t="s">
        <v>42</v>
      </c>
      <c r="H601" s="11" t="n">
        <v>2110101</v>
      </c>
      <c r="I601" s="13" t="s">
        <v>43</v>
      </c>
      <c r="J601" s="11" t="n">
        <v>1122966</v>
      </c>
      <c r="L601" s="11" t="n">
        <v>1522</v>
      </c>
      <c r="M601" s="13" t="s">
        <v>44</v>
      </c>
      <c r="N601" s="13" t="s">
        <v>36</v>
      </c>
      <c r="P601" s="11" t="n">
        <v>128</v>
      </c>
      <c r="Q601" s="13" t="s">
        <v>45</v>
      </c>
      <c r="R601" s="13" t="s">
        <v>46</v>
      </c>
      <c r="S601" s="11" t="n">
        <v>1130101</v>
      </c>
      <c r="T601" s="13" t="s">
        <v>47</v>
      </c>
      <c r="U601" s="14" t="n">
        <v>850</v>
      </c>
      <c r="W601" s="14" t="n">
        <v>0</v>
      </c>
      <c r="X601" s="13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301</v>
      </c>
      <c r="F602" s="11" t="n">
        <v>24</v>
      </c>
      <c r="G602" s="13" t="s">
        <v>42</v>
      </c>
      <c r="H602" s="11" t="n">
        <v>2110101</v>
      </c>
      <c r="I602" s="13" t="s">
        <v>43</v>
      </c>
      <c r="J602" s="11" t="n">
        <v>1151072</v>
      </c>
      <c r="L602" s="11" t="n">
        <v>26564</v>
      </c>
      <c r="M602" s="13" t="s">
        <v>44</v>
      </c>
      <c r="N602" s="13" t="s">
        <v>36</v>
      </c>
      <c r="P602" s="11" t="n">
        <v>128</v>
      </c>
      <c r="Q602" s="13" t="s">
        <v>45</v>
      </c>
      <c r="R602" s="13" t="s">
        <v>46</v>
      </c>
      <c r="S602" s="11" t="n">
        <v>1130101</v>
      </c>
      <c r="T602" s="13" t="s">
        <v>47</v>
      </c>
      <c r="U602" s="14" t="n">
        <v>663.67</v>
      </c>
      <c r="W602" s="14" t="n">
        <v>0</v>
      </c>
      <c r="X602" s="13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nao encontrado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251</v>
      </c>
      <c r="F603" s="11" t="n">
        <v>24</v>
      </c>
      <c r="G603" s="13" t="s">
        <v>42</v>
      </c>
      <c r="H603" s="11" t="n">
        <v>2110101</v>
      </c>
      <c r="I603" s="13" t="s">
        <v>43</v>
      </c>
      <c r="J603" s="11" t="n">
        <v>1166051</v>
      </c>
      <c r="L603" s="11" t="n">
        <v>8752973</v>
      </c>
      <c r="M603" s="13" t="s">
        <v>44</v>
      </c>
      <c r="N603" s="13" t="s">
        <v>36</v>
      </c>
      <c r="P603" s="11" t="n">
        <v>128</v>
      </c>
      <c r="Q603" s="13" t="s">
        <v>45</v>
      </c>
      <c r="R603" s="13" t="s">
        <v>46</v>
      </c>
      <c r="S603" s="11" t="n">
        <v>1130101</v>
      </c>
      <c r="T603" s="13" t="s">
        <v>47</v>
      </c>
      <c r="U603" s="14" t="n">
        <v>947.98</v>
      </c>
      <c r="W603" s="14" t="n">
        <v>0</v>
      </c>
      <c r="X603" s="13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nao encontrado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408</v>
      </c>
      <c r="F604" s="11" t="n">
        <v>24</v>
      </c>
      <c r="G604" s="13" t="s">
        <v>42</v>
      </c>
      <c r="H604" s="11" t="n">
        <v>2110101</v>
      </c>
      <c r="I604" s="13" t="s">
        <v>43</v>
      </c>
      <c r="J604" s="11" t="n">
        <v>1196493</v>
      </c>
      <c r="L604" s="11" t="n">
        <v>7947403</v>
      </c>
      <c r="M604" s="13" t="s">
        <v>44</v>
      </c>
      <c r="N604" s="13" t="s">
        <v>36</v>
      </c>
      <c r="P604" s="11" t="n">
        <v>128</v>
      </c>
      <c r="Q604" s="13" t="s">
        <v>45</v>
      </c>
      <c r="R604" s="13" t="s">
        <v>46</v>
      </c>
      <c r="S604" s="11" t="n">
        <v>1130101</v>
      </c>
      <c r="T604" s="13" t="s">
        <v>47</v>
      </c>
      <c r="U604" s="14" t="n">
        <v>911.37</v>
      </c>
      <c r="W604" s="14" t="n">
        <v>0</v>
      </c>
      <c r="X604" s="13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53</v>
      </c>
      <c r="F605" s="11" t="n">
        <v>24</v>
      </c>
      <c r="G605" s="13" t="s">
        <v>42</v>
      </c>
      <c r="H605" s="11" t="n">
        <v>2110101</v>
      </c>
      <c r="I605" s="13" t="s">
        <v>43</v>
      </c>
      <c r="J605" s="11" t="n">
        <v>1197437</v>
      </c>
      <c r="L605" s="11" t="n">
        <v>4485763</v>
      </c>
      <c r="M605" s="13" t="s">
        <v>44</v>
      </c>
      <c r="N605" s="13" t="s">
        <v>36</v>
      </c>
      <c r="P605" s="11" t="n">
        <v>128</v>
      </c>
      <c r="Q605" s="13" t="s">
        <v>45</v>
      </c>
      <c r="R605" s="13" t="s">
        <v>46</v>
      </c>
      <c r="S605" s="11" t="n">
        <v>1130101</v>
      </c>
      <c r="T605" s="13" t="s">
        <v>47</v>
      </c>
      <c r="U605" s="14" t="n">
        <v>1491.45</v>
      </c>
      <c r="W605" s="14" t="n">
        <v>0</v>
      </c>
      <c r="X605" s="13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41</v>
      </c>
      <c r="F606" s="11" t="n">
        <v>24</v>
      </c>
      <c r="G606" s="13" t="s">
        <v>42</v>
      </c>
      <c r="H606" s="11" t="n">
        <v>2110101</v>
      </c>
      <c r="I606" s="13" t="s">
        <v>43</v>
      </c>
      <c r="J606" s="11" t="n">
        <v>1221393</v>
      </c>
      <c r="L606" s="11" t="n">
        <v>16688322</v>
      </c>
      <c r="M606" s="13" t="s">
        <v>44</v>
      </c>
      <c r="N606" s="13" t="s">
        <v>36</v>
      </c>
      <c r="P606" s="11" t="n">
        <v>128</v>
      </c>
      <c r="Q606" s="13" t="s">
        <v>45</v>
      </c>
      <c r="R606" s="13" t="s">
        <v>46</v>
      </c>
      <c r="S606" s="11" t="n">
        <v>1130101</v>
      </c>
      <c r="T606" s="13" t="s">
        <v>47</v>
      </c>
      <c r="U606" s="14" t="n">
        <v>1135.24</v>
      </c>
      <c r="W606" s="14" t="n">
        <v>0</v>
      </c>
      <c r="X606" s="13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592</v>
      </c>
      <c r="F607" s="11" t="n">
        <v>24</v>
      </c>
      <c r="G607" s="13" t="s">
        <v>42</v>
      </c>
      <c r="H607" s="11" t="n">
        <v>2110101</v>
      </c>
      <c r="I607" s="13" t="s">
        <v>43</v>
      </c>
      <c r="J607" s="11" t="n">
        <v>1235181</v>
      </c>
      <c r="L607" s="11" t="n">
        <v>3460352</v>
      </c>
      <c r="M607" s="13" t="s">
        <v>44</v>
      </c>
      <c r="N607" s="13" t="s">
        <v>36</v>
      </c>
      <c r="P607" s="11" t="n">
        <v>128</v>
      </c>
      <c r="Q607" s="13" t="s">
        <v>45</v>
      </c>
      <c r="R607" s="13" t="s">
        <v>46</v>
      </c>
      <c r="S607" s="11" t="n">
        <v>1130101</v>
      </c>
      <c r="T607" s="13" t="s">
        <v>47</v>
      </c>
      <c r="U607" s="14" t="n">
        <v>1108.36</v>
      </c>
      <c r="W607" s="14" t="n">
        <v>0</v>
      </c>
      <c r="X607" s="13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CLARA 400G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594</v>
      </c>
      <c r="F608" s="11" t="n">
        <v>24</v>
      </c>
      <c r="G608" s="13" t="s">
        <v>42</v>
      </c>
      <c r="H608" s="11" t="n">
        <v>2110101</v>
      </c>
      <c r="I608" s="13" t="s">
        <v>43</v>
      </c>
      <c r="J608" s="11" t="n">
        <v>1255886</v>
      </c>
      <c r="L608" s="11" t="n">
        <v>1865702</v>
      </c>
      <c r="M608" s="13" t="s">
        <v>44</v>
      </c>
      <c r="N608" s="13" t="s">
        <v>36</v>
      </c>
      <c r="P608" s="11" t="n">
        <v>128</v>
      </c>
      <c r="Q608" s="13" t="s">
        <v>45</v>
      </c>
      <c r="R608" s="13" t="s">
        <v>46</v>
      </c>
      <c r="S608" s="11" t="n">
        <v>1130101</v>
      </c>
      <c r="T608" s="13" t="s">
        <v>47</v>
      </c>
      <c r="U608" s="14" t="n">
        <v>835.76</v>
      </c>
      <c r="W608" s="14" t="n">
        <v>0</v>
      </c>
      <c r="X608" s="13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212</v>
      </c>
      <c r="F609" s="11" t="n">
        <v>24</v>
      </c>
      <c r="G609" s="13" t="s">
        <v>42</v>
      </c>
      <c r="H609" s="11" t="n">
        <v>2110101</v>
      </c>
      <c r="I609" s="13" t="s">
        <v>43</v>
      </c>
      <c r="J609" s="11" t="n">
        <v>1272598</v>
      </c>
      <c r="L609" s="11" t="n">
        <v>564106</v>
      </c>
      <c r="M609" s="13" t="s">
        <v>44</v>
      </c>
      <c r="N609" s="13" t="s">
        <v>36</v>
      </c>
      <c r="P609" s="11" t="n">
        <v>128</v>
      </c>
      <c r="Q609" s="13" t="s">
        <v>45</v>
      </c>
      <c r="R609" s="13" t="s">
        <v>46</v>
      </c>
      <c r="S609" s="11" t="n">
        <v>1130101</v>
      </c>
      <c r="T609" s="13" t="s">
        <v>47</v>
      </c>
      <c r="U609" s="14" t="n">
        <v>2552.12</v>
      </c>
      <c r="W609" s="14" t="n">
        <v>0</v>
      </c>
      <c r="X609" s="13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76</v>
      </c>
      <c r="F610" s="11" t="n">
        <v>24</v>
      </c>
      <c r="G610" s="13" t="s">
        <v>42</v>
      </c>
      <c r="H610" s="11" t="n">
        <v>2110101</v>
      </c>
      <c r="I610" s="13" t="s">
        <v>43</v>
      </c>
      <c r="J610" s="11" t="n">
        <v>1289446</v>
      </c>
      <c r="L610" s="11" t="n">
        <v>53797</v>
      </c>
      <c r="M610" s="13" t="s">
        <v>44</v>
      </c>
      <c r="N610" s="13" t="s">
        <v>36</v>
      </c>
      <c r="P610" s="11" t="n">
        <v>128</v>
      </c>
      <c r="Q610" s="13" t="s">
        <v>45</v>
      </c>
      <c r="R610" s="13" t="s">
        <v>46</v>
      </c>
      <c r="S610" s="11" t="n">
        <v>1130101</v>
      </c>
      <c r="T610" s="13" t="s">
        <v>47</v>
      </c>
      <c r="U610" s="14" t="n">
        <v>4085.5</v>
      </c>
      <c r="W610" s="14" t="n">
        <v>0</v>
      </c>
      <c r="X610" s="13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568</v>
      </c>
      <c r="F611" s="11" t="n">
        <v>24</v>
      </c>
      <c r="G611" s="13" t="s">
        <v>42</v>
      </c>
      <c r="H611" s="11" t="n">
        <v>2110405</v>
      </c>
      <c r="I611" s="13" t="s">
        <v>34</v>
      </c>
      <c r="J611" s="11" t="n">
        <v>1299931</v>
      </c>
      <c r="L611" s="11" t="n">
        <v>203033</v>
      </c>
      <c r="M611" s="13" t="s">
        <v>44</v>
      </c>
      <c r="N611" s="13" t="s">
        <v>36</v>
      </c>
      <c r="P611" s="11" t="n">
        <v>101</v>
      </c>
      <c r="Q611" s="13" t="s">
        <v>37</v>
      </c>
      <c r="R611" s="13" t="s">
        <v>565</v>
      </c>
      <c r="S611" s="11" t="n">
        <v>2110704</v>
      </c>
      <c r="T611" s="13" t="s">
        <v>740</v>
      </c>
      <c r="U611" s="14" t="n">
        <v>854.37</v>
      </c>
      <c r="W611" s="14" t="n">
        <v>0</v>
      </c>
      <c r="X611" s="13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568</v>
      </c>
      <c r="F612" s="11" t="n">
        <v>24</v>
      </c>
      <c r="G612" s="13" t="s">
        <v>42</v>
      </c>
      <c r="H612" s="11" t="n">
        <v>4310102</v>
      </c>
      <c r="I612" s="13" t="s">
        <v>742</v>
      </c>
      <c r="J612" s="11" t="n">
        <v>1299934</v>
      </c>
      <c r="L612" s="11" t="n">
        <v>203035</v>
      </c>
      <c r="M612" s="13" t="s">
        <v>44</v>
      </c>
      <c r="N612" s="13" t="s">
        <v>36</v>
      </c>
      <c r="P612" s="11" t="n">
        <v>101</v>
      </c>
      <c r="Q612" s="13" t="s">
        <v>37</v>
      </c>
      <c r="R612" s="13" t="s">
        <v>743</v>
      </c>
      <c r="S612" s="11" t="n">
        <v>4310102</v>
      </c>
      <c r="T612" s="13" t="s">
        <v>742</v>
      </c>
      <c r="U612" s="14" t="n">
        <v>512.62</v>
      </c>
      <c r="W612" s="14" t="n">
        <v>0</v>
      </c>
      <c r="X612" s="13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745</v>
      </c>
      <c r="F613" s="11" t="n">
        <v>24</v>
      </c>
      <c r="G613" s="13" t="s">
        <v>42</v>
      </c>
      <c r="H613" s="11" t="n">
        <v>2110405</v>
      </c>
      <c r="I613" s="13" t="s">
        <v>34</v>
      </c>
      <c r="J613" s="11" t="n">
        <v>1312677</v>
      </c>
      <c r="L613" s="11" t="n">
        <v>451898245</v>
      </c>
      <c r="M613" s="13" t="s">
        <v>44</v>
      </c>
      <c r="N613" s="13" t="s">
        <v>36</v>
      </c>
      <c r="P613" s="11" t="n">
        <v>128</v>
      </c>
      <c r="Q613" s="13" t="s">
        <v>45</v>
      </c>
      <c r="R613" s="13" t="s">
        <v>72</v>
      </c>
      <c r="S613" s="11" t="n">
        <v>4210315</v>
      </c>
      <c r="T613" s="13" t="s">
        <v>438</v>
      </c>
      <c r="U613" s="14" t="n">
        <v>43.47</v>
      </c>
      <c r="W613" s="14" t="n">
        <v>0</v>
      </c>
      <c r="X613" s="13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80</v>
      </c>
      <c r="F614" s="11" t="n">
        <v>13</v>
      </c>
      <c r="G614" s="13" t="s">
        <v>81</v>
      </c>
      <c r="H614" s="11" t="n">
        <v>2110101</v>
      </c>
      <c r="I614" s="13" t="s">
        <v>43</v>
      </c>
      <c r="J614" s="11" t="n">
        <v>1328832</v>
      </c>
      <c r="L614" s="11" t="n">
        <v>4327</v>
      </c>
      <c r="M614" s="13" t="s">
        <v>44</v>
      </c>
      <c r="N614" s="13" t="s">
        <v>69</v>
      </c>
      <c r="P614" s="11" t="n">
        <v>128</v>
      </c>
      <c r="Q614" s="13" t="s">
        <v>45</v>
      </c>
      <c r="R614" s="13" t="s">
        <v>46</v>
      </c>
      <c r="S614" s="11" t="n">
        <v>1130101</v>
      </c>
      <c r="T614" s="13" t="s">
        <v>47</v>
      </c>
      <c r="U614" s="14" t="n">
        <v>60</v>
      </c>
      <c r="W614" s="14" t="n">
        <v>60</v>
      </c>
      <c r="X614" s="13" t="s">
        <v>82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80</v>
      </c>
      <c r="F615" s="11" t="n">
        <v>13</v>
      </c>
      <c r="G615" s="13" t="s">
        <v>81</v>
      </c>
      <c r="H615" s="11" t="n">
        <v>2110101</v>
      </c>
      <c r="I615" s="13" t="s">
        <v>43</v>
      </c>
      <c r="J615" s="11" t="n">
        <v>1330566</v>
      </c>
      <c r="L615" s="11" t="n">
        <v>4336</v>
      </c>
      <c r="M615" s="13" t="s">
        <v>44</v>
      </c>
      <c r="N615" s="13" t="s">
        <v>69</v>
      </c>
      <c r="P615" s="11" t="n">
        <v>128</v>
      </c>
      <c r="Q615" s="13" t="s">
        <v>45</v>
      </c>
      <c r="R615" s="13" t="s">
        <v>46</v>
      </c>
      <c r="S615" s="11" t="n">
        <v>1130101</v>
      </c>
      <c r="T615" s="13" t="s">
        <v>47</v>
      </c>
      <c r="U615" s="14" t="n">
        <v>120</v>
      </c>
      <c r="W615" s="14" t="n">
        <v>120</v>
      </c>
      <c r="X615" s="13" t="s">
        <v>83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183</v>
      </c>
      <c r="F616" s="11" t="n">
        <v>13</v>
      </c>
      <c r="G616" s="13" t="s">
        <v>81</v>
      </c>
      <c r="H616" s="11" t="n">
        <v>2110101</v>
      </c>
      <c r="I616" s="13" t="s">
        <v>43</v>
      </c>
      <c r="J616" s="11" t="n">
        <v>1333686</v>
      </c>
      <c r="L616" s="11" t="n">
        <v>333</v>
      </c>
      <c r="M616" s="13" t="s">
        <v>44</v>
      </c>
      <c r="N616" s="13" t="s">
        <v>69</v>
      </c>
      <c r="P616" s="11" t="n">
        <v>128</v>
      </c>
      <c r="Q616" s="13" t="s">
        <v>45</v>
      </c>
      <c r="R616" s="13" t="s">
        <v>46</v>
      </c>
      <c r="S616" s="11" t="n">
        <v>1130101</v>
      </c>
      <c r="T616" s="13" t="s">
        <v>47</v>
      </c>
      <c r="U616" s="14" t="n">
        <v>524.3</v>
      </c>
      <c r="W616" s="14" t="n">
        <v>524.3</v>
      </c>
      <c r="X616" s="13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112</v>
      </c>
      <c r="F617" s="11" t="n">
        <v>13</v>
      </c>
      <c r="G617" s="13" t="s">
        <v>81</v>
      </c>
      <c r="H617" s="11" t="n">
        <v>2110101</v>
      </c>
      <c r="I617" s="13" t="s">
        <v>43</v>
      </c>
      <c r="J617" s="11" t="n">
        <v>1333698</v>
      </c>
      <c r="L617" s="11" t="n">
        <v>738</v>
      </c>
      <c r="M617" s="13" t="s">
        <v>44</v>
      </c>
      <c r="N617" s="13" t="s">
        <v>69</v>
      </c>
      <c r="P617" s="11" t="n">
        <v>128</v>
      </c>
      <c r="Q617" s="13" t="s">
        <v>45</v>
      </c>
      <c r="R617" s="13" t="s">
        <v>46</v>
      </c>
      <c r="S617" s="11" t="n">
        <v>1130101</v>
      </c>
      <c r="T617" s="13" t="s">
        <v>47</v>
      </c>
      <c r="U617" s="14" t="n">
        <v>270</v>
      </c>
      <c r="W617" s="14" t="n">
        <v>270</v>
      </c>
      <c r="X617" s="13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32</v>
      </c>
      <c r="F618" s="11" t="n">
        <v>34</v>
      </c>
      <c r="G618" s="13" t="s">
        <v>33</v>
      </c>
      <c r="H618" s="11" t="n">
        <v>4310103</v>
      </c>
      <c r="I618" s="13" t="s">
        <v>185</v>
      </c>
      <c r="J618" s="11" t="n">
        <v>1335375</v>
      </c>
      <c r="L618" s="11" t="n">
        <v>208564</v>
      </c>
      <c r="M618" s="13" t="s">
        <v>44</v>
      </c>
      <c r="N618" s="13" t="s">
        <v>36</v>
      </c>
      <c r="P618" s="11" t="n">
        <v>102</v>
      </c>
      <c r="Q618" s="13" t="s">
        <v>186</v>
      </c>
      <c r="R618" s="13" t="s">
        <v>85</v>
      </c>
      <c r="S618" s="11" t="n">
        <v>4210504</v>
      </c>
      <c r="T618" s="13" t="s">
        <v>142</v>
      </c>
      <c r="U618" s="14" t="n">
        <v>358.61</v>
      </c>
      <c r="W618" s="14" t="n">
        <v>0</v>
      </c>
      <c r="X618" s="13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568</v>
      </c>
      <c r="F619" s="11" t="n">
        <v>24</v>
      </c>
      <c r="G619" s="13" t="s">
        <v>42</v>
      </c>
      <c r="H619" s="11" t="n">
        <v>2110405</v>
      </c>
      <c r="I619" s="13" t="s">
        <v>34</v>
      </c>
      <c r="J619" s="11" t="n">
        <v>1335476</v>
      </c>
      <c r="L619" s="11" t="n">
        <v>208578</v>
      </c>
      <c r="M619" s="13" t="s">
        <v>44</v>
      </c>
      <c r="N619" s="13" t="s">
        <v>36</v>
      </c>
      <c r="P619" s="11" t="n">
        <v>102</v>
      </c>
      <c r="Q619" s="13" t="s">
        <v>186</v>
      </c>
      <c r="R619" s="13" t="s">
        <v>565</v>
      </c>
      <c r="S619" s="11" t="n">
        <v>2110701</v>
      </c>
      <c r="T619" s="13" t="s">
        <v>569</v>
      </c>
      <c r="U619" s="14" t="n">
        <v>50</v>
      </c>
      <c r="W619" s="14" t="n">
        <v>0</v>
      </c>
      <c r="X619" s="13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84</v>
      </c>
      <c r="F620" s="11" t="n">
        <v>24</v>
      </c>
      <c r="G620" s="13" t="s">
        <v>42</v>
      </c>
      <c r="H620" s="11" t="n">
        <v>2110101</v>
      </c>
      <c r="I620" s="13" t="s">
        <v>43</v>
      </c>
      <c r="J620" s="11" t="n">
        <v>1335554</v>
      </c>
      <c r="L620" s="11" t="n">
        <v>208587</v>
      </c>
      <c r="M620" s="13" t="s">
        <v>44</v>
      </c>
      <c r="N620" s="13" t="s">
        <v>36</v>
      </c>
      <c r="P620" s="11" t="n">
        <v>102</v>
      </c>
      <c r="Q620" s="13" t="s">
        <v>186</v>
      </c>
      <c r="R620" s="13" t="s">
        <v>46</v>
      </c>
      <c r="S620" s="11" t="n">
        <v>1130101</v>
      </c>
      <c r="T620" s="13" t="s">
        <v>47</v>
      </c>
      <c r="U620" s="14" t="n">
        <v>243.16</v>
      </c>
      <c r="W620" s="14" t="n">
        <v>0</v>
      </c>
      <c r="X620" s="13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568</v>
      </c>
      <c r="F621" s="11" t="n">
        <v>24</v>
      </c>
      <c r="G621" s="13" t="s">
        <v>42</v>
      </c>
      <c r="H621" s="11" t="n">
        <v>2110405</v>
      </c>
      <c r="I621" s="13" t="s">
        <v>34</v>
      </c>
      <c r="J621" s="11" t="n">
        <v>1445137</v>
      </c>
      <c r="L621" s="11" t="n">
        <v>224942</v>
      </c>
      <c r="M621" s="13" t="s">
        <v>44</v>
      </c>
      <c r="N621" s="13" t="s">
        <v>36</v>
      </c>
      <c r="P621" s="11" t="n">
        <v>101</v>
      </c>
      <c r="Q621" s="13" t="s">
        <v>37</v>
      </c>
      <c r="R621" s="13" t="s">
        <v>565</v>
      </c>
      <c r="S621" s="11" t="n">
        <v>2110701</v>
      </c>
      <c r="T621" s="13" t="s">
        <v>569</v>
      </c>
      <c r="U621" s="14" t="n">
        <v>50</v>
      </c>
      <c r="W621" s="14" t="n">
        <v>0</v>
      </c>
      <c r="X621" s="13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287</v>
      </c>
      <c r="F622" s="11" t="n">
        <v>24</v>
      </c>
      <c r="G622" s="13" t="s">
        <v>42</v>
      </c>
      <c r="H622" s="11" t="n">
        <v>2110101</v>
      </c>
      <c r="I622" s="13" t="s">
        <v>43</v>
      </c>
      <c r="J622" s="11" t="n">
        <v>1101948</v>
      </c>
      <c r="L622" s="11" t="n">
        <v>1549194</v>
      </c>
      <c r="M622" s="13" t="s">
        <v>44</v>
      </c>
      <c r="N622" s="13" t="s">
        <v>36</v>
      </c>
      <c r="P622" s="11" t="n">
        <v>129</v>
      </c>
      <c r="Q622" s="13" t="s">
        <v>102</v>
      </c>
      <c r="R622" s="13" t="s">
        <v>46</v>
      </c>
      <c r="S622" s="11" t="n">
        <v>1130101</v>
      </c>
      <c r="T622" s="13" t="s">
        <v>47</v>
      </c>
      <c r="U622" s="14" t="n">
        <v>565.55</v>
      </c>
      <c r="W622" s="14" t="n">
        <v>0</v>
      </c>
      <c r="X622" s="13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541</v>
      </c>
      <c r="F623" s="11" t="n">
        <v>34</v>
      </c>
      <c r="G623" s="13" t="s">
        <v>33</v>
      </c>
      <c r="H623" s="11" t="n">
        <v>2110101</v>
      </c>
      <c r="I623" s="13" t="s">
        <v>43</v>
      </c>
      <c r="J623" s="11" t="n">
        <v>1116834</v>
      </c>
      <c r="L623" s="11" t="n">
        <v>29642</v>
      </c>
      <c r="M623" s="13" t="s">
        <v>44</v>
      </c>
      <c r="N623" s="13" t="s">
        <v>36</v>
      </c>
      <c r="P623" s="11" t="n">
        <v>128</v>
      </c>
      <c r="Q623" s="13" t="s">
        <v>45</v>
      </c>
      <c r="R623" s="13" t="s">
        <v>38</v>
      </c>
      <c r="S623" s="11" t="n">
        <v>4210227</v>
      </c>
      <c r="T623" s="13" t="s">
        <v>196</v>
      </c>
      <c r="U623" s="14" t="n">
        <v>537.27</v>
      </c>
      <c r="W623" s="14" t="n">
        <v>0</v>
      </c>
      <c r="X623" s="13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nao encontrado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497</v>
      </c>
      <c r="F624" s="11" t="n">
        <v>24</v>
      </c>
      <c r="G624" s="13" t="s">
        <v>42</v>
      </c>
      <c r="H624" s="11" t="n">
        <v>2110101</v>
      </c>
      <c r="I624" s="13" t="s">
        <v>43</v>
      </c>
      <c r="J624" s="11" t="n">
        <v>1160700</v>
      </c>
      <c r="L624" s="11" t="n">
        <v>1898652</v>
      </c>
      <c r="M624" s="13" t="s">
        <v>44</v>
      </c>
      <c r="N624" s="13" t="s">
        <v>36</v>
      </c>
      <c r="P624" s="11" t="n">
        <v>128</v>
      </c>
      <c r="Q624" s="13" t="s">
        <v>45</v>
      </c>
      <c r="R624" s="13" t="s">
        <v>46</v>
      </c>
      <c r="S624" s="11" t="n">
        <v>1130101</v>
      </c>
      <c r="T624" s="13" t="s">
        <v>47</v>
      </c>
      <c r="U624" s="14" t="n">
        <v>406.15</v>
      </c>
      <c r="W624" s="14" t="n">
        <v>0</v>
      </c>
      <c r="X624" s="13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nao encontrado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55</v>
      </c>
      <c r="F625" s="11" t="n">
        <v>24</v>
      </c>
      <c r="G625" s="13" t="s">
        <v>42</v>
      </c>
      <c r="H625" s="11" t="n">
        <v>2110101</v>
      </c>
      <c r="I625" s="13" t="s">
        <v>43</v>
      </c>
      <c r="J625" s="11" t="n">
        <v>1188562</v>
      </c>
      <c r="L625" s="11" t="n">
        <v>2020063</v>
      </c>
      <c r="M625" s="13" t="s">
        <v>44</v>
      </c>
      <c r="N625" s="13" t="s">
        <v>36</v>
      </c>
      <c r="P625" s="11" t="n">
        <v>128</v>
      </c>
      <c r="Q625" s="13" t="s">
        <v>45</v>
      </c>
      <c r="R625" s="13" t="s">
        <v>46</v>
      </c>
      <c r="S625" s="11" t="n">
        <v>1130101</v>
      </c>
      <c r="T625" s="13" t="s">
        <v>47</v>
      </c>
      <c r="U625" s="14" t="n">
        <v>226.76</v>
      </c>
      <c r="W625" s="14" t="n">
        <v>0</v>
      </c>
      <c r="X625" s="13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264</v>
      </c>
      <c r="F626" s="11" t="n">
        <v>24</v>
      </c>
      <c r="G626" s="13" t="s">
        <v>42</v>
      </c>
      <c r="H626" s="11" t="n">
        <v>2110101</v>
      </c>
      <c r="I626" s="13" t="s">
        <v>43</v>
      </c>
      <c r="J626" s="11" t="n">
        <v>1210630</v>
      </c>
      <c r="L626" s="11" t="n">
        <v>22908832</v>
      </c>
      <c r="M626" s="13" t="s">
        <v>44</v>
      </c>
      <c r="N626" s="13" t="s">
        <v>36</v>
      </c>
      <c r="P626" s="11" t="n">
        <v>128</v>
      </c>
      <c r="Q626" s="13" t="s">
        <v>45</v>
      </c>
      <c r="R626" s="13" t="s">
        <v>46</v>
      </c>
      <c r="S626" s="11" t="n">
        <v>1130101</v>
      </c>
      <c r="T626" s="13" t="s">
        <v>47</v>
      </c>
      <c r="U626" s="14" t="n">
        <v>350</v>
      </c>
      <c r="W626" s="14" t="n">
        <v>0</v>
      </c>
      <c r="X626" s="13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301</v>
      </c>
      <c r="F627" s="11" t="n">
        <v>24</v>
      </c>
      <c r="G627" s="13" t="s">
        <v>42</v>
      </c>
      <c r="H627" s="11" t="n">
        <v>2110101</v>
      </c>
      <c r="I627" s="13" t="s">
        <v>43</v>
      </c>
      <c r="J627" s="11" t="n">
        <v>1221237</v>
      </c>
      <c r="L627" s="11" t="n">
        <v>28672</v>
      </c>
      <c r="M627" s="13" t="s">
        <v>44</v>
      </c>
      <c r="N627" s="13" t="s">
        <v>36</v>
      </c>
      <c r="P627" s="11" t="n">
        <v>128</v>
      </c>
      <c r="Q627" s="13" t="s">
        <v>45</v>
      </c>
      <c r="R627" s="13" t="s">
        <v>46</v>
      </c>
      <c r="S627" s="11" t="n">
        <v>1130101</v>
      </c>
      <c r="T627" s="13" t="s">
        <v>47</v>
      </c>
      <c r="U627" s="14" t="n">
        <v>594.75</v>
      </c>
      <c r="W627" s="14" t="n">
        <v>0</v>
      </c>
      <c r="X627" s="13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49</v>
      </c>
      <c r="F628" s="11" t="n">
        <v>24</v>
      </c>
      <c r="G628" s="13" t="s">
        <v>42</v>
      </c>
      <c r="H628" s="11" t="n">
        <v>2110101</v>
      </c>
      <c r="I628" s="13" t="s">
        <v>43</v>
      </c>
      <c r="J628" s="11" t="n">
        <v>1222286</v>
      </c>
      <c r="L628" s="11" t="n">
        <v>31985343</v>
      </c>
      <c r="M628" s="13" t="s">
        <v>44</v>
      </c>
      <c r="N628" s="13" t="s">
        <v>36</v>
      </c>
      <c r="P628" s="11" t="n">
        <v>128</v>
      </c>
      <c r="Q628" s="13" t="s">
        <v>45</v>
      </c>
      <c r="R628" s="13" t="s">
        <v>46</v>
      </c>
      <c r="S628" s="11" t="n">
        <v>1130101</v>
      </c>
      <c r="T628" s="13" t="s">
        <v>47</v>
      </c>
      <c r="U628" s="14" t="n">
        <v>326.65</v>
      </c>
      <c r="W628" s="14" t="n">
        <v>0</v>
      </c>
      <c r="X628" s="13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253</v>
      </c>
      <c r="F629" s="11" t="n">
        <v>24</v>
      </c>
      <c r="G629" s="13" t="s">
        <v>42</v>
      </c>
      <c r="H629" s="11" t="n">
        <v>2110101</v>
      </c>
      <c r="I629" s="13" t="s">
        <v>43</v>
      </c>
      <c r="J629" s="11" t="n">
        <v>1226684</v>
      </c>
      <c r="L629" s="11" t="n">
        <v>1030522</v>
      </c>
      <c r="M629" s="13" t="s">
        <v>44</v>
      </c>
      <c r="N629" s="13" t="s">
        <v>36</v>
      </c>
      <c r="P629" s="11" t="n">
        <v>128</v>
      </c>
      <c r="Q629" s="13" t="s">
        <v>45</v>
      </c>
      <c r="R629" s="13" t="s">
        <v>46</v>
      </c>
      <c r="S629" s="11" t="n">
        <v>1130101</v>
      </c>
      <c r="T629" s="13" t="s">
        <v>47</v>
      </c>
      <c r="U629" s="14" t="n">
        <v>593.71</v>
      </c>
      <c r="W629" s="14" t="n">
        <v>0</v>
      </c>
      <c r="X629" s="13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445</v>
      </c>
      <c r="F630" s="11" t="n">
        <v>24</v>
      </c>
      <c r="G630" s="13" t="s">
        <v>42</v>
      </c>
      <c r="H630" s="11" t="n">
        <v>2110101</v>
      </c>
      <c r="I630" s="13" t="s">
        <v>43</v>
      </c>
      <c r="J630" s="11" t="n">
        <v>1230667</v>
      </c>
      <c r="L630" s="11" t="n">
        <v>180513082</v>
      </c>
      <c r="M630" s="13" t="s">
        <v>44</v>
      </c>
      <c r="N630" s="13" t="s">
        <v>36</v>
      </c>
      <c r="P630" s="11" t="n">
        <v>128</v>
      </c>
      <c r="Q630" s="13" t="s">
        <v>45</v>
      </c>
      <c r="R630" s="13" t="s">
        <v>46</v>
      </c>
      <c r="S630" s="11" t="n">
        <v>1130101</v>
      </c>
      <c r="T630" s="13" t="s">
        <v>47</v>
      </c>
      <c r="U630" s="14" t="n">
        <v>398.46</v>
      </c>
      <c r="W630" s="14" t="n">
        <v>0</v>
      </c>
      <c r="X630" s="13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67</v>
      </c>
      <c r="F631" s="11" t="n">
        <v>24</v>
      </c>
      <c r="G631" s="13" t="s">
        <v>42</v>
      </c>
      <c r="H631" s="11" t="n">
        <v>2110101</v>
      </c>
      <c r="I631" s="13" t="s">
        <v>43</v>
      </c>
      <c r="J631" s="11" t="n">
        <v>1231143</v>
      </c>
      <c r="L631" s="11" t="n">
        <v>13661222</v>
      </c>
      <c r="M631" s="13" t="s">
        <v>44</v>
      </c>
      <c r="N631" s="13" t="s">
        <v>36</v>
      </c>
      <c r="P631" s="11" t="n">
        <v>128</v>
      </c>
      <c r="Q631" s="13" t="s">
        <v>45</v>
      </c>
      <c r="R631" s="13" t="s">
        <v>46</v>
      </c>
      <c r="S631" s="11" t="n">
        <v>1130101</v>
      </c>
      <c r="T631" s="13" t="s">
        <v>47</v>
      </c>
      <c r="U631" s="14" t="n">
        <v>441.5</v>
      </c>
      <c r="W631" s="14" t="n">
        <v>0</v>
      </c>
      <c r="X631" s="13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251</v>
      </c>
      <c r="F632" s="11" t="n">
        <v>24</v>
      </c>
      <c r="G632" s="13" t="s">
        <v>42</v>
      </c>
      <c r="H632" s="11" t="n">
        <v>2110101</v>
      </c>
      <c r="I632" s="13" t="s">
        <v>43</v>
      </c>
      <c r="J632" s="11" t="n">
        <v>1241412</v>
      </c>
      <c r="L632" s="11" t="n">
        <v>8782351</v>
      </c>
      <c r="M632" s="13" t="s">
        <v>44</v>
      </c>
      <c r="N632" s="13" t="s">
        <v>36</v>
      </c>
      <c r="P632" s="11" t="n">
        <v>128</v>
      </c>
      <c r="Q632" s="13" t="s">
        <v>45</v>
      </c>
      <c r="R632" s="13" t="s">
        <v>46</v>
      </c>
      <c r="S632" s="11" t="n">
        <v>1130101</v>
      </c>
      <c r="T632" s="13" t="s">
        <v>47</v>
      </c>
      <c r="U632" s="14" t="n">
        <v>427.87</v>
      </c>
      <c r="W632" s="14" t="n">
        <v>0</v>
      </c>
      <c r="X632" s="13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67</v>
      </c>
      <c r="F633" s="11" t="n">
        <v>24</v>
      </c>
      <c r="G633" s="13" t="s">
        <v>42</v>
      </c>
      <c r="H633" s="11" t="n">
        <v>2110101</v>
      </c>
      <c r="I633" s="13" t="s">
        <v>43</v>
      </c>
      <c r="J633" s="11" t="n">
        <v>1261062</v>
      </c>
      <c r="L633" s="11" t="n">
        <v>1371725</v>
      </c>
      <c r="M633" s="13" t="s">
        <v>44</v>
      </c>
      <c r="N633" s="13" t="s">
        <v>36</v>
      </c>
      <c r="P633" s="11" t="n">
        <v>128</v>
      </c>
      <c r="Q633" s="13" t="s">
        <v>45</v>
      </c>
      <c r="R633" s="13" t="s">
        <v>46</v>
      </c>
      <c r="S633" s="11" t="n">
        <v>1130101</v>
      </c>
      <c r="T633" s="13" t="s">
        <v>47</v>
      </c>
      <c r="U633" s="14" t="n">
        <v>210</v>
      </c>
      <c r="W633" s="14" t="n">
        <v>0</v>
      </c>
      <c r="X633" s="13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67</v>
      </c>
      <c r="F634" s="11" t="n">
        <v>24</v>
      </c>
      <c r="G634" s="13" t="s">
        <v>42</v>
      </c>
      <c r="H634" s="11" t="n">
        <v>2110101</v>
      </c>
      <c r="I634" s="13" t="s">
        <v>43</v>
      </c>
      <c r="J634" s="11" t="n">
        <v>1265357</v>
      </c>
      <c r="L634" s="11" t="n">
        <v>13721731</v>
      </c>
      <c r="M634" s="13" t="s">
        <v>44</v>
      </c>
      <c r="N634" s="13" t="s">
        <v>36</v>
      </c>
      <c r="P634" s="11" t="n">
        <v>128</v>
      </c>
      <c r="Q634" s="13" t="s">
        <v>45</v>
      </c>
      <c r="R634" s="13" t="s">
        <v>46</v>
      </c>
      <c r="S634" s="11" t="n">
        <v>1130101</v>
      </c>
      <c r="T634" s="13" t="s">
        <v>47</v>
      </c>
      <c r="U634" s="14" t="n">
        <v>661.25</v>
      </c>
      <c r="W634" s="14" t="n">
        <v>0</v>
      </c>
      <c r="X634" s="13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62</v>
      </c>
      <c r="F635" s="11" t="n">
        <v>24</v>
      </c>
      <c r="G635" s="13" t="s">
        <v>42</v>
      </c>
      <c r="H635" s="11" t="n">
        <v>2110405</v>
      </c>
      <c r="I635" s="13" t="s">
        <v>34</v>
      </c>
      <c r="J635" s="11" t="n">
        <v>1266145</v>
      </c>
      <c r="L635" s="11" t="n">
        <v>117531025</v>
      </c>
      <c r="M635" s="13" t="s">
        <v>44</v>
      </c>
      <c r="N635" s="13" t="s">
        <v>36</v>
      </c>
      <c r="P635" s="11" t="n">
        <v>128</v>
      </c>
      <c r="Q635" s="13" t="s">
        <v>45</v>
      </c>
      <c r="R635" s="13" t="s">
        <v>63</v>
      </c>
      <c r="S635" s="11" t="n">
        <v>4210112</v>
      </c>
      <c r="T635" s="13" t="s">
        <v>64</v>
      </c>
      <c r="U635" s="14" t="n">
        <v>116.21</v>
      </c>
      <c r="W635" s="14" t="n">
        <v>0</v>
      </c>
      <c r="X635" s="13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177</v>
      </c>
      <c r="F636" s="11" t="n">
        <v>24</v>
      </c>
      <c r="G636" s="13" t="s">
        <v>42</v>
      </c>
      <c r="H636" s="11" t="n">
        <v>2110101</v>
      </c>
      <c r="I636" s="13" t="s">
        <v>43</v>
      </c>
      <c r="J636" s="11" t="n">
        <v>1268696</v>
      </c>
      <c r="L636" s="11" t="n">
        <v>15983482</v>
      </c>
      <c r="M636" s="13" t="s">
        <v>44</v>
      </c>
      <c r="N636" s="13" t="s">
        <v>36</v>
      </c>
      <c r="P636" s="11" t="n">
        <v>128</v>
      </c>
      <c r="Q636" s="13" t="s">
        <v>45</v>
      </c>
      <c r="R636" s="13" t="s">
        <v>46</v>
      </c>
      <c r="S636" s="11" t="n">
        <v>1130101</v>
      </c>
      <c r="T636" s="13" t="s">
        <v>47</v>
      </c>
      <c r="U636" s="14" t="n">
        <v>2026.67</v>
      </c>
      <c r="W636" s="14" t="n">
        <v>0</v>
      </c>
      <c r="X636" s="13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269</v>
      </c>
      <c r="F637" s="11" t="n">
        <v>24</v>
      </c>
      <c r="G637" s="13" t="s">
        <v>42</v>
      </c>
      <c r="H637" s="11" t="n">
        <v>2110101</v>
      </c>
      <c r="I637" s="13" t="s">
        <v>43</v>
      </c>
      <c r="J637" s="11" t="n">
        <v>1288984</v>
      </c>
      <c r="L637" s="11" t="n">
        <v>187931</v>
      </c>
      <c r="M637" s="13" t="s">
        <v>44</v>
      </c>
      <c r="N637" s="13" t="s">
        <v>36</v>
      </c>
      <c r="P637" s="11" t="n">
        <v>128</v>
      </c>
      <c r="Q637" s="13" t="s">
        <v>45</v>
      </c>
      <c r="R637" s="13" t="s">
        <v>46</v>
      </c>
      <c r="S637" s="11" t="n">
        <v>1130101</v>
      </c>
      <c r="T637" s="13" t="s">
        <v>47</v>
      </c>
      <c r="U637" s="14" t="n">
        <v>521.46</v>
      </c>
      <c r="W637" s="14" t="n">
        <v>0</v>
      </c>
      <c r="X637" s="13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62</v>
      </c>
      <c r="F638" s="11" t="n">
        <v>24</v>
      </c>
      <c r="G638" s="13" t="s">
        <v>42</v>
      </c>
      <c r="H638" s="11" t="n">
        <v>2110405</v>
      </c>
      <c r="I638" s="13" t="s">
        <v>34</v>
      </c>
      <c r="J638" s="11" t="n">
        <v>1293673</v>
      </c>
      <c r="L638" s="11" t="n">
        <v>117831418</v>
      </c>
      <c r="M638" s="13" t="s">
        <v>44</v>
      </c>
      <c r="N638" s="13" t="s">
        <v>36</v>
      </c>
      <c r="P638" s="11" t="n">
        <v>128</v>
      </c>
      <c r="Q638" s="13" t="s">
        <v>45</v>
      </c>
      <c r="R638" s="13" t="s">
        <v>63</v>
      </c>
      <c r="S638" s="11" t="n">
        <v>4210112</v>
      </c>
      <c r="T638" s="13" t="s">
        <v>64</v>
      </c>
      <c r="U638" s="14" t="n">
        <v>5792.81</v>
      </c>
      <c r="W638" s="14" t="n">
        <v>0</v>
      </c>
      <c r="X638" s="13" t="s">
        <v>75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125</v>
      </c>
      <c r="F639" s="11" t="n">
        <v>24</v>
      </c>
      <c r="G639" s="13" t="s">
        <v>42</v>
      </c>
      <c r="H639" s="11" t="n">
        <v>2110101</v>
      </c>
      <c r="I639" s="13" t="s">
        <v>43</v>
      </c>
      <c r="J639" s="11" t="n">
        <v>1304367</v>
      </c>
      <c r="L639" s="11" t="n">
        <v>2540812</v>
      </c>
      <c r="M639" s="13" t="s">
        <v>44</v>
      </c>
      <c r="N639" s="13" t="s">
        <v>36</v>
      </c>
      <c r="P639" s="11" t="n">
        <v>128</v>
      </c>
      <c r="Q639" s="13" t="s">
        <v>45</v>
      </c>
      <c r="R639" s="13" t="s">
        <v>46</v>
      </c>
      <c r="S639" s="11" t="n">
        <v>1130101</v>
      </c>
      <c r="T639" s="13" t="s">
        <v>47</v>
      </c>
      <c r="U639" s="14" t="n">
        <v>324</v>
      </c>
      <c r="W639" s="14" t="n">
        <v>0</v>
      </c>
      <c r="X639" s="13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120</v>
      </c>
      <c r="F640" s="11" t="n">
        <v>24</v>
      </c>
      <c r="G640" s="13" t="s">
        <v>42</v>
      </c>
      <c r="H640" s="11" t="n">
        <v>2110101</v>
      </c>
      <c r="I640" s="13" t="s">
        <v>43</v>
      </c>
      <c r="J640" s="11" t="n">
        <v>1304468</v>
      </c>
      <c r="L640" s="11" t="n">
        <v>17914</v>
      </c>
      <c r="M640" s="13" t="s">
        <v>44</v>
      </c>
      <c r="N640" s="13" t="s">
        <v>69</v>
      </c>
      <c r="P640" s="11" t="n">
        <v>128</v>
      </c>
      <c r="Q640" s="13" t="s">
        <v>45</v>
      </c>
      <c r="R640" s="13" t="s">
        <v>46</v>
      </c>
      <c r="S640" s="11" t="n">
        <v>1130101</v>
      </c>
      <c r="T640" s="13" t="s">
        <v>47</v>
      </c>
      <c r="U640" s="14" t="n">
        <v>406.3</v>
      </c>
      <c r="W640" s="14" t="n">
        <v>0</v>
      </c>
      <c r="X640" s="13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80</v>
      </c>
      <c r="F641" s="11" t="n">
        <v>34</v>
      </c>
      <c r="G641" s="13" t="s">
        <v>33</v>
      </c>
      <c r="H641" s="11" t="n">
        <v>2110101</v>
      </c>
      <c r="I641" s="13" t="s">
        <v>43</v>
      </c>
      <c r="J641" s="11" t="n">
        <v>1309941</v>
      </c>
      <c r="L641" s="11" t="n">
        <v>4310</v>
      </c>
      <c r="M641" s="13" t="s">
        <v>44</v>
      </c>
      <c r="N641" s="13" t="s">
        <v>69</v>
      </c>
      <c r="P641" s="11" t="n">
        <v>129</v>
      </c>
      <c r="Q641" s="13" t="s">
        <v>102</v>
      </c>
      <c r="R641" s="13" t="s">
        <v>46</v>
      </c>
      <c r="S641" s="11" t="n">
        <v>1130101</v>
      </c>
      <c r="T641" s="13" t="s">
        <v>47</v>
      </c>
      <c r="U641" s="14" t="n">
        <v>2799</v>
      </c>
      <c r="W641" s="14" t="n">
        <v>0</v>
      </c>
      <c r="X641" s="13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130</v>
      </c>
      <c r="F642" s="11" t="n">
        <v>34</v>
      </c>
      <c r="G642" s="13" t="s">
        <v>33</v>
      </c>
      <c r="H642" s="11" t="n">
        <v>2110101</v>
      </c>
      <c r="I642" s="13" t="s">
        <v>43</v>
      </c>
      <c r="J642" s="11" t="n">
        <v>1309963</v>
      </c>
      <c r="L642" s="11" t="n">
        <v>14753</v>
      </c>
      <c r="M642" s="13" t="s">
        <v>44</v>
      </c>
      <c r="N642" s="13" t="s">
        <v>69</v>
      </c>
      <c r="P642" s="11" t="n">
        <v>129</v>
      </c>
      <c r="Q642" s="13" t="s">
        <v>102</v>
      </c>
      <c r="R642" s="13" t="s">
        <v>46</v>
      </c>
      <c r="S642" s="11" t="n">
        <v>1130101</v>
      </c>
      <c r="T642" s="13" t="s">
        <v>47</v>
      </c>
      <c r="U642" s="14" t="n">
        <v>670</v>
      </c>
      <c r="W642" s="14" t="n">
        <v>0</v>
      </c>
      <c r="X642" s="13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78</v>
      </c>
      <c r="F643" s="11" t="n">
        <v>24</v>
      </c>
      <c r="G643" s="13" t="s">
        <v>42</v>
      </c>
      <c r="H643" s="11" t="n">
        <v>2110101</v>
      </c>
      <c r="I643" s="13" t="s">
        <v>43</v>
      </c>
      <c r="J643" s="11" t="n">
        <v>1321460</v>
      </c>
      <c r="L643" s="11" t="n">
        <v>206671</v>
      </c>
      <c r="M643" s="13" t="s">
        <v>44</v>
      </c>
      <c r="N643" s="13" t="s">
        <v>36</v>
      </c>
      <c r="P643" s="11" t="n">
        <v>128</v>
      </c>
      <c r="Q643" s="13" t="s">
        <v>45</v>
      </c>
      <c r="R643" s="13" t="s">
        <v>46</v>
      </c>
      <c r="S643" s="11" t="n">
        <v>1130101</v>
      </c>
      <c r="T643" s="13" t="s">
        <v>47</v>
      </c>
      <c r="U643" s="14" t="n">
        <v>314.27</v>
      </c>
      <c r="W643" s="14" t="n">
        <v>0</v>
      </c>
      <c r="X643" s="13" t="s">
        <v>597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80</v>
      </c>
      <c r="F644" s="11" t="n">
        <v>13</v>
      </c>
      <c r="G644" s="13" t="s">
        <v>81</v>
      </c>
      <c r="H644" s="11" t="n">
        <v>2110101</v>
      </c>
      <c r="I644" s="13" t="s">
        <v>43</v>
      </c>
      <c r="J644" s="11" t="n">
        <v>1334160</v>
      </c>
      <c r="L644" s="11" t="n">
        <v>4338</v>
      </c>
      <c r="M644" s="13" t="s">
        <v>44</v>
      </c>
      <c r="N644" s="13" t="s">
        <v>69</v>
      </c>
      <c r="P644" s="11" t="n">
        <v>167</v>
      </c>
      <c r="Q644" s="13" t="s">
        <v>101</v>
      </c>
      <c r="R644" s="13" t="s">
        <v>46</v>
      </c>
      <c r="S644" s="11" t="n">
        <v>1130101</v>
      </c>
      <c r="T644" s="13" t="s">
        <v>47</v>
      </c>
      <c r="U644" s="14" t="n">
        <v>125</v>
      </c>
      <c r="W644" s="14" t="n">
        <v>125</v>
      </c>
      <c r="X644" s="13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32</v>
      </c>
      <c r="F645" s="11" t="n">
        <v>34</v>
      </c>
      <c r="G645" s="13" t="s">
        <v>33</v>
      </c>
      <c r="H645" s="11" t="n">
        <v>2110405</v>
      </c>
      <c r="I645" s="13" t="s">
        <v>34</v>
      </c>
      <c r="J645" s="11" t="n">
        <v>1335399</v>
      </c>
      <c r="L645" s="11" t="n">
        <v>208567</v>
      </c>
      <c r="M645" s="13" t="s">
        <v>44</v>
      </c>
      <c r="N645" s="13" t="s">
        <v>36</v>
      </c>
      <c r="P645" s="11" t="n">
        <v>102</v>
      </c>
      <c r="Q645" s="13" t="s">
        <v>186</v>
      </c>
      <c r="R645" s="13" t="s">
        <v>203</v>
      </c>
      <c r="S645" s="11" t="n">
        <v>4220199</v>
      </c>
      <c r="T645" s="13" t="s">
        <v>204</v>
      </c>
      <c r="U645" s="14" t="n">
        <v>210</v>
      </c>
      <c r="W645" s="14" t="n">
        <v>0</v>
      </c>
      <c r="X645" s="13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84</v>
      </c>
      <c r="F646" s="11" t="n">
        <v>24</v>
      </c>
      <c r="G646" s="13" t="s">
        <v>42</v>
      </c>
      <c r="H646" s="11" t="n">
        <v>2110101</v>
      </c>
      <c r="I646" s="13" t="s">
        <v>43</v>
      </c>
      <c r="J646" s="11" t="n">
        <v>1336356</v>
      </c>
      <c r="L646" s="11" t="n">
        <v>208680</v>
      </c>
      <c r="M646" s="13" t="s">
        <v>44</v>
      </c>
      <c r="N646" s="13" t="s">
        <v>36</v>
      </c>
      <c r="P646" s="11" t="n">
        <v>102</v>
      </c>
      <c r="Q646" s="13" t="s">
        <v>186</v>
      </c>
      <c r="R646" s="13" t="s">
        <v>46</v>
      </c>
      <c r="S646" s="11" t="n">
        <v>1130101</v>
      </c>
      <c r="T646" s="13" t="s">
        <v>47</v>
      </c>
      <c r="U646" s="14" t="n">
        <v>171.62</v>
      </c>
      <c r="W646" s="14" t="n">
        <v>0</v>
      </c>
      <c r="X646" s="13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45</v>
      </c>
      <c r="F647" s="11" t="n">
        <v>34</v>
      </c>
      <c r="G647" s="13" t="s">
        <v>33</v>
      </c>
      <c r="H647" s="11" t="n">
        <v>2110405</v>
      </c>
      <c r="I647" s="13" t="s">
        <v>34</v>
      </c>
      <c r="J647" s="11" t="n">
        <v>1338952</v>
      </c>
      <c r="L647" s="11" t="n">
        <v>209054</v>
      </c>
      <c r="M647" s="13" t="s">
        <v>44</v>
      </c>
      <c r="N647" s="13" t="s">
        <v>36</v>
      </c>
      <c r="P647" s="11" t="n">
        <v>167</v>
      </c>
      <c r="Q647" s="13" t="s">
        <v>101</v>
      </c>
      <c r="R647" s="13" t="s">
        <v>72</v>
      </c>
      <c r="S647" s="11" t="n">
        <v>4210310</v>
      </c>
      <c r="T647" s="13" t="s">
        <v>88</v>
      </c>
      <c r="U647" s="14" t="n">
        <v>405</v>
      </c>
      <c r="W647" s="14" t="n">
        <v>0</v>
      </c>
      <c r="X647" s="13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90</v>
      </c>
      <c r="F648" s="11" t="n">
        <v>34</v>
      </c>
      <c r="G648" s="13" t="s">
        <v>33</v>
      </c>
      <c r="H648" s="11" t="n">
        <v>2110405</v>
      </c>
      <c r="I648" s="13" t="s">
        <v>34</v>
      </c>
      <c r="J648" s="11" t="n">
        <v>1338961</v>
      </c>
      <c r="L648" s="11" t="n">
        <v>209057</v>
      </c>
      <c r="M648" s="13" t="s">
        <v>44</v>
      </c>
      <c r="N648" s="13" t="s">
        <v>36</v>
      </c>
      <c r="P648" s="11" t="n">
        <v>167</v>
      </c>
      <c r="Q648" s="13" t="s">
        <v>101</v>
      </c>
      <c r="R648" s="13" t="s">
        <v>72</v>
      </c>
      <c r="S648" s="11" t="n">
        <v>4210310</v>
      </c>
      <c r="T648" s="13" t="s">
        <v>88</v>
      </c>
      <c r="U648" s="14" t="n">
        <v>405</v>
      </c>
      <c r="W648" s="14" t="n">
        <v>0</v>
      </c>
      <c r="X648" s="13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96</v>
      </c>
      <c r="F649" s="11" t="n">
        <v>34</v>
      </c>
      <c r="G649" s="13" t="s">
        <v>33</v>
      </c>
      <c r="H649" s="11" t="n">
        <v>2110405</v>
      </c>
      <c r="I649" s="13" t="s">
        <v>34</v>
      </c>
      <c r="J649" s="11" t="n">
        <v>1338964</v>
      </c>
      <c r="L649" s="11" t="n">
        <v>209060</v>
      </c>
      <c r="M649" s="13" t="s">
        <v>44</v>
      </c>
      <c r="N649" s="13" t="s">
        <v>36</v>
      </c>
      <c r="P649" s="11" t="n">
        <v>167</v>
      </c>
      <c r="Q649" s="13" t="s">
        <v>101</v>
      </c>
      <c r="R649" s="13" t="s">
        <v>72</v>
      </c>
      <c r="S649" s="11" t="n">
        <v>4210310</v>
      </c>
      <c r="T649" s="13" t="s">
        <v>88</v>
      </c>
      <c r="U649" s="14" t="n">
        <v>390</v>
      </c>
      <c r="W649" s="14" t="n">
        <v>0</v>
      </c>
      <c r="X649" s="13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239</v>
      </c>
      <c r="F650" s="11" t="n">
        <v>34</v>
      </c>
      <c r="G650" s="13" t="s">
        <v>33</v>
      </c>
      <c r="H650" s="11" t="n">
        <v>2110405</v>
      </c>
      <c r="I650" s="13" t="s">
        <v>34</v>
      </c>
      <c r="J650" s="11" t="n">
        <v>1338966</v>
      </c>
      <c r="L650" s="11" t="n">
        <v>209061</v>
      </c>
      <c r="M650" s="13" t="s">
        <v>44</v>
      </c>
      <c r="N650" s="13" t="s">
        <v>36</v>
      </c>
      <c r="P650" s="11" t="n">
        <v>167</v>
      </c>
      <c r="Q650" s="13" t="s">
        <v>101</v>
      </c>
      <c r="R650" s="13" t="s">
        <v>72</v>
      </c>
      <c r="S650" s="11" t="n">
        <v>4210310</v>
      </c>
      <c r="T650" s="13" t="s">
        <v>88</v>
      </c>
      <c r="U650" s="14" t="n">
        <v>390</v>
      </c>
      <c r="W650" s="14" t="n">
        <v>0</v>
      </c>
      <c r="X650" s="13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94</v>
      </c>
      <c r="F651" s="11" t="n">
        <v>34</v>
      </c>
      <c r="G651" s="13" t="s">
        <v>33</v>
      </c>
      <c r="H651" s="11" t="n">
        <v>2110405</v>
      </c>
      <c r="I651" s="13" t="s">
        <v>34</v>
      </c>
      <c r="J651" s="11" t="n">
        <v>1338969</v>
      </c>
      <c r="L651" s="11" t="n">
        <v>209062</v>
      </c>
      <c r="M651" s="13" t="s">
        <v>44</v>
      </c>
      <c r="N651" s="13" t="s">
        <v>36</v>
      </c>
      <c r="P651" s="11" t="n">
        <v>167</v>
      </c>
      <c r="Q651" s="13" t="s">
        <v>101</v>
      </c>
      <c r="R651" s="13" t="s">
        <v>72</v>
      </c>
      <c r="S651" s="11" t="n">
        <v>4210310</v>
      </c>
      <c r="T651" s="13" t="s">
        <v>88</v>
      </c>
      <c r="U651" s="14" t="n">
        <v>390</v>
      </c>
      <c r="W651" s="14" t="n">
        <v>0</v>
      </c>
      <c r="X651" s="13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93</v>
      </c>
      <c r="F652" s="11" t="n">
        <v>34</v>
      </c>
      <c r="G652" s="13" t="s">
        <v>33</v>
      </c>
      <c r="H652" s="11" t="n">
        <v>2110405</v>
      </c>
      <c r="I652" s="13" t="s">
        <v>34</v>
      </c>
      <c r="J652" s="11" t="n">
        <v>1338973</v>
      </c>
      <c r="L652" s="11" t="n">
        <v>209064</v>
      </c>
      <c r="M652" s="13" t="s">
        <v>44</v>
      </c>
      <c r="N652" s="13" t="s">
        <v>36</v>
      </c>
      <c r="P652" s="11" t="n">
        <v>167</v>
      </c>
      <c r="Q652" s="13" t="s">
        <v>101</v>
      </c>
      <c r="R652" s="13" t="s">
        <v>72</v>
      </c>
      <c r="S652" s="11" t="n">
        <v>4210310</v>
      </c>
      <c r="T652" s="13" t="s">
        <v>88</v>
      </c>
      <c r="U652" s="14" t="n">
        <v>375</v>
      </c>
      <c r="W652" s="14" t="n">
        <v>0</v>
      </c>
      <c r="X652" s="13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99</v>
      </c>
      <c r="F653" s="11" t="n">
        <v>34</v>
      </c>
      <c r="G653" s="13" t="s">
        <v>33</v>
      </c>
      <c r="H653" s="11" t="n">
        <v>2110405</v>
      </c>
      <c r="I653" s="13" t="s">
        <v>34</v>
      </c>
      <c r="J653" s="11" t="n">
        <v>1338979</v>
      </c>
      <c r="L653" s="11" t="n">
        <v>209066</v>
      </c>
      <c r="M653" s="13" t="s">
        <v>44</v>
      </c>
      <c r="N653" s="13" t="s">
        <v>36</v>
      </c>
      <c r="P653" s="11" t="n">
        <v>167</v>
      </c>
      <c r="Q653" s="13" t="s">
        <v>101</v>
      </c>
      <c r="R653" s="13" t="s">
        <v>72</v>
      </c>
      <c r="S653" s="11" t="n">
        <v>4210310</v>
      </c>
      <c r="T653" s="13" t="s">
        <v>88</v>
      </c>
      <c r="U653" s="14" t="n">
        <v>375</v>
      </c>
      <c r="W653" s="14" t="n">
        <v>0</v>
      </c>
      <c r="X653" s="13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92</v>
      </c>
      <c r="F654" s="11" t="n">
        <v>34</v>
      </c>
      <c r="G654" s="13" t="s">
        <v>33</v>
      </c>
      <c r="H654" s="11" t="n">
        <v>2110405</v>
      </c>
      <c r="I654" s="13" t="s">
        <v>34</v>
      </c>
      <c r="J654" s="11" t="n">
        <v>1338981</v>
      </c>
      <c r="L654" s="11" t="n">
        <v>209068</v>
      </c>
      <c r="M654" s="13" t="s">
        <v>44</v>
      </c>
      <c r="N654" s="13" t="s">
        <v>36</v>
      </c>
      <c r="P654" s="11" t="n">
        <v>167</v>
      </c>
      <c r="Q654" s="13" t="s">
        <v>101</v>
      </c>
      <c r="R654" s="13" t="s">
        <v>72</v>
      </c>
      <c r="S654" s="11" t="n">
        <v>4210310</v>
      </c>
      <c r="T654" s="13" t="s">
        <v>88</v>
      </c>
      <c r="U654" s="14" t="n">
        <v>375</v>
      </c>
      <c r="W654" s="14" t="n">
        <v>0</v>
      </c>
      <c r="X654" s="13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91</v>
      </c>
      <c r="F655" s="11" t="n">
        <v>34</v>
      </c>
      <c r="G655" s="13" t="s">
        <v>33</v>
      </c>
      <c r="H655" s="11" t="n">
        <v>2110405</v>
      </c>
      <c r="I655" s="13" t="s">
        <v>34</v>
      </c>
      <c r="J655" s="11" t="n">
        <v>1338986</v>
      </c>
      <c r="L655" s="11" t="n">
        <v>209070</v>
      </c>
      <c r="M655" s="13" t="s">
        <v>44</v>
      </c>
      <c r="N655" s="13" t="s">
        <v>36</v>
      </c>
      <c r="P655" s="11" t="n">
        <v>167</v>
      </c>
      <c r="Q655" s="13" t="s">
        <v>101</v>
      </c>
      <c r="R655" s="13" t="s">
        <v>72</v>
      </c>
      <c r="S655" s="11" t="n">
        <v>4210310</v>
      </c>
      <c r="T655" s="13" t="s">
        <v>88</v>
      </c>
      <c r="U655" s="14" t="n">
        <v>375</v>
      </c>
      <c r="W655" s="14" t="n">
        <v>0</v>
      </c>
      <c r="X655" s="13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97</v>
      </c>
      <c r="F656" s="11" t="n">
        <v>34</v>
      </c>
      <c r="G656" s="13" t="s">
        <v>33</v>
      </c>
      <c r="H656" s="11" t="n">
        <v>2110405</v>
      </c>
      <c r="I656" s="13" t="s">
        <v>34</v>
      </c>
      <c r="J656" s="11" t="n">
        <v>1338994</v>
      </c>
      <c r="L656" s="11" t="n">
        <v>209072</v>
      </c>
      <c r="M656" s="13" t="s">
        <v>44</v>
      </c>
      <c r="N656" s="13" t="s">
        <v>36</v>
      </c>
      <c r="P656" s="11" t="n">
        <v>167</v>
      </c>
      <c r="Q656" s="13" t="s">
        <v>101</v>
      </c>
      <c r="R656" s="13" t="s">
        <v>72</v>
      </c>
      <c r="S656" s="11" t="n">
        <v>4210310</v>
      </c>
      <c r="T656" s="13" t="s">
        <v>88</v>
      </c>
      <c r="U656" s="14" t="n">
        <v>375</v>
      </c>
      <c r="W656" s="14" t="n">
        <v>0</v>
      </c>
      <c r="X656" s="13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100</v>
      </c>
      <c r="F657" s="11" t="n">
        <v>34</v>
      </c>
      <c r="G657" s="13" t="s">
        <v>33</v>
      </c>
      <c r="H657" s="11" t="n">
        <v>2110405</v>
      </c>
      <c r="I657" s="13" t="s">
        <v>34</v>
      </c>
      <c r="J657" s="11" t="n">
        <v>1339004</v>
      </c>
      <c r="L657" s="11" t="n">
        <v>209076</v>
      </c>
      <c r="M657" s="13" t="s">
        <v>44</v>
      </c>
      <c r="N657" s="13" t="s">
        <v>36</v>
      </c>
      <c r="P657" s="11" t="n">
        <v>167</v>
      </c>
      <c r="Q657" s="13" t="s">
        <v>101</v>
      </c>
      <c r="R657" s="13" t="s">
        <v>72</v>
      </c>
      <c r="S657" s="11" t="n">
        <v>4210310</v>
      </c>
      <c r="T657" s="13" t="s">
        <v>88</v>
      </c>
      <c r="U657" s="14" t="n">
        <v>360</v>
      </c>
      <c r="W657" s="14" t="n">
        <v>0</v>
      </c>
      <c r="X657" s="13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101</v>
      </c>
      <c r="F658" s="11" t="n">
        <v>34</v>
      </c>
      <c r="G658" s="13" t="s">
        <v>33</v>
      </c>
      <c r="H658" s="11" t="n">
        <v>2110405</v>
      </c>
      <c r="I658" s="13" t="s">
        <v>34</v>
      </c>
      <c r="J658" s="11" t="n">
        <v>1339008</v>
      </c>
      <c r="L658" s="11" t="n">
        <v>209078</v>
      </c>
      <c r="M658" s="13" t="s">
        <v>44</v>
      </c>
      <c r="N658" s="13" t="s">
        <v>36</v>
      </c>
      <c r="P658" s="11" t="n">
        <v>167</v>
      </c>
      <c r="Q658" s="13" t="s">
        <v>101</v>
      </c>
      <c r="R658" s="13" t="s">
        <v>72</v>
      </c>
      <c r="S658" s="11" t="n">
        <v>4210310</v>
      </c>
      <c r="T658" s="13" t="s">
        <v>88</v>
      </c>
      <c r="U658" s="14" t="n">
        <v>315</v>
      </c>
      <c r="W658" s="14" t="n">
        <v>0</v>
      </c>
      <c r="X658" s="13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96</v>
      </c>
      <c r="F659" s="11" t="n">
        <v>34</v>
      </c>
      <c r="G659" s="13" t="s">
        <v>33</v>
      </c>
      <c r="H659" s="11" t="n">
        <v>2110405</v>
      </c>
      <c r="I659" s="13" t="s">
        <v>34</v>
      </c>
      <c r="J659" s="11" t="n">
        <v>1339015</v>
      </c>
      <c r="L659" s="11" t="n">
        <v>209079</v>
      </c>
      <c r="M659" s="13" t="s">
        <v>44</v>
      </c>
      <c r="N659" s="13" t="s">
        <v>36</v>
      </c>
      <c r="P659" s="11" t="n">
        <v>167</v>
      </c>
      <c r="Q659" s="13" t="s">
        <v>101</v>
      </c>
      <c r="R659" s="13" t="s">
        <v>72</v>
      </c>
      <c r="S659" s="11" t="n">
        <v>4210309</v>
      </c>
      <c r="T659" s="13" t="s">
        <v>103</v>
      </c>
      <c r="U659" s="14" t="n">
        <v>260</v>
      </c>
      <c r="W659" s="14" t="n">
        <v>0</v>
      </c>
      <c r="X659" s="13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99</v>
      </c>
      <c r="F660" s="11" t="n">
        <v>34</v>
      </c>
      <c r="G660" s="13" t="s">
        <v>33</v>
      </c>
      <c r="H660" s="11" t="n">
        <v>2110405</v>
      </c>
      <c r="I660" s="13" t="s">
        <v>34</v>
      </c>
      <c r="J660" s="11" t="n">
        <v>1339020</v>
      </c>
      <c r="L660" s="11" t="n">
        <v>209082</v>
      </c>
      <c r="M660" s="13" t="s">
        <v>44</v>
      </c>
      <c r="N660" s="13" t="s">
        <v>36</v>
      </c>
      <c r="P660" s="11" t="n">
        <v>167</v>
      </c>
      <c r="Q660" s="13" t="s">
        <v>101</v>
      </c>
      <c r="R660" s="13" t="s">
        <v>72</v>
      </c>
      <c r="S660" s="11" t="n">
        <v>4210309</v>
      </c>
      <c r="T660" s="13" t="s">
        <v>103</v>
      </c>
      <c r="U660" s="14" t="n">
        <v>250</v>
      </c>
      <c r="W660" s="14" t="n">
        <v>0</v>
      </c>
      <c r="X660" s="13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45</v>
      </c>
      <c r="F661" s="11" t="n">
        <v>34</v>
      </c>
      <c r="G661" s="13" t="s">
        <v>33</v>
      </c>
      <c r="H661" s="11" t="n">
        <v>2110405</v>
      </c>
      <c r="I661" s="13" t="s">
        <v>34</v>
      </c>
      <c r="J661" s="11" t="n">
        <v>1339023</v>
      </c>
      <c r="L661" s="11" t="n">
        <v>209084</v>
      </c>
      <c r="M661" s="13" t="s">
        <v>44</v>
      </c>
      <c r="N661" s="13" t="s">
        <v>36</v>
      </c>
      <c r="P661" s="11" t="n">
        <v>167</v>
      </c>
      <c r="Q661" s="13" t="s">
        <v>101</v>
      </c>
      <c r="R661" s="13" t="s">
        <v>72</v>
      </c>
      <c r="S661" s="11" t="n">
        <v>4210309</v>
      </c>
      <c r="T661" s="13" t="s">
        <v>103</v>
      </c>
      <c r="U661" s="14" t="n">
        <v>270</v>
      </c>
      <c r="W661" s="14" t="n">
        <v>0</v>
      </c>
      <c r="X661" s="13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90</v>
      </c>
      <c r="F662" s="11" t="n">
        <v>34</v>
      </c>
      <c r="G662" s="13" t="s">
        <v>33</v>
      </c>
      <c r="H662" s="11" t="n">
        <v>2110405</v>
      </c>
      <c r="I662" s="13" t="s">
        <v>34</v>
      </c>
      <c r="J662" s="11" t="n">
        <v>1339025</v>
      </c>
      <c r="L662" s="11" t="n">
        <v>209085</v>
      </c>
      <c r="M662" s="13" t="s">
        <v>44</v>
      </c>
      <c r="N662" s="13" t="s">
        <v>36</v>
      </c>
      <c r="P662" s="11" t="n">
        <v>167</v>
      </c>
      <c r="Q662" s="13" t="s">
        <v>101</v>
      </c>
      <c r="R662" s="13" t="s">
        <v>72</v>
      </c>
      <c r="S662" s="11" t="n">
        <v>4210309</v>
      </c>
      <c r="T662" s="13" t="s">
        <v>103</v>
      </c>
      <c r="U662" s="14" t="n">
        <v>270</v>
      </c>
      <c r="W662" s="14" t="n">
        <v>0</v>
      </c>
      <c r="X662" s="13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239</v>
      </c>
      <c r="F663" s="11" t="n">
        <v>34</v>
      </c>
      <c r="G663" s="13" t="s">
        <v>33</v>
      </c>
      <c r="H663" s="11" t="n">
        <v>2110405</v>
      </c>
      <c r="I663" s="13" t="s">
        <v>34</v>
      </c>
      <c r="J663" s="11" t="n">
        <v>1339030</v>
      </c>
      <c r="L663" s="11" t="n">
        <v>209086</v>
      </c>
      <c r="M663" s="13" t="s">
        <v>44</v>
      </c>
      <c r="N663" s="13" t="s">
        <v>36</v>
      </c>
      <c r="P663" s="11" t="n">
        <v>167</v>
      </c>
      <c r="Q663" s="13" t="s">
        <v>101</v>
      </c>
      <c r="R663" s="13" t="s">
        <v>72</v>
      </c>
      <c r="S663" s="11" t="n">
        <v>4210309</v>
      </c>
      <c r="T663" s="13" t="s">
        <v>103</v>
      </c>
      <c r="U663" s="14" t="n">
        <v>260</v>
      </c>
      <c r="W663" s="14" t="n">
        <v>0</v>
      </c>
      <c r="X663" s="13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  <c r="AB663" s="1"/>
      <c r="AC663" s="1"/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91</v>
      </c>
      <c r="F664" s="11" t="n">
        <v>34</v>
      </c>
      <c r="G664" s="13" t="s">
        <v>33</v>
      </c>
      <c r="H664" s="11" t="n">
        <v>2110405</v>
      </c>
      <c r="I664" s="13" t="s">
        <v>34</v>
      </c>
      <c r="J664" s="11" t="n">
        <v>1339035</v>
      </c>
      <c r="L664" s="11" t="n">
        <v>209088</v>
      </c>
      <c r="M664" s="13" t="s">
        <v>44</v>
      </c>
      <c r="N664" s="13" t="s">
        <v>36</v>
      </c>
      <c r="P664" s="11" t="n">
        <v>167</v>
      </c>
      <c r="Q664" s="13" t="s">
        <v>101</v>
      </c>
      <c r="R664" s="13" t="s">
        <v>72</v>
      </c>
      <c r="S664" s="11" t="n">
        <v>4210309</v>
      </c>
      <c r="T664" s="13" t="s">
        <v>103</v>
      </c>
      <c r="U664" s="14" t="n">
        <v>250</v>
      </c>
      <c r="W664" s="14" t="n">
        <v>0</v>
      </c>
      <c r="X664" s="13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97</v>
      </c>
      <c r="F665" s="11" t="n">
        <v>34</v>
      </c>
      <c r="G665" s="13" t="s">
        <v>33</v>
      </c>
      <c r="H665" s="11" t="n">
        <v>2110405</v>
      </c>
      <c r="I665" s="13" t="s">
        <v>34</v>
      </c>
      <c r="J665" s="11" t="n">
        <v>1339044</v>
      </c>
      <c r="L665" s="11" t="n">
        <v>209091</v>
      </c>
      <c r="M665" s="13" t="s">
        <v>44</v>
      </c>
      <c r="N665" s="13" t="s">
        <v>36</v>
      </c>
      <c r="P665" s="11" t="n">
        <v>167</v>
      </c>
      <c r="Q665" s="13" t="s">
        <v>101</v>
      </c>
      <c r="R665" s="13" t="s">
        <v>72</v>
      </c>
      <c r="S665" s="11" t="n">
        <v>4210309</v>
      </c>
      <c r="T665" s="13" t="s">
        <v>103</v>
      </c>
      <c r="U665" s="14" t="n">
        <v>330</v>
      </c>
      <c r="W665" s="14" t="n">
        <v>0</v>
      </c>
      <c r="X665" s="13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94</v>
      </c>
      <c r="F666" s="11" t="n">
        <v>34</v>
      </c>
      <c r="G666" s="13" t="s">
        <v>33</v>
      </c>
      <c r="H666" s="11" t="n">
        <v>2110405</v>
      </c>
      <c r="I666" s="13" t="s">
        <v>34</v>
      </c>
      <c r="J666" s="11" t="n">
        <v>1339053</v>
      </c>
      <c r="L666" s="11" t="n">
        <v>209093</v>
      </c>
      <c r="M666" s="13" t="s">
        <v>44</v>
      </c>
      <c r="N666" s="13" t="s">
        <v>36</v>
      </c>
      <c r="P666" s="11" t="n">
        <v>167</v>
      </c>
      <c r="Q666" s="13" t="s">
        <v>101</v>
      </c>
      <c r="R666" s="13" t="s">
        <v>72</v>
      </c>
      <c r="S666" s="11" t="n">
        <v>4210309</v>
      </c>
      <c r="T666" s="13" t="s">
        <v>103</v>
      </c>
      <c r="U666" s="14" t="n">
        <v>260</v>
      </c>
      <c r="W666" s="14" t="n">
        <v>0</v>
      </c>
      <c r="X666" s="13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105</v>
      </c>
      <c r="F667" s="11" t="n">
        <v>34</v>
      </c>
      <c r="G667" s="13" t="s">
        <v>33</v>
      </c>
      <c r="H667" s="11" t="n">
        <v>4310103</v>
      </c>
      <c r="I667" s="13" t="s">
        <v>185</v>
      </c>
      <c r="J667" s="11" t="n">
        <v>1340220</v>
      </c>
      <c r="L667" s="11" t="n">
        <v>209278</v>
      </c>
      <c r="M667" s="13" t="s">
        <v>44</v>
      </c>
      <c r="N667" s="13" t="s">
        <v>36</v>
      </c>
      <c r="P667" s="11" t="n">
        <v>102</v>
      </c>
      <c r="Q667" s="13" t="s">
        <v>186</v>
      </c>
      <c r="R667" s="13" t="s">
        <v>85</v>
      </c>
      <c r="S667" s="11" t="n">
        <v>4210508</v>
      </c>
      <c r="T667" s="13" t="s">
        <v>106</v>
      </c>
      <c r="U667" s="14" t="n">
        <v>151.61</v>
      </c>
      <c r="W667" s="14" t="n">
        <v>0</v>
      </c>
      <c r="X667" s="13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778</v>
      </c>
      <c r="F668" s="11" t="n">
        <v>13</v>
      </c>
      <c r="G668" s="13" t="s">
        <v>81</v>
      </c>
      <c r="H668" s="11" t="n">
        <v>2110101</v>
      </c>
      <c r="I668" s="13" t="s">
        <v>43</v>
      </c>
      <c r="J668" s="11" t="n">
        <v>1340515</v>
      </c>
      <c r="L668" s="11" t="n">
        <v>135</v>
      </c>
      <c r="M668" s="13" t="s">
        <v>44</v>
      </c>
      <c r="N668" s="13" t="s">
        <v>69</v>
      </c>
      <c r="P668" s="11" t="n">
        <v>167</v>
      </c>
      <c r="Q668" s="13" t="s">
        <v>101</v>
      </c>
      <c r="R668" s="13" t="s">
        <v>46</v>
      </c>
      <c r="S668" s="11" t="n">
        <v>1130101</v>
      </c>
      <c r="T668" s="13" t="s">
        <v>47</v>
      </c>
      <c r="U668" s="14" t="n">
        <v>345</v>
      </c>
      <c r="W668" s="14" t="n">
        <v>345</v>
      </c>
      <c r="X668" s="13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53</v>
      </c>
      <c r="F669" s="11" t="n">
        <v>24</v>
      </c>
      <c r="G669" s="13" t="s">
        <v>42</v>
      </c>
      <c r="H669" s="11" t="n">
        <v>2110101</v>
      </c>
      <c r="I669" s="13" t="s">
        <v>43</v>
      </c>
      <c r="J669" s="11" t="n">
        <v>1235364</v>
      </c>
      <c r="L669" s="11" t="n">
        <v>4501672</v>
      </c>
      <c r="M669" s="13" t="s">
        <v>44</v>
      </c>
      <c r="N669" s="13" t="s">
        <v>36</v>
      </c>
      <c r="P669" s="11" t="n">
        <v>128</v>
      </c>
      <c r="Q669" s="13" t="s">
        <v>45</v>
      </c>
      <c r="R669" s="13" t="s">
        <v>46</v>
      </c>
      <c r="S669" s="11" t="n">
        <v>1130101</v>
      </c>
      <c r="T669" s="13" t="s">
        <v>47</v>
      </c>
      <c r="U669" s="14" t="n">
        <v>2315.49</v>
      </c>
      <c r="W669" s="14" t="n">
        <v>0</v>
      </c>
      <c r="X669" s="13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FRANGO A PASSARINHO 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67</v>
      </c>
      <c r="F670" s="11" t="n">
        <v>24</v>
      </c>
      <c r="G670" s="13" t="s">
        <v>42</v>
      </c>
      <c r="H670" s="11" t="n">
        <v>2110101</v>
      </c>
      <c r="I670" s="13" t="s">
        <v>43</v>
      </c>
      <c r="J670" s="11" t="n">
        <v>1241458</v>
      </c>
      <c r="L670" s="11" t="n">
        <v>13694072</v>
      </c>
      <c r="M670" s="13" t="s">
        <v>44</v>
      </c>
      <c r="N670" s="13" t="s">
        <v>36</v>
      </c>
      <c r="P670" s="11" t="n">
        <v>128</v>
      </c>
      <c r="Q670" s="13" t="s">
        <v>45</v>
      </c>
      <c r="R670" s="13" t="s">
        <v>46</v>
      </c>
      <c r="S670" s="11" t="n">
        <v>1130101</v>
      </c>
      <c r="T670" s="13" t="s">
        <v>47</v>
      </c>
      <c r="U670" s="14" t="n">
        <v>562.05</v>
      </c>
      <c r="W670" s="14" t="n">
        <v>0</v>
      </c>
      <c r="X670" s="13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177</v>
      </c>
      <c r="F671" s="11" t="n">
        <v>24</v>
      </c>
      <c r="G671" s="13" t="s">
        <v>42</v>
      </c>
      <c r="H671" s="11" t="n">
        <v>2110101</v>
      </c>
      <c r="I671" s="13" t="s">
        <v>43</v>
      </c>
      <c r="J671" s="11" t="n">
        <v>1255809</v>
      </c>
      <c r="L671" s="11" t="n">
        <v>15963143</v>
      </c>
      <c r="M671" s="13" t="s">
        <v>44</v>
      </c>
      <c r="N671" s="13" t="s">
        <v>36</v>
      </c>
      <c r="P671" s="11" t="n">
        <v>128</v>
      </c>
      <c r="Q671" s="13" t="s">
        <v>45</v>
      </c>
      <c r="R671" s="13" t="s">
        <v>46</v>
      </c>
      <c r="S671" s="11" t="n">
        <v>1130101</v>
      </c>
      <c r="T671" s="13" t="s">
        <v>47</v>
      </c>
      <c r="U671" s="14" t="n">
        <v>1017.82</v>
      </c>
      <c r="W671" s="14" t="n">
        <v>0</v>
      </c>
      <c r="X671" s="13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116</v>
      </c>
      <c r="F672" s="11" t="n">
        <v>24</v>
      </c>
      <c r="G672" s="13" t="s">
        <v>42</v>
      </c>
      <c r="H672" s="11" t="n">
        <v>4310103</v>
      </c>
      <c r="I672" s="13" t="s">
        <v>185</v>
      </c>
      <c r="J672" s="11" t="n">
        <v>1265019</v>
      </c>
      <c r="L672" s="11" t="n">
        <v>162612168</v>
      </c>
      <c r="M672" s="13" t="s">
        <v>44</v>
      </c>
      <c r="N672" s="13" t="s">
        <v>36</v>
      </c>
      <c r="P672" s="11" t="n">
        <v>128</v>
      </c>
      <c r="Q672" s="13" t="s">
        <v>45</v>
      </c>
      <c r="R672" s="13" t="s">
        <v>38</v>
      </c>
      <c r="S672" s="11" t="n">
        <v>4210207</v>
      </c>
      <c r="T672" s="13" t="s">
        <v>117</v>
      </c>
      <c r="U672" s="14" t="n">
        <v>337.29</v>
      </c>
      <c r="W672" s="14" t="n">
        <v>0</v>
      </c>
      <c r="X672" s="13" t="s">
        <v>118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53</v>
      </c>
      <c r="F673" s="11" t="n">
        <v>24</v>
      </c>
      <c r="G673" s="13" t="s">
        <v>42</v>
      </c>
      <c r="H673" s="11" t="n">
        <v>2110101</v>
      </c>
      <c r="I673" s="13" t="s">
        <v>43</v>
      </c>
      <c r="J673" s="11" t="n">
        <v>1265566</v>
      </c>
      <c r="L673" s="11" t="n">
        <v>4512041</v>
      </c>
      <c r="M673" s="13" t="s">
        <v>44</v>
      </c>
      <c r="N673" s="13" t="s">
        <v>36</v>
      </c>
      <c r="P673" s="11" t="n">
        <v>128</v>
      </c>
      <c r="Q673" s="13" t="s">
        <v>45</v>
      </c>
      <c r="R673" s="13" t="s">
        <v>46</v>
      </c>
      <c r="S673" s="11" t="n">
        <v>1130101</v>
      </c>
      <c r="T673" s="13" t="s">
        <v>47</v>
      </c>
      <c r="U673" s="14" t="n">
        <v>369</v>
      </c>
      <c r="W673" s="14" t="n">
        <v>0</v>
      </c>
      <c r="X673" s="13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122</v>
      </c>
      <c r="F674" s="11" t="n">
        <v>24</v>
      </c>
      <c r="G674" s="13" t="s">
        <v>42</v>
      </c>
      <c r="H674" s="11" t="n">
        <v>2110101</v>
      </c>
      <c r="I674" s="13" t="s">
        <v>43</v>
      </c>
      <c r="J674" s="11" t="n">
        <v>1300053</v>
      </c>
      <c r="L674" s="11" t="n">
        <v>18998775</v>
      </c>
      <c r="M674" s="13" t="s">
        <v>44</v>
      </c>
      <c r="N674" s="13" t="s">
        <v>36</v>
      </c>
      <c r="P674" s="11" t="n">
        <v>128</v>
      </c>
      <c r="Q674" s="13" t="s">
        <v>45</v>
      </c>
      <c r="R674" s="13" t="s">
        <v>46</v>
      </c>
      <c r="S674" s="11" t="n">
        <v>1130101</v>
      </c>
      <c r="T674" s="13" t="s">
        <v>47</v>
      </c>
      <c r="U674" s="14" t="n">
        <v>5450.28</v>
      </c>
      <c r="W674" s="14" t="n">
        <v>0</v>
      </c>
      <c r="X674" s="13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122</v>
      </c>
      <c r="F675" s="11" t="n">
        <v>24</v>
      </c>
      <c r="G675" s="13" t="s">
        <v>42</v>
      </c>
      <c r="H675" s="11" t="n">
        <v>2110101</v>
      </c>
      <c r="I675" s="13" t="s">
        <v>43</v>
      </c>
      <c r="J675" s="11" t="n">
        <v>1300069</v>
      </c>
      <c r="L675" s="11" t="n">
        <v>11758727</v>
      </c>
      <c r="M675" s="13" t="s">
        <v>44</v>
      </c>
      <c r="N675" s="13" t="s">
        <v>36</v>
      </c>
      <c r="P675" s="11" t="n">
        <v>128</v>
      </c>
      <c r="Q675" s="13" t="s">
        <v>45</v>
      </c>
      <c r="R675" s="13" t="s">
        <v>46</v>
      </c>
      <c r="S675" s="11" t="n">
        <v>1130101</v>
      </c>
      <c r="T675" s="13" t="s">
        <v>47</v>
      </c>
      <c r="U675" s="14" t="n">
        <v>1518.71</v>
      </c>
      <c r="W675" s="14" t="n">
        <v>0</v>
      </c>
      <c r="X675" s="13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80</v>
      </c>
      <c r="F676" s="11" t="n">
        <v>13</v>
      </c>
      <c r="G676" s="13" t="s">
        <v>81</v>
      </c>
      <c r="H676" s="11" t="n">
        <v>2110101</v>
      </c>
      <c r="I676" s="13" t="s">
        <v>43</v>
      </c>
      <c r="J676" s="11" t="n">
        <v>1338913</v>
      </c>
      <c r="L676" s="11" t="n">
        <v>4341</v>
      </c>
      <c r="M676" s="13" t="s">
        <v>44</v>
      </c>
      <c r="N676" s="13" t="s">
        <v>69</v>
      </c>
      <c r="P676" s="11" t="n">
        <v>167</v>
      </c>
      <c r="Q676" s="13" t="s">
        <v>101</v>
      </c>
      <c r="R676" s="13" t="s">
        <v>46</v>
      </c>
      <c r="S676" s="11" t="n">
        <v>1130101</v>
      </c>
      <c r="T676" s="13" t="s">
        <v>47</v>
      </c>
      <c r="U676" s="14" t="n">
        <v>240</v>
      </c>
      <c r="W676" s="14" t="n">
        <v>240</v>
      </c>
      <c r="X676" s="13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80</v>
      </c>
      <c r="F677" s="11" t="n">
        <v>13</v>
      </c>
      <c r="G677" s="13" t="s">
        <v>81</v>
      </c>
      <c r="H677" s="11" t="n">
        <v>2110101</v>
      </c>
      <c r="I677" s="13" t="s">
        <v>43</v>
      </c>
      <c r="J677" s="11" t="n">
        <v>1339067</v>
      </c>
      <c r="L677" s="11" t="n">
        <v>4342</v>
      </c>
      <c r="M677" s="13" t="s">
        <v>44</v>
      </c>
      <c r="N677" s="13" t="s">
        <v>69</v>
      </c>
      <c r="P677" s="11" t="n">
        <v>167</v>
      </c>
      <c r="Q677" s="13" t="s">
        <v>101</v>
      </c>
      <c r="R677" s="13" t="s">
        <v>46</v>
      </c>
      <c r="S677" s="11" t="n">
        <v>1130101</v>
      </c>
      <c r="T677" s="13" t="s">
        <v>47</v>
      </c>
      <c r="U677" s="14" t="n">
        <v>173</v>
      </c>
      <c r="W677" s="14" t="n">
        <v>173</v>
      </c>
      <c r="X677" s="13" t="s">
        <v>82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80</v>
      </c>
      <c r="F678" s="11" t="n">
        <v>13</v>
      </c>
      <c r="G678" s="13" t="s">
        <v>81</v>
      </c>
      <c r="H678" s="11" t="n">
        <v>2110101</v>
      </c>
      <c r="I678" s="13" t="s">
        <v>43</v>
      </c>
      <c r="J678" s="11" t="n">
        <v>1339084</v>
      </c>
      <c r="L678" s="11" t="n">
        <v>4343</v>
      </c>
      <c r="M678" s="13" t="s">
        <v>44</v>
      </c>
      <c r="N678" s="13" t="s">
        <v>69</v>
      </c>
      <c r="P678" s="11" t="n">
        <v>167</v>
      </c>
      <c r="Q678" s="13" t="s">
        <v>101</v>
      </c>
      <c r="R678" s="13" t="s">
        <v>46</v>
      </c>
      <c r="S678" s="11" t="n">
        <v>1130101</v>
      </c>
      <c r="T678" s="13" t="s">
        <v>47</v>
      </c>
      <c r="U678" s="14" t="n">
        <v>40.48</v>
      </c>
      <c r="W678" s="14" t="n">
        <v>40.48</v>
      </c>
      <c r="X678" s="13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32</v>
      </c>
      <c r="F679" s="11" t="n">
        <v>34</v>
      </c>
      <c r="G679" s="13" t="s">
        <v>33</v>
      </c>
      <c r="H679" s="11" t="n">
        <v>4210504</v>
      </c>
      <c r="I679" s="13" t="s">
        <v>142</v>
      </c>
      <c r="J679" s="11" t="n">
        <v>1340329</v>
      </c>
      <c r="L679" s="11" t="n">
        <v>209303</v>
      </c>
      <c r="M679" s="13" t="s">
        <v>44</v>
      </c>
      <c r="N679" s="13" t="s">
        <v>36</v>
      </c>
      <c r="P679" s="11" t="n">
        <v>102</v>
      </c>
      <c r="Q679" s="13" t="s">
        <v>186</v>
      </c>
      <c r="R679" s="13" t="s">
        <v>85</v>
      </c>
      <c r="S679" s="11" t="n">
        <v>4210505</v>
      </c>
      <c r="T679" s="13" t="s">
        <v>144</v>
      </c>
      <c r="U679" s="14" t="n">
        <v>22.46</v>
      </c>
      <c r="W679" s="14" t="n">
        <v>0</v>
      </c>
      <c r="X679" s="13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32</v>
      </c>
      <c r="F680" s="11" t="n">
        <v>34</v>
      </c>
      <c r="G680" s="13" t="s">
        <v>33</v>
      </c>
      <c r="H680" s="11" t="n">
        <v>4210504</v>
      </c>
      <c r="I680" s="13" t="s">
        <v>142</v>
      </c>
      <c r="J680" s="11" t="n">
        <v>1340367</v>
      </c>
      <c r="L680" s="11" t="n">
        <v>209315</v>
      </c>
      <c r="M680" s="13" t="s">
        <v>44</v>
      </c>
      <c r="N680" s="13" t="s">
        <v>36</v>
      </c>
      <c r="P680" s="11" t="n">
        <v>102</v>
      </c>
      <c r="Q680" s="13" t="s">
        <v>186</v>
      </c>
      <c r="R680" s="13" t="s">
        <v>85</v>
      </c>
      <c r="S680" s="11" t="n">
        <v>4210505</v>
      </c>
      <c r="T680" s="13" t="s">
        <v>144</v>
      </c>
      <c r="U680" s="14" t="n">
        <v>10.07</v>
      </c>
      <c r="W680" s="14" t="n">
        <v>0</v>
      </c>
      <c r="X680" s="13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32</v>
      </c>
      <c r="F681" s="11" t="n">
        <v>34</v>
      </c>
      <c r="G681" s="13" t="s">
        <v>33</v>
      </c>
      <c r="H681" s="11" t="n">
        <v>4210504</v>
      </c>
      <c r="I681" s="13" t="s">
        <v>142</v>
      </c>
      <c r="J681" s="11" t="n">
        <v>1340371</v>
      </c>
      <c r="L681" s="11" t="n">
        <v>209317</v>
      </c>
      <c r="M681" s="13" t="s">
        <v>44</v>
      </c>
      <c r="N681" s="13" t="s">
        <v>36</v>
      </c>
      <c r="P681" s="11" t="n">
        <v>102</v>
      </c>
      <c r="Q681" s="13" t="s">
        <v>186</v>
      </c>
      <c r="R681" s="13" t="s">
        <v>85</v>
      </c>
      <c r="S681" s="11" t="n">
        <v>4210502</v>
      </c>
      <c r="T681" s="13" t="s">
        <v>187</v>
      </c>
      <c r="U681" s="14" t="n">
        <v>673.65</v>
      </c>
      <c r="W681" s="14" t="n">
        <v>0</v>
      </c>
      <c r="X681" s="13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32</v>
      </c>
      <c r="F682" s="11" t="n">
        <v>34</v>
      </c>
      <c r="G682" s="13" t="s">
        <v>33</v>
      </c>
      <c r="H682" s="11" t="n">
        <v>2110405</v>
      </c>
      <c r="I682" s="13" t="s">
        <v>34</v>
      </c>
      <c r="J682" s="11" t="n">
        <v>1340384</v>
      </c>
      <c r="L682" s="11" t="n">
        <v>209319</v>
      </c>
      <c r="M682" s="13" t="s">
        <v>44</v>
      </c>
      <c r="N682" s="13" t="s">
        <v>36</v>
      </c>
      <c r="P682" s="11" t="n">
        <v>102</v>
      </c>
      <c r="Q682" s="13" t="s">
        <v>186</v>
      </c>
      <c r="R682" s="13" t="s">
        <v>203</v>
      </c>
      <c r="S682" s="11" t="n">
        <v>4220199</v>
      </c>
      <c r="T682" s="13" t="s">
        <v>204</v>
      </c>
      <c r="U682" s="14" t="n">
        <v>700</v>
      </c>
      <c r="W682" s="14" t="n">
        <v>0</v>
      </c>
      <c r="X682" s="13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84</v>
      </c>
      <c r="F683" s="11" t="n">
        <v>24</v>
      </c>
      <c r="G683" s="13" t="s">
        <v>42</v>
      </c>
      <c r="H683" s="11" t="n">
        <v>2110405</v>
      </c>
      <c r="I683" s="13" t="s">
        <v>34</v>
      </c>
      <c r="J683" s="11" t="n">
        <v>1345943</v>
      </c>
      <c r="L683" s="11" t="n">
        <v>210088</v>
      </c>
      <c r="M683" s="13" t="s">
        <v>44</v>
      </c>
      <c r="N683" s="13" t="s">
        <v>36</v>
      </c>
      <c r="P683" s="11" t="n">
        <v>102</v>
      </c>
      <c r="Q683" s="13" t="s">
        <v>186</v>
      </c>
      <c r="R683" s="13" t="s">
        <v>46</v>
      </c>
      <c r="S683" s="11" t="n">
        <v>1130101</v>
      </c>
      <c r="T683" s="13" t="s">
        <v>47</v>
      </c>
      <c r="U683" s="14" t="n">
        <v>250.86</v>
      </c>
      <c r="W683" s="14" t="n">
        <v>0</v>
      </c>
      <c r="X683" s="13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105</v>
      </c>
      <c r="F684" s="11" t="n">
        <v>34</v>
      </c>
      <c r="G684" s="13" t="s">
        <v>33</v>
      </c>
      <c r="H684" s="11" t="n">
        <v>2110405</v>
      </c>
      <c r="I684" s="13" t="s">
        <v>34</v>
      </c>
      <c r="J684" s="11" t="n">
        <v>1345959</v>
      </c>
      <c r="L684" s="11" t="n">
        <v>210089</v>
      </c>
      <c r="M684" s="13" t="s">
        <v>44</v>
      </c>
      <c r="N684" s="13" t="s">
        <v>36</v>
      </c>
      <c r="P684" s="11" t="n">
        <v>102</v>
      </c>
      <c r="Q684" s="13" t="s">
        <v>186</v>
      </c>
      <c r="R684" s="13" t="s">
        <v>85</v>
      </c>
      <c r="S684" s="11" t="n">
        <v>4210505</v>
      </c>
      <c r="T684" s="13" t="s">
        <v>144</v>
      </c>
      <c r="U684" s="14" t="n">
        <v>21.19</v>
      </c>
      <c r="W684" s="14" t="n">
        <v>0</v>
      </c>
      <c r="X684" s="13" t="s">
        <v>792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105</v>
      </c>
      <c r="F685" s="11" t="n">
        <v>34</v>
      </c>
      <c r="G685" s="13" t="s">
        <v>33</v>
      </c>
      <c r="H685" s="11" t="n">
        <v>2110405</v>
      </c>
      <c r="I685" s="13" t="s">
        <v>34</v>
      </c>
      <c r="J685" s="11" t="n">
        <v>1345980</v>
      </c>
      <c r="L685" s="11" t="n">
        <v>210091</v>
      </c>
      <c r="M685" s="13" t="s">
        <v>44</v>
      </c>
      <c r="N685" s="13" t="s">
        <v>36</v>
      </c>
      <c r="P685" s="11" t="n">
        <v>102</v>
      </c>
      <c r="Q685" s="13" t="s">
        <v>186</v>
      </c>
      <c r="R685" s="13" t="s">
        <v>85</v>
      </c>
      <c r="S685" s="11" t="n">
        <v>4210504</v>
      </c>
      <c r="T685" s="13" t="s">
        <v>142</v>
      </c>
      <c r="U685" s="14" t="n">
        <v>31.46</v>
      </c>
      <c r="W685" s="14" t="n">
        <v>0</v>
      </c>
      <c r="X685" s="13" t="s">
        <v>793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105</v>
      </c>
      <c r="F686" s="11" t="n">
        <v>34</v>
      </c>
      <c r="G686" s="13" t="s">
        <v>33</v>
      </c>
      <c r="H686" s="11" t="n">
        <v>2110405</v>
      </c>
      <c r="I686" s="13" t="s">
        <v>34</v>
      </c>
      <c r="J686" s="11" t="n">
        <v>1345992</v>
      </c>
      <c r="L686" s="11" t="n">
        <v>210094</v>
      </c>
      <c r="M686" s="13" t="s">
        <v>44</v>
      </c>
      <c r="N686" s="13" t="s">
        <v>36</v>
      </c>
      <c r="P686" s="11" t="n">
        <v>102</v>
      </c>
      <c r="Q686" s="13" t="s">
        <v>186</v>
      </c>
      <c r="R686" s="13" t="s">
        <v>85</v>
      </c>
      <c r="S686" s="11" t="n">
        <v>4210504</v>
      </c>
      <c r="T686" s="13" t="s">
        <v>142</v>
      </c>
      <c r="U686" s="14" t="n">
        <v>32.34</v>
      </c>
      <c r="W686" s="14" t="n">
        <v>0</v>
      </c>
      <c r="X686" s="13" t="s">
        <v>794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105</v>
      </c>
      <c r="F687" s="11" t="n">
        <v>34</v>
      </c>
      <c r="G687" s="13" t="s">
        <v>33</v>
      </c>
      <c r="H687" s="11" t="n">
        <v>2110405</v>
      </c>
      <c r="I687" s="13" t="s">
        <v>34</v>
      </c>
      <c r="J687" s="11" t="n">
        <v>1345999</v>
      </c>
      <c r="L687" s="11" t="n">
        <v>210098</v>
      </c>
      <c r="M687" s="13" t="s">
        <v>44</v>
      </c>
      <c r="N687" s="13" t="s">
        <v>36</v>
      </c>
      <c r="P687" s="11" t="n">
        <v>102</v>
      </c>
      <c r="Q687" s="13" t="s">
        <v>186</v>
      </c>
      <c r="R687" s="13" t="s">
        <v>85</v>
      </c>
      <c r="S687" s="11" t="n">
        <v>4210504</v>
      </c>
      <c r="T687" s="13" t="s">
        <v>142</v>
      </c>
      <c r="U687" s="14" t="n">
        <v>199.75</v>
      </c>
      <c r="W687" s="14" t="n">
        <v>0</v>
      </c>
      <c r="X687" s="13" t="s">
        <v>795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105</v>
      </c>
      <c r="F688" s="11" t="n">
        <v>34</v>
      </c>
      <c r="G688" s="13" t="s">
        <v>33</v>
      </c>
      <c r="H688" s="11" t="n">
        <v>2110405</v>
      </c>
      <c r="I688" s="13" t="s">
        <v>34</v>
      </c>
      <c r="J688" s="11" t="n">
        <v>1346040</v>
      </c>
      <c r="L688" s="11" t="n">
        <v>210105</v>
      </c>
      <c r="M688" s="13" t="s">
        <v>44</v>
      </c>
      <c r="N688" s="13" t="s">
        <v>36</v>
      </c>
      <c r="P688" s="11" t="n">
        <v>102</v>
      </c>
      <c r="Q688" s="13" t="s">
        <v>186</v>
      </c>
      <c r="R688" s="13" t="s">
        <v>85</v>
      </c>
      <c r="S688" s="11" t="n">
        <v>4210505</v>
      </c>
      <c r="T688" s="13" t="s">
        <v>144</v>
      </c>
      <c r="U688" s="14" t="n">
        <v>203.79</v>
      </c>
      <c r="W688" s="14" t="n">
        <v>0</v>
      </c>
      <c r="X688" s="13" t="s">
        <v>796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105</v>
      </c>
      <c r="F689" s="11" t="n">
        <v>34</v>
      </c>
      <c r="G689" s="13" t="s">
        <v>33</v>
      </c>
      <c r="H689" s="11" t="n">
        <v>2110405</v>
      </c>
      <c r="I689" s="13" t="s">
        <v>34</v>
      </c>
      <c r="J689" s="11" t="n">
        <v>1346044</v>
      </c>
      <c r="L689" s="11" t="n">
        <v>210106</v>
      </c>
      <c r="M689" s="13" t="s">
        <v>44</v>
      </c>
      <c r="N689" s="13" t="s">
        <v>36</v>
      </c>
      <c r="P689" s="11" t="n">
        <v>102</v>
      </c>
      <c r="Q689" s="13" t="s">
        <v>186</v>
      </c>
      <c r="R689" s="13" t="s">
        <v>85</v>
      </c>
      <c r="S689" s="11" t="n">
        <v>4210504</v>
      </c>
      <c r="T689" s="13" t="s">
        <v>142</v>
      </c>
      <c r="U689" s="14" t="n">
        <v>862.07</v>
      </c>
      <c r="W689" s="14" t="n">
        <v>0</v>
      </c>
      <c r="X689" s="13" t="s">
        <v>797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98</v>
      </c>
      <c r="F690" s="11" t="n">
        <v>34</v>
      </c>
      <c r="G690" s="13" t="s">
        <v>33</v>
      </c>
      <c r="H690" s="11" t="n">
        <v>2110405</v>
      </c>
      <c r="I690" s="13" t="s">
        <v>34</v>
      </c>
      <c r="J690" s="11" t="n">
        <v>1346121</v>
      </c>
      <c r="L690" s="11" t="n">
        <v>210116</v>
      </c>
      <c r="M690" s="13" t="s">
        <v>44</v>
      </c>
      <c r="N690" s="13" t="s">
        <v>36</v>
      </c>
      <c r="P690" s="11" t="n">
        <v>102</v>
      </c>
      <c r="Q690" s="13" t="s">
        <v>186</v>
      </c>
      <c r="R690" s="13" t="s">
        <v>72</v>
      </c>
      <c r="S690" s="11" t="n">
        <v>4210310</v>
      </c>
      <c r="T690" s="13" t="s">
        <v>88</v>
      </c>
      <c r="U690" s="14" t="n">
        <v>375</v>
      </c>
      <c r="W690" s="14" t="n">
        <v>0</v>
      </c>
      <c r="X690" s="13" t="s">
        <v>798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170</v>
      </c>
      <c r="F691" s="11" t="n">
        <v>24</v>
      </c>
      <c r="G691" s="13" t="s">
        <v>42</v>
      </c>
      <c r="H691" s="11" t="n">
        <v>2110101</v>
      </c>
      <c r="I691" s="13" t="s">
        <v>43</v>
      </c>
      <c r="J691" s="11" t="n">
        <v>1196471</v>
      </c>
      <c r="L691" s="11" t="n">
        <v>12326073</v>
      </c>
      <c r="M691" s="13" t="s">
        <v>44</v>
      </c>
      <c r="N691" s="13" t="s">
        <v>36</v>
      </c>
      <c r="P691" s="11" t="n">
        <v>128</v>
      </c>
      <c r="Q691" s="13" t="s">
        <v>45</v>
      </c>
      <c r="R691" s="13" t="s">
        <v>46</v>
      </c>
      <c r="S691" s="11" t="n">
        <v>1130101</v>
      </c>
      <c r="T691" s="13" t="s">
        <v>47</v>
      </c>
      <c r="U691" s="14" t="n">
        <v>742.93</v>
      </c>
      <c r="W691" s="14" t="n">
        <v>0</v>
      </c>
      <c r="X691" s="13" t="s">
        <v>799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170</v>
      </c>
      <c r="F692" s="11" t="n">
        <v>24</v>
      </c>
      <c r="G692" s="13" t="s">
        <v>42</v>
      </c>
      <c r="H692" s="11" t="n">
        <v>2110101</v>
      </c>
      <c r="I692" s="13" t="s">
        <v>43</v>
      </c>
      <c r="J692" s="11" t="n">
        <v>1230759</v>
      </c>
      <c r="L692" s="11" t="n">
        <v>12346572</v>
      </c>
      <c r="M692" s="13" t="s">
        <v>44</v>
      </c>
      <c r="N692" s="13" t="s">
        <v>36</v>
      </c>
      <c r="P692" s="11" t="n">
        <v>128</v>
      </c>
      <c r="Q692" s="13" t="s">
        <v>45</v>
      </c>
      <c r="R692" s="13" t="s">
        <v>46</v>
      </c>
      <c r="S692" s="11" t="n">
        <v>1130101</v>
      </c>
      <c r="T692" s="13" t="s">
        <v>47</v>
      </c>
      <c r="U692" s="14" t="n">
        <v>1155.4</v>
      </c>
      <c r="W692" s="14" t="n">
        <v>0</v>
      </c>
      <c r="X692" s="13" t="s">
        <v>800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159</v>
      </c>
      <c r="F693" s="11" t="n">
        <v>24</v>
      </c>
      <c r="G693" s="13" t="s">
        <v>42</v>
      </c>
      <c r="H693" s="11" t="n">
        <v>2110101</v>
      </c>
      <c r="I693" s="13" t="s">
        <v>43</v>
      </c>
      <c r="J693" s="11" t="n">
        <v>1231370</v>
      </c>
      <c r="L693" s="11" t="n">
        <v>7269632</v>
      </c>
      <c r="M693" s="13" t="s">
        <v>44</v>
      </c>
      <c r="N693" s="13" t="s">
        <v>36</v>
      </c>
      <c r="P693" s="11" t="n">
        <v>128</v>
      </c>
      <c r="Q693" s="13" t="s">
        <v>45</v>
      </c>
      <c r="R693" s="13" t="s">
        <v>46</v>
      </c>
      <c r="S693" s="11" t="n">
        <v>1130101</v>
      </c>
      <c r="T693" s="13" t="s">
        <v>47</v>
      </c>
      <c r="U693" s="14" t="n">
        <v>648.24</v>
      </c>
      <c r="W693" s="14" t="n">
        <v>0</v>
      </c>
      <c r="X693" s="13" t="s">
        <v>801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161</v>
      </c>
      <c r="F694" s="11" t="n">
        <v>24</v>
      </c>
      <c r="G694" s="13" t="s">
        <v>42</v>
      </c>
      <c r="H694" s="11" t="n">
        <v>2110101</v>
      </c>
      <c r="I694" s="13" t="s">
        <v>43</v>
      </c>
      <c r="J694" s="11" t="n">
        <v>1261030</v>
      </c>
      <c r="L694" s="11" t="n">
        <v>5847652</v>
      </c>
      <c r="M694" s="13" t="s">
        <v>44</v>
      </c>
      <c r="N694" s="13" t="s">
        <v>36</v>
      </c>
      <c r="P694" s="11" t="n">
        <v>128</v>
      </c>
      <c r="Q694" s="13" t="s">
        <v>45</v>
      </c>
      <c r="R694" s="13" t="s">
        <v>46</v>
      </c>
      <c r="S694" s="11" t="n">
        <v>1130101</v>
      </c>
      <c r="T694" s="13" t="s">
        <v>47</v>
      </c>
      <c r="U694" s="14" t="n">
        <v>520</v>
      </c>
      <c r="W694" s="14" t="n">
        <v>0</v>
      </c>
      <c r="X694" s="13" t="s">
        <v>802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339</v>
      </c>
      <c r="F695" s="11" t="n">
        <v>24</v>
      </c>
      <c r="G695" s="13" t="s">
        <v>42</v>
      </c>
      <c r="H695" s="11" t="n">
        <v>2110101</v>
      </c>
      <c r="I695" s="13" t="s">
        <v>43</v>
      </c>
      <c r="J695" s="11" t="n">
        <v>1261170</v>
      </c>
      <c r="L695" s="11" t="n">
        <v>268262</v>
      </c>
      <c r="M695" s="13" t="s">
        <v>44</v>
      </c>
      <c r="N695" s="13" t="s">
        <v>36</v>
      </c>
      <c r="P695" s="11" t="n">
        <v>128</v>
      </c>
      <c r="Q695" s="13" t="s">
        <v>45</v>
      </c>
      <c r="R695" s="13" t="s">
        <v>46</v>
      </c>
      <c r="S695" s="11" t="n">
        <v>1130101</v>
      </c>
      <c r="T695" s="13" t="s">
        <v>47</v>
      </c>
      <c r="U695" s="14" t="n">
        <v>486.97</v>
      </c>
      <c r="W695" s="14" t="n">
        <v>0</v>
      </c>
      <c r="X695" s="13" t="s">
        <v>803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170</v>
      </c>
      <c r="F696" s="11" t="n">
        <v>24</v>
      </c>
      <c r="G696" s="13" t="s">
        <v>42</v>
      </c>
      <c r="H696" s="11" t="n">
        <v>2110101</v>
      </c>
      <c r="I696" s="13" t="s">
        <v>43</v>
      </c>
      <c r="J696" s="11" t="n">
        <v>1261767</v>
      </c>
      <c r="L696" s="11" t="n">
        <v>1237464</v>
      </c>
      <c r="M696" s="13" t="s">
        <v>44</v>
      </c>
      <c r="N696" s="13" t="s">
        <v>69</v>
      </c>
      <c r="P696" s="11" t="n">
        <v>128</v>
      </c>
      <c r="Q696" s="13" t="s">
        <v>45</v>
      </c>
      <c r="R696" s="13" t="s">
        <v>46</v>
      </c>
      <c r="S696" s="11" t="n">
        <v>1130101</v>
      </c>
      <c r="T696" s="13" t="s">
        <v>47</v>
      </c>
      <c r="U696" s="14" t="n">
        <v>431.5</v>
      </c>
      <c r="W696" s="14" t="n">
        <v>0</v>
      </c>
      <c r="X696" s="13" t="s">
        <v>804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170</v>
      </c>
      <c r="F697" s="11" t="n">
        <v>24</v>
      </c>
      <c r="G697" s="13" t="s">
        <v>42</v>
      </c>
      <c r="H697" s="11" t="n">
        <v>2110101</v>
      </c>
      <c r="I697" s="13" t="s">
        <v>43</v>
      </c>
      <c r="J697" s="11" t="n">
        <v>1261789</v>
      </c>
      <c r="L697" s="11" t="n">
        <v>1237462</v>
      </c>
      <c r="M697" s="13" t="s">
        <v>44</v>
      </c>
      <c r="N697" s="13" t="s">
        <v>69</v>
      </c>
      <c r="P697" s="11" t="n">
        <v>128</v>
      </c>
      <c r="Q697" s="13" t="s">
        <v>45</v>
      </c>
      <c r="R697" s="13" t="s">
        <v>46</v>
      </c>
      <c r="S697" s="11" t="n">
        <v>1130101</v>
      </c>
      <c r="T697" s="13" t="s">
        <v>47</v>
      </c>
      <c r="U697" s="14" t="n">
        <v>632.15</v>
      </c>
      <c r="W697" s="14" t="n">
        <v>0</v>
      </c>
      <c r="X697" s="13" t="s">
        <v>805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223</v>
      </c>
      <c r="F698" s="11" t="n">
        <v>24</v>
      </c>
      <c r="G698" s="13" t="s">
        <v>42</v>
      </c>
      <c r="H698" s="11" t="n">
        <v>2110101</v>
      </c>
      <c r="I698" s="13" t="s">
        <v>43</v>
      </c>
      <c r="J698" s="11" t="n">
        <v>1264982</v>
      </c>
      <c r="L698" s="11" t="n">
        <v>1574602</v>
      </c>
      <c r="M698" s="13" t="s">
        <v>44</v>
      </c>
      <c r="N698" s="13" t="s">
        <v>36</v>
      </c>
      <c r="P698" s="11" t="n">
        <v>128</v>
      </c>
      <c r="Q698" s="13" t="s">
        <v>45</v>
      </c>
      <c r="R698" s="13" t="s">
        <v>46</v>
      </c>
      <c r="S698" s="11" t="n">
        <v>1130101</v>
      </c>
      <c r="T698" s="13" t="s">
        <v>47</v>
      </c>
      <c r="U698" s="14" t="n">
        <v>552</v>
      </c>
      <c r="W698" s="14" t="n">
        <v>0</v>
      </c>
      <c r="X698" s="13" t="s">
        <v>806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807</v>
      </c>
      <c r="F699" s="11" t="n">
        <v>24</v>
      </c>
      <c r="G699" s="13" t="s">
        <v>42</v>
      </c>
      <c r="H699" s="11" t="n">
        <v>2110101</v>
      </c>
      <c r="I699" s="13" t="s">
        <v>43</v>
      </c>
      <c r="J699" s="11" t="n">
        <v>1265455</v>
      </c>
      <c r="L699" s="11" t="n">
        <v>3095011</v>
      </c>
      <c r="M699" s="13" t="s">
        <v>44</v>
      </c>
      <c r="N699" s="13" t="s">
        <v>36</v>
      </c>
      <c r="P699" s="11" t="n">
        <v>128</v>
      </c>
      <c r="Q699" s="13" t="s">
        <v>45</v>
      </c>
      <c r="R699" s="13" t="s">
        <v>46</v>
      </c>
      <c r="S699" s="11" t="n">
        <v>1130101</v>
      </c>
      <c r="T699" s="13" t="s">
        <v>47</v>
      </c>
      <c r="U699" s="14" t="n">
        <v>541.96</v>
      </c>
      <c r="W699" s="14" t="n">
        <v>0</v>
      </c>
      <c r="X699" s="13" t="s">
        <v>808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809</v>
      </c>
      <c r="F700" s="11" t="n">
        <v>24</v>
      </c>
      <c r="G700" s="13" t="s">
        <v>42</v>
      </c>
      <c r="H700" s="11" t="n">
        <v>2110101</v>
      </c>
      <c r="I700" s="13" t="s">
        <v>43</v>
      </c>
      <c r="J700" s="11" t="n">
        <v>1265595</v>
      </c>
      <c r="L700" s="11" t="n">
        <v>88887</v>
      </c>
      <c r="M700" s="13" t="s">
        <v>44</v>
      </c>
      <c r="N700" s="13" t="s">
        <v>69</v>
      </c>
      <c r="P700" s="11" t="n">
        <v>128</v>
      </c>
      <c r="Q700" s="13" t="s">
        <v>45</v>
      </c>
      <c r="R700" s="13" t="s">
        <v>46</v>
      </c>
      <c r="S700" s="11" t="n">
        <v>1130101</v>
      </c>
      <c r="T700" s="13" t="s">
        <v>47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125</v>
      </c>
      <c r="F701" s="11" t="n">
        <v>24</v>
      </c>
      <c r="G701" s="13" t="s">
        <v>42</v>
      </c>
      <c r="H701" s="11" t="n">
        <v>2110101</v>
      </c>
      <c r="I701" s="13" t="s">
        <v>43</v>
      </c>
      <c r="J701" s="11" t="n">
        <v>1266168</v>
      </c>
      <c r="L701" s="11" t="n">
        <v>2536322</v>
      </c>
      <c r="M701" s="13" t="s">
        <v>44</v>
      </c>
      <c r="N701" s="13" t="s">
        <v>36</v>
      </c>
      <c r="P701" s="11" t="n">
        <v>128</v>
      </c>
      <c r="Q701" s="13" t="s">
        <v>45</v>
      </c>
      <c r="R701" s="13" t="s">
        <v>46</v>
      </c>
      <c r="S701" s="11" t="n">
        <v>1130101</v>
      </c>
      <c r="T701" s="13" t="s">
        <v>47</v>
      </c>
      <c r="U701" s="14" t="n">
        <v>452.58</v>
      </c>
      <c r="W701" s="14" t="n">
        <v>0</v>
      </c>
      <c r="X701" s="13" t="s">
        <v>810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41</v>
      </c>
      <c r="F702" s="11" t="n">
        <v>24</v>
      </c>
      <c r="G702" s="13" t="s">
        <v>42</v>
      </c>
      <c r="H702" s="11" t="n">
        <v>2110101</v>
      </c>
      <c r="I702" s="13" t="s">
        <v>43</v>
      </c>
      <c r="J702" s="11" t="n">
        <v>1293852</v>
      </c>
      <c r="L702" s="11" t="n">
        <v>16785001</v>
      </c>
      <c r="M702" s="13" t="s">
        <v>44</v>
      </c>
      <c r="N702" s="13" t="s">
        <v>36</v>
      </c>
      <c r="P702" s="11" t="n">
        <v>128</v>
      </c>
      <c r="Q702" s="13" t="s">
        <v>45</v>
      </c>
      <c r="R702" s="13" t="s">
        <v>46</v>
      </c>
      <c r="S702" s="11" t="n">
        <v>1130101</v>
      </c>
      <c r="T702" s="13" t="s">
        <v>47</v>
      </c>
      <c r="U702" s="14" t="n">
        <v>1189.34</v>
      </c>
      <c r="W702" s="14" t="n">
        <v>0</v>
      </c>
      <c r="X702" s="13" t="s">
        <v>811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812</v>
      </c>
      <c r="F703" s="11" t="n">
        <v>24</v>
      </c>
      <c r="G703" s="13" t="s">
        <v>42</v>
      </c>
      <c r="H703" s="11" t="n">
        <v>2110101</v>
      </c>
      <c r="I703" s="13" t="s">
        <v>43</v>
      </c>
      <c r="J703" s="11" t="n">
        <v>1293942</v>
      </c>
      <c r="L703" s="11" t="n">
        <v>166751</v>
      </c>
      <c r="M703" s="13" t="s">
        <v>44</v>
      </c>
      <c r="N703" s="13" t="s">
        <v>36</v>
      </c>
      <c r="P703" s="11" t="n">
        <v>128</v>
      </c>
      <c r="Q703" s="13" t="s">
        <v>45</v>
      </c>
      <c r="R703" s="13" t="s">
        <v>46</v>
      </c>
      <c r="S703" s="11" t="n">
        <v>1130101</v>
      </c>
      <c r="T703" s="13" t="s">
        <v>47</v>
      </c>
      <c r="U703" s="14" t="n">
        <v>431</v>
      </c>
      <c r="W703" s="14" t="n">
        <v>0</v>
      </c>
      <c r="X703" s="13" t="s">
        <v>813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174</v>
      </c>
      <c r="F704" s="11" t="n">
        <v>24</v>
      </c>
      <c r="G704" s="13" t="s">
        <v>42</v>
      </c>
      <c r="H704" s="11" t="n">
        <v>2110101</v>
      </c>
      <c r="I704" s="13" t="s">
        <v>43</v>
      </c>
      <c r="J704" s="11" t="n">
        <v>1304396</v>
      </c>
      <c r="L704" s="11" t="n">
        <v>125431</v>
      </c>
      <c r="M704" s="13" t="s">
        <v>44</v>
      </c>
      <c r="N704" s="13" t="s">
        <v>36</v>
      </c>
      <c r="P704" s="11" t="n">
        <v>128</v>
      </c>
      <c r="Q704" s="13" t="s">
        <v>45</v>
      </c>
      <c r="R704" s="13" t="s">
        <v>46</v>
      </c>
      <c r="S704" s="11" t="n">
        <v>1130101</v>
      </c>
      <c r="T704" s="13" t="s">
        <v>47</v>
      </c>
      <c r="U704" s="14" t="n">
        <v>431.88</v>
      </c>
      <c r="W704" s="14" t="n">
        <v>0</v>
      </c>
      <c r="X704" s="13" t="s">
        <v>814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80</v>
      </c>
      <c r="F705" s="11" t="n">
        <v>34</v>
      </c>
      <c r="G705" s="13" t="s">
        <v>33</v>
      </c>
      <c r="H705" s="11" t="n">
        <v>2110101</v>
      </c>
      <c r="I705" s="13" t="s">
        <v>43</v>
      </c>
      <c r="J705" s="11" t="n">
        <v>1330496</v>
      </c>
      <c r="L705" s="11" t="n">
        <v>4335</v>
      </c>
      <c r="M705" s="13" t="s">
        <v>44</v>
      </c>
      <c r="N705" s="13" t="s">
        <v>69</v>
      </c>
      <c r="P705" s="11" t="n">
        <v>128</v>
      </c>
      <c r="Q705" s="13" t="s">
        <v>45</v>
      </c>
      <c r="R705" s="13" t="s">
        <v>46</v>
      </c>
      <c r="S705" s="11" t="n">
        <v>1130101</v>
      </c>
      <c r="T705" s="13" t="s">
        <v>47</v>
      </c>
      <c r="U705" s="14" t="n">
        <v>2666.5</v>
      </c>
      <c r="W705" s="14" t="n">
        <v>0</v>
      </c>
      <c r="X705" s="13" t="s">
        <v>129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130</v>
      </c>
      <c r="F706" s="11" t="n">
        <v>34</v>
      </c>
      <c r="G706" s="13" t="s">
        <v>33</v>
      </c>
      <c r="H706" s="11" t="n">
        <v>2110101</v>
      </c>
      <c r="I706" s="13" t="s">
        <v>43</v>
      </c>
      <c r="J706" s="11" t="n">
        <v>1330504</v>
      </c>
      <c r="L706" s="11" t="n">
        <v>14766</v>
      </c>
      <c r="M706" s="13" t="s">
        <v>44</v>
      </c>
      <c r="N706" s="13" t="s">
        <v>69</v>
      </c>
      <c r="P706" s="11" t="n">
        <v>128</v>
      </c>
      <c r="Q706" s="13" t="s">
        <v>45</v>
      </c>
      <c r="R706" s="13" t="s">
        <v>46</v>
      </c>
      <c r="S706" s="11" t="n">
        <v>1130101</v>
      </c>
      <c r="T706" s="13" t="s">
        <v>47</v>
      </c>
      <c r="U706" s="14" t="n">
        <v>680</v>
      </c>
      <c r="W706" s="14" t="n">
        <v>0</v>
      </c>
      <c r="X706" s="13" t="s">
        <v>815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130</v>
      </c>
      <c r="F707" s="11" t="n">
        <v>34</v>
      </c>
      <c r="G707" s="13" t="s">
        <v>33</v>
      </c>
      <c r="H707" s="11" t="n">
        <v>2110101</v>
      </c>
      <c r="I707" s="13" t="s">
        <v>43</v>
      </c>
      <c r="J707" s="11" t="n">
        <v>1330510</v>
      </c>
      <c r="L707" s="11" t="n">
        <v>207809</v>
      </c>
      <c r="M707" s="13" t="s">
        <v>44</v>
      </c>
      <c r="N707" s="13" t="s">
        <v>36</v>
      </c>
      <c r="P707" s="11" t="n">
        <v>128</v>
      </c>
      <c r="Q707" s="13" t="s">
        <v>45</v>
      </c>
      <c r="R707" s="13" t="s">
        <v>46</v>
      </c>
      <c r="S707" s="11" t="n">
        <v>1130101</v>
      </c>
      <c r="T707" s="13" t="s">
        <v>47</v>
      </c>
      <c r="U707" s="14" t="n">
        <v>354</v>
      </c>
      <c r="W707" s="14" t="n">
        <v>0</v>
      </c>
      <c r="X707" s="13" t="s">
        <v>816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80</v>
      </c>
      <c r="F708" s="11" t="n">
        <v>13</v>
      </c>
      <c r="G708" s="13" t="s">
        <v>81</v>
      </c>
      <c r="H708" s="11" t="n">
        <v>2110101</v>
      </c>
      <c r="I708" s="13" t="s">
        <v>43</v>
      </c>
      <c r="J708" s="11" t="n">
        <v>1343820</v>
      </c>
      <c r="L708" s="11" t="n">
        <v>4347</v>
      </c>
      <c r="M708" s="13" t="s">
        <v>44</v>
      </c>
      <c r="N708" s="13" t="s">
        <v>69</v>
      </c>
      <c r="P708" s="11" t="n">
        <v>167</v>
      </c>
      <c r="Q708" s="13" t="s">
        <v>101</v>
      </c>
      <c r="R708" s="13" t="s">
        <v>46</v>
      </c>
      <c r="S708" s="11" t="n">
        <v>1130101</v>
      </c>
      <c r="T708" s="13" t="s">
        <v>47</v>
      </c>
      <c r="U708" s="14" t="n">
        <v>110</v>
      </c>
      <c r="W708" s="14" t="n">
        <v>110</v>
      </c>
      <c r="X708" s="13" t="s">
        <v>82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71</v>
      </c>
      <c r="F709" s="11" t="n">
        <v>34</v>
      </c>
      <c r="G709" s="13" t="s">
        <v>33</v>
      </c>
      <c r="H709" s="11" t="n">
        <v>2110405</v>
      </c>
      <c r="I709" s="13" t="s">
        <v>34</v>
      </c>
      <c r="J709" s="11" t="n">
        <v>1345333</v>
      </c>
      <c r="L709" s="11" t="n">
        <v>209999</v>
      </c>
      <c r="M709" s="13" t="s">
        <v>44</v>
      </c>
      <c r="N709" s="13" t="s">
        <v>36</v>
      </c>
      <c r="P709" s="11" t="n">
        <v>101</v>
      </c>
      <c r="Q709" s="13" t="s">
        <v>37</v>
      </c>
      <c r="R709" s="13" t="s">
        <v>38</v>
      </c>
      <c r="S709" s="11" t="n">
        <v>4210203</v>
      </c>
      <c r="T709" s="13" t="s">
        <v>817</v>
      </c>
      <c r="U709" s="14" t="n">
        <v>1121.37</v>
      </c>
      <c r="W709" s="14" t="n">
        <v>0</v>
      </c>
      <c r="X709" s="13" t="s">
        <v>818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80</v>
      </c>
      <c r="F710" s="11" t="n">
        <v>13</v>
      </c>
      <c r="G710" s="13" t="s">
        <v>81</v>
      </c>
      <c r="H710" s="11" t="n">
        <v>2110101</v>
      </c>
      <c r="I710" s="13" t="s">
        <v>43</v>
      </c>
      <c r="J710" s="11" t="n">
        <v>1345528</v>
      </c>
      <c r="L710" s="11" t="n">
        <v>4349</v>
      </c>
      <c r="M710" s="13" t="s">
        <v>44</v>
      </c>
      <c r="N710" s="13" t="s">
        <v>69</v>
      </c>
      <c r="P710" s="11" t="n">
        <v>167</v>
      </c>
      <c r="Q710" s="13" t="s">
        <v>101</v>
      </c>
      <c r="R710" s="13" t="s">
        <v>46</v>
      </c>
      <c r="S710" s="11" t="n">
        <v>1130101</v>
      </c>
      <c r="T710" s="13" t="s">
        <v>47</v>
      </c>
      <c r="U710" s="14" t="n">
        <v>240</v>
      </c>
      <c r="W710" s="14" t="n">
        <v>240</v>
      </c>
      <c r="X710" s="13" t="s">
        <v>83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84</v>
      </c>
      <c r="F711" s="11" t="n">
        <v>24</v>
      </c>
      <c r="G711" s="13" t="s">
        <v>42</v>
      </c>
      <c r="H711" s="11" t="n">
        <v>2110101</v>
      </c>
      <c r="I711" s="13" t="s">
        <v>43</v>
      </c>
      <c r="J711" s="11" t="n">
        <v>1346280</v>
      </c>
      <c r="L711" s="11" t="n">
        <v>210134</v>
      </c>
      <c r="M711" s="13" t="s">
        <v>44</v>
      </c>
      <c r="N711" s="13" t="s">
        <v>36</v>
      </c>
      <c r="P711" s="11" t="n">
        <v>102</v>
      </c>
      <c r="Q711" s="13" t="s">
        <v>186</v>
      </c>
      <c r="R711" s="13" t="s">
        <v>46</v>
      </c>
      <c r="S711" s="11" t="n">
        <v>1130101</v>
      </c>
      <c r="T711" s="13" t="s">
        <v>47</v>
      </c>
      <c r="U711" s="14" t="n">
        <v>157.31</v>
      </c>
      <c r="W711" s="14" t="n">
        <v>0</v>
      </c>
      <c r="X711" s="13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227</v>
      </c>
      <c r="F712" s="11" t="n">
        <v>13</v>
      </c>
      <c r="G712" s="13" t="s">
        <v>81</v>
      </c>
      <c r="H712" s="11" t="n">
        <v>2110101</v>
      </c>
      <c r="I712" s="13" t="s">
        <v>43</v>
      </c>
      <c r="J712" s="11" t="n">
        <v>1348284</v>
      </c>
      <c r="L712" s="11" t="n">
        <v>339</v>
      </c>
      <c r="M712" s="13" t="s">
        <v>44</v>
      </c>
      <c r="N712" s="13" t="s">
        <v>69</v>
      </c>
      <c r="P712" s="11" t="n">
        <v>167</v>
      </c>
      <c r="Q712" s="13" t="s">
        <v>101</v>
      </c>
      <c r="R712" s="13" t="s">
        <v>46</v>
      </c>
      <c r="S712" s="11" t="n">
        <v>1130101</v>
      </c>
      <c r="T712" s="13" t="s">
        <v>47</v>
      </c>
      <c r="U712" s="14" t="n">
        <v>704</v>
      </c>
      <c r="W712" s="14" t="n">
        <v>704</v>
      </c>
      <c r="X712" s="13" t="s">
        <v>819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105</v>
      </c>
      <c r="F713" s="11" t="n">
        <v>34</v>
      </c>
      <c r="G713" s="13" t="s">
        <v>33</v>
      </c>
      <c r="H713" s="11" t="n">
        <v>2110405</v>
      </c>
      <c r="I713" s="13" t="s">
        <v>34</v>
      </c>
      <c r="J713" s="11" t="n">
        <v>1362130</v>
      </c>
      <c r="L713" s="11" t="n">
        <v>212678</v>
      </c>
      <c r="M713" s="13" t="s">
        <v>44</v>
      </c>
      <c r="N713" s="13" t="s">
        <v>36</v>
      </c>
      <c r="P713" s="11" t="n">
        <v>102</v>
      </c>
      <c r="Q713" s="13" t="s">
        <v>186</v>
      </c>
      <c r="R713" s="13" t="s">
        <v>85</v>
      </c>
      <c r="S713" s="11" t="n">
        <v>4210504</v>
      </c>
      <c r="T713" s="13" t="s">
        <v>142</v>
      </c>
      <c r="U713" s="14" t="n">
        <v>116.12</v>
      </c>
      <c r="W713" s="14" t="n">
        <v>0</v>
      </c>
      <c r="X713" s="13" t="s">
        <v>820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359</v>
      </c>
      <c r="F714" s="11" t="n">
        <v>24</v>
      </c>
      <c r="G714" s="13" t="s">
        <v>42</v>
      </c>
      <c r="H714" s="11" t="n">
        <v>2110101</v>
      </c>
      <c r="I714" s="13" t="s">
        <v>43</v>
      </c>
      <c r="J714" s="11" t="n">
        <v>1128097</v>
      </c>
      <c r="L714" s="11" t="n">
        <v>21044</v>
      </c>
      <c r="M714" s="13" t="s">
        <v>44</v>
      </c>
      <c r="N714" s="13" t="s">
        <v>36</v>
      </c>
      <c r="P714" s="11" t="n">
        <v>128</v>
      </c>
      <c r="Q714" s="13" t="s">
        <v>45</v>
      </c>
      <c r="R714" s="13" t="s">
        <v>46</v>
      </c>
      <c r="S714" s="11" t="n">
        <v>1130101</v>
      </c>
      <c r="T714" s="13" t="s">
        <v>47</v>
      </c>
      <c r="U714" s="14" t="n">
        <v>670.83</v>
      </c>
      <c r="W714" s="14" t="n">
        <v>0</v>
      </c>
      <c r="X714" s="13" t="s">
        <v>821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nao encontrado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163</v>
      </c>
      <c r="F715" s="11" t="n">
        <v>24</v>
      </c>
      <c r="G715" s="13" t="s">
        <v>42</v>
      </c>
      <c r="H715" s="11" t="n">
        <v>2110101</v>
      </c>
      <c r="I715" s="13" t="s">
        <v>43</v>
      </c>
      <c r="J715" s="11" t="n">
        <v>1131786</v>
      </c>
      <c r="L715" s="11" t="n">
        <v>4910424</v>
      </c>
      <c r="M715" s="13" t="s">
        <v>44</v>
      </c>
      <c r="N715" s="13" t="s">
        <v>36</v>
      </c>
      <c r="P715" s="11" t="n">
        <v>128</v>
      </c>
      <c r="Q715" s="13" t="s">
        <v>45</v>
      </c>
      <c r="R715" s="13" t="s">
        <v>46</v>
      </c>
      <c r="S715" s="11" t="n">
        <v>1130101</v>
      </c>
      <c r="T715" s="13" t="s">
        <v>47</v>
      </c>
      <c r="U715" s="14" t="n">
        <v>750.73</v>
      </c>
      <c r="W715" s="14" t="n">
        <v>0</v>
      </c>
      <c r="X715" s="13" t="s">
        <v>822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nao encontrado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393</v>
      </c>
      <c r="F716" s="11" t="n">
        <v>24</v>
      </c>
      <c r="G716" s="13" t="s">
        <v>42</v>
      </c>
      <c r="H716" s="11" t="n">
        <v>2110101</v>
      </c>
      <c r="I716" s="13" t="s">
        <v>43</v>
      </c>
      <c r="J716" s="11" t="n">
        <v>1162539</v>
      </c>
      <c r="L716" s="11" t="n">
        <v>19540614</v>
      </c>
      <c r="M716" s="13" t="s">
        <v>44</v>
      </c>
      <c r="N716" s="13" t="s">
        <v>36</v>
      </c>
      <c r="P716" s="11" t="n">
        <v>128</v>
      </c>
      <c r="Q716" s="13" t="s">
        <v>45</v>
      </c>
      <c r="R716" s="13" t="s">
        <v>46</v>
      </c>
      <c r="S716" s="11" t="n">
        <v>1130101</v>
      </c>
      <c r="T716" s="13" t="s">
        <v>47</v>
      </c>
      <c r="U716" s="14" t="n">
        <v>1624.37</v>
      </c>
      <c r="W716" s="14" t="n">
        <v>0</v>
      </c>
      <c r="X716" s="13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nao encontrado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208</v>
      </c>
      <c r="F717" s="11" t="n">
        <v>24</v>
      </c>
      <c r="G717" s="13" t="s">
        <v>42</v>
      </c>
      <c r="H717" s="11" t="n">
        <v>2110101</v>
      </c>
      <c r="I717" s="13" t="s">
        <v>43</v>
      </c>
      <c r="J717" s="11" t="n">
        <v>1176083</v>
      </c>
      <c r="L717" s="11" t="n">
        <v>6561743</v>
      </c>
      <c r="M717" s="13" t="s">
        <v>44</v>
      </c>
      <c r="N717" s="13" t="s">
        <v>36</v>
      </c>
      <c r="P717" s="11" t="n">
        <v>128</v>
      </c>
      <c r="Q717" s="13" t="s">
        <v>45</v>
      </c>
      <c r="R717" s="13" t="s">
        <v>46</v>
      </c>
      <c r="S717" s="11" t="n">
        <v>1130101</v>
      </c>
      <c r="T717" s="13" t="s">
        <v>47</v>
      </c>
      <c r="U717" s="14" t="n">
        <v>653.4</v>
      </c>
      <c r="W717" s="14" t="n">
        <v>0</v>
      </c>
      <c r="X717" s="13" t="s">
        <v>823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nao encontrado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41</v>
      </c>
      <c r="F718" s="11" t="n">
        <v>24</v>
      </c>
      <c r="G718" s="13" t="s">
        <v>42</v>
      </c>
      <c r="H718" s="11" t="n">
        <v>2110101</v>
      </c>
      <c r="I718" s="13" t="s">
        <v>43</v>
      </c>
      <c r="J718" s="11" t="n">
        <v>1205844</v>
      </c>
      <c r="L718" s="11" t="n">
        <v>16679323</v>
      </c>
      <c r="M718" s="13" t="s">
        <v>44</v>
      </c>
      <c r="N718" s="13" t="s">
        <v>36</v>
      </c>
      <c r="P718" s="11" t="n">
        <v>128</v>
      </c>
      <c r="Q718" s="13" t="s">
        <v>45</v>
      </c>
      <c r="R718" s="13" t="s">
        <v>46</v>
      </c>
      <c r="S718" s="11" t="n">
        <v>1130101</v>
      </c>
      <c r="T718" s="13" t="s">
        <v>47</v>
      </c>
      <c r="U718" s="14" t="n">
        <v>712.11</v>
      </c>
      <c r="W718" s="14" t="n">
        <v>0</v>
      </c>
      <c r="X718" s="13" t="s">
        <v>824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825</v>
      </c>
      <c r="F719" s="11" t="n">
        <v>24</v>
      </c>
      <c r="G719" s="13" t="s">
        <v>42</v>
      </c>
      <c r="H719" s="11" t="n">
        <v>2110405</v>
      </c>
      <c r="I719" s="13" t="s">
        <v>34</v>
      </c>
      <c r="J719" s="11" t="n">
        <v>1205880</v>
      </c>
      <c r="L719" s="11" t="n">
        <v>49863</v>
      </c>
      <c r="M719" s="13" t="s">
        <v>44</v>
      </c>
      <c r="N719" s="13" t="s">
        <v>36</v>
      </c>
      <c r="P719" s="11" t="n">
        <v>128</v>
      </c>
      <c r="Q719" s="13" t="s">
        <v>45</v>
      </c>
      <c r="R719" s="13" t="s">
        <v>38</v>
      </c>
      <c r="S719" s="11" t="n">
        <v>4210227</v>
      </c>
      <c r="T719" s="13" t="s">
        <v>196</v>
      </c>
      <c r="U719" s="14" t="n">
        <v>333</v>
      </c>
      <c r="W719" s="14" t="n">
        <v>0</v>
      </c>
      <c r="X719" s="13" t="s">
        <v>826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53</v>
      </c>
      <c r="F720" s="11" t="n">
        <v>24</v>
      </c>
      <c r="G720" s="13" t="s">
        <v>42</v>
      </c>
      <c r="H720" s="11" t="n">
        <v>2110101</v>
      </c>
      <c r="I720" s="13" t="s">
        <v>43</v>
      </c>
      <c r="J720" s="11" t="n">
        <v>1223018</v>
      </c>
      <c r="L720" s="11" t="n">
        <v>449099</v>
      </c>
      <c r="M720" s="13" t="s">
        <v>44</v>
      </c>
      <c r="N720" s="13" t="s">
        <v>36</v>
      </c>
      <c r="P720" s="11" t="n">
        <v>128</v>
      </c>
      <c r="Q720" s="13" t="s">
        <v>45</v>
      </c>
      <c r="R720" s="13" t="s">
        <v>46</v>
      </c>
      <c r="S720" s="11" t="n">
        <v>1130101</v>
      </c>
      <c r="T720" s="13" t="s">
        <v>47</v>
      </c>
      <c r="U720" s="14" t="n">
        <v>706.2</v>
      </c>
      <c r="W720" s="14" t="n">
        <v>0</v>
      </c>
      <c r="X720" s="13" t="s">
        <v>827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152</v>
      </c>
      <c r="F721" s="11" t="n">
        <v>24</v>
      </c>
      <c r="G721" s="13" t="s">
        <v>42</v>
      </c>
      <c r="H721" s="11" t="n">
        <v>2110101</v>
      </c>
      <c r="I721" s="13" t="s">
        <v>43</v>
      </c>
      <c r="J721" s="11" t="n">
        <v>1230853</v>
      </c>
      <c r="L721" s="11" t="n">
        <v>80582</v>
      </c>
      <c r="M721" s="13" t="s">
        <v>44</v>
      </c>
      <c r="N721" s="13" t="s">
        <v>36</v>
      </c>
      <c r="P721" s="11" t="n">
        <v>128</v>
      </c>
      <c r="Q721" s="13" t="s">
        <v>45</v>
      </c>
      <c r="R721" s="13" t="s">
        <v>46</v>
      </c>
      <c r="S721" s="11" t="n">
        <v>1130101</v>
      </c>
      <c r="T721" s="13" t="s">
        <v>47</v>
      </c>
      <c r="U721" s="14" t="n">
        <v>496.03</v>
      </c>
      <c r="W721" s="14" t="n">
        <v>0</v>
      </c>
      <c r="X721" s="13" t="s">
        <v>828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55</v>
      </c>
      <c r="F722" s="11" t="n">
        <v>24</v>
      </c>
      <c r="G722" s="13" t="s">
        <v>42</v>
      </c>
      <c r="H722" s="11" t="n">
        <v>2110101</v>
      </c>
      <c r="I722" s="13" t="s">
        <v>43</v>
      </c>
      <c r="J722" s="11" t="n">
        <v>1235271</v>
      </c>
      <c r="L722" s="11" t="n">
        <v>202492</v>
      </c>
      <c r="M722" s="13" t="s">
        <v>44</v>
      </c>
      <c r="N722" s="13" t="s">
        <v>69</v>
      </c>
      <c r="P722" s="11" t="n">
        <v>128</v>
      </c>
      <c r="Q722" s="13" t="s">
        <v>45</v>
      </c>
      <c r="R722" s="13" t="s">
        <v>46</v>
      </c>
      <c r="S722" s="11" t="n">
        <v>1130101</v>
      </c>
      <c r="T722" s="13" t="s">
        <v>47</v>
      </c>
      <c r="U722" s="14" t="n">
        <v>742.5</v>
      </c>
      <c r="W722" s="14" t="n">
        <v>0</v>
      </c>
      <c r="X722" s="13" t="s">
        <v>829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113</v>
      </c>
      <c r="F723" s="11" t="n">
        <v>24</v>
      </c>
      <c r="G723" s="13" t="s">
        <v>42</v>
      </c>
      <c r="H723" s="11" t="n">
        <v>2110101</v>
      </c>
      <c r="I723" s="13" t="s">
        <v>43</v>
      </c>
      <c r="J723" s="11" t="n">
        <v>1235330</v>
      </c>
      <c r="L723" s="11" t="n">
        <v>2139122</v>
      </c>
      <c r="M723" s="13" t="s">
        <v>44</v>
      </c>
      <c r="N723" s="13" t="s">
        <v>36</v>
      </c>
      <c r="P723" s="11" t="n">
        <v>128</v>
      </c>
      <c r="Q723" s="13" t="s">
        <v>45</v>
      </c>
      <c r="R723" s="13" t="s">
        <v>46</v>
      </c>
      <c r="S723" s="11" t="n">
        <v>1130101</v>
      </c>
      <c r="T723" s="13" t="s">
        <v>47</v>
      </c>
      <c r="U723" s="14" t="n">
        <v>572.7</v>
      </c>
      <c r="W723" s="14" t="n">
        <v>0</v>
      </c>
      <c r="X723" s="13" t="s">
        <v>830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155</v>
      </c>
      <c r="F724" s="11" t="n">
        <v>24</v>
      </c>
      <c r="G724" s="13" t="s">
        <v>42</v>
      </c>
      <c r="H724" s="11" t="n">
        <v>2110101</v>
      </c>
      <c r="I724" s="13" t="s">
        <v>43</v>
      </c>
      <c r="J724" s="11" t="n">
        <v>1235961</v>
      </c>
      <c r="L724" s="11" t="n">
        <v>843061</v>
      </c>
      <c r="M724" s="13" t="s">
        <v>44</v>
      </c>
      <c r="N724" s="13" t="s">
        <v>69</v>
      </c>
      <c r="P724" s="11" t="n">
        <v>128</v>
      </c>
      <c r="Q724" s="13" t="s">
        <v>45</v>
      </c>
      <c r="R724" s="13" t="s">
        <v>46</v>
      </c>
      <c r="S724" s="11" t="n">
        <v>1130101</v>
      </c>
      <c r="T724" s="13" t="s">
        <v>47</v>
      </c>
      <c r="U724" s="14" t="n">
        <v>417</v>
      </c>
      <c r="W724" s="14" t="n">
        <v>0</v>
      </c>
      <c r="X724" s="13" t="s">
        <v>831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155</v>
      </c>
      <c r="F725" s="11" t="n">
        <v>24</v>
      </c>
      <c r="G725" s="13" t="s">
        <v>42</v>
      </c>
      <c r="H725" s="11" t="n">
        <v>2110101</v>
      </c>
      <c r="I725" s="13" t="s">
        <v>43</v>
      </c>
      <c r="J725" s="11" t="n">
        <v>1235987</v>
      </c>
      <c r="L725" s="11" t="n">
        <v>9383742</v>
      </c>
      <c r="M725" s="13" t="s">
        <v>44</v>
      </c>
      <c r="N725" s="13" t="s">
        <v>36</v>
      </c>
      <c r="P725" s="11" t="n">
        <v>128</v>
      </c>
      <c r="Q725" s="13" t="s">
        <v>45</v>
      </c>
      <c r="R725" s="13" t="s">
        <v>46</v>
      </c>
      <c r="S725" s="11" t="n">
        <v>1130101</v>
      </c>
      <c r="T725" s="13" t="s">
        <v>47</v>
      </c>
      <c r="U725" s="14" t="n">
        <v>504.27</v>
      </c>
      <c r="W725" s="14" t="n">
        <v>0</v>
      </c>
      <c r="X725" s="13" t="s">
        <v>832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266</v>
      </c>
      <c r="F726" s="11" t="n">
        <v>24</v>
      </c>
      <c r="G726" s="13" t="s">
        <v>42</v>
      </c>
      <c r="H726" s="11" t="n">
        <v>2110101</v>
      </c>
      <c r="I726" s="13" t="s">
        <v>43</v>
      </c>
      <c r="J726" s="11" t="n">
        <v>1241402</v>
      </c>
      <c r="L726" s="11" t="n">
        <v>19603</v>
      </c>
      <c r="M726" s="13" t="s">
        <v>44</v>
      </c>
      <c r="N726" s="13" t="s">
        <v>36</v>
      </c>
      <c r="P726" s="11" t="n">
        <v>128</v>
      </c>
      <c r="Q726" s="13" t="s">
        <v>45</v>
      </c>
      <c r="R726" s="13" t="s">
        <v>46</v>
      </c>
      <c r="S726" s="11" t="n">
        <v>1130101</v>
      </c>
      <c r="T726" s="13" t="s">
        <v>47</v>
      </c>
      <c r="U726" s="14" t="n">
        <v>926.18</v>
      </c>
      <c r="W726" s="14" t="n">
        <v>0</v>
      </c>
      <c r="X726" s="13" t="s">
        <v>833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699</v>
      </c>
      <c r="F727" s="11" t="n">
        <v>24</v>
      </c>
      <c r="G727" s="13" t="s">
        <v>42</v>
      </c>
      <c r="H727" s="11" t="n">
        <v>2110101</v>
      </c>
      <c r="I727" s="13" t="s">
        <v>43</v>
      </c>
      <c r="J727" s="11" t="n">
        <v>1244062</v>
      </c>
      <c r="L727" s="11" t="n">
        <v>326852</v>
      </c>
      <c r="M727" s="13" t="s">
        <v>44</v>
      </c>
      <c r="N727" s="13" t="s">
        <v>36</v>
      </c>
      <c r="P727" s="11" t="n">
        <v>128</v>
      </c>
      <c r="Q727" s="13" t="s">
        <v>45</v>
      </c>
      <c r="R727" s="13" t="s">
        <v>46</v>
      </c>
      <c r="S727" s="11" t="n">
        <v>1130101</v>
      </c>
      <c r="T727" s="13" t="s">
        <v>47</v>
      </c>
      <c r="U727" s="14" t="n">
        <v>467.19</v>
      </c>
      <c r="W727" s="14" t="n">
        <v>0</v>
      </c>
      <c r="X727" s="13" t="s">
        <v>834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554</v>
      </c>
      <c r="F728" s="11" t="n">
        <v>24</v>
      </c>
      <c r="G728" s="13" t="s">
        <v>42</v>
      </c>
      <c r="H728" s="11" t="n">
        <v>2110101</v>
      </c>
      <c r="I728" s="13" t="s">
        <v>43</v>
      </c>
      <c r="J728" s="11" t="n">
        <v>1260190</v>
      </c>
      <c r="L728" s="11" t="n">
        <v>545753</v>
      </c>
      <c r="M728" s="13" t="s">
        <v>44</v>
      </c>
      <c r="N728" s="13" t="s">
        <v>36</v>
      </c>
      <c r="P728" s="11" t="n">
        <v>128</v>
      </c>
      <c r="Q728" s="13" t="s">
        <v>45</v>
      </c>
      <c r="R728" s="13" t="s">
        <v>46</v>
      </c>
      <c r="S728" s="11" t="n">
        <v>1130101</v>
      </c>
      <c r="T728" s="13" t="s">
        <v>47</v>
      </c>
      <c r="U728" s="14" t="n">
        <v>1094.25</v>
      </c>
      <c r="W728" s="14" t="n">
        <v>0</v>
      </c>
      <c r="X728" s="13" t="s">
        <v>835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247</v>
      </c>
      <c r="F729" s="11" t="n">
        <v>24</v>
      </c>
      <c r="G729" s="13" t="s">
        <v>42</v>
      </c>
      <c r="H729" s="11" t="n">
        <v>2110101</v>
      </c>
      <c r="I729" s="13" t="s">
        <v>43</v>
      </c>
      <c r="J729" s="11" t="n">
        <v>1265377</v>
      </c>
      <c r="L729" s="11" t="n">
        <v>130521</v>
      </c>
      <c r="M729" s="13" t="s">
        <v>44</v>
      </c>
      <c r="N729" s="13" t="s">
        <v>36</v>
      </c>
      <c r="P729" s="11" t="n">
        <v>128</v>
      </c>
      <c r="Q729" s="13" t="s">
        <v>45</v>
      </c>
      <c r="R729" s="13" t="s">
        <v>46</v>
      </c>
      <c r="S729" s="11" t="n">
        <v>1130101</v>
      </c>
      <c r="T729" s="13" t="s">
        <v>47</v>
      </c>
      <c r="U729" s="14" t="n">
        <v>442.01</v>
      </c>
      <c r="W729" s="14" t="n">
        <v>0</v>
      </c>
      <c r="X729" s="13" t="s">
        <v>836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807</v>
      </c>
      <c r="F730" s="11" t="n">
        <v>24</v>
      </c>
      <c r="G730" s="13" t="s">
        <v>42</v>
      </c>
      <c r="H730" s="11" t="n">
        <v>2110101</v>
      </c>
      <c r="I730" s="13" t="s">
        <v>43</v>
      </c>
      <c r="J730" s="11" t="n">
        <v>1265431</v>
      </c>
      <c r="L730" s="11" t="n">
        <v>3950871</v>
      </c>
      <c r="M730" s="13" t="s">
        <v>44</v>
      </c>
      <c r="N730" s="13" t="s">
        <v>36</v>
      </c>
      <c r="P730" s="11" t="n">
        <v>128</v>
      </c>
      <c r="Q730" s="13" t="s">
        <v>45</v>
      </c>
      <c r="R730" s="13" t="s">
        <v>46</v>
      </c>
      <c r="S730" s="11" t="n">
        <v>1130101</v>
      </c>
      <c r="T730" s="13" t="s">
        <v>47</v>
      </c>
      <c r="U730" s="14" t="n">
        <v>412.48</v>
      </c>
      <c r="W730" s="14" t="n">
        <v>0</v>
      </c>
      <c r="X730" s="13" t="s">
        <v>837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49</v>
      </c>
      <c r="F731" s="11" t="n">
        <v>24</v>
      </c>
      <c r="G731" s="13" t="s">
        <v>42</v>
      </c>
      <c r="H731" s="11" t="n">
        <v>2110101</v>
      </c>
      <c r="I731" s="13" t="s">
        <v>43</v>
      </c>
      <c r="J731" s="11" t="n">
        <v>1265912</v>
      </c>
      <c r="L731" s="11" t="n">
        <v>32042671</v>
      </c>
      <c r="M731" s="13" t="s">
        <v>44</v>
      </c>
      <c r="N731" s="13" t="s">
        <v>36</v>
      </c>
      <c r="P731" s="11" t="n">
        <v>128</v>
      </c>
      <c r="Q731" s="13" t="s">
        <v>45</v>
      </c>
      <c r="R731" s="13" t="s">
        <v>46</v>
      </c>
      <c r="S731" s="11" t="n">
        <v>1130101</v>
      </c>
      <c r="T731" s="13" t="s">
        <v>47</v>
      </c>
      <c r="U731" s="14" t="n">
        <v>357</v>
      </c>
      <c r="W731" s="14" t="n">
        <v>0</v>
      </c>
      <c r="X731" s="13" t="s">
        <v>838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49</v>
      </c>
      <c r="F732" s="11" t="n">
        <v>24</v>
      </c>
      <c r="G732" s="13" t="s">
        <v>42</v>
      </c>
      <c r="H732" s="11" t="n">
        <v>2110101</v>
      </c>
      <c r="I732" s="13" t="s">
        <v>43</v>
      </c>
      <c r="J732" s="11" t="n">
        <v>1265944</v>
      </c>
      <c r="L732" s="11" t="n">
        <v>32042681</v>
      </c>
      <c r="M732" s="13" t="s">
        <v>44</v>
      </c>
      <c r="N732" s="13" t="s">
        <v>36</v>
      </c>
      <c r="P732" s="11" t="n">
        <v>128</v>
      </c>
      <c r="Q732" s="13" t="s">
        <v>45</v>
      </c>
      <c r="R732" s="13" t="s">
        <v>46</v>
      </c>
      <c r="S732" s="11" t="n">
        <v>1130101</v>
      </c>
      <c r="T732" s="13" t="s">
        <v>47</v>
      </c>
      <c r="U732" s="14" t="n">
        <v>1017.59</v>
      </c>
      <c r="W732" s="14" t="n">
        <v>0</v>
      </c>
      <c r="X732" s="13" t="s">
        <v>839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49</v>
      </c>
      <c r="F733" s="11" t="n">
        <v>24</v>
      </c>
      <c r="G733" s="13" t="s">
        <v>42</v>
      </c>
      <c r="H733" s="11" t="n">
        <v>2110101</v>
      </c>
      <c r="I733" s="13" t="s">
        <v>43</v>
      </c>
      <c r="J733" s="11" t="n">
        <v>1266061</v>
      </c>
      <c r="L733" s="11" t="n">
        <v>32042631</v>
      </c>
      <c r="M733" s="13" t="s">
        <v>44</v>
      </c>
      <c r="N733" s="13" t="s">
        <v>36</v>
      </c>
      <c r="P733" s="11" t="n">
        <v>128</v>
      </c>
      <c r="Q733" s="13" t="s">
        <v>45</v>
      </c>
      <c r="R733" s="13" t="s">
        <v>46</v>
      </c>
      <c r="S733" s="11" t="n">
        <v>1130101</v>
      </c>
      <c r="T733" s="13" t="s">
        <v>47</v>
      </c>
      <c r="U733" s="14" t="n">
        <v>1096.02</v>
      </c>
      <c r="W733" s="14" t="n">
        <v>0</v>
      </c>
      <c r="X733" s="13" t="s">
        <v>840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49</v>
      </c>
      <c r="F734" s="11" t="n">
        <v>24</v>
      </c>
      <c r="G734" s="13" t="s">
        <v>42</v>
      </c>
      <c r="H734" s="11" t="n">
        <v>2110101</v>
      </c>
      <c r="I734" s="13" t="s">
        <v>43</v>
      </c>
      <c r="J734" s="11" t="n">
        <v>1266096</v>
      </c>
      <c r="L734" s="11" t="n">
        <v>32042641</v>
      </c>
      <c r="M734" s="13" t="s">
        <v>44</v>
      </c>
      <c r="N734" s="13" t="s">
        <v>36</v>
      </c>
      <c r="P734" s="11" t="n">
        <v>128</v>
      </c>
      <c r="Q734" s="13" t="s">
        <v>45</v>
      </c>
      <c r="R734" s="13" t="s">
        <v>46</v>
      </c>
      <c r="S734" s="11" t="n">
        <v>1130101</v>
      </c>
      <c r="T734" s="13" t="s">
        <v>47</v>
      </c>
      <c r="U734" s="14" t="n">
        <v>804.51</v>
      </c>
      <c r="W734" s="14" t="n">
        <v>0</v>
      </c>
      <c r="X734" s="13" t="s">
        <v>841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49</v>
      </c>
      <c r="F735" s="11" t="n">
        <v>24</v>
      </c>
      <c r="G735" s="13" t="s">
        <v>42</v>
      </c>
      <c r="H735" s="11" t="n">
        <v>2110101</v>
      </c>
      <c r="I735" s="13" t="s">
        <v>43</v>
      </c>
      <c r="J735" s="11" t="n">
        <v>1266131</v>
      </c>
      <c r="L735" s="11" t="n">
        <v>32042691</v>
      </c>
      <c r="M735" s="13" t="s">
        <v>44</v>
      </c>
      <c r="N735" s="13" t="s">
        <v>36</v>
      </c>
      <c r="P735" s="11" t="n">
        <v>128</v>
      </c>
      <c r="Q735" s="13" t="s">
        <v>45</v>
      </c>
      <c r="R735" s="13" t="s">
        <v>46</v>
      </c>
      <c r="S735" s="11" t="n">
        <v>1130101</v>
      </c>
      <c r="T735" s="13" t="s">
        <v>47</v>
      </c>
      <c r="U735" s="14" t="n">
        <v>1136.33</v>
      </c>
      <c r="W735" s="14" t="n">
        <v>0</v>
      </c>
      <c r="X735" s="13" t="s">
        <v>842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170</v>
      </c>
      <c r="F736" s="11" t="n">
        <v>24</v>
      </c>
      <c r="G736" s="13" t="s">
        <v>42</v>
      </c>
      <c r="H736" s="11" t="n">
        <v>2110101</v>
      </c>
      <c r="I736" s="13" t="s">
        <v>43</v>
      </c>
      <c r="J736" s="11" t="n">
        <v>1266185</v>
      </c>
      <c r="L736" s="11" t="n">
        <v>12382021</v>
      </c>
      <c r="M736" s="13" t="s">
        <v>44</v>
      </c>
      <c r="N736" s="13" t="s">
        <v>36</v>
      </c>
      <c r="P736" s="11" t="n">
        <v>128</v>
      </c>
      <c r="Q736" s="13" t="s">
        <v>45</v>
      </c>
      <c r="R736" s="13" t="s">
        <v>46</v>
      </c>
      <c r="S736" s="11" t="n">
        <v>1130101</v>
      </c>
      <c r="T736" s="13" t="s">
        <v>47</v>
      </c>
      <c r="U736" s="14" t="n">
        <v>930.35</v>
      </c>
      <c r="W736" s="14" t="n">
        <v>0</v>
      </c>
      <c r="X736" s="13" t="s">
        <v>843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60</v>
      </c>
      <c r="F737" s="11" t="n">
        <v>24</v>
      </c>
      <c r="G737" s="13" t="s">
        <v>42</v>
      </c>
      <c r="H737" s="11" t="n">
        <v>2110101</v>
      </c>
      <c r="I737" s="13" t="s">
        <v>43</v>
      </c>
      <c r="J737" s="11" t="n">
        <v>1266323</v>
      </c>
      <c r="L737" s="11" t="n">
        <v>3047921</v>
      </c>
      <c r="M737" s="13" t="s">
        <v>44</v>
      </c>
      <c r="N737" s="13" t="s">
        <v>36</v>
      </c>
      <c r="P737" s="11" t="n">
        <v>128</v>
      </c>
      <c r="Q737" s="13" t="s">
        <v>45</v>
      </c>
      <c r="R737" s="13" t="s">
        <v>46</v>
      </c>
      <c r="S737" s="11" t="n">
        <v>1130101</v>
      </c>
      <c r="T737" s="13" t="s">
        <v>47</v>
      </c>
      <c r="U737" s="14" t="n">
        <v>391.4</v>
      </c>
      <c r="W737" s="14" t="n">
        <v>0</v>
      </c>
      <c r="X737" s="13" t="s">
        <v>844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195</v>
      </c>
      <c r="F738" s="11" t="n">
        <v>24</v>
      </c>
      <c r="G738" s="13" t="s">
        <v>42</v>
      </c>
      <c r="H738" s="11" t="n">
        <v>2110101</v>
      </c>
      <c r="I738" s="13" t="s">
        <v>43</v>
      </c>
      <c r="J738" s="11" t="n">
        <v>1269283</v>
      </c>
      <c r="L738" s="11" t="n">
        <v>29851</v>
      </c>
      <c r="M738" s="13" t="s">
        <v>44</v>
      </c>
      <c r="N738" s="13" t="s">
        <v>36</v>
      </c>
      <c r="P738" s="11" t="n">
        <v>128</v>
      </c>
      <c r="Q738" s="13" t="s">
        <v>45</v>
      </c>
      <c r="R738" s="13" t="s">
        <v>38</v>
      </c>
      <c r="S738" s="11" t="n">
        <v>4210227</v>
      </c>
      <c r="T738" s="13" t="s">
        <v>196</v>
      </c>
      <c r="U738" s="14" t="n">
        <v>506.02</v>
      </c>
      <c r="W738" s="14" t="n">
        <v>0</v>
      </c>
      <c r="X738" s="13" t="s">
        <v>845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260</v>
      </c>
      <c r="F739" s="11" t="n">
        <v>24</v>
      </c>
      <c r="G739" s="13" t="s">
        <v>42</v>
      </c>
      <c r="H739" s="11" t="n">
        <v>2110101</v>
      </c>
      <c r="I739" s="13" t="s">
        <v>43</v>
      </c>
      <c r="J739" s="11" t="n">
        <v>1272602</v>
      </c>
      <c r="L739" s="11" t="n">
        <v>2222631</v>
      </c>
      <c r="M739" s="13" t="s">
        <v>44</v>
      </c>
      <c r="N739" s="13" t="s">
        <v>36</v>
      </c>
      <c r="P739" s="11" t="n">
        <v>128</v>
      </c>
      <c r="Q739" s="13" t="s">
        <v>45</v>
      </c>
      <c r="R739" s="13" t="s">
        <v>46</v>
      </c>
      <c r="S739" s="11" t="n">
        <v>1130101</v>
      </c>
      <c r="T739" s="13" t="s">
        <v>47</v>
      </c>
      <c r="U739" s="14" t="n">
        <v>782.57</v>
      </c>
      <c r="W739" s="14" t="n">
        <v>0</v>
      </c>
      <c r="X739" s="13" t="s">
        <v>846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445</v>
      </c>
      <c r="F740" s="11" t="n">
        <v>24</v>
      </c>
      <c r="G740" s="13" t="s">
        <v>42</v>
      </c>
      <c r="H740" s="11" t="n">
        <v>2110101</v>
      </c>
      <c r="I740" s="13" t="s">
        <v>43</v>
      </c>
      <c r="J740" s="11" t="n">
        <v>1272623</v>
      </c>
      <c r="L740" s="11" t="n">
        <v>17732561</v>
      </c>
      <c r="M740" s="13" t="s">
        <v>44</v>
      </c>
      <c r="N740" s="13" t="s">
        <v>36</v>
      </c>
      <c r="P740" s="11" t="n">
        <v>128</v>
      </c>
      <c r="Q740" s="13" t="s">
        <v>45</v>
      </c>
      <c r="R740" s="13" t="s">
        <v>46</v>
      </c>
      <c r="S740" s="11" t="n">
        <v>1130101</v>
      </c>
      <c r="T740" s="13" t="s">
        <v>47</v>
      </c>
      <c r="U740" s="14" t="n">
        <v>393.5</v>
      </c>
      <c r="W740" s="14" t="n">
        <v>0</v>
      </c>
      <c r="X740" s="13" t="s">
        <v>847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255</v>
      </c>
      <c r="F741" s="11" t="n">
        <v>24</v>
      </c>
      <c r="G741" s="13" t="s">
        <v>42</v>
      </c>
      <c r="H741" s="11" t="n">
        <v>2110101</v>
      </c>
      <c r="I741" s="13" t="s">
        <v>43</v>
      </c>
      <c r="J741" s="11" t="n">
        <v>1279227</v>
      </c>
      <c r="L741" s="11" t="n">
        <v>3747571</v>
      </c>
      <c r="M741" s="13" t="s">
        <v>44</v>
      </c>
      <c r="N741" s="13" t="s">
        <v>36</v>
      </c>
      <c r="P741" s="11" t="n">
        <v>128</v>
      </c>
      <c r="Q741" s="13" t="s">
        <v>45</v>
      </c>
      <c r="R741" s="13" t="s">
        <v>46</v>
      </c>
      <c r="S741" s="11" t="n">
        <v>1130101</v>
      </c>
      <c r="T741" s="13" t="s">
        <v>47</v>
      </c>
      <c r="U741" s="14" t="n">
        <v>977.07</v>
      </c>
      <c r="W741" s="14" t="n">
        <v>0</v>
      </c>
      <c r="X741" s="13" t="s">
        <v>848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373</v>
      </c>
      <c r="F742" s="11" t="n">
        <v>24</v>
      </c>
      <c r="G742" s="13" t="s">
        <v>42</v>
      </c>
      <c r="H742" s="11" t="n">
        <v>2110101</v>
      </c>
      <c r="I742" s="13" t="s">
        <v>43</v>
      </c>
      <c r="J742" s="11" t="n">
        <v>1289332</v>
      </c>
      <c r="L742" s="11" t="n">
        <v>1418632</v>
      </c>
      <c r="M742" s="13" t="s">
        <v>44</v>
      </c>
      <c r="N742" s="13" t="s">
        <v>69</v>
      </c>
      <c r="P742" s="11" t="n">
        <v>128</v>
      </c>
      <c r="Q742" s="13" t="s">
        <v>45</v>
      </c>
      <c r="R742" s="13" t="s">
        <v>46</v>
      </c>
      <c r="S742" s="11" t="n">
        <v>1130101</v>
      </c>
      <c r="T742" s="13" t="s">
        <v>47</v>
      </c>
      <c r="U742" s="14" t="n">
        <v>732.36</v>
      </c>
      <c r="W742" s="14" t="n">
        <v>0</v>
      </c>
      <c r="X742" s="13" t="s">
        <v>849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108</v>
      </c>
      <c r="F743" s="11" t="n">
        <v>24</v>
      </c>
      <c r="G743" s="13" t="s">
        <v>42</v>
      </c>
      <c r="H743" s="11" t="n">
        <v>2110405</v>
      </c>
      <c r="I743" s="13" t="s">
        <v>34</v>
      </c>
      <c r="J743" s="11" t="n">
        <v>1290195</v>
      </c>
      <c r="L743" s="11" t="n">
        <v>201754</v>
      </c>
      <c r="M743" s="13" t="s">
        <v>44</v>
      </c>
      <c r="N743" s="13" t="s">
        <v>36</v>
      </c>
      <c r="P743" s="11" t="n">
        <v>101</v>
      </c>
      <c r="Q743" s="13" t="s">
        <v>37</v>
      </c>
      <c r="R743" s="13" t="s">
        <v>109</v>
      </c>
      <c r="S743" s="11" t="n">
        <v>1240203</v>
      </c>
      <c r="T743" s="13" t="s">
        <v>110</v>
      </c>
      <c r="U743" s="14" t="n">
        <v>404.78</v>
      </c>
      <c r="W743" s="14" t="n">
        <v>0</v>
      </c>
      <c r="X743" s="13" t="s">
        <v>850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179</v>
      </c>
      <c r="F744" s="11" t="n">
        <v>24</v>
      </c>
      <c r="G744" s="13" t="s">
        <v>42</v>
      </c>
      <c r="H744" s="11" t="n">
        <v>2110101</v>
      </c>
      <c r="I744" s="13" t="s">
        <v>43</v>
      </c>
      <c r="J744" s="11" t="n">
        <v>1300032</v>
      </c>
      <c r="L744" s="11" t="n">
        <v>12262</v>
      </c>
      <c r="M744" s="13" t="s">
        <v>44</v>
      </c>
      <c r="N744" s="13" t="s">
        <v>36</v>
      </c>
      <c r="P744" s="11" t="n">
        <v>128</v>
      </c>
      <c r="Q744" s="13" t="s">
        <v>45</v>
      </c>
      <c r="R744" s="13" t="s">
        <v>46</v>
      </c>
      <c r="S744" s="11" t="n">
        <v>1130101</v>
      </c>
      <c r="T744" s="13" t="s">
        <v>47</v>
      </c>
      <c r="U744" s="14" t="n">
        <v>351.36</v>
      </c>
      <c r="W744" s="14" t="n">
        <v>0</v>
      </c>
      <c r="X744" s="13" t="s">
        <v>851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274</v>
      </c>
      <c r="F745" s="11" t="n">
        <v>24</v>
      </c>
      <c r="G745" s="13" t="s">
        <v>42</v>
      </c>
      <c r="H745" s="11" t="n">
        <v>2110101</v>
      </c>
      <c r="I745" s="13" t="s">
        <v>43</v>
      </c>
      <c r="J745" s="11" t="n">
        <v>1304475</v>
      </c>
      <c r="L745" s="11" t="n">
        <v>1028803</v>
      </c>
      <c r="M745" s="13" t="s">
        <v>44</v>
      </c>
      <c r="N745" s="13" t="s">
        <v>69</v>
      </c>
      <c r="P745" s="11" t="n">
        <v>128</v>
      </c>
      <c r="Q745" s="13" t="s">
        <v>45</v>
      </c>
      <c r="R745" s="13" t="s">
        <v>46</v>
      </c>
      <c r="S745" s="11" t="n">
        <v>1130101</v>
      </c>
      <c r="T745" s="13" t="s">
        <v>47</v>
      </c>
      <c r="U745" s="14" t="n">
        <v>594.06</v>
      </c>
      <c r="W745" s="14" t="n">
        <v>0</v>
      </c>
      <c r="X745" s="13" t="s">
        <v>852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312</v>
      </c>
      <c r="F746" s="11" t="n">
        <v>24</v>
      </c>
      <c r="G746" s="13" t="s">
        <v>42</v>
      </c>
      <c r="H746" s="11" t="n">
        <v>2110101</v>
      </c>
      <c r="I746" s="13" t="s">
        <v>43</v>
      </c>
      <c r="J746" s="11" t="n">
        <v>1312401</v>
      </c>
      <c r="L746" s="11" t="n">
        <v>190591216</v>
      </c>
      <c r="M746" s="13" t="s">
        <v>44</v>
      </c>
      <c r="N746" s="13" t="s">
        <v>36</v>
      </c>
      <c r="P746" s="11" t="n">
        <v>128</v>
      </c>
      <c r="Q746" s="13" t="s">
        <v>45</v>
      </c>
      <c r="R746" s="13" t="s">
        <v>46</v>
      </c>
      <c r="S746" s="11" t="n">
        <v>1130101</v>
      </c>
      <c r="T746" s="13" t="s">
        <v>47</v>
      </c>
      <c r="U746" s="14" t="n">
        <v>240</v>
      </c>
      <c r="W746" s="14" t="n">
        <v>0</v>
      </c>
      <c r="X746" s="13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135</v>
      </c>
      <c r="F747" s="11" t="n">
        <v>24</v>
      </c>
      <c r="G747" s="13" t="s">
        <v>42</v>
      </c>
      <c r="H747" s="11" t="n">
        <v>2110101</v>
      </c>
      <c r="I747" s="13" t="s">
        <v>43</v>
      </c>
      <c r="J747" s="11" t="n">
        <v>1321563</v>
      </c>
      <c r="L747" s="11" t="n">
        <v>512</v>
      </c>
      <c r="M747" s="13" t="s">
        <v>44</v>
      </c>
      <c r="N747" s="13" t="s">
        <v>69</v>
      </c>
      <c r="P747" s="11" t="n">
        <v>128</v>
      </c>
      <c r="Q747" s="13" t="s">
        <v>45</v>
      </c>
      <c r="R747" s="13" t="s">
        <v>46</v>
      </c>
      <c r="S747" s="11" t="n">
        <v>1130101</v>
      </c>
      <c r="T747" s="13" t="s">
        <v>47</v>
      </c>
      <c r="U747" s="14" t="n">
        <v>240</v>
      </c>
      <c r="W747" s="14" t="n">
        <v>0</v>
      </c>
      <c r="X747" s="13" t="s">
        <v>853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854</v>
      </c>
      <c r="F748" s="11" t="n">
        <v>24</v>
      </c>
      <c r="G748" s="13" t="s">
        <v>42</v>
      </c>
      <c r="H748" s="11" t="n">
        <v>2110101</v>
      </c>
      <c r="I748" s="13" t="s">
        <v>43</v>
      </c>
      <c r="J748" s="11" t="n">
        <v>1321686</v>
      </c>
      <c r="L748" s="11" t="n">
        <v>774801</v>
      </c>
      <c r="M748" s="13" t="s">
        <v>44</v>
      </c>
      <c r="N748" s="13" t="s">
        <v>36</v>
      </c>
      <c r="P748" s="11" t="n">
        <v>128</v>
      </c>
      <c r="Q748" s="13" t="s">
        <v>45</v>
      </c>
      <c r="R748" s="13" t="s">
        <v>46</v>
      </c>
      <c r="S748" s="11" t="n">
        <v>1130101</v>
      </c>
      <c r="T748" s="13" t="s">
        <v>47</v>
      </c>
      <c r="U748" s="14" t="n">
        <v>1651.2</v>
      </c>
      <c r="W748" s="14" t="n">
        <v>0</v>
      </c>
      <c r="X748" s="13" t="s">
        <v>855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854</v>
      </c>
      <c r="F749" s="11" t="n">
        <v>24</v>
      </c>
      <c r="G749" s="13" t="s">
        <v>42</v>
      </c>
      <c r="H749" s="11" t="n">
        <v>2110101</v>
      </c>
      <c r="I749" s="13" t="s">
        <v>43</v>
      </c>
      <c r="J749" s="11" t="n">
        <v>1321745</v>
      </c>
      <c r="L749" s="11" t="n">
        <v>774381</v>
      </c>
      <c r="M749" s="13" t="s">
        <v>44</v>
      </c>
      <c r="N749" s="13" t="s">
        <v>36</v>
      </c>
      <c r="P749" s="11" t="n">
        <v>128</v>
      </c>
      <c r="Q749" s="13" t="s">
        <v>45</v>
      </c>
      <c r="R749" s="13" t="s">
        <v>46</v>
      </c>
      <c r="S749" s="11" t="n">
        <v>1130101</v>
      </c>
      <c r="T749" s="13" t="s">
        <v>47</v>
      </c>
      <c r="U749" s="14" t="n">
        <v>1830.97</v>
      </c>
      <c r="W749" s="14" t="n">
        <v>0</v>
      </c>
      <c r="X749" s="13" t="s">
        <v>856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80</v>
      </c>
      <c r="F750" s="11" t="n">
        <v>13</v>
      </c>
      <c r="G750" s="13" t="s">
        <v>81</v>
      </c>
      <c r="H750" s="11" t="n">
        <v>2110101</v>
      </c>
      <c r="I750" s="13" t="s">
        <v>43</v>
      </c>
      <c r="J750" s="11" t="n">
        <v>1348268</v>
      </c>
      <c r="L750" s="11" t="n">
        <v>4350</v>
      </c>
      <c r="M750" s="13" t="s">
        <v>44</v>
      </c>
      <c r="N750" s="13" t="s">
        <v>69</v>
      </c>
      <c r="P750" s="11" t="n">
        <v>167</v>
      </c>
      <c r="Q750" s="13" t="s">
        <v>101</v>
      </c>
      <c r="R750" s="13" t="s">
        <v>46</v>
      </c>
      <c r="S750" s="11" t="n">
        <v>1130101</v>
      </c>
      <c r="T750" s="13" t="s">
        <v>47</v>
      </c>
      <c r="U750" s="14" t="n">
        <v>318</v>
      </c>
      <c r="W750" s="14" t="n">
        <v>318</v>
      </c>
      <c r="X750" s="13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105</v>
      </c>
      <c r="F751" s="11" t="n">
        <v>34</v>
      </c>
      <c r="G751" s="13" t="s">
        <v>33</v>
      </c>
      <c r="H751" s="11" t="n">
        <v>2110405</v>
      </c>
      <c r="I751" s="13" t="s">
        <v>34</v>
      </c>
      <c r="J751" s="11" t="n">
        <v>1157461</v>
      </c>
      <c r="L751" s="11" t="n">
        <v>181615</v>
      </c>
      <c r="M751" s="13" t="s">
        <v>244</v>
      </c>
      <c r="N751" s="13" t="s">
        <v>36</v>
      </c>
      <c r="P751" s="11" t="n">
        <v>101</v>
      </c>
      <c r="Q751" s="13" t="s">
        <v>37</v>
      </c>
      <c r="R751" s="13" t="s">
        <v>85</v>
      </c>
      <c r="S751" s="11" t="n">
        <v>4210508</v>
      </c>
      <c r="T751" s="13" t="s">
        <v>106</v>
      </c>
      <c r="U751" s="14" t="n">
        <v>151.61</v>
      </c>
      <c r="W751" s="14" t="n">
        <v>0</v>
      </c>
      <c r="X751" s="13" t="s">
        <v>857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125</v>
      </c>
      <c r="F752" s="11" t="n">
        <v>24</v>
      </c>
      <c r="G752" s="13" t="s">
        <v>42</v>
      </c>
      <c r="H752" s="11" t="n">
        <v>2110101</v>
      </c>
      <c r="I752" s="13" t="s">
        <v>43</v>
      </c>
      <c r="J752" s="11" t="n">
        <v>1231812</v>
      </c>
      <c r="L752" s="11" t="n">
        <v>253203</v>
      </c>
      <c r="M752" s="13" t="s">
        <v>44</v>
      </c>
      <c r="N752" s="13" t="s">
        <v>69</v>
      </c>
      <c r="P752" s="11" t="n">
        <v>128</v>
      </c>
      <c r="Q752" s="13" t="s">
        <v>45</v>
      </c>
      <c r="R752" s="13" t="s">
        <v>46</v>
      </c>
      <c r="S752" s="11" t="n">
        <v>1130101</v>
      </c>
      <c r="T752" s="13" t="s">
        <v>47</v>
      </c>
      <c r="U752" s="14" t="n">
        <v>541.26</v>
      </c>
      <c r="W752" s="14" t="n">
        <v>0</v>
      </c>
      <c r="X752" s="13" t="s">
        <v>858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379</v>
      </c>
      <c r="F753" s="11" t="n">
        <v>34</v>
      </c>
      <c r="G753" s="13" t="s">
        <v>33</v>
      </c>
      <c r="H753" s="11" t="n">
        <v>2110405</v>
      </c>
      <c r="I753" s="13" t="s">
        <v>34</v>
      </c>
      <c r="J753" s="11" t="n">
        <v>628297</v>
      </c>
      <c r="L753" s="11" t="n">
        <v>100146</v>
      </c>
      <c r="M753" s="13" t="s">
        <v>35</v>
      </c>
      <c r="N753" s="13" t="s">
        <v>36</v>
      </c>
      <c r="P753" s="11" t="n">
        <v>102</v>
      </c>
      <c r="Q753" s="13" t="s">
        <v>186</v>
      </c>
      <c r="R753" s="13" t="s">
        <v>38</v>
      </c>
      <c r="S753" s="11" t="n">
        <v>4210202</v>
      </c>
      <c r="T753" s="13" t="s">
        <v>381</v>
      </c>
      <c r="U753" s="14" t="n">
        <v>2431.5</v>
      </c>
      <c r="W753" s="14" t="n">
        <v>0</v>
      </c>
      <c r="X753" s="13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49</v>
      </c>
      <c r="F754" s="11" t="n">
        <v>24</v>
      </c>
      <c r="G754" s="13" t="s">
        <v>42</v>
      </c>
      <c r="H754" s="11" t="n">
        <v>2110101</v>
      </c>
      <c r="I754" s="13" t="s">
        <v>43</v>
      </c>
      <c r="J754" s="11" t="n">
        <v>1266029</v>
      </c>
      <c r="L754" s="11" t="n">
        <v>32042651</v>
      </c>
      <c r="M754" s="13" t="s">
        <v>44</v>
      </c>
      <c r="N754" s="13" t="s">
        <v>36</v>
      </c>
      <c r="P754" s="11" t="n">
        <v>128</v>
      </c>
      <c r="Q754" s="13" t="s">
        <v>45</v>
      </c>
      <c r="R754" s="13" t="s">
        <v>46</v>
      </c>
      <c r="S754" s="11" t="n">
        <v>1130101</v>
      </c>
      <c r="T754" s="13" t="s">
        <v>47</v>
      </c>
      <c r="U754" s="14" t="n">
        <v>1317.18</v>
      </c>
      <c r="W754" s="14" t="n">
        <v>0</v>
      </c>
      <c r="X754" s="13" t="s">
        <v>859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92</v>
      </c>
      <c r="F755" s="11" t="n">
        <v>7</v>
      </c>
      <c r="G755" s="13" t="s">
        <v>229</v>
      </c>
      <c r="H755" s="11" t="n">
        <v>2110405</v>
      </c>
      <c r="I755" s="13" t="s">
        <v>34</v>
      </c>
      <c r="J755" s="11" t="n">
        <v>1360712</v>
      </c>
      <c r="L755" s="11" t="n">
        <v>212478</v>
      </c>
      <c r="M755" s="13" t="s">
        <v>44</v>
      </c>
      <c r="N755" s="13" t="s">
        <v>36</v>
      </c>
      <c r="P755" s="11" t="n">
        <v>167</v>
      </c>
      <c r="Q755" s="13" t="s">
        <v>101</v>
      </c>
      <c r="R755" s="13" t="s">
        <v>72</v>
      </c>
      <c r="S755" s="11" t="n">
        <v>4210301</v>
      </c>
      <c r="T755" s="13" t="s">
        <v>230</v>
      </c>
      <c r="U755" s="14" t="n">
        <v>497.9</v>
      </c>
      <c r="W755" s="14" t="n">
        <v>0</v>
      </c>
      <c r="X755" s="13" t="s">
        <v>860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80</v>
      </c>
      <c r="F756" s="11" t="n">
        <v>13</v>
      </c>
      <c r="G756" s="13" t="s">
        <v>81</v>
      </c>
      <c r="H756" s="11" t="n">
        <v>2110101</v>
      </c>
      <c r="I756" s="13" t="s">
        <v>43</v>
      </c>
      <c r="J756" s="11" t="n">
        <v>1359860</v>
      </c>
      <c r="L756" s="11" t="n">
        <v>4353</v>
      </c>
      <c r="M756" s="13" t="s">
        <v>44</v>
      </c>
      <c r="N756" s="13" t="s">
        <v>69</v>
      </c>
      <c r="P756" s="11" t="n">
        <v>167</v>
      </c>
      <c r="Q756" s="13" t="s">
        <v>101</v>
      </c>
      <c r="R756" s="13" t="s">
        <v>46</v>
      </c>
      <c r="S756" s="11" t="n">
        <v>1130101</v>
      </c>
      <c r="T756" s="13" t="s">
        <v>47</v>
      </c>
      <c r="U756" s="14" t="n">
        <v>90</v>
      </c>
      <c r="W756" s="14" t="n">
        <v>90</v>
      </c>
      <c r="X756" s="13" t="s">
        <v>82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80</v>
      </c>
      <c r="F757" s="11" t="n">
        <v>13</v>
      </c>
      <c r="G757" s="13" t="s">
        <v>81</v>
      </c>
      <c r="H757" s="11" t="n">
        <v>2110101</v>
      </c>
      <c r="I757" s="13" t="s">
        <v>43</v>
      </c>
      <c r="J757" s="11" t="n">
        <v>1359935</v>
      </c>
      <c r="L757" s="11" t="n">
        <v>4354</v>
      </c>
      <c r="M757" s="13" t="s">
        <v>44</v>
      </c>
      <c r="N757" s="13" t="s">
        <v>69</v>
      </c>
      <c r="P757" s="11" t="n">
        <v>167</v>
      </c>
      <c r="Q757" s="13" t="s">
        <v>101</v>
      </c>
      <c r="R757" s="13" t="s">
        <v>46</v>
      </c>
      <c r="S757" s="11" t="n">
        <v>1130101</v>
      </c>
      <c r="T757" s="13" t="s">
        <v>47</v>
      </c>
      <c r="U757" s="14" t="n">
        <v>240</v>
      </c>
      <c r="W757" s="14" t="n">
        <v>240</v>
      </c>
      <c r="X757" s="13" t="s">
        <v>83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96</v>
      </c>
      <c r="F758" s="11" t="n">
        <v>34</v>
      </c>
      <c r="G758" s="13" t="s">
        <v>33</v>
      </c>
      <c r="H758" s="11" t="n">
        <v>2110405</v>
      </c>
      <c r="I758" s="13" t="s">
        <v>34</v>
      </c>
      <c r="J758" s="11" t="n">
        <v>1360617</v>
      </c>
      <c r="L758" s="11" t="n">
        <v>212444</v>
      </c>
      <c r="M758" s="13" t="s">
        <v>44</v>
      </c>
      <c r="N758" s="13" t="s">
        <v>36</v>
      </c>
      <c r="P758" s="11" t="n">
        <v>167</v>
      </c>
      <c r="Q758" s="13" t="s">
        <v>101</v>
      </c>
      <c r="R758" s="13" t="s">
        <v>72</v>
      </c>
      <c r="S758" s="11" t="n">
        <v>4210301</v>
      </c>
      <c r="T758" s="13" t="s">
        <v>230</v>
      </c>
      <c r="U758" s="14" t="n">
        <v>573.64</v>
      </c>
      <c r="W758" s="14" t="n">
        <v>0</v>
      </c>
      <c r="X758" s="13" t="s">
        <v>861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93</v>
      </c>
      <c r="F759" s="11" t="n">
        <v>34</v>
      </c>
      <c r="G759" s="13" t="s">
        <v>33</v>
      </c>
      <c r="H759" s="11" t="n">
        <v>2110405</v>
      </c>
      <c r="I759" s="13" t="s">
        <v>34</v>
      </c>
      <c r="J759" s="11" t="n">
        <v>1360622</v>
      </c>
      <c r="L759" s="11" t="n">
        <v>212446</v>
      </c>
      <c r="M759" s="13" t="s">
        <v>44</v>
      </c>
      <c r="N759" s="13" t="s">
        <v>36</v>
      </c>
      <c r="P759" s="11" t="n">
        <v>167</v>
      </c>
      <c r="Q759" s="13" t="s">
        <v>101</v>
      </c>
      <c r="R759" s="13" t="s">
        <v>72</v>
      </c>
      <c r="S759" s="11" t="n">
        <v>4210301</v>
      </c>
      <c r="T759" s="13" t="s">
        <v>230</v>
      </c>
      <c r="U759" s="14" t="n">
        <v>1286.92</v>
      </c>
      <c r="W759" s="14" t="n">
        <v>0</v>
      </c>
      <c r="X759" s="13" t="s">
        <v>861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101</v>
      </c>
      <c r="F760" s="11" t="n">
        <v>34</v>
      </c>
      <c r="G760" s="13" t="s">
        <v>33</v>
      </c>
      <c r="H760" s="11" t="n">
        <v>2110405</v>
      </c>
      <c r="I760" s="13" t="s">
        <v>34</v>
      </c>
      <c r="J760" s="11" t="n">
        <v>1360627</v>
      </c>
      <c r="L760" s="11" t="n">
        <v>212448</v>
      </c>
      <c r="M760" s="13" t="s">
        <v>44</v>
      </c>
      <c r="N760" s="13" t="s">
        <v>36</v>
      </c>
      <c r="P760" s="11" t="n">
        <v>167</v>
      </c>
      <c r="Q760" s="13" t="s">
        <v>101</v>
      </c>
      <c r="R760" s="13" t="s">
        <v>72</v>
      </c>
      <c r="S760" s="11" t="n">
        <v>4210301</v>
      </c>
      <c r="T760" s="13" t="s">
        <v>230</v>
      </c>
      <c r="U760" s="14" t="n">
        <v>1029.46</v>
      </c>
      <c r="W760" s="14" t="n">
        <v>0</v>
      </c>
      <c r="X760" s="13" t="s">
        <v>861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99</v>
      </c>
      <c r="F761" s="11" t="n">
        <v>34</v>
      </c>
      <c r="G761" s="13" t="s">
        <v>33</v>
      </c>
      <c r="H761" s="11" t="n">
        <v>2110405</v>
      </c>
      <c r="I761" s="13" t="s">
        <v>34</v>
      </c>
      <c r="J761" s="11" t="n">
        <v>1360628</v>
      </c>
      <c r="L761" s="11" t="n">
        <v>212450</v>
      </c>
      <c r="M761" s="13" t="s">
        <v>44</v>
      </c>
      <c r="N761" s="13" t="s">
        <v>36</v>
      </c>
      <c r="P761" s="11" t="n">
        <v>167</v>
      </c>
      <c r="Q761" s="13" t="s">
        <v>101</v>
      </c>
      <c r="R761" s="13" t="s">
        <v>72</v>
      </c>
      <c r="S761" s="11" t="n">
        <v>4210301</v>
      </c>
      <c r="T761" s="13" t="s">
        <v>230</v>
      </c>
      <c r="U761" s="14" t="n">
        <v>1165.15</v>
      </c>
      <c r="W761" s="14" t="n">
        <v>0</v>
      </c>
      <c r="X761" s="13" t="s">
        <v>861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45</v>
      </c>
      <c r="F762" s="11" t="n">
        <v>34</v>
      </c>
      <c r="G762" s="13" t="s">
        <v>33</v>
      </c>
      <c r="H762" s="11" t="n">
        <v>2110405</v>
      </c>
      <c r="I762" s="13" t="s">
        <v>34</v>
      </c>
      <c r="J762" s="11" t="n">
        <v>1360631</v>
      </c>
      <c r="L762" s="11" t="n">
        <v>212451</v>
      </c>
      <c r="M762" s="13" t="s">
        <v>44</v>
      </c>
      <c r="N762" s="13" t="s">
        <v>36</v>
      </c>
      <c r="P762" s="11" t="n">
        <v>167</v>
      </c>
      <c r="Q762" s="13" t="s">
        <v>101</v>
      </c>
      <c r="R762" s="13" t="s">
        <v>72</v>
      </c>
      <c r="S762" s="11" t="n">
        <v>4210301</v>
      </c>
      <c r="T762" s="13" t="s">
        <v>230</v>
      </c>
      <c r="U762" s="14" t="n">
        <v>1219.98</v>
      </c>
      <c r="W762" s="14" t="n">
        <v>0</v>
      </c>
      <c r="X762" s="13" t="s">
        <v>861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90</v>
      </c>
      <c r="F763" s="11" t="n">
        <v>34</v>
      </c>
      <c r="G763" s="13" t="s">
        <v>33</v>
      </c>
      <c r="H763" s="11" t="n">
        <v>2110405</v>
      </c>
      <c r="I763" s="13" t="s">
        <v>34</v>
      </c>
      <c r="J763" s="11" t="n">
        <v>1360635</v>
      </c>
      <c r="L763" s="11" t="n">
        <v>212453</v>
      </c>
      <c r="M763" s="13" t="s">
        <v>44</v>
      </c>
      <c r="N763" s="13" t="s">
        <v>36</v>
      </c>
      <c r="P763" s="11" t="n">
        <v>167</v>
      </c>
      <c r="Q763" s="13" t="s">
        <v>101</v>
      </c>
      <c r="R763" s="13" t="s">
        <v>72</v>
      </c>
      <c r="S763" s="11" t="n">
        <v>4210301</v>
      </c>
      <c r="T763" s="13" t="s">
        <v>230</v>
      </c>
      <c r="U763" s="14" t="n">
        <v>871.35</v>
      </c>
      <c r="W763" s="14" t="n">
        <v>0</v>
      </c>
      <c r="X763" s="13" t="s">
        <v>861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92</v>
      </c>
      <c r="F764" s="11" t="n">
        <v>34</v>
      </c>
      <c r="G764" s="13" t="s">
        <v>33</v>
      </c>
      <c r="H764" s="11" t="n">
        <v>2110405</v>
      </c>
      <c r="I764" s="13" t="s">
        <v>34</v>
      </c>
      <c r="J764" s="11" t="n">
        <v>1360646</v>
      </c>
      <c r="L764" s="11" t="n">
        <v>212456</v>
      </c>
      <c r="M764" s="13" t="s">
        <v>44</v>
      </c>
      <c r="N764" s="13" t="s">
        <v>36</v>
      </c>
      <c r="P764" s="11" t="n">
        <v>167</v>
      </c>
      <c r="Q764" s="13" t="s">
        <v>101</v>
      </c>
      <c r="R764" s="13" t="s">
        <v>72</v>
      </c>
      <c r="S764" s="11" t="n">
        <v>4210301</v>
      </c>
      <c r="T764" s="13" t="s">
        <v>230</v>
      </c>
      <c r="U764" s="14" t="n">
        <v>1210.12</v>
      </c>
      <c r="W764" s="14" t="n">
        <v>0</v>
      </c>
      <c r="X764" s="13" t="s">
        <v>861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102</v>
      </c>
      <c r="F765" s="11" t="n">
        <v>34</v>
      </c>
      <c r="G765" s="13" t="s">
        <v>33</v>
      </c>
      <c r="H765" s="11" t="n">
        <v>2110405</v>
      </c>
      <c r="I765" s="13" t="s">
        <v>34</v>
      </c>
      <c r="J765" s="11" t="n">
        <v>1360649</v>
      </c>
      <c r="L765" s="11" t="n">
        <v>212457</v>
      </c>
      <c r="M765" s="13" t="s">
        <v>44</v>
      </c>
      <c r="N765" s="13" t="s">
        <v>36</v>
      </c>
      <c r="P765" s="11" t="n">
        <v>167</v>
      </c>
      <c r="Q765" s="13" t="s">
        <v>101</v>
      </c>
      <c r="R765" s="13" t="s">
        <v>72</v>
      </c>
      <c r="S765" s="11" t="n">
        <v>4210301</v>
      </c>
      <c r="T765" s="13" t="s">
        <v>230</v>
      </c>
      <c r="U765" s="14" t="n">
        <v>1247.45</v>
      </c>
      <c r="W765" s="14" t="n">
        <v>0</v>
      </c>
      <c r="X765" s="13" t="s">
        <v>861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100</v>
      </c>
      <c r="F766" s="11" t="n">
        <v>34</v>
      </c>
      <c r="G766" s="13" t="s">
        <v>33</v>
      </c>
      <c r="H766" s="11" t="n">
        <v>2110405</v>
      </c>
      <c r="I766" s="13" t="s">
        <v>34</v>
      </c>
      <c r="J766" s="11" t="n">
        <v>1360652</v>
      </c>
      <c r="L766" s="11" t="n">
        <v>212459</v>
      </c>
      <c r="M766" s="13" t="s">
        <v>44</v>
      </c>
      <c r="N766" s="13" t="s">
        <v>36</v>
      </c>
      <c r="P766" s="11" t="n">
        <v>167</v>
      </c>
      <c r="Q766" s="13" t="s">
        <v>101</v>
      </c>
      <c r="R766" s="13" t="s">
        <v>72</v>
      </c>
      <c r="S766" s="11" t="n">
        <v>4210301</v>
      </c>
      <c r="T766" s="13" t="s">
        <v>230</v>
      </c>
      <c r="U766" s="14" t="n">
        <v>881.33</v>
      </c>
      <c r="W766" s="14" t="n">
        <v>0</v>
      </c>
      <c r="X766" s="13" t="s">
        <v>861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91</v>
      </c>
      <c r="F767" s="11" t="n">
        <v>34</v>
      </c>
      <c r="G767" s="13" t="s">
        <v>33</v>
      </c>
      <c r="H767" s="11" t="n">
        <v>2110405</v>
      </c>
      <c r="I767" s="13" t="s">
        <v>34</v>
      </c>
      <c r="J767" s="11" t="n">
        <v>1360653</v>
      </c>
      <c r="L767" s="11" t="n">
        <v>212460</v>
      </c>
      <c r="M767" s="13" t="s">
        <v>44</v>
      </c>
      <c r="N767" s="13" t="s">
        <v>36</v>
      </c>
      <c r="P767" s="11" t="n">
        <v>167</v>
      </c>
      <c r="Q767" s="13" t="s">
        <v>101</v>
      </c>
      <c r="R767" s="13" t="s">
        <v>72</v>
      </c>
      <c r="S767" s="11" t="n">
        <v>4210301</v>
      </c>
      <c r="T767" s="13" t="s">
        <v>230</v>
      </c>
      <c r="U767" s="14" t="n">
        <v>566.52</v>
      </c>
      <c r="W767" s="14" t="n">
        <v>0</v>
      </c>
      <c r="X767" s="13" t="s">
        <v>861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95</v>
      </c>
      <c r="F768" s="11" t="n">
        <v>34</v>
      </c>
      <c r="G768" s="13" t="s">
        <v>33</v>
      </c>
      <c r="H768" s="11" t="n">
        <v>2110405</v>
      </c>
      <c r="I768" s="13" t="s">
        <v>34</v>
      </c>
      <c r="J768" s="11" t="n">
        <v>1360656</v>
      </c>
      <c r="L768" s="11" t="n">
        <v>212461</v>
      </c>
      <c r="M768" s="13" t="s">
        <v>44</v>
      </c>
      <c r="N768" s="13" t="s">
        <v>36</v>
      </c>
      <c r="P768" s="11" t="n">
        <v>167</v>
      </c>
      <c r="Q768" s="13" t="s">
        <v>101</v>
      </c>
      <c r="R768" s="13" t="s">
        <v>72</v>
      </c>
      <c r="S768" s="11" t="n">
        <v>4210301</v>
      </c>
      <c r="T768" s="13" t="s">
        <v>230</v>
      </c>
      <c r="U768" s="14" t="n">
        <v>1100.53</v>
      </c>
      <c r="W768" s="14" t="n">
        <v>0</v>
      </c>
      <c r="X768" s="13" t="s">
        <v>861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97</v>
      </c>
      <c r="F769" s="11" t="n">
        <v>34</v>
      </c>
      <c r="G769" s="13" t="s">
        <v>33</v>
      </c>
      <c r="H769" s="11" t="n">
        <v>2110405</v>
      </c>
      <c r="I769" s="13" t="s">
        <v>34</v>
      </c>
      <c r="J769" s="11" t="n">
        <v>1360659</v>
      </c>
      <c r="L769" s="11" t="n">
        <v>212463</v>
      </c>
      <c r="M769" s="13" t="s">
        <v>44</v>
      </c>
      <c r="N769" s="13" t="s">
        <v>36</v>
      </c>
      <c r="P769" s="11" t="n">
        <v>167</v>
      </c>
      <c r="Q769" s="13" t="s">
        <v>101</v>
      </c>
      <c r="R769" s="13" t="s">
        <v>72</v>
      </c>
      <c r="S769" s="11" t="n">
        <v>4210301</v>
      </c>
      <c r="T769" s="13" t="s">
        <v>230</v>
      </c>
      <c r="U769" s="14" t="n">
        <v>1481</v>
      </c>
      <c r="W769" s="14" t="n">
        <v>0</v>
      </c>
      <c r="X769" s="13" t="s">
        <v>861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98</v>
      </c>
      <c r="F770" s="11" t="n">
        <v>34</v>
      </c>
      <c r="G770" s="13" t="s">
        <v>33</v>
      </c>
      <c r="H770" s="11" t="n">
        <v>2110405</v>
      </c>
      <c r="I770" s="13" t="s">
        <v>34</v>
      </c>
      <c r="J770" s="11" t="n">
        <v>1360664</v>
      </c>
      <c r="L770" s="11" t="n">
        <v>212465</v>
      </c>
      <c r="M770" s="13" t="s">
        <v>44</v>
      </c>
      <c r="N770" s="13" t="s">
        <v>36</v>
      </c>
      <c r="P770" s="11" t="n">
        <v>167</v>
      </c>
      <c r="Q770" s="13" t="s">
        <v>101</v>
      </c>
      <c r="R770" s="13" t="s">
        <v>72</v>
      </c>
      <c r="S770" s="11" t="n">
        <v>4210301</v>
      </c>
      <c r="T770" s="13" t="s">
        <v>230</v>
      </c>
      <c r="U770" s="14" t="n">
        <v>1439.86</v>
      </c>
      <c r="W770" s="14" t="n">
        <v>0</v>
      </c>
      <c r="X770" s="13" t="s">
        <v>861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94</v>
      </c>
      <c r="F771" s="11" t="n">
        <v>34</v>
      </c>
      <c r="G771" s="13" t="s">
        <v>33</v>
      </c>
      <c r="H771" s="11" t="n">
        <v>2110405</v>
      </c>
      <c r="I771" s="13" t="s">
        <v>34</v>
      </c>
      <c r="J771" s="11" t="n">
        <v>1360667</v>
      </c>
      <c r="L771" s="11" t="n">
        <v>212466</v>
      </c>
      <c r="M771" s="13" t="s">
        <v>44</v>
      </c>
      <c r="N771" s="13" t="s">
        <v>36</v>
      </c>
      <c r="P771" s="11" t="n">
        <v>167</v>
      </c>
      <c r="Q771" s="13" t="s">
        <v>101</v>
      </c>
      <c r="R771" s="13" t="s">
        <v>72</v>
      </c>
      <c r="S771" s="11" t="n">
        <v>4210301</v>
      </c>
      <c r="T771" s="13" t="s">
        <v>230</v>
      </c>
      <c r="U771" s="14" t="n">
        <v>1268.02</v>
      </c>
      <c r="W771" s="14" t="n">
        <v>0</v>
      </c>
      <c r="X771" s="13" t="s">
        <v>861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96</v>
      </c>
      <c r="F772" s="11" t="n">
        <v>7</v>
      </c>
      <c r="G772" s="13" t="s">
        <v>229</v>
      </c>
      <c r="H772" s="11" t="n">
        <v>2110101</v>
      </c>
      <c r="I772" s="13" t="s">
        <v>43</v>
      </c>
      <c r="J772" s="11" t="n">
        <v>1360682</v>
      </c>
      <c r="L772" s="11" t="n">
        <v>212468</v>
      </c>
      <c r="M772" s="13" t="s">
        <v>44</v>
      </c>
      <c r="N772" s="13" t="s">
        <v>36</v>
      </c>
      <c r="P772" s="11" t="n">
        <v>167</v>
      </c>
      <c r="Q772" s="13" t="s">
        <v>101</v>
      </c>
      <c r="R772" s="13" t="s">
        <v>72</v>
      </c>
      <c r="S772" s="11" t="n">
        <v>4210301</v>
      </c>
      <c r="T772" s="13" t="s">
        <v>230</v>
      </c>
      <c r="U772" s="14" t="n">
        <v>498.72</v>
      </c>
      <c r="W772" s="14" t="n">
        <v>0</v>
      </c>
      <c r="X772" s="13" t="s">
        <v>860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93</v>
      </c>
      <c r="F773" s="11" t="n">
        <v>7</v>
      </c>
      <c r="G773" s="13" t="s">
        <v>229</v>
      </c>
      <c r="H773" s="11" t="n">
        <v>2110405</v>
      </c>
      <c r="I773" s="13" t="s">
        <v>34</v>
      </c>
      <c r="J773" s="11" t="n">
        <v>1360686</v>
      </c>
      <c r="L773" s="11" t="n">
        <v>212469</v>
      </c>
      <c r="M773" s="13" t="s">
        <v>44</v>
      </c>
      <c r="N773" s="13" t="s">
        <v>36</v>
      </c>
      <c r="P773" s="11" t="n">
        <v>167</v>
      </c>
      <c r="Q773" s="13" t="s">
        <v>101</v>
      </c>
      <c r="R773" s="13" t="s">
        <v>72</v>
      </c>
      <c r="S773" s="11" t="n">
        <v>4210301</v>
      </c>
      <c r="T773" s="13" t="s">
        <v>230</v>
      </c>
      <c r="U773" s="14" t="n">
        <v>497.4</v>
      </c>
      <c r="W773" s="14" t="n">
        <v>0</v>
      </c>
      <c r="X773" s="13" t="s">
        <v>860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101</v>
      </c>
      <c r="F774" s="11" t="n">
        <v>7</v>
      </c>
      <c r="G774" s="13" t="s">
        <v>229</v>
      </c>
      <c r="H774" s="11" t="n">
        <v>2110405</v>
      </c>
      <c r="I774" s="13" t="s">
        <v>34</v>
      </c>
      <c r="J774" s="11" t="n">
        <v>1360693</v>
      </c>
      <c r="L774" s="11" t="n">
        <v>212470</v>
      </c>
      <c r="M774" s="13" t="s">
        <v>44</v>
      </c>
      <c r="N774" s="13" t="s">
        <v>36</v>
      </c>
      <c r="P774" s="11" t="n">
        <v>167</v>
      </c>
      <c r="Q774" s="13" t="s">
        <v>101</v>
      </c>
      <c r="R774" s="13" t="s">
        <v>72</v>
      </c>
      <c r="S774" s="11" t="n">
        <v>4210301</v>
      </c>
      <c r="T774" s="13" t="s">
        <v>230</v>
      </c>
      <c r="U774" s="14" t="n">
        <v>505.75</v>
      </c>
      <c r="W774" s="14" t="n">
        <v>0</v>
      </c>
      <c r="X774" s="13" t="s">
        <v>860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99</v>
      </c>
      <c r="F775" s="11" t="n">
        <v>7</v>
      </c>
      <c r="G775" s="13" t="s">
        <v>229</v>
      </c>
      <c r="H775" s="11" t="n">
        <v>2110405</v>
      </c>
      <c r="I775" s="13" t="s">
        <v>34</v>
      </c>
      <c r="J775" s="11" t="n">
        <v>1360696</v>
      </c>
      <c r="L775" s="11" t="n">
        <v>212471</v>
      </c>
      <c r="M775" s="13" t="s">
        <v>44</v>
      </c>
      <c r="N775" s="13" t="s">
        <v>36</v>
      </c>
      <c r="P775" s="11" t="n">
        <v>167</v>
      </c>
      <c r="Q775" s="13" t="s">
        <v>101</v>
      </c>
      <c r="R775" s="13" t="s">
        <v>72</v>
      </c>
      <c r="S775" s="11" t="n">
        <v>4210301</v>
      </c>
      <c r="T775" s="13" t="s">
        <v>230</v>
      </c>
      <c r="U775" s="14" t="n">
        <v>544.49</v>
      </c>
      <c r="W775" s="14" t="n">
        <v>0</v>
      </c>
      <c r="X775" s="13" t="s">
        <v>860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45</v>
      </c>
      <c r="F776" s="11" t="n">
        <v>7</v>
      </c>
      <c r="G776" s="13" t="s">
        <v>229</v>
      </c>
      <c r="H776" s="11" t="n">
        <v>2110405</v>
      </c>
      <c r="I776" s="13" t="s">
        <v>34</v>
      </c>
      <c r="J776" s="11" t="n">
        <v>1360701</v>
      </c>
      <c r="L776" s="11" t="n">
        <v>212474</v>
      </c>
      <c r="M776" s="13" t="s">
        <v>44</v>
      </c>
      <c r="N776" s="13" t="s">
        <v>36</v>
      </c>
      <c r="P776" s="11" t="n">
        <v>167</v>
      </c>
      <c r="Q776" s="13" t="s">
        <v>101</v>
      </c>
      <c r="R776" s="13" t="s">
        <v>72</v>
      </c>
      <c r="S776" s="11" t="n">
        <v>4210301</v>
      </c>
      <c r="T776" s="13" t="s">
        <v>230</v>
      </c>
      <c r="U776" s="14" t="n">
        <v>471.65</v>
      </c>
      <c r="W776" s="14" t="n">
        <v>0</v>
      </c>
      <c r="X776" s="13" t="s">
        <v>860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90</v>
      </c>
      <c r="F777" s="11" t="n">
        <v>7</v>
      </c>
      <c r="G777" s="13" t="s">
        <v>229</v>
      </c>
      <c r="H777" s="11" t="n">
        <v>2110405</v>
      </c>
      <c r="I777" s="13" t="s">
        <v>34</v>
      </c>
      <c r="J777" s="11" t="n">
        <v>1360706</v>
      </c>
      <c r="L777" s="11" t="n">
        <v>212476</v>
      </c>
      <c r="M777" s="13" t="s">
        <v>44</v>
      </c>
      <c r="N777" s="13" t="s">
        <v>36</v>
      </c>
      <c r="P777" s="11" t="n">
        <v>167</v>
      </c>
      <c r="Q777" s="13" t="s">
        <v>101</v>
      </c>
      <c r="R777" s="13" t="s">
        <v>72</v>
      </c>
      <c r="S777" s="11" t="n">
        <v>4210301</v>
      </c>
      <c r="T777" s="13" t="s">
        <v>230</v>
      </c>
      <c r="U777" s="14" t="n">
        <v>621.68</v>
      </c>
      <c r="W777" s="14" t="n">
        <v>0</v>
      </c>
      <c r="X777" s="13" t="s">
        <v>860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102</v>
      </c>
      <c r="F778" s="11" t="n">
        <v>7</v>
      </c>
      <c r="G778" s="13" t="s">
        <v>229</v>
      </c>
      <c r="H778" s="11" t="n">
        <v>2110405</v>
      </c>
      <c r="I778" s="13" t="s">
        <v>34</v>
      </c>
      <c r="J778" s="11" t="n">
        <v>1360714</v>
      </c>
      <c r="L778" s="11" t="n">
        <v>212479</v>
      </c>
      <c r="M778" s="13" t="s">
        <v>44</v>
      </c>
      <c r="N778" s="13" t="s">
        <v>36</v>
      </c>
      <c r="P778" s="11" t="n">
        <v>167</v>
      </c>
      <c r="Q778" s="13" t="s">
        <v>101</v>
      </c>
      <c r="R778" s="13" t="s">
        <v>72</v>
      </c>
      <c r="S778" s="11" t="n">
        <v>4210301</v>
      </c>
      <c r="T778" s="13" t="s">
        <v>230</v>
      </c>
      <c r="U778" s="14" t="n">
        <v>500.67</v>
      </c>
      <c r="W778" s="14" t="n">
        <v>0</v>
      </c>
      <c r="X778" s="13" t="s">
        <v>860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100</v>
      </c>
      <c r="F779" s="11" t="n">
        <v>7</v>
      </c>
      <c r="G779" s="13" t="s">
        <v>229</v>
      </c>
      <c r="H779" s="11" t="n">
        <v>2110405</v>
      </c>
      <c r="I779" s="13" t="s">
        <v>34</v>
      </c>
      <c r="J779" s="11" t="n">
        <v>1360716</v>
      </c>
      <c r="L779" s="11" t="n">
        <v>212480</v>
      </c>
      <c r="M779" s="13" t="s">
        <v>44</v>
      </c>
      <c r="N779" s="13" t="s">
        <v>36</v>
      </c>
      <c r="P779" s="11" t="n">
        <v>167</v>
      </c>
      <c r="Q779" s="13" t="s">
        <v>101</v>
      </c>
      <c r="R779" s="13" t="s">
        <v>72</v>
      </c>
      <c r="S779" s="11" t="n">
        <v>4210301</v>
      </c>
      <c r="T779" s="13" t="s">
        <v>230</v>
      </c>
      <c r="U779" s="14" t="n">
        <v>563.5</v>
      </c>
      <c r="W779" s="14" t="n">
        <v>0</v>
      </c>
      <c r="X779" s="13" t="s">
        <v>860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91</v>
      </c>
      <c r="F780" s="11" t="n">
        <v>7</v>
      </c>
      <c r="G780" s="13" t="s">
        <v>229</v>
      </c>
      <c r="H780" s="11" t="n">
        <v>2110405</v>
      </c>
      <c r="I780" s="13" t="s">
        <v>34</v>
      </c>
      <c r="J780" s="11" t="n">
        <v>1360726</v>
      </c>
      <c r="L780" s="11" t="n">
        <v>212482</v>
      </c>
      <c r="M780" s="13" t="s">
        <v>44</v>
      </c>
      <c r="N780" s="13" t="s">
        <v>36</v>
      </c>
      <c r="P780" s="11" t="n">
        <v>167</v>
      </c>
      <c r="Q780" s="13" t="s">
        <v>101</v>
      </c>
      <c r="R780" s="13" t="s">
        <v>72</v>
      </c>
      <c r="S780" s="11" t="n">
        <v>4210301</v>
      </c>
      <c r="T780" s="13" t="s">
        <v>230</v>
      </c>
      <c r="U780" s="14" t="n">
        <v>624.48</v>
      </c>
      <c r="W780" s="14" t="n">
        <v>0</v>
      </c>
      <c r="X780" s="13" t="s">
        <v>860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95</v>
      </c>
      <c r="F781" s="11" t="n">
        <v>7</v>
      </c>
      <c r="G781" s="13" t="s">
        <v>229</v>
      </c>
      <c r="H781" s="11" t="n">
        <v>2110405</v>
      </c>
      <c r="I781" s="13" t="s">
        <v>34</v>
      </c>
      <c r="J781" s="11" t="n">
        <v>1360731</v>
      </c>
      <c r="L781" s="11" t="n">
        <v>212484</v>
      </c>
      <c r="M781" s="13" t="s">
        <v>44</v>
      </c>
      <c r="N781" s="13" t="s">
        <v>36</v>
      </c>
      <c r="P781" s="11" t="n">
        <v>167</v>
      </c>
      <c r="Q781" s="13" t="s">
        <v>101</v>
      </c>
      <c r="R781" s="13" t="s">
        <v>72</v>
      </c>
      <c r="S781" s="11" t="n">
        <v>4210301</v>
      </c>
      <c r="T781" s="13" t="s">
        <v>230</v>
      </c>
      <c r="U781" s="14" t="n">
        <v>549.66</v>
      </c>
      <c r="W781" s="14" t="n">
        <v>0</v>
      </c>
      <c r="X781" s="13" t="s">
        <v>860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97</v>
      </c>
      <c r="F782" s="11" t="n">
        <v>7</v>
      </c>
      <c r="G782" s="13" t="s">
        <v>229</v>
      </c>
      <c r="H782" s="11" t="n">
        <v>2110405</v>
      </c>
      <c r="I782" s="13" t="s">
        <v>34</v>
      </c>
      <c r="J782" s="11" t="n">
        <v>1360734</v>
      </c>
      <c r="L782" s="11" t="n">
        <v>212485</v>
      </c>
      <c r="M782" s="13" t="s">
        <v>44</v>
      </c>
      <c r="N782" s="13" t="s">
        <v>36</v>
      </c>
      <c r="P782" s="11" t="n">
        <v>167</v>
      </c>
      <c r="Q782" s="13" t="s">
        <v>101</v>
      </c>
      <c r="R782" s="13" t="s">
        <v>72</v>
      </c>
      <c r="S782" s="11" t="n">
        <v>4210301</v>
      </c>
      <c r="T782" s="13" t="s">
        <v>230</v>
      </c>
      <c r="U782" s="14" t="n">
        <v>397.69</v>
      </c>
      <c r="W782" s="14" t="n">
        <v>0</v>
      </c>
      <c r="X782" s="13" t="s">
        <v>860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98</v>
      </c>
      <c r="F783" s="11" t="n">
        <v>7</v>
      </c>
      <c r="G783" s="13" t="s">
        <v>229</v>
      </c>
      <c r="H783" s="11" t="n">
        <v>2110405</v>
      </c>
      <c r="I783" s="13" t="s">
        <v>34</v>
      </c>
      <c r="J783" s="11" t="n">
        <v>1360737</v>
      </c>
      <c r="L783" s="11" t="n">
        <v>212487</v>
      </c>
      <c r="M783" s="13" t="s">
        <v>44</v>
      </c>
      <c r="N783" s="13" t="s">
        <v>36</v>
      </c>
      <c r="P783" s="11" t="n">
        <v>167</v>
      </c>
      <c r="Q783" s="13" t="s">
        <v>101</v>
      </c>
      <c r="R783" s="13" t="s">
        <v>72</v>
      </c>
      <c r="S783" s="11" t="n">
        <v>4210301</v>
      </c>
      <c r="T783" s="13" t="s">
        <v>230</v>
      </c>
      <c r="U783" s="14" t="n">
        <v>414.1</v>
      </c>
      <c r="W783" s="14" t="n">
        <v>0</v>
      </c>
      <c r="X783" s="13" t="s">
        <v>860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94</v>
      </c>
      <c r="F784" s="11" t="n">
        <v>7</v>
      </c>
      <c r="G784" s="13" t="s">
        <v>229</v>
      </c>
      <c r="H784" s="11" t="n">
        <v>2110405</v>
      </c>
      <c r="I784" s="13" t="s">
        <v>34</v>
      </c>
      <c r="J784" s="11" t="n">
        <v>1360740</v>
      </c>
      <c r="L784" s="11" t="n">
        <v>212488</v>
      </c>
      <c r="M784" s="13" t="s">
        <v>44</v>
      </c>
      <c r="N784" s="13" t="s">
        <v>36</v>
      </c>
      <c r="P784" s="11" t="n">
        <v>167</v>
      </c>
      <c r="Q784" s="13" t="s">
        <v>101</v>
      </c>
      <c r="R784" s="13" t="s">
        <v>72</v>
      </c>
      <c r="S784" s="11" t="n">
        <v>4210301</v>
      </c>
      <c r="T784" s="13" t="s">
        <v>230</v>
      </c>
      <c r="U784" s="14" t="n">
        <v>52.99</v>
      </c>
      <c r="W784" s="14" t="n">
        <v>0</v>
      </c>
      <c r="X784" s="13" t="s">
        <v>860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202</v>
      </c>
      <c r="F785" s="11" t="n">
        <v>7</v>
      </c>
      <c r="G785" s="13" t="s">
        <v>229</v>
      </c>
      <c r="H785" s="11" t="n">
        <v>2110405</v>
      </c>
      <c r="I785" s="13" t="s">
        <v>34</v>
      </c>
      <c r="J785" s="11" t="n">
        <v>1360743</v>
      </c>
      <c r="L785" s="11" t="n">
        <v>212489</v>
      </c>
      <c r="M785" s="13" t="s">
        <v>44</v>
      </c>
      <c r="N785" s="13" t="s">
        <v>36</v>
      </c>
      <c r="P785" s="11" t="n">
        <v>167</v>
      </c>
      <c r="Q785" s="13" t="s">
        <v>101</v>
      </c>
      <c r="R785" s="13" t="s">
        <v>72</v>
      </c>
      <c r="S785" s="11" t="n">
        <v>4210301</v>
      </c>
      <c r="T785" s="13" t="s">
        <v>230</v>
      </c>
      <c r="U785" s="14" t="n">
        <v>785.09</v>
      </c>
      <c r="W785" s="14" t="n">
        <v>0</v>
      </c>
      <c r="X785" s="13" t="s">
        <v>860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862</v>
      </c>
      <c r="F786" s="11" t="n">
        <v>7</v>
      </c>
      <c r="G786" s="13" t="s">
        <v>229</v>
      </c>
      <c r="H786" s="11" t="n">
        <v>2110405</v>
      </c>
      <c r="I786" s="13" t="s">
        <v>34</v>
      </c>
      <c r="J786" s="11" t="n">
        <v>1360748</v>
      </c>
      <c r="L786" s="11" t="n">
        <v>212491</v>
      </c>
      <c r="M786" s="13" t="s">
        <v>44</v>
      </c>
      <c r="N786" s="13" t="s">
        <v>36</v>
      </c>
      <c r="P786" s="11" t="n">
        <v>167</v>
      </c>
      <c r="Q786" s="13" t="s">
        <v>101</v>
      </c>
      <c r="R786" s="13" t="s">
        <v>72</v>
      </c>
      <c r="S786" s="11" t="n">
        <v>4210301</v>
      </c>
      <c r="T786" s="13" t="s">
        <v>230</v>
      </c>
      <c r="U786" s="14" t="n">
        <v>398.07</v>
      </c>
      <c r="W786" s="14" t="n">
        <v>0</v>
      </c>
      <c r="X786" s="13" t="s">
        <v>860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90</v>
      </c>
      <c r="F787" s="11" t="n">
        <v>11</v>
      </c>
      <c r="G787" s="13" t="s">
        <v>234</v>
      </c>
      <c r="H787" s="11" t="n">
        <v>2110405</v>
      </c>
      <c r="I787" s="13" t="s">
        <v>34</v>
      </c>
      <c r="J787" s="11" t="n">
        <v>1360762</v>
      </c>
      <c r="L787" s="11" t="n">
        <v>212493</v>
      </c>
      <c r="M787" s="13" t="s">
        <v>44</v>
      </c>
      <c r="N787" s="13" t="s">
        <v>36</v>
      </c>
      <c r="P787" s="11" t="n">
        <v>167</v>
      </c>
      <c r="Q787" s="13" t="s">
        <v>101</v>
      </c>
      <c r="R787" s="13" t="s">
        <v>72</v>
      </c>
      <c r="S787" s="11" t="n">
        <v>4210301</v>
      </c>
      <c r="T787" s="13" t="s">
        <v>230</v>
      </c>
      <c r="U787" s="14" t="n">
        <v>500</v>
      </c>
      <c r="W787" s="14" t="n">
        <v>500</v>
      </c>
      <c r="X787" s="13" t="s">
        <v>863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102</v>
      </c>
      <c r="F788" s="11" t="n">
        <v>11</v>
      </c>
      <c r="G788" s="13" t="s">
        <v>234</v>
      </c>
      <c r="H788" s="11" t="n">
        <v>2110405</v>
      </c>
      <c r="I788" s="13" t="s">
        <v>34</v>
      </c>
      <c r="J788" s="11" t="n">
        <v>1360767</v>
      </c>
      <c r="L788" s="11" t="n">
        <v>212495</v>
      </c>
      <c r="M788" s="13" t="s">
        <v>44</v>
      </c>
      <c r="N788" s="13" t="s">
        <v>36</v>
      </c>
      <c r="P788" s="11" t="n">
        <v>167</v>
      </c>
      <c r="Q788" s="13" t="s">
        <v>101</v>
      </c>
      <c r="R788" s="13" t="s">
        <v>72</v>
      </c>
      <c r="S788" s="11" t="n">
        <v>4210301</v>
      </c>
      <c r="T788" s="13" t="s">
        <v>230</v>
      </c>
      <c r="U788" s="14" t="n">
        <v>200</v>
      </c>
      <c r="W788" s="14" t="n">
        <v>200</v>
      </c>
      <c r="X788" s="13" t="s">
        <v>863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242</v>
      </c>
      <c r="F789" s="11" t="n">
        <v>11</v>
      </c>
      <c r="G789" s="13" t="s">
        <v>234</v>
      </c>
      <c r="H789" s="11" t="n">
        <v>2110405</v>
      </c>
      <c r="I789" s="13" t="s">
        <v>34</v>
      </c>
      <c r="J789" s="11" t="n">
        <v>1360770</v>
      </c>
      <c r="L789" s="11" t="n">
        <v>212497</v>
      </c>
      <c r="M789" s="13" t="s">
        <v>44</v>
      </c>
      <c r="N789" s="13" t="s">
        <v>36</v>
      </c>
      <c r="P789" s="11" t="n">
        <v>167</v>
      </c>
      <c r="Q789" s="13" t="s">
        <v>101</v>
      </c>
      <c r="R789" s="13" t="s">
        <v>72</v>
      </c>
      <c r="S789" s="11" t="n">
        <v>4210301</v>
      </c>
      <c r="T789" s="13" t="s">
        <v>230</v>
      </c>
      <c r="U789" s="14" t="n">
        <v>300</v>
      </c>
      <c r="W789" s="14" t="n">
        <v>300</v>
      </c>
      <c r="X789" s="13" t="s">
        <v>863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227</v>
      </c>
      <c r="F790" s="11" t="n">
        <v>13</v>
      </c>
      <c r="G790" s="13" t="s">
        <v>81</v>
      </c>
      <c r="H790" s="11" t="n">
        <v>2110101</v>
      </c>
      <c r="I790" s="13" t="s">
        <v>43</v>
      </c>
      <c r="J790" s="11" t="n">
        <v>1364295</v>
      </c>
      <c r="L790" s="11" t="n">
        <v>346</v>
      </c>
      <c r="M790" s="13" t="s">
        <v>44</v>
      </c>
      <c r="N790" s="13" t="s">
        <v>69</v>
      </c>
      <c r="P790" s="11" t="n">
        <v>167</v>
      </c>
      <c r="Q790" s="13" t="s">
        <v>101</v>
      </c>
      <c r="R790" s="13" t="s">
        <v>46</v>
      </c>
      <c r="S790" s="11" t="n">
        <v>1130101</v>
      </c>
      <c r="T790" s="13" t="s">
        <v>47</v>
      </c>
      <c r="U790" s="14" t="n">
        <v>320</v>
      </c>
      <c r="W790" s="14" t="n">
        <v>320</v>
      </c>
      <c r="X790" s="13" t="s">
        <v>864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202</v>
      </c>
      <c r="F791" s="11" t="n">
        <v>34</v>
      </c>
      <c r="G791" s="13" t="s">
        <v>33</v>
      </c>
      <c r="H791" s="11" t="n">
        <v>2110405</v>
      </c>
      <c r="I791" s="13" t="s">
        <v>34</v>
      </c>
      <c r="J791" s="11" t="n">
        <v>473910</v>
      </c>
      <c r="L791" s="11" t="n">
        <v>72893</v>
      </c>
      <c r="M791" s="13" t="s">
        <v>525</v>
      </c>
      <c r="N791" s="13" t="s">
        <v>36</v>
      </c>
      <c r="P791" s="11" t="n">
        <v>102</v>
      </c>
      <c r="Q791" s="13" t="s">
        <v>186</v>
      </c>
      <c r="R791" s="13" t="s">
        <v>203</v>
      </c>
      <c r="S791" s="11" t="n">
        <v>4220199</v>
      </c>
      <c r="T791" s="13" t="s">
        <v>204</v>
      </c>
      <c r="U791" s="14" t="n">
        <v>3900.29</v>
      </c>
      <c r="W791" s="14" t="n">
        <v>0</v>
      </c>
      <c r="X791" s="13" t="s">
        <v>865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84</v>
      </c>
      <c r="F792" s="11" t="n">
        <v>24</v>
      </c>
      <c r="G792" s="13" t="s">
        <v>42</v>
      </c>
      <c r="H792" s="11" t="n">
        <v>2110405</v>
      </c>
      <c r="I792" s="13" t="s">
        <v>34</v>
      </c>
      <c r="J792" s="11" t="n">
        <v>1375863</v>
      </c>
      <c r="L792" s="11" t="n">
        <v>214597</v>
      </c>
      <c r="M792" s="13" t="s">
        <v>44</v>
      </c>
      <c r="N792" s="13" t="s">
        <v>36</v>
      </c>
      <c r="P792" s="11" t="n">
        <v>102</v>
      </c>
      <c r="Q792" s="13" t="s">
        <v>186</v>
      </c>
      <c r="R792" s="13" t="s">
        <v>46</v>
      </c>
      <c r="S792" s="11" t="n">
        <v>1130101</v>
      </c>
      <c r="T792" s="13" t="s">
        <v>47</v>
      </c>
      <c r="U792" s="14" t="n">
        <v>512.29</v>
      </c>
      <c r="W792" s="14" t="n">
        <v>0</v>
      </c>
      <c r="X792" s="13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568</v>
      </c>
      <c r="F793" s="11" t="n">
        <v>24</v>
      </c>
      <c r="G793" s="13" t="s">
        <v>42</v>
      </c>
      <c r="H793" s="11" t="n">
        <v>2110405</v>
      </c>
      <c r="I793" s="13" t="s">
        <v>34</v>
      </c>
      <c r="J793" s="11" t="n">
        <v>1381727</v>
      </c>
      <c r="L793" s="11" t="n">
        <v>215572</v>
      </c>
      <c r="M793" s="13" t="s">
        <v>44</v>
      </c>
      <c r="N793" s="13" t="s">
        <v>36</v>
      </c>
      <c r="P793" s="11" t="n">
        <v>102</v>
      </c>
      <c r="Q793" s="13" t="s">
        <v>186</v>
      </c>
      <c r="R793" s="13" t="s">
        <v>565</v>
      </c>
      <c r="S793" s="11" t="n">
        <v>2110701</v>
      </c>
      <c r="T793" s="13" t="s">
        <v>569</v>
      </c>
      <c r="U793" s="14" t="n">
        <v>3.64</v>
      </c>
      <c r="W793" s="14" t="n">
        <v>0</v>
      </c>
      <c r="X793" s="13" t="s">
        <v>866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71</v>
      </c>
      <c r="F794" s="11" t="n">
        <v>34</v>
      </c>
      <c r="G794" s="13" t="s">
        <v>33</v>
      </c>
      <c r="H794" s="11" t="n">
        <v>2110405</v>
      </c>
      <c r="I794" s="13" t="s">
        <v>34</v>
      </c>
      <c r="J794" s="11" t="n">
        <v>911199</v>
      </c>
      <c r="L794" s="11" t="n">
        <v>143958</v>
      </c>
      <c r="M794" s="13" t="s">
        <v>315</v>
      </c>
      <c r="N794" s="13" t="s">
        <v>36</v>
      </c>
      <c r="P794" s="11" t="n">
        <v>102</v>
      </c>
      <c r="Q794" s="13" t="s">
        <v>186</v>
      </c>
      <c r="R794" s="13" t="s">
        <v>245</v>
      </c>
      <c r="S794" s="11" t="n">
        <v>2210202</v>
      </c>
      <c r="T794" s="13" t="s">
        <v>245</v>
      </c>
      <c r="U794" s="14" t="n">
        <v>1000</v>
      </c>
      <c r="W794" s="14" t="n">
        <v>0</v>
      </c>
      <c r="X794" s="13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71</v>
      </c>
      <c r="F795" s="11" t="n">
        <v>34</v>
      </c>
      <c r="G795" s="13" t="s">
        <v>33</v>
      </c>
      <c r="H795" s="11" t="n">
        <v>2110405</v>
      </c>
      <c r="I795" s="13" t="s">
        <v>34</v>
      </c>
      <c r="J795" s="11" t="n">
        <v>1053887</v>
      </c>
      <c r="L795" s="11" t="n">
        <v>166257</v>
      </c>
      <c r="M795" s="13" t="s">
        <v>244</v>
      </c>
      <c r="N795" s="13" t="s">
        <v>36</v>
      </c>
      <c r="P795" s="11" t="n">
        <v>102</v>
      </c>
      <c r="Q795" s="13" t="s">
        <v>186</v>
      </c>
      <c r="R795" s="13" t="s">
        <v>72</v>
      </c>
      <c r="S795" s="11" t="n">
        <v>4210301</v>
      </c>
      <c r="T795" s="13" t="s">
        <v>230</v>
      </c>
      <c r="U795" s="14" t="n">
        <v>362.3</v>
      </c>
      <c r="W795" s="14" t="n">
        <v>0</v>
      </c>
      <c r="X795" s="13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287</v>
      </c>
      <c r="F796" s="11" t="n">
        <v>24</v>
      </c>
      <c r="G796" s="13" t="s">
        <v>42</v>
      </c>
      <c r="H796" s="11" t="n">
        <v>2110101</v>
      </c>
      <c r="I796" s="13" t="s">
        <v>43</v>
      </c>
      <c r="J796" s="11" t="n">
        <v>1101951</v>
      </c>
      <c r="L796" s="11" t="n">
        <v>1549195</v>
      </c>
      <c r="M796" s="13" t="s">
        <v>44</v>
      </c>
      <c r="N796" s="13" t="s">
        <v>36</v>
      </c>
      <c r="P796" s="11" t="n">
        <v>129</v>
      </c>
      <c r="Q796" s="13" t="s">
        <v>102</v>
      </c>
      <c r="R796" s="13" t="s">
        <v>46</v>
      </c>
      <c r="S796" s="11" t="n">
        <v>1130101</v>
      </c>
      <c r="T796" s="13" t="s">
        <v>47</v>
      </c>
      <c r="U796" s="14" t="n">
        <v>565.55</v>
      </c>
      <c r="W796" s="14" t="n">
        <v>0</v>
      </c>
      <c r="X796" s="13" t="s">
        <v>867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251</v>
      </c>
      <c r="F797" s="11" t="n">
        <v>24</v>
      </c>
      <c r="G797" s="13" t="s">
        <v>42</v>
      </c>
      <c r="H797" s="11" t="n">
        <v>2110101</v>
      </c>
      <c r="I797" s="13" t="s">
        <v>43</v>
      </c>
      <c r="J797" s="11" t="n">
        <v>1197369</v>
      </c>
      <c r="L797" s="11" t="n">
        <v>8763153</v>
      </c>
      <c r="M797" s="13" t="s">
        <v>44</v>
      </c>
      <c r="N797" s="13" t="s">
        <v>36</v>
      </c>
      <c r="P797" s="11" t="n">
        <v>128</v>
      </c>
      <c r="Q797" s="13" t="s">
        <v>45</v>
      </c>
      <c r="R797" s="13" t="s">
        <v>46</v>
      </c>
      <c r="S797" s="11" t="n">
        <v>1130101</v>
      </c>
      <c r="T797" s="13" t="s">
        <v>47</v>
      </c>
      <c r="U797" s="14" t="n">
        <v>434.48</v>
      </c>
      <c r="W797" s="14" t="n">
        <v>0</v>
      </c>
      <c r="X797" s="13" t="s">
        <v>868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362</v>
      </c>
      <c r="F798" s="11" t="n">
        <v>24</v>
      </c>
      <c r="G798" s="13" t="s">
        <v>42</v>
      </c>
      <c r="H798" s="11" t="n">
        <v>2110101</v>
      </c>
      <c r="I798" s="13" t="s">
        <v>43</v>
      </c>
      <c r="J798" s="11" t="n">
        <v>1206851</v>
      </c>
      <c r="L798" s="11" t="n">
        <v>77713</v>
      </c>
      <c r="M798" s="13" t="s">
        <v>44</v>
      </c>
      <c r="N798" s="13" t="s">
        <v>36</v>
      </c>
      <c r="P798" s="11" t="n">
        <v>128</v>
      </c>
      <c r="Q798" s="13" t="s">
        <v>45</v>
      </c>
      <c r="R798" s="13" t="s">
        <v>46</v>
      </c>
      <c r="S798" s="11" t="n">
        <v>1130101</v>
      </c>
      <c r="T798" s="13" t="s">
        <v>47</v>
      </c>
      <c r="U798" s="14" t="n">
        <v>755.9</v>
      </c>
      <c r="W798" s="14" t="n">
        <v>0</v>
      </c>
      <c r="X798" s="13" t="s">
        <v>869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541</v>
      </c>
      <c r="F799" s="11" t="n">
        <v>24</v>
      </c>
      <c r="G799" s="13" t="s">
        <v>42</v>
      </c>
      <c r="H799" s="11" t="n">
        <v>2110405</v>
      </c>
      <c r="I799" s="13" t="s">
        <v>34</v>
      </c>
      <c r="J799" s="11" t="n">
        <v>1210754</v>
      </c>
      <c r="L799" s="11" t="n">
        <v>653753</v>
      </c>
      <c r="M799" s="13" t="s">
        <v>44</v>
      </c>
      <c r="N799" s="13" t="s">
        <v>36</v>
      </c>
      <c r="P799" s="11" t="n">
        <v>128</v>
      </c>
      <c r="Q799" s="13" t="s">
        <v>45</v>
      </c>
      <c r="R799" s="13" t="s">
        <v>38</v>
      </c>
      <c r="S799" s="11" t="n">
        <v>4210227</v>
      </c>
      <c r="T799" s="13" t="s">
        <v>196</v>
      </c>
      <c r="U799" s="14" t="n">
        <v>462.4</v>
      </c>
      <c r="W799" s="14" t="n">
        <v>0</v>
      </c>
      <c r="X799" s="13" t="s">
        <v>870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60</v>
      </c>
      <c r="F800" s="11" t="n">
        <v>24</v>
      </c>
      <c r="G800" s="13" t="s">
        <v>42</v>
      </c>
      <c r="H800" s="11" t="n">
        <v>2110101</v>
      </c>
      <c r="I800" s="13" t="s">
        <v>43</v>
      </c>
      <c r="J800" s="11" t="n">
        <v>1235711</v>
      </c>
      <c r="L800" s="11" t="n">
        <v>3041742</v>
      </c>
      <c r="M800" s="13" t="s">
        <v>44</v>
      </c>
      <c r="N800" s="13" t="s">
        <v>36</v>
      </c>
      <c r="P800" s="11" t="n">
        <v>128</v>
      </c>
      <c r="Q800" s="13" t="s">
        <v>45</v>
      </c>
      <c r="R800" s="13" t="s">
        <v>46</v>
      </c>
      <c r="S800" s="11" t="n">
        <v>1130101</v>
      </c>
      <c r="T800" s="13" t="s">
        <v>47</v>
      </c>
      <c r="U800" s="14" t="n">
        <v>1244.8</v>
      </c>
      <c r="W800" s="14" t="n">
        <v>0</v>
      </c>
      <c r="X800" s="13" t="s">
        <v>871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693</v>
      </c>
      <c r="F801" s="11" t="n">
        <v>24</v>
      </c>
      <c r="G801" s="13" t="s">
        <v>42</v>
      </c>
      <c r="H801" s="11" t="n">
        <v>2110101</v>
      </c>
      <c r="I801" s="13" t="s">
        <v>43</v>
      </c>
      <c r="J801" s="11" t="n">
        <v>1241435</v>
      </c>
      <c r="L801" s="11" t="n">
        <v>498832</v>
      </c>
      <c r="M801" s="13" t="s">
        <v>44</v>
      </c>
      <c r="N801" s="13" t="s">
        <v>36</v>
      </c>
      <c r="P801" s="11" t="n">
        <v>128</v>
      </c>
      <c r="Q801" s="13" t="s">
        <v>45</v>
      </c>
      <c r="R801" s="13" t="s">
        <v>46</v>
      </c>
      <c r="S801" s="11" t="n">
        <v>1130101</v>
      </c>
      <c r="T801" s="13" t="s">
        <v>47</v>
      </c>
      <c r="U801" s="14" t="n">
        <v>991.48</v>
      </c>
      <c r="W801" s="14" t="n">
        <v>0</v>
      </c>
      <c r="X801" s="13" t="s">
        <v>872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190</v>
      </c>
      <c r="F802" s="11" t="n">
        <v>24</v>
      </c>
      <c r="G802" s="13" t="s">
        <v>42</v>
      </c>
      <c r="H802" s="11" t="n">
        <v>2110101</v>
      </c>
      <c r="I802" s="13" t="s">
        <v>43</v>
      </c>
      <c r="J802" s="11" t="n">
        <v>1243950</v>
      </c>
      <c r="L802" s="11" t="n">
        <v>255322</v>
      </c>
      <c r="M802" s="13" t="s">
        <v>44</v>
      </c>
      <c r="N802" s="13" t="s">
        <v>36</v>
      </c>
      <c r="P802" s="11" t="n">
        <v>128</v>
      </c>
      <c r="Q802" s="13" t="s">
        <v>45</v>
      </c>
      <c r="R802" s="13" t="s">
        <v>46</v>
      </c>
      <c r="S802" s="11" t="n">
        <v>1130101</v>
      </c>
      <c r="T802" s="13" t="s">
        <v>47</v>
      </c>
      <c r="U802" s="14" t="n">
        <v>870.75</v>
      </c>
      <c r="W802" s="14" t="n">
        <v>0</v>
      </c>
      <c r="X802" s="13" t="s">
        <v>873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697</v>
      </c>
      <c r="F803" s="11" t="n">
        <v>24</v>
      </c>
      <c r="G803" s="13" t="s">
        <v>42</v>
      </c>
      <c r="H803" s="11" t="n">
        <v>2110101</v>
      </c>
      <c r="I803" s="13" t="s">
        <v>43</v>
      </c>
      <c r="J803" s="11" t="n">
        <v>1244014</v>
      </c>
      <c r="L803" s="11" t="n">
        <v>6457682</v>
      </c>
      <c r="M803" s="13" t="s">
        <v>44</v>
      </c>
      <c r="N803" s="13" t="s">
        <v>36</v>
      </c>
      <c r="P803" s="11" t="n">
        <v>128</v>
      </c>
      <c r="Q803" s="13" t="s">
        <v>45</v>
      </c>
      <c r="R803" s="13" t="s">
        <v>46</v>
      </c>
      <c r="S803" s="11" t="n">
        <v>1130101</v>
      </c>
      <c r="T803" s="13" t="s">
        <v>47</v>
      </c>
      <c r="U803" s="14" t="n">
        <v>858.24</v>
      </c>
      <c r="W803" s="14" t="n">
        <v>0</v>
      </c>
      <c r="X803" s="13" t="s">
        <v>874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 MAGIA 500ML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67</v>
      </c>
      <c r="F804" s="11" t="n">
        <v>24</v>
      </c>
      <c r="G804" s="13" t="s">
        <v>42</v>
      </c>
      <c r="H804" s="11" t="n">
        <v>2110101</v>
      </c>
      <c r="I804" s="13" t="s">
        <v>43</v>
      </c>
      <c r="J804" s="11" t="n">
        <v>1261057</v>
      </c>
      <c r="L804" s="11" t="n">
        <v>13717251</v>
      </c>
      <c r="M804" s="13" t="s">
        <v>44</v>
      </c>
      <c r="N804" s="13" t="s">
        <v>36</v>
      </c>
      <c r="P804" s="11" t="n">
        <v>128</v>
      </c>
      <c r="Q804" s="13" t="s">
        <v>45</v>
      </c>
      <c r="R804" s="13" t="s">
        <v>46</v>
      </c>
      <c r="S804" s="11" t="n">
        <v>1130101</v>
      </c>
      <c r="T804" s="13" t="s">
        <v>47</v>
      </c>
      <c r="U804" s="14" t="n">
        <v>210</v>
      </c>
      <c r="W804" s="14" t="n">
        <v>0</v>
      </c>
      <c r="X804" s="13" t="s">
        <v>875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351</v>
      </c>
      <c r="F805" s="11" t="n">
        <v>24</v>
      </c>
      <c r="G805" s="13" t="s">
        <v>42</v>
      </c>
      <c r="H805" s="11" t="n">
        <v>2110101</v>
      </c>
      <c r="I805" s="13" t="s">
        <v>43</v>
      </c>
      <c r="J805" s="11" t="n">
        <v>1261074</v>
      </c>
      <c r="L805" s="11" t="n">
        <v>39327</v>
      </c>
      <c r="M805" s="13" t="s">
        <v>44</v>
      </c>
      <c r="N805" s="13" t="s">
        <v>69</v>
      </c>
      <c r="P805" s="11" t="n">
        <v>128</v>
      </c>
      <c r="Q805" s="13" t="s">
        <v>45</v>
      </c>
      <c r="R805" s="13" t="s">
        <v>46</v>
      </c>
      <c r="S805" s="11" t="n">
        <v>1130101</v>
      </c>
      <c r="T805" s="13" t="s">
        <v>47</v>
      </c>
      <c r="U805" s="14" t="n">
        <v>137.5</v>
      </c>
      <c r="W805" s="14" t="n">
        <v>0</v>
      </c>
      <c r="X805" s="13" t="s">
        <v>876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351</v>
      </c>
      <c r="F806" s="11" t="n">
        <v>24</v>
      </c>
      <c r="G806" s="13" t="s">
        <v>42</v>
      </c>
      <c r="H806" s="11" t="n">
        <v>2110101</v>
      </c>
      <c r="I806" s="13" t="s">
        <v>43</v>
      </c>
      <c r="J806" s="11" t="n">
        <v>1261084</v>
      </c>
      <c r="L806" s="11" t="n">
        <v>2414</v>
      </c>
      <c r="M806" s="13" t="s">
        <v>44</v>
      </c>
      <c r="N806" s="13" t="s">
        <v>69</v>
      </c>
      <c r="P806" s="11" t="n">
        <v>128</v>
      </c>
      <c r="Q806" s="13" t="s">
        <v>45</v>
      </c>
      <c r="R806" s="13" t="s">
        <v>46</v>
      </c>
      <c r="S806" s="11" t="n">
        <v>1130101</v>
      </c>
      <c r="T806" s="13" t="s">
        <v>47</v>
      </c>
      <c r="U806" s="14" t="n">
        <v>105</v>
      </c>
      <c r="W806" s="14" t="n">
        <v>0</v>
      </c>
      <c r="X806" s="13" t="s">
        <v>877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269</v>
      </c>
      <c r="F807" s="11" t="n">
        <v>24</v>
      </c>
      <c r="G807" s="13" t="s">
        <v>42</v>
      </c>
      <c r="H807" s="11" t="n">
        <v>2110101</v>
      </c>
      <c r="I807" s="13" t="s">
        <v>43</v>
      </c>
      <c r="J807" s="11" t="n">
        <v>1288997</v>
      </c>
      <c r="L807" s="11" t="n">
        <v>187932</v>
      </c>
      <c r="M807" s="13" t="s">
        <v>44</v>
      </c>
      <c r="N807" s="13" t="s">
        <v>36</v>
      </c>
      <c r="P807" s="11" t="n">
        <v>128</v>
      </c>
      <c r="Q807" s="13" t="s">
        <v>45</v>
      </c>
      <c r="R807" s="13" t="s">
        <v>46</v>
      </c>
      <c r="S807" s="11" t="n">
        <v>1130101</v>
      </c>
      <c r="T807" s="13" t="s">
        <v>47</v>
      </c>
      <c r="U807" s="14" t="n">
        <v>521.46</v>
      </c>
      <c r="W807" s="14" t="n">
        <v>0</v>
      </c>
      <c r="X807" s="13" t="s">
        <v>878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269</v>
      </c>
      <c r="F808" s="11" t="n">
        <v>34</v>
      </c>
      <c r="G808" s="13" t="s">
        <v>33</v>
      </c>
      <c r="H808" s="11" t="n">
        <v>2110101</v>
      </c>
      <c r="I808" s="13" t="s">
        <v>43</v>
      </c>
      <c r="J808" s="11" t="n">
        <v>1289031</v>
      </c>
      <c r="L808" s="11" t="n">
        <v>201526</v>
      </c>
      <c r="M808" s="13" t="s">
        <v>44</v>
      </c>
      <c r="N808" s="13" t="s">
        <v>36</v>
      </c>
      <c r="P808" s="11" t="n">
        <v>128</v>
      </c>
      <c r="Q808" s="13" t="s">
        <v>45</v>
      </c>
      <c r="R808" s="13" t="s">
        <v>46</v>
      </c>
      <c r="S808" s="11" t="n">
        <v>1130101</v>
      </c>
      <c r="T808" s="13" t="s">
        <v>47</v>
      </c>
      <c r="U808" s="14" t="n">
        <v>126.96</v>
      </c>
      <c r="W808" s="14" t="n">
        <v>0</v>
      </c>
      <c r="X808" s="13" t="s">
        <v>879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80</v>
      </c>
      <c r="F809" s="11" t="n">
        <v>34</v>
      </c>
      <c r="G809" s="13" t="s">
        <v>33</v>
      </c>
      <c r="H809" s="11" t="n">
        <v>2110101</v>
      </c>
      <c r="I809" s="13" t="s">
        <v>43</v>
      </c>
      <c r="J809" s="11" t="n">
        <v>1294641</v>
      </c>
      <c r="L809" s="11" t="n">
        <v>4302</v>
      </c>
      <c r="M809" s="13" t="s">
        <v>44</v>
      </c>
      <c r="N809" s="13" t="s">
        <v>69</v>
      </c>
      <c r="P809" s="11" t="n">
        <v>128</v>
      </c>
      <c r="Q809" s="13" t="s">
        <v>45</v>
      </c>
      <c r="R809" s="13" t="s">
        <v>46</v>
      </c>
      <c r="S809" s="11" t="n">
        <v>1130101</v>
      </c>
      <c r="T809" s="13" t="s">
        <v>47</v>
      </c>
      <c r="U809" s="14" t="n">
        <v>280</v>
      </c>
      <c r="W809" s="14" t="n">
        <v>0</v>
      </c>
      <c r="X809" s="13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80</v>
      </c>
      <c r="F810" s="11" t="n">
        <v>34</v>
      </c>
      <c r="G810" s="13" t="s">
        <v>33</v>
      </c>
      <c r="H810" s="11" t="n">
        <v>2110101</v>
      </c>
      <c r="I810" s="13" t="s">
        <v>43</v>
      </c>
      <c r="J810" s="11" t="n">
        <v>1299421</v>
      </c>
      <c r="L810" s="11" t="n">
        <v>4306</v>
      </c>
      <c r="M810" s="13" t="s">
        <v>44</v>
      </c>
      <c r="N810" s="13" t="s">
        <v>69</v>
      </c>
      <c r="P810" s="11" t="n">
        <v>128</v>
      </c>
      <c r="Q810" s="13" t="s">
        <v>45</v>
      </c>
      <c r="R810" s="13" t="s">
        <v>46</v>
      </c>
      <c r="S810" s="11" t="n">
        <v>1130101</v>
      </c>
      <c r="T810" s="13" t="s">
        <v>47</v>
      </c>
      <c r="U810" s="14" t="n">
        <v>1190</v>
      </c>
      <c r="W810" s="14" t="n">
        <v>0</v>
      </c>
      <c r="X810" s="13" t="s">
        <v>880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278</v>
      </c>
      <c r="F811" s="11" t="n">
        <v>24</v>
      </c>
      <c r="G811" s="13" t="s">
        <v>42</v>
      </c>
      <c r="H811" s="11" t="n">
        <v>2110101</v>
      </c>
      <c r="I811" s="13" t="s">
        <v>43</v>
      </c>
      <c r="J811" s="11" t="n">
        <v>1312290</v>
      </c>
      <c r="L811" s="11" t="n">
        <v>1354</v>
      </c>
      <c r="M811" s="13" t="s">
        <v>44</v>
      </c>
      <c r="N811" s="13" t="s">
        <v>69</v>
      </c>
      <c r="P811" s="11" t="n">
        <v>128</v>
      </c>
      <c r="Q811" s="13" t="s">
        <v>45</v>
      </c>
      <c r="R811" s="13" t="s">
        <v>46</v>
      </c>
      <c r="S811" s="11" t="n">
        <v>1130101</v>
      </c>
      <c r="T811" s="13" t="s">
        <v>47</v>
      </c>
      <c r="U811" s="14" t="n">
        <v>931.6</v>
      </c>
      <c r="W811" s="14" t="n">
        <v>0</v>
      </c>
      <c r="X811" s="13" t="s">
        <v>881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DEFUMADA DF DISTRIBUIDORA DE F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181</v>
      </c>
      <c r="F812" s="11" t="n">
        <v>34</v>
      </c>
      <c r="G812" s="13" t="s">
        <v>33</v>
      </c>
      <c r="H812" s="11" t="n">
        <v>2110101</v>
      </c>
      <c r="I812" s="13" t="s">
        <v>43</v>
      </c>
      <c r="J812" s="11" t="n">
        <v>1312580</v>
      </c>
      <c r="L812" s="11" t="n">
        <v>205119</v>
      </c>
      <c r="M812" s="13" t="s">
        <v>44</v>
      </c>
      <c r="N812" s="13" t="s">
        <v>36</v>
      </c>
      <c r="P812" s="11" t="n">
        <v>128</v>
      </c>
      <c r="Q812" s="13" t="s">
        <v>45</v>
      </c>
      <c r="R812" s="13" t="s">
        <v>46</v>
      </c>
      <c r="S812" s="11" t="n">
        <v>1130101</v>
      </c>
      <c r="T812" s="13" t="s">
        <v>47</v>
      </c>
      <c r="U812" s="14" t="n">
        <v>400</v>
      </c>
      <c r="W812" s="14" t="n">
        <v>0</v>
      </c>
      <c r="X812" s="13" t="s">
        <v>882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76</v>
      </c>
      <c r="F813" s="11" t="n">
        <v>24</v>
      </c>
      <c r="G813" s="13" t="s">
        <v>42</v>
      </c>
      <c r="H813" s="11" t="n">
        <v>2110101</v>
      </c>
      <c r="I813" s="13" t="s">
        <v>43</v>
      </c>
      <c r="J813" s="11" t="n">
        <v>1321781</v>
      </c>
      <c r="L813" s="11" t="n">
        <v>54406</v>
      </c>
      <c r="M813" s="13" t="s">
        <v>44</v>
      </c>
      <c r="N813" s="13" t="s">
        <v>36</v>
      </c>
      <c r="P813" s="11" t="n">
        <v>128</v>
      </c>
      <c r="Q813" s="13" t="s">
        <v>45</v>
      </c>
      <c r="R813" s="13" t="s">
        <v>46</v>
      </c>
      <c r="S813" s="11" t="n">
        <v>1130101</v>
      </c>
      <c r="T813" s="13" t="s">
        <v>47</v>
      </c>
      <c r="U813" s="14" t="n">
        <v>3578.4</v>
      </c>
      <c r="W813" s="14" t="n">
        <v>0</v>
      </c>
      <c r="X813" s="13" t="s">
        <v>883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80</v>
      </c>
      <c r="F814" s="11" t="n">
        <v>34</v>
      </c>
      <c r="G814" s="13" t="s">
        <v>33</v>
      </c>
      <c r="H814" s="11" t="n">
        <v>2110101</v>
      </c>
      <c r="I814" s="13" t="s">
        <v>43</v>
      </c>
      <c r="J814" s="11" t="n">
        <v>1321985</v>
      </c>
      <c r="L814" s="11" t="n">
        <v>4324</v>
      </c>
      <c r="M814" s="13" t="s">
        <v>44</v>
      </c>
      <c r="N814" s="13" t="s">
        <v>69</v>
      </c>
      <c r="P814" s="11" t="n">
        <v>128</v>
      </c>
      <c r="Q814" s="13" t="s">
        <v>45</v>
      </c>
      <c r="R814" s="13" t="s">
        <v>46</v>
      </c>
      <c r="S814" s="11" t="n">
        <v>1130101</v>
      </c>
      <c r="T814" s="13" t="s">
        <v>47</v>
      </c>
      <c r="U814" s="14" t="n">
        <v>280</v>
      </c>
      <c r="W814" s="14" t="n">
        <v>0</v>
      </c>
      <c r="X814" s="13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884</v>
      </c>
      <c r="F815" s="11" t="n">
        <v>34</v>
      </c>
      <c r="G815" s="13" t="s">
        <v>33</v>
      </c>
      <c r="H815" s="11" t="n">
        <v>2110101</v>
      </c>
      <c r="I815" s="13" t="s">
        <v>43</v>
      </c>
      <c r="J815" s="11" t="n">
        <v>1333847</v>
      </c>
      <c r="L815" s="11" t="n">
        <v>208329</v>
      </c>
      <c r="M815" s="13" t="s">
        <v>44</v>
      </c>
      <c r="N815" s="13" t="s">
        <v>36</v>
      </c>
      <c r="P815" s="11" t="n">
        <v>128</v>
      </c>
      <c r="Q815" s="13" t="s">
        <v>45</v>
      </c>
      <c r="R815" s="13" t="s">
        <v>46</v>
      </c>
      <c r="S815" s="11" t="n">
        <v>1130101</v>
      </c>
      <c r="T815" s="13" t="s">
        <v>47</v>
      </c>
      <c r="U815" s="14" t="n">
        <v>2754</v>
      </c>
      <c r="W815" s="14" t="n">
        <v>0</v>
      </c>
      <c r="X815" s="13" t="s">
        <v>885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80</v>
      </c>
      <c r="F816" s="11" t="n">
        <v>34</v>
      </c>
      <c r="G816" s="13" t="s">
        <v>33</v>
      </c>
      <c r="H816" s="11" t="n">
        <v>2110101</v>
      </c>
      <c r="I816" s="13" t="s">
        <v>43</v>
      </c>
      <c r="J816" s="11" t="n">
        <v>1345210</v>
      </c>
      <c r="L816" s="11" t="n">
        <v>4348</v>
      </c>
      <c r="M816" s="13" t="s">
        <v>44</v>
      </c>
      <c r="N816" s="13" t="s">
        <v>69</v>
      </c>
      <c r="P816" s="11" t="n">
        <v>167</v>
      </c>
      <c r="Q816" s="13" t="s">
        <v>101</v>
      </c>
      <c r="R816" s="13" t="s">
        <v>46</v>
      </c>
      <c r="S816" s="11" t="n">
        <v>1130101</v>
      </c>
      <c r="T816" s="13" t="s">
        <v>47</v>
      </c>
      <c r="U816" s="14" t="n">
        <v>1615</v>
      </c>
      <c r="W816" s="14" t="n">
        <v>0</v>
      </c>
      <c r="X816" s="13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130</v>
      </c>
      <c r="F817" s="11" t="n">
        <v>34</v>
      </c>
      <c r="G817" s="13" t="s">
        <v>33</v>
      </c>
      <c r="H817" s="11" t="n">
        <v>2110101</v>
      </c>
      <c r="I817" s="13" t="s">
        <v>43</v>
      </c>
      <c r="J817" s="11" t="n">
        <v>1345215</v>
      </c>
      <c r="L817" s="11" t="n">
        <v>14792</v>
      </c>
      <c r="M817" s="13" t="s">
        <v>44</v>
      </c>
      <c r="N817" s="13" t="s">
        <v>69</v>
      </c>
      <c r="P817" s="11" t="n">
        <v>167</v>
      </c>
      <c r="Q817" s="13" t="s">
        <v>101</v>
      </c>
      <c r="R817" s="13" t="s">
        <v>46</v>
      </c>
      <c r="S817" s="11" t="n">
        <v>1130101</v>
      </c>
      <c r="T817" s="13" t="s">
        <v>47</v>
      </c>
      <c r="U817" s="14" t="n">
        <v>440</v>
      </c>
      <c r="W817" s="14" t="n">
        <v>0</v>
      </c>
      <c r="X817" s="13" t="s">
        <v>886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130</v>
      </c>
      <c r="F818" s="11" t="n">
        <v>34</v>
      </c>
      <c r="G818" s="13" t="s">
        <v>33</v>
      </c>
      <c r="H818" s="11" t="n">
        <v>2110101</v>
      </c>
      <c r="I818" s="13" t="s">
        <v>43</v>
      </c>
      <c r="J818" s="11" t="n">
        <v>1345222</v>
      </c>
      <c r="L818" s="11" t="n">
        <v>209980</v>
      </c>
      <c r="M818" s="13" t="s">
        <v>44</v>
      </c>
      <c r="N818" s="13" t="s">
        <v>36</v>
      </c>
      <c r="P818" s="11" t="n">
        <v>167</v>
      </c>
      <c r="Q818" s="13" t="s">
        <v>101</v>
      </c>
      <c r="R818" s="13" t="s">
        <v>46</v>
      </c>
      <c r="S818" s="11" t="n">
        <v>1130101</v>
      </c>
      <c r="T818" s="13" t="s">
        <v>47</v>
      </c>
      <c r="U818" s="14" t="n">
        <v>440</v>
      </c>
      <c r="W818" s="14" t="n">
        <v>0</v>
      </c>
      <c r="X818" s="13" t="s">
        <v>887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80</v>
      </c>
      <c r="F819" s="11" t="n">
        <v>13</v>
      </c>
      <c r="G819" s="13" t="s">
        <v>81</v>
      </c>
      <c r="H819" s="11" t="n">
        <v>2110101</v>
      </c>
      <c r="I819" s="13" t="s">
        <v>43</v>
      </c>
      <c r="J819" s="11" t="n">
        <v>1364769</v>
      </c>
      <c r="L819" s="11" t="n">
        <v>4359</v>
      </c>
      <c r="M819" s="13" t="s">
        <v>44</v>
      </c>
      <c r="N819" s="13" t="s">
        <v>69</v>
      </c>
      <c r="P819" s="11" t="n">
        <v>167</v>
      </c>
      <c r="Q819" s="13" t="s">
        <v>101</v>
      </c>
      <c r="R819" s="13" t="s">
        <v>46</v>
      </c>
      <c r="S819" s="11" t="n">
        <v>1130101</v>
      </c>
      <c r="T819" s="13" t="s">
        <v>47</v>
      </c>
      <c r="U819" s="14" t="n">
        <v>105</v>
      </c>
      <c r="W819" s="14" t="n">
        <v>105</v>
      </c>
      <c r="X819" s="13" t="s">
        <v>137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80</v>
      </c>
      <c r="F820" s="11" t="n">
        <v>13</v>
      </c>
      <c r="G820" s="13" t="s">
        <v>81</v>
      </c>
      <c r="H820" s="11" t="n">
        <v>2110101</v>
      </c>
      <c r="I820" s="13" t="s">
        <v>43</v>
      </c>
      <c r="J820" s="11" t="n">
        <v>1364787</v>
      </c>
      <c r="L820" s="11" t="n">
        <v>4360</v>
      </c>
      <c r="M820" s="13" t="s">
        <v>44</v>
      </c>
      <c r="N820" s="13" t="s">
        <v>69</v>
      </c>
      <c r="P820" s="11" t="n">
        <v>167</v>
      </c>
      <c r="Q820" s="13" t="s">
        <v>101</v>
      </c>
      <c r="R820" s="13" t="s">
        <v>46</v>
      </c>
      <c r="S820" s="11" t="n">
        <v>1130101</v>
      </c>
      <c r="T820" s="13" t="s">
        <v>47</v>
      </c>
      <c r="U820" s="14" t="n">
        <v>280</v>
      </c>
      <c r="W820" s="14" t="n">
        <v>280</v>
      </c>
      <c r="X820" s="13" t="s">
        <v>888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84</v>
      </c>
      <c r="F821" s="11" t="n">
        <v>24</v>
      </c>
      <c r="G821" s="13" t="s">
        <v>42</v>
      </c>
      <c r="H821" s="11" t="n">
        <v>2110405</v>
      </c>
      <c r="I821" s="13" t="s">
        <v>34</v>
      </c>
      <c r="J821" s="11" t="n">
        <v>1366178</v>
      </c>
      <c r="L821" s="11" t="n">
        <v>213241</v>
      </c>
      <c r="M821" s="13" t="s">
        <v>44</v>
      </c>
      <c r="N821" s="13" t="s">
        <v>36</v>
      </c>
      <c r="P821" s="11" t="n">
        <v>101</v>
      </c>
      <c r="Q821" s="13" t="s">
        <v>37</v>
      </c>
      <c r="R821" s="13" t="s">
        <v>889</v>
      </c>
      <c r="S821" s="11" t="n">
        <v>2110101</v>
      </c>
      <c r="T821" s="13" t="s">
        <v>43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112</v>
      </c>
      <c r="F822" s="11" t="n">
        <v>13</v>
      </c>
      <c r="G822" s="13" t="s">
        <v>81</v>
      </c>
      <c r="H822" s="11" t="n">
        <v>2110101</v>
      </c>
      <c r="I822" s="13" t="s">
        <v>43</v>
      </c>
      <c r="J822" s="11" t="n">
        <v>1368925</v>
      </c>
      <c r="L822" s="11" t="n">
        <v>756</v>
      </c>
      <c r="M822" s="13" t="s">
        <v>44</v>
      </c>
      <c r="N822" s="13" t="s">
        <v>69</v>
      </c>
      <c r="P822" s="11" t="n">
        <v>167</v>
      </c>
      <c r="Q822" s="13" t="s">
        <v>101</v>
      </c>
      <c r="R822" s="13" t="s">
        <v>46</v>
      </c>
      <c r="S822" s="11" t="n">
        <v>1130101</v>
      </c>
      <c r="T822" s="13" t="s">
        <v>47</v>
      </c>
      <c r="U822" s="14" t="n">
        <v>270</v>
      </c>
      <c r="W822" s="14" t="n">
        <v>270</v>
      </c>
      <c r="X822" s="13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320</v>
      </c>
      <c r="F823" s="11" t="n">
        <v>24</v>
      </c>
      <c r="G823" s="13" t="s">
        <v>42</v>
      </c>
      <c r="H823" s="11" t="n">
        <v>2110101</v>
      </c>
      <c r="I823" s="13" t="s">
        <v>43</v>
      </c>
      <c r="J823" s="11" t="n">
        <v>1290736</v>
      </c>
      <c r="L823" s="11" t="n">
        <v>145282</v>
      </c>
      <c r="M823" s="13" t="s">
        <v>44</v>
      </c>
      <c r="N823" s="13" t="s">
        <v>36</v>
      </c>
      <c r="P823" s="11" t="n">
        <v>128</v>
      </c>
      <c r="Q823" s="13" t="s">
        <v>45</v>
      </c>
      <c r="R823" s="13" t="s">
        <v>46</v>
      </c>
      <c r="S823" s="11" t="n">
        <v>1130101</v>
      </c>
      <c r="T823" s="13" t="s">
        <v>47</v>
      </c>
      <c r="U823" s="14" t="n">
        <v>5950.93</v>
      </c>
      <c r="W823" s="14" t="n">
        <v>0</v>
      </c>
      <c r="X823" s="13" t="s">
        <v>890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80</v>
      </c>
      <c r="F824" s="11" t="n">
        <v>13</v>
      </c>
      <c r="G824" s="13" t="s">
        <v>81</v>
      </c>
      <c r="H824" s="11" t="n">
        <v>2110101</v>
      </c>
      <c r="I824" s="13" t="s">
        <v>43</v>
      </c>
      <c r="J824" s="11" t="n">
        <v>1369254</v>
      </c>
      <c r="L824" s="11" t="n">
        <v>4363</v>
      </c>
      <c r="M824" s="13" t="s">
        <v>44</v>
      </c>
      <c r="N824" s="13" t="s">
        <v>69</v>
      </c>
      <c r="P824" s="11" t="n">
        <v>167</v>
      </c>
      <c r="Q824" s="13" t="s">
        <v>101</v>
      </c>
      <c r="R824" s="13" t="s">
        <v>46</v>
      </c>
      <c r="S824" s="11" t="n">
        <v>1130101</v>
      </c>
      <c r="T824" s="13" t="s">
        <v>47</v>
      </c>
      <c r="U824" s="14" t="n">
        <v>240</v>
      </c>
      <c r="W824" s="14" t="n">
        <v>240</v>
      </c>
      <c r="X824" s="13" t="s">
        <v>83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80</v>
      </c>
      <c r="F825" s="11" t="n">
        <v>13</v>
      </c>
      <c r="G825" s="13" t="s">
        <v>81</v>
      </c>
      <c r="H825" s="11" t="n">
        <v>2110101</v>
      </c>
      <c r="I825" s="13" t="s">
        <v>43</v>
      </c>
      <c r="J825" s="11" t="n">
        <v>1369319</v>
      </c>
      <c r="L825" s="11" t="n">
        <v>4364</v>
      </c>
      <c r="M825" s="13" t="s">
        <v>44</v>
      </c>
      <c r="N825" s="13" t="s">
        <v>69</v>
      </c>
      <c r="P825" s="11" t="n">
        <v>167</v>
      </c>
      <c r="Q825" s="13" t="s">
        <v>101</v>
      </c>
      <c r="R825" s="13" t="s">
        <v>46</v>
      </c>
      <c r="S825" s="11" t="n">
        <v>1130101</v>
      </c>
      <c r="T825" s="13" t="s">
        <v>47</v>
      </c>
      <c r="U825" s="14" t="n">
        <v>110</v>
      </c>
      <c r="W825" s="14" t="n">
        <v>110</v>
      </c>
      <c r="X825" s="13" t="s">
        <v>137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84</v>
      </c>
      <c r="F826" s="11" t="n">
        <v>24</v>
      </c>
      <c r="G826" s="13" t="s">
        <v>42</v>
      </c>
      <c r="H826" s="11" t="n">
        <v>2110405</v>
      </c>
      <c r="I826" s="13" t="s">
        <v>34</v>
      </c>
      <c r="J826" s="11" t="n">
        <v>1370596</v>
      </c>
      <c r="L826" s="11" t="n">
        <v>213871</v>
      </c>
      <c r="M826" s="13" t="s">
        <v>44</v>
      </c>
      <c r="N826" s="13" t="s">
        <v>36</v>
      </c>
      <c r="P826" s="11" t="n">
        <v>102</v>
      </c>
      <c r="Q826" s="13" t="s">
        <v>186</v>
      </c>
      <c r="R826" s="13" t="s">
        <v>46</v>
      </c>
      <c r="S826" s="11" t="n">
        <v>1130101</v>
      </c>
      <c r="T826" s="13" t="s">
        <v>47</v>
      </c>
      <c r="U826" s="14" t="n">
        <v>376.09</v>
      </c>
      <c r="W826" s="14" t="n">
        <v>0</v>
      </c>
      <c r="X826" s="13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76</v>
      </c>
      <c r="F827" s="11" t="n">
        <v>24</v>
      </c>
      <c r="G827" s="13" t="s">
        <v>42</v>
      </c>
      <c r="H827" s="11" t="n">
        <v>2110101</v>
      </c>
      <c r="I827" s="13" t="s">
        <v>43</v>
      </c>
      <c r="J827" s="11" t="n">
        <v>1321574</v>
      </c>
      <c r="L827" s="11" t="n">
        <v>54735</v>
      </c>
      <c r="M827" s="13" t="s">
        <v>44</v>
      </c>
      <c r="N827" s="13" t="s">
        <v>36</v>
      </c>
      <c r="P827" s="11" t="n">
        <v>128</v>
      </c>
      <c r="Q827" s="13" t="s">
        <v>45</v>
      </c>
      <c r="R827" s="13" t="s">
        <v>46</v>
      </c>
      <c r="S827" s="11" t="n">
        <v>1130101</v>
      </c>
      <c r="T827" s="13" t="s">
        <v>47</v>
      </c>
      <c r="U827" s="14" t="n">
        <v>8101.7</v>
      </c>
      <c r="W827" s="14" t="n">
        <v>0</v>
      </c>
      <c r="X827" s="13" t="s">
        <v>891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122</v>
      </c>
      <c r="F828" s="11" t="n">
        <v>24</v>
      </c>
      <c r="G828" s="13" t="s">
        <v>42</v>
      </c>
      <c r="H828" s="11" t="n">
        <v>2110101</v>
      </c>
      <c r="I828" s="13" t="s">
        <v>43</v>
      </c>
      <c r="J828" s="11" t="n">
        <v>1330752</v>
      </c>
      <c r="L828" s="11" t="n">
        <v>19090415</v>
      </c>
      <c r="M828" s="13" t="s">
        <v>44</v>
      </c>
      <c r="N828" s="13" t="s">
        <v>36</v>
      </c>
      <c r="P828" s="11" t="n">
        <v>128</v>
      </c>
      <c r="Q828" s="13" t="s">
        <v>45</v>
      </c>
      <c r="R828" s="13" t="s">
        <v>46</v>
      </c>
      <c r="S828" s="11" t="n">
        <v>1130101</v>
      </c>
      <c r="T828" s="13" t="s">
        <v>47</v>
      </c>
      <c r="U828" s="14" t="n">
        <v>5599.16</v>
      </c>
      <c r="W828" s="14" t="n">
        <v>0</v>
      </c>
      <c r="X828" s="13" t="s">
        <v>892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80</v>
      </c>
      <c r="F829" s="11" t="n">
        <v>13</v>
      </c>
      <c r="G829" s="13" t="s">
        <v>81</v>
      </c>
      <c r="H829" s="11" t="n">
        <v>2110101</v>
      </c>
      <c r="I829" s="13" t="s">
        <v>43</v>
      </c>
      <c r="J829" s="11" t="n">
        <v>1375165</v>
      </c>
      <c r="L829" s="11" t="n">
        <v>4369</v>
      </c>
      <c r="M829" s="13" t="s">
        <v>44</v>
      </c>
      <c r="N829" s="13" t="s">
        <v>69</v>
      </c>
      <c r="P829" s="11" t="n">
        <v>167</v>
      </c>
      <c r="Q829" s="13" t="s">
        <v>101</v>
      </c>
      <c r="R829" s="13" t="s">
        <v>46</v>
      </c>
      <c r="S829" s="11" t="n">
        <v>1130101</v>
      </c>
      <c r="T829" s="13" t="s">
        <v>47</v>
      </c>
      <c r="U829" s="14" t="n">
        <v>65</v>
      </c>
      <c r="W829" s="14" t="n">
        <v>65</v>
      </c>
      <c r="X829" s="13" t="s">
        <v>82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84</v>
      </c>
      <c r="F830" s="11" t="n">
        <v>24</v>
      </c>
      <c r="G830" s="13" t="s">
        <v>42</v>
      </c>
      <c r="H830" s="11" t="n">
        <v>2110405</v>
      </c>
      <c r="I830" s="13" t="s">
        <v>34</v>
      </c>
      <c r="J830" s="11" t="n">
        <v>1377979</v>
      </c>
      <c r="L830" s="11" t="n">
        <v>215207</v>
      </c>
      <c r="M830" s="13" t="s">
        <v>44</v>
      </c>
      <c r="N830" s="13" t="s">
        <v>36</v>
      </c>
      <c r="P830" s="11" t="n">
        <v>102</v>
      </c>
      <c r="Q830" s="13" t="s">
        <v>186</v>
      </c>
      <c r="R830" s="13" t="s">
        <v>46</v>
      </c>
      <c r="S830" s="11" t="n">
        <v>1130101</v>
      </c>
      <c r="T830" s="13" t="s">
        <v>47</v>
      </c>
      <c r="U830" s="14" t="n">
        <v>191.58</v>
      </c>
      <c r="W830" s="14" t="n">
        <v>0</v>
      </c>
      <c r="X830" s="13" t="s">
        <v>893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327</v>
      </c>
      <c r="F831" s="11" t="n">
        <v>34</v>
      </c>
      <c r="G831" s="13" t="s">
        <v>33</v>
      </c>
      <c r="H831" s="11" t="n">
        <v>2110405</v>
      </c>
      <c r="I831" s="13" t="s">
        <v>34</v>
      </c>
      <c r="J831" s="11" t="n">
        <v>793794</v>
      </c>
      <c r="L831" s="11" t="n">
        <v>100326</v>
      </c>
      <c r="M831" s="13" t="s">
        <v>315</v>
      </c>
      <c r="N831" s="13" t="s">
        <v>36</v>
      </c>
      <c r="P831" s="11" t="n">
        <v>101</v>
      </c>
      <c r="Q831" s="13" t="s">
        <v>37</v>
      </c>
      <c r="R831" s="13" t="s">
        <v>139</v>
      </c>
      <c r="S831" s="11" t="n">
        <v>2110901</v>
      </c>
      <c r="T831" s="13" t="s">
        <v>140</v>
      </c>
      <c r="U831" s="14" t="n">
        <v>1500</v>
      </c>
      <c r="W831" s="14" t="n">
        <v>0</v>
      </c>
      <c r="X831" s="13" t="s">
        <v>328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253</v>
      </c>
      <c r="F832" s="11" t="n">
        <v>24</v>
      </c>
      <c r="G832" s="13" t="s">
        <v>42</v>
      </c>
      <c r="H832" s="11" t="n">
        <v>2110101</v>
      </c>
      <c r="I832" s="13" t="s">
        <v>43</v>
      </c>
      <c r="J832" s="11" t="n">
        <v>1226690</v>
      </c>
      <c r="L832" s="11" t="n">
        <v>1030523</v>
      </c>
      <c r="M832" s="13" t="s">
        <v>44</v>
      </c>
      <c r="N832" s="13" t="s">
        <v>36</v>
      </c>
      <c r="P832" s="11" t="n">
        <v>128</v>
      </c>
      <c r="Q832" s="13" t="s">
        <v>45</v>
      </c>
      <c r="R832" s="13" t="s">
        <v>46</v>
      </c>
      <c r="S832" s="11" t="n">
        <v>1130101</v>
      </c>
      <c r="T832" s="13" t="s">
        <v>47</v>
      </c>
      <c r="U832" s="14" t="n">
        <v>593.7</v>
      </c>
      <c r="W832" s="14" t="n">
        <v>0</v>
      </c>
      <c r="X832" s="13" t="s">
        <v>894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EXT TOM OLE 190G</v>
      </c>
      <c r="AC832" s="1" t="n">
        <v>10244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445</v>
      </c>
      <c r="F833" s="11" t="n">
        <v>24</v>
      </c>
      <c r="G833" s="13" t="s">
        <v>42</v>
      </c>
      <c r="H833" s="11" t="n">
        <v>2110101</v>
      </c>
      <c r="I833" s="13" t="s">
        <v>43</v>
      </c>
      <c r="J833" s="11" t="n">
        <v>1230686</v>
      </c>
      <c r="L833" s="11" t="n">
        <v>180513093</v>
      </c>
      <c r="M833" s="13" t="s">
        <v>44</v>
      </c>
      <c r="N833" s="13" t="s">
        <v>36</v>
      </c>
      <c r="P833" s="11" t="n">
        <v>128</v>
      </c>
      <c r="Q833" s="13" t="s">
        <v>45</v>
      </c>
      <c r="R833" s="13" t="s">
        <v>46</v>
      </c>
      <c r="S833" s="11" t="n">
        <v>1130101</v>
      </c>
      <c r="T833" s="13" t="s">
        <v>47</v>
      </c>
      <c r="U833" s="14" t="n">
        <v>398.46</v>
      </c>
      <c r="W833" s="14" t="n">
        <v>0</v>
      </c>
      <c r="X833" s="13" t="s">
        <v>895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FIGURINHAS COPA MUNDIAL PC 7UN</v>
      </c>
      <c r="AC833" s="1" t="n">
        <v>1770429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170</v>
      </c>
      <c r="F834" s="11" t="n">
        <v>24</v>
      </c>
      <c r="G834" s="13" t="s">
        <v>42</v>
      </c>
      <c r="H834" s="11" t="n">
        <v>2110101</v>
      </c>
      <c r="I834" s="13" t="s">
        <v>43</v>
      </c>
      <c r="J834" s="11" t="n">
        <v>1230764</v>
      </c>
      <c r="L834" s="11" t="n">
        <v>12346573</v>
      </c>
      <c r="M834" s="13" t="s">
        <v>44</v>
      </c>
      <c r="N834" s="13" t="s">
        <v>36</v>
      </c>
      <c r="P834" s="11" t="n">
        <v>128</v>
      </c>
      <c r="Q834" s="13" t="s">
        <v>45</v>
      </c>
      <c r="R834" s="13" t="s">
        <v>46</v>
      </c>
      <c r="S834" s="11" t="n">
        <v>1130101</v>
      </c>
      <c r="T834" s="13" t="s">
        <v>47</v>
      </c>
      <c r="U834" s="14" t="n">
        <v>1155.4</v>
      </c>
      <c r="W834" s="14" t="n">
        <v>0</v>
      </c>
      <c r="X834" s="13" t="s">
        <v>896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nao encontrado</v>
      </c>
      <c r="AC834" s="1" t="n">
        <v>12345657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592</v>
      </c>
      <c r="F835" s="11" t="n">
        <v>24</v>
      </c>
      <c r="G835" s="13" t="s">
        <v>42</v>
      </c>
      <c r="H835" s="11" t="n">
        <v>2110101</v>
      </c>
      <c r="I835" s="13" t="s">
        <v>43</v>
      </c>
      <c r="J835" s="11" t="n">
        <v>1235192</v>
      </c>
      <c r="L835" s="11" t="n">
        <v>3460353</v>
      </c>
      <c r="M835" s="13" t="s">
        <v>44</v>
      </c>
      <c r="N835" s="13" t="s">
        <v>36</v>
      </c>
      <c r="P835" s="11" t="n">
        <v>128</v>
      </c>
      <c r="Q835" s="13" t="s">
        <v>45</v>
      </c>
      <c r="R835" s="13" t="s">
        <v>46</v>
      </c>
      <c r="S835" s="11" t="n">
        <v>1130101</v>
      </c>
      <c r="T835" s="13" t="s">
        <v>47</v>
      </c>
      <c r="U835" s="14" t="n">
        <v>1108.39</v>
      </c>
      <c r="W835" s="14" t="n">
        <v>0</v>
      </c>
      <c r="X835" s="13" t="s">
        <v>897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MILHO PIPOCA DONA CLARA 400G</v>
      </c>
      <c r="AC835" s="1" t="n">
        <v>346035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53</v>
      </c>
      <c r="F836" s="11" t="n">
        <v>24</v>
      </c>
      <c r="G836" s="13" t="s">
        <v>42</v>
      </c>
      <c r="H836" s="11" t="n">
        <v>2110101</v>
      </c>
      <c r="I836" s="13" t="s">
        <v>43</v>
      </c>
      <c r="J836" s="11" t="n">
        <v>1235386</v>
      </c>
      <c r="L836" s="11" t="n">
        <v>4501673</v>
      </c>
      <c r="M836" s="13" t="s">
        <v>44</v>
      </c>
      <c r="N836" s="13" t="s">
        <v>36</v>
      </c>
      <c r="P836" s="11" t="n">
        <v>128</v>
      </c>
      <c r="Q836" s="13" t="s">
        <v>45</v>
      </c>
      <c r="R836" s="13" t="s">
        <v>46</v>
      </c>
      <c r="S836" s="11" t="n">
        <v>1130101</v>
      </c>
      <c r="T836" s="13" t="s">
        <v>47</v>
      </c>
      <c r="U836" s="14" t="n">
        <v>2315.5</v>
      </c>
      <c r="W836" s="14" t="n">
        <v>0</v>
      </c>
      <c r="X836" s="13" t="s">
        <v>898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FRANGO A PASSARINHO </v>
      </c>
      <c r="AC836" s="1" t="n">
        <v>386569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594</v>
      </c>
      <c r="F837" s="11" t="n">
        <v>24</v>
      </c>
      <c r="G837" s="13" t="s">
        <v>42</v>
      </c>
      <c r="H837" s="11" t="n">
        <v>2110101</v>
      </c>
      <c r="I837" s="13" t="s">
        <v>43</v>
      </c>
      <c r="J837" s="11" t="n">
        <v>1255894</v>
      </c>
      <c r="L837" s="11" t="n">
        <v>186573</v>
      </c>
      <c r="M837" s="13" t="s">
        <v>44</v>
      </c>
      <c r="N837" s="13" t="s">
        <v>36</v>
      </c>
      <c r="P837" s="11" t="n">
        <v>128</v>
      </c>
      <c r="Q837" s="13" t="s">
        <v>45</v>
      </c>
      <c r="R837" s="13" t="s">
        <v>46</v>
      </c>
      <c r="S837" s="11" t="n">
        <v>1130101</v>
      </c>
      <c r="T837" s="13" t="s">
        <v>47</v>
      </c>
      <c r="U837" s="14" t="n">
        <v>835.77</v>
      </c>
      <c r="W837" s="14" t="n">
        <v>0</v>
      </c>
      <c r="X837" s="13" t="s">
        <v>899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BATON CHOCO AO LEITE</v>
      </c>
      <c r="AC837" s="1" t="n">
        <v>18657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67</v>
      </c>
      <c r="F838" s="11" t="n">
        <v>24</v>
      </c>
      <c r="G838" s="13" t="s">
        <v>42</v>
      </c>
      <c r="H838" s="11" t="n">
        <v>2110101</v>
      </c>
      <c r="I838" s="13" t="s">
        <v>43</v>
      </c>
      <c r="J838" s="11" t="n">
        <v>1265364</v>
      </c>
      <c r="L838" s="11" t="n">
        <v>13721732</v>
      </c>
      <c r="M838" s="13" t="s">
        <v>44</v>
      </c>
      <c r="N838" s="13" t="s">
        <v>36</v>
      </c>
      <c r="P838" s="11" t="n">
        <v>128</v>
      </c>
      <c r="Q838" s="13" t="s">
        <v>45</v>
      </c>
      <c r="R838" s="13" t="s">
        <v>46</v>
      </c>
      <c r="S838" s="11" t="n">
        <v>1130101</v>
      </c>
      <c r="T838" s="13" t="s">
        <v>47</v>
      </c>
      <c r="U838" s="14" t="n">
        <v>661.25</v>
      </c>
      <c r="W838" s="14" t="n">
        <v>0</v>
      </c>
      <c r="X838" s="13" t="s">
        <v>900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247</v>
      </c>
      <c r="F839" s="11" t="n">
        <v>24</v>
      </c>
      <c r="G839" s="13" t="s">
        <v>42</v>
      </c>
      <c r="H839" s="11" t="n">
        <v>2110101</v>
      </c>
      <c r="I839" s="13" t="s">
        <v>43</v>
      </c>
      <c r="J839" s="11" t="n">
        <v>1265383</v>
      </c>
      <c r="L839" s="11" t="n">
        <v>130522</v>
      </c>
      <c r="M839" s="13" t="s">
        <v>44</v>
      </c>
      <c r="N839" s="13" t="s">
        <v>36</v>
      </c>
      <c r="P839" s="11" t="n">
        <v>128</v>
      </c>
      <c r="Q839" s="13" t="s">
        <v>45</v>
      </c>
      <c r="R839" s="13" t="s">
        <v>46</v>
      </c>
      <c r="S839" s="11" t="n">
        <v>1130101</v>
      </c>
      <c r="T839" s="13" t="s">
        <v>47</v>
      </c>
      <c r="U839" s="14" t="n">
        <v>442.01</v>
      </c>
      <c r="W839" s="14" t="n">
        <v>0</v>
      </c>
      <c r="X839" s="13" t="s">
        <v>901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807</v>
      </c>
      <c r="F840" s="11" t="n">
        <v>24</v>
      </c>
      <c r="G840" s="13" t="s">
        <v>42</v>
      </c>
      <c r="H840" s="11" t="n">
        <v>2110101</v>
      </c>
      <c r="I840" s="13" t="s">
        <v>43</v>
      </c>
      <c r="J840" s="11" t="n">
        <v>1265442</v>
      </c>
      <c r="L840" s="11" t="n">
        <v>3950872</v>
      </c>
      <c r="M840" s="13" t="s">
        <v>44</v>
      </c>
      <c r="N840" s="13" t="s">
        <v>36</v>
      </c>
      <c r="P840" s="11" t="n">
        <v>128</v>
      </c>
      <c r="Q840" s="13" t="s">
        <v>45</v>
      </c>
      <c r="R840" s="13" t="s">
        <v>46</v>
      </c>
      <c r="S840" s="11" t="n">
        <v>1130101</v>
      </c>
      <c r="T840" s="13" t="s">
        <v>47</v>
      </c>
      <c r="U840" s="14" t="n">
        <v>412.49</v>
      </c>
      <c r="W840" s="14" t="n">
        <v>0</v>
      </c>
      <c r="X840" s="13" t="s">
        <v>902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170</v>
      </c>
      <c r="F841" s="11" t="n">
        <v>24</v>
      </c>
      <c r="G841" s="13" t="s">
        <v>42</v>
      </c>
      <c r="H841" s="11" t="n">
        <v>2110101</v>
      </c>
      <c r="I841" s="13" t="s">
        <v>43</v>
      </c>
      <c r="J841" s="11" t="n">
        <v>1266189</v>
      </c>
      <c r="L841" s="11" t="n">
        <v>12382022</v>
      </c>
      <c r="M841" s="13" t="s">
        <v>44</v>
      </c>
      <c r="N841" s="13" t="s">
        <v>36</v>
      </c>
      <c r="P841" s="11" t="n">
        <v>128</v>
      </c>
      <c r="Q841" s="13" t="s">
        <v>45</v>
      </c>
      <c r="R841" s="13" t="s">
        <v>46</v>
      </c>
      <c r="S841" s="11" t="n">
        <v>1130101</v>
      </c>
      <c r="T841" s="13" t="s">
        <v>47</v>
      </c>
      <c r="U841" s="14" t="n">
        <v>930.35</v>
      </c>
      <c r="W841" s="14" t="n">
        <v>0</v>
      </c>
      <c r="X841" s="13" t="s">
        <v>903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177</v>
      </c>
      <c r="F842" s="11" t="n">
        <v>24</v>
      </c>
      <c r="G842" s="13" t="s">
        <v>42</v>
      </c>
      <c r="H842" s="11" t="n">
        <v>2110101</v>
      </c>
      <c r="I842" s="13" t="s">
        <v>43</v>
      </c>
      <c r="J842" s="11" t="n">
        <v>1268701</v>
      </c>
      <c r="L842" s="11" t="n">
        <v>15983483</v>
      </c>
      <c r="M842" s="13" t="s">
        <v>44</v>
      </c>
      <c r="N842" s="13" t="s">
        <v>36</v>
      </c>
      <c r="P842" s="11" t="n">
        <v>128</v>
      </c>
      <c r="Q842" s="13" t="s">
        <v>45</v>
      </c>
      <c r="R842" s="13" t="s">
        <v>46</v>
      </c>
      <c r="S842" s="11" t="n">
        <v>1130101</v>
      </c>
      <c r="T842" s="13" t="s">
        <v>47</v>
      </c>
      <c r="U842" s="14" t="n">
        <v>2027.28</v>
      </c>
      <c r="W842" s="14" t="n">
        <v>0</v>
      </c>
      <c r="X842" s="13" t="s">
        <v>904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445</v>
      </c>
      <c r="F843" s="11" t="n">
        <v>24</v>
      </c>
      <c r="G843" s="13" t="s">
        <v>42</v>
      </c>
      <c r="H843" s="11" t="n">
        <v>2110101</v>
      </c>
      <c r="I843" s="13" t="s">
        <v>43</v>
      </c>
      <c r="J843" s="11" t="n">
        <v>1272625</v>
      </c>
      <c r="L843" s="11" t="n">
        <v>17732562</v>
      </c>
      <c r="M843" s="13" t="s">
        <v>44</v>
      </c>
      <c r="N843" s="13" t="s">
        <v>36</v>
      </c>
      <c r="P843" s="11" t="n">
        <v>128</v>
      </c>
      <c r="Q843" s="13" t="s">
        <v>45</v>
      </c>
      <c r="R843" s="13" t="s">
        <v>46</v>
      </c>
      <c r="S843" s="11" t="n">
        <v>1130101</v>
      </c>
      <c r="T843" s="13" t="s">
        <v>47</v>
      </c>
      <c r="U843" s="14" t="n">
        <v>393.5</v>
      </c>
      <c r="W843" s="14" t="n">
        <v>0</v>
      </c>
      <c r="X843" s="13" t="s">
        <v>905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373</v>
      </c>
      <c r="F844" s="11" t="n">
        <v>24</v>
      </c>
      <c r="G844" s="13" t="s">
        <v>42</v>
      </c>
      <c r="H844" s="11" t="n">
        <v>2110101</v>
      </c>
      <c r="I844" s="13" t="s">
        <v>43</v>
      </c>
      <c r="J844" s="11" t="n">
        <v>1289338</v>
      </c>
      <c r="L844" s="11" t="n">
        <v>1418633</v>
      </c>
      <c r="M844" s="13" t="s">
        <v>44</v>
      </c>
      <c r="N844" s="13" t="s">
        <v>69</v>
      </c>
      <c r="P844" s="11" t="n">
        <v>128</v>
      </c>
      <c r="Q844" s="13" t="s">
        <v>45</v>
      </c>
      <c r="R844" s="13" t="s">
        <v>46</v>
      </c>
      <c r="S844" s="11" t="n">
        <v>1130101</v>
      </c>
      <c r="T844" s="13" t="s">
        <v>47</v>
      </c>
      <c r="U844" s="14" t="n">
        <v>388.89</v>
      </c>
      <c r="W844" s="14" t="n">
        <v>0</v>
      </c>
      <c r="X844" s="13" t="s">
        <v>906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67</v>
      </c>
      <c r="F845" s="11" t="n">
        <v>24</v>
      </c>
      <c r="G845" s="13" t="s">
        <v>42</v>
      </c>
      <c r="H845" s="11" t="n">
        <v>2110101</v>
      </c>
      <c r="I845" s="13" t="s">
        <v>43</v>
      </c>
      <c r="J845" s="11" t="n">
        <v>1295728</v>
      </c>
      <c r="L845" s="11" t="n">
        <v>13764711</v>
      </c>
      <c r="M845" s="13" t="s">
        <v>44</v>
      </c>
      <c r="N845" s="13" t="s">
        <v>36</v>
      </c>
      <c r="P845" s="11" t="n">
        <v>128</v>
      </c>
      <c r="Q845" s="13" t="s">
        <v>45</v>
      </c>
      <c r="R845" s="13" t="s">
        <v>46</v>
      </c>
      <c r="S845" s="11" t="n">
        <v>1130101</v>
      </c>
      <c r="T845" s="13" t="s">
        <v>47</v>
      </c>
      <c r="U845" s="14" t="n">
        <v>696.25</v>
      </c>
      <c r="W845" s="14" t="n">
        <v>0</v>
      </c>
      <c r="X845" s="13" t="s">
        <v>907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170</v>
      </c>
      <c r="F846" s="11" t="n">
        <v>24</v>
      </c>
      <c r="G846" s="13" t="s">
        <v>42</v>
      </c>
      <c r="H846" s="11" t="n">
        <v>2110101</v>
      </c>
      <c r="I846" s="13" t="s">
        <v>43</v>
      </c>
      <c r="J846" s="11" t="n">
        <v>1304449</v>
      </c>
      <c r="L846" s="11" t="n">
        <v>12404731</v>
      </c>
      <c r="M846" s="13" t="s">
        <v>44</v>
      </c>
      <c r="N846" s="13" t="s">
        <v>36</v>
      </c>
      <c r="P846" s="11" t="n">
        <v>128</v>
      </c>
      <c r="Q846" s="13" t="s">
        <v>45</v>
      </c>
      <c r="R846" s="13" t="s">
        <v>46</v>
      </c>
      <c r="S846" s="11" t="n">
        <v>1130101</v>
      </c>
      <c r="T846" s="13" t="s">
        <v>47</v>
      </c>
      <c r="U846" s="14" t="n">
        <v>742.54</v>
      </c>
      <c r="W846" s="14" t="n">
        <v>0</v>
      </c>
      <c r="X846" s="13" t="s">
        <v>908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53</v>
      </c>
      <c r="F847" s="11" t="n">
        <v>24</v>
      </c>
      <c r="G847" s="13" t="s">
        <v>42</v>
      </c>
      <c r="H847" s="11" t="n">
        <v>2110101</v>
      </c>
      <c r="I847" s="13" t="s">
        <v>43</v>
      </c>
      <c r="J847" s="11" t="n">
        <v>1305180</v>
      </c>
      <c r="L847" s="11" t="n">
        <v>4526721</v>
      </c>
      <c r="M847" s="13" t="s">
        <v>44</v>
      </c>
      <c r="N847" s="13" t="s">
        <v>36</v>
      </c>
      <c r="P847" s="11" t="n">
        <v>128</v>
      </c>
      <c r="Q847" s="13" t="s">
        <v>45</v>
      </c>
      <c r="R847" s="13" t="s">
        <v>46</v>
      </c>
      <c r="S847" s="11" t="n">
        <v>1130101</v>
      </c>
      <c r="T847" s="13" t="s">
        <v>47</v>
      </c>
      <c r="U847" s="14" t="n">
        <v>1235.15</v>
      </c>
      <c r="W847" s="14" t="n">
        <v>0</v>
      </c>
      <c r="X847" s="13" t="s">
        <v>909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67</v>
      </c>
      <c r="F848" s="11" t="n">
        <v>24</v>
      </c>
      <c r="G848" s="13" t="s">
        <v>42</v>
      </c>
      <c r="H848" s="11" t="n">
        <v>2110101</v>
      </c>
      <c r="I848" s="13" t="s">
        <v>43</v>
      </c>
      <c r="J848" s="11" t="n">
        <v>1312283</v>
      </c>
      <c r="L848" s="11" t="n">
        <v>13798331</v>
      </c>
      <c r="M848" s="13" t="s">
        <v>44</v>
      </c>
      <c r="N848" s="13" t="s">
        <v>36</v>
      </c>
      <c r="P848" s="11" t="n">
        <v>128</v>
      </c>
      <c r="Q848" s="13" t="s">
        <v>45</v>
      </c>
      <c r="R848" s="13" t="s">
        <v>46</v>
      </c>
      <c r="S848" s="11" t="n">
        <v>1130101</v>
      </c>
      <c r="T848" s="13" t="s">
        <v>47</v>
      </c>
      <c r="U848" s="14" t="n">
        <v>956.15</v>
      </c>
      <c r="W848" s="14" t="n">
        <v>0</v>
      </c>
      <c r="X848" s="13" t="s">
        <v>910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76</v>
      </c>
      <c r="F849" s="11" t="n">
        <v>24</v>
      </c>
      <c r="G849" s="13" t="s">
        <v>42</v>
      </c>
      <c r="H849" s="11" t="n">
        <v>2110101</v>
      </c>
      <c r="I849" s="13" t="s">
        <v>43</v>
      </c>
      <c r="J849" s="11" t="n">
        <v>1321847</v>
      </c>
      <c r="L849" s="11" t="n">
        <v>54438</v>
      </c>
      <c r="M849" s="13" t="s">
        <v>44</v>
      </c>
      <c r="N849" s="13" t="s">
        <v>36</v>
      </c>
      <c r="P849" s="11" t="n">
        <v>128</v>
      </c>
      <c r="Q849" s="13" t="s">
        <v>45</v>
      </c>
      <c r="R849" s="13" t="s">
        <v>46</v>
      </c>
      <c r="S849" s="11" t="n">
        <v>1130101</v>
      </c>
      <c r="T849" s="13" t="s">
        <v>47</v>
      </c>
      <c r="U849" s="14" t="n">
        <v>3672</v>
      </c>
      <c r="W849" s="14" t="n">
        <v>0</v>
      </c>
      <c r="X849" s="13" t="s">
        <v>911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76</v>
      </c>
      <c r="F850" s="11" t="n">
        <v>24</v>
      </c>
      <c r="G850" s="13" t="s">
        <v>42</v>
      </c>
      <c r="H850" s="11" t="n">
        <v>2110101</v>
      </c>
      <c r="I850" s="13" t="s">
        <v>43</v>
      </c>
      <c r="J850" s="11" t="n">
        <v>1321912</v>
      </c>
      <c r="L850" s="11" t="n">
        <v>54520</v>
      </c>
      <c r="M850" s="13" t="s">
        <v>44</v>
      </c>
      <c r="N850" s="13" t="s">
        <v>36</v>
      </c>
      <c r="P850" s="11" t="n">
        <v>128</v>
      </c>
      <c r="Q850" s="13" t="s">
        <v>45</v>
      </c>
      <c r="R850" s="13" t="s">
        <v>46</v>
      </c>
      <c r="S850" s="11" t="n">
        <v>1130101</v>
      </c>
      <c r="T850" s="13" t="s">
        <v>47</v>
      </c>
      <c r="U850" s="14" t="n">
        <v>2176</v>
      </c>
      <c r="W850" s="14" t="n">
        <v>0</v>
      </c>
      <c r="X850" s="13" t="s">
        <v>912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223</v>
      </c>
      <c r="F851" s="11" t="n">
        <v>24</v>
      </c>
      <c r="G851" s="13" t="s">
        <v>42</v>
      </c>
      <c r="H851" s="11" t="n">
        <v>2110101</v>
      </c>
      <c r="I851" s="13" t="s">
        <v>43</v>
      </c>
      <c r="J851" s="11" t="n">
        <v>1329777</v>
      </c>
      <c r="L851" s="11" t="n">
        <v>1465791</v>
      </c>
      <c r="M851" s="13" t="s">
        <v>44</v>
      </c>
      <c r="N851" s="13" t="s">
        <v>36</v>
      </c>
      <c r="P851" s="11" t="n">
        <v>128</v>
      </c>
      <c r="Q851" s="13" t="s">
        <v>45</v>
      </c>
      <c r="R851" s="13" t="s">
        <v>46</v>
      </c>
      <c r="S851" s="11" t="n">
        <v>1130101</v>
      </c>
      <c r="T851" s="13" t="s">
        <v>47</v>
      </c>
      <c r="U851" s="14" t="n">
        <v>1307.95</v>
      </c>
      <c r="W851" s="14" t="n">
        <v>0</v>
      </c>
      <c r="X851" s="13" t="s">
        <v>913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223</v>
      </c>
      <c r="F852" s="11" t="n">
        <v>24</v>
      </c>
      <c r="G852" s="13" t="s">
        <v>42</v>
      </c>
      <c r="H852" s="11" t="n">
        <v>2110101</v>
      </c>
      <c r="I852" s="13" t="s">
        <v>43</v>
      </c>
      <c r="J852" s="11" t="n">
        <v>1329808</v>
      </c>
      <c r="L852" s="11" t="n">
        <v>1465781</v>
      </c>
      <c r="M852" s="13" t="s">
        <v>44</v>
      </c>
      <c r="N852" s="13" t="s">
        <v>36</v>
      </c>
      <c r="P852" s="11" t="n">
        <v>128</v>
      </c>
      <c r="Q852" s="13" t="s">
        <v>45</v>
      </c>
      <c r="R852" s="13" t="s">
        <v>46</v>
      </c>
      <c r="S852" s="11" t="n">
        <v>1130101</v>
      </c>
      <c r="T852" s="13" t="s">
        <v>47</v>
      </c>
      <c r="U852" s="14" t="n">
        <v>2224</v>
      </c>
      <c r="W852" s="14" t="n">
        <v>0</v>
      </c>
      <c r="X852" s="13" t="s">
        <v>914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122</v>
      </c>
      <c r="F853" s="11" t="n">
        <v>24</v>
      </c>
      <c r="G853" s="13" t="s">
        <v>42</v>
      </c>
      <c r="H853" s="11" t="n">
        <v>2110101</v>
      </c>
      <c r="I853" s="13" t="s">
        <v>43</v>
      </c>
      <c r="J853" s="11" t="n">
        <v>1330754</v>
      </c>
      <c r="L853" s="11" t="n">
        <v>11810947</v>
      </c>
      <c r="M853" s="13" t="s">
        <v>44</v>
      </c>
      <c r="N853" s="13" t="s">
        <v>36</v>
      </c>
      <c r="P853" s="11" t="n">
        <v>128</v>
      </c>
      <c r="Q853" s="13" t="s">
        <v>45</v>
      </c>
      <c r="R853" s="13" t="s">
        <v>46</v>
      </c>
      <c r="S853" s="11" t="n">
        <v>1130101</v>
      </c>
      <c r="T853" s="13" t="s">
        <v>47</v>
      </c>
      <c r="U853" s="14" t="n">
        <v>1485.01</v>
      </c>
      <c r="W853" s="14" t="n">
        <v>0</v>
      </c>
      <c r="X853" s="13" t="s">
        <v>915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177</v>
      </c>
      <c r="F854" s="11" t="n">
        <v>24</v>
      </c>
      <c r="G854" s="13" t="s">
        <v>42</v>
      </c>
      <c r="H854" s="11" t="n">
        <v>2110101</v>
      </c>
      <c r="I854" s="13" t="s">
        <v>43</v>
      </c>
      <c r="J854" s="11" t="n">
        <v>1335303</v>
      </c>
      <c r="L854" s="11" t="n">
        <v>16023163</v>
      </c>
      <c r="M854" s="13" t="s">
        <v>44</v>
      </c>
      <c r="N854" s="13" t="s">
        <v>36</v>
      </c>
      <c r="P854" s="11" t="n">
        <v>167</v>
      </c>
      <c r="Q854" s="13" t="s">
        <v>101</v>
      </c>
      <c r="R854" s="13" t="s">
        <v>46</v>
      </c>
      <c r="S854" s="11" t="n">
        <v>1130101</v>
      </c>
      <c r="T854" s="13" t="s">
        <v>47</v>
      </c>
      <c r="U854" s="14" t="n">
        <v>1398.81</v>
      </c>
      <c r="W854" s="14" t="n">
        <v>0</v>
      </c>
      <c r="X854" s="13" t="s">
        <v>916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FRANGO A PASSARINHO 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212</v>
      </c>
      <c r="F855" s="11" t="n">
        <v>24</v>
      </c>
      <c r="G855" s="13" t="s">
        <v>42</v>
      </c>
      <c r="H855" s="11" t="n">
        <v>2110101</v>
      </c>
      <c r="I855" s="13" t="s">
        <v>43</v>
      </c>
      <c r="J855" s="11" t="n">
        <v>1340265</v>
      </c>
      <c r="L855" s="11" t="n">
        <v>56562613</v>
      </c>
      <c r="M855" s="13" t="s">
        <v>44</v>
      </c>
      <c r="N855" s="13" t="s">
        <v>36</v>
      </c>
      <c r="P855" s="11" t="n">
        <v>167</v>
      </c>
      <c r="Q855" s="13" t="s">
        <v>101</v>
      </c>
      <c r="R855" s="13" t="s">
        <v>46</v>
      </c>
      <c r="S855" s="11" t="n">
        <v>1130101</v>
      </c>
      <c r="T855" s="13" t="s">
        <v>47</v>
      </c>
      <c r="U855" s="14" t="n">
        <v>1891.66</v>
      </c>
      <c r="W855" s="14" t="n">
        <v>0</v>
      </c>
      <c r="X855" s="13" t="s">
        <v>917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223</v>
      </c>
      <c r="F856" s="11" t="n">
        <v>24</v>
      </c>
      <c r="G856" s="13" t="s">
        <v>42</v>
      </c>
      <c r="H856" s="11" t="n">
        <v>2110101</v>
      </c>
      <c r="I856" s="13" t="s">
        <v>43</v>
      </c>
      <c r="J856" s="11" t="n">
        <v>1340410</v>
      </c>
      <c r="L856" s="11" t="n">
        <v>1418151</v>
      </c>
      <c r="M856" s="13" t="s">
        <v>44</v>
      </c>
      <c r="N856" s="13" t="s">
        <v>36</v>
      </c>
      <c r="P856" s="11" t="n">
        <v>167</v>
      </c>
      <c r="Q856" s="13" t="s">
        <v>101</v>
      </c>
      <c r="R856" s="13" t="s">
        <v>46</v>
      </c>
      <c r="S856" s="11" t="n">
        <v>1130101</v>
      </c>
      <c r="T856" s="13" t="s">
        <v>47</v>
      </c>
      <c r="U856" s="14" t="n">
        <v>3294</v>
      </c>
      <c r="W856" s="14" t="n">
        <v>0</v>
      </c>
      <c r="X856" s="13" t="s">
        <v>918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84</v>
      </c>
      <c r="F857" s="11" t="n">
        <v>24</v>
      </c>
      <c r="G857" s="13" t="s">
        <v>42</v>
      </c>
      <c r="H857" s="11" t="n">
        <v>2110405</v>
      </c>
      <c r="I857" s="13" t="s">
        <v>34</v>
      </c>
      <c r="J857" s="11" t="n">
        <v>1379335</v>
      </c>
      <c r="L857" s="11" t="n">
        <v>215319</v>
      </c>
      <c r="M857" s="13" t="s">
        <v>44</v>
      </c>
      <c r="N857" s="13" t="s">
        <v>36</v>
      </c>
      <c r="P857" s="11" t="n">
        <v>102</v>
      </c>
      <c r="Q857" s="13" t="s">
        <v>186</v>
      </c>
      <c r="R857" s="13" t="s">
        <v>46</v>
      </c>
      <c r="S857" s="11" t="n">
        <v>1130101</v>
      </c>
      <c r="T857" s="13" t="s">
        <v>47</v>
      </c>
      <c r="U857" s="14" t="n">
        <v>619.13</v>
      </c>
      <c r="W857" s="14" t="n">
        <v>0</v>
      </c>
      <c r="X857" s="13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227</v>
      </c>
      <c r="F858" s="11" t="n">
        <v>13</v>
      </c>
      <c r="G858" s="13" t="s">
        <v>81</v>
      </c>
      <c r="H858" s="11" t="n">
        <v>2110101</v>
      </c>
      <c r="I858" s="13" t="s">
        <v>43</v>
      </c>
      <c r="J858" s="11" t="n">
        <v>1381927</v>
      </c>
      <c r="L858" s="11" t="n">
        <v>354</v>
      </c>
      <c r="M858" s="13" t="s">
        <v>44</v>
      </c>
      <c r="N858" s="13" t="s">
        <v>69</v>
      </c>
      <c r="P858" s="11" t="n">
        <v>167</v>
      </c>
      <c r="Q858" s="13" t="s">
        <v>101</v>
      </c>
      <c r="R858" s="13" t="s">
        <v>46</v>
      </c>
      <c r="S858" s="11" t="n">
        <v>1130101</v>
      </c>
      <c r="T858" s="13" t="s">
        <v>47</v>
      </c>
      <c r="U858" s="14" t="n">
        <v>784</v>
      </c>
      <c r="W858" s="14" t="n">
        <v>784</v>
      </c>
      <c r="X858" s="13" t="s">
        <v>919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920</v>
      </c>
      <c r="F859" s="11" t="n">
        <v>13</v>
      </c>
      <c r="G859" s="13" t="s">
        <v>81</v>
      </c>
      <c r="H859" s="11" t="n">
        <v>2110101</v>
      </c>
      <c r="I859" s="13" t="s">
        <v>43</v>
      </c>
      <c r="J859" s="11" t="n">
        <v>1424658</v>
      </c>
      <c r="L859" s="11" t="n">
        <v>45</v>
      </c>
      <c r="M859" s="13" t="s">
        <v>44</v>
      </c>
      <c r="N859" s="13" t="s">
        <v>69</v>
      </c>
      <c r="P859" s="11" t="n">
        <v>167</v>
      </c>
      <c r="Q859" s="13" t="s">
        <v>101</v>
      </c>
      <c r="R859" s="13" t="s">
        <v>46</v>
      </c>
      <c r="S859" s="11" t="n">
        <v>1130101</v>
      </c>
      <c r="T859" s="13" t="s">
        <v>47</v>
      </c>
      <c r="U859" s="14" t="n">
        <v>54</v>
      </c>
      <c r="W859" s="14" t="n">
        <v>0</v>
      </c>
      <c r="X859" s="13" t="s">
        <v>921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251</v>
      </c>
      <c r="F860" s="11" t="n">
        <v>24</v>
      </c>
      <c r="G860" s="13" t="s">
        <v>42</v>
      </c>
      <c r="H860" s="11" t="n">
        <v>2110101</v>
      </c>
      <c r="I860" s="13" t="s">
        <v>43</v>
      </c>
      <c r="J860" s="11" t="n">
        <v>1062374</v>
      </c>
      <c r="L860" s="11" t="n">
        <v>8701273</v>
      </c>
      <c r="M860" s="13" t="s">
        <v>44</v>
      </c>
      <c r="N860" s="13" t="s">
        <v>36</v>
      </c>
      <c r="P860" s="11" t="n">
        <v>128</v>
      </c>
      <c r="Q860" s="13" t="s">
        <v>45</v>
      </c>
      <c r="R860" s="13" t="s">
        <v>46</v>
      </c>
      <c r="S860" s="11" t="n">
        <v>1130101</v>
      </c>
      <c r="T860" s="13" t="s">
        <v>47</v>
      </c>
      <c r="U860" s="14" t="n">
        <v>616.08</v>
      </c>
      <c r="W860" s="14" t="n">
        <v>0</v>
      </c>
      <c r="X860" s="13" t="s">
        <v>922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nao encontrado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116</v>
      </c>
      <c r="F861" s="11" t="n">
        <v>24</v>
      </c>
      <c r="G861" s="13" t="s">
        <v>42</v>
      </c>
      <c r="H861" s="11" t="n">
        <v>2110405</v>
      </c>
      <c r="I861" s="13" t="s">
        <v>34</v>
      </c>
      <c r="J861" s="11" t="n">
        <v>1126731</v>
      </c>
      <c r="L861" s="11" t="n">
        <v>162050373</v>
      </c>
      <c r="M861" s="13" t="s">
        <v>44</v>
      </c>
      <c r="N861" s="13" t="s">
        <v>36</v>
      </c>
      <c r="P861" s="11" t="n">
        <v>128</v>
      </c>
      <c r="Q861" s="13" t="s">
        <v>45</v>
      </c>
      <c r="R861" s="13" t="s">
        <v>38</v>
      </c>
      <c r="S861" s="11" t="n">
        <v>4210207</v>
      </c>
      <c r="T861" s="13" t="s">
        <v>117</v>
      </c>
      <c r="U861" s="14" t="n">
        <v>64.16</v>
      </c>
      <c r="W861" s="14" t="n">
        <v>0</v>
      </c>
      <c r="X861" s="13" t="s">
        <v>117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497</v>
      </c>
      <c r="F862" s="11" t="n">
        <v>24</v>
      </c>
      <c r="G862" s="13" t="s">
        <v>42</v>
      </c>
      <c r="H862" s="11" t="n">
        <v>2110101</v>
      </c>
      <c r="I862" s="13" t="s">
        <v>43</v>
      </c>
      <c r="J862" s="11" t="n">
        <v>1160710</v>
      </c>
      <c r="L862" s="11" t="n">
        <v>1898653</v>
      </c>
      <c r="M862" s="13" t="s">
        <v>44</v>
      </c>
      <c r="N862" s="13" t="s">
        <v>36</v>
      </c>
      <c r="P862" s="11" t="n">
        <v>128</v>
      </c>
      <c r="Q862" s="13" t="s">
        <v>45</v>
      </c>
      <c r="R862" s="13" t="s">
        <v>46</v>
      </c>
      <c r="S862" s="11" t="n">
        <v>1130101</v>
      </c>
      <c r="T862" s="13" t="s">
        <v>47</v>
      </c>
      <c r="U862" s="14" t="n">
        <v>406.15</v>
      </c>
      <c r="W862" s="14" t="n">
        <v>0</v>
      </c>
      <c r="X862" s="13" t="s">
        <v>923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nao encontrado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497</v>
      </c>
      <c r="F863" s="11" t="n">
        <v>24</v>
      </c>
      <c r="G863" s="13" t="s">
        <v>42</v>
      </c>
      <c r="H863" s="11" t="n">
        <v>2110101</v>
      </c>
      <c r="I863" s="13" t="s">
        <v>43</v>
      </c>
      <c r="J863" s="11" t="n">
        <v>1171316</v>
      </c>
      <c r="L863" s="11" t="n">
        <v>18997973</v>
      </c>
      <c r="M863" s="13" t="s">
        <v>44</v>
      </c>
      <c r="N863" s="13" t="s">
        <v>36</v>
      </c>
      <c r="P863" s="11" t="n">
        <v>128</v>
      </c>
      <c r="Q863" s="13" t="s">
        <v>45</v>
      </c>
      <c r="R863" s="13" t="s">
        <v>46</v>
      </c>
      <c r="S863" s="11" t="n">
        <v>1130101</v>
      </c>
      <c r="T863" s="13" t="s">
        <v>47</v>
      </c>
      <c r="U863" s="14" t="n">
        <v>485.14</v>
      </c>
      <c r="W863" s="14" t="n">
        <v>0</v>
      </c>
      <c r="X863" s="13" t="s">
        <v>924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nao encontrado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208</v>
      </c>
      <c r="F864" s="11" t="n">
        <v>24</v>
      </c>
      <c r="G864" s="13" t="s">
        <v>42</v>
      </c>
      <c r="H864" s="11" t="n">
        <v>2110101</v>
      </c>
      <c r="I864" s="13" t="s">
        <v>43</v>
      </c>
      <c r="J864" s="11" t="n">
        <v>1176102</v>
      </c>
      <c r="L864" s="11" t="n">
        <v>6561744</v>
      </c>
      <c r="M864" s="13" t="s">
        <v>44</v>
      </c>
      <c r="N864" s="13" t="s">
        <v>36</v>
      </c>
      <c r="P864" s="11" t="n">
        <v>128</v>
      </c>
      <c r="Q864" s="13" t="s">
        <v>45</v>
      </c>
      <c r="R864" s="13" t="s">
        <v>46</v>
      </c>
      <c r="S864" s="11" t="n">
        <v>1130101</v>
      </c>
      <c r="T864" s="13" t="s">
        <v>47</v>
      </c>
      <c r="U864" s="14" t="n">
        <v>653.4</v>
      </c>
      <c r="W864" s="14" t="n">
        <v>0</v>
      </c>
      <c r="X864" s="13" t="s">
        <v>925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nao encontrado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264</v>
      </c>
      <c r="F865" s="11" t="n">
        <v>24</v>
      </c>
      <c r="G865" s="13" t="s">
        <v>42</v>
      </c>
      <c r="H865" s="11" t="n">
        <v>2110101</v>
      </c>
      <c r="I865" s="13" t="s">
        <v>43</v>
      </c>
      <c r="J865" s="11" t="n">
        <v>1210631</v>
      </c>
      <c r="L865" s="11" t="n">
        <v>22908833</v>
      </c>
      <c r="M865" s="13" t="s">
        <v>44</v>
      </c>
      <c r="N865" s="13" t="s">
        <v>36</v>
      </c>
      <c r="P865" s="11" t="n">
        <v>128</v>
      </c>
      <c r="Q865" s="13" t="s">
        <v>45</v>
      </c>
      <c r="R865" s="13" t="s">
        <v>46</v>
      </c>
      <c r="S865" s="11" t="n">
        <v>1130101</v>
      </c>
      <c r="T865" s="13" t="s">
        <v>47</v>
      </c>
      <c r="U865" s="14" t="n">
        <v>350</v>
      </c>
      <c r="W865" s="14" t="n">
        <v>0</v>
      </c>
      <c r="X865" s="13" t="s">
        <v>926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49</v>
      </c>
      <c r="F866" s="11" t="n">
        <v>24</v>
      </c>
      <c r="G866" s="13" t="s">
        <v>42</v>
      </c>
      <c r="H866" s="11" t="n">
        <v>2110101</v>
      </c>
      <c r="I866" s="13" t="s">
        <v>43</v>
      </c>
      <c r="J866" s="11" t="n">
        <v>1222291</v>
      </c>
      <c r="L866" s="11" t="n">
        <v>31985344</v>
      </c>
      <c r="M866" s="13" t="s">
        <v>44</v>
      </c>
      <c r="N866" s="13" t="s">
        <v>36</v>
      </c>
      <c r="P866" s="11" t="n">
        <v>128</v>
      </c>
      <c r="Q866" s="13" t="s">
        <v>45</v>
      </c>
      <c r="R866" s="13" t="s">
        <v>46</v>
      </c>
      <c r="S866" s="11" t="n">
        <v>1130101</v>
      </c>
      <c r="T866" s="13" t="s">
        <v>47</v>
      </c>
      <c r="U866" s="14" t="n">
        <v>326.65</v>
      </c>
      <c r="W866" s="14" t="n">
        <v>0</v>
      </c>
      <c r="X866" s="13" t="s">
        <v>927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152</v>
      </c>
      <c r="F867" s="11" t="n">
        <v>24</v>
      </c>
      <c r="G867" s="13" t="s">
        <v>42</v>
      </c>
      <c r="H867" s="11" t="n">
        <v>2110101</v>
      </c>
      <c r="I867" s="13" t="s">
        <v>43</v>
      </c>
      <c r="J867" s="11" t="n">
        <v>1230857</v>
      </c>
      <c r="L867" s="11" t="n">
        <v>48803</v>
      </c>
      <c r="M867" s="13" t="s">
        <v>44</v>
      </c>
      <c r="N867" s="13" t="s">
        <v>36</v>
      </c>
      <c r="P867" s="11" t="n">
        <v>128</v>
      </c>
      <c r="Q867" s="13" t="s">
        <v>45</v>
      </c>
      <c r="R867" s="13" t="s">
        <v>46</v>
      </c>
      <c r="S867" s="11" t="n">
        <v>1130101</v>
      </c>
      <c r="T867" s="13" t="s">
        <v>47</v>
      </c>
      <c r="U867" s="14" t="n">
        <v>496.04</v>
      </c>
      <c r="W867" s="14" t="n">
        <v>0</v>
      </c>
      <c r="X867" s="13" t="s">
        <v>928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720</v>
      </c>
      <c r="F868" s="11" t="n">
        <v>24</v>
      </c>
      <c r="G868" s="13" t="s">
        <v>42</v>
      </c>
      <c r="H868" s="11" t="n">
        <v>2110101</v>
      </c>
      <c r="I868" s="13" t="s">
        <v>43</v>
      </c>
      <c r="J868" s="11" t="n">
        <v>1231861</v>
      </c>
      <c r="L868" s="11" t="n">
        <v>202662</v>
      </c>
      <c r="M868" s="13" t="s">
        <v>44</v>
      </c>
      <c r="N868" s="13" t="s">
        <v>36</v>
      </c>
      <c r="P868" s="11" t="n">
        <v>128</v>
      </c>
      <c r="Q868" s="13" t="s">
        <v>45</v>
      </c>
      <c r="R868" s="13" t="s">
        <v>46</v>
      </c>
      <c r="S868" s="11" t="n">
        <v>1130101</v>
      </c>
      <c r="T868" s="13" t="s">
        <v>47</v>
      </c>
      <c r="U868" s="14" t="n">
        <v>227.28</v>
      </c>
      <c r="W868" s="14" t="n">
        <v>0</v>
      </c>
      <c r="X868" s="13" t="s">
        <v>929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155</v>
      </c>
      <c r="F869" s="11" t="n">
        <v>24</v>
      </c>
      <c r="G869" s="13" t="s">
        <v>42</v>
      </c>
      <c r="H869" s="11" t="n">
        <v>2110101</v>
      </c>
      <c r="I869" s="13" t="s">
        <v>43</v>
      </c>
      <c r="J869" s="11" t="n">
        <v>1236004</v>
      </c>
      <c r="L869" s="11" t="n">
        <v>9383743</v>
      </c>
      <c r="M869" s="13" t="s">
        <v>44</v>
      </c>
      <c r="N869" s="13" t="s">
        <v>36</v>
      </c>
      <c r="P869" s="11" t="n">
        <v>128</v>
      </c>
      <c r="Q869" s="13" t="s">
        <v>45</v>
      </c>
      <c r="R869" s="13" t="s">
        <v>46</v>
      </c>
      <c r="S869" s="11" t="n">
        <v>1130101</v>
      </c>
      <c r="T869" s="13" t="s">
        <v>47</v>
      </c>
      <c r="U869" s="14" t="n">
        <v>504.26</v>
      </c>
      <c r="W869" s="14" t="n">
        <v>0</v>
      </c>
      <c r="X869" s="13" t="s">
        <v>930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251</v>
      </c>
      <c r="F870" s="11" t="n">
        <v>24</v>
      </c>
      <c r="G870" s="13" t="s">
        <v>42</v>
      </c>
      <c r="H870" s="11" t="n">
        <v>2110101</v>
      </c>
      <c r="I870" s="13" t="s">
        <v>43</v>
      </c>
      <c r="J870" s="11" t="n">
        <v>1241418</v>
      </c>
      <c r="L870" s="11" t="n">
        <v>8782352</v>
      </c>
      <c r="M870" s="13" t="s">
        <v>44</v>
      </c>
      <c r="N870" s="13" t="s">
        <v>36</v>
      </c>
      <c r="P870" s="11" t="n">
        <v>128</v>
      </c>
      <c r="Q870" s="13" t="s">
        <v>45</v>
      </c>
      <c r="R870" s="13" t="s">
        <v>46</v>
      </c>
      <c r="S870" s="11" t="n">
        <v>1130101</v>
      </c>
      <c r="T870" s="13" t="s">
        <v>47</v>
      </c>
      <c r="U870" s="14" t="n">
        <v>427.88</v>
      </c>
      <c r="W870" s="14" t="n">
        <v>0</v>
      </c>
      <c r="X870" s="13" t="s">
        <v>931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53</v>
      </c>
      <c r="F871" s="11" t="n">
        <v>24</v>
      </c>
      <c r="G871" s="13" t="s">
        <v>42</v>
      </c>
      <c r="H871" s="11" t="n">
        <v>2110101</v>
      </c>
      <c r="I871" s="13" t="s">
        <v>43</v>
      </c>
      <c r="J871" s="11" t="n">
        <v>1265568</v>
      </c>
      <c r="L871" s="11" t="n">
        <v>4512042</v>
      </c>
      <c r="M871" s="13" t="s">
        <v>44</v>
      </c>
      <c r="N871" s="13" t="s">
        <v>36</v>
      </c>
      <c r="P871" s="11" t="n">
        <v>128</v>
      </c>
      <c r="Q871" s="13" t="s">
        <v>45</v>
      </c>
      <c r="R871" s="13" t="s">
        <v>46</v>
      </c>
      <c r="S871" s="11" t="n">
        <v>1130101</v>
      </c>
      <c r="T871" s="13" t="s">
        <v>47</v>
      </c>
      <c r="U871" s="14" t="n">
        <v>369</v>
      </c>
      <c r="W871" s="14" t="n">
        <v>0</v>
      </c>
      <c r="X871" s="13" t="s">
        <v>932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49</v>
      </c>
      <c r="F872" s="11" t="n">
        <v>24</v>
      </c>
      <c r="G872" s="13" t="s">
        <v>42</v>
      </c>
      <c r="H872" s="11" t="n">
        <v>2110101</v>
      </c>
      <c r="I872" s="13" t="s">
        <v>43</v>
      </c>
      <c r="J872" s="11" t="n">
        <v>1265915</v>
      </c>
      <c r="L872" s="11" t="n">
        <v>32042672</v>
      </c>
      <c r="M872" s="13" t="s">
        <v>44</v>
      </c>
      <c r="N872" s="13" t="s">
        <v>36</v>
      </c>
      <c r="P872" s="11" t="n">
        <v>128</v>
      </c>
      <c r="Q872" s="13" t="s">
        <v>45</v>
      </c>
      <c r="R872" s="13" t="s">
        <v>46</v>
      </c>
      <c r="S872" s="11" t="n">
        <v>1130101</v>
      </c>
      <c r="T872" s="13" t="s">
        <v>47</v>
      </c>
      <c r="U872" s="14" t="n">
        <v>358.9</v>
      </c>
      <c r="W872" s="14" t="n">
        <v>0</v>
      </c>
      <c r="X872" s="13" t="s">
        <v>933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125</v>
      </c>
      <c r="F873" s="11" t="n">
        <v>24</v>
      </c>
      <c r="G873" s="13" t="s">
        <v>42</v>
      </c>
      <c r="H873" s="11" t="n">
        <v>2110101</v>
      </c>
      <c r="I873" s="13" t="s">
        <v>43</v>
      </c>
      <c r="J873" s="11" t="n">
        <v>1266199</v>
      </c>
      <c r="L873" s="11" t="n">
        <v>253629</v>
      </c>
      <c r="M873" s="13" t="s">
        <v>44</v>
      </c>
      <c r="N873" s="13" t="s">
        <v>69</v>
      </c>
      <c r="P873" s="11" t="n">
        <v>128</v>
      </c>
      <c r="Q873" s="13" t="s">
        <v>45</v>
      </c>
      <c r="R873" s="13" t="s">
        <v>46</v>
      </c>
      <c r="S873" s="11" t="n">
        <v>1130101</v>
      </c>
      <c r="T873" s="13" t="s">
        <v>47</v>
      </c>
      <c r="U873" s="14" t="n">
        <v>352.46</v>
      </c>
      <c r="W873" s="14" t="n">
        <v>0</v>
      </c>
      <c r="X873" s="13" t="s">
        <v>934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60</v>
      </c>
      <c r="F874" s="11" t="n">
        <v>24</v>
      </c>
      <c r="G874" s="13" t="s">
        <v>42</v>
      </c>
      <c r="H874" s="11" t="n">
        <v>2110101</v>
      </c>
      <c r="I874" s="13" t="s">
        <v>43</v>
      </c>
      <c r="J874" s="11" t="n">
        <v>1266329</v>
      </c>
      <c r="L874" s="11" t="n">
        <v>3047922</v>
      </c>
      <c r="M874" s="13" t="s">
        <v>44</v>
      </c>
      <c r="N874" s="13" t="s">
        <v>36</v>
      </c>
      <c r="P874" s="11" t="n">
        <v>128</v>
      </c>
      <c r="Q874" s="13" t="s">
        <v>45</v>
      </c>
      <c r="R874" s="13" t="s">
        <v>46</v>
      </c>
      <c r="S874" s="11" t="n">
        <v>1130101</v>
      </c>
      <c r="T874" s="13" t="s">
        <v>47</v>
      </c>
      <c r="U874" s="14" t="n">
        <v>391.4</v>
      </c>
      <c r="W874" s="14" t="n">
        <v>0</v>
      </c>
      <c r="X874" s="13" t="s">
        <v>935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195</v>
      </c>
      <c r="F875" s="11" t="n">
        <v>24</v>
      </c>
      <c r="G875" s="13" t="s">
        <v>42</v>
      </c>
      <c r="H875" s="11" t="n">
        <v>2110101</v>
      </c>
      <c r="I875" s="13" t="s">
        <v>43</v>
      </c>
      <c r="J875" s="11" t="n">
        <v>1269290</v>
      </c>
      <c r="L875" s="11" t="n">
        <v>29852</v>
      </c>
      <c r="M875" s="13" t="s">
        <v>44</v>
      </c>
      <c r="N875" s="13" t="s">
        <v>36</v>
      </c>
      <c r="P875" s="11" t="n">
        <v>128</v>
      </c>
      <c r="Q875" s="13" t="s">
        <v>45</v>
      </c>
      <c r="R875" s="13" t="s">
        <v>38</v>
      </c>
      <c r="S875" s="11" t="n">
        <v>4210227</v>
      </c>
      <c r="T875" s="13" t="s">
        <v>196</v>
      </c>
      <c r="U875" s="14" t="n">
        <v>506.02</v>
      </c>
      <c r="W875" s="14" t="n">
        <v>0</v>
      </c>
      <c r="X875" s="13" t="s">
        <v>936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937</v>
      </c>
      <c r="F876" s="11" t="n">
        <v>24</v>
      </c>
      <c r="G876" s="13" t="s">
        <v>42</v>
      </c>
      <c r="H876" s="11" t="n">
        <v>2110101</v>
      </c>
      <c r="I876" s="13" t="s">
        <v>43</v>
      </c>
      <c r="J876" s="11" t="n">
        <v>1279772</v>
      </c>
      <c r="L876" s="11" t="n">
        <v>133055</v>
      </c>
      <c r="M876" s="13" t="s">
        <v>44</v>
      </c>
      <c r="N876" s="13" t="s">
        <v>69</v>
      </c>
      <c r="P876" s="11" t="n">
        <v>128</v>
      </c>
      <c r="Q876" s="13" t="s">
        <v>45</v>
      </c>
      <c r="R876" s="13" t="s">
        <v>46</v>
      </c>
      <c r="S876" s="11" t="n">
        <v>1130101</v>
      </c>
      <c r="T876" s="13" t="s">
        <v>47</v>
      </c>
      <c r="U876" s="14" t="n">
        <v>320.4</v>
      </c>
      <c r="W876" s="14" t="n">
        <v>0</v>
      </c>
      <c r="X876" s="13" t="s">
        <v>938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41</v>
      </c>
      <c r="F877" s="11" t="n">
        <v>24</v>
      </c>
      <c r="G877" s="13" t="s">
        <v>42</v>
      </c>
      <c r="H877" s="11" t="n">
        <v>2110101</v>
      </c>
      <c r="I877" s="13" t="s">
        <v>43</v>
      </c>
      <c r="J877" s="11" t="n">
        <v>1293870</v>
      </c>
      <c r="L877" s="11" t="n">
        <v>16788401</v>
      </c>
      <c r="M877" s="13" t="s">
        <v>44</v>
      </c>
      <c r="N877" s="13" t="s">
        <v>36</v>
      </c>
      <c r="P877" s="11" t="n">
        <v>128</v>
      </c>
      <c r="Q877" s="13" t="s">
        <v>45</v>
      </c>
      <c r="R877" s="13" t="s">
        <v>46</v>
      </c>
      <c r="S877" s="11" t="n">
        <v>1130101</v>
      </c>
      <c r="T877" s="13" t="s">
        <v>47</v>
      </c>
      <c r="U877" s="14" t="n">
        <v>338.66</v>
      </c>
      <c r="W877" s="14" t="n">
        <v>0</v>
      </c>
      <c r="X877" s="13" t="s">
        <v>939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812</v>
      </c>
      <c r="F878" s="11" t="n">
        <v>24</v>
      </c>
      <c r="G878" s="13" t="s">
        <v>42</v>
      </c>
      <c r="H878" s="11" t="n">
        <v>2110101</v>
      </c>
      <c r="I878" s="13" t="s">
        <v>43</v>
      </c>
      <c r="J878" s="11" t="n">
        <v>1293963</v>
      </c>
      <c r="L878" s="11" t="n">
        <v>166752</v>
      </c>
      <c r="M878" s="13" t="s">
        <v>44</v>
      </c>
      <c r="N878" s="13" t="s">
        <v>36</v>
      </c>
      <c r="P878" s="11" t="n">
        <v>128</v>
      </c>
      <c r="Q878" s="13" t="s">
        <v>45</v>
      </c>
      <c r="R878" s="13" t="s">
        <v>46</v>
      </c>
      <c r="S878" s="11" t="n">
        <v>1130101</v>
      </c>
      <c r="T878" s="13" t="s">
        <v>47</v>
      </c>
      <c r="U878" s="14" t="n">
        <v>431</v>
      </c>
      <c r="W878" s="14" t="n">
        <v>0</v>
      </c>
      <c r="X878" s="13" t="s">
        <v>940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941</v>
      </c>
      <c r="F879" s="11" t="n">
        <v>24</v>
      </c>
      <c r="G879" s="13" t="s">
        <v>42</v>
      </c>
      <c r="H879" s="11" t="n">
        <v>2110101</v>
      </c>
      <c r="I879" s="13" t="s">
        <v>43</v>
      </c>
      <c r="J879" s="11" t="n">
        <v>1295745</v>
      </c>
      <c r="L879" s="11" t="n">
        <v>34237</v>
      </c>
      <c r="M879" s="13" t="s">
        <v>44</v>
      </c>
      <c r="N879" s="13" t="s">
        <v>36</v>
      </c>
      <c r="P879" s="11" t="n">
        <v>128</v>
      </c>
      <c r="Q879" s="13" t="s">
        <v>45</v>
      </c>
      <c r="R879" s="13" t="s">
        <v>46</v>
      </c>
      <c r="S879" s="11" t="n">
        <v>1130101</v>
      </c>
      <c r="T879" s="13" t="s">
        <v>47</v>
      </c>
      <c r="U879" s="14" t="n">
        <v>534.8</v>
      </c>
      <c r="W879" s="14" t="n">
        <v>0</v>
      </c>
      <c r="X879" s="13" t="s">
        <v>942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198</v>
      </c>
      <c r="F880" s="11" t="n">
        <v>24</v>
      </c>
      <c r="G880" s="13" t="s">
        <v>42</v>
      </c>
      <c r="H880" s="11" t="n">
        <v>2110101</v>
      </c>
      <c r="I880" s="13" t="s">
        <v>43</v>
      </c>
      <c r="J880" s="11" t="n">
        <v>1298980</v>
      </c>
      <c r="L880" s="11" t="n">
        <v>10638</v>
      </c>
      <c r="M880" s="13" t="s">
        <v>44</v>
      </c>
      <c r="N880" s="13" t="s">
        <v>69</v>
      </c>
      <c r="P880" s="11" t="n">
        <v>128</v>
      </c>
      <c r="Q880" s="13" t="s">
        <v>45</v>
      </c>
      <c r="R880" s="13" t="s">
        <v>46</v>
      </c>
      <c r="S880" s="11" t="n">
        <v>1130101</v>
      </c>
      <c r="T880" s="13" t="s">
        <v>47</v>
      </c>
      <c r="U880" s="14" t="n">
        <v>266</v>
      </c>
      <c r="W880" s="14" t="n">
        <v>0</v>
      </c>
      <c r="X880" s="13" t="s">
        <v>943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125</v>
      </c>
      <c r="F881" s="11" t="n">
        <v>24</v>
      </c>
      <c r="G881" s="13" t="s">
        <v>42</v>
      </c>
      <c r="H881" s="11" t="n">
        <v>2110101</v>
      </c>
      <c r="I881" s="13" t="s">
        <v>43</v>
      </c>
      <c r="J881" s="11" t="n">
        <v>1304374</v>
      </c>
      <c r="L881" s="11" t="n">
        <v>2540811</v>
      </c>
      <c r="M881" s="13" t="s">
        <v>44</v>
      </c>
      <c r="N881" s="13" t="s">
        <v>36</v>
      </c>
      <c r="P881" s="11" t="n">
        <v>128</v>
      </c>
      <c r="Q881" s="13" t="s">
        <v>45</v>
      </c>
      <c r="R881" s="13" t="s">
        <v>46</v>
      </c>
      <c r="S881" s="11" t="n">
        <v>1130101</v>
      </c>
      <c r="T881" s="13" t="s">
        <v>47</v>
      </c>
      <c r="U881" s="14" t="n">
        <v>324.28</v>
      </c>
      <c r="W881" s="14" t="n">
        <v>0</v>
      </c>
      <c r="X881" s="13" t="s">
        <v>944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174</v>
      </c>
      <c r="F882" s="11" t="n">
        <v>24</v>
      </c>
      <c r="G882" s="13" t="s">
        <v>42</v>
      </c>
      <c r="H882" s="11" t="n">
        <v>2110101</v>
      </c>
      <c r="I882" s="13" t="s">
        <v>43</v>
      </c>
      <c r="J882" s="11" t="n">
        <v>1304403</v>
      </c>
      <c r="L882" s="11" t="n">
        <v>125432</v>
      </c>
      <c r="M882" s="13" t="s">
        <v>44</v>
      </c>
      <c r="N882" s="13" t="s">
        <v>36</v>
      </c>
      <c r="P882" s="11" t="n">
        <v>128</v>
      </c>
      <c r="Q882" s="13" t="s">
        <v>45</v>
      </c>
      <c r="R882" s="13" t="s">
        <v>46</v>
      </c>
      <c r="S882" s="11" t="n">
        <v>1130101</v>
      </c>
      <c r="T882" s="13" t="s">
        <v>47</v>
      </c>
      <c r="U882" s="14" t="n">
        <v>431.88</v>
      </c>
      <c r="W882" s="14" t="n">
        <v>0</v>
      </c>
      <c r="X882" s="13" t="s">
        <v>945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946</v>
      </c>
      <c r="F883" s="11" t="n">
        <v>24</v>
      </c>
      <c r="G883" s="13" t="s">
        <v>42</v>
      </c>
      <c r="H883" s="11" t="n">
        <v>2110101</v>
      </c>
      <c r="I883" s="13" t="s">
        <v>43</v>
      </c>
      <c r="J883" s="11" t="n">
        <v>1305142</v>
      </c>
      <c r="L883" s="11" t="n">
        <v>3327591</v>
      </c>
      <c r="M883" s="13" t="s">
        <v>44</v>
      </c>
      <c r="N883" s="13" t="s">
        <v>36</v>
      </c>
      <c r="P883" s="11" t="n">
        <v>128</v>
      </c>
      <c r="Q883" s="13" t="s">
        <v>45</v>
      </c>
      <c r="R883" s="13" t="s">
        <v>46</v>
      </c>
      <c r="S883" s="11" t="n">
        <v>1130101</v>
      </c>
      <c r="T883" s="13" t="s">
        <v>47</v>
      </c>
      <c r="U883" s="14" t="n">
        <v>637.32</v>
      </c>
      <c r="W883" s="14" t="n">
        <v>0</v>
      </c>
      <c r="X883" s="13" t="s">
        <v>947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697</v>
      </c>
      <c r="F884" s="11" t="n">
        <v>24</v>
      </c>
      <c r="G884" s="13" t="s">
        <v>42</v>
      </c>
      <c r="H884" s="11" t="n">
        <v>2110101</v>
      </c>
      <c r="I884" s="13" t="s">
        <v>43</v>
      </c>
      <c r="J884" s="11" t="n">
        <v>1321500</v>
      </c>
      <c r="L884" s="11" t="n">
        <v>6474031</v>
      </c>
      <c r="M884" s="13" t="s">
        <v>44</v>
      </c>
      <c r="N884" s="13" t="s">
        <v>36</v>
      </c>
      <c r="P884" s="11" t="n">
        <v>128</v>
      </c>
      <c r="Q884" s="13" t="s">
        <v>45</v>
      </c>
      <c r="R884" s="13" t="s">
        <v>46</v>
      </c>
      <c r="S884" s="11" t="n">
        <v>1130101</v>
      </c>
      <c r="T884" s="13" t="s">
        <v>47</v>
      </c>
      <c r="U884" s="14" t="n">
        <v>553.36</v>
      </c>
      <c r="W884" s="14" t="n">
        <v>0</v>
      </c>
      <c r="X884" s="13" t="s">
        <v>948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417</v>
      </c>
      <c r="F885" s="11" t="n">
        <v>24</v>
      </c>
      <c r="G885" s="13" t="s">
        <v>42</v>
      </c>
      <c r="H885" s="11" t="n">
        <v>2110101</v>
      </c>
      <c r="I885" s="13" t="s">
        <v>43</v>
      </c>
      <c r="J885" s="11" t="n">
        <v>1330737</v>
      </c>
      <c r="L885" s="11" t="n">
        <v>6686</v>
      </c>
      <c r="M885" s="13" t="s">
        <v>44</v>
      </c>
      <c r="N885" s="13" t="s">
        <v>69</v>
      </c>
      <c r="P885" s="11" t="n">
        <v>128</v>
      </c>
      <c r="Q885" s="13" t="s">
        <v>45</v>
      </c>
      <c r="R885" s="13" t="s">
        <v>46</v>
      </c>
      <c r="S885" s="11" t="n">
        <v>1130101</v>
      </c>
      <c r="T885" s="13" t="s">
        <v>47</v>
      </c>
      <c r="U885" s="14" t="n">
        <v>303</v>
      </c>
      <c r="W885" s="14" t="n">
        <v>0</v>
      </c>
      <c r="X885" s="13" t="s">
        <v>949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125</v>
      </c>
      <c r="F886" s="11" t="n">
        <v>24</v>
      </c>
      <c r="G886" s="13" t="s">
        <v>42</v>
      </c>
      <c r="H886" s="11" t="n">
        <v>2110101</v>
      </c>
      <c r="I886" s="13" t="s">
        <v>43</v>
      </c>
      <c r="J886" s="11" t="n">
        <v>1334395</v>
      </c>
      <c r="L886" s="11" t="n">
        <v>2545121</v>
      </c>
      <c r="M886" s="13" t="s">
        <v>44</v>
      </c>
      <c r="N886" s="13" t="s">
        <v>36</v>
      </c>
      <c r="P886" s="11" t="n">
        <v>167</v>
      </c>
      <c r="Q886" s="13" t="s">
        <v>101</v>
      </c>
      <c r="R886" s="13" t="s">
        <v>46</v>
      </c>
      <c r="S886" s="11" t="n">
        <v>1130101</v>
      </c>
      <c r="T886" s="13" t="s">
        <v>47</v>
      </c>
      <c r="U886" s="14" t="n">
        <v>325</v>
      </c>
      <c r="W886" s="14" t="n">
        <v>0</v>
      </c>
      <c r="X886" s="13" t="s">
        <v>950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179</v>
      </c>
      <c r="F887" s="11" t="n">
        <v>24</v>
      </c>
      <c r="G887" s="13" t="s">
        <v>42</v>
      </c>
      <c r="H887" s="11" t="n">
        <v>2110101</v>
      </c>
      <c r="I887" s="13" t="s">
        <v>43</v>
      </c>
      <c r="J887" s="11" t="n">
        <v>1335386</v>
      </c>
      <c r="L887" s="11" t="n">
        <v>12547</v>
      </c>
      <c r="M887" s="13" t="s">
        <v>44</v>
      </c>
      <c r="N887" s="13" t="s">
        <v>36</v>
      </c>
      <c r="P887" s="11" t="n">
        <v>167</v>
      </c>
      <c r="Q887" s="13" t="s">
        <v>101</v>
      </c>
      <c r="R887" s="13" t="s">
        <v>46</v>
      </c>
      <c r="S887" s="11" t="n">
        <v>1130101</v>
      </c>
      <c r="T887" s="13" t="s">
        <v>47</v>
      </c>
      <c r="U887" s="14" t="n">
        <v>328.41</v>
      </c>
      <c r="W887" s="14" t="n">
        <v>0</v>
      </c>
      <c r="X887" s="13" t="s">
        <v>951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274</v>
      </c>
      <c r="F888" s="11" t="n">
        <v>24</v>
      </c>
      <c r="G888" s="13" t="s">
        <v>42</v>
      </c>
      <c r="H888" s="11" t="n">
        <v>2110101</v>
      </c>
      <c r="I888" s="13" t="s">
        <v>43</v>
      </c>
      <c r="J888" s="11" t="n">
        <v>1339278</v>
      </c>
      <c r="L888" s="11" t="n">
        <v>1029881</v>
      </c>
      <c r="M888" s="13" t="s">
        <v>44</v>
      </c>
      <c r="N888" s="13" t="s">
        <v>69</v>
      </c>
      <c r="P888" s="11" t="n">
        <v>167</v>
      </c>
      <c r="Q888" s="13" t="s">
        <v>101</v>
      </c>
      <c r="R888" s="13" t="s">
        <v>46</v>
      </c>
      <c r="S888" s="11" t="n">
        <v>1130101</v>
      </c>
      <c r="T888" s="13" t="s">
        <v>47</v>
      </c>
      <c r="U888" s="14" t="n">
        <v>542.46</v>
      </c>
      <c r="W888" s="14" t="n">
        <v>0</v>
      </c>
      <c r="X888" s="13" t="s">
        <v>952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953</v>
      </c>
      <c r="F889" s="11" t="n">
        <v>24</v>
      </c>
      <c r="G889" s="13" t="s">
        <v>42</v>
      </c>
      <c r="H889" s="11" t="n">
        <v>2110101</v>
      </c>
      <c r="I889" s="13" t="s">
        <v>43</v>
      </c>
      <c r="J889" s="11" t="n">
        <v>1340627</v>
      </c>
      <c r="L889" s="11" t="n">
        <v>91961</v>
      </c>
      <c r="M889" s="13" t="s">
        <v>44</v>
      </c>
      <c r="N889" s="13" t="s">
        <v>36</v>
      </c>
      <c r="P889" s="11" t="n">
        <v>167</v>
      </c>
      <c r="Q889" s="13" t="s">
        <v>101</v>
      </c>
      <c r="R889" s="13" t="s">
        <v>46</v>
      </c>
      <c r="S889" s="11" t="n">
        <v>1130101</v>
      </c>
      <c r="T889" s="13" t="s">
        <v>47</v>
      </c>
      <c r="U889" s="14" t="n">
        <v>249.77</v>
      </c>
      <c r="W889" s="14" t="n">
        <v>0</v>
      </c>
      <c r="X889" s="13" t="s">
        <v>954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339</v>
      </c>
      <c r="F890" s="11" t="n">
        <v>24</v>
      </c>
      <c r="G890" s="13" t="s">
        <v>42</v>
      </c>
      <c r="H890" s="11" t="n">
        <v>2110101</v>
      </c>
      <c r="I890" s="13" t="s">
        <v>43</v>
      </c>
      <c r="J890" s="11" t="n">
        <v>1348312</v>
      </c>
      <c r="L890" s="11" t="n">
        <v>27252</v>
      </c>
      <c r="M890" s="13" t="s">
        <v>44</v>
      </c>
      <c r="N890" s="13" t="s">
        <v>69</v>
      </c>
      <c r="P890" s="11" t="n">
        <v>167</v>
      </c>
      <c r="Q890" s="13" t="s">
        <v>101</v>
      </c>
      <c r="R890" s="13" t="s">
        <v>46</v>
      </c>
      <c r="S890" s="11" t="n">
        <v>1130101</v>
      </c>
      <c r="T890" s="13" t="s">
        <v>47</v>
      </c>
      <c r="U890" s="14" t="n">
        <v>587.63</v>
      </c>
      <c r="W890" s="14" t="n">
        <v>0</v>
      </c>
      <c r="X890" s="13" t="s">
        <v>955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120</v>
      </c>
      <c r="F891" s="11" t="n">
        <v>24</v>
      </c>
      <c r="G891" s="13" t="s">
        <v>42</v>
      </c>
      <c r="H891" s="11" t="n">
        <v>2110101</v>
      </c>
      <c r="I891" s="13" t="s">
        <v>43</v>
      </c>
      <c r="J891" s="11" t="n">
        <v>1348394</v>
      </c>
      <c r="L891" s="11" t="n">
        <v>18065</v>
      </c>
      <c r="M891" s="13" t="s">
        <v>44</v>
      </c>
      <c r="N891" s="13" t="s">
        <v>69</v>
      </c>
      <c r="P891" s="11" t="n">
        <v>167</v>
      </c>
      <c r="Q891" s="13" t="s">
        <v>101</v>
      </c>
      <c r="R891" s="13" t="s">
        <v>46</v>
      </c>
      <c r="S891" s="11" t="n">
        <v>1130101</v>
      </c>
      <c r="T891" s="13" t="s">
        <v>47</v>
      </c>
      <c r="U891" s="14" t="n">
        <v>291.6</v>
      </c>
      <c r="W891" s="14" t="n">
        <v>0</v>
      </c>
      <c r="X891" s="13" t="s">
        <v>956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135</v>
      </c>
      <c r="F892" s="11" t="n">
        <v>24</v>
      </c>
      <c r="G892" s="13" t="s">
        <v>42</v>
      </c>
      <c r="H892" s="11" t="n">
        <v>2110101</v>
      </c>
      <c r="I892" s="13" t="s">
        <v>43</v>
      </c>
      <c r="J892" s="11" t="n">
        <v>1359957</v>
      </c>
      <c r="L892" s="11" t="n">
        <v>521</v>
      </c>
      <c r="M892" s="13" t="s">
        <v>44</v>
      </c>
      <c r="N892" s="13" t="s">
        <v>69</v>
      </c>
      <c r="P892" s="11" t="n">
        <v>167</v>
      </c>
      <c r="Q892" s="13" t="s">
        <v>101</v>
      </c>
      <c r="R892" s="13" t="s">
        <v>46</v>
      </c>
      <c r="S892" s="11" t="n">
        <v>1130101</v>
      </c>
      <c r="T892" s="13" t="s">
        <v>47</v>
      </c>
      <c r="U892" s="14" t="n">
        <v>300</v>
      </c>
      <c r="W892" s="14" t="n">
        <v>0</v>
      </c>
      <c r="X892" s="13" t="s">
        <v>957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215</v>
      </c>
      <c r="F893" s="11" t="n">
        <v>24</v>
      </c>
      <c r="G893" s="13" t="s">
        <v>42</v>
      </c>
      <c r="H893" s="11" t="n">
        <v>2110405</v>
      </c>
      <c r="I893" s="13" t="s">
        <v>34</v>
      </c>
      <c r="J893" s="11" t="n">
        <v>1360111</v>
      </c>
      <c r="L893" s="11" t="n">
        <v>212370</v>
      </c>
      <c r="M893" s="13" t="s">
        <v>44</v>
      </c>
      <c r="N893" s="13" t="s">
        <v>36</v>
      </c>
      <c r="P893" s="11" t="n">
        <v>101</v>
      </c>
      <c r="Q893" s="13" t="s">
        <v>37</v>
      </c>
      <c r="R893" s="13" t="s">
        <v>38</v>
      </c>
      <c r="S893" s="11" t="n">
        <v>4210201</v>
      </c>
      <c r="T893" s="13" t="s">
        <v>216</v>
      </c>
      <c r="U893" s="14" t="n">
        <v>286</v>
      </c>
      <c r="W893" s="14" t="n">
        <v>0</v>
      </c>
      <c r="X893" s="13" t="s">
        <v>958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130</v>
      </c>
      <c r="F894" s="11" t="n">
        <v>34</v>
      </c>
      <c r="G894" s="13" t="s">
        <v>33</v>
      </c>
      <c r="H894" s="11" t="n">
        <v>2110101</v>
      </c>
      <c r="I894" s="13" t="s">
        <v>43</v>
      </c>
      <c r="J894" s="11" t="n">
        <v>1365662</v>
      </c>
      <c r="L894" s="11" t="n">
        <v>213186</v>
      </c>
      <c r="M894" s="13" t="s">
        <v>44</v>
      </c>
      <c r="N894" s="13" t="s">
        <v>36</v>
      </c>
      <c r="P894" s="11" t="n">
        <v>167</v>
      </c>
      <c r="Q894" s="13" t="s">
        <v>101</v>
      </c>
      <c r="R894" s="13" t="s">
        <v>46</v>
      </c>
      <c r="S894" s="11" t="n">
        <v>1130101</v>
      </c>
      <c r="T894" s="13" t="s">
        <v>47</v>
      </c>
      <c r="U894" s="14" t="n">
        <v>448</v>
      </c>
      <c r="W894" s="14" t="n">
        <v>0</v>
      </c>
      <c r="X894" s="13" t="s">
        <v>959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130</v>
      </c>
      <c r="F895" s="11" t="n">
        <v>34</v>
      </c>
      <c r="G895" s="13" t="s">
        <v>33</v>
      </c>
      <c r="H895" s="11" t="n">
        <v>2110101</v>
      </c>
      <c r="I895" s="13" t="s">
        <v>43</v>
      </c>
      <c r="J895" s="11" t="n">
        <v>1365675</v>
      </c>
      <c r="L895" s="11" t="n">
        <v>14810</v>
      </c>
      <c r="M895" s="13" t="s">
        <v>44</v>
      </c>
      <c r="N895" s="13" t="s">
        <v>69</v>
      </c>
      <c r="P895" s="11" t="n">
        <v>167</v>
      </c>
      <c r="Q895" s="13" t="s">
        <v>101</v>
      </c>
      <c r="R895" s="13" t="s">
        <v>46</v>
      </c>
      <c r="S895" s="11" t="n">
        <v>1130101</v>
      </c>
      <c r="T895" s="13" t="s">
        <v>47</v>
      </c>
      <c r="U895" s="14" t="n">
        <v>450</v>
      </c>
      <c r="W895" s="14" t="n">
        <v>0</v>
      </c>
      <c r="X895" s="13" t="s">
        <v>960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80</v>
      </c>
      <c r="F896" s="11" t="n">
        <v>34</v>
      </c>
      <c r="G896" s="13" t="s">
        <v>33</v>
      </c>
      <c r="H896" s="11" t="n">
        <v>2110101</v>
      </c>
      <c r="I896" s="13" t="s">
        <v>43</v>
      </c>
      <c r="J896" s="11" t="n">
        <v>1365736</v>
      </c>
      <c r="L896" s="11" t="n">
        <v>4361</v>
      </c>
      <c r="M896" s="13" t="s">
        <v>44</v>
      </c>
      <c r="N896" s="13" t="s">
        <v>69</v>
      </c>
      <c r="P896" s="11" t="n">
        <v>167</v>
      </c>
      <c r="Q896" s="13" t="s">
        <v>101</v>
      </c>
      <c r="R896" s="13" t="s">
        <v>46</v>
      </c>
      <c r="S896" s="11" t="n">
        <v>1130101</v>
      </c>
      <c r="T896" s="13" t="s">
        <v>47</v>
      </c>
      <c r="U896" s="14" t="n">
        <v>1818</v>
      </c>
      <c r="W896" s="14" t="n">
        <v>0</v>
      </c>
      <c r="X896" s="13" t="s">
        <v>129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80</v>
      </c>
      <c r="F897" s="11" t="n">
        <v>13</v>
      </c>
      <c r="G897" s="13" t="s">
        <v>81</v>
      </c>
      <c r="H897" s="11" t="n">
        <v>2110101</v>
      </c>
      <c r="I897" s="13" t="s">
        <v>43</v>
      </c>
      <c r="J897" s="11" t="n">
        <v>1376565</v>
      </c>
      <c r="L897" s="11" t="n">
        <v>4370</v>
      </c>
      <c r="M897" s="13" t="s">
        <v>44</v>
      </c>
      <c r="N897" s="13" t="s">
        <v>69</v>
      </c>
      <c r="P897" s="11" t="n">
        <v>167</v>
      </c>
      <c r="Q897" s="13" t="s">
        <v>101</v>
      </c>
      <c r="R897" s="13" t="s">
        <v>46</v>
      </c>
      <c r="S897" s="11" t="n">
        <v>1130101</v>
      </c>
      <c r="T897" s="13" t="s">
        <v>47</v>
      </c>
      <c r="U897" s="14" t="n">
        <v>128</v>
      </c>
      <c r="W897" s="14" t="n">
        <v>128</v>
      </c>
      <c r="X897" s="13" t="s">
        <v>82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80</v>
      </c>
      <c r="F898" s="11" t="n">
        <v>13</v>
      </c>
      <c r="G898" s="13" t="s">
        <v>81</v>
      </c>
      <c r="H898" s="11" t="n">
        <v>2110101</v>
      </c>
      <c r="I898" s="13" t="s">
        <v>43</v>
      </c>
      <c r="J898" s="11" t="n">
        <v>1381976</v>
      </c>
      <c r="L898" s="11" t="n">
        <v>4372</v>
      </c>
      <c r="M898" s="13" t="s">
        <v>44</v>
      </c>
      <c r="N898" s="13" t="s">
        <v>69</v>
      </c>
      <c r="P898" s="11" t="n">
        <v>167</v>
      </c>
      <c r="Q898" s="13" t="s">
        <v>101</v>
      </c>
      <c r="R898" s="13" t="s">
        <v>46</v>
      </c>
      <c r="S898" s="11" t="n">
        <v>1130101</v>
      </c>
      <c r="T898" s="13" t="s">
        <v>47</v>
      </c>
      <c r="U898" s="14" t="n">
        <v>280</v>
      </c>
      <c r="W898" s="14" t="n">
        <v>280</v>
      </c>
      <c r="X898" s="13" t="s">
        <v>961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80</v>
      </c>
      <c r="F899" s="11" t="n">
        <v>13</v>
      </c>
      <c r="G899" s="13" t="s">
        <v>81</v>
      </c>
      <c r="H899" s="11" t="n">
        <v>2110101</v>
      </c>
      <c r="I899" s="13" t="s">
        <v>43</v>
      </c>
      <c r="J899" s="11" t="n">
        <v>1381983</v>
      </c>
      <c r="L899" s="11" t="n">
        <v>4373</v>
      </c>
      <c r="M899" s="13" t="s">
        <v>44</v>
      </c>
      <c r="N899" s="13" t="s">
        <v>69</v>
      </c>
      <c r="P899" s="11" t="n">
        <v>167</v>
      </c>
      <c r="Q899" s="13" t="s">
        <v>101</v>
      </c>
      <c r="R899" s="13" t="s">
        <v>46</v>
      </c>
      <c r="S899" s="11" t="n">
        <v>1130101</v>
      </c>
      <c r="T899" s="13" t="s">
        <v>47</v>
      </c>
      <c r="U899" s="14" t="n">
        <v>330</v>
      </c>
      <c r="W899" s="14" t="n">
        <v>330</v>
      </c>
      <c r="X899" s="13" t="s">
        <v>962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80</v>
      </c>
      <c r="F900" s="11" t="n">
        <v>13</v>
      </c>
      <c r="G900" s="13" t="s">
        <v>81</v>
      </c>
      <c r="H900" s="11" t="n">
        <v>2110101</v>
      </c>
      <c r="I900" s="13" t="s">
        <v>43</v>
      </c>
      <c r="J900" s="11" t="n">
        <v>1381991</v>
      </c>
      <c r="L900" s="11" t="n">
        <v>4374</v>
      </c>
      <c r="M900" s="13" t="s">
        <v>44</v>
      </c>
      <c r="N900" s="13" t="s">
        <v>69</v>
      </c>
      <c r="P900" s="11" t="n">
        <v>167</v>
      </c>
      <c r="Q900" s="13" t="s">
        <v>101</v>
      </c>
      <c r="R900" s="13" t="s">
        <v>46</v>
      </c>
      <c r="S900" s="11" t="n">
        <v>1130101</v>
      </c>
      <c r="T900" s="13" t="s">
        <v>47</v>
      </c>
      <c r="U900" s="14" t="n">
        <v>41.44</v>
      </c>
      <c r="W900" s="14" t="n">
        <v>41.44</v>
      </c>
      <c r="X900" s="13" t="s">
        <v>963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80</v>
      </c>
      <c r="F901" s="11" t="n">
        <v>13</v>
      </c>
      <c r="G901" s="13" t="s">
        <v>81</v>
      </c>
      <c r="H901" s="11" t="n">
        <v>2110101</v>
      </c>
      <c r="I901" s="13" t="s">
        <v>43</v>
      </c>
      <c r="J901" s="11" t="n">
        <v>1382178</v>
      </c>
      <c r="L901" s="11" t="n">
        <v>4375</v>
      </c>
      <c r="M901" s="13" t="s">
        <v>44</v>
      </c>
      <c r="N901" s="13" t="s">
        <v>69</v>
      </c>
      <c r="P901" s="11" t="n">
        <v>167</v>
      </c>
      <c r="Q901" s="13" t="s">
        <v>101</v>
      </c>
      <c r="R901" s="13" t="s">
        <v>46</v>
      </c>
      <c r="S901" s="11" t="n">
        <v>1130101</v>
      </c>
      <c r="T901" s="13" t="s">
        <v>47</v>
      </c>
      <c r="U901" s="14" t="n">
        <v>120</v>
      </c>
      <c r="W901" s="14" t="n">
        <v>120</v>
      </c>
      <c r="X901" s="13" t="s">
        <v>83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329</v>
      </c>
      <c r="F902" s="11" t="n">
        <v>34</v>
      </c>
      <c r="G902" s="13" t="s">
        <v>33</v>
      </c>
      <c r="H902" s="11" t="n">
        <v>2110405</v>
      </c>
      <c r="I902" s="13" t="s">
        <v>34</v>
      </c>
      <c r="J902" s="11" t="n">
        <v>1382524</v>
      </c>
      <c r="L902" s="11" t="n">
        <v>215701</v>
      </c>
      <c r="M902" s="13" t="s">
        <v>44</v>
      </c>
      <c r="N902" s="13" t="s">
        <v>36</v>
      </c>
      <c r="P902" s="11" t="n">
        <v>101</v>
      </c>
      <c r="Q902" s="13" t="s">
        <v>37</v>
      </c>
      <c r="R902" s="13" t="s">
        <v>63</v>
      </c>
      <c r="S902" s="11" t="n">
        <v>4210111</v>
      </c>
      <c r="T902" s="13" t="s">
        <v>330</v>
      </c>
      <c r="U902" s="14" t="n">
        <v>5500</v>
      </c>
      <c r="W902" s="14" t="n">
        <v>0</v>
      </c>
      <c r="X902" s="13" t="s">
        <v>964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202</v>
      </c>
      <c r="F903" s="11" t="n">
        <v>34</v>
      </c>
      <c r="G903" s="13" t="s">
        <v>33</v>
      </c>
      <c r="H903" s="11" t="n">
        <v>2110405</v>
      </c>
      <c r="I903" s="13" t="s">
        <v>34</v>
      </c>
      <c r="J903" s="11" t="n">
        <v>1083670</v>
      </c>
      <c r="L903" s="11" t="n">
        <v>170746</v>
      </c>
      <c r="M903" s="13" t="s">
        <v>244</v>
      </c>
      <c r="N903" s="13" t="s">
        <v>36</v>
      </c>
      <c r="P903" s="11" t="n">
        <v>101</v>
      </c>
      <c r="Q903" s="13" t="s">
        <v>37</v>
      </c>
      <c r="R903" s="13" t="s">
        <v>203</v>
      </c>
      <c r="S903" s="11" t="n">
        <v>4220199</v>
      </c>
      <c r="T903" s="13" t="s">
        <v>204</v>
      </c>
      <c r="U903" s="14" t="n">
        <v>8059.98</v>
      </c>
      <c r="W903" s="14" t="n">
        <v>0</v>
      </c>
      <c r="X903" s="13" t="s">
        <v>965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80</v>
      </c>
      <c r="F904" s="11" t="n">
        <v>13</v>
      </c>
      <c r="G904" s="13" t="s">
        <v>81</v>
      </c>
      <c r="H904" s="11" t="n">
        <v>2110101</v>
      </c>
      <c r="I904" s="13" t="s">
        <v>43</v>
      </c>
      <c r="J904" s="11" t="n">
        <v>1392372</v>
      </c>
      <c r="L904" s="11" t="n">
        <v>4376</v>
      </c>
      <c r="M904" s="13" t="s">
        <v>44</v>
      </c>
      <c r="N904" s="13" t="s">
        <v>69</v>
      </c>
      <c r="P904" s="11" t="n">
        <v>167</v>
      </c>
      <c r="Q904" s="13" t="s">
        <v>101</v>
      </c>
      <c r="R904" s="13" t="s">
        <v>46</v>
      </c>
      <c r="S904" s="11" t="n">
        <v>1130101</v>
      </c>
      <c r="T904" s="13" t="s">
        <v>47</v>
      </c>
      <c r="U904" s="14" t="n">
        <v>20</v>
      </c>
      <c r="W904" s="14" t="n">
        <v>20</v>
      </c>
      <c r="X904" s="13" t="s">
        <v>966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80</v>
      </c>
      <c r="F905" s="11" t="n">
        <v>13</v>
      </c>
      <c r="G905" s="13" t="s">
        <v>81</v>
      </c>
      <c r="H905" s="11" t="n">
        <v>2110101</v>
      </c>
      <c r="I905" s="13" t="s">
        <v>43</v>
      </c>
      <c r="J905" s="11" t="n">
        <v>1392588</v>
      </c>
      <c r="L905" s="11" t="n">
        <v>4377</v>
      </c>
      <c r="M905" s="13" t="s">
        <v>44</v>
      </c>
      <c r="N905" s="13" t="s">
        <v>69</v>
      </c>
      <c r="P905" s="11" t="n">
        <v>167</v>
      </c>
      <c r="Q905" s="13" t="s">
        <v>101</v>
      </c>
      <c r="R905" s="13" t="s">
        <v>46</v>
      </c>
      <c r="S905" s="11" t="n">
        <v>1130101</v>
      </c>
      <c r="T905" s="13" t="s">
        <v>47</v>
      </c>
      <c r="U905" s="14" t="n">
        <v>240</v>
      </c>
      <c r="W905" s="14" t="n">
        <v>240</v>
      </c>
      <c r="X905" s="13" t="s">
        <v>967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183</v>
      </c>
      <c r="F906" s="11" t="n">
        <v>13</v>
      </c>
      <c r="G906" s="13" t="s">
        <v>81</v>
      </c>
      <c r="H906" s="11" t="n">
        <v>2110101</v>
      </c>
      <c r="I906" s="13" t="s">
        <v>43</v>
      </c>
      <c r="J906" s="11" t="n">
        <v>1397144</v>
      </c>
      <c r="L906" s="11" t="n">
        <v>367</v>
      </c>
      <c r="M906" s="13" t="s">
        <v>44</v>
      </c>
      <c r="N906" s="13" t="s">
        <v>69</v>
      </c>
      <c r="P906" s="11" t="n">
        <v>167</v>
      </c>
      <c r="Q906" s="13" t="s">
        <v>101</v>
      </c>
      <c r="R906" s="13" t="s">
        <v>46</v>
      </c>
      <c r="S906" s="11" t="n">
        <v>1130101</v>
      </c>
      <c r="T906" s="13" t="s">
        <v>47</v>
      </c>
      <c r="U906" s="14" t="n">
        <v>524.3</v>
      </c>
      <c r="W906" s="14" t="n">
        <v>524.3</v>
      </c>
      <c r="X906" s="13" t="s">
        <v>968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84</v>
      </c>
      <c r="F907" s="11" t="n">
        <v>24</v>
      </c>
      <c r="G907" s="13" t="s">
        <v>42</v>
      </c>
      <c r="H907" s="11" t="n">
        <v>2110405</v>
      </c>
      <c r="I907" s="13" t="s">
        <v>34</v>
      </c>
      <c r="J907" s="11" t="n">
        <v>1397495</v>
      </c>
      <c r="L907" s="11" t="n">
        <v>217951</v>
      </c>
      <c r="M907" s="13" t="s">
        <v>44</v>
      </c>
      <c r="N907" s="13" t="s">
        <v>36</v>
      </c>
      <c r="P907" s="11" t="n">
        <v>102</v>
      </c>
      <c r="Q907" s="13" t="s">
        <v>186</v>
      </c>
      <c r="R907" s="13" t="s">
        <v>46</v>
      </c>
      <c r="S907" s="11" t="n">
        <v>1130101</v>
      </c>
      <c r="T907" s="13" t="s">
        <v>47</v>
      </c>
      <c r="U907" s="14" t="n">
        <v>276.87</v>
      </c>
      <c r="W907" s="14" t="n">
        <v>0</v>
      </c>
      <c r="X907" s="13" t="s">
        <v>969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445</v>
      </c>
      <c r="F908" s="11" t="n">
        <v>24</v>
      </c>
      <c r="G908" s="13" t="s">
        <v>42</v>
      </c>
      <c r="H908" s="11" t="n">
        <v>2110101</v>
      </c>
      <c r="I908" s="13" t="s">
        <v>43</v>
      </c>
      <c r="J908" s="11" t="n">
        <v>761523</v>
      </c>
      <c r="L908" s="11" t="n">
        <v>17147713</v>
      </c>
      <c r="M908" s="13" t="s">
        <v>44</v>
      </c>
      <c r="N908" s="13" t="s">
        <v>36</v>
      </c>
      <c r="P908" s="11" t="n">
        <v>128</v>
      </c>
      <c r="Q908" s="13" t="s">
        <v>45</v>
      </c>
      <c r="R908" s="13" t="s">
        <v>46</v>
      </c>
      <c r="S908" s="11" t="n">
        <v>1130101</v>
      </c>
      <c r="T908" s="13" t="s">
        <v>47</v>
      </c>
      <c r="U908" s="14" t="n">
        <v>591.83</v>
      </c>
      <c r="W908" s="14" t="n">
        <v>0</v>
      </c>
      <c r="X908" s="13" t="s">
        <v>970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287</v>
      </c>
      <c r="F909" s="11" t="n">
        <v>24</v>
      </c>
      <c r="G909" s="13" t="s">
        <v>42</v>
      </c>
      <c r="H909" s="11" t="n">
        <v>2110101</v>
      </c>
      <c r="I909" s="13" t="s">
        <v>43</v>
      </c>
      <c r="J909" s="11" t="n">
        <v>1101955</v>
      </c>
      <c r="L909" s="11" t="n">
        <v>1549196</v>
      </c>
      <c r="M909" s="13" t="s">
        <v>44</v>
      </c>
      <c r="N909" s="13" t="s">
        <v>36</v>
      </c>
      <c r="P909" s="11" t="n">
        <v>129</v>
      </c>
      <c r="Q909" s="13" t="s">
        <v>102</v>
      </c>
      <c r="R909" s="13" t="s">
        <v>46</v>
      </c>
      <c r="S909" s="11" t="n">
        <v>1130101</v>
      </c>
      <c r="T909" s="13" t="s">
        <v>47</v>
      </c>
      <c r="U909" s="14" t="n">
        <v>565.55</v>
      </c>
      <c r="W909" s="14" t="n">
        <v>0</v>
      </c>
      <c r="X909" s="13" t="s">
        <v>971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163</v>
      </c>
      <c r="F910" s="11" t="n">
        <v>24</v>
      </c>
      <c r="G910" s="13" t="s">
        <v>42</v>
      </c>
      <c r="H910" s="11" t="n">
        <v>2110101</v>
      </c>
      <c r="I910" s="13" t="s">
        <v>43</v>
      </c>
      <c r="J910" s="11" t="n">
        <v>1131832</v>
      </c>
      <c r="L910" s="11" t="n">
        <v>4910425</v>
      </c>
      <c r="M910" s="13" t="s">
        <v>44</v>
      </c>
      <c r="N910" s="13" t="s">
        <v>36</v>
      </c>
      <c r="P910" s="11" t="n">
        <v>128</v>
      </c>
      <c r="Q910" s="13" t="s">
        <v>45</v>
      </c>
      <c r="R910" s="13" t="s">
        <v>46</v>
      </c>
      <c r="S910" s="11" t="n">
        <v>1130101</v>
      </c>
      <c r="T910" s="13" t="s">
        <v>47</v>
      </c>
      <c r="U910" s="14" t="n">
        <v>750.72</v>
      </c>
      <c r="W910" s="14" t="n">
        <v>0</v>
      </c>
      <c r="X910" s="13" t="s">
        <v>972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nao encontrado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393</v>
      </c>
      <c r="F911" s="11" t="n">
        <v>24</v>
      </c>
      <c r="G911" s="13" t="s">
        <v>42</v>
      </c>
      <c r="H911" s="11" t="n">
        <v>2110101</v>
      </c>
      <c r="I911" s="13" t="s">
        <v>43</v>
      </c>
      <c r="J911" s="11" t="n">
        <v>1162548</v>
      </c>
      <c r="L911" s="11" t="n">
        <v>19540615</v>
      </c>
      <c r="M911" s="13" t="s">
        <v>44</v>
      </c>
      <c r="N911" s="13" t="s">
        <v>36</v>
      </c>
      <c r="P911" s="11" t="n">
        <v>128</v>
      </c>
      <c r="Q911" s="13" t="s">
        <v>45</v>
      </c>
      <c r="R911" s="13" t="s">
        <v>46</v>
      </c>
      <c r="S911" s="11" t="n">
        <v>1130101</v>
      </c>
      <c r="T911" s="13" t="s">
        <v>47</v>
      </c>
      <c r="U911" s="14" t="n">
        <v>1624.38</v>
      </c>
      <c r="W911" s="14" t="n">
        <v>0</v>
      </c>
      <c r="X911" s="13" t="s">
        <v>973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nao encontrado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497</v>
      </c>
      <c r="F912" s="11" t="n">
        <v>24</v>
      </c>
      <c r="G912" s="13" t="s">
        <v>42</v>
      </c>
      <c r="H912" s="11" t="n">
        <v>2110101</v>
      </c>
      <c r="I912" s="13" t="s">
        <v>43</v>
      </c>
      <c r="J912" s="11" t="n">
        <v>1171281</v>
      </c>
      <c r="L912" s="11" t="n">
        <v>1897973</v>
      </c>
      <c r="M912" s="13" t="s">
        <v>44</v>
      </c>
      <c r="N912" s="13" t="s">
        <v>36</v>
      </c>
      <c r="P912" s="11" t="n">
        <v>128</v>
      </c>
      <c r="Q912" s="13" t="s">
        <v>45</v>
      </c>
      <c r="R912" s="13" t="s">
        <v>46</v>
      </c>
      <c r="S912" s="11" t="n">
        <v>1130101</v>
      </c>
      <c r="T912" s="13" t="s">
        <v>47</v>
      </c>
      <c r="U912" s="14" t="n">
        <v>1138.78</v>
      </c>
      <c r="W912" s="14" t="n">
        <v>0</v>
      </c>
      <c r="X912" s="13" t="s">
        <v>974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nao encontrado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41</v>
      </c>
      <c r="F913" s="11" t="n">
        <v>24</v>
      </c>
      <c r="G913" s="13" t="s">
        <v>42</v>
      </c>
      <c r="H913" s="11" t="n">
        <v>2110101</v>
      </c>
      <c r="I913" s="13" t="s">
        <v>43</v>
      </c>
      <c r="J913" s="11" t="n">
        <v>1221397</v>
      </c>
      <c r="L913" s="11" t="n">
        <v>16688323</v>
      </c>
      <c r="M913" s="13" t="s">
        <v>44</v>
      </c>
      <c r="N913" s="13" t="s">
        <v>36</v>
      </c>
      <c r="P913" s="11" t="n">
        <v>128</v>
      </c>
      <c r="Q913" s="13" t="s">
        <v>45</v>
      </c>
      <c r="R913" s="13" t="s">
        <v>46</v>
      </c>
      <c r="S913" s="11" t="n">
        <v>1130101</v>
      </c>
      <c r="T913" s="13" t="s">
        <v>47</v>
      </c>
      <c r="U913" s="14" t="n">
        <v>1135.24</v>
      </c>
      <c r="W913" s="14" t="n">
        <v>0</v>
      </c>
      <c r="X913" s="13" t="s">
        <v>975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295</v>
      </c>
      <c r="F914" s="11" t="n">
        <v>24</v>
      </c>
      <c r="G914" s="13" t="s">
        <v>42</v>
      </c>
      <c r="H914" s="11" t="n">
        <v>2110101</v>
      </c>
      <c r="I914" s="13" t="s">
        <v>43</v>
      </c>
      <c r="J914" s="11" t="n">
        <v>1223135</v>
      </c>
      <c r="L914" s="11" t="n">
        <v>1888475</v>
      </c>
      <c r="M914" s="13" t="s">
        <v>44</v>
      </c>
      <c r="N914" s="13" t="s">
        <v>69</v>
      </c>
      <c r="P914" s="11" t="n">
        <v>128</v>
      </c>
      <c r="Q914" s="13" t="s">
        <v>45</v>
      </c>
      <c r="R914" s="13" t="s">
        <v>46</v>
      </c>
      <c r="S914" s="11" t="n">
        <v>1130101</v>
      </c>
      <c r="T914" s="13" t="s">
        <v>47</v>
      </c>
      <c r="U914" s="14" t="n">
        <v>863.1</v>
      </c>
      <c r="W914" s="14" t="n">
        <v>0</v>
      </c>
      <c r="X914" s="13" t="s">
        <v>976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253</v>
      </c>
      <c r="F915" s="11" t="n">
        <v>24</v>
      </c>
      <c r="G915" s="13" t="s">
        <v>42</v>
      </c>
      <c r="H915" s="11" t="n">
        <v>2110101</v>
      </c>
      <c r="I915" s="13" t="s">
        <v>43</v>
      </c>
      <c r="J915" s="11" t="n">
        <v>1226693</v>
      </c>
      <c r="L915" s="11" t="n">
        <v>1030524</v>
      </c>
      <c r="M915" s="13" t="s">
        <v>44</v>
      </c>
      <c r="N915" s="13" t="s">
        <v>36</v>
      </c>
      <c r="P915" s="11" t="n">
        <v>128</v>
      </c>
      <c r="Q915" s="13" t="s">
        <v>45</v>
      </c>
      <c r="R915" s="13" t="s">
        <v>46</v>
      </c>
      <c r="S915" s="11" t="n">
        <v>1130101</v>
      </c>
      <c r="T915" s="13" t="s">
        <v>47</v>
      </c>
      <c r="U915" s="14" t="n">
        <v>593.7</v>
      </c>
      <c r="W915" s="14" t="n">
        <v>0</v>
      </c>
      <c r="X915" s="13" t="s">
        <v>977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159</v>
      </c>
      <c r="F916" s="11" t="n">
        <v>24</v>
      </c>
      <c r="G916" s="13" t="s">
        <v>42</v>
      </c>
      <c r="H916" s="11" t="n">
        <v>2110101</v>
      </c>
      <c r="I916" s="13" t="s">
        <v>43</v>
      </c>
      <c r="J916" s="11" t="n">
        <v>1231377</v>
      </c>
      <c r="L916" s="11" t="n">
        <v>7269633</v>
      </c>
      <c r="M916" s="13" t="s">
        <v>44</v>
      </c>
      <c r="N916" s="13" t="s">
        <v>36</v>
      </c>
      <c r="P916" s="11" t="n">
        <v>128</v>
      </c>
      <c r="Q916" s="13" t="s">
        <v>45</v>
      </c>
      <c r="R916" s="13" t="s">
        <v>46</v>
      </c>
      <c r="S916" s="11" t="n">
        <v>1130101</v>
      </c>
      <c r="T916" s="13" t="s">
        <v>47</v>
      </c>
      <c r="U916" s="14" t="n">
        <v>648.23</v>
      </c>
      <c r="W916" s="14" t="n">
        <v>0</v>
      </c>
      <c r="X916" s="13" t="s">
        <v>978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720</v>
      </c>
      <c r="F917" s="11" t="n">
        <v>24</v>
      </c>
      <c r="G917" s="13" t="s">
        <v>42</v>
      </c>
      <c r="H917" s="11" t="n">
        <v>2110101</v>
      </c>
      <c r="I917" s="13" t="s">
        <v>43</v>
      </c>
      <c r="J917" s="11" t="n">
        <v>1231883</v>
      </c>
      <c r="L917" s="11" t="n">
        <v>202652</v>
      </c>
      <c r="M917" s="13" t="s">
        <v>44</v>
      </c>
      <c r="N917" s="13" t="s">
        <v>36</v>
      </c>
      <c r="P917" s="11" t="n">
        <v>128</v>
      </c>
      <c r="Q917" s="13" t="s">
        <v>45</v>
      </c>
      <c r="R917" s="13" t="s">
        <v>46</v>
      </c>
      <c r="S917" s="11" t="n">
        <v>1130101</v>
      </c>
      <c r="T917" s="13" t="s">
        <v>47</v>
      </c>
      <c r="U917" s="14" t="n">
        <v>2206.52</v>
      </c>
      <c r="W917" s="14" t="n">
        <v>0</v>
      </c>
      <c r="X917" s="13" t="s">
        <v>979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60</v>
      </c>
      <c r="F918" s="11" t="n">
        <v>24</v>
      </c>
      <c r="G918" s="13" t="s">
        <v>42</v>
      </c>
      <c r="H918" s="11" t="n">
        <v>2110101</v>
      </c>
      <c r="I918" s="13" t="s">
        <v>43</v>
      </c>
      <c r="J918" s="11" t="n">
        <v>1235729</v>
      </c>
      <c r="L918" s="11" t="n">
        <v>3041743</v>
      </c>
      <c r="M918" s="13" t="s">
        <v>44</v>
      </c>
      <c r="N918" s="13" t="s">
        <v>36</v>
      </c>
      <c r="P918" s="11" t="n">
        <v>128</v>
      </c>
      <c r="Q918" s="13" t="s">
        <v>45</v>
      </c>
      <c r="R918" s="13" t="s">
        <v>46</v>
      </c>
      <c r="S918" s="11" t="n">
        <v>1130101</v>
      </c>
      <c r="T918" s="13" t="s">
        <v>47</v>
      </c>
      <c r="U918" s="14" t="n">
        <v>1244.8</v>
      </c>
      <c r="W918" s="14" t="n">
        <v>0</v>
      </c>
      <c r="X918" s="13" t="s">
        <v>980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445</v>
      </c>
      <c r="F919" s="11" t="n">
        <v>24</v>
      </c>
      <c r="G919" s="13" t="s">
        <v>42</v>
      </c>
      <c r="H919" s="11" t="n">
        <v>2110101</v>
      </c>
      <c r="I919" s="13" t="s">
        <v>43</v>
      </c>
      <c r="J919" s="11" t="n">
        <v>1239679</v>
      </c>
      <c r="L919" s="11" t="n">
        <v>180736271</v>
      </c>
      <c r="M919" s="13" t="s">
        <v>44</v>
      </c>
      <c r="N919" s="13" t="s">
        <v>36</v>
      </c>
      <c r="P919" s="11" t="n">
        <v>128</v>
      </c>
      <c r="Q919" s="13" t="s">
        <v>45</v>
      </c>
      <c r="R919" s="13" t="s">
        <v>46</v>
      </c>
      <c r="S919" s="11" t="n">
        <v>1130101</v>
      </c>
      <c r="T919" s="13" t="s">
        <v>47</v>
      </c>
      <c r="U919" s="14" t="n">
        <v>1718.77</v>
      </c>
      <c r="W919" s="14" t="n">
        <v>0</v>
      </c>
      <c r="X919" s="13" t="s">
        <v>981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693</v>
      </c>
      <c r="F920" s="11" t="n">
        <v>24</v>
      </c>
      <c r="G920" s="13" t="s">
        <v>42</v>
      </c>
      <c r="H920" s="11" t="n">
        <v>2110101</v>
      </c>
      <c r="I920" s="13" t="s">
        <v>43</v>
      </c>
      <c r="J920" s="11" t="n">
        <v>1241443</v>
      </c>
      <c r="L920" s="11" t="n">
        <v>498833</v>
      </c>
      <c r="M920" s="13" t="s">
        <v>44</v>
      </c>
      <c r="N920" s="13" t="s">
        <v>36</v>
      </c>
      <c r="P920" s="11" t="n">
        <v>128</v>
      </c>
      <c r="Q920" s="13" t="s">
        <v>45</v>
      </c>
      <c r="R920" s="13" t="s">
        <v>46</v>
      </c>
      <c r="S920" s="11" t="n">
        <v>1130101</v>
      </c>
      <c r="T920" s="13" t="s">
        <v>47</v>
      </c>
      <c r="U920" s="14" t="n">
        <v>991.48</v>
      </c>
      <c r="W920" s="14" t="n">
        <v>0</v>
      </c>
      <c r="X920" s="13" t="s">
        <v>982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190</v>
      </c>
      <c r="F921" s="11" t="n">
        <v>24</v>
      </c>
      <c r="G921" s="13" t="s">
        <v>42</v>
      </c>
      <c r="H921" s="11" t="n">
        <v>2110101</v>
      </c>
      <c r="I921" s="13" t="s">
        <v>43</v>
      </c>
      <c r="J921" s="11" t="n">
        <v>1243961</v>
      </c>
      <c r="L921" s="11" t="n">
        <v>1557323</v>
      </c>
      <c r="M921" s="13" t="s">
        <v>44</v>
      </c>
      <c r="N921" s="13" t="s">
        <v>36</v>
      </c>
      <c r="P921" s="11" t="n">
        <v>128</v>
      </c>
      <c r="Q921" s="13" t="s">
        <v>45</v>
      </c>
      <c r="R921" s="13" t="s">
        <v>46</v>
      </c>
      <c r="S921" s="11" t="n">
        <v>1130101</v>
      </c>
      <c r="T921" s="13" t="s">
        <v>47</v>
      </c>
      <c r="U921" s="14" t="n">
        <v>870.75</v>
      </c>
      <c r="W921" s="14" t="n">
        <v>0</v>
      </c>
      <c r="X921" s="13" t="s">
        <v>983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697</v>
      </c>
      <c r="F922" s="11" t="n">
        <v>24</v>
      </c>
      <c r="G922" s="13" t="s">
        <v>42</v>
      </c>
      <c r="H922" s="11" t="n">
        <v>2110101</v>
      </c>
      <c r="I922" s="13" t="s">
        <v>43</v>
      </c>
      <c r="J922" s="11" t="n">
        <v>1244017</v>
      </c>
      <c r="L922" s="11" t="n">
        <v>6457683</v>
      </c>
      <c r="M922" s="13" t="s">
        <v>44</v>
      </c>
      <c r="N922" s="13" t="s">
        <v>36</v>
      </c>
      <c r="P922" s="11" t="n">
        <v>128</v>
      </c>
      <c r="Q922" s="13" t="s">
        <v>45</v>
      </c>
      <c r="R922" s="13" t="s">
        <v>46</v>
      </c>
      <c r="S922" s="11" t="n">
        <v>1130101</v>
      </c>
      <c r="T922" s="13" t="s">
        <v>47</v>
      </c>
      <c r="U922" s="14" t="n">
        <v>858.24</v>
      </c>
      <c r="W922" s="14" t="n">
        <v>0</v>
      </c>
      <c r="X922" s="13" t="s">
        <v>984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 MAGIA 500ML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985</v>
      </c>
      <c r="F923" s="11" t="n">
        <v>24</v>
      </c>
      <c r="G923" s="13" t="s">
        <v>42</v>
      </c>
      <c r="H923" s="11" t="n">
        <v>2110101</v>
      </c>
      <c r="I923" s="13" t="s">
        <v>43</v>
      </c>
      <c r="J923" s="11" t="n">
        <v>1255841</v>
      </c>
      <c r="L923" s="11" t="n">
        <v>47411</v>
      </c>
      <c r="M923" s="13" t="s">
        <v>44</v>
      </c>
      <c r="N923" s="13" t="s">
        <v>69</v>
      </c>
      <c r="P923" s="11" t="n">
        <v>128</v>
      </c>
      <c r="Q923" s="13" t="s">
        <v>45</v>
      </c>
      <c r="R923" s="13" t="s">
        <v>46</v>
      </c>
      <c r="S923" s="11" t="n">
        <v>1130101</v>
      </c>
      <c r="T923" s="13" t="s">
        <v>47</v>
      </c>
      <c r="U923" s="14" t="n">
        <v>781.5</v>
      </c>
      <c r="W923" s="14" t="n">
        <v>0</v>
      </c>
      <c r="X923" s="13" t="s">
        <v>986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295</v>
      </c>
      <c r="F924" s="11" t="n">
        <v>24</v>
      </c>
      <c r="G924" s="13" t="s">
        <v>42</v>
      </c>
      <c r="H924" s="11" t="n">
        <v>2110101</v>
      </c>
      <c r="I924" s="13" t="s">
        <v>43</v>
      </c>
      <c r="J924" s="11" t="n">
        <v>1260136</v>
      </c>
      <c r="L924" s="11" t="n">
        <v>1890866</v>
      </c>
      <c r="M924" s="13" t="s">
        <v>44</v>
      </c>
      <c r="N924" s="13" t="s">
        <v>69</v>
      </c>
      <c r="P924" s="11" t="n">
        <v>128</v>
      </c>
      <c r="Q924" s="13" t="s">
        <v>45</v>
      </c>
      <c r="R924" s="13" t="s">
        <v>46</v>
      </c>
      <c r="S924" s="11" t="n">
        <v>1130101</v>
      </c>
      <c r="T924" s="13" t="s">
        <v>47</v>
      </c>
      <c r="U924" s="14" t="n">
        <v>1799</v>
      </c>
      <c r="W924" s="14" t="n">
        <v>0</v>
      </c>
      <c r="X924" s="13" t="s">
        <v>987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295</v>
      </c>
      <c r="F925" s="11" t="n">
        <v>24</v>
      </c>
      <c r="G925" s="13" t="s">
        <v>42</v>
      </c>
      <c r="H925" s="11" t="n">
        <v>2110101</v>
      </c>
      <c r="I925" s="13" t="s">
        <v>43</v>
      </c>
      <c r="J925" s="11" t="n">
        <v>1260175</v>
      </c>
      <c r="L925" s="11" t="n">
        <v>1890865</v>
      </c>
      <c r="M925" s="13" t="s">
        <v>44</v>
      </c>
      <c r="N925" s="13" t="s">
        <v>69</v>
      </c>
      <c r="P925" s="11" t="n">
        <v>128</v>
      </c>
      <c r="Q925" s="13" t="s">
        <v>45</v>
      </c>
      <c r="R925" s="13" t="s">
        <v>46</v>
      </c>
      <c r="S925" s="11" t="n">
        <v>1130101</v>
      </c>
      <c r="T925" s="13" t="s">
        <v>47</v>
      </c>
      <c r="U925" s="14" t="n">
        <v>1103.52</v>
      </c>
      <c r="W925" s="14" t="n">
        <v>0</v>
      </c>
      <c r="X925" s="13" t="s">
        <v>988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53</v>
      </c>
      <c r="F926" s="11" t="n">
        <v>24</v>
      </c>
      <c r="G926" s="13" t="s">
        <v>42</v>
      </c>
      <c r="H926" s="11" t="n">
        <v>2110101</v>
      </c>
      <c r="I926" s="13" t="s">
        <v>43</v>
      </c>
      <c r="J926" s="11" t="n">
        <v>1265571</v>
      </c>
      <c r="L926" s="11" t="n">
        <v>4212043</v>
      </c>
      <c r="M926" s="13" t="s">
        <v>44</v>
      </c>
      <c r="N926" s="13" t="s">
        <v>36</v>
      </c>
      <c r="P926" s="11" t="n">
        <v>128</v>
      </c>
      <c r="Q926" s="13" t="s">
        <v>45</v>
      </c>
      <c r="R926" s="13" t="s">
        <v>46</v>
      </c>
      <c r="S926" s="11" t="n">
        <v>1130101</v>
      </c>
      <c r="T926" s="13" t="s">
        <v>47</v>
      </c>
      <c r="U926" s="14" t="n">
        <v>369</v>
      </c>
      <c r="W926" s="14" t="n">
        <v>0</v>
      </c>
      <c r="X926" s="13" t="s">
        <v>989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49</v>
      </c>
      <c r="F927" s="11" t="n">
        <v>24</v>
      </c>
      <c r="G927" s="13" t="s">
        <v>42</v>
      </c>
      <c r="H927" s="11" t="n">
        <v>2110101</v>
      </c>
      <c r="I927" s="13" t="s">
        <v>43</v>
      </c>
      <c r="J927" s="11" t="n">
        <v>1265971</v>
      </c>
      <c r="L927" s="11" t="n">
        <v>32042682</v>
      </c>
      <c r="M927" s="13" t="s">
        <v>44</v>
      </c>
      <c r="N927" s="13" t="s">
        <v>36</v>
      </c>
      <c r="P927" s="11" t="n">
        <v>128</v>
      </c>
      <c r="Q927" s="13" t="s">
        <v>45</v>
      </c>
      <c r="R927" s="13" t="s">
        <v>46</v>
      </c>
      <c r="S927" s="11" t="n">
        <v>1130101</v>
      </c>
      <c r="T927" s="13" t="s">
        <v>47</v>
      </c>
      <c r="U927" s="14" t="n">
        <v>1019.5</v>
      </c>
      <c r="W927" s="14" t="n">
        <v>0</v>
      </c>
      <c r="X927" s="13" t="s">
        <v>990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49</v>
      </c>
      <c r="F928" s="11" t="n">
        <v>24</v>
      </c>
      <c r="G928" s="13" t="s">
        <v>42</v>
      </c>
      <c r="H928" s="11" t="n">
        <v>2110101</v>
      </c>
      <c r="I928" s="13" t="s">
        <v>43</v>
      </c>
      <c r="J928" s="11" t="n">
        <v>1266033</v>
      </c>
      <c r="L928" s="11" t="n">
        <v>32042652</v>
      </c>
      <c r="M928" s="13" t="s">
        <v>44</v>
      </c>
      <c r="N928" s="13" t="s">
        <v>36</v>
      </c>
      <c r="P928" s="11" t="n">
        <v>128</v>
      </c>
      <c r="Q928" s="13" t="s">
        <v>45</v>
      </c>
      <c r="R928" s="13" t="s">
        <v>46</v>
      </c>
      <c r="S928" s="11" t="n">
        <v>1130101</v>
      </c>
      <c r="T928" s="13" t="s">
        <v>47</v>
      </c>
      <c r="U928" s="14" t="n">
        <v>1319.07</v>
      </c>
      <c r="W928" s="14" t="n">
        <v>0</v>
      </c>
      <c r="X928" s="13" t="s">
        <v>991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49</v>
      </c>
      <c r="F929" s="11" t="n">
        <v>24</v>
      </c>
      <c r="G929" s="13" t="s">
        <v>42</v>
      </c>
      <c r="H929" s="11" t="n">
        <v>2110101</v>
      </c>
      <c r="I929" s="13" t="s">
        <v>43</v>
      </c>
      <c r="J929" s="11" t="n">
        <v>1266070</v>
      </c>
      <c r="L929" s="11" t="n">
        <v>32042632</v>
      </c>
      <c r="M929" s="13" t="s">
        <v>44</v>
      </c>
      <c r="N929" s="13" t="s">
        <v>36</v>
      </c>
      <c r="P929" s="11" t="n">
        <v>128</v>
      </c>
      <c r="Q929" s="13" t="s">
        <v>45</v>
      </c>
      <c r="R929" s="13" t="s">
        <v>46</v>
      </c>
      <c r="S929" s="11" t="n">
        <v>1130101</v>
      </c>
      <c r="T929" s="13" t="s">
        <v>47</v>
      </c>
      <c r="U929" s="14" t="n">
        <v>1097.93</v>
      </c>
      <c r="W929" s="14" t="n">
        <v>0</v>
      </c>
      <c r="X929" s="13" t="s">
        <v>992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49</v>
      </c>
      <c r="F930" s="11" t="n">
        <v>24</v>
      </c>
      <c r="G930" s="13" t="s">
        <v>42</v>
      </c>
      <c r="H930" s="11" t="n">
        <v>2110101</v>
      </c>
      <c r="I930" s="13" t="s">
        <v>43</v>
      </c>
      <c r="J930" s="11" t="n">
        <v>1266100</v>
      </c>
      <c r="L930" s="11" t="n">
        <v>32043642</v>
      </c>
      <c r="M930" s="13" t="s">
        <v>44</v>
      </c>
      <c r="N930" s="13" t="s">
        <v>36</v>
      </c>
      <c r="P930" s="11" t="n">
        <v>128</v>
      </c>
      <c r="Q930" s="13" t="s">
        <v>45</v>
      </c>
      <c r="R930" s="13" t="s">
        <v>46</v>
      </c>
      <c r="S930" s="11" t="n">
        <v>1130101</v>
      </c>
      <c r="T930" s="13" t="s">
        <v>47</v>
      </c>
      <c r="U930" s="14" t="n">
        <v>806.43</v>
      </c>
      <c r="W930" s="14" t="n">
        <v>0</v>
      </c>
      <c r="X930" s="13" t="s">
        <v>993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49</v>
      </c>
      <c r="F931" s="11" t="n">
        <v>24</v>
      </c>
      <c r="G931" s="13" t="s">
        <v>42</v>
      </c>
      <c r="H931" s="11" t="n">
        <v>2110101</v>
      </c>
      <c r="I931" s="13" t="s">
        <v>43</v>
      </c>
      <c r="J931" s="11" t="n">
        <v>1266134</v>
      </c>
      <c r="L931" s="11" t="n">
        <v>32042692</v>
      </c>
      <c r="M931" s="13" t="s">
        <v>44</v>
      </c>
      <c r="N931" s="13" t="s">
        <v>36</v>
      </c>
      <c r="P931" s="11" t="n">
        <v>128</v>
      </c>
      <c r="Q931" s="13" t="s">
        <v>45</v>
      </c>
      <c r="R931" s="13" t="s">
        <v>46</v>
      </c>
      <c r="S931" s="11" t="n">
        <v>1130101</v>
      </c>
      <c r="T931" s="13" t="s">
        <v>47</v>
      </c>
      <c r="U931" s="14" t="n">
        <v>1138.24</v>
      </c>
      <c r="W931" s="14" t="n">
        <v>0</v>
      </c>
      <c r="X931" s="13" t="s">
        <v>994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260</v>
      </c>
      <c r="F932" s="11" t="n">
        <v>24</v>
      </c>
      <c r="G932" s="13" t="s">
        <v>42</v>
      </c>
      <c r="H932" s="11" t="n">
        <v>2110101</v>
      </c>
      <c r="I932" s="13" t="s">
        <v>43</v>
      </c>
      <c r="J932" s="11" t="n">
        <v>1272607</v>
      </c>
      <c r="L932" s="11" t="n">
        <v>2222632</v>
      </c>
      <c r="M932" s="13" t="s">
        <v>44</v>
      </c>
      <c r="N932" s="13" t="s">
        <v>36</v>
      </c>
      <c r="P932" s="11" t="n">
        <v>128</v>
      </c>
      <c r="Q932" s="13" t="s">
        <v>45</v>
      </c>
      <c r="R932" s="13" t="s">
        <v>46</v>
      </c>
      <c r="S932" s="11" t="n">
        <v>1130101</v>
      </c>
      <c r="T932" s="13" t="s">
        <v>47</v>
      </c>
      <c r="U932" s="14" t="n">
        <v>782.56</v>
      </c>
      <c r="W932" s="14" t="n">
        <v>0</v>
      </c>
      <c r="X932" s="13" t="s">
        <v>995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351</v>
      </c>
      <c r="F933" s="11" t="n">
        <v>24</v>
      </c>
      <c r="G933" s="13" t="s">
        <v>42</v>
      </c>
      <c r="H933" s="11" t="n">
        <v>2110101</v>
      </c>
      <c r="I933" s="13" t="s">
        <v>43</v>
      </c>
      <c r="J933" s="11" t="n">
        <v>1279197</v>
      </c>
      <c r="L933" s="11" t="n">
        <v>39436</v>
      </c>
      <c r="M933" s="13" t="s">
        <v>44</v>
      </c>
      <c r="N933" s="13" t="s">
        <v>69</v>
      </c>
      <c r="P933" s="11" t="n">
        <v>128</v>
      </c>
      <c r="Q933" s="13" t="s">
        <v>45</v>
      </c>
      <c r="R933" s="13" t="s">
        <v>46</v>
      </c>
      <c r="S933" s="11" t="n">
        <v>1130101</v>
      </c>
      <c r="T933" s="13" t="s">
        <v>47</v>
      </c>
      <c r="U933" s="14" t="n">
        <v>1613</v>
      </c>
      <c r="W933" s="14" t="n">
        <v>0</v>
      </c>
      <c r="X933" s="13" t="s">
        <v>996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255</v>
      </c>
      <c r="F934" s="11" t="n">
        <v>24</v>
      </c>
      <c r="G934" s="13" t="s">
        <v>42</v>
      </c>
      <c r="H934" s="11" t="n">
        <v>2110101</v>
      </c>
      <c r="I934" s="13" t="s">
        <v>43</v>
      </c>
      <c r="J934" s="11" t="n">
        <v>1279232</v>
      </c>
      <c r="L934" s="11" t="n">
        <v>3747572</v>
      </c>
      <c r="M934" s="13" t="s">
        <v>44</v>
      </c>
      <c r="N934" s="13" t="s">
        <v>36</v>
      </c>
      <c r="P934" s="11" t="n">
        <v>128</v>
      </c>
      <c r="Q934" s="13" t="s">
        <v>45</v>
      </c>
      <c r="R934" s="13" t="s">
        <v>46</v>
      </c>
      <c r="S934" s="11" t="n">
        <v>1130101</v>
      </c>
      <c r="T934" s="13" t="s">
        <v>47</v>
      </c>
      <c r="U934" s="14" t="n">
        <v>977.07</v>
      </c>
      <c r="W934" s="14" t="n">
        <v>0</v>
      </c>
      <c r="X934" s="13" t="s">
        <v>997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269</v>
      </c>
      <c r="F935" s="11" t="n">
        <v>24</v>
      </c>
      <c r="G935" s="13" t="s">
        <v>42</v>
      </c>
      <c r="H935" s="11" t="n">
        <v>2110101</v>
      </c>
      <c r="I935" s="13" t="s">
        <v>43</v>
      </c>
      <c r="J935" s="11" t="n">
        <v>1288999</v>
      </c>
      <c r="L935" s="11" t="n">
        <v>187933</v>
      </c>
      <c r="M935" s="13" t="s">
        <v>44</v>
      </c>
      <c r="N935" s="13" t="s">
        <v>36</v>
      </c>
      <c r="P935" s="11" t="n">
        <v>128</v>
      </c>
      <c r="Q935" s="13" t="s">
        <v>45</v>
      </c>
      <c r="R935" s="13" t="s">
        <v>46</v>
      </c>
      <c r="S935" s="11" t="n">
        <v>1130101</v>
      </c>
      <c r="T935" s="13" t="s">
        <v>47</v>
      </c>
      <c r="U935" s="14" t="n">
        <v>521.45</v>
      </c>
      <c r="W935" s="14" t="n">
        <v>0</v>
      </c>
      <c r="X935" s="13" t="s">
        <v>998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41</v>
      </c>
      <c r="F936" s="11" t="n">
        <v>24</v>
      </c>
      <c r="G936" s="13" t="s">
        <v>42</v>
      </c>
      <c r="H936" s="11" t="n">
        <v>2110101</v>
      </c>
      <c r="I936" s="13" t="s">
        <v>43</v>
      </c>
      <c r="J936" s="11" t="n">
        <v>1293858</v>
      </c>
      <c r="L936" s="11" t="n">
        <v>16785003</v>
      </c>
      <c r="M936" s="13" t="s">
        <v>44</v>
      </c>
      <c r="N936" s="13" t="s">
        <v>36</v>
      </c>
      <c r="P936" s="11" t="n">
        <v>128</v>
      </c>
      <c r="Q936" s="13" t="s">
        <v>45</v>
      </c>
      <c r="R936" s="13" t="s">
        <v>46</v>
      </c>
      <c r="S936" s="11" t="n">
        <v>1130101</v>
      </c>
      <c r="T936" s="13" t="s">
        <v>47</v>
      </c>
      <c r="U936" s="14" t="n">
        <v>1189.33</v>
      </c>
      <c r="W936" s="14" t="n">
        <v>0</v>
      </c>
      <c r="X936" s="13" t="s">
        <v>999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67</v>
      </c>
      <c r="F937" s="11" t="n">
        <v>24</v>
      </c>
      <c r="G937" s="13" t="s">
        <v>42</v>
      </c>
      <c r="H937" s="11" t="n">
        <v>2110101</v>
      </c>
      <c r="I937" s="13" t="s">
        <v>43</v>
      </c>
      <c r="J937" s="11" t="n">
        <v>1295733</v>
      </c>
      <c r="L937" s="11" t="n">
        <v>13764712</v>
      </c>
      <c r="M937" s="13" t="s">
        <v>44</v>
      </c>
      <c r="N937" s="13" t="s">
        <v>36</v>
      </c>
      <c r="P937" s="11" t="n">
        <v>128</v>
      </c>
      <c r="Q937" s="13" t="s">
        <v>45</v>
      </c>
      <c r="R937" s="13" t="s">
        <v>46</v>
      </c>
      <c r="S937" s="11" t="n">
        <v>1130101</v>
      </c>
      <c r="T937" s="13" t="s">
        <v>47</v>
      </c>
      <c r="U937" s="14" t="n">
        <v>696.25</v>
      </c>
      <c r="W937" s="14" t="n">
        <v>0</v>
      </c>
      <c r="X937" s="13" t="s">
        <v>1000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113</v>
      </c>
      <c r="F938" s="11" t="n">
        <v>24</v>
      </c>
      <c r="G938" s="13" t="s">
        <v>42</v>
      </c>
      <c r="H938" s="11" t="n">
        <v>2110101</v>
      </c>
      <c r="I938" s="13" t="s">
        <v>43</v>
      </c>
      <c r="J938" s="11" t="n">
        <v>1299213</v>
      </c>
      <c r="L938" s="11" t="n">
        <v>215700</v>
      </c>
      <c r="M938" s="13" t="s">
        <v>44</v>
      </c>
      <c r="N938" s="13" t="s">
        <v>69</v>
      </c>
      <c r="P938" s="11" t="n">
        <v>128</v>
      </c>
      <c r="Q938" s="13" t="s">
        <v>45</v>
      </c>
      <c r="R938" s="13" t="s">
        <v>46</v>
      </c>
      <c r="S938" s="11" t="n">
        <v>1130101</v>
      </c>
      <c r="T938" s="13" t="s">
        <v>47</v>
      </c>
      <c r="U938" s="14" t="n">
        <v>675.92</v>
      </c>
      <c r="W938" s="14" t="n">
        <v>0</v>
      </c>
      <c r="X938" s="13" t="s">
        <v>1001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167</v>
      </c>
      <c r="F939" s="11" t="n">
        <v>24</v>
      </c>
      <c r="G939" s="13" t="s">
        <v>42</v>
      </c>
      <c r="H939" s="11" t="n">
        <v>2110101</v>
      </c>
      <c r="I939" s="13" t="s">
        <v>43</v>
      </c>
      <c r="J939" s="11" t="n">
        <v>1304495</v>
      </c>
      <c r="L939" s="11" t="n">
        <v>364</v>
      </c>
      <c r="M939" s="13" t="s">
        <v>44</v>
      </c>
      <c r="N939" s="13" t="s">
        <v>69</v>
      </c>
      <c r="P939" s="11" t="n">
        <v>128</v>
      </c>
      <c r="Q939" s="13" t="s">
        <v>45</v>
      </c>
      <c r="R939" s="13" t="s">
        <v>46</v>
      </c>
      <c r="S939" s="11" t="n">
        <v>1130101</v>
      </c>
      <c r="T939" s="13" t="s">
        <v>47</v>
      </c>
      <c r="U939" s="14" t="n">
        <v>1279.8</v>
      </c>
      <c r="W939" s="14" t="n">
        <v>0</v>
      </c>
      <c r="X939" s="13" t="s">
        <v>1002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251</v>
      </c>
      <c r="F940" s="11" t="n">
        <v>24</v>
      </c>
      <c r="G940" s="13" t="s">
        <v>42</v>
      </c>
      <c r="H940" s="11" t="n">
        <v>2110101</v>
      </c>
      <c r="I940" s="13" t="s">
        <v>43</v>
      </c>
      <c r="J940" s="11" t="n">
        <v>1305056</v>
      </c>
      <c r="L940" s="11" t="n">
        <v>8812241</v>
      </c>
      <c r="M940" s="13" t="s">
        <v>44</v>
      </c>
      <c r="N940" s="13" t="s">
        <v>36</v>
      </c>
      <c r="P940" s="11" t="n">
        <v>128</v>
      </c>
      <c r="Q940" s="13" t="s">
        <v>45</v>
      </c>
      <c r="R940" s="13" t="s">
        <v>46</v>
      </c>
      <c r="S940" s="11" t="n">
        <v>1130101</v>
      </c>
      <c r="T940" s="13" t="s">
        <v>47</v>
      </c>
      <c r="U940" s="14" t="n">
        <v>764.34</v>
      </c>
      <c r="W940" s="14" t="n">
        <v>0</v>
      </c>
      <c r="X940" s="13" t="s">
        <v>1003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60</v>
      </c>
      <c r="F941" s="11" t="n">
        <v>24</v>
      </c>
      <c r="G941" s="13" t="s">
        <v>42</v>
      </c>
      <c r="H941" s="11" t="n">
        <v>2110101</v>
      </c>
      <c r="I941" s="13" t="s">
        <v>43</v>
      </c>
      <c r="J941" s="11" t="n">
        <v>1312319</v>
      </c>
      <c r="L941" s="11" t="n">
        <v>3059181</v>
      </c>
      <c r="M941" s="13" t="s">
        <v>44</v>
      </c>
      <c r="N941" s="13" t="s">
        <v>36</v>
      </c>
      <c r="P941" s="11" t="n">
        <v>128</v>
      </c>
      <c r="Q941" s="13" t="s">
        <v>45</v>
      </c>
      <c r="R941" s="13" t="s">
        <v>46</v>
      </c>
      <c r="S941" s="11" t="n">
        <v>1130101</v>
      </c>
      <c r="T941" s="13" t="s">
        <v>47</v>
      </c>
      <c r="U941" s="14" t="n">
        <v>649.18</v>
      </c>
      <c r="W941" s="14" t="n">
        <v>0</v>
      </c>
      <c r="X941" s="13" t="s">
        <v>1004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ALL DOG FIL CARNE</v>
      </c>
      <c r="AC941" s="1" t="n">
        <v>305918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165</v>
      </c>
      <c r="F942" s="11" t="n">
        <v>24</v>
      </c>
      <c r="G942" s="13" t="s">
        <v>42</v>
      </c>
      <c r="H942" s="11" t="n">
        <v>2110101</v>
      </c>
      <c r="I942" s="13" t="s">
        <v>43</v>
      </c>
      <c r="J942" s="11" t="n">
        <v>1312346</v>
      </c>
      <c r="L942" s="11" t="n">
        <v>4217651</v>
      </c>
      <c r="M942" s="13" t="s">
        <v>44</v>
      </c>
      <c r="N942" s="13" t="s">
        <v>36</v>
      </c>
      <c r="P942" s="11" t="n">
        <v>128</v>
      </c>
      <c r="Q942" s="13" t="s">
        <v>45</v>
      </c>
      <c r="R942" s="13" t="s">
        <v>46</v>
      </c>
      <c r="S942" s="11" t="n">
        <v>1130101</v>
      </c>
      <c r="T942" s="13" t="s">
        <v>47</v>
      </c>
      <c r="U942" s="14" t="n">
        <v>709.47</v>
      </c>
      <c r="W942" s="14" t="n">
        <v>0</v>
      </c>
      <c r="X942" s="13" t="s">
        <v>1005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nao encontrado</v>
      </c>
      <c r="AC942" s="1" t="n">
        <v>4217651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1006</v>
      </c>
      <c r="F943" s="11" t="n">
        <v>24</v>
      </c>
      <c r="G943" s="13" t="s">
        <v>42</v>
      </c>
      <c r="H943" s="11" t="n">
        <v>2110101</v>
      </c>
      <c r="I943" s="13" t="s">
        <v>43</v>
      </c>
      <c r="J943" s="11" t="n">
        <v>1312423</v>
      </c>
      <c r="L943" s="11" t="n">
        <v>436</v>
      </c>
      <c r="M943" s="13" t="s">
        <v>44</v>
      </c>
      <c r="N943" s="13" t="s">
        <v>36</v>
      </c>
      <c r="P943" s="11" t="n">
        <v>128</v>
      </c>
      <c r="Q943" s="13" t="s">
        <v>45</v>
      </c>
      <c r="R943" s="13" t="s">
        <v>46</v>
      </c>
      <c r="S943" s="11" t="n">
        <v>1130101</v>
      </c>
      <c r="T943" s="13" t="s">
        <v>47</v>
      </c>
      <c r="U943" s="14" t="n">
        <v>653.6</v>
      </c>
      <c r="W943" s="14" t="n">
        <v>0</v>
      </c>
      <c r="X943" s="13" t="s">
        <v>1007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CERVEJA LONG NECK IM</v>
      </c>
      <c r="AC943" s="1" t="n">
        <v>436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351</v>
      </c>
      <c r="F944" s="11" t="n">
        <v>24</v>
      </c>
      <c r="G944" s="13" t="s">
        <v>42</v>
      </c>
      <c r="H944" s="11" t="n">
        <v>2110101</v>
      </c>
      <c r="I944" s="13" t="s">
        <v>43</v>
      </c>
      <c r="J944" s="11" t="n">
        <v>1312535</v>
      </c>
      <c r="L944" s="11" t="n">
        <v>2465</v>
      </c>
      <c r="M944" s="13" t="s">
        <v>44</v>
      </c>
      <c r="N944" s="13" t="s">
        <v>69</v>
      </c>
      <c r="P944" s="11" t="n">
        <v>128</v>
      </c>
      <c r="Q944" s="13" t="s">
        <v>45</v>
      </c>
      <c r="R944" s="13" t="s">
        <v>46</v>
      </c>
      <c r="S944" s="11" t="n">
        <v>1130101</v>
      </c>
      <c r="T944" s="13" t="s">
        <v>47</v>
      </c>
      <c r="U944" s="14" t="n">
        <v>105</v>
      </c>
      <c r="W944" s="14" t="n">
        <v>0</v>
      </c>
      <c r="X944" s="13" t="s">
        <v>1008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FARINHA DE TAPIOCA 4</v>
      </c>
      <c r="AC944" s="1" t="n">
        <v>2465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351</v>
      </c>
      <c r="F945" s="11" t="n">
        <v>24</v>
      </c>
      <c r="G945" s="13" t="s">
        <v>42</v>
      </c>
      <c r="H945" s="11" t="n">
        <v>2110101</v>
      </c>
      <c r="I945" s="13" t="s">
        <v>43</v>
      </c>
      <c r="J945" s="11" t="n">
        <v>1312539</v>
      </c>
      <c r="L945" s="11" t="n">
        <v>39536</v>
      </c>
      <c r="M945" s="13" t="s">
        <v>44</v>
      </c>
      <c r="N945" s="13" t="s">
        <v>69</v>
      </c>
      <c r="P945" s="11" t="n">
        <v>128</v>
      </c>
      <c r="Q945" s="13" t="s">
        <v>45</v>
      </c>
      <c r="R945" s="13" t="s">
        <v>46</v>
      </c>
      <c r="S945" s="11" t="n">
        <v>1130101</v>
      </c>
      <c r="T945" s="13" t="s">
        <v>47</v>
      </c>
      <c r="U945" s="14" t="n">
        <v>137.5</v>
      </c>
      <c r="W945" s="14" t="n">
        <v>0</v>
      </c>
      <c r="X945" s="13" t="s">
        <v>1009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GOMA DE MANDIOCA 1KG</v>
      </c>
      <c r="AC945" s="1" t="n">
        <v>39536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854</v>
      </c>
      <c r="F946" s="11" t="n">
        <v>24</v>
      </c>
      <c r="G946" s="13" t="s">
        <v>42</v>
      </c>
      <c r="H946" s="11" t="n">
        <v>2110101</v>
      </c>
      <c r="I946" s="13" t="s">
        <v>43</v>
      </c>
      <c r="J946" s="11" t="n">
        <v>1321688</v>
      </c>
      <c r="L946" s="11" t="n">
        <v>774802</v>
      </c>
      <c r="M946" s="13" t="s">
        <v>44</v>
      </c>
      <c r="N946" s="13" t="s">
        <v>36</v>
      </c>
      <c r="P946" s="11" t="n">
        <v>128</v>
      </c>
      <c r="Q946" s="13" t="s">
        <v>45</v>
      </c>
      <c r="R946" s="13" t="s">
        <v>46</v>
      </c>
      <c r="S946" s="11" t="n">
        <v>1130101</v>
      </c>
      <c r="T946" s="13" t="s">
        <v>47</v>
      </c>
      <c r="U946" s="14" t="n">
        <v>1651.2</v>
      </c>
      <c r="W946" s="14" t="n">
        <v>0</v>
      </c>
      <c r="X946" s="13" t="s">
        <v>1010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TRASEIRO DE BOI L1</v>
      </c>
      <c r="AC946" s="1" t="n">
        <v>35032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854</v>
      </c>
      <c r="F947" s="11" t="n">
        <v>24</v>
      </c>
      <c r="G947" s="13" t="s">
        <v>42</v>
      </c>
      <c r="H947" s="11" t="n">
        <v>2110101</v>
      </c>
      <c r="I947" s="13" t="s">
        <v>43</v>
      </c>
      <c r="J947" s="11" t="n">
        <v>1321749</v>
      </c>
      <c r="L947" s="11" t="n">
        <v>774382</v>
      </c>
      <c r="M947" s="13" t="s">
        <v>44</v>
      </c>
      <c r="N947" s="13" t="s">
        <v>36</v>
      </c>
      <c r="P947" s="11" t="n">
        <v>128</v>
      </c>
      <c r="Q947" s="13" t="s">
        <v>45</v>
      </c>
      <c r="R947" s="13" t="s">
        <v>46</v>
      </c>
      <c r="S947" s="11" t="n">
        <v>1130101</v>
      </c>
      <c r="T947" s="13" t="s">
        <v>47</v>
      </c>
      <c r="U947" s="14" t="n">
        <v>1830.96</v>
      </c>
      <c r="W947" s="14" t="n">
        <v>0</v>
      </c>
      <c r="X947" s="13" t="s">
        <v>1011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CAR MUSCULO S.OSSOKG</v>
      </c>
      <c r="AC947" s="1" t="n">
        <v>30609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410</v>
      </c>
      <c r="F948" s="11" t="n">
        <v>24</v>
      </c>
      <c r="G948" s="13" t="s">
        <v>42</v>
      </c>
      <c r="H948" s="11" t="n">
        <v>2110101</v>
      </c>
      <c r="I948" s="13" t="s">
        <v>43</v>
      </c>
      <c r="J948" s="11" t="n">
        <v>1322109</v>
      </c>
      <c r="L948" s="11" t="n">
        <v>5718</v>
      </c>
      <c r="M948" s="13" t="s">
        <v>44</v>
      </c>
      <c r="N948" s="13" t="s">
        <v>69</v>
      </c>
      <c r="P948" s="11" t="n">
        <v>128</v>
      </c>
      <c r="Q948" s="13" t="s">
        <v>45</v>
      </c>
      <c r="R948" s="13" t="s">
        <v>46</v>
      </c>
      <c r="S948" s="11" t="n">
        <v>1130101</v>
      </c>
      <c r="T948" s="13" t="s">
        <v>47</v>
      </c>
      <c r="U948" s="14" t="n">
        <v>728</v>
      </c>
      <c r="W948" s="14" t="n">
        <v>0</v>
      </c>
      <c r="X948" s="13" t="s">
        <v>1012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FAZENDINH LAR 500 ML</v>
      </c>
      <c r="AC948" s="1" t="n">
        <v>5718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76</v>
      </c>
      <c r="F949" s="11" t="n">
        <v>24</v>
      </c>
      <c r="G949" s="13" t="s">
        <v>42</v>
      </c>
      <c r="H949" s="11" t="n">
        <v>2110101</v>
      </c>
      <c r="I949" s="13" t="s">
        <v>43</v>
      </c>
      <c r="J949" s="11" t="n">
        <v>1329901</v>
      </c>
      <c r="L949" s="11" t="n">
        <v>54938</v>
      </c>
      <c r="M949" s="13" t="s">
        <v>44</v>
      </c>
      <c r="N949" s="13" t="s">
        <v>36</v>
      </c>
      <c r="P949" s="11" t="n">
        <v>128</v>
      </c>
      <c r="Q949" s="13" t="s">
        <v>45</v>
      </c>
      <c r="R949" s="13" t="s">
        <v>46</v>
      </c>
      <c r="S949" s="11" t="n">
        <v>1130101</v>
      </c>
      <c r="T949" s="13" t="s">
        <v>47</v>
      </c>
      <c r="U949" s="14" t="n">
        <v>4742.4</v>
      </c>
      <c r="W949" s="14" t="n">
        <v>0</v>
      </c>
      <c r="X949" s="13" t="s">
        <v>1013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TRASEIRO DE BOI L1</v>
      </c>
      <c r="AC949" s="1" t="n">
        <v>172355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177</v>
      </c>
      <c r="F950" s="11" t="n">
        <v>24</v>
      </c>
      <c r="G950" s="13" t="s">
        <v>42</v>
      </c>
      <c r="H950" s="11" t="n">
        <v>2110101</v>
      </c>
      <c r="I950" s="13" t="s">
        <v>43</v>
      </c>
      <c r="J950" s="11" t="n">
        <v>1335299</v>
      </c>
      <c r="L950" s="11" t="n">
        <v>16023162</v>
      </c>
      <c r="M950" s="13" t="s">
        <v>44</v>
      </c>
      <c r="N950" s="13" t="s">
        <v>36</v>
      </c>
      <c r="P950" s="11" t="n">
        <v>167</v>
      </c>
      <c r="Q950" s="13" t="s">
        <v>101</v>
      </c>
      <c r="R950" s="13" t="s">
        <v>46</v>
      </c>
      <c r="S950" s="11" t="n">
        <v>1130101</v>
      </c>
      <c r="T950" s="13" t="s">
        <v>47</v>
      </c>
      <c r="U950" s="14" t="n">
        <v>1398.81</v>
      </c>
      <c r="W950" s="14" t="n">
        <v>0</v>
      </c>
      <c r="X950" s="13" t="s">
        <v>1014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FRANGO A PASSARINHO </v>
      </c>
      <c r="AC950" s="1" t="n">
        <v>1602316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76</v>
      </c>
      <c r="F951" s="11" t="n">
        <v>24</v>
      </c>
      <c r="G951" s="13" t="s">
        <v>42</v>
      </c>
      <c r="H951" s="11" t="n">
        <v>2110101</v>
      </c>
      <c r="I951" s="13" t="s">
        <v>43</v>
      </c>
      <c r="J951" s="11" t="n">
        <v>1335548</v>
      </c>
      <c r="L951" s="11" t="n">
        <v>55058</v>
      </c>
      <c r="M951" s="13" t="s">
        <v>44</v>
      </c>
      <c r="N951" s="13" t="s">
        <v>36</v>
      </c>
      <c r="P951" s="11" t="n">
        <v>167</v>
      </c>
      <c r="Q951" s="13" t="s">
        <v>101</v>
      </c>
      <c r="R951" s="13" t="s">
        <v>46</v>
      </c>
      <c r="S951" s="11" t="n">
        <v>1130101</v>
      </c>
      <c r="T951" s="13" t="s">
        <v>47</v>
      </c>
      <c r="U951" s="14" t="n">
        <v>2305.6</v>
      </c>
      <c r="W951" s="14" t="n">
        <v>0</v>
      </c>
      <c r="X951" s="13" t="s">
        <v>1015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DIANTEIRO DE BOI L</v>
      </c>
      <c r="AC951" s="1" t="n">
        <v>172431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76</v>
      </c>
      <c r="F952" s="11" t="n">
        <v>24</v>
      </c>
      <c r="G952" s="13" t="s">
        <v>42</v>
      </c>
      <c r="H952" s="11" t="n">
        <v>2110101</v>
      </c>
      <c r="I952" s="13" t="s">
        <v>43</v>
      </c>
      <c r="J952" s="11" t="n">
        <v>1339473</v>
      </c>
      <c r="L952" s="11" t="n">
        <v>55207</v>
      </c>
      <c r="M952" s="13" t="s">
        <v>44</v>
      </c>
      <c r="N952" s="13" t="s">
        <v>36</v>
      </c>
      <c r="P952" s="11" t="n">
        <v>167</v>
      </c>
      <c r="Q952" s="13" t="s">
        <v>101</v>
      </c>
      <c r="R952" s="13" t="s">
        <v>46</v>
      </c>
      <c r="S952" s="11" t="n">
        <v>1130101</v>
      </c>
      <c r="T952" s="13" t="s">
        <v>47</v>
      </c>
      <c r="U952" s="14" t="n">
        <v>1971.2</v>
      </c>
      <c r="W952" s="14" t="n">
        <v>0</v>
      </c>
      <c r="X952" s="13" t="s">
        <v>1016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TRASEIRO DE BOI L1</v>
      </c>
      <c r="AC952" s="1" t="n">
        <v>172512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266</v>
      </c>
      <c r="F953" s="11" t="n">
        <v>24</v>
      </c>
      <c r="G953" s="13" t="s">
        <v>42</v>
      </c>
      <c r="H953" s="11" t="n">
        <v>2110101</v>
      </c>
      <c r="I953" s="13" t="s">
        <v>43</v>
      </c>
      <c r="J953" s="11" t="n">
        <v>1340207</v>
      </c>
      <c r="L953" s="11" t="n">
        <v>25451</v>
      </c>
      <c r="M953" s="13" t="s">
        <v>44</v>
      </c>
      <c r="N953" s="13" t="s">
        <v>36</v>
      </c>
      <c r="P953" s="11" t="n">
        <v>167</v>
      </c>
      <c r="Q953" s="13" t="s">
        <v>101</v>
      </c>
      <c r="R953" s="13" t="s">
        <v>46</v>
      </c>
      <c r="S953" s="11" t="n">
        <v>1130101</v>
      </c>
      <c r="T953" s="13" t="s">
        <v>47</v>
      </c>
      <c r="U953" s="14" t="n">
        <v>1598.87</v>
      </c>
      <c r="W953" s="14" t="n">
        <v>0</v>
      </c>
      <c r="X953" s="13" t="s">
        <v>1017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SAB BARRA ECON 500G</v>
      </c>
      <c r="AC953" s="1" t="n">
        <v>2144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218</v>
      </c>
      <c r="F954" s="11" t="n">
        <v>24</v>
      </c>
      <c r="G954" s="13" t="s">
        <v>42</v>
      </c>
      <c r="H954" s="11" t="n">
        <v>2110101</v>
      </c>
      <c r="I954" s="13" t="s">
        <v>43</v>
      </c>
      <c r="J954" s="11" t="n">
        <v>1343844</v>
      </c>
      <c r="L954" s="11" t="n">
        <v>2423</v>
      </c>
      <c r="M954" s="13" t="s">
        <v>44</v>
      </c>
      <c r="N954" s="13" t="s">
        <v>69</v>
      </c>
      <c r="P954" s="11" t="n">
        <v>167</v>
      </c>
      <c r="Q954" s="13" t="s">
        <v>101</v>
      </c>
      <c r="R954" s="13" t="s">
        <v>46</v>
      </c>
      <c r="S954" s="11" t="n">
        <v>1130101</v>
      </c>
      <c r="T954" s="13" t="s">
        <v>47</v>
      </c>
      <c r="U954" s="14" t="n">
        <v>1815</v>
      </c>
      <c r="W954" s="14" t="n">
        <v>0</v>
      </c>
      <c r="X954" s="13" t="s">
        <v>1018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MARROM UNID</v>
      </c>
      <c r="AC954" s="1" t="n">
        <v>2423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278</v>
      </c>
      <c r="F955" s="11" t="n">
        <v>24</v>
      </c>
      <c r="G955" s="13" t="s">
        <v>42</v>
      </c>
      <c r="H955" s="11" t="n">
        <v>2110101</v>
      </c>
      <c r="I955" s="13" t="s">
        <v>43</v>
      </c>
      <c r="J955" s="11" t="n">
        <v>1345337</v>
      </c>
      <c r="L955" s="11" t="n">
        <v>1365</v>
      </c>
      <c r="M955" s="13" t="s">
        <v>44</v>
      </c>
      <c r="N955" s="13" t="s">
        <v>69</v>
      </c>
      <c r="P955" s="11" t="n">
        <v>167</v>
      </c>
      <c r="Q955" s="13" t="s">
        <v>101</v>
      </c>
      <c r="R955" s="13" t="s">
        <v>46</v>
      </c>
      <c r="S955" s="11" t="n">
        <v>1130101</v>
      </c>
      <c r="T955" s="13" t="s">
        <v>47</v>
      </c>
      <c r="U955" s="14" t="n">
        <v>937.9</v>
      </c>
      <c r="W955" s="14" t="n">
        <v>0</v>
      </c>
      <c r="X955" s="13" t="s">
        <v>1019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 PERU DF DISTRIBUIDORA DE FR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76</v>
      </c>
      <c r="F956" s="11" t="n">
        <v>24</v>
      </c>
      <c r="G956" s="13" t="s">
        <v>42</v>
      </c>
      <c r="H956" s="11" t="n">
        <v>2110101</v>
      </c>
      <c r="I956" s="13" t="s">
        <v>43</v>
      </c>
      <c r="J956" s="11" t="n">
        <v>1348449</v>
      </c>
      <c r="L956" s="11" t="n">
        <v>55346</v>
      </c>
      <c r="M956" s="13" t="s">
        <v>44</v>
      </c>
      <c r="N956" s="13" t="s">
        <v>36</v>
      </c>
      <c r="P956" s="11" t="n">
        <v>167</v>
      </c>
      <c r="Q956" s="13" t="s">
        <v>101</v>
      </c>
      <c r="R956" s="13" t="s">
        <v>46</v>
      </c>
      <c r="S956" s="11" t="n">
        <v>1130101</v>
      </c>
      <c r="T956" s="13" t="s">
        <v>47</v>
      </c>
      <c r="U956" s="14" t="n">
        <v>5615.6</v>
      </c>
      <c r="W956" s="14" t="n">
        <v>0</v>
      </c>
      <c r="X956" s="13" t="s">
        <v>1020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78</v>
      </c>
      <c r="F957" s="11" t="n">
        <v>24</v>
      </c>
      <c r="G957" s="13" t="s">
        <v>42</v>
      </c>
      <c r="H957" s="11" t="n">
        <v>2110101</v>
      </c>
      <c r="I957" s="13" t="s">
        <v>43</v>
      </c>
      <c r="J957" s="11" t="n">
        <v>1359519</v>
      </c>
      <c r="L957" s="11" t="n">
        <v>50497454</v>
      </c>
      <c r="M957" s="13" t="s">
        <v>44</v>
      </c>
      <c r="N957" s="13" t="s">
        <v>36</v>
      </c>
      <c r="P957" s="11" t="n">
        <v>167</v>
      </c>
      <c r="Q957" s="13" t="s">
        <v>101</v>
      </c>
      <c r="R957" s="13" t="s">
        <v>46</v>
      </c>
      <c r="S957" s="11" t="n">
        <v>1130101</v>
      </c>
      <c r="T957" s="13" t="s">
        <v>47</v>
      </c>
      <c r="U957" s="14" t="n">
        <v>667.9</v>
      </c>
      <c r="W957" s="14" t="n">
        <v>0</v>
      </c>
      <c r="X957" s="13" t="s">
        <v>1021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306</v>
      </c>
      <c r="F958" s="11" t="n">
        <v>24</v>
      </c>
      <c r="G958" s="13" t="s">
        <v>42</v>
      </c>
      <c r="H958" s="11" t="n">
        <v>2110101</v>
      </c>
      <c r="I958" s="13" t="s">
        <v>43</v>
      </c>
      <c r="J958" s="11" t="n">
        <v>1360820</v>
      </c>
      <c r="L958" s="11" t="n">
        <v>888740</v>
      </c>
      <c r="M958" s="13" t="s">
        <v>44</v>
      </c>
      <c r="N958" s="13" t="s">
        <v>69</v>
      </c>
      <c r="P958" s="11" t="n">
        <v>167</v>
      </c>
      <c r="Q958" s="13" t="s">
        <v>101</v>
      </c>
      <c r="R958" s="13" t="s">
        <v>46</v>
      </c>
      <c r="S958" s="11" t="n">
        <v>1130101</v>
      </c>
      <c r="T958" s="13" t="s">
        <v>47</v>
      </c>
      <c r="U958" s="14" t="n">
        <v>4203.32</v>
      </c>
      <c r="W958" s="14" t="n">
        <v>0</v>
      </c>
      <c r="X958" s="13" t="s">
        <v>1022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306</v>
      </c>
      <c r="F959" s="11" t="n">
        <v>24</v>
      </c>
      <c r="G959" s="13" t="s">
        <v>42</v>
      </c>
      <c r="H959" s="11" t="n">
        <v>2110101</v>
      </c>
      <c r="I959" s="13" t="s">
        <v>43</v>
      </c>
      <c r="J959" s="11" t="n">
        <v>1360840</v>
      </c>
      <c r="L959" s="11" t="n">
        <v>212509</v>
      </c>
      <c r="M959" s="13" t="s">
        <v>44</v>
      </c>
      <c r="N959" s="13" t="s">
        <v>36</v>
      </c>
      <c r="P959" s="11" t="n">
        <v>167</v>
      </c>
      <c r="Q959" s="13" t="s">
        <v>101</v>
      </c>
      <c r="R959" s="13" t="s">
        <v>46</v>
      </c>
      <c r="S959" s="11" t="n">
        <v>1130101</v>
      </c>
      <c r="T959" s="13" t="s">
        <v>47</v>
      </c>
      <c r="U959" s="14" t="n">
        <v>1.55</v>
      </c>
      <c r="W959" s="14" t="n">
        <v>0</v>
      </c>
      <c r="X959" s="13" t="s">
        <v>1023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78</v>
      </c>
      <c r="F960" s="11" t="n">
        <v>24</v>
      </c>
      <c r="G960" s="13" t="s">
        <v>42</v>
      </c>
      <c r="H960" s="11" t="n">
        <v>2110405</v>
      </c>
      <c r="I960" s="13" t="s">
        <v>34</v>
      </c>
      <c r="J960" s="11" t="n">
        <v>1392557</v>
      </c>
      <c r="L960" s="11" t="n">
        <v>50541299</v>
      </c>
      <c r="M960" s="13" t="s">
        <v>44</v>
      </c>
      <c r="N960" s="13" t="s">
        <v>36</v>
      </c>
      <c r="P960" s="11" t="n">
        <v>167</v>
      </c>
      <c r="Q960" s="13" t="s">
        <v>101</v>
      </c>
      <c r="R960" s="13" t="s">
        <v>46</v>
      </c>
      <c r="S960" s="11" t="n">
        <v>1130101</v>
      </c>
      <c r="T960" s="13" t="s">
        <v>47</v>
      </c>
      <c r="U960" s="14" t="n">
        <v>143.99</v>
      </c>
      <c r="W960" s="14" t="n">
        <v>0</v>
      </c>
      <c r="X960" s="13" t="s">
        <v>79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80</v>
      </c>
      <c r="F961" s="11" t="n">
        <v>13</v>
      </c>
      <c r="G961" s="13" t="s">
        <v>81</v>
      </c>
      <c r="H961" s="11" t="n">
        <v>2110101</v>
      </c>
      <c r="I961" s="13" t="s">
        <v>43</v>
      </c>
      <c r="J961" s="11" t="n">
        <v>1396965</v>
      </c>
      <c r="L961" s="11" t="n">
        <v>4382</v>
      </c>
      <c r="M961" s="13" t="s">
        <v>44</v>
      </c>
      <c r="N961" s="13" t="s">
        <v>69</v>
      </c>
      <c r="P961" s="11" t="n">
        <v>167</v>
      </c>
      <c r="Q961" s="13" t="s">
        <v>101</v>
      </c>
      <c r="R961" s="13" t="s">
        <v>46</v>
      </c>
      <c r="S961" s="11" t="n">
        <v>1130101</v>
      </c>
      <c r="T961" s="13" t="s">
        <v>47</v>
      </c>
      <c r="U961" s="14" t="n">
        <v>148</v>
      </c>
      <c r="W961" s="14" t="n">
        <v>148</v>
      </c>
      <c r="X961" s="13" t="s">
        <v>1024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84</v>
      </c>
      <c r="F962" s="11" t="n">
        <v>24</v>
      </c>
      <c r="G962" s="13" t="s">
        <v>42</v>
      </c>
      <c r="H962" s="11" t="n">
        <v>2110405</v>
      </c>
      <c r="I962" s="13" t="s">
        <v>34</v>
      </c>
      <c r="J962" s="11" t="n">
        <v>1402901</v>
      </c>
      <c r="L962" s="11" t="n">
        <v>218731</v>
      </c>
      <c r="M962" s="13" t="s">
        <v>44</v>
      </c>
      <c r="N962" s="13" t="s">
        <v>36</v>
      </c>
      <c r="P962" s="11" t="n">
        <v>102</v>
      </c>
      <c r="Q962" s="13" t="s">
        <v>186</v>
      </c>
      <c r="R962" s="13" t="s">
        <v>46</v>
      </c>
      <c r="S962" s="11" t="n">
        <v>1130101</v>
      </c>
      <c r="T962" s="13" t="s">
        <v>47</v>
      </c>
      <c r="U962" s="14" t="n">
        <v>1384.47</v>
      </c>
      <c r="W962" s="14" t="n">
        <v>0</v>
      </c>
      <c r="X962" s="13" t="s">
        <v>1025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112</v>
      </c>
      <c r="F963" s="11" t="n">
        <v>13</v>
      </c>
      <c r="G963" s="13" t="s">
        <v>81</v>
      </c>
      <c r="H963" s="11" t="n">
        <v>2110101</v>
      </c>
      <c r="I963" s="13" t="s">
        <v>43</v>
      </c>
      <c r="J963" s="11" t="n">
        <v>1444110</v>
      </c>
      <c r="L963" s="11" t="n">
        <v>774</v>
      </c>
      <c r="M963" s="13" t="s">
        <v>44</v>
      </c>
      <c r="N963" s="13" t="s">
        <v>69</v>
      </c>
      <c r="P963" s="11" t="n">
        <v>167</v>
      </c>
      <c r="Q963" s="13" t="s">
        <v>101</v>
      </c>
      <c r="R963" s="13" t="s">
        <v>46</v>
      </c>
      <c r="S963" s="11" t="n">
        <v>1130101</v>
      </c>
      <c r="T963" s="13" t="s">
        <v>47</v>
      </c>
      <c r="U963" s="14" t="n">
        <v>270</v>
      </c>
      <c r="W963" s="14" t="n">
        <v>0</v>
      </c>
      <c r="X963" s="13" t="s">
        <v>1026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425</v>
      </c>
      <c r="F964" s="11" t="n">
        <v>24</v>
      </c>
      <c r="G964" s="13" t="s">
        <v>42</v>
      </c>
      <c r="H964" s="11" t="n">
        <v>2110405</v>
      </c>
      <c r="I964" s="13" t="s">
        <v>34</v>
      </c>
      <c r="J964" s="11" t="n">
        <v>809440</v>
      </c>
      <c r="L964" s="11" t="n">
        <v>777006512</v>
      </c>
      <c r="M964" s="13" t="s">
        <v>380</v>
      </c>
      <c r="N964" s="13" t="s">
        <v>36</v>
      </c>
      <c r="P964" s="11" t="n">
        <v>101</v>
      </c>
      <c r="Q964" s="13" t="s">
        <v>37</v>
      </c>
      <c r="R964" s="13" t="s">
        <v>426</v>
      </c>
      <c r="S964" s="11" t="n">
        <v>4210401</v>
      </c>
      <c r="T964" s="13" t="s">
        <v>427</v>
      </c>
      <c r="U964" s="14" t="n">
        <v>225.2</v>
      </c>
      <c r="W964" s="14" t="n">
        <v>0</v>
      </c>
      <c r="X964" s="13" t="s">
        <v>1027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80</v>
      </c>
      <c r="F965" s="11" t="n">
        <v>34</v>
      </c>
      <c r="G965" s="13" t="s">
        <v>33</v>
      </c>
      <c r="H965" s="11" t="n">
        <v>2110101</v>
      </c>
      <c r="I965" s="13" t="s">
        <v>43</v>
      </c>
      <c r="J965" s="11" t="n">
        <v>1299421</v>
      </c>
      <c r="L965" s="11" t="n">
        <v>4306</v>
      </c>
      <c r="M965" s="13" t="s">
        <v>150</v>
      </c>
      <c r="N965" s="13" t="s">
        <v>69</v>
      </c>
      <c r="P965" s="11" t="n">
        <v>128</v>
      </c>
      <c r="Q965" s="13" t="s">
        <v>45</v>
      </c>
      <c r="R965" s="13" t="s">
        <v>46</v>
      </c>
      <c r="S965" s="11" t="n">
        <v>1130101</v>
      </c>
      <c r="T965" s="13" t="s">
        <v>47</v>
      </c>
      <c r="U965" s="14" t="n">
        <v>1190</v>
      </c>
      <c r="W965" s="14" t="n">
        <v>0</v>
      </c>
      <c r="X965" s="13" t="s">
        <v>1028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80</v>
      </c>
      <c r="F966" s="11" t="n">
        <v>34</v>
      </c>
      <c r="G966" s="13" t="s">
        <v>33</v>
      </c>
      <c r="H966" s="11" t="n">
        <v>2110101</v>
      </c>
      <c r="I966" s="13" t="s">
        <v>43</v>
      </c>
      <c r="J966" s="11" t="n">
        <v>1377013</v>
      </c>
      <c r="L966" s="11" t="n">
        <v>4371</v>
      </c>
      <c r="M966" s="13" t="s">
        <v>44</v>
      </c>
      <c r="N966" s="13" t="s">
        <v>69</v>
      </c>
      <c r="P966" s="11" t="n">
        <v>167</v>
      </c>
      <c r="Q966" s="13" t="s">
        <v>101</v>
      </c>
      <c r="R966" s="13" t="s">
        <v>46</v>
      </c>
      <c r="S966" s="11" t="n">
        <v>1130101</v>
      </c>
      <c r="T966" s="13" t="s">
        <v>47</v>
      </c>
      <c r="U966" s="14" t="n">
        <v>1904</v>
      </c>
      <c r="W966" s="14" t="n">
        <v>0</v>
      </c>
      <c r="X966" s="13" t="s">
        <v>1029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130</v>
      </c>
      <c r="F967" s="11" t="n">
        <v>34</v>
      </c>
      <c r="G967" s="13" t="s">
        <v>33</v>
      </c>
      <c r="H967" s="11" t="n">
        <v>2110101</v>
      </c>
      <c r="I967" s="13" t="s">
        <v>43</v>
      </c>
      <c r="J967" s="11" t="n">
        <v>1377017</v>
      </c>
      <c r="L967" s="11" t="n">
        <v>215059</v>
      </c>
      <c r="M967" s="13" t="s">
        <v>44</v>
      </c>
      <c r="N967" s="13" t="s">
        <v>36</v>
      </c>
      <c r="P967" s="11" t="n">
        <v>167</v>
      </c>
      <c r="Q967" s="13" t="s">
        <v>101</v>
      </c>
      <c r="R967" s="13" t="s">
        <v>46</v>
      </c>
      <c r="S967" s="11" t="n">
        <v>1130101</v>
      </c>
      <c r="T967" s="13" t="s">
        <v>47</v>
      </c>
      <c r="U967" s="14" t="n">
        <v>140</v>
      </c>
      <c r="W967" s="14" t="n">
        <v>0</v>
      </c>
      <c r="X967" s="13" t="s">
        <v>1030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130</v>
      </c>
      <c r="F968" s="11" t="n">
        <v>34</v>
      </c>
      <c r="G968" s="13" t="s">
        <v>33</v>
      </c>
      <c r="H968" s="11" t="n">
        <v>2110101</v>
      </c>
      <c r="I968" s="13" t="s">
        <v>43</v>
      </c>
      <c r="J968" s="11" t="n">
        <v>1377031</v>
      </c>
      <c r="L968" s="11" t="n">
        <v>14833</v>
      </c>
      <c r="M968" s="13" t="s">
        <v>44</v>
      </c>
      <c r="N968" s="13" t="s">
        <v>69</v>
      </c>
      <c r="P968" s="11" t="n">
        <v>167</v>
      </c>
      <c r="Q968" s="13" t="s">
        <v>101</v>
      </c>
      <c r="R968" s="13" t="s">
        <v>46</v>
      </c>
      <c r="S968" s="11" t="n">
        <v>1130101</v>
      </c>
      <c r="T968" s="13" t="s">
        <v>47</v>
      </c>
      <c r="U968" s="14" t="n">
        <v>440</v>
      </c>
      <c r="W968" s="14" t="n">
        <v>0</v>
      </c>
      <c r="X968" s="13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80</v>
      </c>
      <c r="F969" s="11" t="n">
        <v>13</v>
      </c>
      <c r="G969" s="13" t="s">
        <v>81</v>
      </c>
      <c r="H969" s="11" t="n">
        <v>2110101</v>
      </c>
      <c r="I969" s="13" t="s">
        <v>43</v>
      </c>
      <c r="J969" s="11" t="n">
        <v>1401503</v>
      </c>
      <c r="L969" s="11" t="n">
        <v>4384</v>
      </c>
      <c r="M969" s="13" t="s">
        <v>44</v>
      </c>
      <c r="N969" s="13" t="s">
        <v>69</v>
      </c>
      <c r="P969" s="11" t="n">
        <v>167</v>
      </c>
      <c r="Q969" s="13" t="s">
        <v>101</v>
      </c>
      <c r="R969" s="13" t="s">
        <v>46</v>
      </c>
      <c r="S969" s="11" t="n">
        <v>1130101</v>
      </c>
      <c r="T969" s="13" t="s">
        <v>47</v>
      </c>
      <c r="U969" s="14" t="n">
        <v>100</v>
      </c>
      <c r="W969" s="14" t="n">
        <v>100</v>
      </c>
      <c r="X969" s="13" t="s">
        <v>82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80</v>
      </c>
      <c r="F970" s="11" t="n">
        <v>13</v>
      </c>
      <c r="G970" s="13" t="s">
        <v>81</v>
      </c>
      <c r="H970" s="11" t="n">
        <v>2110101</v>
      </c>
      <c r="I970" s="13" t="s">
        <v>43</v>
      </c>
      <c r="J970" s="11" t="n">
        <v>1401558</v>
      </c>
      <c r="L970" s="11" t="n">
        <v>4385</v>
      </c>
      <c r="M970" s="13" t="s">
        <v>44</v>
      </c>
      <c r="N970" s="13" t="s">
        <v>69</v>
      </c>
      <c r="P970" s="11" t="n">
        <v>167</v>
      </c>
      <c r="Q970" s="13" t="s">
        <v>101</v>
      </c>
      <c r="R970" s="13" t="s">
        <v>46</v>
      </c>
      <c r="S970" s="11" t="n">
        <v>1130101</v>
      </c>
      <c r="T970" s="13" t="s">
        <v>47</v>
      </c>
      <c r="U970" s="14" t="n">
        <v>120</v>
      </c>
      <c r="W970" s="14" t="n">
        <v>120</v>
      </c>
      <c r="X970" s="13" t="s">
        <v>1031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442</v>
      </c>
      <c r="F971" s="11" t="n">
        <v>34</v>
      </c>
      <c r="G971" s="13" t="s">
        <v>33</v>
      </c>
      <c r="H971" s="11" t="n">
        <v>2110405</v>
      </c>
      <c r="I971" s="13" t="s">
        <v>34</v>
      </c>
      <c r="J971" s="11" t="n">
        <v>1157271</v>
      </c>
      <c r="L971" s="11" t="n">
        <v>181586</v>
      </c>
      <c r="M971" s="13" t="s">
        <v>150</v>
      </c>
      <c r="N971" s="13" t="s">
        <v>36</v>
      </c>
      <c r="P971" s="11" t="n">
        <v>102</v>
      </c>
      <c r="Q971" s="13" t="s">
        <v>186</v>
      </c>
      <c r="R971" s="13" t="s">
        <v>72</v>
      </c>
      <c r="S971" s="11" t="n">
        <v>4210315</v>
      </c>
      <c r="T971" s="13" t="s">
        <v>438</v>
      </c>
      <c r="U971" s="14" t="n">
        <v>177.65</v>
      </c>
      <c r="W971" s="14" t="n">
        <v>0</v>
      </c>
      <c r="X971" s="13" t="s">
        <v>1032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80</v>
      </c>
      <c r="F972" s="11" t="n">
        <v>13</v>
      </c>
      <c r="G972" s="13" t="s">
        <v>81</v>
      </c>
      <c r="H972" s="11" t="n">
        <v>2110101</v>
      </c>
      <c r="I972" s="13" t="s">
        <v>43</v>
      </c>
      <c r="J972" s="11" t="n">
        <v>1407101</v>
      </c>
      <c r="L972" s="11" t="n">
        <v>4388</v>
      </c>
      <c r="M972" s="13" t="s">
        <v>44</v>
      </c>
      <c r="N972" s="13" t="s">
        <v>69</v>
      </c>
      <c r="P972" s="11" t="n">
        <v>167</v>
      </c>
      <c r="Q972" s="13" t="s">
        <v>101</v>
      </c>
      <c r="R972" s="13" t="s">
        <v>46</v>
      </c>
      <c r="S972" s="11" t="n">
        <v>1130101</v>
      </c>
      <c r="T972" s="13" t="s">
        <v>47</v>
      </c>
      <c r="U972" s="14" t="n">
        <v>85</v>
      </c>
      <c r="W972" s="14" t="n">
        <v>85</v>
      </c>
      <c r="X972" s="13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80</v>
      </c>
      <c r="F973" s="11" t="n">
        <v>13</v>
      </c>
      <c r="G973" s="13" t="s">
        <v>81</v>
      </c>
      <c r="H973" s="11" t="n">
        <v>2110101</v>
      </c>
      <c r="I973" s="13" t="s">
        <v>43</v>
      </c>
      <c r="J973" s="11" t="n">
        <v>1407116</v>
      </c>
      <c r="L973" s="11" t="n">
        <v>4389</v>
      </c>
      <c r="M973" s="13" t="s">
        <v>44</v>
      </c>
      <c r="N973" s="13" t="s">
        <v>69</v>
      </c>
      <c r="P973" s="11" t="n">
        <v>167</v>
      </c>
      <c r="Q973" s="13" t="s">
        <v>101</v>
      </c>
      <c r="R973" s="13" t="s">
        <v>46</v>
      </c>
      <c r="S973" s="11" t="n">
        <v>1130101</v>
      </c>
      <c r="T973" s="13" t="s">
        <v>47</v>
      </c>
      <c r="U973" s="14" t="n">
        <v>59.95</v>
      </c>
      <c r="W973" s="14" t="n">
        <v>59.95</v>
      </c>
      <c r="X973" s="13" t="s">
        <v>1033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247</v>
      </c>
      <c r="F974" s="11" t="n">
        <v>24</v>
      </c>
      <c r="G974" s="13" t="s">
        <v>42</v>
      </c>
      <c r="H974" s="11" t="n">
        <v>2110101</v>
      </c>
      <c r="I974" s="13" t="s">
        <v>43</v>
      </c>
      <c r="J974" s="11" t="n">
        <v>1171096</v>
      </c>
      <c r="L974" s="11" t="n">
        <v>128421</v>
      </c>
      <c r="M974" s="13" t="s">
        <v>44</v>
      </c>
      <c r="N974" s="13" t="s">
        <v>36</v>
      </c>
      <c r="P974" s="11" t="n">
        <v>128</v>
      </c>
      <c r="Q974" s="13" t="s">
        <v>45</v>
      </c>
      <c r="R974" s="13" t="s">
        <v>46</v>
      </c>
      <c r="S974" s="11" t="n">
        <v>1130101</v>
      </c>
      <c r="T974" s="13" t="s">
        <v>47</v>
      </c>
      <c r="U974" s="14" t="n">
        <v>508.25</v>
      </c>
      <c r="W974" s="14" t="n">
        <v>0</v>
      </c>
      <c r="X974" s="13" t="s">
        <v>1034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nao encontrado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247</v>
      </c>
      <c r="F975" s="11" t="n">
        <v>24</v>
      </c>
      <c r="G975" s="13" t="s">
        <v>42</v>
      </c>
      <c r="H975" s="11" t="n">
        <v>2110101</v>
      </c>
      <c r="I975" s="13" t="s">
        <v>43</v>
      </c>
      <c r="J975" s="11" t="n">
        <v>1171103</v>
      </c>
      <c r="L975" s="11" t="n">
        <v>128422</v>
      </c>
      <c r="M975" s="13" t="s">
        <v>44</v>
      </c>
      <c r="N975" s="13" t="s">
        <v>36</v>
      </c>
      <c r="P975" s="11" t="n">
        <v>128</v>
      </c>
      <c r="Q975" s="13" t="s">
        <v>45</v>
      </c>
      <c r="R975" s="13" t="s">
        <v>46</v>
      </c>
      <c r="S975" s="11" t="n">
        <v>1130101</v>
      </c>
      <c r="T975" s="13" t="s">
        <v>47</v>
      </c>
      <c r="U975" s="14" t="n">
        <v>508.25</v>
      </c>
      <c r="W975" s="14" t="n">
        <v>0</v>
      </c>
      <c r="X975" s="13" t="s">
        <v>1035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nao encontrado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247</v>
      </c>
      <c r="F976" s="11" t="n">
        <v>24</v>
      </c>
      <c r="G976" s="13" t="s">
        <v>42</v>
      </c>
      <c r="H976" s="11" t="n">
        <v>2110101</v>
      </c>
      <c r="I976" s="13" t="s">
        <v>43</v>
      </c>
      <c r="J976" s="11" t="n">
        <v>1171110</v>
      </c>
      <c r="L976" s="11" t="n">
        <v>128423</v>
      </c>
      <c r="M976" s="13" t="s">
        <v>44</v>
      </c>
      <c r="N976" s="13" t="s">
        <v>36</v>
      </c>
      <c r="P976" s="11" t="n">
        <v>128</v>
      </c>
      <c r="Q976" s="13" t="s">
        <v>45</v>
      </c>
      <c r="R976" s="13" t="s">
        <v>46</v>
      </c>
      <c r="S976" s="11" t="n">
        <v>1130101</v>
      </c>
      <c r="T976" s="13" t="s">
        <v>47</v>
      </c>
      <c r="U976" s="14" t="n">
        <v>508.26</v>
      </c>
      <c r="W976" s="14" t="n">
        <v>0</v>
      </c>
      <c r="X976" s="13" t="s">
        <v>1036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nao encontrado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720</v>
      </c>
      <c r="F977" s="11" t="n">
        <v>24</v>
      </c>
      <c r="G977" s="13" t="s">
        <v>42</v>
      </c>
      <c r="H977" s="11" t="n">
        <v>2110101</v>
      </c>
      <c r="I977" s="13" t="s">
        <v>43</v>
      </c>
      <c r="J977" s="11" t="n">
        <v>1231877</v>
      </c>
      <c r="L977" s="11" t="n">
        <v>202651</v>
      </c>
      <c r="M977" s="13" t="s">
        <v>44</v>
      </c>
      <c r="N977" s="13" t="s">
        <v>36</v>
      </c>
      <c r="P977" s="11" t="n">
        <v>128</v>
      </c>
      <c r="Q977" s="13" t="s">
        <v>45</v>
      </c>
      <c r="R977" s="13" t="s">
        <v>46</v>
      </c>
      <c r="S977" s="11" t="n">
        <v>1130101</v>
      </c>
      <c r="T977" s="13" t="s">
        <v>47</v>
      </c>
      <c r="U977" s="14" t="n">
        <v>2206.52</v>
      </c>
      <c r="W977" s="14" t="n">
        <v>0</v>
      </c>
      <c r="X977" s="13" t="s">
        <v>1037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720</v>
      </c>
      <c r="F978" s="11" t="n">
        <v>24</v>
      </c>
      <c r="G978" s="13" t="s">
        <v>42</v>
      </c>
      <c r="H978" s="11" t="n">
        <v>2110101</v>
      </c>
      <c r="I978" s="13" t="s">
        <v>43</v>
      </c>
      <c r="J978" s="11" t="n">
        <v>1231866</v>
      </c>
      <c r="L978" s="11" t="n">
        <v>202663</v>
      </c>
      <c r="M978" s="13" t="s">
        <v>44</v>
      </c>
      <c r="N978" s="13" t="s">
        <v>36</v>
      </c>
      <c r="P978" s="11" t="n">
        <v>128</v>
      </c>
      <c r="Q978" s="13" t="s">
        <v>45</v>
      </c>
      <c r="R978" s="13" t="s">
        <v>46</v>
      </c>
      <c r="S978" s="11" t="n">
        <v>1130101</v>
      </c>
      <c r="T978" s="13" t="s">
        <v>47</v>
      </c>
      <c r="U978" s="14" t="n">
        <v>227.28</v>
      </c>
      <c r="W978" s="14" t="n">
        <v>0</v>
      </c>
      <c r="X978" s="13" t="s">
        <v>1038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190</v>
      </c>
      <c r="F979" s="11" t="n">
        <v>24</v>
      </c>
      <c r="G979" s="13" t="s">
        <v>42</v>
      </c>
      <c r="H979" s="11" t="n">
        <v>2110101</v>
      </c>
      <c r="I979" s="13" t="s">
        <v>43</v>
      </c>
      <c r="J979" s="11" t="n">
        <v>1243967</v>
      </c>
      <c r="L979" s="11" t="n">
        <v>2557324</v>
      </c>
      <c r="M979" s="13" t="s">
        <v>44</v>
      </c>
      <c r="N979" s="13" t="s">
        <v>36</v>
      </c>
      <c r="P979" s="11" t="n">
        <v>128</v>
      </c>
      <c r="Q979" s="13" t="s">
        <v>45</v>
      </c>
      <c r="R979" s="13" t="s">
        <v>46</v>
      </c>
      <c r="S979" s="11" t="n">
        <v>1130101</v>
      </c>
      <c r="T979" s="13" t="s">
        <v>47</v>
      </c>
      <c r="U979" s="14" t="n">
        <v>870.75</v>
      </c>
      <c r="W979" s="14" t="n">
        <v>0</v>
      </c>
      <c r="X979" s="13" t="s">
        <v>1039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181</v>
      </c>
      <c r="F980" s="11" t="n">
        <v>2</v>
      </c>
      <c r="G980" s="13" t="s">
        <v>482</v>
      </c>
      <c r="H980" s="11" t="n">
        <v>2110405</v>
      </c>
      <c r="I980" s="13" t="s">
        <v>34</v>
      </c>
      <c r="J980" s="11" t="n">
        <v>1265141</v>
      </c>
      <c r="L980" s="11" t="n">
        <v>197761</v>
      </c>
      <c r="M980" s="13" t="s">
        <v>44</v>
      </c>
      <c r="N980" s="13" t="s">
        <v>36</v>
      </c>
      <c r="P980" s="11" t="n">
        <v>128</v>
      </c>
      <c r="Q980" s="13" t="s">
        <v>45</v>
      </c>
      <c r="R980" s="13" t="s">
        <v>38</v>
      </c>
      <c r="S980" s="11" t="n">
        <v>4210227</v>
      </c>
      <c r="T980" s="13" t="s">
        <v>196</v>
      </c>
      <c r="U980" s="14" t="n">
        <v>24.96</v>
      </c>
      <c r="W980" s="14" t="n">
        <v>0</v>
      </c>
      <c r="X980" s="13" t="s">
        <v>1040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247</v>
      </c>
      <c r="F981" s="11" t="n">
        <v>24</v>
      </c>
      <c r="G981" s="13" t="s">
        <v>42</v>
      </c>
      <c r="H981" s="11" t="n">
        <v>2110101</v>
      </c>
      <c r="I981" s="13" t="s">
        <v>43</v>
      </c>
      <c r="J981" s="11" t="n">
        <v>1265387</v>
      </c>
      <c r="L981" s="11" t="n">
        <v>130523</v>
      </c>
      <c r="M981" s="13" t="s">
        <v>44</v>
      </c>
      <c r="N981" s="13" t="s">
        <v>36</v>
      </c>
      <c r="P981" s="11" t="n">
        <v>128</v>
      </c>
      <c r="Q981" s="13" t="s">
        <v>45</v>
      </c>
      <c r="R981" s="13" t="s">
        <v>46</v>
      </c>
      <c r="S981" s="11" t="n">
        <v>1130101</v>
      </c>
      <c r="T981" s="13" t="s">
        <v>47</v>
      </c>
      <c r="U981" s="14" t="n">
        <v>442</v>
      </c>
      <c r="W981" s="14" t="n">
        <v>0</v>
      </c>
      <c r="X981" s="13" t="s">
        <v>1041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807</v>
      </c>
      <c r="F982" s="11" t="n">
        <v>24</v>
      </c>
      <c r="G982" s="13" t="s">
        <v>42</v>
      </c>
      <c r="H982" s="11" t="n">
        <v>2110101</v>
      </c>
      <c r="I982" s="13" t="s">
        <v>43</v>
      </c>
      <c r="J982" s="11" t="n">
        <v>1265449</v>
      </c>
      <c r="L982" s="11" t="n">
        <v>3950873</v>
      </c>
      <c r="M982" s="13" t="s">
        <v>44</v>
      </c>
      <c r="N982" s="13" t="s">
        <v>36</v>
      </c>
      <c r="P982" s="11" t="n">
        <v>128</v>
      </c>
      <c r="Q982" s="13" t="s">
        <v>45</v>
      </c>
      <c r="R982" s="13" t="s">
        <v>46</v>
      </c>
      <c r="S982" s="11" t="n">
        <v>1130101</v>
      </c>
      <c r="T982" s="13" t="s">
        <v>47</v>
      </c>
      <c r="U982" s="14" t="n">
        <v>412.49</v>
      </c>
      <c r="W982" s="14" t="n">
        <v>0</v>
      </c>
      <c r="X982" s="13" t="s">
        <v>1042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49</v>
      </c>
      <c r="F983" s="11" t="n">
        <v>24</v>
      </c>
      <c r="G983" s="13" t="s">
        <v>42</v>
      </c>
      <c r="H983" s="11" t="n">
        <v>2110101</v>
      </c>
      <c r="I983" s="13" t="s">
        <v>43</v>
      </c>
      <c r="J983" s="11" t="n">
        <v>1265921</v>
      </c>
      <c r="L983" s="11" t="n">
        <v>32042673</v>
      </c>
      <c r="M983" s="13" t="s">
        <v>44</v>
      </c>
      <c r="N983" s="13" t="s">
        <v>36</v>
      </c>
      <c r="P983" s="11" t="n">
        <v>128</v>
      </c>
      <c r="Q983" s="13" t="s">
        <v>45</v>
      </c>
      <c r="R983" s="13" t="s">
        <v>46</v>
      </c>
      <c r="S983" s="11" t="n">
        <v>1130101</v>
      </c>
      <c r="T983" s="13" t="s">
        <v>47</v>
      </c>
      <c r="U983" s="14" t="n">
        <v>358.9</v>
      </c>
      <c r="W983" s="14" t="n">
        <v>0</v>
      </c>
      <c r="X983" s="13" t="s">
        <v>1043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49</v>
      </c>
      <c r="F984" s="11" t="n">
        <v>24</v>
      </c>
      <c r="G984" s="13" t="s">
        <v>42</v>
      </c>
      <c r="H984" s="11" t="n">
        <v>2110101</v>
      </c>
      <c r="I984" s="13" t="s">
        <v>43</v>
      </c>
      <c r="J984" s="11" t="n">
        <v>1265986</v>
      </c>
      <c r="L984" s="11" t="n">
        <v>32042683</v>
      </c>
      <c r="M984" s="13" t="s">
        <v>44</v>
      </c>
      <c r="N984" s="13" t="s">
        <v>36</v>
      </c>
      <c r="P984" s="11" t="n">
        <v>128</v>
      </c>
      <c r="Q984" s="13" t="s">
        <v>45</v>
      </c>
      <c r="R984" s="13" t="s">
        <v>46</v>
      </c>
      <c r="S984" s="11" t="n">
        <v>1130101</v>
      </c>
      <c r="T984" s="13" t="s">
        <v>47</v>
      </c>
      <c r="U984" s="14" t="n">
        <v>1019.5</v>
      </c>
      <c r="W984" s="14" t="n">
        <v>0</v>
      </c>
      <c r="X984" s="13" t="s">
        <v>1044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49</v>
      </c>
      <c r="F985" s="11" t="n">
        <v>24</v>
      </c>
      <c r="G985" s="13" t="s">
        <v>42</v>
      </c>
      <c r="H985" s="11" t="n">
        <v>2110101</v>
      </c>
      <c r="I985" s="13" t="s">
        <v>43</v>
      </c>
      <c r="J985" s="11" t="n">
        <v>1266042</v>
      </c>
      <c r="L985" s="11" t="n">
        <v>32042653</v>
      </c>
      <c r="M985" s="13" t="s">
        <v>44</v>
      </c>
      <c r="N985" s="13" t="s">
        <v>36</v>
      </c>
      <c r="P985" s="11" t="n">
        <v>128</v>
      </c>
      <c r="Q985" s="13" t="s">
        <v>45</v>
      </c>
      <c r="R985" s="13" t="s">
        <v>46</v>
      </c>
      <c r="S985" s="11" t="n">
        <v>1130101</v>
      </c>
      <c r="T985" s="13" t="s">
        <v>47</v>
      </c>
      <c r="U985" s="14" t="n">
        <v>1319.07</v>
      </c>
      <c r="W985" s="14" t="n">
        <v>0</v>
      </c>
      <c r="X985" s="13" t="s">
        <v>1045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49</v>
      </c>
      <c r="F986" s="11" t="n">
        <v>24</v>
      </c>
      <c r="G986" s="13" t="s">
        <v>42</v>
      </c>
      <c r="H986" s="11" t="n">
        <v>2110101</v>
      </c>
      <c r="I986" s="13" t="s">
        <v>43</v>
      </c>
      <c r="J986" s="11" t="n">
        <v>1266073</v>
      </c>
      <c r="L986" s="11" t="n">
        <v>32042633</v>
      </c>
      <c r="M986" s="13" t="s">
        <v>44</v>
      </c>
      <c r="N986" s="13" t="s">
        <v>36</v>
      </c>
      <c r="P986" s="11" t="n">
        <v>128</v>
      </c>
      <c r="Q986" s="13" t="s">
        <v>45</v>
      </c>
      <c r="R986" s="13" t="s">
        <v>46</v>
      </c>
      <c r="S986" s="11" t="n">
        <v>1130101</v>
      </c>
      <c r="T986" s="13" t="s">
        <v>47</v>
      </c>
      <c r="U986" s="14" t="n">
        <v>1097.93</v>
      </c>
      <c r="W986" s="14" t="n">
        <v>0</v>
      </c>
      <c r="X986" s="13" t="s">
        <v>1046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49</v>
      </c>
      <c r="F987" s="11" t="n">
        <v>24</v>
      </c>
      <c r="G987" s="13" t="s">
        <v>42</v>
      </c>
      <c r="H987" s="11" t="n">
        <v>2110101</v>
      </c>
      <c r="I987" s="13" t="s">
        <v>43</v>
      </c>
      <c r="J987" s="11" t="n">
        <v>1266113</v>
      </c>
      <c r="L987" s="11" t="n">
        <v>32042643</v>
      </c>
      <c r="M987" s="13" t="s">
        <v>44</v>
      </c>
      <c r="N987" s="13" t="s">
        <v>36</v>
      </c>
      <c r="P987" s="11" t="n">
        <v>128</v>
      </c>
      <c r="Q987" s="13" t="s">
        <v>45</v>
      </c>
      <c r="R987" s="13" t="s">
        <v>46</v>
      </c>
      <c r="S987" s="11" t="n">
        <v>1130101</v>
      </c>
      <c r="T987" s="13" t="s">
        <v>47</v>
      </c>
      <c r="U987" s="14" t="n">
        <v>806.43</v>
      </c>
      <c r="W987" s="14" t="n">
        <v>0</v>
      </c>
      <c r="X987" s="13" t="s">
        <v>1047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49</v>
      </c>
      <c r="F988" s="11" t="n">
        <v>24</v>
      </c>
      <c r="G988" s="13" t="s">
        <v>42</v>
      </c>
      <c r="H988" s="11" t="n">
        <v>2110101</v>
      </c>
      <c r="I988" s="13" t="s">
        <v>43</v>
      </c>
      <c r="J988" s="11" t="n">
        <v>1266138</v>
      </c>
      <c r="L988" s="11" t="n">
        <v>32042693</v>
      </c>
      <c r="M988" s="13" t="s">
        <v>44</v>
      </c>
      <c r="N988" s="13" t="s">
        <v>36</v>
      </c>
      <c r="P988" s="11" t="n">
        <v>128</v>
      </c>
      <c r="Q988" s="13" t="s">
        <v>45</v>
      </c>
      <c r="R988" s="13" t="s">
        <v>46</v>
      </c>
      <c r="S988" s="11" t="n">
        <v>1130101</v>
      </c>
      <c r="T988" s="13" t="s">
        <v>47</v>
      </c>
      <c r="U988" s="14" t="n">
        <v>1138.24</v>
      </c>
      <c r="W988" s="14" t="n">
        <v>0</v>
      </c>
      <c r="X988" s="13" t="s">
        <v>1048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170</v>
      </c>
      <c r="F989" s="11" t="n">
        <v>24</v>
      </c>
      <c r="G989" s="13" t="s">
        <v>42</v>
      </c>
      <c r="H989" s="11" t="n">
        <v>2110101</v>
      </c>
      <c r="I989" s="13" t="s">
        <v>43</v>
      </c>
      <c r="J989" s="11" t="n">
        <v>1266193</v>
      </c>
      <c r="L989" s="11" t="n">
        <v>12382023</v>
      </c>
      <c r="M989" s="13" t="s">
        <v>44</v>
      </c>
      <c r="N989" s="13" t="s">
        <v>36</v>
      </c>
      <c r="P989" s="11" t="n">
        <v>128</v>
      </c>
      <c r="Q989" s="13" t="s">
        <v>45</v>
      </c>
      <c r="R989" s="13" t="s">
        <v>46</v>
      </c>
      <c r="S989" s="11" t="n">
        <v>1130101</v>
      </c>
      <c r="T989" s="13" t="s">
        <v>47</v>
      </c>
      <c r="U989" s="14" t="n">
        <v>930.35</v>
      </c>
      <c r="W989" s="14" t="n">
        <v>0</v>
      </c>
      <c r="X989" s="13" t="s">
        <v>1049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1" t="n">
        <v>3</v>
      </c>
      <c r="B990" s="12" t="n">
        <v>46189</v>
      </c>
      <c r="C990" s="12" t="n">
        <v>46220</v>
      </c>
      <c r="D990" s="11" t="n">
        <v>1699</v>
      </c>
      <c r="E990" s="13" t="s">
        <v>60</v>
      </c>
      <c r="F990" s="11" t="n">
        <v>24</v>
      </c>
      <c r="G990" s="13" t="s">
        <v>42</v>
      </c>
      <c r="H990" s="11" t="n">
        <v>2110101</v>
      </c>
      <c r="I990" s="13" t="s">
        <v>43</v>
      </c>
      <c r="J990" s="11" t="n">
        <v>1266332</v>
      </c>
      <c r="L990" s="11" t="n">
        <v>3047923</v>
      </c>
      <c r="M990" s="13" t="s">
        <v>44</v>
      </c>
      <c r="N990" s="13" t="s">
        <v>36</v>
      </c>
      <c r="P990" s="11" t="n">
        <v>128</v>
      </c>
      <c r="Q990" s="13" t="s">
        <v>45</v>
      </c>
      <c r="R990" s="13" t="s">
        <v>46</v>
      </c>
      <c r="S990" s="11" t="n">
        <v>1130101</v>
      </c>
      <c r="T990" s="13" t="s">
        <v>47</v>
      </c>
      <c r="U990" s="14" t="n">
        <v>391.4</v>
      </c>
      <c r="W990" s="14" t="n">
        <v>0</v>
      </c>
      <c r="X990" s="13" t="s">
        <v>1050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1" t="n">
        <v>3</v>
      </c>
      <c r="B991" s="12" t="n">
        <v>46191</v>
      </c>
      <c r="C991" s="12" t="n">
        <v>46220</v>
      </c>
      <c r="D991" s="11" t="n">
        <v>1266</v>
      </c>
      <c r="E991" s="13" t="s">
        <v>195</v>
      </c>
      <c r="F991" s="11" t="n">
        <v>24</v>
      </c>
      <c r="G991" s="13" t="s">
        <v>42</v>
      </c>
      <c r="H991" s="11" t="n">
        <v>2110101</v>
      </c>
      <c r="I991" s="13" t="s">
        <v>43</v>
      </c>
      <c r="J991" s="11" t="n">
        <v>1269306</v>
      </c>
      <c r="L991" s="11" t="n">
        <v>24383</v>
      </c>
      <c r="M991" s="13" t="s">
        <v>44</v>
      </c>
      <c r="N991" s="13" t="s">
        <v>36</v>
      </c>
      <c r="P991" s="11" t="n">
        <v>128</v>
      </c>
      <c r="Q991" s="13" t="s">
        <v>45</v>
      </c>
      <c r="R991" s="13" t="s">
        <v>38</v>
      </c>
      <c r="S991" s="11" t="n">
        <v>4210227</v>
      </c>
      <c r="T991" s="13" t="s">
        <v>196</v>
      </c>
      <c r="U991" s="14" t="n">
        <v>506.01</v>
      </c>
      <c r="W991" s="14" t="n">
        <v>0</v>
      </c>
      <c r="X991" s="13" t="s">
        <v>1051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1" t="n">
        <v>3</v>
      </c>
      <c r="B992" s="12" t="n">
        <v>46190</v>
      </c>
      <c r="C992" s="12" t="n">
        <v>46220</v>
      </c>
      <c r="D992" s="11" t="n">
        <v>10012</v>
      </c>
      <c r="E992" s="13" t="s">
        <v>393</v>
      </c>
      <c r="F992" s="11" t="n">
        <v>24</v>
      </c>
      <c r="G992" s="13" t="s">
        <v>42</v>
      </c>
      <c r="H992" s="11" t="n">
        <v>2110101</v>
      </c>
      <c r="I992" s="13" t="s">
        <v>43</v>
      </c>
      <c r="J992" s="11" t="n">
        <v>1269320</v>
      </c>
      <c r="L992" s="11" t="n">
        <v>1959198</v>
      </c>
      <c r="M992" s="13" t="s">
        <v>44</v>
      </c>
      <c r="N992" s="13" t="s">
        <v>36</v>
      </c>
      <c r="P992" s="11" t="n">
        <v>128</v>
      </c>
      <c r="Q992" s="13" t="s">
        <v>45</v>
      </c>
      <c r="R992" s="13" t="s">
        <v>46</v>
      </c>
      <c r="S992" s="11" t="n">
        <v>1130101</v>
      </c>
      <c r="T992" s="13" t="s">
        <v>47</v>
      </c>
      <c r="U992" s="14" t="n">
        <v>595.62</v>
      </c>
      <c r="W992" s="14" t="n">
        <v>0</v>
      </c>
      <c r="X992" s="13" t="s">
        <v>1052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1" t="n">
        <v>3</v>
      </c>
      <c r="B993" s="12" t="n">
        <v>46191</v>
      </c>
      <c r="C993" s="12" t="n">
        <v>46220</v>
      </c>
      <c r="D993" s="11" t="n">
        <v>1656</v>
      </c>
      <c r="E993" s="13" t="s">
        <v>260</v>
      </c>
      <c r="F993" s="11" t="n">
        <v>24</v>
      </c>
      <c r="G993" s="13" t="s">
        <v>42</v>
      </c>
      <c r="H993" s="11" t="n">
        <v>2110101</v>
      </c>
      <c r="I993" s="13" t="s">
        <v>43</v>
      </c>
      <c r="J993" s="11" t="n">
        <v>1272613</v>
      </c>
      <c r="L993" s="11" t="n">
        <v>2222633</v>
      </c>
      <c r="M993" s="13" t="s">
        <v>44</v>
      </c>
      <c r="N993" s="13" t="s">
        <v>36</v>
      </c>
      <c r="P993" s="11" t="n">
        <v>128</v>
      </c>
      <c r="Q993" s="13" t="s">
        <v>45</v>
      </c>
      <c r="R993" s="13" t="s">
        <v>46</v>
      </c>
      <c r="S993" s="11" t="n">
        <v>1130101</v>
      </c>
      <c r="T993" s="13" t="s">
        <v>47</v>
      </c>
      <c r="U993" s="14" t="n">
        <v>782.56</v>
      </c>
      <c r="W993" s="14" t="n">
        <v>0</v>
      </c>
      <c r="X993" s="13" t="s">
        <v>1053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1" t="n">
        <v>3</v>
      </c>
      <c r="B994" s="12" t="n">
        <v>46190</v>
      </c>
      <c r="C994" s="12" t="n">
        <v>46220</v>
      </c>
      <c r="D994" s="11" t="n">
        <v>1611</v>
      </c>
      <c r="E994" s="13" t="s">
        <v>445</v>
      </c>
      <c r="F994" s="11" t="n">
        <v>24</v>
      </c>
      <c r="G994" s="13" t="s">
        <v>42</v>
      </c>
      <c r="H994" s="11" t="n">
        <v>2110101</v>
      </c>
      <c r="I994" s="13" t="s">
        <v>43</v>
      </c>
      <c r="J994" s="11" t="n">
        <v>1272632</v>
      </c>
      <c r="L994" s="11" t="n">
        <v>17732563</v>
      </c>
      <c r="M994" s="13" t="s">
        <v>44</v>
      </c>
      <c r="N994" s="13" t="s">
        <v>36</v>
      </c>
      <c r="P994" s="11" t="n">
        <v>128</v>
      </c>
      <c r="Q994" s="13" t="s">
        <v>45</v>
      </c>
      <c r="R994" s="13" t="s">
        <v>46</v>
      </c>
      <c r="S994" s="11" t="n">
        <v>1130101</v>
      </c>
      <c r="T994" s="13" t="s">
        <v>47</v>
      </c>
      <c r="U994" s="14" t="n">
        <v>393.5</v>
      </c>
      <c r="W994" s="14" t="n">
        <v>0</v>
      </c>
      <c r="X994" s="13" t="s">
        <v>1054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1" t="n">
        <v>3</v>
      </c>
      <c r="B995" s="12" t="n">
        <v>46192</v>
      </c>
      <c r="C995" s="12" t="n">
        <v>46220</v>
      </c>
      <c r="D995" s="11" t="n">
        <v>33</v>
      </c>
      <c r="E995" s="13" t="s">
        <v>71</v>
      </c>
      <c r="F995" s="11" t="n">
        <v>34</v>
      </c>
      <c r="G995" s="13" t="s">
        <v>33</v>
      </c>
      <c r="H995" s="11" t="n">
        <v>2110405</v>
      </c>
      <c r="I995" s="13" t="s">
        <v>34</v>
      </c>
      <c r="J995" s="11" t="n">
        <v>1273760</v>
      </c>
      <c r="L995" s="11" t="n">
        <v>199258</v>
      </c>
      <c r="M995" s="13" t="s">
        <v>150</v>
      </c>
      <c r="N995" s="13" t="s">
        <v>36</v>
      </c>
      <c r="P995" s="11" t="n">
        <v>101</v>
      </c>
      <c r="Q995" s="13" t="s">
        <v>37</v>
      </c>
      <c r="R995" s="13" t="s">
        <v>109</v>
      </c>
      <c r="S995" s="11" t="n">
        <v>1240203</v>
      </c>
      <c r="T995" s="13" t="s">
        <v>110</v>
      </c>
      <c r="U995" s="14" t="n">
        <v>666.66</v>
      </c>
      <c r="W995" s="14" t="n">
        <v>0</v>
      </c>
      <c r="X995" s="13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46191</v>
      </c>
      <c r="C996" s="12" t="n">
        <v>46220</v>
      </c>
      <c r="D996" s="11" t="n">
        <v>1657</v>
      </c>
      <c r="E996" s="13" t="s">
        <v>255</v>
      </c>
      <c r="F996" s="11" t="n">
        <v>24</v>
      </c>
      <c r="G996" s="13" t="s">
        <v>42</v>
      </c>
      <c r="H996" s="11" t="n">
        <v>2110101</v>
      </c>
      <c r="I996" s="13" t="s">
        <v>43</v>
      </c>
      <c r="J996" s="11" t="n">
        <v>1279236</v>
      </c>
      <c r="L996" s="11" t="n">
        <v>3747573</v>
      </c>
      <c r="M996" s="13" t="s">
        <v>44</v>
      </c>
      <c r="N996" s="13" t="s">
        <v>36</v>
      </c>
      <c r="P996" s="11" t="n">
        <v>128</v>
      </c>
      <c r="Q996" s="13" t="s">
        <v>45</v>
      </c>
      <c r="R996" s="13" t="s">
        <v>46</v>
      </c>
      <c r="S996" s="11" t="n">
        <v>1130101</v>
      </c>
      <c r="T996" s="13" t="s">
        <v>47</v>
      </c>
      <c r="U996" s="14" t="n">
        <v>977.07</v>
      </c>
      <c r="W996" s="14" t="n">
        <v>0</v>
      </c>
      <c r="X996" s="13" t="s">
        <v>1055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46220</v>
      </c>
      <c r="D997" s="11" t="n">
        <v>1608</v>
      </c>
      <c r="E997" s="13" t="s">
        <v>41</v>
      </c>
      <c r="F997" s="11" t="n">
        <v>24</v>
      </c>
      <c r="G997" s="13" t="s">
        <v>42</v>
      </c>
      <c r="H997" s="11" t="n">
        <v>2110101</v>
      </c>
      <c r="I997" s="13" t="s">
        <v>43</v>
      </c>
      <c r="J997" s="11" t="n">
        <v>1293854</v>
      </c>
      <c r="L997" s="11" t="n">
        <v>16785002</v>
      </c>
      <c r="M997" s="13" t="s">
        <v>44</v>
      </c>
      <c r="N997" s="13" t="s">
        <v>36</v>
      </c>
      <c r="P997" s="11" t="n">
        <v>128</v>
      </c>
      <c r="Q997" s="13" t="s">
        <v>45</v>
      </c>
      <c r="R997" s="13" t="s">
        <v>46</v>
      </c>
      <c r="S997" s="11" t="n">
        <v>1130101</v>
      </c>
      <c r="T997" s="13" t="s">
        <v>47</v>
      </c>
      <c r="U997" s="14" t="n">
        <v>1189.33</v>
      </c>
      <c r="W997" s="14" t="n">
        <v>0</v>
      </c>
      <c r="X997" s="13" t="s">
        <v>1056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1" t="n">
        <v>3</v>
      </c>
      <c r="B998" s="12" t="n">
        <v>46196</v>
      </c>
      <c r="C998" s="12" t="n">
        <v>46220</v>
      </c>
      <c r="D998" s="11" t="n">
        <v>1608</v>
      </c>
      <c r="E998" s="13" t="s">
        <v>41</v>
      </c>
      <c r="F998" s="11" t="n">
        <v>24</v>
      </c>
      <c r="G998" s="13" t="s">
        <v>42</v>
      </c>
      <c r="H998" s="11" t="n">
        <v>2110101</v>
      </c>
      <c r="I998" s="13" t="s">
        <v>43</v>
      </c>
      <c r="J998" s="11" t="n">
        <v>1293872</v>
      </c>
      <c r="L998" s="11" t="n">
        <v>16788402</v>
      </c>
      <c r="M998" s="13" t="s">
        <v>44</v>
      </c>
      <c r="N998" s="13" t="s">
        <v>36</v>
      </c>
      <c r="P998" s="11" t="n">
        <v>128</v>
      </c>
      <c r="Q998" s="13" t="s">
        <v>45</v>
      </c>
      <c r="R998" s="13" t="s">
        <v>46</v>
      </c>
      <c r="S998" s="11" t="n">
        <v>1130101</v>
      </c>
      <c r="T998" s="13" t="s">
        <v>47</v>
      </c>
      <c r="U998" s="14" t="n">
        <v>338.67</v>
      </c>
      <c r="W998" s="14" t="n">
        <v>0</v>
      </c>
      <c r="X998" s="13" t="s">
        <v>1057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1" t="n">
        <v>3</v>
      </c>
      <c r="B999" s="12" t="n">
        <v>46197</v>
      </c>
      <c r="C999" s="12" t="n">
        <v>46220</v>
      </c>
      <c r="D999" s="11" t="n">
        <v>1605</v>
      </c>
      <c r="E999" s="13" t="s">
        <v>113</v>
      </c>
      <c r="F999" s="11" t="n">
        <v>24</v>
      </c>
      <c r="G999" s="13" t="s">
        <v>42</v>
      </c>
      <c r="H999" s="11" t="n">
        <v>2110101</v>
      </c>
      <c r="I999" s="13" t="s">
        <v>43</v>
      </c>
      <c r="J999" s="11" t="n">
        <v>1299213</v>
      </c>
      <c r="L999" s="11" t="n">
        <v>215700</v>
      </c>
      <c r="M999" s="13" t="s">
        <v>150</v>
      </c>
      <c r="N999" s="13" t="s">
        <v>69</v>
      </c>
      <c r="P999" s="11" t="n">
        <v>128</v>
      </c>
      <c r="Q999" s="13" t="s">
        <v>45</v>
      </c>
      <c r="R999" s="13" t="s">
        <v>46</v>
      </c>
      <c r="S999" s="11" t="n">
        <v>1130101</v>
      </c>
      <c r="T999" s="13" t="s">
        <v>47</v>
      </c>
      <c r="U999" s="14" t="n">
        <v>675.92</v>
      </c>
      <c r="W999" s="14" t="n">
        <v>0</v>
      </c>
      <c r="X999" s="13" t="s">
        <v>1058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1" t="n">
        <v>3</v>
      </c>
      <c r="B1000" s="12" t="n">
        <v>46198</v>
      </c>
      <c r="C1000" s="12" t="n">
        <v>46220</v>
      </c>
      <c r="D1000" s="11" t="n">
        <v>1734</v>
      </c>
      <c r="E1000" s="13" t="s">
        <v>125</v>
      </c>
      <c r="F1000" s="11" t="n">
        <v>24</v>
      </c>
      <c r="G1000" s="13" t="s">
        <v>42</v>
      </c>
      <c r="H1000" s="11" t="n">
        <v>2110101</v>
      </c>
      <c r="I1000" s="13" t="s">
        <v>43</v>
      </c>
      <c r="J1000" s="11" t="n">
        <v>1304360</v>
      </c>
      <c r="L1000" s="11" t="n">
        <v>254082</v>
      </c>
      <c r="M1000" s="13" t="s">
        <v>44</v>
      </c>
      <c r="N1000" s="13" t="s">
        <v>69</v>
      </c>
      <c r="P1000" s="11" t="n">
        <v>128</v>
      </c>
      <c r="Q1000" s="13" t="s">
        <v>45</v>
      </c>
      <c r="R1000" s="13" t="s">
        <v>46</v>
      </c>
      <c r="S1000" s="11" t="n">
        <v>1130101</v>
      </c>
      <c r="T1000" s="13" t="s">
        <v>47</v>
      </c>
      <c r="U1000" s="14" t="n">
        <v>469.93</v>
      </c>
      <c r="W1000" s="14" t="n">
        <v>0</v>
      </c>
      <c r="X1000" s="13" t="s">
        <v>1059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1" t="n">
        <v>3</v>
      </c>
      <c r="B1001" s="12" t="n">
        <v>46196</v>
      </c>
      <c r="C1001" s="12" t="n">
        <v>46220</v>
      </c>
      <c r="D1001" s="11" t="n">
        <v>1196</v>
      </c>
      <c r="E1001" s="13" t="s">
        <v>174</v>
      </c>
      <c r="F1001" s="11" t="n">
        <v>24</v>
      </c>
      <c r="G1001" s="13" t="s">
        <v>42</v>
      </c>
      <c r="H1001" s="11" t="n">
        <v>2110101</v>
      </c>
      <c r="I1001" s="13" t="s">
        <v>43</v>
      </c>
      <c r="J1001" s="11" t="n">
        <v>1304408</v>
      </c>
      <c r="L1001" s="11" t="n">
        <v>125433</v>
      </c>
      <c r="M1001" s="13" t="s">
        <v>44</v>
      </c>
      <c r="N1001" s="13" t="s">
        <v>36</v>
      </c>
      <c r="P1001" s="11" t="n">
        <v>128</v>
      </c>
      <c r="Q1001" s="13" t="s">
        <v>45</v>
      </c>
      <c r="R1001" s="13" t="s">
        <v>46</v>
      </c>
      <c r="S1001" s="11" t="n">
        <v>1130101</v>
      </c>
      <c r="T1001" s="13" t="s">
        <v>47</v>
      </c>
      <c r="U1001" s="14" t="n">
        <v>431.88</v>
      </c>
      <c r="W1001" s="14" t="n">
        <v>0</v>
      </c>
      <c r="X1001" s="13" t="s">
        <v>1060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1" t="n">
        <v>3</v>
      </c>
      <c r="B1002" s="12" t="n">
        <v>46197</v>
      </c>
      <c r="C1002" s="12" t="n">
        <v>46220</v>
      </c>
      <c r="D1002" s="11" t="n">
        <v>1740</v>
      </c>
      <c r="E1002" s="13" t="s">
        <v>170</v>
      </c>
      <c r="F1002" s="11" t="n">
        <v>24</v>
      </c>
      <c r="G1002" s="13" t="s">
        <v>42</v>
      </c>
      <c r="H1002" s="11" t="n">
        <v>2110101</v>
      </c>
      <c r="I1002" s="13" t="s">
        <v>43</v>
      </c>
      <c r="J1002" s="11" t="n">
        <v>1304457</v>
      </c>
      <c r="L1002" s="11" t="n">
        <v>12404732</v>
      </c>
      <c r="M1002" s="13" t="s">
        <v>44</v>
      </c>
      <c r="N1002" s="13" t="s">
        <v>36</v>
      </c>
      <c r="P1002" s="11" t="n">
        <v>128</v>
      </c>
      <c r="Q1002" s="13" t="s">
        <v>45</v>
      </c>
      <c r="R1002" s="13" t="s">
        <v>46</v>
      </c>
      <c r="S1002" s="11" t="n">
        <v>1130101</v>
      </c>
      <c r="T1002" s="13" t="s">
        <v>47</v>
      </c>
      <c r="U1002" s="14" t="n">
        <v>742.53</v>
      </c>
      <c r="W1002" s="14" t="n">
        <v>0</v>
      </c>
      <c r="X1002" s="13" t="s">
        <v>1061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1" t="n">
        <v>3</v>
      </c>
      <c r="B1003" s="12" t="n">
        <v>46196</v>
      </c>
      <c r="C1003" s="12" t="n">
        <v>46220</v>
      </c>
      <c r="D1003" s="11" t="n">
        <v>1659</v>
      </c>
      <c r="E1003" s="13" t="s">
        <v>251</v>
      </c>
      <c r="F1003" s="11" t="n">
        <v>24</v>
      </c>
      <c r="G1003" s="13" t="s">
        <v>42</v>
      </c>
      <c r="H1003" s="11" t="n">
        <v>2110101</v>
      </c>
      <c r="I1003" s="13" t="s">
        <v>43</v>
      </c>
      <c r="J1003" s="11" t="n">
        <v>1305093</v>
      </c>
      <c r="L1003" s="11" t="n">
        <v>8812242</v>
      </c>
      <c r="M1003" s="13" t="s">
        <v>44</v>
      </c>
      <c r="N1003" s="13" t="s">
        <v>36</v>
      </c>
      <c r="P1003" s="11" t="n">
        <v>128</v>
      </c>
      <c r="Q1003" s="13" t="s">
        <v>45</v>
      </c>
      <c r="R1003" s="13" t="s">
        <v>46</v>
      </c>
      <c r="S1003" s="11" t="n">
        <v>1130101</v>
      </c>
      <c r="T1003" s="13" t="s">
        <v>47</v>
      </c>
      <c r="U1003" s="14" t="n">
        <v>764.33</v>
      </c>
      <c r="W1003" s="14" t="n">
        <v>0</v>
      </c>
      <c r="X1003" s="13" t="s">
        <v>1062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1" t="n">
        <v>3</v>
      </c>
      <c r="B1004" s="12" t="n">
        <v>46195</v>
      </c>
      <c r="C1004" s="12" t="n">
        <v>46220</v>
      </c>
      <c r="D1004" s="11" t="n">
        <v>1604</v>
      </c>
      <c r="E1004" s="13" t="s">
        <v>946</v>
      </c>
      <c r="F1004" s="11" t="n">
        <v>24</v>
      </c>
      <c r="G1004" s="13" t="s">
        <v>42</v>
      </c>
      <c r="H1004" s="11" t="n">
        <v>2110101</v>
      </c>
      <c r="I1004" s="13" t="s">
        <v>43</v>
      </c>
      <c r="J1004" s="11" t="n">
        <v>1305151</v>
      </c>
      <c r="L1004" s="11" t="n">
        <v>3327592</v>
      </c>
      <c r="M1004" s="13" t="s">
        <v>44</v>
      </c>
      <c r="N1004" s="13" t="s">
        <v>36</v>
      </c>
      <c r="P1004" s="11" t="n">
        <v>128</v>
      </c>
      <c r="Q1004" s="13" t="s">
        <v>45</v>
      </c>
      <c r="R1004" s="13" t="s">
        <v>46</v>
      </c>
      <c r="S1004" s="11" t="n">
        <v>1130101</v>
      </c>
      <c r="T1004" s="13" t="s">
        <v>47</v>
      </c>
      <c r="U1004" s="14" t="n">
        <v>637.31</v>
      </c>
      <c r="W1004" s="14" t="n">
        <v>0</v>
      </c>
      <c r="X1004" s="13" t="s">
        <v>1063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1" t="n">
        <v>3</v>
      </c>
      <c r="B1005" s="12" t="n">
        <v>46197</v>
      </c>
      <c r="C1005" s="12" t="n">
        <v>46220</v>
      </c>
      <c r="D1005" s="11" t="n">
        <v>1815</v>
      </c>
      <c r="E1005" s="13" t="s">
        <v>53</v>
      </c>
      <c r="F1005" s="11" t="n">
        <v>24</v>
      </c>
      <c r="G1005" s="13" t="s">
        <v>42</v>
      </c>
      <c r="H1005" s="11" t="n">
        <v>2110101</v>
      </c>
      <c r="I1005" s="13" t="s">
        <v>43</v>
      </c>
      <c r="J1005" s="11" t="n">
        <v>1305182</v>
      </c>
      <c r="L1005" s="11" t="n">
        <v>4526722</v>
      </c>
      <c r="M1005" s="13" t="s">
        <v>44</v>
      </c>
      <c r="N1005" s="13" t="s">
        <v>36</v>
      </c>
      <c r="P1005" s="11" t="n">
        <v>128</v>
      </c>
      <c r="Q1005" s="13" t="s">
        <v>45</v>
      </c>
      <c r="R1005" s="13" t="s">
        <v>46</v>
      </c>
      <c r="S1005" s="11" t="n">
        <v>1130101</v>
      </c>
      <c r="T1005" s="13" t="s">
        <v>47</v>
      </c>
      <c r="U1005" s="14" t="n">
        <v>1235.12</v>
      </c>
      <c r="W1005" s="14" t="n">
        <v>0</v>
      </c>
      <c r="X1005" s="13" t="s">
        <v>1064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1" t="n">
        <v>3</v>
      </c>
      <c r="B1006" s="12" t="n">
        <v>46198</v>
      </c>
      <c r="C1006" s="12" t="n">
        <v>46220</v>
      </c>
      <c r="D1006" s="11" t="n">
        <v>1672</v>
      </c>
      <c r="E1006" s="13" t="s">
        <v>67</v>
      </c>
      <c r="F1006" s="11" t="n">
        <v>24</v>
      </c>
      <c r="G1006" s="13" t="s">
        <v>42</v>
      </c>
      <c r="H1006" s="11" t="n">
        <v>2110101</v>
      </c>
      <c r="I1006" s="13" t="s">
        <v>43</v>
      </c>
      <c r="J1006" s="11" t="n">
        <v>1312285</v>
      </c>
      <c r="L1006" s="11" t="n">
        <v>13798332</v>
      </c>
      <c r="M1006" s="13" t="s">
        <v>44</v>
      </c>
      <c r="N1006" s="13" t="s">
        <v>36</v>
      </c>
      <c r="P1006" s="11" t="n">
        <v>128</v>
      </c>
      <c r="Q1006" s="13" t="s">
        <v>45</v>
      </c>
      <c r="R1006" s="13" t="s">
        <v>46</v>
      </c>
      <c r="S1006" s="11" t="n">
        <v>1130101</v>
      </c>
      <c r="T1006" s="13" t="s">
        <v>47</v>
      </c>
      <c r="U1006" s="14" t="n">
        <v>956.15</v>
      </c>
      <c r="W1006" s="14" t="n">
        <v>0</v>
      </c>
      <c r="X1006" s="13" t="s">
        <v>1065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1" t="n">
        <v>3</v>
      </c>
      <c r="B1007" s="12" t="n">
        <v>46197</v>
      </c>
      <c r="C1007" s="12" t="n">
        <v>46220</v>
      </c>
      <c r="D1007" s="11" t="n">
        <v>1107</v>
      </c>
      <c r="E1007" s="13" t="s">
        <v>165</v>
      </c>
      <c r="F1007" s="11" t="n">
        <v>24</v>
      </c>
      <c r="G1007" s="13" t="s">
        <v>42</v>
      </c>
      <c r="H1007" s="11" t="n">
        <v>2110101</v>
      </c>
      <c r="I1007" s="13" t="s">
        <v>43</v>
      </c>
      <c r="J1007" s="11" t="n">
        <v>1312361</v>
      </c>
      <c r="L1007" s="11" t="n">
        <v>4217652</v>
      </c>
      <c r="M1007" s="13" t="s">
        <v>44</v>
      </c>
      <c r="N1007" s="13" t="s">
        <v>36</v>
      </c>
      <c r="P1007" s="11" t="n">
        <v>128</v>
      </c>
      <c r="Q1007" s="13" t="s">
        <v>45</v>
      </c>
      <c r="R1007" s="13" t="s">
        <v>46</v>
      </c>
      <c r="S1007" s="11" t="n">
        <v>1130101</v>
      </c>
      <c r="T1007" s="13" t="s">
        <v>47</v>
      </c>
      <c r="U1007" s="14" t="n">
        <v>709.48</v>
      </c>
      <c r="W1007" s="14" t="n">
        <v>0</v>
      </c>
      <c r="X1007" s="13" t="s">
        <v>1066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FERMEN DR.OETKER 100G</v>
      </c>
      <c r="AC1007" s="1" t="n">
        <v>421765</v>
      </c>
    </row>
    <row r="1008" customFormat="false" ht="12.75" hidden="false" customHeight="true" outlineLevel="0" collapsed="false">
      <c r="A1008" s="11" t="n">
        <v>3</v>
      </c>
      <c r="B1008" s="12" t="n">
        <v>46198</v>
      </c>
      <c r="C1008" s="12" t="n">
        <v>46220</v>
      </c>
      <c r="D1008" s="11" t="n">
        <v>1616</v>
      </c>
      <c r="E1008" s="13" t="s">
        <v>697</v>
      </c>
      <c r="F1008" s="11" t="n">
        <v>24</v>
      </c>
      <c r="G1008" s="13" t="s">
        <v>42</v>
      </c>
      <c r="H1008" s="11" t="n">
        <v>2110101</v>
      </c>
      <c r="I1008" s="13" t="s">
        <v>43</v>
      </c>
      <c r="J1008" s="11" t="n">
        <v>1321505</v>
      </c>
      <c r="L1008" s="11" t="n">
        <v>6474032</v>
      </c>
      <c r="M1008" s="13" t="s">
        <v>44</v>
      </c>
      <c r="N1008" s="13" t="s">
        <v>36</v>
      </c>
      <c r="P1008" s="11" t="n">
        <v>128</v>
      </c>
      <c r="Q1008" s="13" t="s">
        <v>45</v>
      </c>
      <c r="R1008" s="13" t="s">
        <v>46</v>
      </c>
      <c r="S1008" s="11" t="n">
        <v>1130101</v>
      </c>
      <c r="T1008" s="13" t="s">
        <v>47</v>
      </c>
      <c r="U1008" s="14" t="n">
        <v>553.36</v>
      </c>
      <c r="W1008" s="14" t="n">
        <v>0</v>
      </c>
      <c r="X1008" s="13" t="s">
        <v>1067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1" t="n">
        <v>3</v>
      </c>
      <c r="B1009" s="12" t="n">
        <v>46203</v>
      </c>
      <c r="C1009" s="12" t="n">
        <v>46220</v>
      </c>
      <c r="D1009" s="11" t="n">
        <v>42</v>
      </c>
      <c r="E1009" s="13" t="s">
        <v>80</v>
      </c>
      <c r="F1009" s="11" t="n">
        <v>34</v>
      </c>
      <c r="G1009" s="13" t="s">
        <v>33</v>
      </c>
      <c r="H1009" s="11" t="n">
        <v>2110101</v>
      </c>
      <c r="I1009" s="13" t="s">
        <v>43</v>
      </c>
      <c r="J1009" s="11" t="n">
        <v>1328808</v>
      </c>
      <c r="L1009" s="11" t="n">
        <v>4326</v>
      </c>
      <c r="M1009" s="13" t="s">
        <v>44</v>
      </c>
      <c r="N1009" s="13" t="s">
        <v>69</v>
      </c>
      <c r="P1009" s="11" t="n">
        <v>128</v>
      </c>
      <c r="Q1009" s="13" t="s">
        <v>45</v>
      </c>
      <c r="R1009" s="13" t="s">
        <v>46</v>
      </c>
      <c r="S1009" s="11" t="n">
        <v>1130101</v>
      </c>
      <c r="T1009" s="13" t="s">
        <v>47</v>
      </c>
      <c r="U1009" s="14" t="n">
        <v>250</v>
      </c>
      <c r="W1009" s="14" t="n">
        <v>0</v>
      </c>
      <c r="X1009" s="13" t="s">
        <v>1068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1" t="n">
        <v>3</v>
      </c>
      <c r="B1010" s="12" t="n">
        <v>46199</v>
      </c>
      <c r="C1010" s="12" t="n">
        <v>46220</v>
      </c>
      <c r="D1010" s="11" t="n">
        <v>1634</v>
      </c>
      <c r="E1010" s="13" t="s">
        <v>1069</v>
      </c>
      <c r="F1010" s="11" t="n">
        <v>24</v>
      </c>
      <c r="G1010" s="13" t="s">
        <v>42</v>
      </c>
      <c r="H1010" s="11" t="n">
        <v>2110101</v>
      </c>
      <c r="I1010" s="13" t="s">
        <v>43</v>
      </c>
      <c r="J1010" s="11" t="n">
        <v>1334057</v>
      </c>
      <c r="L1010" s="11" t="n">
        <v>3274641</v>
      </c>
      <c r="M1010" s="13" t="s">
        <v>44</v>
      </c>
      <c r="N1010" s="13" t="s">
        <v>36</v>
      </c>
      <c r="P1010" s="11" t="n">
        <v>167</v>
      </c>
      <c r="Q1010" s="13" t="s">
        <v>101</v>
      </c>
      <c r="R1010" s="13" t="s">
        <v>46</v>
      </c>
      <c r="S1010" s="11" t="n">
        <v>1130101</v>
      </c>
      <c r="T1010" s="13" t="s">
        <v>47</v>
      </c>
      <c r="U1010" s="14" t="n">
        <v>288.36</v>
      </c>
      <c r="W1010" s="14" t="n">
        <v>0</v>
      </c>
      <c r="X1010" s="13" t="s">
        <v>1070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46220</v>
      </c>
      <c r="D1011" s="11" t="n">
        <v>1734</v>
      </c>
      <c r="E1011" s="13" t="s">
        <v>125</v>
      </c>
      <c r="F1011" s="11" t="n">
        <v>24</v>
      </c>
      <c r="G1011" s="13" t="s">
        <v>42</v>
      </c>
      <c r="H1011" s="11" t="n">
        <v>2110101</v>
      </c>
      <c r="I1011" s="13" t="s">
        <v>43</v>
      </c>
      <c r="J1011" s="11" t="n">
        <v>1334403</v>
      </c>
      <c r="L1011" s="11" t="n">
        <v>2545122</v>
      </c>
      <c r="M1011" s="13" t="s">
        <v>44</v>
      </c>
      <c r="N1011" s="13" t="s">
        <v>36</v>
      </c>
      <c r="P1011" s="11" t="n">
        <v>167</v>
      </c>
      <c r="Q1011" s="13" t="s">
        <v>101</v>
      </c>
      <c r="R1011" s="13" t="s">
        <v>46</v>
      </c>
      <c r="S1011" s="11" t="n">
        <v>1130101</v>
      </c>
      <c r="T1011" s="13" t="s">
        <v>47</v>
      </c>
      <c r="U1011" s="14" t="n">
        <v>325.35</v>
      </c>
      <c r="W1011" s="14" t="n">
        <v>0</v>
      </c>
      <c r="X1011" s="13" t="s">
        <v>1071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46220</v>
      </c>
      <c r="D1012" s="11" t="n">
        <v>1740</v>
      </c>
      <c r="E1012" s="13" t="s">
        <v>170</v>
      </c>
      <c r="F1012" s="11" t="n">
        <v>24</v>
      </c>
      <c r="G1012" s="13" t="s">
        <v>42</v>
      </c>
      <c r="H1012" s="11" t="n">
        <v>2110101</v>
      </c>
      <c r="I1012" s="13" t="s">
        <v>43</v>
      </c>
      <c r="J1012" s="11" t="n">
        <v>1335355</v>
      </c>
      <c r="L1012" s="11" t="n">
        <v>12428241</v>
      </c>
      <c r="M1012" s="13" t="s">
        <v>44</v>
      </c>
      <c r="N1012" s="13" t="s">
        <v>36</v>
      </c>
      <c r="P1012" s="11" t="n">
        <v>167</v>
      </c>
      <c r="Q1012" s="13" t="s">
        <v>101</v>
      </c>
      <c r="R1012" s="13" t="s">
        <v>46</v>
      </c>
      <c r="S1012" s="11" t="n">
        <v>1130101</v>
      </c>
      <c r="T1012" s="13" t="s">
        <v>47</v>
      </c>
      <c r="U1012" s="14" t="n">
        <v>683</v>
      </c>
      <c r="W1012" s="14" t="n">
        <v>0</v>
      </c>
      <c r="X1012" s="13" t="s">
        <v>1072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1" t="n">
        <v>3</v>
      </c>
      <c r="B1013" s="12" t="n">
        <v>46204</v>
      </c>
      <c r="C1013" s="12" t="n">
        <v>46220</v>
      </c>
      <c r="D1013" s="11" t="n">
        <v>1740</v>
      </c>
      <c r="E1013" s="13" t="s">
        <v>170</v>
      </c>
      <c r="F1013" s="11" t="n">
        <v>24</v>
      </c>
      <c r="G1013" s="13" t="s">
        <v>42</v>
      </c>
      <c r="H1013" s="11" t="n">
        <v>2110101</v>
      </c>
      <c r="I1013" s="13" t="s">
        <v>43</v>
      </c>
      <c r="J1013" s="11" t="n">
        <v>1335368</v>
      </c>
      <c r="L1013" s="11" t="n">
        <v>12428251</v>
      </c>
      <c r="M1013" s="13" t="s">
        <v>44</v>
      </c>
      <c r="N1013" s="13" t="s">
        <v>36</v>
      </c>
      <c r="P1013" s="11" t="n">
        <v>167</v>
      </c>
      <c r="Q1013" s="13" t="s">
        <v>101</v>
      </c>
      <c r="R1013" s="13" t="s">
        <v>46</v>
      </c>
      <c r="S1013" s="11" t="n">
        <v>1130101</v>
      </c>
      <c r="T1013" s="13" t="s">
        <v>47</v>
      </c>
      <c r="U1013" s="14" t="n">
        <v>764</v>
      </c>
      <c r="W1013" s="14" t="n">
        <v>0</v>
      </c>
      <c r="X1013" s="13" t="s">
        <v>1073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46220</v>
      </c>
      <c r="D1014" s="11" t="n">
        <v>1740</v>
      </c>
      <c r="E1014" s="13" t="s">
        <v>170</v>
      </c>
      <c r="F1014" s="11" t="n">
        <v>24</v>
      </c>
      <c r="G1014" s="13" t="s">
        <v>42</v>
      </c>
      <c r="H1014" s="11" t="n">
        <v>2110101</v>
      </c>
      <c r="I1014" s="13" t="s">
        <v>43</v>
      </c>
      <c r="J1014" s="11" t="n">
        <v>1335379</v>
      </c>
      <c r="L1014" s="11" t="n">
        <v>12428231</v>
      </c>
      <c r="M1014" s="13" t="s">
        <v>44</v>
      </c>
      <c r="N1014" s="13" t="s">
        <v>36</v>
      </c>
      <c r="P1014" s="11" t="n">
        <v>167</v>
      </c>
      <c r="Q1014" s="13" t="s">
        <v>101</v>
      </c>
      <c r="R1014" s="13" t="s">
        <v>46</v>
      </c>
      <c r="S1014" s="11" t="n">
        <v>1130101</v>
      </c>
      <c r="T1014" s="13" t="s">
        <v>47</v>
      </c>
      <c r="U1014" s="14" t="n">
        <v>502.2</v>
      </c>
      <c r="W1014" s="14" t="n">
        <v>0</v>
      </c>
      <c r="X1014" s="13" t="s">
        <v>1074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1" t="n">
        <v>3</v>
      </c>
      <c r="B1015" s="12" t="n">
        <v>46205</v>
      </c>
      <c r="C1015" s="12" t="n">
        <v>46220</v>
      </c>
      <c r="D1015" s="11" t="n">
        <v>49</v>
      </c>
      <c r="E1015" s="13" t="s">
        <v>138</v>
      </c>
      <c r="F1015" s="11" t="n">
        <v>34</v>
      </c>
      <c r="G1015" s="13" t="s">
        <v>33</v>
      </c>
      <c r="H1015" s="11" t="n">
        <v>2110405</v>
      </c>
      <c r="I1015" s="13" t="s">
        <v>34</v>
      </c>
      <c r="J1015" s="11" t="n">
        <v>1339049</v>
      </c>
      <c r="L1015" s="11" t="n">
        <v>209092</v>
      </c>
      <c r="M1015" s="13" t="s">
        <v>44</v>
      </c>
      <c r="N1015" s="13" t="s">
        <v>36</v>
      </c>
      <c r="P1015" s="11" t="n">
        <v>101</v>
      </c>
      <c r="Q1015" s="13" t="s">
        <v>37</v>
      </c>
      <c r="R1015" s="13" t="s">
        <v>139</v>
      </c>
      <c r="S1015" s="11" t="n">
        <v>2110901</v>
      </c>
      <c r="T1015" s="13" t="s">
        <v>140</v>
      </c>
      <c r="U1015" s="14" t="n">
        <v>4073.22</v>
      </c>
      <c r="W1015" s="14" t="n">
        <v>0</v>
      </c>
      <c r="X1015" s="13" t="s">
        <v>1075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46220</v>
      </c>
      <c r="D1016" s="11" t="n">
        <v>10088</v>
      </c>
      <c r="E1016" s="13" t="s">
        <v>1076</v>
      </c>
      <c r="F1016" s="11" t="n">
        <v>34</v>
      </c>
      <c r="G1016" s="13" t="s">
        <v>33</v>
      </c>
      <c r="H1016" s="11" t="n">
        <v>2110101</v>
      </c>
      <c r="I1016" s="13" t="s">
        <v>43</v>
      </c>
      <c r="J1016" s="11" t="n">
        <v>1339200</v>
      </c>
      <c r="L1016" s="11" t="n">
        <v>209116</v>
      </c>
      <c r="M1016" s="13" t="s">
        <v>44</v>
      </c>
      <c r="N1016" s="13" t="s">
        <v>36</v>
      </c>
      <c r="P1016" s="11" t="n">
        <v>167</v>
      </c>
      <c r="Q1016" s="13" t="s">
        <v>101</v>
      </c>
      <c r="R1016" s="13" t="s">
        <v>46</v>
      </c>
      <c r="S1016" s="11" t="n">
        <v>1130101</v>
      </c>
      <c r="T1016" s="13" t="s">
        <v>47</v>
      </c>
      <c r="U1016" s="14" t="n">
        <v>450</v>
      </c>
      <c r="W1016" s="14" t="n">
        <v>0</v>
      </c>
      <c r="X1016" s="13" t="s">
        <v>1077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46220</v>
      </c>
      <c r="D1017" s="11" t="n">
        <v>1749</v>
      </c>
      <c r="E1017" s="13" t="s">
        <v>266</v>
      </c>
      <c r="F1017" s="11" t="n">
        <v>24</v>
      </c>
      <c r="G1017" s="13" t="s">
        <v>42</v>
      </c>
      <c r="H1017" s="11" t="n">
        <v>2110101</v>
      </c>
      <c r="I1017" s="13" t="s">
        <v>43</v>
      </c>
      <c r="J1017" s="11" t="n">
        <v>1340209</v>
      </c>
      <c r="L1017" s="11" t="n">
        <v>25452</v>
      </c>
      <c r="M1017" s="13" t="s">
        <v>44</v>
      </c>
      <c r="N1017" s="13" t="s">
        <v>36</v>
      </c>
      <c r="P1017" s="11" t="n">
        <v>167</v>
      </c>
      <c r="Q1017" s="13" t="s">
        <v>101</v>
      </c>
      <c r="R1017" s="13" t="s">
        <v>46</v>
      </c>
      <c r="S1017" s="11" t="n">
        <v>1130101</v>
      </c>
      <c r="T1017" s="13" t="s">
        <v>47</v>
      </c>
      <c r="U1017" s="14" t="n">
        <v>1598.87</v>
      </c>
      <c r="W1017" s="14" t="n">
        <v>0</v>
      </c>
      <c r="X1017" s="13" t="s">
        <v>1078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1" t="n">
        <v>3</v>
      </c>
      <c r="B1018" s="12" t="n">
        <v>46205</v>
      </c>
      <c r="C1018" s="12" t="n">
        <v>46220</v>
      </c>
      <c r="D1018" s="11" t="n">
        <v>794</v>
      </c>
      <c r="E1018" s="13" t="s">
        <v>152</v>
      </c>
      <c r="F1018" s="11" t="n">
        <v>24</v>
      </c>
      <c r="G1018" s="13" t="s">
        <v>42</v>
      </c>
      <c r="H1018" s="11" t="n">
        <v>2110405</v>
      </c>
      <c r="I1018" s="13" t="s">
        <v>34</v>
      </c>
      <c r="J1018" s="11" t="n">
        <v>1340236</v>
      </c>
      <c r="L1018" s="11" t="n">
        <v>52011</v>
      </c>
      <c r="M1018" s="13" t="s">
        <v>44</v>
      </c>
      <c r="N1018" s="13" t="s">
        <v>36</v>
      </c>
      <c r="P1018" s="11" t="n">
        <v>167</v>
      </c>
      <c r="Q1018" s="13" t="s">
        <v>101</v>
      </c>
      <c r="R1018" s="13" t="s">
        <v>38</v>
      </c>
      <c r="S1018" s="11" t="n">
        <v>4210299</v>
      </c>
      <c r="T1018" s="13" t="s">
        <v>1079</v>
      </c>
      <c r="U1018" s="14" t="n">
        <v>475.95</v>
      </c>
      <c r="W1018" s="14" t="n">
        <v>0</v>
      </c>
      <c r="X1018" s="13" t="s">
        <v>1080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1" t="n">
        <v>3</v>
      </c>
      <c r="B1019" s="12" t="n">
        <v>46205</v>
      </c>
      <c r="C1019" s="12" t="n">
        <v>46220</v>
      </c>
      <c r="D1019" s="11" t="n">
        <v>1666</v>
      </c>
      <c r="E1019" s="13" t="s">
        <v>212</v>
      </c>
      <c r="F1019" s="11" t="n">
        <v>24</v>
      </c>
      <c r="G1019" s="13" t="s">
        <v>42</v>
      </c>
      <c r="H1019" s="11" t="n">
        <v>2110101</v>
      </c>
      <c r="I1019" s="13" t="s">
        <v>43</v>
      </c>
      <c r="J1019" s="11" t="n">
        <v>1340271</v>
      </c>
      <c r="L1019" s="11" t="n">
        <v>5656262</v>
      </c>
      <c r="M1019" s="13" t="s">
        <v>44</v>
      </c>
      <c r="N1019" s="13" t="s">
        <v>36</v>
      </c>
      <c r="P1019" s="11" t="n">
        <v>167</v>
      </c>
      <c r="Q1019" s="13" t="s">
        <v>101</v>
      </c>
      <c r="R1019" s="13" t="s">
        <v>46</v>
      </c>
      <c r="S1019" s="11" t="n">
        <v>1130101</v>
      </c>
      <c r="T1019" s="13" t="s">
        <v>47</v>
      </c>
      <c r="U1019" s="14" t="n">
        <v>1891.66</v>
      </c>
      <c r="W1019" s="14" t="n">
        <v>0</v>
      </c>
      <c r="X1019" s="13" t="s">
        <v>1081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1" t="n">
        <v>3</v>
      </c>
      <c r="B1020" s="12" t="n">
        <v>46205</v>
      </c>
      <c r="C1020" s="12" t="n">
        <v>46220</v>
      </c>
      <c r="D1020" s="11" t="n">
        <v>42</v>
      </c>
      <c r="E1020" s="13" t="s">
        <v>80</v>
      </c>
      <c r="F1020" s="11" t="n">
        <v>34</v>
      </c>
      <c r="G1020" s="13" t="s">
        <v>33</v>
      </c>
      <c r="H1020" s="11" t="n">
        <v>2110101</v>
      </c>
      <c r="I1020" s="13" t="s">
        <v>43</v>
      </c>
      <c r="J1020" s="11" t="n">
        <v>1340380</v>
      </c>
      <c r="L1020" s="11" t="n">
        <v>4346</v>
      </c>
      <c r="M1020" s="13" t="s">
        <v>44</v>
      </c>
      <c r="N1020" s="13" t="s">
        <v>69</v>
      </c>
      <c r="P1020" s="11" t="n">
        <v>167</v>
      </c>
      <c r="Q1020" s="13" t="s">
        <v>101</v>
      </c>
      <c r="R1020" s="13" t="s">
        <v>46</v>
      </c>
      <c r="S1020" s="11" t="n">
        <v>1130101</v>
      </c>
      <c r="T1020" s="13" t="s">
        <v>47</v>
      </c>
      <c r="U1020" s="14" t="n">
        <v>280</v>
      </c>
      <c r="W1020" s="14" t="n">
        <v>0</v>
      </c>
      <c r="X1020" s="13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46220</v>
      </c>
      <c r="D1021" s="11" t="n">
        <v>1664</v>
      </c>
      <c r="E1021" s="13" t="s">
        <v>1082</v>
      </c>
      <c r="F1021" s="11" t="n">
        <v>24</v>
      </c>
      <c r="G1021" s="13" t="s">
        <v>42</v>
      </c>
      <c r="H1021" s="11" t="n">
        <v>2110101</v>
      </c>
      <c r="I1021" s="13" t="s">
        <v>43</v>
      </c>
      <c r="J1021" s="11" t="n">
        <v>1340449</v>
      </c>
      <c r="L1021" s="11" t="n">
        <v>784221</v>
      </c>
      <c r="M1021" s="13" t="s">
        <v>44</v>
      </c>
      <c r="N1021" s="13" t="s">
        <v>36</v>
      </c>
      <c r="P1021" s="11" t="n">
        <v>167</v>
      </c>
      <c r="Q1021" s="13" t="s">
        <v>101</v>
      </c>
      <c r="R1021" s="13" t="s">
        <v>46</v>
      </c>
      <c r="S1021" s="11" t="n">
        <v>1130101</v>
      </c>
      <c r="T1021" s="13" t="s">
        <v>47</v>
      </c>
      <c r="U1021" s="14" t="n">
        <v>323.78</v>
      </c>
      <c r="W1021" s="14" t="n">
        <v>0</v>
      </c>
      <c r="X1021" s="13" t="s">
        <v>1083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1" t="n">
        <v>3</v>
      </c>
      <c r="B1022" s="12" t="n">
        <v>46206</v>
      </c>
      <c r="C1022" s="12" t="n">
        <v>46220</v>
      </c>
      <c r="D1022" s="11" t="n">
        <v>1916</v>
      </c>
      <c r="E1022" s="13" t="s">
        <v>351</v>
      </c>
      <c r="F1022" s="11" t="n">
        <v>24</v>
      </c>
      <c r="G1022" s="13" t="s">
        <v>42</v>
      </c>
      <c r="H1022" s="11" t="n">
        <v>2110101</v>
      </c>
      <c r="I1022" s="13" t="s">
        <v>43</v>
      </c>
      <c r="J1022" s="11" t="n">
        <v>1345367</v>
      </c>
      <c r="L1022" s="11" t="n">
        <v>39618</v>
      </c>
      <c r="M1022" s="13" t="s">
        <v>44</v>
      </c>
      <c r="N1022" s="13" t="s">
        <v>69</v>
      </c>
      <c r="P1022" s="11" t="n">
        <v>167</v>
      </c>
      <c r="Q1022" s="13" t="s">
        <v>101</v>
      </c>
      <c r="R1022" s="13" t="s">
        <v>46</v>
      </c>
      <c r="S1022" s="11" t="n">
        <v>1130101</v>
      </c>
      <c r="T1022" s="13" t="s">
        <v>47</v>
      </c>
      <c r="U1022" s="14" t="n">
        <v>1440</v>
      </c>
      <c r="W1022" s="14" t="n">
        <v>0</v>
      </c>
      <c r="X1022" s="13" t="s">
        <v>1084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1" t="n">
        <v>3</v>
      </c>
      <c r="B1023" s="12" t="n">
        <v>46206</v>
      </c>
      <c r="C1023" s="12" t="n">
        <v>46220</v>
      </c>
      <c r="D1023" s="11" t="n">
        <v>1916</v>
      </c>
      <c r="E1023" s="13" t="s">
        <v>351</v>
      </c>
      <c r="F1023" s="11" t="n">
        <v>24</v>
      </c>
      <c r="G1023" s="13" t="s">
        <v>42</v>
      </c>
      <c r="H1023" s="11" t="n">
        <v>2110101</v>
      </c>
      <c r="I1023" s="13" t="s">
        <v>43</v>
      </c>
      <c r="J1023" s="11" t="n">
        <v>1345375</v>
      </c>
      <c r="L1023" s="11" t="n">
        <v>2477</v>
      </c>
      <c r="M1023" s="13" t="s">
        <v>44</v>
      </c>
      <c r="N1023" s="13" t="s">
        <v>69</v>
      </c>
      <c r="P1023" s="11" t="n">
        <v>167</v>
      </c>
      <c r="Q1023" s="13" t="s">
        <v>101</v>
      </c>
      <c r="R1023" s="13" t="s">
        <v>46</v>
      </c>
      <c r="S1023" s="11" t="n">
        <v>1130101</v>
      </c>
      <c r="T1023" s="13" t="s">
        <v>47</v>
      </c>
      <c r="U1023" s="14" t="n">
        <v>105</v>
      </c>
      <c r="W1023" s="14" t="n">
        <v>0</v>
      </c>
      <c r="X1023" s="13" t="s">
        <v>1085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1" t="n">
        <v>3</v>
      </c>
      <c r="B1024" s="12" t="n">
        <v>46206</v>
      </c>
      <c r="C1024" s="12" t="n">
        <v>46220</v>
      </c>
      <c r="D1024" s="11" t="n">
        <v>1916</v>
      </c>
      <c r="E1024" s="13" t="s">
        <v>351</v>
      </c>
      <c r="F1024" s="11" t="n">
        <v>24</v>
      </c>
      <c r="G1024" s="13" t="s">
        <v>42</v>
      </c>
      <c r="H1024" s="11" t="n">
        <v>2110101</v>
      </c>
      <c r="I1024" s="13" t="s">
        <v>43</v>
      </c>
      <c r="J1024" s="11" t="n">
        <v>1345381</v>
      </c>
      <c r="L1024" s="11" t="n">
        <v>39615</v>
      </c>
      <c r="M1024" s="13" t="s">
        <v>44</v>
      </c>
      <c r="N1024" s="13" t="s">
        <v>69</v>
      </c>
      <c r="P1024" s="11" t="n">
        <v>167</v>
      </c>
      <c r="Q1024" s="13" t="s">
        <v>101</v>
      </c>
      <c r="R1024" s="13" t="s">
        <v>46</v>
      </c>
      <c r="S1024" s="11" t="n">
        <v>1130101</v>
      </c>
      <c r="T1024" s="13" t="s">
        <v>47</v>
      </c>
      <c r="U1024" s="14" t="n">
        <v>249.5</v>
      </c>
      <c r="W1024" s="14" t="n">
        <v>0</v>
      </c>
      <c r="X1024" s="13" t="s">
        <v>1086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1" t="n">
        <v>3</v>
      </c>
      <c r="B1025" s="12" t="n">
        <v>46206</v>
      </c>
      <c r="C1025" s="12" t="n">
        <v>46220</v>
      </c>
      <c r="D1025" s="11" t="n">
        <v>1815</v>
      </c>
      <c r="E1025" s="13" t="s">
        <v>53</v>
      </c>
      <c r="F1025" s="11" t="n">
        <v>24</v>
      </c>
      <c r="G1025" s="13" t="s">
        <v>42</v>
      </c>
      <c r="H1025" s="11" t="n">
        <v>2110101</v>
      </c>
      <c r="I1025" s="13" t="s">
        <v>43</v>
      </c>
      <c r="J1025" s="11" t="n">
        <v>1345433</v>
      </c>
      <c r="L1025" s="11" t="n">
        <v>454484</v>
      </c>
      <c r="M1025" s="13" t="s">
        <v>44</v>
      </c>
      <c r="N1025" s="13" t="s">
        <v>36</v>
      </c>
      <c r="P1025" s="11" t="n">
        <v>167</v>
      </c>
      <c r="Q1025" s="13" t="s">
        <v>101</v>
      </c>
      <c r="R1025" s="13" t="s">
        <v>46</v>
      </c>
      <c r="S1025" s="11" t="n">
        <v>1130101</v>
      </c>
      <c r="T1025" s="13" t="s">
        <v>47</v>
      </c>
      <c r="U1025" s="14" t="n">
        <v>2508.91</v>
      </c>
      <c r="W1025" s="14" t="n">
        <v>0</v>
      </c>
      <c r="X1025" s="13" t="s">
        <v>1087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1" t="n">
        <v>3</v>
      </c>
      <c r="B1026" s="12" t="n">
        <v>46206</v>
      </c>
      <c r="C1026" s="12" t="n">
        <v>46220</v>
      </c>
      <c r="D1026" s="11" t="n">
        <v>10009</v>
      </c>
      <c r="E1026" s="13" t="s">
        <v>373</v>
      </c>
      <c r="F1026" s="11" t="n">
        <v>24</v>
      </c>
      <c r="G1026" s="13" t="s">
        <v>42</v>
      </c>
      <c r="H1026" s="11" t="n">
        <v>2110101</v>
      </c>
      <c r="I1026" s="13" t="s">
        <v>43</v>
      </c>
      <c r="J1026" s="11" t="n">
        <v>1348400</v>
      </c>
      <c r="L1026" s="11" t="n">
        <v>1424293</v>
      </c>
      <c r="M1026" s="13" t="s">
        <v>44</v>
      </c>
      <c r="N1026" s="13" t="s">
        <v>36</v>
      </c>
      <c r="P1026" s="11" t="n">
        <v>167</v>
      </c>
      <c r="Q1026" s="13" t="s">
        <v>101</v>
      </c>
      <c r="R1026" s="13" t="s">
        <v>46</v>
      </c>
      <c r="S1026" s="11" t="n">
        <v>1130101</v>
      </c>
      <c r="T1026" s="13" t="s">
        <v>47</v>
      </c>
      <c r="U1026" s="14" t="n">
        <v>914.42</v>
      </c>
      <c r="W1026" s="14" t="n">
        <v>0</v>
      </c>
      <c r="X1026" s="13" t="s">
        <v>1088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1" t="n">
        <v>3</v>
      </c>
      <c r="B1027" s="12" t="n">
        <v>46207</v>
      </c>
      <c r="C1027" s="12" t="n">
        <v>46220</v>
      </c>
      <c r="D1027" s="11" t="n">
        <v>1723</v>
      </c>
      <c r="E1027" s="13" t="s">
        <v>76</v>
      </c>
      <c r="F1027" s="11" t="n">
        <v>24</v>
      </c>
      <c r="G1027" s="13" t="s">
        <v>42</v>
      </c>
      <c r="H1027" s="11" t="n">
        <v>2110101</v>
      </c>
      <c r="I1027" s="13" t="s">
        <v>43</v>
      </c>
      <c r="J1027" s="11" t="n">
        <v>1361191</v>
      </c>
      <c r="L1027" s="11" t="n">
        <v>55480</v>
      </c>
      <c r="M1027" s="13" t="s">
        <v>44</v>
      </c>
      <c r="N1027" s="13" t="s">
        <v>36</v>
      </c>
      <c r="P1027" s="11" t="n">
        <v>167</v>
      </c>
      <c r="Q1027" s="13" t="s">
        <v>101</v>
      </c>
      <c r="R1027" s="13" t="s">
        <v>46</v>
      </c>
      <c r="S1027" s="11" t="n">
        <v>1130101</v>
      </c>
      <c r="T1027" s="13" t="s">
        <v>47</v>
      </c>
      <c r="U1027" s="14" t="n">
        <v>5232.9</v>
      </c>
      <c r="W1027" s="14" t="n">
        <v>0</v>
      </c>
      <c r="X1027" s="13" t="s">
        <v>1089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1" t="n">
        <v>3</v>
      </c>
      <c r="B1028" s="12" t="n">
        <v>46207</v>
      </c>
      <c r="C1028" s="12" t="n">
        <v>46220</v>
      </c>
      <c r="D1028" s="11" t="n">
        <v>1723</v>
      </c>
      <c r="E1028" s="13" t="s">
        <v>76</v>
      </c>
      <c r="F1028" s="11" t="n">
        <v>24</v>
      </c>
      <c r="G1028" s="13" t="s">
        <v>42</v>
      </c>
      <c r="H1028" s="11" t="n">
        <v>2110101</v>
      </c>
      <c r="I1028" s="13" t="s">
        <v>43</v>
      </c>
      <c r="J1028" s="11" t="n">
        <v>1361355</v>
      </c>
      <c r="L1028" s="11" t="n">
        <v>55581</v>
      </c>
      <c r="M1028" s="13" t="s">
        <v>44</v>
      </c>
      <c r="N1028" s="13" t="s">
        <v>36</v>
      </c>
      <c r="P1028" s="11" t="n">
        <v>167</v>
      </c>
      <c r="Q1028" s="13" t="s">
        <v>101</v>
      </c>
      <c r="R1028" s="13" t="s">
        <v>46</v>
      </c>
      <c r="S1028" s="11" t="n">
        <v>1130101</v>
      </c>
      <c r="T1028" s="13" t="s">
        <v>47</v>
      </c>
      <c r="U1028" s="14" t="n">
        <v>1151.7</v>
      </c>
      <c r="W1028" s="14" t="n">
        <v>0</v>
      </c>
      <c r="X1028" s="13" t="s">
        <v>1090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1" t="n">
        <v>3</v>
      </c>
      <c r="B1029" s="12" t="n">
        <v>46210</v>
      </c>
      <c r="C1029" s="12" t="n">
        <v>46220</v>
      </c>
      <c r="D1029" s="11" t="n">
        <v>1024</v>
      </c>
      <c r="E1029" s="13" t="s">
        <v>161</v>
      </c>
      <c r="F1029" s="11" t="n">
        <v>24</v>
      </c>
      <c r="G1029" s="13" t="s">
        <v>42</v>
      </c>
      <c r="H1029" s="11" t="n">
        <v>2110101</v>
      </c>
      <c r="I1029" s="13" t="s">
        <v>43</v>
      </c>
      <c r="J1029" s="11" t="n">
        <v>1364926</v>
      </c>
      <c r="L1029" s="11" t="n">
        <v>598141</v>
      </c>
      <c r="M1029" s="13" t="s">
        <v>44</v>
      </c>
      <c r="N1029" s="13" t="s">
        <v>69</v>
      </c>
      <c r="P1029" s="11" t="n">
        <v>167</v>
      </c>
      <c r="Q1029" s="13" t="s">
        <v>101</v>
      </c>
      <c r="R1029" s="13" t="s">
        <v>46</v>
      </c>
      <c r="S1029" s="11" t="n">
        <v>1130101</v>
      </c>
      <c r="T1029" s="13" t="s">
        <v>47</v>
      </c>
      <c r="U1029" s="14" t="n">
        <v>309.25</v>
      </c>
      <c r="W1029" s="14" t="n">
        <v>0</v>
      </c>
      <c r="X1029" s="13" t="s">
        <v>1091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1" t="n">
        <v>3</v>
      </c>
      <c r="B1030" s="12" t="n">
        <v>46211</v>
      </c>
      <c r="C1030" s="12" t="n">
        <v>46220</v>
      </c>
      <c r="D1030" s="11" t="n">
        <v>42</v>
      </c>
      <c r="E1030" s="13" t="s">
        <v>80</v>
      </c>
      <c r="F1030" s="11" t="n">
        <v>34</v>
      </c>
      <c r="G1030" s="13" t="s">
        <v>33</v>
      </c>
      <c r="H1030" s="11" t="n">
        <v>2110101</v>
      </c>
      <c r="I1030" s="13" t="s">
        <v>43</v>
      </c>
      <c r="J1030" s="11" t="n">
        <v>1369076</v>
      </c>
      <c r="L1030" s="11" t="n">
        <v>4362</v>
      </c>
      <c r="M1030" s="13" t="s">
        <v>44</v>
      </c>
      <c r="N1030" s="13" t="s">
        <v>69</v>
      </c>
      <c r="P1030" s="11" t="n">
        <v>167</v>
      </c>
      <c r="Q1030" s="13" t="s">
        <v>101</v>
      </c>
      <c r="R1030" s="13" t="s">
        <v>46</v>
      </c>
      <c r="S1030" s="11" t="n">
        <v>1130101</v>
      </c>
      <c r="T1030" s="13" t="s">
        <v>47</v>
      </c>
      <c r="U1030" s="14" t="n">
        <v>600</v>
      </c>
      <c r="W1030" s="14" t="n">
        <v>0</v>
      </c>
      <c r="X1030" s="13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46211</v>
      </c>
      <c r="C1031" s="12" t="n">
        <v>46220</v>
      </c>
      <c r="D1031" s="11" t="n">
        <v>1378</v>
      </c>
      <c r="E1031" s="13" t="s">
        <v>120</v>
      </c>
      <c r="F1031" s="11" t="n">
        <v>24</v>
      </c>
      <c r="G1031" s="13" t="s">
        <v>42</v>
      </c>
      <c r="H1031" s="11" t="n">
        <v>2110101</v>
      </c>
      <c r="I1031" s="13" t="s">
        <v>43</v>
      </c>
      <c r="J1031" s="11" t="n">
        <v>1369267</v>
      </c>
      <c r="L1031" s="11" t="n">
        <v>18119</v>
      </c>
      <c r="M1031" s="13" t="s">
        <v>44</v>
      </c>
      <c r="N1031" s="13" t="s">
        <v>69</v>
      </c>
      <c r="P1031" s="11" t="n">
        <v>167</v>
      </c>
      <c r="Q1031" s="13" t="s">
        <v>101</v>
      </c>
      <c r="R1031" s="13" t="s">
        <v>46</v>
      </c>
      <c r="S1031" s="11" t="n">
        <v>1130101</v>
      </c>
      <c r="T1031" s="13" t="s">
        <v>47</v>
      </c>
      <c r="U1031" s="14" t="n">
        <v>259</v>
      </c>
      <c r="W1031" s="14" t="n">
        <v>0</v>
      </c>
      <c r="X1031" s="13" t="s">
        <v>1092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1" t="n">
        <v>3</v>
      </c>
      <c r="B1032" s="12" t="n">
        <v>46211</v>
      </c>
      <c r="C1032" s="12" t="n">
        <v>46220</v>
      </c>
      <c r="D1032" s="11" t="n">
        <v>447</v>
      </c>
      <c r="E1032" s="13" t="s">
        <v>437</v>
      </c>
      <c r="F1032" s="11" t="n">
        <v>24</v>
      </c>
      <c r="G1032" s="13" t="s">
        <v>42</v>
      </c>
      <c r="H1032" s="11" t="n">
        <v>2110405</v>
      </c>
      <c r="I1032" s="13" t="s">
        <v>34</v>
      </c>
      <c r="J1032" s="11" t="n">
        <v>1370645</v>
      </c>
      <c r="L1032" s="11" t="n">
        <v>213881</v>
      </c>
      <c r="M1032" s="13" t="s">
        <v>44</v>
      </c>
      <c r="N1032" s="13" t="s">
        <v>36</v>
      </c>
      <c r="P1032" s="11" t="n">
        <v>101</v>
      </c>
      <c r="Q1032" s="13" t="s">
        <v>37</v>
      </c>
      <c r="R1032" s="13" t="s">
        <v>72</v>
      </c>
      <c r="S1032" s="11" t="n">
        <v>4210315</v>
      </c>
      <c r="T1032" s="13" t="s">
        <v>438</v>
      </c>
      <c r="U1032" s="14" t="n">
        <v>163.16</v>
      </c>
      <c r="W1032" s="14" t="n">
        <v>0</v>
      </c>
      <c r="X1032" s="13" t="s">
        <v>1093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46211</v>
      </c>
      <c r="C1033" s="12" t="n">
        <v>46220</v>
      </c>
      <c r="D1033" s="11" t="n">
        <v>33</v>
      </c>
      <c r="E1033" s="13" t="s">
        <v>71</v>
      </c>
      <c r="F1033" s="11" t="n">
        <v>34</v>
      </c>
      <c r="G1033" s="13" t="s">
        <v>33</v>
      </c>
      <c r="H1033" s="11" t="n">
        <v>2110405</v>
      </c>
      <c r="I1033" s="13" t="s">
        <v>34</v>
      </c>
      <c r="J1033" s="11" t="n">
        <v>1370731</v>
      </c>
      <c r="L1033" s="11" t="n">
        <v>213889</v>
      </c>
      <c r="M1033" s="13" t="s">
        <v>44</v>
      </c>
      <c r="N1033" s="13" t="s">
        <v>36</v>
      </c>
      <c r="P1033" s="11" t="n">
        <v>101</v>
      </c>
      <c r="Q1033" s="13" t="s">
        <v>37</v>
      </c>
      <c r="R1033" s="13" t="s">
        <v>38</v>
      </c>
      <c r="S1033" s="11" t="n">
        <v>4210222</v>
      </c>
      <c r="T1033" s="13" t="s">
        <v>1094</v>
      </c>
      <c r="U1033" s="14" t="n">
        <v>666.67</v>
      </c>
      <c r="W1033" s="14" t="n">
        <v>0</v>
      </c>
      <c r="X1033" s="13" t="s">
        <v>1095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46211</v>
      </c>
      <c r="C1034" s="12" t="n">
        <v>46220</v>
      </c>
      <c r="D1034" s="11" t="n">
        <v>1705</v>
      </c>
      <c r="E1034" s="13" t="s">
        <v>122</v>
      </c>
      <c r="F1034" s="11" t="n">
        <v>24</v>
      </c>
      <c r="G1034" s="13" t="s">
        <v>42</v>
      </c>
      <c r="H1034" s="11" t="n">
        <v>2110101</v>
      </c>
      <c r="I1034" s="13" t="s">
        <v>43</v>
      </c>
      <c r="J1034" s="11" t="n">
        <v>1373677</v>
      </c>
      <c r="L1034" s="11" t="n">
        <v>11931787</v>
      </c>
      <c r="M1034" s="13" t="s">
        <v>44</v>
      </c>
      <c r="N1034" s="13" t="s">
        <v>36</v>
      </c>
      <c r="P1034" s="11" t="n">
        <v>167</v>
      </c>
      <c r="Q1034" s="13" t="s">
        <v>101</v>
      </c>
      <c r="R1034" s="13" t="s">
        <v>46</v>
      </c>
      <c r="S1034" s="11" t="n">
        <v>1130101</v>
      </c>
      <c r="T1034" s="13" t="s">
        <v>47</v>
      </c>
      <c r="U1034" s="14" t="n">
        <v>806.21</v>
      </c>
      <c r="W1034" s="14" t="n">
        <v>0</v>
      </c>
      <c r="X1034" s="13" t="s">
        <v>1096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1" t="n">
        <v>3</v>
      </c>
      <c r="B1035" s="12" t="n">
        <v>46211</v>
      </c>
      <c r="C1035" s="12" t="n">
        <v>46220</v>
      </c>
      <c r="D1035" s="11" t="n">
        <v>1705</v>
      </c>
      <c r="E1035" s="13" t="s">
        <v>122</v>
      </c>
      <c r="F1035" s="11" t="n">
        <v>24</v>
      </c>
      <c r="G1035" s="13" t="s">
        <v>42</v>
      </c>
      <c r="H1035" s="11" t="n">
        <v>2110101</v>
      </c>
      <c r="I1035" s="13" t="s">
        <v>43</v>
      </c>
      <c r="J1035" s="11" t="n">
        <v>1373681</v>
      </c>
      <c r="L1035" s="11" t="n">
        <v>11931537</v>
      </c>
      <c r="M1035" s="13" t="s">
        <v>44</v>
      </c>
      <c r="N1035" s="13" t="s">
        <v>36</v>
      </c>
      <c r="P1035" s="11" t="n">
        <v>167</v>
      </c>
      <c r="Q1035" s="13" t="s">
        <v>101</v>
      </c>
      <c r="R1035" s="13" t="s">
        <v>46</v>
      </c>
      <c r="S1035" s="11" t="n">
        <v>1130101</v>
      </c>
      <c r="T1035" s="13" t="s">
        <v>47</v>
      </c>
      <c r="U1035" s="14" t="n">
        <v>82.27</v>
      </c>
      <c r="W1035" s="14" t="n">
        <v>0</v>
      </c>
      <c r="X1035" s="13" t="s">
        <v>1097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1" t="n">
        <v>3</v>
      </c>
      <c r="B1036" s="12" t="n">
        <v>46211</v>
      </c>
      <c r="C1036" s="12" t="n">
        <v>46220</v>
      </c>
      <c r="D1036" s="11" t="n">
        <v>1705</v>
      </c>
      <c r="E1036" s="13" t="s">
        <v>122</v>
      </c>
      <c r="F1036" s="11" t="n">
        <v>24</v>
      </c>
      <c r="G1036" s="13" t="s">
        <v>42</v>
      </c>
      <c r="H1036" s="11" t="n">
        <v>2110101</v>
      </c>
      <c r="I1036" s="13" t="s">
        <v>43</v>
      </c>
      <c r="J1036" s="11" t="n">
        <v>1373691</v>
      </c>
      <c r="L1036" s="11" t="n">
        <v>11931797</v>
      </c>
      <c r="M1036" s="13" t="s">
        <v>44</v>
      </c>
      <c r="N1036" s="13" t="s">
        <v>36</v>
      </c>
      <c r="P1036" s="11" t="n">
        <v>167</v>
      </c>
      <c r="Q1036" s="13" t="s">
        <v>101</v>
      </c>
      <c r="R1036" s="13" t="s">
        <v>46</v>
      </c>
      <c r="S1036" s="11" t="n">
        <v>1130101</v>
      </c>
      <c r="T1036" s="13" t="s">
        <v>47</v>
      </c>
      <c r="U1036" s="14" t="n">
        <v>510.87</v>
      </c>
      <c r="W1036" s="14" t="n">
        <v>0</v>
      </c>
      <c r="X1036" s="13" t="s">
        <v>1098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1" t="n">
        <v>3</v>
      </c>
      <c r="B1037" s="12" t="n">
        <v>46211</v>
      </c>
      <c r="C1037" s="12" t="n">
        <v>46220</v>
      </c>
      <c r="D1037" s="11" t="n">
        <v>1705</v>
      </c>
      <c r="E1037" s="13" t="s">
        <v>122</v>
      </c>
      <c r="F1037" s="11" t="n">
        <v>24</v>
      </c>
      <c r="G1037" s="13" t="s">
        <v>42</v>
      </c>
      <c r="H1037" s="11" t="n">
        <v>2110101</v>
      </c>
      <c r="I1037" s="13" t="s">
        <v>43</v>
      </c>
      <c r="J1037" s="11" t="n">
        <v>1373699</v>
      </c>
      <c r="L1037" s="11" t="n">
        <v>1924041</v>
      </c>
      <c r="M1037" s="13" t="s">
        <v>44</v>
      </c>
      <c r="N1037" s="13" t="s">
        <v>36</v>
      </c>
      <c r="P1037" s="11" t="n">
        <v>167</v>
      </c>
      <c r="Q1037" s="13" t="s">
        <v>101</v>
      </c>
      <c r="R1037" s="13" t="s">
        <v>46</v>
      </c>
      <c r="S1037" s="11" t="n">
        <v>1130101</v>
      </c>
      <c r="T1037" s="13" t="s">
        <v>47</v>
      </c>
      <c r="U1037" s="14" t="n">
        <v>4501.19</v>
      </c>
      <c r="W1037" s="14" t="n">
        <v>0</v>
      </c>
      <c r="X1037" s="13" t="s">
        <v>1099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1" t="n">
        <v>3</v>
      </c>
      <c r="B1038" s="12" t="n">
        <v>46211</v>
      </c>
      <c r="C1038" s="12" t="n">
        <v>46220</v>
      </c>
      <c r="D1038" s="11" t="n">
        <v>1705</v>
      </c>
      <c r="E1038" s="13" t="s">
        <v>122</v>
      </c>
      <c r="F1038" s="11" t="n">
        <v>24</v>
      </c>
      <c r="G1038" s="13" t="s">
        <v>42</v>
      </c>
      <c r="H1038" s="11" t="n">
        <v>2110101</v>
      </c>
      <c r="I1038" s="13" t="s">
        <v>43</v>
      </c>
      <c r="J1038" s="11" t="n">
        <v>1373702</v>
      </c>
      <c r="L1038" s="11" t="n">
        <v>11931757</v>
      </c>
      <c r="M1038" s="13" t="s">
        <v>44</v>
      </c>
      <c r="N1038" s="13" t="s">
        <v>36</v>
      </c>
      <c r="P1038" s="11" t="n">
        <v>167</v>
      </c>
      <c r="Q1038" s="13" t="s">
        <v>101</v>
      </c>
      <c r="R1038" s="13" t="s">
        <v>46</v>
      </c>
      <c r="S1038" s="11" t="n">
        <v>1130101</v>
      </c>
      <c r="T1038" s="13" t="s">
        <v>47</v>
      </c>
      <c r="U1038" s="14" t="n">
        <v>653.29</v>
      </c>
      <c r="W1038" s="14" t="n">
        <v>0</v>
      </c>
      <c r="X1038" s="13" t="s">
        <v>1100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1" t="n">
        <v>3</v>
      </c>
      <c r="B1039" s="12" t="n">
        <v>46212</v>
      </c>
      <c r="C1039" s="12" t="n">
        <v>46220</v>
      </c>
      <c r="D1039" s="11" t="n">
        <v>1722</v>
      </c>
      <c r="E1039" s="13" t="s">
        <v>417</v>
      </c>
      <c r="F1039" s="11" t="n">
        <v>24</v>
      </c>
      <c r="G1039" s="13" t="s">
        <v>42</v>
      </c>
      <c r="H1039" s="11" t="n">
        <v>2110101</v>
      </c>
      <c r="I1039" s="13" t="s">
        <v>43</v>
      </c>
      <c r="J1039" s="11" t="n">
        <v>1373711</v>
      </c>
      <c r="L1039" s="11" t="n">
        <v>6756</v>
      </c>
      <c r="M1039" s="13" t="s">
        <v>44</v>
      </c>
      <c r="N1039" s="13" t="s">
        <v>69</v>
      </c>
      <c r="P1039" s="11" t="n">
        <v>167</v>
      </c>
      <c r="Q1039" s="13" t="s">
        <v>101</v>
      </c>
      <c r="R1039" s="13" t="s">
        <v>46</v>
      </c>
      <c r="S1039" s="11" t="n">
        <v>1130101</v>
      </c>
      <c r="T1039" s="13" t="s">
        <v>47</v>
      </c>
      <c r="U1039" s="14" t="n">
        <v>199</v>
      </c>
      <c r="W1039" s="14" t="n">
        <v>0</v>
      </c>
      <c r="X1039" s="13" t="s">
        <v>1101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1" t="n">
        <v>3</v>
      </c>
      <c r="B1040" s="12" t="n">
        <v>46210</v>
      </c>
      <c r="C1040" s="12" t="n">
        <v>46220</v>
      </c>
      <c r="D1040" s="11" t="n">
        <v>1734</v>
      </c>
      <c r="E1040" s="13" t="s">
        <v>125</v>
      </c>
      <c r="F1040" s="11" t="n">
        <v>24</v>
      </c>
      <c r="G1040" s="13" t="s">
        <v>42</v>
      </c>
      <c r="H1040" s="11" t="n">
        <v>2110101</v>
      </c>
      <c r="I1040" s="13" t="s">
        <v>43</v>
      </c>
      <c r="J1040" s="11" t="n">
        <v>1373718</v>
      </c>
      <c r="L1040" s="11" t="n">
        <v>2550091</v>
      </c>
      <c r="M1040" s="13" t="s">
        <v>44</v>
      </c>
      <c r="N1040" s="13" t="s">
        <v>36</v>
      </c>
      <c r="P1040" s="11" t="n">
        <v>167</v>
      </c>
      <c r="Q1040" s="13" t="s">
        <v>101</v>
      </c>
      <c r="R1040" s="13" t="s">
        <v>46</v>
      </c>
      <c r="S1040" s="11" t="n">
        <v>1130101</v>
      </c>
      <c r="T1040" s="13" t="s">
        <v>47</v>
      </c>
      <c r="U1040" s="14" t="n">
        <v>439</v>
      </c>
      <c r="W1040" s="14" t="n">
        <v>0</v>
      </c>
      <c r="X1040" s="13" t="s">
        <v>1102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1" t="n">
        <v>3</v>
      </c>
      <c r="B1041" s="12" t="n">
        <v>46212</v>
      </c>
      <c r="C1041" s="12" t="n">
        <v>46220</v>
      </c>
      <c r="D1041" s="11" t="n">
        <v>1642</v>
      </c>
      <c r="E1041" s="13" t="s">
        <v>274</v>
      </c>
      <c r="F1041" s="11" t="n">
        <v>24</v>
      </c>
      <c r="G1041" s="13" t="s">
        <v>42</v>
      </c>
      <c r="H1041" s="11" t="n">
        <v>2110101</v>
      </c>
      <c r="I1041" s="13" t="s">
        <v>43</v>
      </c>
      <c r="J1041" s="11" t="n">
        <v>1373741</v>
      </c>
      <c r="L1041" s="11" t="n">
        <v>1031024</v>
      </c>
      <c r="M1041" s="13" t="s">
        <v>44</v>
      </c>
      <c r="N1041" s="13" t="s">
        <v>69</v>
      </c>
      <c r="P1041" s="11" t="n">
        <v>167</v>
      </c>
      <c r="Q1041" s="13" t="s">
        <v>101</v>
      </c>
      <c r="R1041" s="13" t="s">
        <v>46</v>
      </c>
      <c r="S1041" s="11" t="n">
        <v>1130101</v>
      </c>
      <c r="T1041" s="13" t="s">
        <v>47</v>
      </c>
      <c r="U1041" s="14" t="n">
        <v>501.3</v>
      </c>
      <c r="W1041" s="14" t="n">
        <v>0</v>
      </c>
      <c r="X1041" s="13" t="s">
        <v>1103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1" t="n">
        <v>3</v>
      </c>
      <c r="B1042" s="12" t="n">
        <v>46211</v>
      </c>
      <c r="C1042" s="12" t="n">
        <v>46220</v>
      </c>
      <c r="D1042" s="11" t="n">
        <v>1916</v>
      </c>
      <c r="E1042" s="13" t="s">
        <v>351</v>
      </c>
      <c r="F1042" s="11" t="n">
        <v>24</v>
      </c>
      <c r="G1042" s="13" t="s">
        <v>42</v>
      </c>
      <c r="H1042" s="11" t="n">
        <v>2110101</v>
      </c>
      <c r="I1042" s="13" t="s">
        <v>43</v>
      </c>
      <c r="J1042" s="11" t="n">
        <v>1373762</v>
      </c>
      <c r="L1042" s="11" t="n">
        <v>397131</v>
      </c>
      <c r="M1042" s="13" t="s">
        <v>44</v>
      </c>
      <c r="N1042" s="13" t="s">
        <v>36</v>
      </c>
      <c r="P1042" s="11" t="n">
        <v>167</v>
      </c>
      <c r="Q1042" s="13" t="s">
        <v>101</v>
      </c>
      <c r="R1042" s="13" t="s">
        <v>46</v>
      </c>
      <c r="S1042" s="11" t="n">
        <v>1130101</v>
      </c>
      <c r="T1042" s="13" t="s">
        <v>47</v>
      </c>
      <c r="U1042" s="14" t="n">
        <v>1100</v>
      </c>
      <c r="W1042" s="14" t="n">
        <v>0</v>
      </c>
      <c r="X1042" s="13" t="s">
        <v>1104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1" t="n">
        <v>3</v>
      </c>
      <c r="B1043" s="12" t="n">
        <v>46210</v>
      </c>
      <c r="C1043" s="12" t="n">
        <v>46220</v>
      </c>
      <c r="D1043" s="11" t="n">
        <v>1723</v>
      </c>
      <c r="E1043" s="13" t="s">
        <v>76</v>
      </c>
      <c r="F1043" s="11" t="n">
        <v>24</v>
      </c>
      <c r="G1043" s="13" t="s">
        <v>42</v>
      </c>
      <c r="H1043" s="11" t="n">
        <v>2110101</v>
      </c>
      <c r="I1043" s="13" t="s">
        <v>43</v>
      </c>
      <c r="J1043" s="11" t="n">
        <v>1374696</v>
      </c>
      <c r="L1043" s="11" t="n">
        <v>55725</v>
      </c>
      <c r="M1043" s="13" t="s">
        <v>44</v>
      </c>
      <c r="N1043" s="13" t="s">
        <v>36</v>
      </c>
      <c r="P1043" s="11" t="n">
        <v>167</v>
      </c>
      <c r="Q1043" s="13" t="s">
        <v>101</v>
      </c>
      <c r="R1043" s="13" t="s">
        <v>46</v>
      </c>
      <c r="S1043" s="11" t="n">
        <v>1130101</v>
      </c>
      <c r="T1043" s="13" t="s">
        <v>47</v>
      </c>
      <c r="U1043" s="14" t="n">
        <v>2772</v>
      </c>
      <c r="W1043" s="14" t="n">
        <v>0</v>
      </c>
      <c r="X1043" s="13" t="s">
        <v>1105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1" t="n">
        <v>3</v>
      </c>
      <c r="B1044" s="12" t="n">
        <v>46211</v>
      </c>
      <c r="C1044" s="12" t="n">
        <v>46220</v>
      </c>
      <c r="D1044" s="11" t="n">
        <v>489</v>
      </c>
      <c r="E1044" s="13" t="s">
        <v>181</v>
      </c>
      <c r="F1044" s="11" t="n">
        <v>34</v>
      </c>
      <c r="G1044" s="13" t="s">
        <v>33</v>
      </c>
      <c r="H1044" s="11" t="n">
        <v>2110101</v>
      </c>
      <c r="I1044" s="13" t="s">
        <v>43</v>
      </c>
      <c r="J1044" s="11" t="n">
        <v>1374755</v>
      </c>
      <c r="L1044" s="11" t="n">
        <v>214466</v>
      </c>
      <c r="M1044" s="13" t="s">
        <v>44</v>
      </c>
      <c r="N1044" s="13" t="s">
        <v>36</v>
      </c>
      <c r="P1044" s="11" t="n">
        <v>167</v>
      </c>
      <c r="Q1044" s="13" t="s">
        <v>101</v>
      </c>
      <c r="R1044" s="13" t="s">
        <v>46</v>
      </c>
      <c r="S1044" s="11" t="n">
        <v>1130101</v>
      </c>
      <c r="T1044" s="13" t="s">
        <v>47</v>
      </c>
      <c r="U1044" s="14" t="n">
        <v>440</v>
      </c>
      <c r="W1044" s="14" t="n">
        <v>0</v>
      </c>
      <c r="X1044" s="13" t="s">
        <v>1106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46212</v>
      </c>
      <c r="C1045" s="12" t="n">
        <v>46220</v>
      </c>
      <c r="D1045" s="11" t="n">
        <v>1457</v>
      </c>
      <c r="E1045" s="13" t="s">
        <v>179</v>
      </c>
      <c r="F1045" s="11" t="n">
        <v>24</v>
      </c>
      <c r="G1045" s="13" t="s">
        <v>42</v>
      </c>
      <c r="H1045" s="11" t="n">
        <v>2110101</v>
      </c>
      <c r="I1045" s="13" t="s">
        <v>43</v>
      </c>
      <c r="J1045" s="11" t="n">
        <v>1374789</v>
      </c>
      <c r="L1045" s="11" t="n">
        <v>12783</v>
      </c>
      <c r="M1045" s="13" t="s">
        <v>44</v>
      </c>
      <c r="N1045" s="13" t="s">
        <v>69</v>
      </c>
      <c r="P1045" s="11" t="n">
        <v>167</v>
      </c>
      <c r="Q1045" s="13" t="s">
        <v>101</v>
      </c>
      <c r="R1045" s="13" t="s">
        <v>46</v>
      </c>
      <c r="S1045" s="11" t="n">
        <v>1130101</v>
      </c>
      <c r="T1045" s="13" t="s">
        <v>47</v>
      </c>
      <c r="U1045" s="14" t="n">
        <v>173.66</v>
      </c>
      <c r="W1045" s="14" t="n">
        <v>0</v>
      </c>
      <c r="X1045" s="13" t="s">
        <v>1107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1" t="n">
        <v>3</v>
      </c>
      <c r="B1046" s="12" t="n">
        <v>46211</v>
      </c>
      <c r="C1046" s="12" t="n">
        <v>46220</v>
      </c>
      <c r="D1046" s="11" t="n">
        <v>1605</v>
      </c>
      <c r="E1046" s="13" t="s">
        <v>113</v>
      </c>
      <c r="F1046" s="11" t="n">
        <v>24</v>
      </c>
      <c r="G1046" s="13" t="s">
        <v>42</v>
      </c>
      <c r="H1046" s="11" t="n">
        <v>2110101</v>
      </c>
      <c r="I1046" s="13" t="s">
        <v>43</v>
      </c>
      <c r="J1046" s="11" t="n">
        <v>1374947</v>
      </c>
      <c r="L1046" s="11" t="n">
        <v>2178641</v>
      </c>
      <c r="M1046" s="13" t="s">
        <v>44</v>
      </c>
      <c r="N1046" s="13" t="s">
        <v>36</v>
      </c>
      <c r="P1046" s="11" t="n">
        <v>167</v>
      </c>
      <c r="Q1046" s="13" t="s">
        <v>101</v>
      </c>
      <c r="R1046" s="13" t="s">
        <v>46</v>
      </c>
      <c r="S1046" s="11" t="n">
        <v>1130101</v>
      </c>
      <c r="T1046" s="13" t="s">
        <v>47</v>
      </c>
      <c r="U1046" s="14" t="n">
        <v>357.27</v>
      </c>
      <c r="W1046" s="14" t="n">
        <v>0</v>
      </c>
      <c r="X1046" s="13" t="s">
        <v>1108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1" t="n">
        <v>3</v>
      </c>
      <c r="B1047" s="12" t="n">
        <v>46212</v>
      </c>
      <c r="C1047" s="12" t="n">
        <v>46220</v>
      </c>
      <c r="D1047" s="11" t="n">
        <v>10038</v>
      </c>
      <c r="E1047" s="13" t="s">
        <v>312</v>
      </c>
      <c r="F1047" s="11" t="n">
        <v>24</v>
      </c>
      <c r="G1047" s="13" t="s">
        <v>42</v>
      </c>
      <c r="H1047" s="11" t="n">
        <v>2110101</v>
      </c>
      <c r="I1047" s="13" t="s">
        <v>43</v>
      </c>
      <c r="J1047" s="11" t="n">
        <v>1375284</v>
      </c>
      <c r="L1047" s="11" t="n">
        <v>214515</v>
      </c>
      <c r="M1047" s="13" t="s">
        <v>44</v>
      </c>
      <c r="N1047" s="13" t="s">
        <v>36</v>
      </c>
      <c r="P1047" s="11" t="n">
        <v>167</v>
      </c>
      <c r="Q1047" s="13" t="s">
        <v>101</v>
      </c>
      <c r="R1047" s="13" t="s">
        <v>46</v>
      </c>
      <c r="S1047" s="11" t="n">
        <v>1130101</v>
      </c>
      <c r="T1047" s="13" t="s">
        <v>47</v>
      </c>
      <c r="U1047" s="14" t="n">
        <v>368</v>
      </c>
      <c r="W1047" s="14" t="n">
        <v>0</v>
      </c>
      <c r="X1047" s="13" t="s">
        <v>1109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46213</v>
      </c>
      <c r="C1048" s="12" t="n">
        <v>46220</v>
      </c>
      <c r="D1048" s="11" t="n">
        <v>10063</v>
      </c>
      <c r="E1048" s="13" t="s">
        <v>218</v>
      </c>
      <c r="F1048" s="11" t="n">
        <v>24</v>
      </c>
      <c r="G1048" s="13" t="s">
        <v>42</v>
      </c>
      <c r="H1048" s="11" t="n">
        <v>2110101</v>
      </c>
      <c r="I1048" s="13" t="s">
        <v>43</v>
      </c>
      <c r="J1048" s="11" t="n">
        <v>1376524</v>
      </c>
      <c r="L1048" s="11" t="n">
        <v>2459</v>
      </c>
      <c r="M1048" s="13" t="s">
        <v>44</v>
      </c>
      <c r="N1048" s="13" t="s">
        <v>69</v>
      </c>
      <c r="P1048" s="11" t="n">
        <v>167</v>
      </c>
      <c r="Q1048" s="13" t="s">
        <v>101</v>
      </c>
      <c r="R1048" s="13" t="s">
        <v>46</v>
      </c>
      <c r="S1048" s="11" t="n">
        <v>1130101</v>
      </c>
      <c r="T1048" s="13" t="s">
        <v>47</v>
      </c>
      <c r="U1048" s="14" t="n">
        <v>1815</v>
      </c>
      <c r="W1048" s="14" t="n">
        <v>0</v>
      </c>
      <c r="X1048" s="13" t="s">
        <v>1110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1" t="n">
        <v>3</v>
      </c>
      <c r="B1049" s="12" t="n">
        <v>46213</v>
      </c>
      <c r="C1049" s="12" t="n">
        <v>46220</v>
      </c>
      <c r="D1049" s="11" t="n">
        <v>1828</v>
      </c>
      <c r="E1049" s="13" t="s">
        <v>278</v>
      </c>
      <c r="F1049" s="11" t="n">
        <v>24</v>
      </c>
      <c r="G1049" s="13" t="s">
        <v>42</v>
      </c>
      <c r="H1049" s="11" t="n">
        <v>2110101</v>
      </c>
      <c r="I1049" s="13" t="s">
        <v>43</v>
      </c>
      <c r="J1049" s="11" t="n">
        <v>1376572</v>
      </c>
      <c r="L1049" s="11" t="n">
        <v>1378</v>
      </c>
      <c r="M1049" s="13" t="s">
        <v>44</v>
      </c>
      <c r="N1049" s="13" t="s">
        <v>69</v>
      </c>
      <c r="P1049" s="11" t="n">
        <v>167</v>
      </c>
      <c r="Q1049" s="13" t="s">
        <v>101</v>
      </c>
      <c r="R1049" s="13" t="s">
        <v>46</v>
      </c>
      <c r="S1049" s="11" t="n">
        <v>1130101</v>
      </c>
      <c r="T1049" s="13" t="s">
        <v>47</v>
      </c>
      <c r="U1049" s="14" t="n">
        <v>700.4</v>
      </c>
      <c r="W1049" s="14" t="n">
        <v>0</v>
      </c>
      <c r="X1049" s="13" t="s">
        <v>1111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 PERU DF DISTRIBUIDORA DE FR</v>
      </c>
      <c r="AC1049" s="1" t="n">
        <v>1378</v>
      </c>
    </row>
    <row r="1050" customFormat="false" ht="12.75" hidden="false" customHeight="true" outlineLevel="0" collapsed="false">
      <c r="A1050" s="11" t="n">
        <v>3</v>
      </c>
      <c r="B1050" s="12" t="n">
        <v>46213</v>
      </c>
      <c r="C1050" s="12" t="n">
        <v>46220</v>
      </c>
      <c r="D1050" s="11" t="n">
        <v>1609</v>
      </c>
      <c r="E1050" s="13" t="s">
        <v>410</v>
      </c>
      <c r="F1050" s="11" t="n">
        <v>24</v>
      </c>
      <c r="G1050" s="13" t="s">
        <v>42</v>
      </c>
      <c r="H1050" s="11" t="n">
        <v>2110101</v>
      </c>
      <c r="I1050" s="13" t="s">
        <v>43</v>
      </c>
      <c r="J1050" s="11" t="n">
        <v>1377144</v>
      </c>
      <c r="L1050" s="11" t="n">
        <v>5789</v>
      </c>
      <c r="M1050" s="13" t="s">
        <v>44</v>
      </c>
      <c r="N1050" s="13" t="s">
        <v>69</v>
      </c>
      <c r="P1050" s="11" t="n">
        <v>167</v>
      </c>
      <c r="Q1050" s="13" t="s">
        <v>101</v>
      </c>
      <c r="R1050" s="13" t="s">
        <v>46</v>
      </c>
      <c r="S1050" s="11" t="n">
        <v>1130101</v>
      </c>
      <c r="T1050" s="13" t="s">
        <v>47</v>
      </c>
      <c r="U1050" s="14" t="n">
        <v>859</v>
      </c>
      <c r="W1050" s="14" t="n">
        <v>0</v>
      </c>
      <c r="X1050" s="13" t="s">
        <v>1112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1" t="n">
        <v>3</v>
      </c>
      <c r="B1051" s="12" t="n">
        <v>46212</v>
      </c>
      <c r="C1051" s="12" t="n">
        <v>46220</v>
      </c>
      <c r="D1051" s="11" t="n">
        <v>1666</v>
      </c>
      <c r="E1051" s="13" t="s">
        <v>212</v>
      </c>
      <c r="F1051" s="11" t="n">
        <v>24</v>
      </c>
      <c r="G1051" s="13" t="s">
        <v>42</v>
      </c>
      <c r="H1051" s="11" t="n">
        <v>2110101</v>
      </c>
      <c r="I1051" s="13" t="s">
        <v>43</v>
      </c>
      <c r="J1051" s="11" t="n">
        <v>1377200</v>
      </c>
      <c r="L1051" s="11" t="n">
        <v>5667171</v>
      </c>
      <c r="M1051" s="13" t="s">
        <v>44</v>
      </c>
      <c r="N1051" s="13" t="s">
        <v>36</v>
      </c>
      <c r="P1051" s="11" t="n">
        <v>167</v>
      </c>
      <c r="Q1051" s="13" t="s">
        <v>101</v>
      </c>
      <c r="R1051" s="13" t="s">
        <v>46</v>
      </c>
      <c r="S1051" s="11" t="n">
        <v>1130101</v>
      </c>
      <c r="T1051" s="13" t="s">
        <v>47</v>
      </c>
      <c r="U1051" s="14" t="n">
        <v>1901.93</v>
      </c>
      <c r="W1051" s="14" t="n">
        <v>0</v>
      </c>
      <c r="X1051" s="13" t="s">
        <v>1113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1" t="n">
        <v>3</v>
      </c>
      <c r="B1052" s="12" t="n">
        <v>46212</v>
      </c>
      <c r="C1052" s="12" t="n">
        <v>46220</v>
      </c>
      <c r="D1052" s="11" t="n">
        <v>10095</v>
      </c>
      <c r="E1052" s="13" t="s">
        <v>1114</v>
      </c>
      <c r="F1052" s="11" t="n">
        <v>24</v>
      </c>
      <c r="G1052" s="13" t="s">
        <v>42</v>
      </c>
      <c r="H1052" s="11" t="n">
        <v>2110101</v>
      </c>
      <c r="I1052" s="13" t="s">
        <v>43</v>
      </c>
      <c r="J1052" s="11" t="n">
        <v>1377332</v>
      </c>
      <c r="L1052" s="11" t="n">
        <v>861</v>
      </c>
      <c r="M1052" s="13" t="s">
        <v>44</v>
      </c>
      <c r="N1052" s="13" t="s">
        <v>36</v>
      </c>
      <c r="P1052" s="11" t="n">
        <v>167</v>
      </c>
      <c r="Q1052" s="13" t="s">
        <v>101</v>
      </c>
      <c r="R1052" s="13" t="s">
        <v>46</v>
      </c>
      <c r="S1052" s="11" t="n">
        <v>1130101</v>
      </c>
      <c r="T1052" s="13" t="s">
        <v>47</v>
      </c>
      <c r="U1052" s="14" t="n">
        <v>210</v>
      </c>
      <c r="W1052" s="14" t="n">
        <v>0</v>
      </c>
      <c r="X1052" s="13" t="s">
        <v>1115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1" t="n">
        <v>3</v>
      </c>
      <c r="B1053" s="12" t="n">
        <v>46214</v>
      </c>
      <c r="C1053" s="12" t="n">
        <v>46220</v>
      </c>
      <c r="D1053" s="11" t="n">
        <v>1378</v>
      </c>
      <c r="E1053" s="13" t="s">
        <v>120</v>
      </c>
      <c r="F1053" s="11" t="n">
        <v>24</v>
      </c>
      <c r="G1053" s="13" t="s">
        <v>42</v>
      </c>
      <c r="H1053" s="11" t="n">
        <v>2110101</v>
      </c>
      <c r="I1053" s="13" t="s">
        <v>43</v>
      </c>
      <c r="J1053" s="11" t="n">
        <v>1382154</v>
      </c>
      <c r="L1053" s="11" t="n">
        <v>18164</v>
      </c>
      <c r="M1053" s="13" t="s">
        <v>44</v>
      </c>
      <c r="N1053" s="13" t="s">
        <v>69</v>
      </c>
      <c r="P1053" s="11" t="n">
        <v>167</v>
      </c>
      <c r="Q1053" s="13" t="s">
        <v>101</v>
      </c>
      <c r="R1053" s="13" t="s">
        <v>46</v>
      </c>
      <c r="S1053" s="11" t="n">
        <v>1130101</v>
      </c>
      <c r="T1053" s="13" t="s">
        <v>47</v>
      </c>
      <c r="U1053" s="14" t="n">
        <v>202.4</v>
      </c>
      <c r="W1053" s="14" t="n">
        <v>0</v>
      </c>
      <c r="X1053" s="13" t="s">
        <v>1116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1" t="n">
        <v>3</v>
      </c>
      <c r="B1054" s="12" t="n">
        <v>46216</v>
      </c>
      <c r="C1054" s="12" t="n">
        <v>46220</v>
      </c>
      <c r="D1054" s="11" t="n">
        <v>642</v>
      </c>
      <c r="E1054" s="13" t="s">
        <v>135</v>
      </c>
      <c r="F1054" s="11" t="n">
        <v>24</v>
      </c>
      <c r="G1054" s="13" t="s">
        <v>42</v>
      </c>
      <c r="H1054" s="11" t="n">
        <v>2110101</v>
      </c>
      <c r="I1054" s="13" t="s">
        <v>43</v>
      </c>
      <c r="J1054" s="11" t="n">
        <v>1392368</v>
      </c>
      <c r="L1054" s="11" t="n">
        <v>528</v>
      </c>
      <c r="M1054" s="13" t="s">
        <v>44</v>
      </c>
      <c r="N1054" s="13" t="s">
        <v>69</v>
      </c>
      <c r="P1054" s="11" t="n">
        <v>167</v>
      </c>
      <c r="Q1054" s="13" t="s">
        <v>101</v>
      </c>
      <c r="R1054" s="13" t="s">
        <v>46</v>
      </c>
      <c r="S1054" s="11" t="n">
        <v>1130101</v>
      </c>
      <c r="T1054" s="13" t="s">
        <v>47</v>
      </c>
      <c r="U1054" s="14" t="n">
        <v>300</v>
      </c>
      <c r="W1054" s="14" t="n">
        <v>0</v>
      </c>
      <c r="X1054" s="13" t="s">
        <v>1117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1" t="n">
        <v>3</v>
      </c>
      <c r="B1055" s="12" t="n">
        <v>46213</v>
      </c>
      <c r="C1055" s="12" t="n">
        <v>46220</v>
      </c>
      <c r="D1055" s="11" t="n">
        <v>1705</v>
      </c>
      <c r="E1055" s="13" t="s">
        <v>122</v>
      </c>
      <c r="F1055" s="11" t="n">
        <v>24</v>
      </c>
      <c r="G1055" s="13" t="s">
        <v>42</v>
      </c>
      <c r="H1055" s="11" t="n">
        <v>2110405</v>
      </c>
      <c r="I1055" s="13" t="s">
        <v>34</v>
      </c>
      <c r="J1055" s="11" t="n">
        <v>1392401</v>
      </c>
      <c r="L1055" s="11" t="n">
        <v>19299855</v>
      </c>
      <c r="M1055" s="13" t="s">
        <v>44</v>
      </c>
      <c r="N1055" s="13" t="s">
        <v>36</v>
      </c>
      <c r="P1055" s="11" t="n">
        <v>167</v>
      </c>
      <c r="Q1055" s="13" t="s">
        <v>101</v>
      </c>
      <c r="R1055" s="13" t="s">
        <v>46</v>
      </c>
      <c r="S1055" s="11" t="n">
        <v>1130101</v>
      </c>
      <c r="T1055" s="13" t="s">
        <v>47</v>
      </c>
      <c r="U1055" s="14" t="n">
        <v>2686.59</v>
      </c>
      <c r="W1055" s="14" t="n">
        <v>0</v>
      </c>
      <c r="X1055" s="13" t="s">
        <v>1118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1" t="n">
        <v>3</v>
      </c>
      <c r="B1056" s="12" t="n">
        <v>46217</v>
      </c>
      <c r="C1056" s="12" t="n">
        <v>46220</v>
      </c>
      <c r="D1056" s="11" t="n">
        <v>42</v>
      </c>
      <c r="E1056" s="13" t="s">
        <v>80</v>
      </c>
      <c r="F1056" s="11" t="n">
        <v>34</v>
      </c>
      <c r="G1056" s="13" t="s">
        <v>33</v>
      </c>
      <c r="H1056" s="11" t="n">
        <v>2110101</v>
      </c>
      <c r="I1056" s="13" t="s">
        <v>43</v>
      </c>
      <c r="J1056" s="11" t="n">
        <v>1397726</v>
      </c>
      <c r="L1056" s="11" t="n">
        <v>4383</v>
      </c>
      <c r="M1056" s="13" t="s">
        <v>44</v>
      </c>
      <c r="N1056" s="13" t="s">
        <v>69</v>
      </c>
      <c r="P1056" s="11" t="n">
        <v>167</v>
      </c>
      <c r="Q1056" s="13" t="s">
        <v>101</v>
      </c>
      <c r="R1056" s="13" t="s">
        <v>46</v>
      </c>
      <c r="S1056" s="11" t="n">
        <v>1130101</v>
      </c>
      <c r="T1056" s="13" t="s">
        <v>47</v>
      </c>
      <c r="U1056" s="14" t="n">
        <v>1738.5</v>
      </c>
      <c r="W1056" s="14" t="n">
        <v>0</v>
      </c>
      <c r="X1056" s="13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1" t="n">
        <v>3</v>
      </c>
      <c r="B1057" s="12" t="n">
        <v>46217</v>
      </c>
      <c r="C1057" s="12" t="n">
        <v>46220</v>
      </c>
      <c r="D1057" s="11" t="n">
        <v>1615</v>
      </c>
      <c r="E1057" s="13" t="s">
        <v>130</v>
      </c>
      <c r="F1057" s="11" t="n">
        <v>34</v>
      </c>
      <c r="G1057" s="13" t="s">
        <v>33</v>
      </c>
      <c r="H1057" s="11" t="n">
        <v>2110405</v>
      </c>
      <c r="I1057" s="13" t="s">
        <v>34</v>
      </c>
      <c r="J1057" s="11" t="n">
        <v>1397747</v>
      </c>
      <c r="L1057" s="11" t="n">
        <v>14863</v>
      </c>
      <c r="M1057" s="13" t="s">
        <v>44</v>
      </c>
      <c r="N1057" s="13" t="s">
        <v>36</v>
      </c>
      <c r="P1057" s="11" t="n">
        <v>167</v>
      </c>
      <c r="Q1057" s="13" t="s">
        <v>101</v>
      </c>
      <c r="R1057" s="13" t="s">
        <v>46</v>
      </c>
      <c r="S1057" s="11" t="n">
        <v>1130101</v>
      </c>
      <c r="T1057" s="13" t="s">
        <v>47</v>
      </c>
      <c r="U1057" s="14" t="n">
        <v>540</v>
      </c>
      <c r="W1057" s="14" t="n">
        <v>0</v>
      </c>
      <c r="X1057" s="13" t="s">
        <v>1119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1" t="n">
        <v>3</v>
      </c>
      <c r="B1058" s="12" t="n">
        <v>46217</v>
      </c>
      <c r="C1058" s="12" t="n">
        <v>46220</v>
      </c>
      <c r="D1058" s="11" t="n">
        <v>1615</v>
      </c>
      <c r="E1058" s="13" t="s">
        <v>130</v>
      </c>
      <c r="F1058" s="11" t="n">
        <v>34</v>
      </c>
      <c r="G1058" s="13" t="s">
        <v>33</v>
      </c>
      <c r="H1058" s="11" t="n">
        <v>2110405</v>
      </c>
      <c r="I1058" s="13" t="s">
        <v>34</v>
      </c>
      <c r="J1058" s="11" t="n">
        <v>1397751</v>
      </c>
      <c r="L1058" s="11" t="n">
        <v>218003</v>
      </c>
      <c r="M1058" s="13" t="s">
        <v>44</v>
      </c>
      <c r="N1058" s="13" t="s">
        <v>36</v>
      </c>
      <c r="P1058" s="11" t="n">
        <v>167</v>
      </c>
      <c r="Q1058" s="13" t="s">
        <v>101</v>
      </c>
      <c r="R1058" s="13" t="s">
        <v>46</v>
      </c>
      <c r="S1058" s="11" t="n">
        <v>1130101</v>
      </c>
      <c r="T1058" s="13" t="s">
        <v>47</v>
      </c>
      <c r="U1058" s="14" t="n">
        <v>140</v>
      </c>
      <c r="W1058" s="14" t="n">
        <v>0</v>
      </c>
      <c r="X1058" s="13" t="s">
        <v>1120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46195</v>
      </c>
      <c r="C1059" s="12" t="n">
        <v>46220</v>
      </c>
      <c r="D1059" s="11" t="n">
        <v>1608</v>
      </c>
      <c r="E1059" s="13" t="s">
        <v>41</v>
      </c>
      <c r="F1059" s="11" t="n">
        <v>24</v>
      </c>
      <c r="G1059" s="13" t="s">
        <v>42</v>
      </c>
      <c r="H1059" s="11" t="n">
        <v>2110405</v>
      </c>
      <c r="I1059" s="13" t="s">
        <v>34</v>
      </c>
      <c r="J1059" s="11" t="n">
        <v>1398219</v>
      </c>
      <c r="L1059" s="11" t="n">
        <v>16785391</v>
      </c>
      <c r="M1059" s="13" t="s">
        <v>44</v>
      </c>
      <c r="N1059" s="13" t="s">
        <v>36</v>
      </c>
      <c r="P1059" s="11" t="n">
        <v>167</v>
      </c>
      <c r="Q1059" s="13" t="s">
        <v>101</v>
      </c>
      <c r="R1059" s="13" t="s">
        <v>46</v>
      </c>
      <c r="S1059" s="11" t="n">
        <v>1130101</v>
      </c>
      <c r="T1059" s="13" t="s">
        <v>47</v>
      </c>
      <c r="U1059" s="14" t="n">
        <v>654.97</v>
      </c>
      <c r="W1059" s="14" t="n">
        <v>0</v>
      </c>
      <c r="X1059" s="13" t="s">
        <v>1121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1" t="n">
        <v>3</v>
      </c>
      <c r="B1060" s="12" t="n">
        <v>46195</v>
      </c>
      <c r="C1060" s="12" t="n">
        <v>46220</v>
      </c>
      <c r="D1060" s="11" t="n">
        <v>1608</v>
      </c>
      <c r="E1060" s="13" t="s">
        <v>41</v>
      </c>
      <c r="F1060" s="11" t="n">
        <v>24</v>
      </c>
      <c r="G1060" s="13" t="s">
        <v>42</v>
      </c>
      <c r="H1060" s="11" t="n">
        <v>2110405</v>
      </c>
      <c r="I1060" s="13" t="s">
        <v>34</v>
      </c>
      <c r="J1060" s="11" t="n">
        <v>1398245</v>
      </c>
      <c r="L1060" s="11" t="n">
        <v>16785392</v>
      </c>
      <c r="M1060" s="13" t="s">
        <v>44</v>
      </c>
      <c r="N1060" s="13" t="s">
        <v>36</v>
      </c>
      <c r="P1060" s="11" t="n">
        <v>167</v>
      </c>
      <c r="Q1060" s="13" t="s">
        <v>101</v>
      </c>
      <c r="R1060" s="13" t="s">
        <v>46</v>
      </c>
      <c r="S1060" s="11" t="n">
        <v>1130101</v>
      </c>
      <c r="T1060" s="13" t="s">
        <v>47</v>
      </c>
      <c r="U1060" s="14" t="n">
        <v>654.96</v>
      </c>
      <c r="W1060" s="14" t="n">
        <v>0</v>
      </c>
      <c r="X1060" s="13" t="s">
        <v>1122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1" t="n">
        <v>3</v>
      </c>
      <c r="B1061" s="12" t="n">
        <v>46219</v>
      </c>
      <c r="C1061" s="12" t="n">
        <v>46220</v>
      </c>
      <c r="D1061" s="11" t="n">
        <v>42</v>
      </c>
      <c r="E1061" s="13" t="s">
        <v>80</v>
      </c>
      <c r="F1061" s="11" t="n">
        <v>13</v>
      </c>
      <c r="G1061" s="13" t="s">
        <v>81</v>
      </c>
      <c r="H1061" s="11" t="n">
        <v>2110101</v>
      </c>
      <c r="I1061" s="13" t="s">
        <v>43</v>
      </c>
      <c r="J1061" s="11" t="n">
        <v>1406334</v>
      </c>
      <c r="L1061" s="11" t="n">
        <v>4387</v>
      </c>
      <c r="M1061" s="13" t="s">
        <v>44</v>
      </c>
      <c r="N1061" s="13" t="s">
        <v>69</v>
      </c>
      <c r="P1061" s="11" t="n">
        <v>167</v>
      </c>
      <c r="Q1061" s="13" t="s">
        <v>101</v>
      </c>
      <c r="R1061" s="13" t="s">
        <v>46</v>
      </c>
      <c r="S1061" s="11" t="n">
        <v>1130101</v>
      </c>
      <c r="T1061" s="13" t="s">
        <v>47</v>
      </c>
      <c r="U1061" s="14" t="n">
        <v>240</v>
      </c>
      <c r="W1061" s="14" t="n">
        <v>240</v>
      </c>
      <c r="X1061" s="13" t="s">
        <v>1123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1" t="n">
        <v>3</v>
      </c>
      <c r="B1062" s="12" t="n">
        <v>46220</v>
      </c>
      <c r="C1062" s="12" t="n">
        <v>46220</v>
      </c>
      <c r="D1062" s="11" t="n">
        <v>42</v>
      </c>
      <c r="E1062" s="13" t="s">
        <v>80</v>
      </c>
      <c r="F1062" s="11" t="n">
        <v>13</v>
      </c>
      <c r="G1062" s="13" t="s">
        <v>81</v>
      </c>
      <c r="H1062" s="11" t="n">
        <v>2110101</v>
      </c>
      <c r="I1062" s="13" t="s">
        <v>43</v>
      </c>
      <c r="J1062" s="11" t="n">
        <v>1410416</v>
      </c>
      <c r="L1062" s="11" t="n">
        <v>4390</v>
      </c>
      <c r="M1062" s="13" t="s">
        <v>44</v>
      </c>
      <c r="N1062" s="13" t="s">
        <v>69</v>
      </c>
      <c r="P1062" s="11" t="n">
        <v>167</v>
      </c>
      <c r="Q1062" s="13" t="s">
        <v>101</v>
      </c>
      <c r="R1062" s="13" t="s">
        <v>46</v>
      </c>
      <c r="S1062" s="11" t="n">
        <v>1130101</v>
      </c>
      <c r="T1062" s="13" t="s">
        <v>47</v>
      </c>
      <c r="U1062" s="14" t="n">
        <v>140</v>
      </c>
      <c r="W1062" s="14" t="n">
        <v>140</v>
      </c>
      <c r="X1062" s="13" t="s">
        <v>1124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46220</v>
      </c>
      <c r="C1063" s="12" t="n">
        <v>46220</v>
      </c>
      <c r="D1063" s="11" t="n">
        <v>10047</v>
      </c>
      <c r="E1063" s="13" t="s">
        <v>84</v>
      </c>
      <c r="F1063" s="11" t="n">
        <v>24</v>
      </c>
      <c r="G1063" s="13" t="s">
        <v>42</v>
      </c>
      <c r="H1063" s="11" t="n">
        <v>2110405</v>
      </c>
      <c r="I1063" s="13" t="s">
        <v>34</v>
      </c>
      <c r="J1063" s="11" t="n">
        <v>1411668</v>
      </c>
      <c r="L1063" s="11" t="n">
        <v>220016</v>
      </c>
      <c r="M1063" s="13" t="s">
        <v>44</v>
      </c>
      <c r="N1063" s="13" t="s">
        <v>36</v>
      </c>
      <c r="P1063" s="11" t="n">
        <v>101</v>
      </c>
      <c r="Q1063" s="13" t="s">
        <v>37</v>
      </c>
      <c r="R1063" s="13" t="s">
        <v>46</v>
      </c>
      <c r="S1063" s="11" t="n">
        <v>1130101</v>
      </c>
      <c r="T1063" s="13" t="s">
        <v>47</v>
      </c>
      <c r="U1063" s="14" t="n">
        <v>419.47</v>
      </c>
      <c r="W1063" s="14" t="n">
        <v>0</v>
      </c>
      <c r="X1063" s="13" t="s">
        <v>1125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46220</v>
      </c>
      <c r="C1064" s="12" t="n">
        <v>46220</v>
      </c>
      <c r="D1064" s="11" t="n">
        <v>10047</v>
      </c>
      <c r="E1064" s="13" t="s">
        <v>84</v>
      </c>
      <c r="F1064" s="11" t="n">
        <v>24</v>
      </c>
      <c r="G1064" s="13" t="s">
        <v>42</v>
      </c>
      <c r="H1064" s="11" t="n">
        <v>2110405</v>
      </c>
      <c r="I1064" s="13" t="s">
        <v>34</v>
      </c>
      <c r="J1064" s="11" t="n">
        <v>1411920</v>
      </c>
      <c r="L1064" s="11" t="n">
        <v>220043</v>
      </c>
      <c r="M1064" s="13" t="s">
        <v>44</v>
      </c>
      <c r="N1064" s="13" t="s">
        <v>36</v>
      </c>
      <c r="P1064" s="11" t="n">
        <v>101</v>
      </c>
      <c r="Q1064" s="13" t="s">
        <v>37</v>
      </c>
      <c r="R1064" s="13" t="s">
        <v>46</v>
      </c>
      <c r="S1064" s="11" t="n">
        <v>1130101</v>
      </c>
      <c r="T1064" s="13" t="s">
        <v>47</v>
      </c>
      <c r="U1064" s="14" t="n">
        <v>140.92</v>
      </c>
      <c r="W1064" s="14" t="n">
        <v>0</v>
      </c>
      <c r="X1064" s="13" t="s">
        <v>1126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46220</v>
      </c>
      <c r="C1065" s="12" t="n">
        <v>46220</v>
      </c>
      <c r="D1065" s="11" t="n">
        <v>10047</v>
      </c>
      <c r="E1065" s="13" t="s">
        <v>84</v>
      </c>
      <c r="F1065" s="11" t="n">
        <v>24</v>
      </c>
      <c r="G1065" s="13" t="s">
        <v>42</v>
      </c>
      <c r="H1065" s="11" t="n">
        <v>2110405</v>
      </c>
      <c r="I1065" s="13" t="s">
        <v>34</v>
      </c>
      <c r="J1065" s="11" t="n">
        <v>1411937</v>
      </c>
      <c r="L1065" s="11" t="n">
        <v>220046</v>
      </c>
      <c r="M1065" s="13" t="s">
        <v>44</v>
      </c>
      <c r="N1065" s="13" t="s">
        <v>36</v>
      </c>
      <c r="P1065" s="11" t="n">
        <v>101</v>
      </c>
      <c r="Q1065" s="13" t="s">
        <v>37</v>
      </c>
      <c r="R1065" s="13" t="s">
        <v>46</v>
      </c>
      <c r="S1065" s="11" t="n">
        <v>1130101</v>
      </c>
      <c r="T1065" s="13" t="s">
        <v>47</v>
      </c>
      <c r="U1065" s="14" t="n">
        <v>345.2</v>
      </c>
      <c r="W1065" s="14" t="n">
        <v>0</v>
      </c>
      <c r="X1065" s="13" t="s">
        <v>1127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46220</v>
      </c>
      <c r="C1066" s="12" t="n">
        <v>46220</v>
      </c>
      <c r="D1066" s="11" t="n">
        <v>10035</v>
      </c>
      <c r="E1066" s="13" t="s">
        <v>227</v>
      </c>
      <c r="F1066" s="11" t="n">
        <v>13</v>
      </c>
      <c r="G1066" s="13" t="s">
        <v>81</v>
      </c>
      <c r="H1066" s="11" t="n">
        <v>2110101</v>
      </c>
      <c r="I1066" s="13" t="s">
        <v>43</v>
      </c>
      <c r="J1066" s="11" t="n">
        <v>1424243</v>
      </c>
      <c r="L1066" s="11" t="n">
        <v>362</v>
      </c>
      <c r="M1066" s="13" t="s">
        <v>44</v>
      </c>
      <c r="N1066" s="13" t="s">
        <v>69</v>
      </c>
      <c r="P1066" s="11" t="n">
        <v>167</v>
      </c>
      <c r="Q1066" s="13" t="s">
        <v>101</v>
      </c>
      <c r="R1066" s="13" t="s">
        <v>46</v>
      </c>
      <c r="S1066" s="11" t="n">
        <v>1130101</v>
      </c>
      <c r="T1066" s="13" t="s">
        <v>47</v>
      </c>
      <c r="U1066" s="14" t="n">
        <v>504</v>
      </c>
      <c r="W1066" s="14" t="n">
        <v>504</v>
      </c>
      <c r="X1066" s="13" t="s">
        <v>1128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46220</v>
      </c>
      <c r="C1067" s="12" t="n">
        <v>46220</v>
      </c>
      <c r="D1067" s="11" t="n">
        <v>515</v>
      </c>
      <c r="E1067" s="13" t="s">
        <v>105</v>
      </c>
      <c r="F1067" s="11" t="n">
        <v>34</v>
      </c>
      <c r="G1067" s="13" t="s">
        <v>33</v>
      </c>
      <c r="H1067" s="11" t="n">
        <v>2110405</v>
      </c>
      <c r="I1067" s="13" t="s">
        <v>34</v>
      </c>
      <c r="J1067" s="11" t="n">
        <v>1435403</v>
      </c>
      <c r="L1067" s="11" t="n">
        <v>223628</v>
      </c>
      <c r="M1067" s="13" t="s">
        <v>44</v>
      </c>
      <c r="N1067" s="13" t="s">
        <v>36</v>
      </c>
      <c r="P1067" s="11" t="n">
        <v>102</v>
      </c>
      <c r="Q1067" s="13" t="s">
        <v>186</v>
      </c>
      <c r="R1067" s="13" t="s">
        <v>1129</v>
      </c>
      <c r="S1067" s="11" t="n">
        <v>22103</v>
      </c>
      <c r="T1067" s="13" t="s">
        <v>1129</v>
      </c>
      <c r="U1067" s="14" t="n">
        <v>23900</v>
      </c>
      <c r="W1067" s="14" t="n">
        <v>0</v>
      </c>
      <c r="X1067" s="13" t="s">
        <v>1130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46220</v>
      </c>
      <c r="C1068" s="12" t="n">
        <v>46220</v>
      </c>
      <c r="D1068" s="11" t="n">
        <v>515</v>
      </c>
      <c r="E1068" s="13" t="s">
        <v>105</v>
      </c>
      <c r="F1068" s="11" t="n">
        <v>34</v>
      </c>
      <c r="G1068" s="13" t="s">
        <v>33</v>
      </c>
      <c r="H1068" s="11" t="n">
        <v>2110405</v>
      </c>
      <c r="I1068" s="13" t="s">
        <v>34</v>
      </c>
      <c r="J1068" s="11" t="n">
        <v>1435757</v>
      </c>
      <c r="L1068" s="11" t="n">
        <v>223660</v>
      </c>
      <c r="M1068" s="13" t="s">
        <v>44</v>
      </c>
      <c r="N1068" s="13" t="s">
        <v>36</v>
      </c>
      <c r="P1068" s="11" t="n">
        <v>102</v>
      </c>
      <c r="Q1068" s="13" t="s">
        <v>186</v>
      </c>
      <c r="R1068" s="13" t="s">
        <v>85</v>
      </c>
      <c r="S1068" s="11" t="n">
        <v>4210502</v>
      </c>
      <c r="T1068" s="13" t="s">
        <v>187</v>
      </c>
      <c r="U1068" s="14" t="n">
        <v>3364.46</v>
      </c>
      <c r="W1068" s="14" t="n">
        <v>0</v>
      </c>
      <c r="X1068" s="13" t="s">
        <v>1131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46220</v>
      </c>
      <c r="C1069" s="12" t="n">
        <v>46220</v>
      </c>
      <c r="D1069" s="11" t="n">
        <v>515</v>
      </c>
      <c r="E1069" s="13" t="s">
        <v>105</v>
      </c>
      <c r="F1069" s="11" t="n">
        <v>2</v>
      </c>
      <c r="G1069" s="13" t="s">
        <v>482</v>
      </c>
      <c r="H1069" s="11" t="n">
        <v>3110102</v>
      </c>
      <c r="I1069" s="13" t="s">
        <v>1132</v>
      </c>
      <c r="J1069" s="11" t="n">
        <v>1448141</v>
      </c>
      <c r="L1069" s="11" t="n">
        <v>225395</v>
      </c>
      <c r="M1069" s="13" t="s">
        <v>44</v>
      </c>
      <c r="N1069" s="13" t="s">
        <v>36</v>
      </c>
      <c r="P1069" s="11" t="n">
        <v>102</v>
      </c>
      <c r="Q1069" s="13" t="s">
        <v>186</v>
      </c>
      <c r="R1069" s="13" t="s">
        <v>38</v>
      </c>
      <c r="S1069" s="11" t="n">
        <v>4210227</v>
      </c>
      <c r="T1069" s="13" t="s">
        <v>196</v>
      </c>
      <c r="U1069" s="14" t="n">
        <v>142.04</v>
      </c>
      <c r="W1069" s="14" t="n">
        <v>0</v>
      </c>
      <c r="X1069" s="13" t="s">
        <v>1133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46220</v>
      </c>
      <c r="C1070" s="12" t="n">
        <v>46220</v>
      </c>
      <c r="D1070" s="11" t="n">
        <v>515</v>
      </c>
      <c r="E1070" s="13" t="s">
        <v>105</v>
      </c>
      <c r="F1070" s="11" t="n">
        <v>2</v>
      </c>
      <c r="G1070" s="13" t="s">
        <v>482</v>
      </c>
      <c r="H1070" s="11" t="n">
        <v>2110405</v>
      </c>
      <c r="I1070" s="13" t="s">
        <v>34</v>
      </c>
      <c r="J1070" s="11" t="n">
        <v>1448169</v>
      </c>
      <c r="L1070" s="11" t="n">
        <v>225397</v>
      </c>
      <c r="M1070" s="13" t="s">
        <v>44</v>
      </c>
      <c r="N1070" s="13" t="s">
        <v>36</v>
      </c>
      <c r="P1070" s="11" t="n">
        <v>102</v>
      </c>
      <c r="Q1070" s="13" t="s">
        <v>186</v>
      </c>
      <c r="R1070" s="13" t="s">
        <v>656</v>
      </c>
      <c r="S1070" s="11" t="n">
        <v>1140104</v>
      </c>
      <c r="T1070" s="13" t="s">
        <v>1134</v>
      </c>
      <c r="U1070" s="14" t="n">
        <v>18.75</v>
      </c>
      <c r="W1070" s="14" t="n">
        <v>0</v>
      </c>
      <c r="X1070" s="13" t="s">
        <v>1135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45950</v>
      </c>
      <c r="C1071" s="12" t="n">
        <v>46221</v>
      </c>
      <c r="D1071" s="11" t="n">
        <v>515</v>
      </c>
      <c r="E1071" s="13" t="s">
        <v>105</v>
      </c>
      <c r="F1071" s="11" t="n">
        <v>34</v>
      </c>
      <c r="G1071" s="13" t="s">
        <v>33</v>
      </c>
      <c r="H1071" s="11" t="n">
        <v>2110405</v>
      </c>
      <c r="I1071" s="13" t="s">
        <v>34</v>
      </c>
      <c r="J1071" s="11" t="n">
        <v>546000</v>
      </c>
      <c r="L1071" s="11" t="n">
        <v>85577</v>
      </c>
      <c r="M1071" s="13" t="s">
        <v>1136</v>
      </c>
      <c r="N1071" s="13" t="s">
        <v>36</v>
      </c>
      <c r="P1071" s="11" t="n">
        <v>101</v>
      </c>
      <c r="Q1071" s="13" t="s">
        <v>37</v>
      </c>
      <c r="R1071" s="13" t="s">
        <v>38</v>
      </c>
      <c r="S1071" s="11" t="n">
        <v>4210210</v>
      </c>
      <c r="T1071" s="13" t="s">
        <v>39</v>
      </c>
      <c r="U1071" s="14" t="n">
        <v>45.73</v>
      </c>
      <c r="W1071" s="14" t="n">
        <v>0</v>
      </c>
      <c r="X1071" s="13" t="s">
        <v>1137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46009</v>
      </c>
      <c r="C1072" s="12" t="n">
        <v>46221</v>
      </c>
      <c r="D1072" s="11" t="n">
        <v>515</v>
      </c>
      <c r="E1072" s="13" t="s">
        <v>105</v>
      </c>
      <c r="F1072" s="11" t="n">
        <v>34</v>
      </c>
      <c r="G1072" s="13" t="s">
        <v>33</v>
      </c>
      <c r="H1072" s="11" t="n">
        <v>2110405</v>
      </c>
      <c r="I1072" s="13" t="s">
        <v>34</v>
      </c>
      <c r="J1072" s="11" t="n">
        <v>818253</v>
      </c>
      <c r="L1072" s="11" t="n">
        <v>129421</v>
      </c>
      <c r="M1072" s="13" t="s">
        <v>525</v>
      </c>
      <c r="N1072" s="13" t="s">
        <v>36</v>
      </c>
      <c r="P1072" s="11" t="n">
        <v>102</v>
      </c>
      <c r="Q1072" s="13" t="s">
        <v>186</v>
      </c>
      <c r="R1072" s="13" t="s">
        <v>139</v>
      </c>
      <c r="S1072" s="11" t="n">
        <v>2110901</v>
      </c>
      <c r="T1072" s="13" t="s">
        <v>140</v>
      </c>
      <c r="U1072" s="14" t="n">
        <v>2090.82</v>
      </c>
      <c r="W1072" s="14" t="n">
        <v>0</v>
      </c>
      <c r="X1072" s="13" t="s">
        <v>1138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46195</v>
      </c>
      <c r="C1073" s="12" t="n">
        <v>46221</v>
      </c>
      <c r="D1073" s="11" t="n">
        <v>1671</v>
      </c>
      <c r="E1073" s="13" t="s">
        <v>57</v>
      </c>
      <c r="F1073" s="11" t="n">
        <v>24</v>
      </c>
      <c r="G1073" s="13" t="s">
        <v>42</v>
      </c>
      <c r="H1073" s="11" t="n">
        <v>2110101</v>
      </c>
      <c r="I1073" s="13" t="s">
        <v>43</v>
      </c>
      <c r="J1073" s="11" t="n">
        <v>1335143</v>
      </c>
      <c r="L1073" s="11" t="n">
        <v>5766071</v>
      </c>
      <c r="M1073" s="13" t="s">
        <v>44</v>
      </c>
      <c r="N1073" s="13" t="s">
        <v>36</v>
      </c>
      <c r="P1073" s="11" t="n">
        <v>167</v>
      </c>
      <c r="Q1073" s="13" t="s">
        <v>101</v>
      </c>
      <c r="R1073" s="13" t="s">
        <v>46</v>
      </c>
      <c r="S1073" s="11" t="n">
        <v>1130101</v>
      </c>
      <c r="T1073" s="13" t="s">
        <v>47</v>
      </c>
      <c r="U1073" s="14" t="n">
        <v>343.38</v>
      </c>
      <c r="W1073" s="14" t="n">
        <v>0</v>
      </c>
      <c r="X1073" s="13" t="s">
        <v>1139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1" t="n">
        <v>3</v>
      </c>
      <c r="B1074" s="12" t="n">
        <v>46206</v>
      </c>
      <c r="C1074" s="12" t="n">
        <v>46221</v>
      </c>
      <c r="D1074" s="11" t="n">
        <v>33</v>
      </c>
      <c r="E1074" s="13" t="s">
        <v>71</v>
      </c>
      <c r="F1074" s="11" t="n">
        <v>34</v>
      </c>
      <c r="G1074" s="13" t="s">
        <v>33</v>
      </c>
      <c r="H1074" s="11" t="n">
        <v>2110405</v>
      </c>
      <c r="I1074" s="13" t="s">
        <v>34</v>
      </c>
      <c r="J1074" s="11" t="n">
        <v>1345342</v>
      </c>
      <c r="L1074" s="11" t="n">
        <v>210000</v>
      </c>
      <c r="M1074" s="13" t="s">
        <v>44</v>
      </c>
      <c r="N1074" s="13" t="s">
        <v>36</v>
      </c>
      <c r="P1074" s="11" t="n">
        <v>101</v>
      </c>
      <c r="Q1074" s="13" t="s">
        <v>37</v>
      </c>
      <c r="R1074" s="13" t="s">
        <v>38</v>
      </c>
      <c r="S1074" s="11" t="n">
        <v>4210203</v>
      </c>
      <c r="T1074" s="13" t="s">
        <v>817</v>
      </c>
      <c r="U1074" s="14" t="n">
        <v>405.24</v>
      </c>
      <c r="W1074" s="14" t="n">
        <v>0</v>
      </c>
      <c r="X1074" s="13" t="s">
        <v>1140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46211</v>
      </c>
      <c r="C1075" s="12" t="n">
        <v>46221</v>
      </c>
      <c r="D1075" s="11" t="n">
        <v>1672</v>
      </c>
      <c r="E1075" s="13" t="s">
        <v>67</v>
      </c>
      <c r="F1075" s="11" t="n">
        <v>24</v>
      </c>
      <c r="G1075" s="13" t="s">
        <v>42</v>
      </c>
      <c r="H1075" s="11" t="n">
        <v>2110101</v>
      </c>
      <c r="I1075" s="13" t="s">
        <v>43</v>
      </c>
      <c r="J1075" s="11" t="n">
        <v>1369286</v>
      </c>
      <c r="L1075" s="11" t="n">
        <v>1388539</v>
      </c>
      <c r="M1075" s="13" t="s">
        <v>44</v>
      </c>
      <c r="N1075" s="13" t="s">
        <v>69</v>
      </c>
      <c r="P1075" s="11" t="n">
        <v>167</v>
      </c>
      <c r="Q1075" s="13" t="s">
        <v>101</v>
      </c>
      <c r="R1075" s="13" t="s">
        <v>46</v>
      </c>
      <c r="S1075" s="11" t="n">
        <v>1130101</v>
      </c>
      <c r="T1075" s="13" t="s">
        <v>47</v>
      </c>
      <c r="U1075" s="14" t="n">
        <v>887.5</v>
      </c>
      <c r="W1075" s="14" t="n">
        <v>0</v>
      </c>
      <c r="X1075" s="13" t="s">
        <v>1141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1" t="n">
        <v>3</v>
      </c>
      <c r="B1076" s="12" t="n">
        <v>46211</v>
      </c>
      <c r="C1076" s="12" t="n">
        <v>46221</v>
      </c>
      <c r="D1076" s="11" t="n">
        <v>1723</v>
      </c>
      <c r="E1076" s="13" t="s">
        <v>76</v>
      </c>
      <c r="F1076" s="11" t="n">
        <v>24</v>
      </c>
      <c r="G1076" s="13" t="s">
        <v>42</v>
      </c>
      <c r="H1076" s="11" t="n">
        <v>2110101</v>
      </c>
      <c r="I1076" s="13" t="s">
        <v>43</v>
      </c>
      <c r="J1076" s="11" t="n">
        <v>1374615</v>
      </c>
      <c r="L1076" s="11" t="n">
        <v>55834</v>
      </c>
      <c r="M1076" s="13" t="s">
        <v>44</v>
      </c>
      <c r="N1076" s="13" t="s">
        <v>36</v>
      </c>
      <c r="P1076" s="11" t="n">
        <v>167</v>
      </c>
      <c r="Q1076" s="13" t="s">
        <v>101</v>
      </c>
      <c r="R1076" s="13" t="s">
        <v>46</v>
      </c>
      <c r="S1076" s="11" t="n">
        <v>1130101</v>
      </c>
      <c r="T1076" s="13" t="s">
        <v>47</v>
      </c>
      <c r="U1076" s="14" t="n">
        <v>5267.2</v>
      </c>
      <c r="W1076" s="14" t="n">
        <v>0</v>
      </c>
      <c r="X1076" s="13" t="s">
        <v>1142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1" t="n">
        <v>3</v>
      </c>
      <c r="B1077" s="12" t="n">
        <v>46221</v>
      </c>
      <c r="C1077" s="12" t="n">
        <v>46221</v>
      </c>
      <c r="D1077" s="11" t="n">
        <v>42</v>
      </c>
      <c r="E1077" s="13" t="s">
        <v>80</v>
      </c>
      <c r="F1077" s="11" t="n">
        <v>13</v>
      </c>
      <c r="G1077" s="13" t="s">
        <v>81</v>
      </c>
      <c r="H1077" s="11" t="n">
        <v>2110101</v>
      </c>
      <c r="I1077" s="13" t="s">
        <v>43</v>
      </c>
      <c r="J1077" s="11" t="n">
        <v>1414511</v>
      </c>
      <c r="L1077" s="11" t="n">
        <v>4392</v>
      </c>
      <c r="M1077" s="13" t="s">
        <v>44</v>
      </c>
      <c r="N1077" s="13" t="s">
        <v>69</v>
      </c>
      <c r="P1077" s="11" t="n">
        <v>167</v>
      </c>
      <c r="Q1077" s="13" t="s">
        <v>101</v>
      </c>
      <c r="R1077" s="13" t="s">
        <v>46</v>
      </c>
      <c r="S1077" s="11" t="n">
        <v>1130101</v>
      </c>
      <c r="T1077" s="13" t="s">
        <v>47</v>
      </c>
      <c r="U1077" s="14" t="n">
        <v>120</v>
      </c>
      <c r="W1077" s="14" t="n">
        <v>120</v>
      </c>
      <c r="X1077" s="13" t="s">
        <v>1143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46221</v>
      </c>
      <c r="C1078" s="12" t="n">
        <v>46221</v>
      </c>
      <c r="D1078" s="11" t="n">
        <v>42</v>
      </c>
      <c r="E1078" s="13" t="s">
        <v>80</v>
      </c>
      <c r="F1078" s="11" t="n">
        <v>13</v>
      </c>
      <c r="G1078" s="13" t="s">
        <v>81</v>
      </c>
      <c r="H1078" s="11" t="n">
        <v>2110101</v>
      </c>
      <c r="I1078" s="13" t="s">
        <v>43</v>
      </c>
      <c r="J1078" s="11" t="n">
        <v>1414758</v>
      </c>
      <c r="L1078" s="11" t="n">
        <v>4397</v>
      </c>
      <c r="M1078" s="13" t="s">
        <v>44</v>
      </c>
      <c r="N1078" s="13" t="s">
        <v>69</v>
      </c>
      <c r="P1078" s="11" t="n">
        <v>167</v>
      </c>
      <c r="Q1078" s="13" t="s">
        <v>101</v>
      </c>
      <c r="R1078" s="13" t="s">
        <v>46</v>
      </c>
      <c r="S1078" s="11" t="n">
        <v>1130101</v>
      </c>
      <c r="T1078" s="13" t="s">
        <v>47</v>
      </c>
      <c r="U1078" s="14" t="n">
        <v>330</v>
      </c>
      <c r="W1078" s="14" t="n">
        <v>330</v>
      </c>
      <c r="X1078" s="13" t="s">
        <v>1144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46221</v>
      </c>
      <c r="C1079" s="12" t="n">
        <v>46221</v>
      </c>
      <c r="D1079" s="11" t="n">
        <v>10035</v>
      </c>
      <c r="E1079" s="13" t="s">
        <v>227</v>
      </c>
      <c r="F1079" s="11" t="n">
        <v>13</v>
      </c>
      <c r="G1079" s="13" t="s">
        <v>81</v>
      </c>
      <c r="H1079" s="11" t="n">
        <v>2110101</v>
      </c>
      <c r="I1079" s="13" t="s">
        <v>43</v>
      </c>
      <c r="J1079" s="11" t="n">
        <v>1423876</v>
      </c>
      <c r="L1079" s="11" t="n">
        <v>368</v>
      </c>
      <c r="M1079" s="13" t="s">
        <v>44</v>
      </c>
      <c r="N1079" s="13" t="s">
        <v>69</v>
      </c>
      <c r="P1079" s="11" t="n">
        <v>167</v>
      </c>
      <c r="Q1079" s="13" t="s">
        <v>101</v>
      </c>
      <c r="R1079" s="13" t="s">
        <v>46</v>
      </c>
      <c r="S1079" s="11" t="n">
        <v>1130101</v>
      </c>
      <c r="T1079" s="13" t="s">
        <v>47</v>
      </c>
      <c r="U1079" s="14" t="n">
        <v>200</v>
      </c>
      <c r="W1079" s="14" t="n">
        <v>200</v>
      </c>
      <c r="X1079" s="13" t="s">
        <v>1128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46204</v>
      </c>
      <c r="C1080" s="12" t="n">
        <v>46222</v>
      </c>
      <c r="D1080" s="11" t="n">
        <v>1613</v>
      </c>
      <c r="E1080" s="13" t="s">
        <v>177</v>
      </c>
      <c r="F1080" s="11" t="n">
        <v>24</v>
      </c>
      <c r="G1080" s="13" t="s">
        <v>42</v>
      </c>
      <c r="H1080" s="11" t="n">
        <v>2110101</v>
      </c>
      <c r="I1080" s="13" t="s">
        <v>43</v>
      </c>
      <c r="J1080" s="11" t="n">
        <v>1335291</v>
      </c>
      <c r="L1080" s="11" t="n">
        <v>16023161</v>
      </c>
      <c r="M1080" s="13" t="s">
        <v>44</v>
      </c>
      <c r="N1080" s="13" t="s">
        <v>36</v>
      </c>
      <c r="P1080" s="11" t="n">
        <v>167</v>
      </c>
      <c r="Q1080" s="13" t="s">
        <v>101</v>
      </c>
      <c r="R1080" s="13" t="s">
        <v>46</v>
      </c>
      <c r="S1080" s="11" t="n">
        <v>1130101</v>
      </c>
      <c r="T1080" s="13" t="s">
        <v>47</v>
      </c>
      <c r="U1080" s="14" t="n">
        <v>1399.24</v>
      </c>
      <c r="W1080" s="14" t="n">
        <v>0</v>
      </c>
      <c r="X1080" s="13" t="s">
        <v>1145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FRANGO A PASSARINHO </v>
      </c>
      <c r="AC1080" s="1" t="n">
        <v>1602316</v>
      </c>
    </row>
    <row r="1081" customFormat="false" ht="12.75" hidden="false" customHeight="true" outlineLevel="0" collapsed="false">
      <c r="A1081" s="11" t="n">
        <v>3</v>
      </c>
      <c r="B1081" s="12" t="n">
        <v>46212</v>
      </c>
      <c r="C1081" s="12" t="n">
        <v>46222</v>
      </c>
      <c r="D1081" s="11" t="n">
        <v>1723</v>
      </c>
      <c r="E1081" s="13" t="s">
        <v>76</v>
      </c>
      <c r="F1081" s="11" t="n">
        <v>24</v>
      </c>
      <c r="G1081" s="13" t="s">
        <v>42</v>
      </c>
      <c r="H1081" s="11" t="n">
        <v>2110405</v>
      </c>
      <c r="I1081" s="13" t="s">
        <v>34</v>
      </c>
      <c r="J1081" s="11" t="n">
        <v>1392569</v>
      </c>
      <c r="L1081" s="11" t="n">
        <v>55983</v>
      </c>
      <c r="M1081" s="13" t="s">
        <v>44</v>
      </c>
      <c r="N1081" s="13" t="s">
        <v>36</v>
      </c>
      <c r="P1081" s="11" t="n">
        <v>167</v>
      </c>
      <c r="Q1081" s="13" t="s">
        <v>101</v>
      </c>
      <c r="R1081" s="13" t="s">
        <v>46</v>
      </c>
      <c r="S1081" s="11" t="n">
        <v>1130101</v>
      </c>
      <c r="T1081" s="13" t="s">
        <v>47</v>
      </c>
      <c r="U1081" s="14" t="n">
        <v>2442</v>
      </c>
      <c r="W1081" s="14" t="n">
        <v>0</v>
      </c>
      <c r="X1081" s="13" t="s">
        <v>1146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1" t="n">
        <v>3</v>
      </c>
      <c r="B1082" s="12" t="n">
        <v>46011</v>
      </c>
      <c r="C1082" s="12" t="n">
        <v>46223</v>
      </c>
      <c r="D1082" s="11" t="n">
        <v>514</v>
      </c>
      <c r="E1082" s="13" t="s">
        <v>32</v>
      </c>
      <c r="F1082" s="11" t="n">
        <v>34</v>
      </c>
      <c r="G1082" s="13" t="s">
        <v>33</v>
      </c>
      <c r="H1082" s="11" t="n">
        <v>2110405</v>
      </c>
      <c r="I1082" s="13" t="s">
        <v>34</v>
      </c>
      <c r="J1082" s="11" t="n">
        <v>695960</v>
      </c>
      <c r="L1082" s="11" t="n">
        <v>3</v>
      </c>
      <c r="M1082" s="13" t="s">
        <v>1147</v>
      </c>
      <c r="N1082" s="13" t="s">
        <v>36</v>
      </c>
      <c r="P1082" s="11" t="n">
        <v>101</v>
      </c>
      <c r="Q1082" s="13" t="s">
        <v>37</v>
      </c>
      <c r="R1082" s="13" t="s">
        <v>38</v>
      </c>
      <c r="S1082" s="11" t="n">
        <v>4210210</v>
      </c>
      <c r="T1082" s="13" t="s">
        <v>39</v>
      </c>
      <c r="U1082" s="14" t="n">
        <v>807.37</v>
      </c>
      <c r="W1082" s="14" t="n">
        <v>0</v>
      </c>
      <c r="X1082" s="13" t="s">
        <v>1148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46197</v>
      </c>
      <c r="C1083" s="12" t="n">
        <v>46223</v>
      </c>
      <c r="D1083" s="11" t="n">
        <v>1815</v>
      </c>
      <c r="E1083" s="13" t="s">
        <v>53</v>
      </c>
      <c r="F1083" s="11" t="n">
        <v>24</v>
      </c>
      <c r="G1083" s="13" t="s">
        <v>42</v>
      </c>
      <c r="H1083" s="11" t="n">
        <v>2110101</v>
      </c>
      <c r="I1083" s="13" t="s">
        <v>43</v>
      </c>
      <c r="J1083" s="11" t="n">
        <v>1305188</v>
      </c>
      <c r="L1083" s="11" t="n">
        <v>4526723</v>
      </c>
      <c r="M1083" s="13" t="s">
        <v>44</v>
      </c>
      <c r="N1083" s="13" t="s">
        <v>36</v>
      </c>
      <c r="P1083" s="11" t="n">
        <v>128</v>
      </c>
      <c r="Q1083" s="13" t="s">
        <v>45</v>
      </c>
      <c r="R1083" s="13" t="s">
        <v>46</v>
      </c>
      <c r="S1083" s="11" t="n">
        <v>1130101</v>
      </c>
      <c r="T1083" s="13" t="s">
        <v>47</v>
      </c>
      <c r="U1083" s="14" t="n">
        <v>1235.11</v>
      </c>
      <c r="W1083" s="14" t="n">
        <v>0</v>
      </c>
      <c r="X1083" s="13" t="s">
        <v>1149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1" t="n">
        <v>3</v>
      </c>
      <c r="B1084" s="12" t="n">
        <v>46198</v>
      </c>
      <c r="C1084" s="12" t="n">
        <v>46223</v>
      </c>
      <c r="D1084" s="11" t="n">
        <v>1699</v>
      </c>
      <c r="E1084" s="13" t="s">
        <v>60</v>
      </c>
      <c r="F1084" s="11" t="n">
        <v>24</v>
      </c>
      <c r="G1084" s="13" t="s">
        <v>42</v>
      </c>
      <c r="H1084" s="11" t="n">
        <v>2110101</v>
      </c>
      <c r="I1084" s="13" t="s">
        <v>43</v>
      </c>
      <c r="J1084" s="11" t="n">
        <v>1312323</v>
      </c>
      <c r="L1084" s="11" t="n">
        <v>3059182</v>
      </c>
      <c r="M1084" s="13" t="s">
        <v>44</v>
      </c>
      <c r="N1084" s="13" t="s">
        <v>36</v>
      </c>
      <c r="P1084" s="11" t="n">
        <v>128</v>
      </c>
      <c r="Q1084" s="13" t="s">
        <v>45</v>
      </c>
      <c r="R1084" s="13" t="s">
        <v>46</v>
      </c>
      <c r="S1084" s="11" t="n">
        <v>1130101</v>
      </c>
      <c r="T1084" s="13" t="s">
        <v>47</v>
      </c>
      <c r="U1084" s="14" t="n">
        <v>649.18</v>
      </c>
      <c r="W1084" s="14" t="n">
        <v>0</v>
      </c>
      <c r="X1084" s="13" t="s">
        <v>1150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1" t="n">
        <v>3</v>
      </c>
      <c r="B1085" s="12" t="n">
        <v>46202</v>
      </c>
      <c r="C1085" s="12" t="n">
        <v>46223</v>
      </c>
      <c r="D1085" s="11" t="n">
        <v>1668</v>
      </c>
      <c r="E1085" s="13" t="s">
        <v>159</v>
      </c>
      <c r="F1085" s="11" t="n">
        <v>24</v>
      </c>
      <c r="G1085" s="13" t="s">
        <v>42</v>
      </c>
      <c r="H1085" s="11" t="n">
        <v>2110405</v>
      </c>
      <c r="I1085" s="13" t="s">
        <v>34</v>
      </c>
      <c r="J1085" s="11" t="n">
        <v>1333930</v>
      </c>
      <c r="L1085" s="11" t="n">
        <v>733416</v>
      </c>
      <c r="M1085" s="13" t="s">
        <v>44</v>
      </c>
      <c r="N1085" s="13" t="s">
        <v>36</v>
      </c>
      <c r="P1085" s="11" t="n">
        <v>128</v>
      </c>
      <c r="Q1085" s="13" t="s">
        <v>45</v>
      </c>
      <c r="R1085" s="13" t="s">
        <v>38</v>
      </c>
      <c r="S1085" s="11" t="n">
        <v>4210227</v>
      </c>
      <c r="T1085" s="13" t="s">
        <v>196</v>
      </c>
      <c r="U1085" s="14" t="n">
        <v>423.71</v>
      </c>
      <c r="W1085" s="14" t="n">
        <v>0</v>
      </c>
      <c r="X1085" s="13" t="s">
        <v>1151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1" t="n">
        <v>3</v>
      </c>
      <c r="B1086" s="12" t="n">
        <v>46205</v>
      </c>
      <c r="C1086" s="12" t="n">
        <v>46223</v>
      </c>
      <c r="D1086" s="11" t="n">
        <v>10017</v>
      </c>
      <c r="E1086" s="13" t="s">
        <v>335</v>
      </c>
      <c r="F1086" s="11" t="n">
        <v>24</v>
      </c>
      <c r="G1086" s="13" t="s">
        <v>42</v>
      </c>
      <c r="H1086" s="11" t="n">
        <v>2110101</v>
      </c>
      <c r="I1086" s="13" t="s">
        <v>43</v>
      </c>
      <c r="J1086" s="11" t="n">
        <v>1359821</v>
      </c>
      <c r="L1086" s="11" t="n">
        <v>1941141</v>
      </c>
      <c r="M1086" s="13" t="s">
        <v>44</v>
      </c>
      <c r="N1086" s="13" t="s">
        <v>36</v>
      </c>
      <c r="P1086" s="11" t="n">
        <v>167</v>
      </c>
      <c r="Q1086" s="13" t="s">
        <v>101</v>
      </c>
      <c r="R1086" s="13" t="s">
        <v>46</v>
      </c>
      <c r="S1086" s="11" t="n">
        <v>1130101</v>
      </c>
      <c r="T1086" s="13" t="s">
        <v>47</v>
      </c>
      <c r="U1086" s="14" t="n">
        <v>1819.31</v>
      </c>
      <c r="W1086" s="14" t="n">
        <v>0</v>
      </c>
      <c r="X1086" s="13" t="s">
        <v>1152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1" t="n">
        <v>3</v>
      </c>
      <c r="B1087" s="12" t="n">
        <v>46211</v>
      </c>
      <c r="C1087" s="12" t="n">
        <v>46223</v>
      </c>
      <c r="D1087" s="11" t="n">
        <v>10028</v>
      </c>
      <c r="E1087" s="13" t="s">
        <v>590</v>
      </c>
      <c r="F1087" s="11" t="n">
        <v>24</v>
      </c>
      <c r="G1087" s="13" t="s">
        <v>42</v>
      </c>
      <c r="H1087" s="11" t="n">
        <v>2110405</v>
      </c>
      <c r="I1087" s="13" t="s">
        <v>34</v>
      </c>
      <c r="J1087" s="11" t="n">
        <v>1370650</v>
      </c>
      <c r="L1087" s="11" t="n">
        <v>3906</v>
      </c>
      <c r="M1087" s="13" t="s">
        <v>44</v>
      </c>
      <c r="N1087" s="13" t="s">
        <v>36</v>
      </c>
      <c r="P1087" s="11" t="n">
        <v>101</v>
      </c>
      <c r="Q1087" s="13" t="s">
        <v>37</v>
      </c>
      <c r="R1087" s="13" t="s">
        <v>72</v>
      </c>
      <c r="S1087" s="11" t="n">
        <v>4210315</v>
      </c>
      <c r="T1087" s="13" t="s">
        <v>438</v>
      </c>
      <c r="U1087" s="14" t="n">
        <v>595.9</v>
      </c>
      <c r="W1087" s="14" t="n">
        <v>0</v>
      </c>
      <c r="X1087" s="13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46213</v>
      </c>
      <c r="C1088" s="12" t="n">
        <v>46223</v>
      </c>
      <c r="D1088" s="11" t="n">
        <v>10061</v>
      </c>
      <c r="E1088" s="13" t="s">
        <v>465</v>
      </c>
      <c r="F1088" s="11" t="n">
        <v>24</v>
      </c>
      <c r="G1088" s="13" t="s">
        <v>42</v>
      </c>
      <c r="H1088" s="11" t="n">
        <v>2110405</v>
      </c>
      <c r="I1088" s="13" t="s">
        <v>34</v>
      </c>
      <c r="J1088" s="11" t="n">
        <v>1392678</v>
      </c>
      <c r="L1088" s="11" t="n">
        <v>2776</v>
      </c>
      <c r="M1088" s="13" t="s">
        <v>44</v>
      </c>
      <c r="N1088" s="13" t="s">
        <v>36</v>
      </c>
      <c r="P1088" s="11" t="n">
        <v>167</v>
      </c>
      <c r="Q1088" s="13" t="s">
        <v>101</v>
      </c>
      <c r="R1088" s="13" t="s">
        <v>46</v>
      </c>
      <c r="S1088" s="11" t="n">
        <v>1130101</v>
      </c>
      <c r="T1088" s="13" t="s">
        <v>47</v>
      </c>
      <c r="U1088" s="14" t="n">
        <v>572.5</v>
      </c>
      <c r="W1088" s="14" t="n">
        <v>0</v>
      </c>
      <c r="X1088" s="13" t="s">
        <v>1153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1" t="n">
        <v>3</v>
      </c>
      <c r="B1089" s="12" t="n">
        <v>46217</v>
      </c>
      <c r="C1089" s="12" t="n">
        <v>46223</v>
      </c>
      <c r="D1089" s="11" t="n">
        <v>1947</v>
      </c>
      <c r="E1089" s="13" t="s">
        <v>518</v>
      </c>
      <c r="F1089" s="11" t="n">
        <v>34</v>
      </c>
      <c r="G1089" s="13" t="s">
        <v>33</v>
      </c>
      <c r="H1089" s="11" t="n">
        <v>2110405</v>
      </c>
      <c r="I1089" s="13" t="s">
        <v>34</v>
      </c>
      <c r="J1089" s="11" t="n">
        <v>1397927</v>
      </c>
      <c r="L1089" s="11" t="n">
        <v>218027</v>
      </c>
      <c r="M1089" s="13" t="s">
        <v>44</v>
      </c>
      <c r="N1089" s="13" t="s">
        <v>36</v>
      </c>
      <c r="P1089" s="11" t="n">
        <v>101</v>
      </c>
      <c r="Q1089" s="13" t="s">
        <v>37</v>
      </c>
      <c r="R1089" s="13" t="s">
        <v>72</v>
      </c>
      <c r="S1089" s="11" t="n">
        <v>4210302</v>
      </c>
      <c r="T1089" s="13" t="s">
        <v>519</v>
      </c>
      <c r="U1089" s="14" t="n">
        <v>4431.94</v>
      </c>
      <c r="W1089" s="14" t="n">
        <v>0</v>
      </c>
      <c r="X1089" s="13" t="s">
        <v>1154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46217</v>
      </c>
      <c r="C1090" s="12" t="n">
        <v>46223</v>
      </c>
      <c r="D1090" s="11" t="n">
        <v>1947</v>
      </c>
      <c r="E1090" s="13" t="s">
        <v>518</v>
      </c>
      <c r="F1090" s="11" t="n">
        <v>34</v>
      </c>
      <c r="G1090" s="13" t="s">
        <v>33</v>
      </c>
      <c r="H1090" s="11" t="n">
        <v>2110405</v>
      </c>
      <c r="I1090" s="13" t="s">
        <v>34</v>
      </c>
      <c r="J1090" s="11" t="n">
        <v>1397930</v>
      </c>
      <c r="L1090" s="11" t="n">
        <v>218029</v>
      </c>
      <c r="M1090" s="13" t="s">
        <v>44</v>
      </c>
      <c r="N1090" s="13" t="s">
        <v>36</v>
      </c>
      <c r="P1090" s="11" t="n">
        <v>101</v>
      </c>
      <c r="Q1090" s="13" t="s">
        <v>37</v>
      </c>
      <c r="R1090" s="13" t="s">
        <v>72</v>
      </c>
      <c r="S1090" s="11" t="n">
        <v>4210303</v>
      </c>
      <c r="T1090" s="13" t="s">
        <v>521</v>
      </c>
      <c r="U1090" s="14" t="n">
        <v>1540.55</v>
      </c>
      <c r="W1090" s="14" t="n">
        <v>0</v>
      </c>
      <c r="X1090" s="13" t="s">
        <v>1155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1" t="n">
        <v>3</v>
      </c>
      <c r="B1091" s="12" t="n">
        <v>46217</v>
      </c>
      <c r="C1091" s="12" t="n">
        <v>46223</v>
      </c>
      <c r="D1091" s="11" t="n">
        <v>1947</v>
      </c>
      <c r="E1091" s="13" t="s">
        <v>518</v>
      </c>
      <c r="F1091" s="11" t="n">
        <v>34</v>
      </c>
      <c r="G1091" s="13" t="s">
        <v>33</v>
      </c>
      <c r="H1091" s="11" t="n">
        <v>2110405</v>
      </c>
      <c r="I1091" s="13" t="s">
        <v>34</v>
      </c>
      <c r="J1091" s="11" t="n">
        <v>1397935</v>
      </c>
      <c r="L1091" s="11" t="n">
        <v>218030</v>
      </c>
      <c r="M1091" s="13" t="s">
        <v>44</v>
      </c>
      <c r="N1091" s="13" t="s">
        <v>36</v>
      </c>
      <c r="P1091" s="11" t="n">
        <v>101</v>
      </c>
      <c r="Q1091" s="13" t="s">
        <v>37</v>
      </c>
      <c r="R1091" s="13" t="s">
        <v>565</v>
      </c>
      <c r="S1091" s="11" t="n">
        <v>2110707</v>
      </c>
      <c r="T1091" s="13" t="s">
        <v>566</v>
      </c>
      <c r="U1091" s="14" t="n">
        <v>2788.38</v>
      </c>
      <c r="W1091" s="14" t="n">
        <v>0</v>
      </c>
      <c r="X1091" s="13" t="s">
        <v>1156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1" t="n">
        <v>3</v>
      </c>
      <c r="B1092" s="12" t="n">
        <v>46217</v>
      </c>
      <c r="C1092" s="12" t="n">
        <v>46223</v>
      </c>
      <c r="D1092" s="11" t="n">
        <v>32</v>
      </c>
      <c r="E1092" s="13" t="s">
        <v>202</v>
      </c>
      <c r="F1092" s="11" t="n">
        <v>24</v>
      </c>
      <c r="G1092" s="13" t="s">
        <v>42</v>
      </c>
      <c r="H1092" s="11" t="n">
        <v>2110405</v>
      </c>
      <c r="I1092" s="13" t="s">
        <v>34</v>
      </c>
      <c r="J1092" s="11" t="n">
        <v>1398112</v>
      </c>
      <c r="L1092" s="11" t="n">
        <v>218060</v>
      </c>
      <c r="M1092" s="13" t="s">
        <v>44</v>
      </c>
      <c r="N1092" s="13" t="s">
        <v>36</v>
      </c>
      <c r="P1092" s="11" t="n">
        <v>101</v>
      </c>
      <c r="Q1092" s="13" t="s">
        <v>37</v>
      </c>
      <c r="R1092" s="13" t="s">
        <v>203</v>
      </c>
      <c r="S1092" s="11" t="n">
        <v>4220199</v>
      </c>
      <c r="T1092" s="13" t="s">
        <v>204</v>
      </c>
      <c r="U1092" s="14" t="n">
        <v>620</v>
      </c>
      <c r="W1092" s="14" t="n">
        <v>0</v>
      </c>
      <c r="X1092" s="13" t="s">
        <v>1157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1" t="n">
        <v>3</v>
      </c>
      <c r="B1093" s="12" t="n">
        <v>46217</v>
      </c>
      <c r="C1093" s="12" t="n">
        <v>46223</v>
      </c>
      <c r="D1093" s="11" t="n">
        <v>1378</v>
      </c>
      <c r="E1093" s="13" t="s">
        <v>120</v>
      </c>
      <c r="F1093" s="11" t="n">
        <v>24</v>
      </c>
      <c r="G1093" s="13" t="s">
        <v>42</v>
      </c>
      <c r="H1093" s="11" t="n">
        <v>2110405</v>
      </c>
      <c r="I1093" s="13" t="s">
        <v>34</v>
      </c>
      <c r="J1093" s="11" t="n">
        <v>1401605</v>
      </c>
      <c r="L1093" s="11" t="n">
        <v>18208</v>
      </c>
      <c r="M1093" s="13" t="s">
        <v>44</v>
      </c>
      <c r="N1093" s="13" t="s">
        <v>36</v>
      </c>
      <c r="P1093" s="11" t="n">
        <v>167</v>
      </c>
      <c r="Q1093" s="13" t="s">
        <v>101</v>
      </c>
      <c r="R1093" s="13" t="s">
        <v>46</v>
      </c>
      <c r="S1093" s="11" t="n">
        <v>1130101</v>
      </c>
      <c r="T1093" s="13" t="s">
        <v>47</v>
      </c>
      <c r="U1093" s="14" t="n">
        <v>223.3</v>
      </c>
      <c r="W1093" s="14" t="n">
        <v>0</v>
      </c>
      <c r="X1093" s="13" t="s">
        <v>1158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1" t="n">
        <v>3</v>
      </c>
      <c r="B1094" s="12" t="n">
        <v>46221</v>
      </c>
      <c r="C1094" s="12" t="n">
        <v>46223</v>
      </c>
      <c r="D1094" s="11" t="n">
        <v>1807</v>
      </c>
      <c r="E1094" s="13" t="s">
        <v>568</v>
      </c>
      <c r="F1094" s="11" t="n">
        <v>24</v>
      </c>
      <c r="G1094" s="13" t="s">
        <v>42</v>
      </c>
      <c r="H1094" s="11" t="n">
        <v>2110405</v>
      </c>
      <c r="I1094" s="13" t="s">
        <v>34</v>
      </c>
      <c r="J1094" s="11" t="n">
        <v>1415272</v>
      </c>
      <c r="L1094" s="11" t="n">
        <v>626</v>
      </c>
      <c r="M1094" s="13" t="s">
        <v>44</v>
      </c>
      <c r="N1094" s="13" t="s">
        <v>36</v>
      </c>
      <c r="P1094" s="11" t="n">
        <v>101</v>
      </c>
      <c r="Q1094" s="13" t="s">
        <v>37</v>
      </c>
      <c r="R1094" s="13" t="s">
        <v>565</v>
      </c>
      <c r="S1094" s="11" t="n">
        <v>2110701</v>
      </c>
      <c r="T1094" s="13" t="s">
        <v>569</v>
      </c>
      <c r="U1094" s="14" t="n">
        <v>4324.73</v>
      </c>
      <c r="W1094" s="14" t="n">
        <v>0</v>
      </c>
      <c r="X1094" s="13" t="s">
        <v>1159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46223</v>
      </c>
      <c r="C1095" s="12" t="n">
        <v>46223</v>
      </c>
      <c r="D1095" s="11" t="n">
        <v>33</v>
      </c>
      <c r="E1095" s="13" t="s">
        <v>71</v>
      </c>
      <c r="F1095" s="11" t="n">
        <v>34</v>
      </c>
      <c r="G1095" s="13" t="s">
        <v>33</v>
      </c>
      <c r="H1095" s="11" t="n">
        <v>2110405</v>
      </c>
      <c r="I1095" s="13" t="s">
        <v>34</v>
      </c>
      <c r="J1095" s="11" t="n">
        <v>1424252</v>
      </c>
      <c r="L1095" s="11" t="n">
        <v>222229</v>
      </c>
      <c r="M1095" s="13" t="s">
        <v>44</v>
      </c>
      <c r="N1095" s="13" t="s">
        <v>36</v>
      </c>
      <c r="P1095" s="11" t="n">
        <v>101</v>
      </c>
      <c r="Q1095" s="13" t="s">
        <v>37</v>
      </c>
      <c r="R1095" s="13" t="s">
        <v>63</v>
      </c>
      <c r="S1095" s="11" t="n">
        <v>4210107</v>
      </c>
      <c r="T1095" s="13" t="s">
        <v>530</v>
      </c>
      <c r="U1095" s="14" t="n">
        <v>224.99</v>
      </c>
      <c r="W1095" s="14" t="n">
        <v>0</v>
      </c>
      <c r="X1095" s="13" t="s">
        <v>1160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1" t="n">
        <v>3</v>
      </c>
      <c r="B1096" s="12" t="n">
        <v>46223</v>
      </c>
      <c r="C1096" s="12" t="n">
        <v>46223</v>
      </c>
      <c r="D1096" s="11" t="n">
        <v>42</v>
      </c>
      <c r="E1096" s="13" t="s">
        <v>80</v>
      </c>
      <c r="F1096" s="11" t="n">
        <v>13</v>
      </c>
      <c r="G1096" s="13" t="s">
        <v>81</v>
      </c>
      <c r="H1096" s="11" t="n">
        <v>2110101</v>
      </c>
      <c r="I1096" s="13" t="s">
        <v>43</v>
      </c>
      <c r="J1096" s="11" t="n">
        <v>1424514</v>
      </c>
      <c r="L1096" s="11" t="n">
        <v>4398</v>
      </c>
      <c r="M1096" s="13" t="s">
        <v>44</v>
      </c>
      <c r="N1096" s="13" t="s">
        <v>69</v>
      </c>
      <c r="P1096" s="11" t="n">
        <v>167</v>
      </c>
      <c r="Q1096" s="13" t="s">
        <v>101</v>
      </c>
      <c r="R1096" s="13" t="s">
        <v>46</v>
      </c>
      <c r="S1096" s="11" t="n">
        <v>1130101</v>
      </c>
      <c r="T1096" s="13" t="s">
        <v>47</v>
      </c>
      <c r="U1096" s="14" t="n">
        <v>100</v>
      </c>
      <c r="W1096" s="14" t="n">
        <v>100</v>
      </c>
      <c r="X1096" s="13" t="s">
        <v>1161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1" t="n">
        <v>3</v>
      </c>
      <c r="B1097" s="12" t="n">
        <v>46223</v>
      </c>
      <c r="C1097" s="12" t="n">
        <v>46223</v>
      </c>
      <c r="D1097" s="11" t="n">
        <v>42</v>
      </c>
      <c r="E1097" s="13" t="s">
        <v>80</v>
      </c>
      <c r="F1097" s="11" t="n">
        <v>13</v>
      </c>
      <c r="G1097" s="13" t="s">
        <v>81</v>
      </c>
      <c r="H1097" s="11" t="n">
        <v>2110101</v>
      </c>
      <c r="I1097" s="13" t="s">
        <v>43</v>
      </c>
      <c r="J1097" s="11" t="n">
        <v>1424519</v>
      </c>
      <c r="L1097" s="11" t="n">
        <v>4399</v>
      </c>
      <c r="M1097" s="13" t="s">
        <v>44</v>
      </c>
      <c r="N1097" s="13" t="s">
        <v>69</v>
      </c>
      <c r="P1097" s="11" t="n">
        <v>167</v>
      </c>
      <c r="Q1097" s="13" t="s">
        <v>101</v>
      </c>
      <c r="R1097" s="13" t="s">
        <v>46</v>
      </c>
      <c r="S1097" s="11" t="n">
        <v>1130101</v>
      </c>
      <c r="T1097" s="13" t="s">
        <v>47</v>
      </c>
      <c r="U1097" s="14" t="n">
        <v>120</v>
      </c>
      <c r="W1097" s="14" t="n">
        <v>120</v>
      </c>
      <c r="X1097" s="13" t="s">
        <v>1162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46222</v>
      </c>
      <c r="C1098" s="12" t="n">
        <v>46223</v>
      </c>
      <c r="D1098" s="11" t="n">
        <v>1936</v>
      </c>
      <c r="E1098" s="13" t="s">
        <v>78</v>
      </c>
      <c r="F1098" s="11" t="n">
        <v>24</v>
      </c>
      <c r="G1098" s="13" t="s">
        <v>42</v>
      </c>
      <c r="H1098" s="11" t="n">
        <v>2110405</v>
      </c>
      <c r="I1098" s="13" t="s">
        <v>34</v>
      </c>
      <c r="J1098" s="11" t="n">
        <v>1424533</v>
      </c>
      <c r="L1098" s="11" t="n">
        <v>222293</v>
      </c>
      <c r="M1098" s="13" t="s">
        <v>44</v>
      </c>
      <c r="N1098" s="13" t="s">
        <v>36</v>
      </c>
      <c r="P1098" s="11" t="n">
        <v>167</v>
      </c>
      <c r="Q1098" s="13" t="s">
        <v>101</v>
      </c>
      <c r="R1098" s="13" t="s">
        <v>46</v>
      </c>
      <c r="S1098" s="11" t="n">
        <v>1130101</v>
      </c>
      <c r="T1098" s="13" t="s">
        <v>47</v>
      </c>
      <c r="U1098" s="14" t="n">
        <v>103.98</v>
      </c>
      <c r="W1098" s="14" t="n">
        <v>0</v>
      </c>
      <c r="X1098" s="13" t="s">
        <v>79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1" t="n">
        <v>3</v>
      </c>
      <c r="B1099" s="12" t="n">
        <v>46223</v>
      </c>
      <c r="C1099" s="12" t="n">
        <v>46223</v>
      </c>
      <c r="D1099" s="11" t="n">
        <v>10043</v>
      </c>
      <c r="E1099" s="13" t="s">
        <v>112</v>
      </c>
      <c r="F1099" s="11" t="n">
        <v>13</v>
      </c>
      <c r="G1099" s="13" t="s">
        <v>81</v>
      </c>
      <c r="H1099" s="11" t="n">
        <v>2110101</v>
      </c>
      <c r="I1099" s="13" t="s">
        <v>43</v>
      </c>
      <c r="J1099" s="11" t="n">
        <v>1427384</v>
      </c>
      <c r="L1099" s="11" t="n">
        <v>789</v>
      </c>
      <c r="M1099" s="13" t="s">
        <v>44</v>
      </c>
      <c r="N1099" s="13" t="s">
        <v>69</v>
      </c>
      <c r="P1099" s="11" t="n">
        <v>167</v>
      </c>
      <c r="Q1099" s="13" t="s">
        <v>101</v>
      </c>
      <c r="R1099" s="13" t="s">
        <v>46</v>
      </c>
      <c r="S1099" s="11" t="n">
        <v>1130101</v>
      </c>
      <c r="T1099" s="13" t="s">
        <v>47</v>
      </c>
      <c r="U1099" s="14" t="n">
        <v>270</v>
      </c>
      <c r="W1099" s="14" t="n">
        <v>270</v>
      </c>
      <c r="X1099" s="13" t="s">
        <v>1163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1" t="n">
        <v>3</v>
      </c>
      <c r="B1100" s="12" t="n">
        <v>46223</v>
      </c>
      <c r="C1100" s="12" t="n">
        <v>46223</v>
      </c>
      <c r="D1100" s="11" t="n">
        <v>514</v>
      </c>
      <c r="E1100" s="13" t="s">
        <v>32</v>
      </c>
      <c r="F1100" s="11" t="n">
        <v>34</v>
      </c>
      <c r="G1100" s="13" t="s">
        <v>33</v>
      </c>
      <c r="H1100" s="11" t="n">
        <v>2110405</v>
      </c>
      <c r="I1100" s="13" t="s">
        <v>34</v>
      </c>
      <c r="J1100" s="11" t="n">
        <v>1436190</v>
      </c>
      <c r="L1100" s="11" t="n">
        <v>223704</v>
      </c>
      <c r="M1100" s="13" t="s">
        <v>44</v>
      </c>
      <c r="N1100" s="13" t="s">
        <v>36</v>
      </c>
      <c r="P1100" s="11" t="n">
        <v>102</v>
      </c>
      <c r="Q1100" s="13" t="s">
        <v>186</v>
      </c>
      <c r="R1100" s="13" t="s">
        <v>203</v>
      </c>
      <c r="S1100" s="11" t="n">
        <v>4220199</v>
      </c>
      <c r="T1100" s="13" t="s">
        <v>204</v>
      </c>
      <c r="U1100" s="14" t="n">
        <v>370</v>
      </c>
      <c r="W1100" s="14" t="n">
        <v>0</v>
      </c>
      <c r="X1100" s="13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1" t="n">
        <v>3</v>
      </c>
      <c r="B1101" s="12" t="n">
        <v>46223</v>
      </c>
      <c r="C1101" s="12" t="n">
        <v>46223</v>
      </c>
      <c r="D1101" s="11" t="n">
        <v>515</v>
      </c>
      <c r="E1101" s="13" t="s">
        <v>105</v>
      </c>
      <c r="F1101" s="11" t="n">
        <v>34</v>
      </c>
      <c r="G1101" s="13" t="s">
        <v>33</v>
      </c>
      <c r="H1101" s="11" t="n">
        <v>2110405</v>
      </c>
      <c r="I1101" s="13" t="s">
        <v>34</v>
      </c>
      <c r="J1101" s="11" t="n">
        <v>1436199</v>
      </c>
      <c r="L1101" s="11" t="n">
        <v>223705</v>
      </c>
      <c r="M1101" s="13" t="s">
        <v>44</v>
      </c>
      <c r="N1101" s="13" t="s">
        <v>36</v>
      </c>
      <c r="P1101" s="11" t="n">
        <v>102</v>
      </c>
      <c r="Q1101" s="13" t="s">
        <v>186</v>
      </c>
      <c r="R1101" s="13" t="s">
        <v>85</v>
      </c>
      <c r="S1101" s="11" t="n">
        <v>4210504</v>
      </c>
      <c r="T1101" s="13" t="s">
        <v>142</v>
      </c>
      <c r="U1101" s="14" t="n">
        <v>165</v>
      </c>
      <c r="W1101" s="14" t="n">
        <v>0</v>
      </c>
      <c r="X1101" s="13" t="s">
        <v>1164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1" t="n">
        <v>3</v>
      </c>
      <c r="B1102" s="12" t="n">
        <v>46196</v>
      </c>
      <c r="C1102" s="12" t="n">
        <v>46224</v>
      </c>
      <c r="D1102" s="11" t="n">
        <v>1608</v>
      </c>
      <c r="E1102" s="13" t="s">
        <v>41</v>
      </c>
      <c r="F1102" s="11" t="n">
        <v>24</v>
      </c>
      <c r="G1102" s="13" t="s">
        <v>42</v>
      </c>
      <c r="H1102" s="11" t="n">
        <v>2110101</v>
      </c>
      <c r="I1102" s="13" t="s">
        <v>43</v>
      </c>
      <c r="J1102" s="11" t="n">
        <v>1293876</v>
      </c>
      <c r="L1102" s="11" t="n">
        <v>16788403</v>
      </c>
      <c r="M1102" s="13" t="s">
        <v>44</v>
      </c>
      <c r="N1102" s="13" t="s">
        <v>36</v>
      </c>
      <c r="P1102" s="11" t="n">
        <v>128</v>
      </c>
      <c r="Q1102" s="13" t="s">
        <v>45</v>
      </c>
      <c r="R1102" s="13" t="s">
        <v>46</v>
      </c>
      <c r="S1102" s="11" t="n">
        <v>1130101</v>
      </c>
      <c r="T1102" s="13" t="s">
        <v>47</v>
      </c>
      <c r="U1102" s="14" t="n">
        <v>338.67</v>
      </c>
      <c r="W1102" s="14" t="n">
        <v>0</v>
      </c>
      <c r="X1102" s="13" t="s">
        <v>1165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1" t="n">
        <v>3</v>
      </c>
      <c r="B1103" s="12" t="n">
        <v>46195</v>
      </c>
      <c r="C1103" s="12" t="n">
        <v>46224</v>
      </c>
      <c r="D1103" s="11" t="n">
        <v>1604</v>
      </c>
      <c r="E1103" s="13" t="s">
        <v>946</v>
      </c>
      <c r="F1103" s="11" t="n">
        <v>24</v>
      </c>
      <c r="G1103" s="13" t="s">
        <v>42</v>
      </c>
      <c r="H1103" s="11" t="n">
        <v>2110101</v>
      </c>
      <c r="I1103" s="13" t="s">
        <v>43</v>
      </c>
      <c r="J1103" s="11" t="n">
        <v>1305167</v>
      </c>
      <c r="L1103" s="11" t="n">
        <v>3327593</v>
      </c>
      <c r="M1103" s="13" t="s">
        <v>44</v>
      </c>
      <c r="N1103" s="13" t="s">
        <v>36</v>
      </c>
      <c r="P1103" s="11" t="n">
        <v>128</v>
      </c>
      <c r="Q1103" s="13" t="s">
        <v>45</v>
      </c>
      <c r="R1103" s="13" t="s">
        <v>46</v>
      </c>
      <c r="S1103" s="11" t="n">
        <v>1130101</v>
      </c>
      <c r="T1103" s="13" t="s">
        <v>47</v>
      </c>
      <c r="U1103" s="14" t="n">
        <v>637.31</v>
      </c>
      <c r="W1103" s="14" t="n">
        <v>0</v>
      </c>
      <c r="X1103" s="13" t="s">
        <v>1166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1" t="n">
        <v>3</v>
      </c>
      <c r="B1104" s="12" t="n">
        <v>46199</v>
      </c>
      <c r="C1104" s="12" t="n">
        <v>46224</v>
      </c>
      <c r="D1104" s="11" t="n">
        <v>1634</v>
      </c>
      <c r="E1104" s="13" t="s">
        <v>1069</v>
      </c>
      <c r="F1104" s="11" t="n">
        <v>24</v>
      </c>
      <c r="G1104" s="13" t="s">
        <v>42</v>
      </c>
      <c r="H1104" s="11" t="n">
        <v>2110101</v>
      </c>
      <c r="I1104" s="13" t="s">
        <v>43</v>
      </c>
      <c r="J1104" s="11" t="n">
        <v>1334071</v>
      </c>
      <c r="L1104" s="11" t="n">
        <v>3274642</v>
      </c>
      <c r="M1104" s="13" t="s">
        <v>44</v>
      </c>
      <c r="N1104" s="13" t="s">
        <v>36</v>
      </c>
      <c r="P1104" s="11" t="n">
        <v>167</v>
      </c>
      <c r="Q1104" s="13" t="s">
        <v>101</v>
      </c>
      <c r="R1104" s="13" t="s">
        <v>46</v>
      </c>
      <c r="S1104" s="11" t="n">
        <v>1130101</v>
      </c>
      <c r="T1104" s="13" t="s">
        <v>47</v>
      </c>
      <c r="U1104" s="14" t="n">
        <v>288.37</v>
      </c>
      <c r="W1104" s="14" t="n">
        <v>0</v>
      </c>
      <c r="X1104" s="13" t="s">
        <v>1167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1" t="n">
        <v>3</v>
      </c>
      <c r="B1105" s="12" t="n">
        <v>46204</v>
      </c>
      <c r="C1105" s="12" t="n">
        <v>46224</v>
      </c>
      <c r="D1105" s="11" t="n">
        <v>1624</v>
      </c>
      <c r="E1105" s="13" t="s">
        <v>208</v>
      </c>
      <c r="F1105" s="11" t="n">
        <v>24</v>
      </c>
      <c r="G1105" s="13" t="s">
        <v>42</v>
      </c>
      <c r="H1105" s="11" t="n">
        <v>2110101</v>
      </c>
      <c r="I1105" s="13" t="s">
        <v>43</v>
      </c>
      <c r="J1105" s="11" t="n">
        <v>1340682</v>
      </c>
      <c r="L1105" s="11" t="n">
        <v>661520</v>
      </c>
      <c r="M1105" s="13" t="s">
        <v>44</v>
      </c>
      <c r="N1105" s="13" t="s">
        <v>36</v>
      </c>
      <c r="P1105" s="11" t="n">
        <v>167</v>
      </c>
      <c r="Q1105" s="13" t="s">
        <v>101</v>
      </c>
      <c r="R1105" s="13" t="s">
        <v>46</v>
      </c>
      <c r="S1105" s="11" t="n">
        <v>1130101</v>
      </c>
      <c r="T1105" s="13" t="s">
        <v>47</v>
      </c>
      <c r="U1105" s="14" t="n">
        <v>656.2</v>
      </c>
      <c r="W1105" s="14" t="n">
        <v>0</v>
      </c>
      <c r="X1105" s="13" t="s">
        <v>1168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1" t="n">
        <v>3</v>
      </c>
      <c r="B1106" s="12" t="n">
        <v>46210</v>
      </c>
      <c r="C1106" s="12" t="n">
        <v>46224</v>
      </c>
      <c r="D1106" s="11" t="n">
        <v>1024</v>
      </c>
      <c r="E1106" s="13" t="s">
        <v>161</v>
      </c>
      <c r="F1106" s="11" t="n">
        <v>24</v>
      </c>
      <c r="G1106" s="13" t="s">
        <v>42</v>
      </c>
      <c r="H1106" s="11" t="n">
        <v>2110101</v>
      </c>
      <c r="I1106" s="13" t="s">
        <v>43</v>
      </c>
      <c r="J1106" s="11" t="n">
        <v>1364926</v>
      </c>
      <c r="L1106" s="11" t="n">
        <v>598141</v>
      </c>
      <c r="M1106" s="13" t="s">
        <v>150</v>
      </c>
      <c r="N1106" s="13" t="s">
        <v>69</v>
      </c>
      <c r="P1106" s="11" t="n">
        <v>167</v>
      </c>
      <c r="Q1106" s="13" t="s">
        <v>101</v>
      </c>
      <c r="R1106" s="13" t="s">
        <v>46</v>
      </c>
      <c r="S1106" s="11" t="n">
        <v>1130101</v>
      </c>
      <c r="T1106" s="13" t="s">
        <v>47</v>
      </c>
      <c r="U1106" s="14" t="n">
        <v>309.25</v>
      </c>
      <c r="W1106" s="14" t="n">
        <v>0</v>
      </c>
      <c r="X1106" s="13" t="s">
        <v>1169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1" t="n">
        <v>3</v>
      </c>
      <c r="B1107" s="12" t="n">
        <v>46210</v>
      </c>
      <c r="C1107" s="12" t="n">
        <v>46224</v>
      </c>
      <c r="D1107" s="11" t="n">
        <v>1612</v>
      </c>
      <c r="E1107" s="13" t="s">
        <v>264</v>
      </c>
      <c r="F1107" s="11" t="n">
        <v>24</v>
      </c>
      <c r="G1107" s="13" t="s">
        <v>42</v>
      </c>
      <c r="H1107" s="11" t="n">
        <v>2110101</v>
      </c>
      <c r="I1107" s="13" t="s">
        <v>43</v>
      </c>
      <c r="J1107" s="11" t="n">
        <v>1365017</v>
      </c>
      <c r="L1107" s="11" t="n">
        <v>22989871</v>
      </c>
      <c r="M1107" s="13" t="s">
        <v>44</v>
      </c>
      <c r="N1107" s="13" t="s">
        <v>36</v>
      </c>
      <c r="P1107" s="11" t="n">
        <v>167</v>
      </c>
      <c r="Q1107" s="13" t="s">
        <v>101</v>
      </c>
      <c r="R1107" s="13" t="s">
        <v>46</v>
      </c>
      <c r="S1107" s="11" t="n">
        <v>1130101</v>
      </c>
      <c r="T1107" s="13" t="s">
        <v>47</v>
      </c>
      <c r="U1107" s="14" t="n">
        <v>977.57</v>
      </c>
      <c r="W1107" s="14" t="n">
        <v>0</v>
      </c>
      <c r="X1107" s="13" t="s">
        <v>1170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1" t="n">
        <v>3</v>
      </c>
      <c r="B1108" s="12" t="n">
        <v>46210</v>
      </c>
      <c r="C1108" s="12" t="n">
        <v>46224</v>
      </c>
      <c r="D1108" s="11" t="n">
        <v>1734</v>
      </c>
      <c r="E1108" s="13" t="s">
        <v>125</v>
      </c>
      <c r="F1108" s="11" t="n">
        <v>24</v>
      </c>
      <c r="G1108" s="13" t="s">
        <v>42</v>
      </c>
      <c r="H1108" s="11" t="n">
        <v>2110101</v>
      </c>
      <c r="I1108" s="13" t="s">
        <v>43</v>
      </c>
      <c r="J1108" s="11" t="n">
        <v>1373720</v>
      </c>
      <c r="L1108" s="11" t="n">
        <v>2550092</v>
      </c>
      <c r="M1108" s="13" t="s">
        <v>44</v>
      </c>
      <c r="N1108" s="13" t="s">
        <v>36</v>
      </c>
      <c r="P1108" s="11" t="n">
        <v>167</v>
      </c>
      <c r="Q1108" s="13" t="s">
        <v>101</v>
      </c>
      <c r="R1108" s="13" t="s">
        <v>46</v>
      </c>
      <c r="S1108" s="11" t="n">
        <v>1130101</v>
      </c>
      <c r="T1108" s="13" t="s">
        <v>47</v>
      </c>
      <c r="U1108" s="14" t="n">
        <v>440.02</v>
      </c>
      <c r="W1108" s="14" t="n">
        <v>0</v>
      </c>
      <c r="X1108" s="13" t="s">
        <v>1171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1" t="n">
        <v>3</v>
      </c>
      <c r="B1109" s="12" t="n">
        <v>46195</v>
      </c>
      <c r="C1109" s="12" t="n">
        <v>46224</v>
      </c>
      <c r="D1109" s="11" t="n">
        <v>1608</v>
      </c>
      <c r="E1109" s="13" t="s">
        <v>41</v>
      </c>
      <c r="F1109" s="11" t="n">
        <v>24</v>
      </c>
      <c r="G1109" s="13" t="s">
        <v>42</v>
      </c>
      <c r="H1109" s="11" t="n">
        <v>2110405</v>
      </c>
      <c r="I1109" s="13" t="s">
        <v>34</v>
      </c>
      <c r="J1109" s="11" t="n">
        <v>1398229</v>
      </c>
      <c r="L1109" s="11" t="n">
        <v>16785393</v>
      </c>
      <c r="M1109" s="13" t="s">
        <v>44</v>
      </c>
      <c r="N1109" s="13" t="s">
        <v>36</v>
      </c>
      <c r="P1109" s="11" t="n">
        <v>167</v>
      </c>
      <c r="Q1109" s="13" t="s">
        <v>101</v>
      </c>
      <c r="R1109" s="13" t="s">
        <v>46</v>
      </c>
      <c r="S1109" s="11" t="n">
        <v>1130101</v>
      </c>
      <c r="T1109" s="13" t="s">
        <v>47</v>
      </c>
      <c r="U1109" s="14" t="n">
        <v>654.96</v>
      </c>
      <c r="W1109" s="14" t="n">
        <v>0</v>
      </c>
      <c r="X1109" s="13" t="s">
        <v>1172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1" t="n">
        <v>3</v>
      </c>
      <c r="B1110" s="12" t="n">
        <v>46220</v>
      </c>
      <c r="C1110" s="12" t="n">
        <v>46224</v>
      </c>
      <c r="D1110" s="11" t="n">
        <v>42</v>
      </c>
      <c r="E1110" s="13" t="s">
        <v>80</v>
      </c>
      <c r="F1110" s="11" t="n">
        <v>34</v>
      </c>
      <c r="G1110" s="13" t="s">
        <v>33</v>
      </c>
      <c r="H1110" s="11" t="n">
        <v>2110101</v>
      </c>
      <c r="I1110" s="13" t="s">
        <v>43</v>
      </c>
      <c r="J1110" s="11" t="n">
        <v>1411637</v>
      </c>
      <c r="L1110" s="11" t="n">
        <v>4391</v>
      </c>
      <c r="M1110" s="13" t="s">
        <v>44</v>
      </c>
      <c r="N1110" s="13" t="s">
        <v>69</v>
      </c>
      <c r="P1110" s="11" t="n">
        <v>167</v>
      </c>
      <c r="Q1110" s="13" t="s">
        <v>101</v>
      </c>
      <c r="R1110" s="13" t="s">
        <v>46</v>
      </c>
      <c r="S1110" s="11" t="n">
        <v>1130101</v>
      </c>
      <c r="T1110" s="13" t="s">
        <v>47</v>
      </c>
      <c r="U1110" s="14" t="n">
        <v>1926.5</v>
      </c>
      <c r="W1110" s="14" t="n">
        <v>0</v>
      </c>
      <c r="X1110" s="13" t="s">
        <v>1029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46220</v>
      </c>
      <c r="C1111" s="12" t="n">
        <v>46224</v>
      </c>
      <c r="D1111" s="11" t="n">
        <v>1615</v>
      </c>
      <c r="E1111" s="13" t="s">
        <v>130</v>
      </c>
      <c r="F1111" s="11" t="n">
        <v>34</v>
      </c>
      <c r="G1111" s="13" t="s">
        <v>33</v>
      </c>
      <c r="H1111" s="11" t="n">
        <v>2110405</v>
      </c>
      <c r="I1111" s="13" t="s">
        <v>34</v>
      </c>
      <c r="J1111" s="11" t="n">
        <v>1411651</v>
      </c>
      <c r="L1111" s="11" t="n">
        <v>14889</v>
      </c>
      <c r="M1111" s="13" t="s">
        <v>44</v>
      </c>
      <c r="N1111" s="13" t="s">
        <v>36</v>
      </c>
      <c r="P1111" s="11" t="n">
        <v>167</v>
      </c>
      <c r="Q1111" s="13" t="s">
        <v>101</v>
      </c>
      <c r="R1111" s="13" t="s">
        <v>46</v>
      </c>
      <c r="S1111" s="11" t="n">
        <v>1130101</v>
      </c>
      <c r="T1111" s="13" t="s">
        <v>47</v>
      </c>
      <c r="U1111" s="14" t="n">
        <v>370</v>
      </c>
      <c r="W1111" s="14" t="n">
        <v>0</v>
      </c>
      <c r="X1111" s="13" t="s">
        <v>1173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1" t="n">
        <v>3</v>
      </c>
      <c r="B1112" s="12" t="n">
        <v>46220</v>
      </c>
      <c r="C1112" s="12" t="n">
        <v>46224</v>
      </c>
      <c r="D1112" s="11" t="n">
        <v>1615</v>
      </c>
      <c r="E1112" s="13" t="s">
        <v>130</v>
      </c>
      <c r="F1112" s="11" t="n">
        <v>34</v>
      </c>
      <c r="G1112" s="13" t="s">
        <v>33</v>
      </c>
      <c r="H1112" s="11" t="n">
        <v>2110405</v>
      </c>
      <c r="I1112" s="13" t="s">
        <v>34</v>
      </c>
      <c r="J1112" s="11" t="n">
        <v>1411656</v>
      </c>
      <c r="L1112" s="11" t="n">
        <v>220012</v>
      </c>
      <c r="M1112" s="13" t="s">
        <v>44</v>
      </c>
      <c r="N1112" s="13" t="s">
        <v>36</v>
      </c>
      <c r="P1112" s="11" t="n">
        <v>167</v>
      </c>
      <c r="Q1112" s="13" t="s">
        <v>101</v>
      </c>
      <c r="R1112" s="13" t="s">
        <v>46</v>
      </c>
      <c r="S1112" s="11" t="n">
        <v>1130101</v>
      </c>
      <c r="T1112" s="13" t="s">
        <v>47</v>
      </c>
      <c r="U1112" s="14" t="n">
        <v>350</v>
      </c>
      <c r="W1112" s="14" t="n">
        <v>0</v>
      </c>
      <c r="X1112" s="13" t="s">
        <v>1174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46220</v>
      </c>
      <c r="C1113" s="12" t="n">
        <v>46224</v>
      </c>
      <c r="D1113" s="11" t="n">
        <v>642</v>
      </c>
      <c r="E1113" s="13" t="s">
        <v>135</v>
      </c>
      <c r="F1113" s="11" t="n">
        <v>24</v>
      </c>
      <c r="G1113" s="13" t="s">
        <v>42</v>
      </c>
      <c r="H1113" s="11" t="n">
        <v>2110405</v>
      </c>
      <c r="I1113" s="13" t="s">
        <v>34</v>
      </c>
      <c r="J1113" s="11" t="n">
        <v>1424562</v>
      </c>
      <c r="L1113" s="11" t="n">
        <v>786665</v>
      </c>
      <c r="M1113" s="13" t="s">
        <v>44</v>
      </c>
      <c r="N1113" s="13" t="s">
        <v>36</v>
      </c>
      <c r="P1113" s="11" t="n">
        <v>167</v>
      </c>
      <c r="Q1113" s="13" t="s">
        <v>101</v>
      </c>
      <c r="R1113" s="13" t="s">
        <v>46</v>
      </c>
      <c r="S1113" s="11" t="n">
        <v>1130101</v>
      </c>
      <c r="T1113" s="13" t="s">
        <v>47</v>
      </c>
      <c r="U1113" s="14" t="n">
        <v>180</v>
      </c>
      <c r="W1113" s="14" t="n">
        <v>0</v>
      </c>
      <c r="X1113" s="13" t="s">
        <v>1175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1" t="n">
        <v>3</v>
      </c>
      <c r="B1114" s="12" t="n">
        <v>46223</v>
      </c>
      <c r="C1114" s="12" t="n">
        <v>46224</v>
      </c>
      <c r="D1114" s="11" t="n">
        <v>33</v>
      </c>
      <c r="E1114" s="13" t="s">
        <v>71</v>
      </c>
      <c r="F1114" s="11" t="n">
        <v>34</v>
      </c>
      <c r="G1114" s="13" t="s">
        <v>33</v>
      </c>
      <c r="H1114" s="11" t="n">
        <v>2110405</v>
      </c>
      <c r="I1114" s="13" t="s">
        <v>34</v>
      </c>
      <c r="J1114" s="11" t="n">
        <v>1425043</v>
      </c>
      <c r="L1114" s="11" t="n">
        <v>222360</v>
      </c>
      <c r="M1114" s="13" t="s">
        <v>44</v>
      </c>
      <c r="N1114" s="13" t="s">
        <v>36</v>
      </c>
      <c r="P1114" s="11" t="n">
        <v>101</v>
      </c>
      <c r="Q1114" s="13" t="s">
        <v>37</v>
      </c>
      <c r="R1114" s="13" t="s">
        <v>109</v>
      </c>
      <c r="S1114" s="11" t="n">
        <v>1240203</v>
      </c>
      <c r="T1114" s="13" t="s">
        <v>110</v>
      </c>
      <c r="U1114" s="14" t="n">
        <v>2320.3</v>
      </c>
      <c r="W1114" s="14" t="n">
        <v>0</v>
      </c>
      <c r="X1114" s="13" t="s">
        <v>1176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46224</v>
      </c>
      <c r="C1115" s="12" t="n">
        <v>46224</v>
      </c>
      <c r="D1115" s="11" t="n">
        <v>42</v>
      </c>
      <c r="E1115" s="13" t="s">
        <v>80</v>
      </c>
      <c r="F1115" s="11" t="n">
        <v>13</v>
      </c>
      <c r="G1115" s="13" t="s">
        <v>81</v>
      </c>
      <c r="H1115" s="11" t="n">
        <v>2110101</v>
      </c>
      <c r="I1115" s="13" t="s">
        <v>43</v>
      </c>
      <c r="J1115" s="11" t="n">
        <v>1427540</v>
      </c>
      <c r="L1115" s="11" t="n">
        <v>4402</v>
      </c>
      <c r="M1115" s="13" t="s">
        <v>44</v>
      </c>
      <c r="N1115" s="13" t="s">
        <v>69</v>
      </c>
      <c r="P1115" s="11" t="n">
        <v>167</v>
      </c>
      <c r="Q1115" s="13" t="s">
        <v>101</v>
      </c>
      <c r="R1115" s="13" t="s">
        <v>46</v>
      </c>
      <c r="S1115" s="11" t="n">
        <v>1130101</v>
      </c>
      <c r="T1115" s="13" t="s">
        <v>47</v>
      </c>
      <c r="U1115" s="14" t="n">
        <v>95</v>
      </c>
      <c r="W1115" s="14" t="n">
        <v>95</v>
      </c>
      <c r="X1115" s="13" t="s">
        <v>1177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46224</v>
      </c>
      <c r="C1116" s="12" t="n">
        <v>46224</v>
      </c>
      <c r="D1116" s="11" t="n">
        <v>42</v>
      </c>
      <c r="E1116" s="13" t="s">
        <v>80</v>
      </c>
      <c r="F1116" s="11" t="n">
        <v>13</v>
      </c>
      <c r="G1116" s="13" t="s">
        <v>81</v>
      </c>
      <c r="H1116" s="11" t="n">
        <v>2110101</v>
      </c>
      <c r="I1116" s="13" t="s">
        <v>43</v>
      </c>
      <c r="J1116" s="11" t="n">
        <v>1428430</v>
      </c>
      <c r="L1116" s="11" t="n">
        <v>4406</v>
      </c>
      <c r="M1116" s="13" t="s">
        <v>44</v>
      </c>
      <c r="N1116" s="13" t="s">
        <v>69</v>
      </c>
      <c r="P1116" s="11" t="n">
        <v>167</v>
      </c>
      <c r="Q1116" s="13" t="s">
        <v>101</v>
      </c>
      <c r="R1116" s="13" t="s">
        <v>46</v>
      </c>
      <c r="S1116" s="11" t="n">
        <v>1130101</v>
      </c>
      <c r="T1116" s="13" t="s">
        <v>47</v>
      </c>
      <c r="U1116" s="14" t="n">
        <v>125</v>
      </c>
      <c r="W1116" s="14" t="n">
        <v>125</v>
      </c>
      <c r="X1116" s="13" t="s">
        <v>1178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46189</v>
      </c>
      <c r="C1117" s="12" t="n">
        <v>46225</v>
      </c>
      <c r="D1117" s="11" t="n">
        <v>1636</v>
      </c>
      <c r="E1117" s="13" t="s">
        <v>49</v>
      </c>
      <c r="F1117" s="11" t="n">
        <v>24</v>
      </c>
      <c r="G1117" s="13" t="s">
        <v>42</v>
      </c>
      <c r="H1117" s="11" t="n">
        <v>2110101</v>
      </c>
      <c r="I1117" s="13" t="s">
        <v>43</v>
      </c>
      <c r="J1117" s="11" t="n">
        <v>1265927</v>
      </c>
      <c r="L1117" s="11" t="n">
        <v>32042674</v>
      </c>
      <c r="M1117" s="13" t="s">
        <v>44</v>
      </c>
      <c r="N1117" s="13" t="s">
        <v>36</v>
      </c>
      <c r="P1117" s="11" t="n">
        <v>128</v>
      </c>
      <c r="Q1117" s="13" t="s">
        <v>45</v>
      </c>
      <c r="R1117" s="13" t="s">
        <v>46</v>
      </c>
      <c r="S1117" s="11" t="n">
        <v>1130101</v>
      </c>
      <c r="T1117" s="13" t="s">
        <v>47</v>
      </c>
      <c r="U1117" s="14" t="n">
        <v>358.9</v>
      </c>
      <c r="W1117" s="14" t="n">
        <v>0</v>
      </c>
      <c r="X1117" s="13" t="s">
        <v>1179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1" t="n">
        <v>3</v>
      </c>
      <c r="B1118" s="12" t="n">
        <v>46189</v>
      </c>
      <c r="C1118" s="12" t="n">
        <v>46225</v>
      </c>
      <c r="D1118" s="11" t="n">
        <v>1636</v>
      </c>
      <c r="E1118" s="13" t="s">
        <v>49</v>
      </c>
      <c r="F1118" s="11" t="n">
        <v>24</v>
      </c>
      <c r="G1118" s="13" t="s">
        <v>42</v>
      </c>
      <c r="H1118" s="11" t="n">
        <v>2110101</v>
      </c>
      <c r="I1118" s="13" t="s">
        <v>43</v>
      </c>
      <c r="J1118" s="11" t="n">
        <v>1266122</v>
      </c>
      <c r="L1118" s="11" t="n">
        <v>32042644</v>
      </c>
      <c r="M1118" s="13" t="s">
        <v>44</v>
      </c>
      <c r="N1118" s="13" t="s">
        <v>36</v>
      </c>
      <c r="P1118" s="11" t="n">
        <v>128</v>
      </c>
      <c r="Q1118" s="13" t="s">
        <v>45</v>
      </c>
      <c r="R1118" s="13" t="s">
        <v>46</v>
      </c>
      <c r="S1118" s="11" t="n">
        <v>1130101</v>
      </c>
      <c r="T1118" s="13" t="s">
        <v>47</v>
      </c>
      <c r="U1118" s="14" t="n">
        <v>806.43</v>
      </c>
      <c r="W1118" s="14" t="n">
        <v>0</v>
      </c>
      <c r="X1118" s="13" t="s">
        <v>1180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1" t="n">
        <v>3</v>
      </c>
      <c r="B1119" s="12" t="n">
        <v>46204</v>
      </c>
      <c r="C1119" s="12" t="n">
        <v>46225</v>
      </c>
      <c r="D1119" s="11" t="n">
        <v>1740</v>
      </c>
      <c r="E1119" s="13" t="s">
        <v>170</v>
      </c>
      <c r="F1119" s="11" t="n">
        <v>24</v>
      </c>
      <c r="G1119" s="13" t="s">
        <v>42</v>
      </c>
      <c r="H1119" s="11" t="n">
        <v>2110101</v>
      </c>
      <c r="I1119" s="13" t="s">
        <v>43</v>
      </c>
      <c r="J1119" s="11" t="n">
        <v>1335359</v>
      </c>
      <c r="L1119" s="11" t="n">
        <v>12428242</v>
      </c>
      <c r="M1119" s="13" t="s">
        <v>44</v>
      </c>
      <c r="N1119" s="13" t="s">
        <v>36</v>
      </c>
      <c r="P1119" s="11" t="n">
        <v>167</v>
      </c>
      <c r="Q1119" s="13" t="s">
        <v>101</v>
      </c>
      <c r="R1119" s="13" t="s">
        <v>46</v>
      </c>
      <c r="S1119" s="11" t="n">
        <v>1130101</v>
      </c>
      <c r="T1119" s="13" t="s">
        <v>47</v>
      </c>
      <c r="U1119" s="14" t="n">
        <v>683</v>
      </c>
      <c r="W1119" s="14" t="n">
        <v>0</v>
      </c>
      <c r="X1119" s="13" t="s">
        <v>1181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LINGUI DE FRANGO KG</v>
      </c>
      <c r="AC1119" s="1" t="n">
        <v>1242824</v>
      </c>
    </row>
    <row r="1120" customFormat="false" ht="12.75" hidden="false" customHeight="true" outlineLevel="0" collapsed="false">
      <c r="A1120" s="11" t="n">
        <v>3</v>
      </c>
      <c r="B1120" s="12" t="n">
        <v>46197</v>
      </c>
      <c r="C1120" s="12" t="n">
        <v>46225</v>
      </c>
      <c r="D1120" s="11" t="n">
        <v>1740</v>
      </c>
      <c r="E1120" s="13" t="s">
        <v>170</v>
      </c>
      <c r="F1120" s="11" t="n">
        <v>24</v>
      </c>
      <c r="G1120" s="13" t="s">
        <v>42</v>
      </c>
      <c r="H1120" s="11" t="n">
        <v>2110101</v>
      </c>
      <c r="I1120" s="13" t="s">
        <v>43</v>
      </c>
      <c r="J1120" s="11" t="n">
        <v>1304461</v>
      </c>
      <c r="L1120" s="11" t="n">
        <v>12404733</v>
      </c>
      <c r="M1120" s="13" t="s">
        <v>44</v>
      </c>
      <c r="N1120" s="13" t="s">
        <v>36</v>
      </c>
      <c r="P1120" s="11" t="n">
        <v>128</v>
      </c>
      <c r="Q1120" s="13" t="s">
        <v>45</v>
      </c>
      <c r="R1120" s="13" t="s">
        <v>46</v>
      </c>
      <c r="S1120" s="11" t="n">
        <v>1130101</v>
      </c>
      <c r="T1120" s="13" t="s">
        <v>47</v>
      </c>
      <c r="U1120" s="14" t="n">
        <v>742.53</v>
      </c>
      <c r="W1120" s="14" t="n">
        <v>0</v>
      </c>
      <c r="X1120" s="13" t="s">
        <v>1182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COXINHA DA ASA KG</v>
      </c>
      <c r="AC1120" s="1" t="n">
        <v>1240473</v>
      </c>
    </row>
    <row r="1121" customFormat="false" ht="12.75" hidden="false" customHeight="true" outlineLevel="0" collapsed="false">
      <c r="A1121" s="11" t="n">
        <v>3</v>
      </c>
      <c r="B1121" s="12" t="n">
        <v>46044</v>
      </c>
      <c r="C1121" s="12" t="n">
        <v>46225</v>
      </c>
      <c r="D1121" s="11" t="n">
        <v>514</v>
      </c>
      <c r="E1121" s="13" t="s">
        <v>32</v>
      </c>
      <c r="F1121" s="11" t="n">
        <v>34</v>
      </c>
      <c r="G1121" s="13" t="s">
        <v>33</v>
      </c>
      <c r="H1121" s="11" t="n">
        <v>2110405</v>
      </c>
      <c r="I1121" s="13" t="s">
        <v>34</v>
      </c>
      <c r="J1121" s="11" t="n">
        <v>1306220</v>
      </c>
      <c r="L1121" s="11" t="n">
        <v>203991</v>
      </c>
      <c r="M1121" s="13" t="s">
        <v>525</v>
      </c>
      <c r="N1121" s="13" t="s">
        <v>36</v>
      </c>
      <c r="P1121" s="11" t="n">
        <v>101</v>
      </c>
      <c r="Q1121" s="13" t="s">
        <v>37</v>
      </c>
      <c r="R1121" s="13" t="s">
        <v>139</v>
      </c>
      <c r="S1121" s="11" t="n">
        <v>2110901</v>
      </c>
      <c r="T1121" s="13" t="s">
        <v>140</v>
      </c>
      <c r="U1121" s="14" t="n">
        <v>6601.19</v>
      </c>
      <c r="W1121" s="14" t="n">
        <v>0</v>
      </c>
      <c r="X1121" s="13" t="s">
        <v>1183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46204</v>
      </c>
      <c r="C1122" s="12" t="n">
        <v>46225</v>
      </c>
      <c r="D1122" s="11" t="n">
        <v>1740</v>
      </c>
      <c r="E1122" s="13" t="s">
        <v>170</v>
      </c>
      <c r="F1122" s="11" t="n">
        <v>24</v>
      </c>
      <c r="G1122" s="13" t="s">
        <v>42</v>
      </c>
      <c r="H1122" s="11" t="n">
        <v>2110101</v>
      </c>
      <c r="I1122" s="13" t="s">
        <v>43</v>
      </c>
      <c r="J1122" s="11" t="n">
        <v>1335370</v>
      </c>
      <c r="L1122" s="11" t="n">
        <v>12428252</v>
      </c>
      <c r="M1122" s="13" t="s">
        <v>44</v>
      </c>
      <c r="N1122" s="13" t="s">
        <v>36</v>
      </c>
      <c r="P1122" s="11" t="n">
        <v>167</v>
      </c>
      <c r="Q1122" s="13" t="s">
        <v>101</v>
      </c>
      <c r="R1122" s="13" t="s">
        <v>46</v>
      </c>
      <c r="S1122" s="11" t="n">
        <v>1130101</v>
      </c>
      <c r="T1122" s="13" t="s">
        <v>47</v>
      </c>
      <c r="U1122" s="14" t="n">
        <v>764</v>
      </c>
      <c r="W1122" s="14" t="n">
        <v>0</v>
      </c>
      <c r="X1122" s="13" t="s">
        <v>1184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1" t="n">
        <v>3</v>
      </c>
      <c r="B1123" s="12" t="n">
        <v>46204</v>
      </c>
      <c r="C1123" s="12" t="n">
        <v>46225</v>
      </c>
      <c r="D1123" s="11" t="n">
        <v>1749</v>
      </c>
      <c r="E1123" s="13" t="s">
        <v>266</v>
      </c>
      <c r="F1123" s="11" t="n">
        <v>24</v>
      </c>
      <c r="G1123" s="13" t="s">
        <v>42</v>
      </c>
      <c r="H1123" s="11" t="n">
        <v>2110101</v>
      </c>
      <c r="I1123" s="13" t="s">
        <v>43</v>
      </c>
      <c r="J1123" s="11" t="n">
        <v>1340215</v>
      </c>
      <c r="L1123" s="11" t="n">
        <v>25453</v>
      </c>
      <c r="M1123" s="13" t="s">
        <v>44</v>
      </c>
      <c r="N1123" s="13" t="s">
        <v>36</v>
      </c>
      <c r="P1123" s="11" t="n">
        <v>167</v>
      </c>
      <c r="Q1123" s="13" t="s">
        <v>101</v>
      </c>
      <c r="R1123" s="13" t="s">
        <v>46</v>
      </c>
      <c r="S1123" s="11" t="n">
        <v>1130101</v>
      </c>
      <c r="T1123" s="13" t="s">
        <v>47</v>
      </c>
      <c r="U1123" s="14" t="n">
        <v>1599.36</v>
      </c>
      <c r="W1123" s="14" t="n">
        <v>0</v>
      </c>
      <c r="X1123" s="13" t="s">
        <v>1185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1" t="n">
        <v>3</v>
      </c>
      <c r="B1124" s="12" t="n">
        <v>46211</v>
      </c>
      <c r="C1124" s="12" t="n">
        <v>46225</v>
      </c>
      <c r="D1124" s="11" t="n">
        <v>1916</v>
      </c>
      <c r="E1124" s="13" t="s">
        <v>351</v>
      </c>
      <c r="F1124" s="11" t="n">
        <v>24</v>
      </c>
      <c r="G1124" s="13" t="s">
        <v>42</v>
      </c>
      <c r="H1124" s="11" t="n">
        <v>2110101</v>
      </c>
      <c r="I1124" s="13" t="s">
        <v>43</v>
      </c>
      <c r="J1124" s="11" t="n">
        <v>1373768</v>
      </c>
      <c r="L1124" s="11" t="n">
        <v>397132</v>
      </c>
      <c r="M1124" s="13" t="s">
        <v>44</v>
      </c>
      <c r="N1124" s="13" t="s">
        <v>36</v>
      </c>
      <c r="P1124" s="11" t="n">
        <v>167</v>
      </c>
      <c r="Q1124" s="13" t="s">
        <v>101</v>
      </c>
      <c r="R1124" s="13" t="s">
        <v>46</v>
      </c>
      <c r="S1124" s="11" t="n">
        <v>1130101</v>
      </c>
      <c r="T1124" s="13" t="s">
        <v>47</v>
      </c>
      <c r="U1124" s="14" t="n">
        <v>1100</v>
      </c>
      <c r="W1124" s="14" t="n">
        <v>0</v>
      </c>
      <c r="X1124" s="13" t="s">
        <v>1186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1" t="n">
        <v>3</v>
      </c>
      <c r="B1125" s="12" t="n">
        <v>46211</v>
      </c>
      <c r="C1125" s="12" t="n">
        <v>46225</v>
      </c>
      <c r="D1125" s="11" t="n">
        <v>1740</v>
      </c>
      <c r="E1125" s="13" t="s">
        <v>170</v>
      </c>
      <c r="F1125" s="11" t="n">
        <v>24</v>
      </c>
      <c r="G1125" s="13" t="s">
        <v>42</v>
      </c>
      <c r="H1125" s="11" t="n">
        <v>2110101</v>
      </c>
      <c r="I1125" s="13" t="s">
        <v>43</v>
      </c>
      <c r="J1125" s="11" t="n">
        <v>1373782</v>
      </c>
      <c r="L1125" s="11" t="n">
        <v>12453551</v>
      </c>
      <c r="M1125" s="13" t="s">
        <v>44</v>
      </c>
      <c r="N1125" s="13" t="s">
        <v>36</v>
      </c>
      <c r="P1125" s="11" t="n">
        <v>167</v>
      </c>
      <c r="Q1125" s="13" t="s">
        <v>101</v>
      </c>
      <c r="R1125" s="13" t="s">
        <v>46</v>
      </c>
      <c r="S1125" s="11" t="n">
        <v>1130101</v>
      </c>
      <c r="T1125" s="13" t="s">
        <v>47</v>
      </c>
      <c r="U1125" s="14" t="n">
        <v>902.56</v>
      </c>
      <c r="W1125" s="14" t="n">
        <v>0</v>
      </c>
      <c r="X1125" s="13" t="s">
        <v>1187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1" t="n">
        <v>3</v>
      </c>
      <c r="B1126" s="12" t="n">
        <v>46210</v>
      </c>
      <c r="C1126" s="12" t="n">
        <v>46225</v>
      </c>
      <c r="D1126" s="11" t="n">
        <v>1107</v>
      </c>
      <c r="E1126" s="13" t="s">
        <v>165</v>
      </c>
      <c r="F1126" s="11" t="n">
        <v>24</v>
      </c>
      <c r="G1126" s="13" t="s">
        <v>42</v>
      </c>
      <c r="H1126" s="11" t="n">
        <v>2110101</v>
      </c>
      <c r="I1126" s="13" t="s">
        <v>43</v>
      </c>
      <c r="J1126" s="11" t="n">
        <v>1373791</v>
      </c>
      <c r="L1126" s="11" t="n">
        <v>4263681</v>
      </c>
      <c r="M1126" s="13" t="s">
        <v>44</v>
      </c>
      <c r="N1126" s="13" t="s">
        <v>36</v>
      </c>
      <c r="P1126" s="11" t="n">
        <v>167</v>
      </c>
      <c r="Q1126" s="13" t="s">
        <v>101</v>
      </c>
      <c r="R1126" s="13" t="s">
        <v>46</v>
      </c>
      <c r="S1126" s="11" t="n">
        <v>1130101</v>
      </c>
      <c r="T1126" s="13" t="s">
        <v>47</v>
      </c>
      <c r="U1126" s="14" t="n">
        <v>651.1</v>
      </c>
      <c r="W1126" s="14" t="n">
        <v>0</v>
      </c>
      <c r="X1126" s="13" t="s">
        <v>1188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1" t="n">
        <v>3</v>
      </c>
      <c r="B1127" s="12" t="n">
        <v>46211</v>
      </c>
      <c r="C1127" s="12" t="n">
        <v>46225</v>
      </c>
      <c r="D1127" s="11" t="n">
        <v>1676</v>
      </c>
      <c r="E1127" s="13" t="s">
        <v>253</v>
      </c>
      <c r="F1127" s="11" t="n">
        <v>24</v>
      </c>
      <c r="G1127" s="13" t="s">
        <v>42</v>
      </c>
      <c r="H1127" s="11" t="n">
        <v>2110101</v>
      </c>
      <c r="I1127" s="13" t="s">
        <v>43</v>
      </c>
      <c r="J1127" s="11" t="n">
        <v>1373816</v>
      </c>
      <c r="L1127" s="11" t="n">
        <v>1037761</v>
      </c>
      <c r="M1127" s="13" t="s">
        <v>44</v>
      </c>
      <c r="N1127" s="13" t="s">
        <v>36</v>
      </c>
      <c r="P1127" s="11" t="n">
        <v>167</v>
      </c>
      <c r="Q1127" s="13" t="s">
        <v>101</v>
      </c>
      <c r="R1127" s="13" t="s">
        <v>46</v>
      </c>
      <c r="S1127" s="11" t="n">
        <v>1130101</v>
      </c>
      <c r="T1127" s="13" t="s">
        <v>47</v>
      </c>
      <c r="U1127" s="14" t="n">
        <v>572.37</v>
      </c>
      <c r="W1127" s="14" t="n">
        <v>0</v>
      </c>
      <c r="X1127" s="13" t="s">
        <v>1189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1" t="n">
        <v>3</v>
      </c>
      <c r="B1128" s="12" t="n">
        <v>46217</v>
      </c>
      <c r="C1128" s="12" t="n">
        <v>46225</v>
      </c>
      <c r="D1128" s="11" t="n">
        <v>1457</v>
      </c>
      <c r="E1128" s="13" t="s">
        <v>179</v>
      </c>
      <c r="F1128" s="11" t="n">
        <v>24</v>
      </c>
      <c r="G1128" s="13" t="s">
        <v>42</v>
      </c>
      <c r="H1128" s="11" t="n">
        <v>2110405</v>
      </c>
      <c r="I1128" s="13" t="s">
        <v>34</v>
      </c>
      <c r="J1128" s="11" t="n">
        <v>1402861</v>
      </c>
      <c r="L1128" s="11" t="n">
        <v>193369510</v>
      </c>
      <c r="M1128" s="13" t="s">
        <v>44</v>
      </c>
      <c r="N1128" s="13" t="s">
        <v>36</v>
      </c>
      <c r="P1128" s="11" t="n">
        <v>167</v>
      </c>
      <c r="Q1128" s="13" t="s">
        <v>101</v>
      </c>
      <c r="R1128" s="13" t="s">
        <v>46</v>
      </c>
      <c r="S1128" s="11" t="n">
        <v>1130101</v>
      </c>
      <c r="T1128" s="13" t="s">
        <v>47</v>
      </c>
      <c r="U1128" s="14" t="n">
        <v>269.49</v>
      </c>
      <c r="W1128" s="14" t="n">
        <v>0</v>
      </c>
      <c r="X1128" s="13" t="s">
        <v>1190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1" t="n">
        <v>3</v>
      </c>
      <c r="B1129" s="12" t="n">
        <v>46219</v>
      </c>
      <c r="C1129" s="12" t="n">
        <v>46225</v>
      </c>
      <c r="D1129" s="11" t="n">
        <v>42</v>
      </c>
      <c r="E1129" s="13" t="s">
        <v>80</v>
      </c>
      <c r="F1129" s="11" t="n">
        <v>34</v>
      </c>
      <c r="G1129" s="13" t="s">
        <v>33</v>
      </c>
      <c r="H1129" s="11" t="n">
        <v>2110101</v>
      </c>
      <c r="I1129" s="13" t="s">
        <v>43</v>
      </c>
      <c r="J1129" s="11" t="n">
        <v>1406312</v>
      </c>
      <c r="L1129" s="11" t="n">
        <v>4386</v>
      </c>
      <c r="M1129" s="13" t="s">
        <v>44</v>
      </c>
      <c r="N1129" s="13" t="s">
        <v>69</v>
      </c>
      <c r="P1129" s="11" t="n">
        <v>167</v>
      </c>
      <c r="Q1129" s="13" t="s">
        <v>101</v>
      </c>
      <c r="R1129" s="13" t="s">
        <v>46</v>
      </c>
      <c r="S1129" s="11" t="n">
        <v>1130101</v>
      </c>
      <c r="T1129" s="13" t="s">
        <v>47</v>
      </c>
      <c r="U1129" s="14" t="n">
        <v>280</v>
      </c>
      <c r="W1129" s="14" t="n">
        <v>0</v>
      </c>
      <c r="X1129" s="13" t="s">
        <v>1191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1" t="n">
        <v>3</v>
      </c>
      <c r="B1130" s="12" t="n">
        <v>46225</v>
      </c>
      <c r="C1130" s="12" t="n">
        <v>46225</v>
      </c>
      <c r="D1130" s="11" t="n">
        <v>42</v>
      </c>
      <c r="E1130" s="13" t="s">
        <v>80</v>
      </c>
      <c r="F1130" s="11" t="n">
        <v>13</v>
      </c>
      <c r="G1130" s="13" t="s">
        <v>81</v>
      </c>
      <c r="H1130" s="11" t="n">
        <v>2110101</v>
      </c>
      <c r="I1130" s="13" t="s">
        <v>43</v>
      </c>
      <c r="J1130" s="11" t="n">
        <v>1434141</v>
      </c>
      <c r="L1130" s="11" t="n">
        <v>4408</v>
      </c>
      <c r="M1130" s="13" t="s">
        <v>44</v>
      </c>
      <c r="N1130" s="13" t="s">
        <v>69</v>
      </c>
      <c r="P1130" s="11" t="n">
        <v>167</v>
      </c>
      <c r="Q1130" s="13" t="s">
        <v>101</v>
      </c>
      <c r="R1130" s="13" t="s">
        <v>46</v>
      </c>
      <c r="S1130" s="11" t="n">
        <v>1130101</v>
      </c>
      <c r="T1130" s="13" t="s">
        <v>47</v>
      </c>
      <c r="U1130" s="14" t="n">
        <v>120</v>
      </c>
      <c r="W1130" s="14" t="n">
        <v>120</v>
      </c>
      <c r="X1130" s="13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1" t="n">
        <v>3</v>
      </c>
      <c r="B1131" s="12" t="n">
        <v>46225</v>
      </c>
      <c r="C1131" s="12" t="n">
        <v>46225</v>
      </c>
      <c r="D1131" s="11" t="n">
        <v>42</v>
      </c>
      <c r="E1131" s="13" t="s">
        <v>80</v>
      </c>
      <c r="F1131" s="11" t="n">
        <v>13</v>
      </c>
      <c r="G1131" s="13" t="s">
        <v>81</v>
      </c>
      <c r="H1131" s="11" t="n">
        <v>2110101</v>
      </c>
      <c r="I1131" s="13" t="s">
        <v>43</v>
      </c>
      <c r="J1131" s="11" t="n">
        <v>1434672</v>
      </c>
      <c r="L1131" s="11" t="n">
        <v>4410</v>
      </c>
      <c r="M1131" s="13" t="s">
        <v>44</v>
      </c>
      <c r="N1131" s="13" t="s">
        <v>69</v>
      </c>
      <c r="P1131" s="11" t="n">
        <v>167</v>
      </c>
      <c r="Q1131" s="13" t="s">
        <v>101</v>
      </c>
      <c r="R1131" s="13" t="s">
        <v>46</v>
      </c>
      <c r="S1131" s="11" t="n">
        <v>1130101</v>
      </c>
      <c r="T1131" s="13" t="s">
        <v>47</v>
      </c>
      <c r="U1131" s="14" t="n">
        <v>125</v>
      </c>
      <c r="W1131" s="14" t="n">
        <v>125</v>
      </c>
      <c r="X1131" s="13" t="s">
        <v>1192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1" t="n">
        <v>3</v>
      </c>
      <c r="B1132" s="12" t="n">
        <v>46191</v>
      </c>
      <c r="C1132" s="12" t="n">
        <v>46226</v>
      </c>
      <c r="D1132" s="11" t="n">
        <v>1656</v>
      </c>
      <c r="E1132" s="13" t="s">
        <v>260</v>
      </c>
      <c r="F1132" s="11" t="n">
        <v>24</v>
      </c>
      <c r="G1132" s="13" t="s">
        <v>42</v>
      </c>
      <c r="H1132" s="11" t="n">
        <v>2110101</v>
      </c>
      <c r="I1132" s="13" t="s">
        <v>43</v>
      </c>
      <c r="J1132" s="11" t="n">
        <v>1272615</v>
      </c>
      <c r="L1132" s="11" t="n">
        <v>2222634</v>
      </c>
      <c r="M1132" s="13" t="s">
        <v>44</v>
      </c>
      <c r="N1132" s="13" t="s">
        <v>36</v>
      </c>
      <c r="P1132" s="11" t="n">
        <v>128</v>
      </c>
      <c r="Q1132" s="13" t="s">
        <v>45</v>
      </c>
      <c r="R1132" s="13" t="s">
        <v>46</v>
      </c>
      <c r="S1132" s="11" t="n">
        <v>1130101</v>
      </c>
      <c r="T1132" s="13" t="s">
        <v>47</v>
      </c>
      <c r="U1132" s="14" t="n">
        <v>782.56</v>
      </c>
      <c r="W1132" s="14" t="n">
        <v>0</v>
      </c>
      <c r="X1132" s="13" t="s">
        <v>1193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1" t="n">
        <v>3</v>
      </c>
      <c r="B1133" s="12" t="n">
        <v>46191</v>
      </c>
      <c r="C1133" s="12" t="n">
        <v>46226</v>
      </c>
      <c r="D1133" s="11" t="n">
        <v>1657</v>
      </c>
      <c r="E1133" s="13" t="s">
        <v>255</v>
      </c>
      <c r="F1133" s="11" t="n">
        <v>24</v>
      </c>
      <c r="G1133" s="13" t="s">
        <v>42</v>
      </c>
      <c r="H1133" s="11" t="n">
        <v>2110101</v>
      </c>
      <c r="I1133" s="13" t="s">
        <v>43</v>
      </c>
      <c r="J1133" s="11" t="n">
        <v>1279250</v>
      </c>
      <c r="L1133" s="11" t="n">
        <v>3747574</v>
      </c>
      <c r="M1133" s="13" t="s">
        <v>44</v>
      </c>
      <c r="N1133" s="13" t="s">
        <v>36</v>
      </c>
      <c r="P1133" s="11" t="n">
        <v>128</v>
      </c>
      <c r="Q1133" s="13" t="s">
        <v>45</v>
      </c>
      <c r="R1133" s="13" t="s">
        <v>46</v>
      </c>
      <c r="S1133" s="11" t="n">
        <v>1130101</v>
      </c>
      <c r="T1133" s="13" t="s">
        <v>47</v>
      </c>
      <c r="U1133" s="14" t="n">
        <v>977.08</v>
      </c>
      <c r="W1133" s="14" t="n">
        <v>0</v>
      </c>
      <c r="X1133" s="13" t="s">
        <v>1194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1" t="n">
        <v>3</v>
      </c>
      <c r="B1134" s="12" t="n">
        <v>46197</v>
      </c>
      <c r="C1134" s="12" t="n">
        <v>46226</v>
      </c>
      <c r="D1134" s="11" t="n">
        <v>1107</v>
      </c>
      <c r="E1134" s="13" t="s">
        <v>165</v>
      </c>
      <c r="F1134" s="11" t="n">
        <v>24</v>
      </c>
      <c r="G1134" s="13" t="s">
        <v>42</v>
      </c>
      <c r="H1134" s="11" t="n">
        <v>2110101</v>
      </c>
      <c r="I1134" s="13" t="s">
        <v>43</v>
      </c>
      <c r="J1134" s="11" t="n">
        <v>1312386</v>
      </c>
      <c r="L1134" s="11" t="n">
        <v>4217653</v>
      </c>
      <c r="M1134" s="13" t="s">
        <v>44</v>
      </c>
      <c r="N1134" s="13" t="s">
        <v>36</v>
      </c>
      <c r="P1134" s="11" t="n">
        <v>128</v>
      </c>
      <c r="Q1134" s="13" t="s">
        <v>45</v>
      </c>
      <c r="R1134" s="13" t="s">
        <v>46</v>
      </c>
      <c r="S1134" s="11" t="n">
        <v>1130101</v>
      </c>
      <c r="T1134" s="13" t="s">
        <v>47</v>
      </c>
      <c r="U1134" s="14" t="n">
        <v>709.48</v>
      </c>
      <c r="W1134" s="14" t="n">
        <v>0</v>
      </c>
      <c r="X1134" s="13" t="s">
        <v>1195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FERMEN DR.OETKER 100G</v>
      </c>
      <c r="AC1134" s="1" t="n">
        <v>421765</v>
      </c>
    </row>
    <row r="1135" customFormat="false" ht="12.75" hidden="false" customHeight="true" outlineLevel="0" collapsed="false">
      <c r="A1135" s="11" t="n">
        <v>3</v>
      </c>
      <c r="B1135" s="12" t="n">
        <v>46198</v>
      </c>
      <c r="C1135" s="12" t="n">
        <v>46226</v>
      </c>
      <c r="D1135" s="11" t="n">
        <v>1616</v>
      </c>
      <c r="E1135" s="13" t="s">
        <v>697</v>
      </c>
      <c r="F1135" s="11" t="n">
        <v>24</v>
      </c>
      <c r="G1135" s="13" t="s">
        <v>42</v>
      </c>
      <c r="H1135" s="11" t="n">
        <v>2110101</v>
      </c>
      <c r="I1135" s="13" t="s">
        <v>43</v>
      </c>
      <c r="J1135" s="11" t="n">
        <v>1321522</v>
      </c>
      <c r="L1135" s="11" t="n">
        <v>6474033</v>
      </c>
      <c r="M1135" s="13" t="s">
        <v>44</v>
      </c>
      <c r="N1135" s="13" t="s">
        <v>36</v>
      </c>
      <c r="P1135" s="11" t="n">
        <v>128</v>
      </c>
      <c r="Q1135" s="13" t="s">
        <v>45</v>
      </c>
      <c r="R1135" s="13" t="s">
        <v>46</v>
      </c>
      <c r="S1135" s="11" t="n">
        <v>1130101</v>
      </c>
      <c r="T1135" s="13" t="s">
        <v>47</v>
      </c>
      <c r="U1135" s="14" t="n">
        <v>553.36</v>
      </c>
      <c r="W1135" s="14" t="n">
        <v>0</v>
      </c>
      <c r="X1135" s="13" t="s">
        <v>1196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1" t="n">
        <v>3</v>
      </c>
      <c r="B1136" s="12" t="n">
        <v>46204</v>
      </c>
      <c r="C1136" s="12" t="n">
        <v>46226</v>
      </c>
      <c r="D1136" s="11" t="n">
        <v>1734</v>
      </c>
      <c r="E1136" s="13" t="s">
        <v>125</v>
      </c>
      <c r="F1136" s="11" t="n">
        <v>24</v>
      </c>
      <c r="G1136" s="13" t="s">
        <v>42</v>
      </c>
      <c r="H1136" s="11" t="n">
        <v>2110101</v>
      </c>
      <c r="I1136" s="13" t="s">
        <v>43</v>
      </c>
      <c r="J1136" s="11" t="n">
        <v>1334371</v>
      </c>
      <c r="L1136" s="11" t="n">
        <v>254511</v>
      </c>
      <c r="M1136" s="13" t="s">
        <v>44</v>
      </c>
      <c r="N1136" s="13" t="s">
        <v>36</v>
      </c>
      <c r="P1136" s="11" t="n">
        <v>167</v>
      </c>
      <c r="Q1136" s="13" t="s">
        <v>101</v>
      </c>
      <c r="R1136" s="13" t="s">
        <v>46</v>
      </c>
      <c r="S1136" s="11" t="n">
        <v>1130101</v>
      </c>
      <c r="T1136" s="13" t="s">
        <v>47</v>
      </c>
      <c r="U1136" s="14" t="n">
        <v>383.93</v>
      </c>
      <c r="W1136" s="14" t="n">
        <v>0</v>
      </c>
      <c r="X1136" s="13" t="s">
        <v>1197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1" t="n">
        <v>3</v>
      </c>
      <c r="B1137" s="12" t="n">
        <v>46205</v>
      </c>
      <c r="C1137" s="12" t="n">
        <v>46226</v>
      </c>
      <c r="D1137" s="11" t="n">
        <v>794</v>
      </c>
      <c r="E1137" s="13" t="s">
        <v>152</v>
      </c>
      <c r="F1137" s="11" t="n">
        <v>24</v>
      </c>
      <c r="G1137" s="13" t="s">
        <v>42</v>
      </c>
      <c r="H1137" s="11" t="n">
        <v>2110405</v>
      </c>
      <c r="I1137" s="13" t="s">
        <v>34</v>
      </c>
      <c r="J1137" s="11" t="n">
        <v>1340243</v>
      </c>
      <c r="L1137" s="11" t="n">
        <v>52012</v>
      </c>
      <c r="M1137" s="13" t="s">
        <v>44</v>
      </c>
      <c r="N1137" s="13" t="s">
        <v>36</v>
      </c>
      <c r="P1137" s="11" t="n">
        <v>167</v>
      </c>
      <c r="Q1137" s="13" t="s">
        <v>101</v>
      </c>
      <c r="R1137" s="13" t="s">
        <v>38</v>
      </c>
      <c r="S1137" s="11" t="n">
        <v>4210299</v>
      </c>
      <c r="T1137" s="13" t="s">
        <v>1079</v>
      </c>
      <c r="U1137" s="14" t="n">
        <v>475.95</v>
      </c>
      <c r="W1137" s="14" t="n">
        <v>0</v>
      </c>
      <c r="X1137" s="13" t="s">
        <v>1198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1" t="n">
        <v>3</v>
      </c>
      <c r="B1138" s="12" t="n">
        <v>46204</v>
      </c>
      <c r="C1138" s="12" t="n">
        <v>46226</v>
      </c>
      <c r="D1138" s="11" t="n">
        <v>1664</v>
      </c>
      <c r="E1138" s="13" t="s">
        <v>1082</v>
      </c>
      <c r="F1138" s="11" t="n">
        <v>24</v>
      </c>
      <c r="G1138" s="13" t="s">
        <v>42</v>
      </c>
      <c r="H1138" s="11" t="n">
        <v>2110101</v>
      </c>
      <c r="I1138" s="13" t="s">
        <v>43</v>
      </c>
      <c r="J1138" s="11" t="n">
        <v>1340453</v>
      </c>
      <c r="L1138" s="11" t="n">
        <v>784222</v>
      </c>
      <c r="M1138" s="13" t="s">
        <v>44</v>
      </c>
      <c r="N1138" s="13" t="s">
        <v>36</v>
      </c>
      <c r="P1138" s="11" t="n">
        <v>167</v>
      </c>
      <c r="Q1138" s="13" t="s">
        <v>101</v>
      </c>
      <c r="R1138" s="13" t="s">
        <v>46</v>
      </c>
      <c r="S1138" s="11" t="n">
        <v>1130101</v>
      </c>
      <c r="T1138" s="13" t="s">
        <v>47</v>
      </c>
      <c r="U1138" s="14" t="n">
        <v>323.78</v>
      </c>
      <c r="W1138" s="14" t="n">
        <v>0</v>
      </c>
      <c r="X1138" s="13" t="s">
        <v>1199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1" t="n">
        <v>3</v>
      </c>
      <c r="B1139" s="12" t="n">
        <v>46206</v>
      </c>
      <c r="C1139" s="12" t="n">
        <v>46226</v>
      </c>
      <c r="D1139" s="11" t="n">
        <v>1815</v>
      </c>
      <c r="E1139" s="13" t="s">
        <v>53</v>
      </c>
      <c r="F1139" s="11" t="n">
        <v>24</v>
      </c>
      <c r="G1139" s="13" t="s">
        <v>42</v>
      </c>
      <c r="H1139" s="11" t="n">
        <v>2110101</v>
      </c>
      <c r="I1139" s="13" t="s">
        <v>43</v>
      </c>
      <c r="J1139" s="11" t="n">
        <v>1345435</v>
      </c>
      <c r="L1139" s="11" t="n">
        <v>4544841</v>
      </c>
      <c r="M1139" s="13" t="s">
        <v>44</v>
      </c>
      <c r="N1139" s="13" t="s">
        <v>36</v>
      </c>
      <c r="P1139" s="11" t="n">
        <v>167</v>
      </c>
      <c r="Q1139" s="13" t="s">
        <v>101</v>
      </c>
      <c r="R1139" s="13" t="s">
        <v>46</v>
      </c>
      <c r="S1139" s="11" t="n">
        <v>1130101</v>
      </c>
      <c r="T1139" s="13" t="s">
        <v>47</v>
      </c>
      <c r="U1139" s="14" t="n">
        <v>2508.91</v>
      </c>
      <c r="W1139" s="14" t="n">
        <v>0</v>
      </c>
      <c r="X1139" s="13" t="s">
        <v>1200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1" t="n">
        <v>3</v>
      </c>
      <c r="B1140" s="12" t="n">
        <v>46209</v>
      </c>
      <c r="C1140" s="12" t="n">
        <v>46226</v>
      </c>
      <c r="D1140" s="11" t="n">
        <v>1637</v>
      </c>
      <c r="E1140" s="13" t="s">
        <v>295</v>
      </c>
      <c r="F1140" s="11" t="n">
        <v>24</v>
      </c>
      <c r="G1140" s="13" t="s">
        <v>42</v>
      </c>
      <c r="H1140" s="11" t="n">
        <v>2110101</v>
      </c>
      <c r="I1140" s="13" t="s">
        <v>43</v>
      </c>
      <c r="J1140" s="11" t="n">
        <v>1360583</v>
      </c>
      <c r="L1140" s="11" t="n">
        <v>1901472</v>
      </c>
      <c r="M1140" s="13" t="s">
        <v>44</v>
      </c>
      <c r="N1140" s="13" t="s">
        <v>69</v>
      </c>
      <c r="P1140" s="11" t="n">
        <v>167</v>
      </c>
      <c r="Q1140" s="13" t="s">
        <v>101</v>
      </c>
      <c r="R1140" s="13" t="s">
        <v>46</v>
      </c>
      <c r="S1140" s="11" t="n">
        <v>1130101</v>
      </c>
      <c r="T1140" s="13" t="s">
        <v>47</v>
      </c>
      <c r="U1140" s="14" t="n">
        <v>1573.75</v>
      </c>
      <c r="W1140" s="14" t="n">
        <v>0</v>
      </c>
      <c r="X1140" s="13" t="s">
        <v>1201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1" t="n">
        <v>3</v>
      </c>
      <c r="B1141" s="12" t="n">
        <v>46211</v>
      </c>
      <c r="C1141" s="12" t="n">
        <v>46226</v>
      </c>
      <c r="D1141" s="11" t="n">
        <v>1718</v>
      </c>
      <c r="E1141" s="13" t="s">
        <v>408</v>
      </c>
      <c r="F1141" s="11" t="n">
        <v>24</v>
      </c>
      <c r="G1141" s="13" t="s">
        <v>42</v>
      </c>
      <c r="H1141" s="11" t="n">
        <v>2110101</v>
      </c>
      <c r="I1141" s="13" t="s">
        <v>43</v>
      </c>
      <c r="J1141" s="11" t="n">
        <v>1373751</v>
      </c>
      <c r="L1141" s="11" t="n">
        <v>8043781</v>
      </c>
      <c r="M1141" s="13" t="s">
        <v>44</v>
      </c>
      <c r="N1141" s="13" t="s">
        <v>36</v>
      </c>
      <c r="P1141" s="11" t="n">
        <v>167</v>
      </c>
      <c r="Q1141" s="13" t="s">
        <v>101</v>
      </c>
      <c r="R1141" s="13" t="s">
        <v>46</v>
      </c>
      <c r="S1141" s="11" t="n">
        <v>1130101</v>
      </c>
      <c r="T1141" s="13" t="s">
        <v>47</v>
      </c>
      <c r="U1141" s="14" t="n">
        <v>369.82</v>
      </c>
      <c r="W1141" s="14" t="n">
        <v>0</v>
      </c>
      <c r="X1141" s="13" t="s">
        <v>1202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1" t="n">
        <v>3</v>
      </c>
      <c r="B1142" s="12" t="n">
        <v>46212</v>
      </c>
      <c r="C1142" s="12" t="n">
        <v>46226</v>
      </c>
      <c r="D1142" s="11" t="n">
        <v>1656</v>
      </c>
      <c r="E1142" s="13" t="s">
        <v>260</v>
      </c>
      <c r="F1142" s="11" t="n">
        <v>24</v>
      </c>
      <c r="G1142" s="13" t="s">
        <v>42</v>
      </c>
      <c r="H1142" s="11" t="n">
        <v>2110101</v>
      </c>
      <c r="I1142" s="13" t="s">
        <v>43</v>
      </c>
      <c r="J1142" s="11" t="n">
        <v>1373865</v>
      </c>
      <c r="L1142" s="11" t="n">
        <v>2233331</v>
      </c>
      <c r="M1142" s="13" t="s">
        <v>44</v>
      </c>
      <c r="N1142" s="13" t="s">
        <v>36</v>
      </c>
      <c r="P1142" s="11" t="n">
        <v>167</v>
      </c>
      <c r="Q1142" s="13" t="s">
        <v>101</v>
      </c>
      <c r="R1142" s="13" t="s">
        <v>46</v>
      </c>
      <c r="S1142" s="11" t="n">
        <v>1130101</v>
      </c>
      <c r="T1142" s="13" t="s">
        <v>47</v>
      </c>
      <c r="U1142" s="14" t="n">
        <v>396.52</v>
      </c>
      <c r="W1142" s="14" t="n">
        <v>0</v>
      </c>
      <c r="X1142" s="13" t="s">
        <v>1203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1" t="n">
        <v>3</v>
      </c>
      <c r="B1143" s="12" t="n">
        <v>46211</v>
      </c>
      <c r="C1143" s="12" t="n">
        <v>46226</v>
      </c>
      <c r="D1143" s="11" t="n">
        <v>1605</v>
      </c>
      <c r="E1143" s="13" t="s">
        <v>113</v>
      </c>
      <c r="F1143" s="11" t="n">
        <v>24</v>
      </c>
      <c r="G1143" s="13" t="s">
        <v>42</v>
      </c>
      <c r="H1143" s="11" t="n">
        <v>2110101</v>
      </c>
      <c r="I1143" s="13" t="s">
        <v>43</v>
      </c>
      <c r="J1143" s="11" t="n">
        <v>1374950</v>
      </c>
      <c r="L1143" s="11" t="n">
        <v>2178642</v>
      </c>
      <c r="M1143" s="13" t="s">
        <v>44</v>
      </c>
      <c r="N1143" s="13" t="s">
        <v>36</v>
      </c>
      <c r="P1143" s="11" t="n">
        <v>167</v>
      </c>
      <c r="Q1143" s="13" t="s">
        <v>101</v>
      </c>
      <c r="R1143" s="13" t="s">
        <v>46</v>
      </c>
      <c r="S1143" s="11" t="n">
        <v>1130101</v>
      </c>
      <c r="T1143" s="13" t="s">
        <v>47</v>
      </c>
      <c r="U1143" s="14" t="n">
        <v>357.27</v>
      </c>
      <c r="W1143" s="14" t="n">
        <v>0</v>
      </c>
      <c r="X1143" s="13" t="s">
        <v>1204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1" t="n">
        <v>3</v>
      </c>
      <c r="B1144" s="12" t="n">
        <v>46216</v>
      </c>
      <c r="C1144" s="12" t="n">
        <v>46226</v>
      </c>
      <c r="D1144" s="11" t="n">
        <v>1723</v>
      </c>
      <c r="E1144" s="13" t="s">
        <v>76</v>
      </c>
      <c r="F1144" s="11" t="n">
        <v>24</v>
      </c>
      <c r="G1144" s="13" t="s">
        <v>42</v>
      </c>
      <c r="H1144" s="11" t="n">
        <v>2110405</v>
      </c>
      <c r="I1144" s="13" t="s">
        <v>34</v>
      </c>
      <c r="J1144" s="11" t="n">
        <v>1392575</v>
      </c>
      <c r="L1144" s="11" t="n">
        <v>56293</v>
      </c>
      <c r="M1144" s="13" t="s">
        <v>44</v>
      </c>
      <c r="N1144" s="13" t="s">
        <v>36</v>
      </c>
      <c r="P1144" s="11" t="n">
        <v>167</v>
      </c>
      <c r="Q1144" s="13" t="s">
        <v>101</v>
      </c>
      <c r="R1144" s="13" t="s">
        <v>46</v>
      </c>
      <c r="S1144" s="11" t="n">
        <v>1130101</v>
      </c>
      <c r="T1144" s="13" t="s">
        <v>47</v>
      </c>
      <c r="U1144" s="14" t="n">
        <v>2052.8</v>
      </c>
      <c r="W1144" s="14" t="n">
        <v>0</v>
      </c>
      <c r="X1144" s="13" t="s">
        <v>1205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1" t="n">
        <v>3</v>
      </c>
      <c r="B1145" s="12" t="n">
        <v>46218</v>
      </c>
      <c r="C1145" s="12" t="n">
        <v>46226</v>
      </c>
      <c r="D1145" s="11" t="n">
        <v>1642</v>
      </c>
      <c r="E1145" s="13" t="s">
        <v>274</v>
      </c>
      <c r="F1145" s="11" t="n">
        <v>24</v>
      </c>
      <c r="G1145" s="13" t="s">
        <v>42</v>
      </c>
      <c r="H1145" s="11" t="n">
        <v>2110405</v>
      </c>
      <c r="I1145" s="13" t="s">
        <v>34</v>
      </c>
      <c r="J1145" s="11" t="n">
        <v>1407128</v>
      </c>
      <c r="L1145" s="11" t="n">
        <v>1032051</v>
      </c>
      <c r="M1145" s="13" t="s">
        <v>44</v>
      </c>
      <c r="N1145" s="13" t="s">
        <v>36</v>
      </c>
      <c r="P1145" s="11" t="n">
        <v>167</v>
      </c>
      <c r="Q1145" s="13" t="s">
        <v>101</v>
      </c>
      <c r="R1145" s="13" t="s">
        <v>46</v>
      </c>
      <c r="S1145" s="11" t="n">
        <v>1130101</v>
      </c>
      <c r="T1145" s="13" t="s">
        <v>47</v>
      </c>
      <c r="U1145" s="14" t="n">
        <v>577.1</v>
      </c>
      <c r="W1145" s="14" t="n">
        <v>0</v>
      </c>
      <c r="X1145" s="13" t="s">
        <v>1206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1" t="n">
        <v>3</v>
      </c>
      <c r="B1146" s="12" t="n">
        <v>46219</v>
      </c>
      <c r="C1146" s="12" t="n">
        <v>46226</v>
      </c>
      <c r="D1146" s="11" t="n">
        <v>1039</v>
      </c>
      <c r="E1146" s="13" t="s">
        <v>594</v>
      </c>
      <c r="F1146" s="11" t="n">
        <v>24</v>
      </c>
      <c r="G1146" s="13" t="s">
        <v>42</v>
      </c>
      <c r="H1146" s="11" t="n">
        <v>2110405</v>
      </c>
      <c r="I1146" s="13" t="s">
        <v>34</v>
      </c>
      <c r="J1146" s="11" t="n">
        <v>1410305</v>
      </c>
      <c r="L1146" s="11" t="n">
        <v>192871</v>
      </c>
      <c r="M1146" s="13" t="s">
        <v>44</v>
      </c>
      <c r="N1146" s="13" t="s">
        <v>36</v>
      </c>
      <c r="P1146" s="11" t="n">
        <v>167</v>
      </c>
      <c r="Q1146" s="13" t="s">
        <v>101</v>
      </c>
      <c r="R1146" s="13" t="s">
        <v>46</v>
      </c>
      <c r="S1146" s="11" t="n">
        <v>1130101</v>
      </c>
      <c r="T1146" s="13" t="s">
        <v>47</v>
      </c>
      <c r="U1146" s="14" t="n">
        <v>1453.93</v>
      </c>
      <c r="W1146" s="14" t="n">
        <v>0</v>
      </c>
      <c r="X1146" s="13" t="s">
        <v>1207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1" t="n">
        <v>3</v>
      </c>
      <c r="B1147" s="12" t="n">
        <v>46219</v>
      </c>
      <c r="C1147" s="12" t="n">
        <v>46226</v>
      </c>
      <c r="D1147" s="11" t="n">
        <v>1695</v>
      </c>
      <c r="E1147" s="13" t="s">
        <v>269</v>
      </c>
      <c r="F1147" s="11" t="n">
        <v>34</v>
      </c>
      <c r="G1147" s="13" t="s">
        <v>33</v>
      </c>
      <c r="H1147" s="11" t="n">
        <v>2110405</v>
      </c>
      <c r="I1147" s="13" t="s">
        <v>34</v>
      </c>
      <c r="J1147" s="11" t="n">
        <v>1410345</v>
      </c>
      <c r="L1147" s="11" t="n">
        <v>219806</v>
      </c>
      <c r="M1147" s="13" t="s">
        <v>44</v>
      </c>
      <c r="N1147" s="13" t="s">
        <v>36</v>
      </c>
      <c r="P1147" s="11" t="n">
        <v>167</v>
      </c>
      <c r="Q1147" s="13" t="s">
        <v>101</v>
      </c>
      <c r="R1147" s="13" t="s">
        <v>46</v>
      </c>
      <c r="S1147" s="11" t="n">
        <v>1130101</v>
      </c>
      <c r="T1147" s="13" t="s">
        <v>47</v>
      </c>
      <c r="U1147" s="14" t="n">
        <v>105.9</v>
      </c>
      <c r="W1147" s="14" t="n">
        <v>0</v>
      </c>
      <c r="X1147" s="13" t="s">
        <v>1208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1" t="n">
        <v>3</v>
      </c>
      <c r="B1148" s="12" t="n">
        <v>46219</v>
      </c>
      <c r="C1148" s="12" t="n">
        <v>46226</v>
      </c>
      <c r="D1148" s="11" t="n">
        <v>10018</v>
      </c>
      <c r="E1148" s="13" t="s">
        <v>654</v>
      </c>
      <c r="F1148" s="11" t="n">
        <v>34</v>
      </c>
      <c r="G1148" s="13" t="s">
        <v>33</v>
      </c>
      <c r="H1148" s="11" t="n">
        <v>2110405</v>
      </c>
      <c r="I1148" s="13" t="s">
        <v>34</v>
      </c>
      <c r="J1148" s="11" t="n">
        <v>1410619</v>
      </c>
      <c r="L1148" s="11" t="n">
        <v>219853</v>
      </c>
      <c r="M1148" s="13" t="s">
        <v>44</v>
      </c>
      <c r="N1148" s="13" t="s">
        <v>36</v>
      </c>
      <c r="P1148" s="11" t="n">
        <v>167</v>
      </c>
      <c r="Q1148" s="13" t="s">
        <v>101</v>
      </c>
      <c r="R1148" s="13" t="s">
        <v>46</v>
      </c>
      <c r="S1148" s="11" t="n">
        <v>1130101</v>
      </c>
      <c r="T1148" s="13" t="s">
        <v>47</v>
      </c>
      <c r="U1148" s="14" t="n">
        <v>925</v>
      </c>
      <c r="W1148" s="14" t="n">
        <v>0</v>
      </c>
      <c r="X1148" s="13" t="s">
        <v>1209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1" t="n">
        <v>3</v>
      </c>
      <c r="B1149" s="12" t="n">
        <v>46218</v>
      </c>
      <c r="C1149" s="12" t="n">
        <v>46226</v>
      </c>
      <c r="D1149" s="11" t="n">
        <v>1705</v>
      </c>
      <c r="E1149" s="13" t="s">
        <v>122</v>
      </c>
      <c r="F1149" s="11" t="n">
        <v>24</v>
      </c>
      <c r="G1149" s="13" t="s">
        <v>42</v>
      </c>
      <c r="H1149" s="11" t="n">
        <v>2110405</v>
      </c>
      <c r="I1149" s="13" t="s">
        <v>34</v>
      </c>
      <c r="J1149" s="11" t="n">
        <v>1411780</v>
      </c>
      <c r="L1149" s="11" t="n">
        <v>19402105</v>
      </c>
      <c r="M1149" s="13" t="s">
        <v>44</v>
      </c>
      <c r="N1149" s="13" t="s">
        <v>36</v>
      </c>
      <c r="P1149" s="11" t="n">
        <v>167</v>
      </c>
      <c r="Q1149" s="13" t="s">
        <v>101</v>
      </c>
      <c r="R1149" s="13" t="s">
        <v>46</v>
      </c>
      <c r="S1149" s="11" t="n">
        <v>1130101</v>
      </c>
      <c r="T1149" s="13" t="s">
        <v>47</v>
      </c>
      <c r="U1149" s="14" t="n">
        <v>1042.19</v>
      </c>
      <c r="W1149" s="14" t="n">
        <v>0</v>
      </c>
      <c r="X1149" s="13" t="s">
        <v>1210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1" t="n">
        <v>3</v>
      </c>
      <c r="B1150" s="12" t="n">
        <v>46218</v>
      </c>
      <c r="C1150" s="12" t="n">
        <v>46226</v>
      </c>
      <c r="D1150" s="11" t="n">
        <v>1705</v>
      </c>
      <c r="E1150" s="13" t="s">
        <v>122</v>
      </c>
      <c r="F1150" s="11" t="n">
        <v>24</v>
      </c>
      <c r="G1150" s="13" t="s">
        <v>42</v>
      </c>
      <c r="H1150" s="11" t="n">
        <v>2110405</v>
      </c>
      <c r="I1150" s="13" t="s">
        <v>34</v>
      </c>
      <c r="J1150" s="11" t="n">
        <v>1411794</v>
      </c>
      <c r="L1150" s="11" t="n">
        <v>12071687</v>
      </c>
      <c r="M1150" s="13" t="s">
        <v>44</v>
      </c>
      <c r="N1150" s="13" t="s">
        <v>36</v>
      </c>
      <c r="P1150" s="11" t="n">
        <v>167</v>
      </c>
      <c r="Q1150" s="13" t="s">
        <v>101</v>
      </c>
      <c r="R1150" s="13" t="s">
        <v>46</v>
      </c>
      <c r="S1150" s="11" t="n">
        <v>1130101</v>
      </c>
      <c r="T1150" s="13" t="s">
        <v>47</v>
      </c>
      <c r="U1150" s="14" t="n">
        <v>1456.69</v>
      </c>
      <c r="W1150" s="14" t="n">
        <v>0</v>
      </c>
      <c r="X1150" s="13" t="s">
        <v>1211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1" t="n">
        <v>3</v>
      </c>
      <c r="B1151" s="12" t="n">
        <v>46224</v>
      </c>
      <c r="C1151" s="12" t="n">
        <v>46226</v>
      </c>
      <c r="D1151" s="11" t="n">
        <v>225</v>
      </c>
      <c r="E1151" s="13" t="s">
        <v>239</v>
      </c>
      <c r="F1151" s="11" t="n">
        <v>34</v>
      </c>
      <c r="G1151" s="13" t="s">
        <v>33</v>
      </c>
      <c r="H1151" s="11" t="n">
        <v>2110405</v>
      </c>
      <c r="I1151" s="13" t="s">
        <v>34</v>
      </c>
      <c r="J1151" s="11" t="n">
        <v>1427548</v>
      </c>
      <c r="L1151" s="11" t="n">
        <v>222826</v>
      </c>
      <c r="M1151" s="13" t="s">
        <v>44</v>
      </c>
      <c r="N1151" s="13" t="s">
        <v>36</v>
      </c>
      <c r="P1151" s="11" t="n">
        <v>101</v>
      </c>
      <c r="Q1151" s="13" t="s">
        <v>37</v>
      </c>
      <c r="R1151" s="13" t="s">
        <v>72</v>
      </c>
      <c r="S1151" s="11" t="n">
        <v>4210305</v>
      </c>
      <c r="T1151" s="13" t="s">
        <v>1212</v>
      </c>
      <c r="U1151" s="14" t="n">
        <v>67.54</v>
      </c>
      <c r="W1151" s="14" t="n">
        <v>0</v>
      </c>
      <c r="X1151" s="13" t="s">
        <v>1213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46224</v>
      </c>
      <c r="C1152" s="12" t="n">
        <v>46226</v>
      </c>
      <c r="D1152" s="11" t="n">
        <v>239</v>
      </c>
      <c r="E1152" s="13" t="s">
        <v>96</v>
      </c>
      <c r="F1152" s="11" t="n">
        <v>34</v>
      </c>
      <c r="G1152" s="13" t="s">
        <v>33</v>
      </c>
      <c r="H1152" s="11" t="n">
        <v>2110405</v>
      </c>
      <c r="I1152" s="13" t="s">
        <v>34</v>
      </c>
      <c r="J1152" s="11" t="n">
        <v>1427734</v>
      </c>
      <c r="L1152" s="11" t="n">
        <v>222862</v>
      </c>
      <c r="M1152" s="13" t="s">
        <v>44</v>
      </c>
      <c r="N1152" s="13" t="s">
        <v>36</v>
      </c>
      <c r="P1152" s="11" t="n">
        <v>101</v>
      </c>
      <c r="Q1152" s="13" t="s">
        <v>37</v>
      </c>
      <c r="R1152" s="13" t="s">
        <v>72</v>
      </c>
      <c r="S1152" s="11" t="n">
        <v>4210305</v>
      </c>
      <c r="T1152" s="13" t="s">
        <v>1212</v>
      </c>
      <c r="U1152" s="14" t="n">
        <v>959.12</v>
      </c>
      <c r="W1152" s="14" t="n">
        <v>0</v>
      </c>
      <c r="X1152" s="13" t="s">
        <v>1214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1" t="n">
        <v>3</v>
      </c>
      <c r="B1153" s="12" t="n">
        <v>46226</v>
      </c>
      <c r="C1153" s="12" t="n">
        <v>46226</v>
      </c>
      <c r="D1153" s="11" t="n">
        <v>42</v>
      </c>
      <c r="E1153" s="13" t="s">
        <v>80</v>
      </c>
      <c r="F1153" s="11" t="n">
        <v>13</v>
      </c>
      <c r="G1153" s="13" t="s">
        <v>81</v>
      </c>
      <c r="H1153" s="11" t="n">
        <v>2110101</v>
      </c>
      <c r="I1153" s="13" t="s">
        <v>43</v>
      </c>
      <c r="J1153" s="11" t="n">
        <v>1438893</v>
      </c>
      <c r="L1153" s="11" t="n">
        <v>4413</v>
      </c>
      <c r="M1153" s="13" t="s">
        <v>44</v>
      </c>
      <c r="N1153" s="13" t="s">
        <v>69</v>
      </c>
      <c r="P1153" s="11" t="n">
        <v>167</v>
      </c>
      <c r="Q1153" s="13" t="s">
        <v>101</v>
      </c>
      <c r="R1153" s="13" t="s">
        <v>46</v>
      </c>
      <c r="S1153" s="11" t="n">
        <v>1130101</v>
      </c>
      <c r="T1153" s="13" t="s">
        <v>47</v>
      </c>
      <c r="U1153" s="14" t="n">
        <v>60</v>
      </c>
      <c r="W1153" s="14" t="n">
        <v>60</v>
      </c>
      <c r="X1153" s="13" t="s">
        <v>1161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46226</v>
      </c>
      <c r="C1154" s="12" t="n">
        <v>46226</v>
      </c>
      <c r="D1154" s="11" t="n">
        <v>42</v>
      </c>
      <c r="E1154" s="13" t="s">
        <v>80</v>
      </c>
      <c r="F1154" s="11" t="n">
        <v>13</v>
      </c>
      <c r="G1154" s="13" t="s">
        <v>81</v>
      </c>
      <c r="H1154" s="11" t="n">
        <v>2110101</v>
      </c>
      <c r="I1154" s="13" t="s">
        <v>43</v>
      </c>
      <c r="J1154" s="11" t="n">
        <v>1439345</v>
      </c>
      <c r="L1154" s="11" t="n">
        <v>4415</v>
      </c>
      <c r="M1154" s="13" t="s">
        <v>44</v>
      </c>
      <c r="N1154" s="13" t="s">
        <v>69</v>
      </c>
      <c r="P1154" s="11" t="n">
        <v>167</v>
      </c>
      <c r="Q1154" s="13" t="s">
        <v>101</v>
      </c>
      <c r="R1154" s="13" t="s">
        <v>46</v>
      </c>
      <c r="S1154" s="11" t="n">
        <v>1130101</v>
      </c>
      <c r="T1154" s="13" t="s">
        <v>47</v>
      </c>
      <c r="U1154" s="14" t="n">
        <v>125</v>
      </c>
      <c r="W1154" s="14" t="n">
        <v>125</v>
      </c>
      <c r="X1154" s="13" t="s">
        <v>1192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46182</v>
      </c>
      <c r="C1155" s="12" t="n">
        <v>46227</v>
      </c>
      <c r="D1155" s="11" t="n">
        <v>957</v>
      </c>
      <c r="E1155" s="13" t="s">
        <v>720</v>
      </c>
      <c r="F1155" s="11" t="n">
        <v>24</v>
      </c>
      <c r="G1155" s="13" t="s">
        <v>42</v>
      </c>
      <c r="H1155" s="11" t="n">
        <v>2110101</v>
      </c>
      <c r="I1155" s="13" t="s">
        <v>43</v>
      </c>
      <c r="J1155" s="11" t="n">
        <v>1231870</v>
      </c>
      <c r="L1155" s="11" t="n">
        <v>202654</v>
      </c>
      <c r="M1155" s="13" t="s">
        <v>44</v>
      </c>
      <c r="N1155" s="13" t="s">
        <v>36</v>
      </c>
      <c r="P1155" s="11" t="n">
        <v>128</v>
      </c>
      <c r="Q1155" s="13" t="s">
        <v>45</v>
      </c>
      <c r="R1155" s="13" t="s">
        <v>46</v>
      </c>
      <c r="S1155" s="11" t="n">
        <v>1130101</v>
      </c>
      <c r="T1155" s="13" t="s">
        <v>47</v>
      </c>
      <c r="U1155" s="14" t="n">
        <v>227.28</v>
      </c>
      <c r="W1155" s="14" t="n">
        <v>0</v>
      </c>
      <c r="X1155" s="13" t="s">
        <v>1215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1" t="n">
        <v>3</v>
      </c>
      <c r="B1156" s="12" t="n">
        <v>46182</v>
      </c>
      <c r="C1156" s="12" t="n">
        <v>46227</v>
      </c>
      <c r="D1156" s="11" t="n">
        <v>957</v>
      </c>
      <c r="E1156" s="13" t="s">
        <v>720</v>
      </c>
      <c r="F1156" s="11" t="n">
        <v>24</v>
      </c>
      <c r="G1156" s="13" t="s">
        <v>42</v>
      </c>
      <c r="H1156" s="11" t="n">
        <v>2110101</v>
      </c>
      <c r="I1156" s="13" t="s">
        <v>43</v>
      </c>
      <c r="J1156" s="11" t="n">
        <v>1231888</v>
      </c>
      <c r="L1156" s="11" t="n">
        <v>202653</v>
      </c>
      <c r="M1156" s="13" t="s">
        <v>44</v>
      </c>
      <c r="N1156" s="13" t="s">
        <v>36</v>
      </c>
      <c r="P1156" s="11" t="n">
        <v>128</v>
      </c>
      <c r="Q1156" s="13" t="s">
        <v>45</v>
      </c>
      <c r="R1156" s="13" t="s">
        <v>46</v>
      </c>
      <c r="S1156" s="11" t="n">
        <v>1130101</v>
      </c>
      <c r="T1156" s="13" t="s">
        <v>47</v>
      </c>
      <c r="U1156" s="14" t="n">
        <v>2206.52</v>
      </c>
      <c r="W1156" s="14" t="n">
        <v>0</v>
      </c>
      <c r="X1156" s="13" t="s">
        <v>1216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46227</v>
      </c>
      <c r="D1157" s="11" t="n">
        <v>1659</v>
      </c>
      <c r="E1157" s="13" t="s">
        <v>251</v>
      </c>
      <c r="F1157" s="11" t="n">
        <v>24</v>
      </c>
      <c r="G1157" s="13" t="s">
        <v>42</v>
      </c>
      <c r="H1157" s="11" t="n">
        <v>2110101</v>
      </c>
      <c r="I1157" s="13" t="s">
        <v>43</v>
      </c>
      <c r="J1157" s="11" t="n">
        <v>1305103</v>
      </c>
      <c r="L1157" s="11" t="n">
        <v>8812243</v>
      </c>
      <c r="M1157" s="13" t="s">
        <v>44</v>
      </c>
      <c r="N1157" s="13" t="s">
        <v>36</v>
      </c>
      <c r="P1157" s="11" t="n">
        <v>128</v>
      </c>
      <c r="Q1157" s="13" t="s">
        <v>45</v>
      </c>
      <c r="R1157" s="13" t="s">
        <v>46</v>
      </c>
      <c r="S1157" s="11" t="n">
        <v>1130101</v>
      </c>
      <c r="T1157" s="13" t="s">
        <v>47</v>
      </c>
      <c r="U1157" s="14" t="n">
        <v>764.33</v>
      </c>
      <c r="W1157" s="14" t="n">
        <v>0</v>
      </c>
      <c r="X1157" s="13" t="s">
        <v>1217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1" t="n">
        <v>3</v>
      </c>
      <c r="B1158" s="12" t="n">
        <v>46202</v>
      </c>
      <c r="C1158" s="12" t="n">
        <v>46227</v>
      </c>
      <c r="D1158" s="11" t="n">
        <v>10011</v>
      </c>
      <c r="E1158" s="13" t="s">
        <v>284</v>
      </c>
      <c r="F1158" s="11" t="n">
        <v>24</v>
      </c>
      <c r="G1158" s="13" t="s">
        <v>42</v>
      </c>
      <c r="H1158" s="11" t="n">
        <v>2110101</v>
      </c>
      <c r="I1158" s="13" t="s">
        <v>43</v>
      </c>
      <c r="J1158" s="11" t="n">
        <v>1334040</v>
      </c>
      <c r="L1158" s="11" t="n">
        <v>344681</v>
      </c>
      <c r="M1158" s="13" t="s">
        <v>44</v>
      </c>
      <c r="N1158" s="13" t="s">
        <v>36</v>
      </c>
      <c r="P1158" s="11" t="n">
        <v>167</v>
      </c>
      <c r="Q1158" s="13" t="s">
        <v>101</v>
      </c>
      <c r="R1158" s="13" t="s">
        <v>46</v>
      </c>
      <c r="S1158" s="11" t="n">
        <v>1130101</v>
      </c>
      <c r="T1158" s="13" t="s">
        <v>47</v>
      </c>
      <c r="U1158" s="14" t="n">
        <v>925.9</v>
      </c>
      <c r="W1158" s="14" t="n">
        <v>0</v>
      </c>
      <c r="X1158" s="13" t="s">
        <v>1218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1" t="n">
        <v>3</v>
      </c>
      <c r="B1159" s="12" t="n">
        <v>46207</v>
      </c>
      <c r="C1159" s="12" t="n">
        <v>46227</v>
      </c>
      <c r="D1159" s="11" t="n">
        <v>10009</v>
      </c>
      <c r="E1159" s="13" t="s">
        <v>373</v>
      </c>
      <c r="F1159" s="11" t="n">
        <v>24</v>
      </c>
      <c r="G1159" s="13" t="s">
        <v>42</v>
      </c>
      <c r="H1159" s="11" t="n">
        <v>2110101</v>
      </c>
      <c r="I1159" s="13" t="s">
        <v>43</v>
      </c>
      <c r="J1159" s="11" t="n">
        <v>1348387</v>
      </c>
      <c r="L1159" s="11" t="n">
        <v>1424294</v>
      </c>
      <c r="M1159" s="13" t="s">
        <v>44</v>
      </c>
      <c r="N1159" s="13" t="s">
        <v>69</v>
      </c>
      <c r="P1159" s="11" t="n">
        <v>167</v>
      </c>
      <c r="Q1159" s="13" t="s">
        <v>101</v>
      </c>
      <c r="R1159" s="13" t="s">
        <v>46</v>
      </c>
      <c r="S1159" s="11" t="n">
        <v>1130101</v>
      </c>
      <c r="T1159" s="13" t="s">
        <v>47</v>
      </c>
      <c r="U1159" s="14" t="n">
        <v>849.67</v>
      </c>
      <c r="W1159" s="14" t="n">
        <v>0</v>
      </c>
      <c r="X1159" s="13" t="s">
        <v>1219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1" t="n">
        <v>3</v>
      </c>
      <c r="B1160" s="12" t="n">
        <v>46209</v>
      </c>
      <c r="C1160" s="12" t="n">
        <v>46227</v>
      </c>
      <c r="D1160" s="11" t="n">
        <v>1136</v>
      </c>
      <c r="E1160" s="13" t="s">
        <v>693</v>
      </c>
      <c r="F1160" s="11" t="n">
        <v>24</v>
      </c>
      <c r="G1160" s="13" t="s">
        <v>42</v>
      </c>
      <c r="H1160" s="11" t="n">
        <v>2110101</v>
      </c>
      <c r="I1160" s="13" t="s">
        <v>43</v>
      </c>
      <c r="J1160" s="11" t="n">
        <v>1377173</v>
      </c>
      <c r="L1160" s="11" t="n">
        <v>516261</v>
      </c>
      <c r="M1160" s="13" t="s">
        <v>44</v>
      </c>
      <c r="N1160" s="13" t="s">
        <v>36</v>
      </c>
      <c r="P1160" s="11" t="n">
        <v>167</v>
      </c>
      <c r="Q1160" s="13" t="s">
        <v>101</v>
      </c>
      <c r="R1160" s="13" t="s">
        <v>46</v>
      </c>
      <c r="S1160" s="11" t="n">
        <v>1130101</v>
      </c>
      <c r="T1160" s="13" t="s">
        <v>47</v>
      </c>
      <c r="U1160" s="14" t="n">
        <v>567.71</v>
      </c>
      <c r="W1160" s="14" t="n">
        <v>0</v>
      </c>
      <c r="X1160" s="13" t="s">
        <v>1220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KRO QUEIJO 100G</v>
      </c>
      <c r="AC1160" s="1" t="n">
        <v>51626</v>
      </c>
    </row>
    <row r="1161" customFormat="false" ht="12.75" hidden="false" customHeight="true" outlineLevel="0" collapsed="false">
      <c r="A1161" s="11" t="n">
        <v>3</v>
      </c>
      <c r="B1161" s="12" t="n">
        <v>46212</v>
      </c>
      <c r="C1161" s="12" t="n">
        <v>46227</v>
      </c>
      <c r="D1161" s="11" t="n">
        <v>1666</v>
      </c>
      <c r="E1161" s="13" t="s">
        <v>212</v>
      </c>
      <c r="F1161" s="11" t="n">
        <v>24</v>
      </c>
      <c r="G1161" s="13" t="s">
        <v>42</v>
      </c>
      <c r="H1161" s="11" t="n">
        <v>2110101</v>
      </c>
      <c r="I1161" s="13" t="s">
        <v>43</v>
      </c>
      <c r="J1161" s="11" t="n">
        <v>1377206</v>
      </c>
      <c r="L1161" s="11" t="n">
        <v>5667172</v>
      </c>
      <c r="M1161" s="13" t="s">
        <v>44</v>
      </c>
      <c r="N1161" s="13" t="s">
        <v>36</v>
      </c>
      <c r="P1161" s="11" t="n">
        <v>167</v>
      </c>
      <c r="Q1161" s="13" t="s">
        <v>101</v>
      </c>
      <c r="R1161" s="13" t="s">
        <v>46</v>
      </c>
      <c r="S1161" s="11" t="n">
        <v>1130101</v>
      </c>
      <c r="T1161" s="13" t="s">
        <v>47</v>
      </c>
      <c r="U1161" s="14" t="n">
        <v>1901.92</v>
      </c>
      <c r="W1161" s="14" t="n">
        <v>0</v>
      </c>
      <c r="X1161" s="13" t="s">
        <v>1221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DUNHILL CARLTON BLEN</v>
      </c>
      <c r="AC1161" s="1" t="n">
        <v>566717</v>
      </c>
    </row>
    <row r="1162" customFormat="false" ht="12.75" hidden="false" customHeight="true" outlineLevel="0" collapsed="false">
      <c r="A1162" s="11" t="n">
        <v>3</v>
      </c>
      <c r="B1162" s="12" t="n">
        <v>46212</v>
      </c>
      <c r="C1162" s="12" t="n">
        <v>46227</v>
      </c>
      <c r="D1162" s="11" t="n">
        <v>1816</v>
      </c>
      <c r="E1162" s="13" t="s">
        <v>554</v>
      </c>
      <c r="F1162" s="11" t="n">
        <v>24</v>
      </c>
      <c r="G1162" s="13" t="s">
        <v>42</v>
      </c>
      <c r="H1162" s="11" t="n">
        <v>2110405</v>
      </c>
      <c r="I1162" s="13" t="s">
        <v>34</v>
      </c>
      <c r="J1162" s="11" t="n">
        <v>1392479</v>
      </c>
      <c r="L1162" s="11" t="n">
        <v>3333641</v>
      </c>
      <c r="M1162" s="13" t="s">
        <v>44</v>
      </c>
      <c r="N1162" s="13" t="s">
        <v>36</v>
      </c>
      <c r="P1162" s="11" t="n">
        <v>167</v>
      </c>
      <c r="Q1162" s="13" t="s">
        <v>101</v>
      </c>
      <c r="R1162" s="13" t="s">
        <v>46</v>
      </c>
      <c r="S1162" s="11" t="n">
        <v>1130101</v>
      </c>
      <c r="T1162" s="13" t="s">
        <v>47</v>
      </c>
      <c r="U1162" s="14" t="n">
        <v>1528.63</v>
      </c>
      <c r="W1162" s="14" t="n">
        <v>0</v>
      </c>
      <c r="X1162" s="13" t="s">
        <v>1222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AGUA SANI BRINORT 1L</v>
      </c>
      <c r="AC1162" s="1" t="n">
        <v>55315</v>
      </c>
    </row>
    <row r="1163" customFormat="false" ht="12.75" hidden="false" customHeight="true" outlineLevel="0" collapsed="false">
      <c r="A1163" s="11" t="n">
        <v>3</v>
      </c>
      <c r="B1163" s="12" t="n">
        <v>46218</v>
      </c>
      <c r="C1163" s="12" t="n">
        <v>46227</v>
      </c>
      <c r="D1163" s="11" t="n">
        <v>10009</v>
      </c>
      <c r="E1163" s="13" t="s">
        <v>373</v>
      </c>
      <c r="F1163" s="11" t="n">
        <v>24</v>
      </c>
      <c r="G1163" s="13" t="s">
        <v>42</v>
      </c>
      <c r="H1163" s="11" t="n">
        <v>2110405</v>
      </c>
      <c r="I1163" s="13" t="s">
        <v>34</v>
      </c>
      <c r="J1163" s="11" t="n">
        <v>1402519</v>
      </c>
      <c r="L1163" s="11" t="n">
        <v>1426526</v>
      </c>
      <c r="M1163" s="13" t="s">
        <v>44</v>
      </c>
      <c r="N1163" s="13" t="s">
        <v>36</v>
      </c>
      <c r="P1163" s="11" t="n">
        <v>167</v>
      </c>
      <c r="Q1163" s="13" t="s">
        <v>101</v>
      </c>
      <c r="R1163" s="13" t="s">
        <v>46</v>
      </c>
      <c r="S1163" s="11" t="n">
        <v>1130101</v>
      </c>
      <c r="T1163" s="13" t="s">
        <v>47</v>
      </c>
      <c r="U1163" s="14" t="n">
        <v>1113.53</v>
      </c>
      <c r="W1163" s="14" t="n">
        <v>0</v>
      </c>
      <c r="X1163" s="13" t="s">
        <v>1223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BATON CHOCO AO LEITE</v>
      </c>
      <c r="AC1163" s="1" t="n">
        <v>1426526</v>
      </c>
    </row>
    <row r="1164" customFormat="false" ht="12.75" hidden="false" customHeight="true" outlineLevel="0" collapsed="false">
      <c r="A1164" s="11" t="n">
        <v>3</v>
      </c>
      <c r="B1164" s="12" t="n">
        <v>46213</v>
      </c>
      <c r="C1164" s="12" t="n">
        <v>46227</v>
      </c>
      <c r="D1164" s="11" t="n">
        <v>1657</v>
      </c>
      <c r="E1164" s="13" t="s">
        <v>255</v>
      </c>
      <c r="F1164" s="11" t="n">
        <v>24</v>
      </c>
      <c r="G1164" s="13" t="s">
        <v>42</v>
      </c>
      <c r="H1164" s="11" t="n">
        <v>2110405</v>
      </c>
      <c r="I1164" s="13" t="s">
        <v>34</v>
      </c>
      <c r="J1164" s="11" t="n">
        <v>1407141</v>
      </c>
      <c r="L1164" s="11" t="n">
        <v>3761991</v>
      </c>
      <c r="M1164" s="13" t="s">
        <v>44</v>
      </c>
      <c r="N1164" s="13" t="s">
        <v>36</v>
      </c>
      <c r="P1164" s="11" t="n">
        <v>167</v>
      </c>
      <c r="Q1164" s="13" t="s">
        <v>101</v>
      </c>
      <c r="R1164" s="13" t="s">
        <v>46</v>
      </c>
      <c r="S1164" s="11" t="n">
        <v>1130101</v>
      </c>
      <c r="T1164" s="13" t="s">
        <v>47</v>
      </c>
      <c r="U1164" s="14" t="n">
        <v>708.09</v>
      </c>
      <c r="W1164" s="14" t="n">
        <v>0</v>
      </c>
      <c r="X1164" s="13" t="s">
        <v>1224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NAFTALINA SANILAR 50</v>
      </c>
      <c r="AC1164" s="1" t="n">
        <v>295040</v>
      </c>
    </row>
    <row r="1165" customFormat="false" ht="12.75" hidden="false" customHeight="true" outlineLevel="0" collapsed="false">
      <c r="A1165" s="11" t="n">
        <v>3</v>
      </c>
      <c r="B1165" s="12" t="n">
        <v>46219</v>
      </c>
      <c r="C1165" s="12" t="n">
        <v>46227</v>
      </c>
      <c r="D1165" s="11" t="n">
        <v>1814</v>
      </c>
      <c r="E1165" s="13" t="s">
        <v>339</v>
      </c>
      <c r="F1165" s="11" t="n">
        <v>24</v>
      </c>
      <c r="G1165" s="13" t="s">
        <v>42</v>
      </c>
      <c r="H1165" s="11" t="n">
        <v>2110405</v>
      </c>
      <c r="I1165" s="13" t="s">
        <v>34</v>
      </c>
      <c r="J1165" s="11" t="n">
        <v>1411448</v>
      </c>
      <c r="L1165" s="11" t="n">
        <v>276211</v>
      </c>
      <c r="M1165" s="13" t="s">
        <v>44</v>
      </c>
      <c r="N1165" s="13" t="s">
        <v>36</v>
      </c>
      <c r="P1165" s="11" t="n">
        <v>167</v>
      </c>
      <c r="Q1165" s="13" t="s">
        <v>101</v>
      </c>
      <c r="R1165" s="13" t="s">
        <v>46</v>
      </c>
      <c r="S1165" s="11" t="n">
        <v>1130101</v>
      </c>
      <c r="T1165" s="13" t="s">
        <v>47</v>
      </c>
      <c r="U1165" s="14" t="n">
        <v>678.13</v>
      </c>
      <c r="W1165" s="14" t="n">
        <v>0</v>
      </c>
      <c r="X1165" s="13" t="s">
        <v>1225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POLPA GRAVIOLA 100G</v>
      </c>
      <c r="AC1165" s="1" t="n">
        <v>27621</v>
      </c>
    </row>
    <row r="1166" customFormat="false" ht="12.75" hidden="false" customHeight="true" outlineLevel="0" collapsed="false">
      <c r="A1166" s="11" t="n">
        <v>3</v>
      </c>
      <c r="B1166" s="12" t="n">
        <v>46217</v>
      </c>
      <c r="C1166" s="12" t="n">
        <v>46227</v>
      </c>
      <c r="D1166" s="11" t="n">
        <v>1723</v>
      </c>
      <c r="E1166" s="13" t="s">
        <v>76</v>
      </c>
      <c r="F1166" s="11" t="n">
        <v>24</v>
      </c>
      <c r="G1166" s="13" t="s">
        <v>42</v>
      </c>
      <c r="H1166" s="11" t="n">
        <v>2110405</v>
      </c>
      <c r="I1166" s="13" t="s">
        <v>34</v>
      </c>
      <c r="J1166" s="11" t="n">
        <v>1411463</v>
      </c>
      <c r="L1166" s="11" t="n">
        <v>56411</v>
      </c>
      <c r="M1166" s="13" t="s">
        <v>44</v>
      </c>
      <c r="N1166" s="13" t="s">
        <v>36</v>
      </c>
      <c r="P1166" s="11" t="n">
        <v>167</v>
      </c>
      <c r="Q1166" s="13" t="s">
        <v>101</v>
      </c>
      <c r="R1166" s="13" t="s">
        <v>46</v>
      </c>
      <c r="S1166" s="11" t="n">
        <v>1130101</v>
      </c>
      <c r="T1166" s="13" t="s">
        <v>47</v>
      </c>
      <c r="U1166" s="14" t="n">
        <v>4513.6</v>
      </c>
      <c r="W1166" s="14" t="n">
        <v>0</v>
      </c>
      <c r="X1166" s="13" t="s">
        <v>1226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TRASEIRO DE BOI L1</v>
      </c>
      <c r="AC1166" s="1" t="n">
        <v>173151</v>
      </c>
    </row>
    <row r="1167" customFormat="false" ht="12.75" hidden="false" customHeight="true" outlineLevel="0" collapsed="false">
      <c r="A1167" s="11" t="n">
        <v>3</v>
      </c>
      <c r="B1167" s="12" t="n">
        <v>46219</v>
      </c>
      <c r="C1167" s="12" t="n">
        <v>46227</v>
      </c>
      <c r="D1167" s="11" t="n">
        <v>1166</v>
      </c>
      <c r="E1167" s="13" t="s">
        <v>941</v>
      </c>
      <c r="F1167" s="11" t="n">
        <v>24</v>
      </c>
      <c r="G1167" s="13" t="s">
        <v>42</v>
      </c>
      <c r="H1167" s="11" t="n">
        <v>2110405</v>
      </c>
      <c r="I1167" s="13" t="s">
        <v>34</v>
      </c>
      <c r="J1167" s="11" t="n">
        <v>1411480</v>
      </c>
      <c r="L1167" s="11" t="n">
        <v>335191</v>
      </c>
      <c r="M1167" s="13" t="s">
        <v>44</v>
      </c>
      <c r="N1167" s="13" t="s">
        <v>36</v>
      </c>
      <c r="P1167" s="11" t="n">
        <v>167</v>
      </c>
      <c r="Q1167" s="13" t="s">
        <v>101</v>
      </c>
      <c r="R1167" s="13" t="s">
        <v>46</v>
      </c>
      <c r="S1167" s="11" t="n">
        <v>1130101</v>
      </c>
      <c r="T1167" s="13" t="s">
        <v>47</v>
      </c>
      <c r="U1167" s="14" t="n">
        <v>631.62</v>
      </c>
      <c r="W1167" s="14" t="n">
        <v>0</v>
      </c>
      <c r="X1167" s="13" t="s">
        <v>1227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MARGARINA DELINE 250</v>
      </c>
      <c r="AC1167" s="1" t="n">
        <v>35519</v>
      </c>
    </row>
    <row r="1168" customFormat="false" ht="12.75" hidden="false" customHeight="true" outlineLevel="0" collapsed="false">
      <c r="A1168" s="11" t="n">
        <v>3</v>
      </c>
      <c r="B1168" s="12" t="n">
        <v>46220</v>
      </c>
      <c r="C1168" s="12" t="n">
        <v>46227</v>
      </c>
      <c r="D1168" s="11" t="n">
        <v>1378</v>
      </c>
      <c r="E1168" s="13" t="s">
        <v>120</v>
      </c>
      <c r="F1168" s="11" t="n">
        <v>24</v>
      </c>
      <c r="G1168" s="13" t="s">
        <v>42</v>
      </c>
      <c r="H1168" s="11" t="n">
        <v>2110405</v>
      </c>
      <c r="I1168" s="13" t="s">
        <v>34</v>
      </c>
      <c r="J1168" s="11" t="n">
        <v>1414499</v>
      </c>
      <c r="L1168" s="11" t="n">
        <v>18250</v>
      </c>
      <c r="M1168" s="13" t="s">
        <v>44</v>
      </c>
      <c r="N1168" s="13" t="s">
        <v>36</v>
      </c>
      <c r="P1168" s="11" t="n">
        <v>167</v>
      </c>
      <c r="Q1168" s="13" t="s">
        <v>101</v>
      </c>
      <c r="R1168" s="13" t="s">
        <v>46</v>
      </c>
      <c r="S1168" s="11" t="n">
        <v>1130101</v>
      </c>
      <c r="T1168" s="13" t="s">
        <v>47</v>
      </c>
      <c r="U1168" s="14" t="n">
        <v>201.5</v>
      </c>
      <c r="W1168" s="14" t="n">
        <v>0</v>
      </c>
      <c r="X1168" s="13" t="s">
        <v>1228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PAN. HAMBURGUER DORA</v>
      </c>
      <c r="AC1168" s="1" t="n">
        <v>18250</v>
      </c>
    </row>
    <row r="1169" customFormat="false" ht="12.75" hidden="false" customHeight="true" outlineLevel="0" collapsed="false">
      <c r="A1169" s="11" t="n">
        <v>3</v>
      </c>
      <c r="B1169" s="12" t="n">
        <v>46223</v>
      </c>
      <c r="C1169" s="12" t="n">
        <v>46227</v>
      </c>
      <c r="D1169" s="11" t="n">
        <v>33</v>
      </c>
      <c r="E1169" s="13" t="s">
        <v>71</v>
      </c>
      <c r="F1169" s="11" t="n">
        <v>34</v>
      </c>
      <c r="G1169" s="13" t="s">
        <v>33</v>
      </c>
      <c r="H1169" s="11" t="n">
        <v>2110405</v>
      </c>
      <c r="I1169" s="13" t="s">
        <v>34</v>
      </c>
      <c r="J1169" s="11" t="n">
        <v>1425044</v>
      </c>
      <c r="L1169" s="11" t="n">
        <v>222361</v>
      </c>
      <c r="M1169" s="13" t="s">
        <v>44</v>
      </c>
      <c r="N1169" s="13" t="s">
        <v>36</v>
      </c>
      <c r="P1169" s="11" t="n">
        <v>101</v>
      </c>
      <c r="Q1169" s="13" t="s">
        <v>37</v>
      </c>
      <c r="R1169" s="13" t="s">
        <v>109</v>
      </c>
      <c r="S1169" s="11" t="n">
        <v>1240203</v>
      </c>
      <c r="T1169" s="13" t="s">
        <v>110</v>
      </c>
      <c r="U1169" s="14" t="n">
        <v>2320.3</v>
      </c>
      <c r="W1169" s="14" t="n">
        <v>0</v>
      </c>
      <c r="X1169" s="13" t="s">
        <v>1229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46224</v>
      </c>
      <c r="C1170" s="12" t="n">
        <v>46227</v>
      </c>
      <c r="D1170" s="11" t="n">
        <v>42</v>
      </c>
      <c r="E1170" s="13" t="s">
        <v>80</v>
      </c>
      <c r="F1170" s="11" t="n">
        <v>34</v>
      </c>
      <c r="G1170" s="13" t="s">
        <v>33</v>
      </c>
      <c r="H1170" s="11" t="n">
        <v>2110101</v>
      </c>
      <c r="I1170" s="13" t="s">
        <v>43</v>
      </c>
      <c r="J1170" s="11" t="n">
        <v>1428532</v>
      </c>
      <c r="L1170" s="11" t="n">
        <v>4407</v>
      </c>
      <c r="M1170" s="13" t="s">
        <v>44</v>
      </c>
      <c r="N1170" s="13" t="s">
        <v>69</v>
      </c>
      <c r="P1170" s="11" t="n">
        <v>167</v>
      </c>
      <c r="Q1170" s="13" t="s">
        <v>101</v>
      </c>
      <c r="R1170" s="13" t="s">
        <v>46</v>
      </c>
      <c r="S1170" s="11" t="n">
        <v>1130101</v>
      </c>
      <c r="T1170" s="13" t="s">
        <v>47</v>
      </c>
      <c r="U1170" s="14" t="n">
        <v>1699.5</v>
      </c>
      <c r="W1170" s="14" t="n">
        <v>0</v>
      </c>
      <c r="X1170" s="13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46224</v>
      </c>
      <c r="C1171" s="12" t="n">
        <v>46227</v>
      </c>
      <c r="D1171" s="11" t="n">
        <v>1615</v>
      </c>
      <c r="E1171" s="13" t="s">
        <v>130</v>
      </c>
      <c r="F1171" s="11" t="n">
        <v>34</v>
      </c>
      <c r="G1171" s="13" t="s">
        <v>33</v>
      </c>
      <c r="H1171" s="11" t="n">
        <v>2110405</v>
      </c>
      <c r="I1171" s="13" t="s">
        <v>34</v>
      </c>
      <c r="J1171" s="11" t="n">
        <v>1428559</v>
      </c>
      <c r="L1171" s="11" t="n">
        <v>222982</v>
      </c>
      <c r="M1171" s="13" t="s">
        <v>44</v>
      </c>
      <c r="N1171" s="13" t="s">
        <v>36</v>
      </c>
      <c r="P1171" s="11" t="n">
        <v>167</v>
      </c>
      <c r="Q1171" s="13" t="s">
        <v>101</v>
      </c>
      <c r="R1171" s="13" t="s">
        <v>46</v>
      </c>
      <c r="S1171" s="11" t="n">
        <v>1130101</v>
      </c>
      <c r="T1171" s="13" t="s">
        <v>47</v>
      </c>
      <c r="U1171" s="14" t="n">
        <v>175</v>
      </c>
      <c r="W1171" s="14" t="n">
        <v>0</v>
      </c>
      <c r="X1171" s="13" t="s">
        <v>1230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46224</v>
      </c>
      <c r="C1172" s="12" t="n">
        <v>46227</v>
      </c>
      <c r="D1172" s="11" t="n">
        <v>1615</v>
      </c>
      <c r="E1172" s="13" t="s">
        <v>130</v>
      </c>
      <c r="F1172" s="11" t="n">
        <v>34</v>
      </c>
      <c r="G1172" s="13" t="s">
        <v>33</v>
      </c>
      <c r="H1172" s="11" t="n">
        <v>2110405</v>
      </c>
      <c r="I1172" s="13" t="s">
        <v>34</v>
      </c>
      <c r="J1172" s="11" t="n">
        <v>1428582</v>
      </c>
      <c r="L1172" s="11" t="n">
        <v>14912</v>
      </c>
      <c r="M1172" s="13" t="s">
        <v>44</v>
      </c>
      <c r="N1172" s="13" t="s">
        <v>36</v>
      </c>
      <c r="P1172" s="11" t="n">
        <v>167</v>
      </c>
      <c r="Q1172" s="13" t="s">
        <v>101</v>
      </c>
      <c r="R1172" s="13" t="s">
        <v>46</v>
      </c>
      <c r="S1172" s="11" t="n">
        <v>1130101</v>
      </c>
      <c r="T1172" s="13" t="s">
        <v>47</v>
      </c>
      <c r="U1172" s="14" t="n">
        <v>320</v>
      </c>
      <c r="W1172" s="14" t="n">
        <v>0</v>
      </c>
      <c r="X1172" s="13" t="s">
        <v>1231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1" t="n">
        <v>3</v>
      </c>
      <c r="B1173" s="12" t="n">
        <v>46226</v>
      </c>
      <c r="C1173" s="12" t="n">
        <v>46227</v>
      </c>
      <c r="D1173" s="11" t="n">
        <v>10096</v>
      </c>
      <c r="E1173" s="13" t="s">
        <v>1232</v>
      </c>
      <c r="F1173" s="11" t="n">
        <v>34</v>
      </c>
      <c r="G1173" s="13" t="s">
        <v>33</v>
      </c>
      <c r="H1173" s="11" t="n">
        <v>2110405</v>
      </c>
      <c r="I1173" s="13" t="s">
        <v>34</v>
      </c>
      <c r="J1173" s="11" t="n">
        <v>1443300</v>
      </c>
      <c r="L1173" s="11" t="n">
        <v>73</v>
      </c>
      <c r="M1173" s="13" t="s">
        <v>44</v>
      </c>
      <c r="N1173" s="13" t="s">
        <v>36</v>
      </c>
      <c r="P1173" s="11" t="n">
        <v>167</v>
      </c>
      <c r="Q1173" s="13" t="s">
        <v>101</v>
      </c>
      <c r="R1173" s="13" t="s">
        <v>46</v>
      </c>
      <c r="S1173" s="11" t="n">
        <v>1130101</v>
      </c>
      <c r="T1173" s="13" t="s">
        <v>47</v>
      </c>
      <c r="U1173" s="14" t="n">
        <v>240</v>
      </c>
      <c r="W1173" s="14" t="n">
        <v>0</v>
      </c>
      <c r="X1173" s="13" t="s">
        <v>1233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1" t="n">
        <v>3</v>
      </c>
      <c r="B1174" s="12" t="n">
        <v>46227</v>
      </c>
      <c r="C1174" s="12" t="n">
        <v>46227</v>
      </c>
      <c r="D1174" s="11" t="n">
        <v>42</v>
      </c>
      <c r="E1174" s="13" t="s">
        <v>80</v>
      </c>
      <c r="F1174" s="11" t="n">
        <v>13</v>
      </c>
      <c r="G1174" s="13" t="s">
        <v>81</v>
      </c>
      <c r="H1174" s="11" t="n">
        <v>2110101</v>
      </c>
      <c r="I1174" s="13" t="s">
        <v>43</v>
      </c>
      <c r="J1174" s="11" t="n">
        <v>1443567</v>
      </c>
      <c r="L1174" s="11" t="n">
        <v>4417</v>
      </c>
      <c r="M1174" s="13" t="s">
        <v>44</v>
      </c>
      <c r="N1174" s="13" t="s">
        <v>69</v>
      </c>
      <c r="P1174" s="11" t="n">
        <v>167</v>
      </c>
      <c r="Q1174" s="13" t="s">
        <v>101</v>
      </c>
      <c r="R1174" s="13" t="s">
        <v>46</v>
      </c>
      <c r="S1174" s="11" t="n">
        <v>1130101</v>
      </c>
      <c r="T1174" s="13" t="s">
        <v>47</v>
      </c>
      <c r="U1174" s="14" t="n">
        <v>133.74</v>
      </c>
      <c r="W1174" s="14" t="n">
        <v>133.74</v>
      </c>
      <c r="X1174" s="13" t="s">
        <v>1234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46227</v>
      </c>
      <c r="C1175" s="12" t="n">
        <v>46227</v>
      </c>
      <c r="D1175" s="11" t="n">
        <v>42</v>
      </c>
      <c r="E1175" s="13" t="s">
        <v>80</v>
      </c>
      <c r="F1175" s="11" t="n">
        <v>13</v>
      </c>
      <c r="G1175" s="13" t="s">
        <v>81</v>
      </c>
      <c r="H1175" s="11" t="n">
        <v>2110101</v>
      </c>
      <c r="I1175" s="13" t="s">
        <v>43</v>
      </c>
      <c r="J1175" s="11" t="n">
        <v>1443697</v>
      </c>
      <c r="L1175" s="11" t="n">
        <v>4419</v>
      </c>
      <c r="M1175" s="13" t="s">
        <v>44</v>
      </c>
      <c r="N1175" s="13" t="s">
        <v>69</v>
      </c>
      <c r="P1175" s="11" t="n">
        <v>167</v>
      </c>
      <c r="Q1175" s="13" t="s">
        <v>101</v>
      </c>
      <c r="R1175" s="13" t="s">
        <v>46</v>
      </c>
      <c r="S1175" s="11" t="n">
        <v>1130101</v>
      </c>
      <c r="T1175" s="13" t="s">
        <v>47</v>
      </c>
      <c r="U1175" s="14" t="n">
        <v>80</v>
      </c>
      <c r="W1175" s="14" t="n">
        <v>80</v>
      </c>
      <c r="X1175" s="13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46227</v>
      </c>
      <c r="C1176" s="12" t="n">
        <v>46227</v>
      </c>
      <c r="D1176" s="11" t="n">
        <v>10035</v>
      </c>
      <c r="E1176" s="13" t="s">
        <v>227</v>
      </c>
      <c r="F1176" s="11" t="n">
        <v>13</v>
      </c>
      <c r="G1176" s="13" t="s">
        <v>81</v>
      </c>
      <c r="H1176" s="11" t="n">
        <v>2110101</v>
      </c>
      <c r="I1176" s="13" t="s">
        <v>43</v>
      </c>
      <c r="J1176" s="11" t="n">
        <v>1443995</v>
      </c>
      <c r="L1176" s="11" t="n">
        <v>373</v>
      </c>
      <c r="M1176" s="13" t="s">
        <v>44</v>
      </c>
      <c r="N1176" s="13" t="s">
        <v>69</v>
      </c>
      <c r="P1176" s="11" t="n">
        <v>167</v>
      </c>
      <c r="Q1176" s="13" t="s">
        <v>101</v>
      </c>
      <c r="R1176" s="13" t="s">
        <v>46</v>
      </c>
      <c r="S1176" s="11" t="n">
        <v>1130101</v>
      </c>
      <c r="T1176" s="13" t="s">
        <v>47</v>
      </c>
      <c r="U1176" s="14" t="n">
        <v>1030</v>
      </c>
      <c r="W1176" s="14" t="n">
        <v>1030</v>
      </c>
      <c r="X1176" s="13" t="s">
        <v>1235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1" t="n">
        <v>3</v>
      </c>
      <c r="B1177" s="12" t="n">
        <v>46001</v>
      </c>
      <c r="C1177" s="12" t="n">
        <v>46228</v>
      </c>
      <c r="D1177" s="11" t="n">
        <v>1839</v>
      </c>
      <c r="E1177" s="13" t="s">
        <v>613</v>
      </c>
      <c r="F1177" s="11" t="n">
        <v>2</v>
      </c>
      <c r="G1177" s="13" t="s">
        <v>482</v>
      </c>
      <c r="H1177" s="11" t="n">
        <v>2110102</v>
      </c>
      <c r="I1177" s="13" t="s">
        <v>614</v>
      </c>
      <c r="J1177" s="11" t="n">
        <v>315650</v>
      </c>
      <c r="L1177" s="11" t="n">
        <v>86749</v>
      </c>
      <c r="M1177" s="13" t="s">
        <v>1147</v>
      </c>
      <c r="N1177" s="13" t="s">
        <v>69</v>
      </c>
      <c r="P1177" s="11" t="n">
        <v>163</v>
      </c>
      <c r="Q1177" s="13" t="s">
        <v>102</v>
      </c>
      <c r="R1177" s="13" t="s">
        <v>38</v>
      </c>
      <c r="S1177" s="11" t="n">
        <v>4210204</v>
      </c>
      <c r="T1177" s="13" t="s">
        <v>615</v>
      </c>
      <c r="U1177" s="14" t="n">
        <v>47.99</v>
      </c>
      <c r="W1177" s="14" t="n">
        <v>0</v>
      </c>
      <c r="X1177" s="13" t="s">
        <v>1236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1" t="n">
        <v>3</v>
      </c>
      <c r="B1178" s="12" t="n">
        <v>45991</v>
      </c>
      <c r="C1178" s="12" t="n">
        <v>46228</v>
      </c>
      <c r="D1178" s="11" t="n">
        <v>10054</v>
      </c>
      <c r="E1178" s="13" t="s">
        <v>617</v>
      </c>
      <c r="F1178" s="11" t="n">
        <v>2</v>
      </c>
      <c r="G1178" s="13" t="s">
        <v>482</v>
      </c>
      <c r="H1178" s="11" t="n">
        <v>2110405</v>
      </c>
      <c r="I1178" s="13" t="s">
        <v>34</v>
      </c>
      <c r="J1178" s="11" t="n">
        <v>777941</v>
      </c>
      <c r="L1178" s="11" t="n">
        <v>123778</v>
      </c>
      <c r="M1178" s="13" t="s">
        <v>1147</v>
      </c>
      <c r="N1178" s="13" t="s">
        <v>36</v>
      </c>
      <c r="P1178" s="11" t="n">
        <v>129</v>
      </c>
      <c r="Q1178" s="13" t="s">
        <v>102</v>
      </c>
      <c r="R1178" s="13" t="s">
        <v>38</v>
      </c>
      <c r="S1178" s="11" t="n">
        <v>4210227</v>
      </c>
      <c r="T1178" s="13" t="s">
        <v>196</v>
      </c>
      <c r="U1178" s="14" t="n">
        <v>55.2</v>
      </c>
      <c r="W1178" s="14" t="n">
        <v>0</v>
      </c>
      <c r="X1178" s="13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1" t="n">
        <v>3</v>
      </c>
      <c r="B1179" s="12" t="n">
        <v>46157</v>
      </c>
      <c r="C1179" s="12" t="n">
        <v>46228</v>
      </c>
      <c r="D1179" s="11" t="n">
        <v>663</v>
      </c>
      <c r="E1179" s="13" t="s">
        <v>611</v>
      </c>
      <c r="F1179" s="11" t="n">
        <v>2</v>
      </c>
      <c r="G1179" s="13" t="s">
        <v>482</v>
      </c>
      <c r="H1179" s="11" t="n">
        <v>2110405</v>
      </c>
      <c r="I1179" s="13" t="s">
        <v>34</v>
      </c>
      <c r="J1179" s="11" t="n">
        <v>1107237</v>
      </c>
      <c r="L1179" s="11" t="n">
        <v>174072</v>
      </c>
      <c r="M1179" s="13" t="s">
        <v>44</v>
      </c>
      <c r="N1179" s="13" t="s">
        <v>36</v>
      </c>
      <c r="P1179" s="11" t="n">
        <v>128</v>
      </c>
      <c r="Q1179" s="13" t="s">
        <v>45</v>
      </c>
      <c r="R1179" s="13" t="s">
        <v>38</v>
      </c>
      <c r="S1179" s="11" t="n">
        <v>4210227</v>
      </c>
      <c r="T1179" s="13" t="s">
        <v>196</v>
      </c>
      <c r="U1179" s="14" t="n">
        <v>711.75</v>
      </c>
      <c r="W1179" s="14" t="n">
        <v>0</v>
      </c>
      <c r="X1179" s="13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nao encontrado</v>
      </c>
      <c r="AC1179" s="1" t="n">
        <v>12945</v>
      </c>
    </row>
    <row r="1180" customFormat="false" ht="12.75" hidden="false" customHeight="true" outlineLevel="0" collapsed="false">
      <c r="A1180" s="11" t="n">
        <v>3</v>
      </c>
      <c r="B1180" s="12" t="n">
        <v>46167</v>
      </c>
      <c r="C1180" s="12" t="n">
        <v>46228</v>
      </c>
      <c r="D1180" s="11" t="n">
        <v>974</v>
      </c>
      <c r="E1180" s="13" t="s">
        <v>626</v>
      </c>
      <c r="F1180" s="11" t="n">
        <v>2</v>
      </c>
      <c r="G1180" s="13" t="s">
        <v>482</v>
      </c>
      <c r="H1180" s="11" t="n">
        <v>2110405</v>
      </c>
      <c r="I1180" s="13" t="s">
        <v>34</v>
      </c>
      <c r="J1180" s="11" t="n">
        <v>1155858</v>
      </c>
      <c r="L1180" s="11" t="n">
        <v>181375</v>
      </c>
      <c r="M1180" s="13" t="s">
        <v>44</v>
      </c>
      <c r="N1180" s="13" t="s">
        <v>36</v>
      </c>
      <c r="P1180" s="11" t="n">
        <v>128</v>
      </c>
      <c r="Q1180" s="13" t="s">
        <v>45</v>
      </c>
      <c r="R1180" s="13" t="s">
        <v>46</v>
      </c>
      <c r="S1180" s="11" t="n">
        <v>1130101</v>
      </c>
      <c r="T1180" s="13" t="s">
        <v>47</v>
      </c>
      <c r="U1180" s="14" t="n">
        <v>309.75</v>
      </c>
      <c r="W1180" s="14" t="n">
        <v>0</v>
      </c>
      <c r="X1180" s="13" t="s">
        <v>1237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nao encontrado</v>
      </c>
      <c r="AC1180" s="1" t="n">
        <v>416</v>
      </c>
    </row>
    <row r="1181" customFormat="false" ht="12.75" hidden="false" customHeight="true" outlineLevel="0" collapsed="false">
      <c r="A1181" s="11" t="n">
        <v>3</v>
      </c>
      <c r="B1181" s="12" t="n">
        <v>46168</v>
      </c>
      <c r="C1181" s="12" t="n">
        <v>46228</v>
      </c>
      <c r="D1181" s="11" t="n">
        <v>875</v>
      </c>
      <c r="E1181" s="13" t="s">
        <v>630</v>
      </c>
      <c r="F1181" s="11" t="n">
        <v>2</v>
      </c>
      <c r="G1181" s="13" t="s">
        <v>482</v>
      </c>
      <c r="H1181" s="11" t="n">
        <v>2110405</v>
      </c>
      <c r="I1181" s="13" t="s">
        <v>34</v>
      </c>
      <c r="J1181" s="11" t="n">
        <v>1166135</v>
      </c>
      <c r="L1181" s="11" t="n">
        <v>182791</v>
      </c>
      <c r="M1181" s="13" t="s">
        <v>44</v>
      </c>
      <c r="N1181" s="13" t="s">
        <v>36</v>
      </c>
      <c r="P1181" s="11" t="n">
        <v>128</v>
      </c>
      <c r="Q1181" s="13" t="s">
        <v>45</v>
      </c>
      <c r="R1181" s="13" t="s">
        <v>46</v>
      </c>
      <c r="S1181" s="11" t="n">
        <v>1130101</v>
      </c>
      <c r="T1181" s="13" t="s">
        <v>47</v>
      </c>
      <c r="U1181" s="14" t="n">
        <v>1633.2</v>
      </c>
      <c r="W1181" s="14" t="n">
        <v>0</v>
      </c>
      <c r="X1181" s="13" t="s">
        <v>1238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1820</v>
      </c>
    </row>
    <row r="1182" customFormat="false" ht="12.75" hidden="false" customHeight="true" outlineLevel="0" collapsed="false">
      <c r="A1182" s="11" t="n">
        <v>3</v>
      </c>
      <c r="B1182" s="12" t="n">
        <v>46168</v>
      </c>
      <c r="C1182" s="12" t="n">
        <v>46228</v>
      </c>
      <c r="D1182" s="11" t="n">
        <v>10080</v>
      </c>
      <c r="E1182" s="13" t="s">
        <v>639</v>
      </c>
      <c r="F1182" s="11" t="n">
        <v>2</v>
      </c>
      <c r="G1182" s="13" t="s">
        <v>482</v>
      </c>
      <c r="H1182" s="11" t="n">
        <v>2110405</v>
      </c>
      <c r="I1182" s="13" t="s">
        <v>34</v>
      </c>
      <c r="J1182" s="11" t="n">
        <v>1231906</v>
      </c>
      <c r="L1182" s="11" t="n">
        <v>192803</v>
      </c>
      <c r="M1182" s="13" t="s">
        <v>44</v>
      </c>
      <c r="N1182" s="13" t="s">
        <v>36</v>
      </c>
      <c r="P1182" s="11" t="n">
        <v>128</v>
      </c>
      <c r="Q1182" s="13" t="s">
        <v>45</v>
      </c>
      <c r="R1182" s="13" t="s">
        <v>46</v>
      </c>
      <c r="S1182" s="11" t="n">
        <v>1130101</v>
      </c>
      <c r="T1182" s="13" t="s">
        <v>47</v>
      </c>
      <c r="U1182" s="14" t="n">
        <v>205.75</v>
      </c>
      <c r="W1182" s="14" t="n">
        <v>0</v>
      </c>
      <c r="X1182" s="13" t="s">
        <v>1239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nao encontrado</v>
      </c>
      <c r="AC1182" s="1" t="n">
        <v>1950</v>
      </c>
    </row>
    <row r="1183" customFormat="false" ht="12.75" hidden="false" customHeight="true" outlineLevel="0" collapsed="false">
      <c r="A1183" s="11" t="n">
        <v>3</v>
      </c>
      <c r="B1183" s="12" t="n">
        <v>46198</v>
      </c>
      <c r="C1183" s="12" t="n">
        <v>46228</v>
      </c>
      <c r="D1183" s="11" t="n">
        <v>1175</v>
      </c>
      <c r="E1183" s="13" t="s">
        <v>613</v>
      </c>
      <c r="F1183" s="11" t="n">
        <v>2</v>
      </c>
      <c r="G1183" s="13" t="s">
        <v>482</v>
      </c>
      <c r="H1183" s="11" t="n">
        <v>2110405</v>
      </c>
      <c r="I1183" s="13" t="s">
        <v>34</v>
      </c>
      <c r="J1183" s="11" t="n">
        <v>1156455</v>
      </c>
      <c r="L1183" s="11" t="n">
        <v>181468</v>
      </c>
      <c r="M1183" s="13" t="s">
        <v>150</v>
      </c>
      <c r="N1183" s="13" t="s">
        <v>36</v>
      </c>
      <c r="P1183" s="11" t="n">
        <v>102</v>
      </c>
      <c r="Q1183" s="13" t="s">
        <v>186</v>
      </c>
      <c r="R1183" s="13" t="s">
        <v>38</v>
      </c>
      <c r="S1183" s="11" t="n">
        <v>4210227</v>
      </c>
      <c r="T1183" s="13" t="s">
        <v>196</v>
      </c>
      <c r="U1183" s="14" t="n">
        <v>49.97</v>
      </c>
      <c r="W1183" s="14" t="n">
        <v>0</v>
      </c>
      <c r="X1183" s="13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25051</v>
      </c>
    </row>
    <row r="1184" customFormat="false" ht="12.75" hidden="false" customHeight="true" outlineLevel="0" collapsed="false">
      <c r="A1184" s="11" t="n">
        <v>3</v>
      </c>
      <c r="B1184" s="12" t="n">
        <v>46200</v>
      </c>
      <c r="C1184" s="12" t="n">
        <v>46228</v>
      </c>
      <c r="D1184" s="11" t="n">
        <v>10086</v>
      </c>
      <c r="E1184" s="13" t="s">
        <v>608</v>
      </c>
      <c r="F1184" s="11" t="n">
        <v>34</v>
      </c>
      <c r="G1184" s="13" t="s">
        <v>33</v>
      </c>
      <c r="H1184" s="11" t="n">
        <v>2110101</v>
      </c>
      <c r="I1184" s="13" t="s">
        <v>43</v>
      </c>
      <c r="J1184" s="11" t="n">
        <v>1312295</v>
      </c>
      <c r="L1184" s="11" t="n">
        <v>45</v>
      </c>
      <c r="M1184" s="13" t="s">
        <v>44</v>
      </c>
      <c r="N1184" s="13" t="s">
        <v>69</v>
      </c>
      <c r="P1184" s="11" t="n">
        <v>128</v>
      </c>
      <c r="Q1184" s="13" t="s">
        <v>45</v>
      </c>
      <c r="R1184" s="13" t="s">
        <v>46</v>
      </c>
      <c r="S1184" s="11" t="n">
        <v>1130101</v>
      </c>
      <c r="T1184" s="13" t="s">
        <v>47</v>
      </c>
      <c r="U1184" s="14" t="n">
        <v>180</v>
      </c>
      <c r="W1184" s="14" t="n">
        <v>0</v>
      </c>
      <c r="X1184" s="13" t="s">
        <v>1240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1" t="n">
        <v>3</v>
      </c>
      <c r="B1185" s="12" t="n">
        <v>46203</v>
      </c>
      <c r="C1185" s="12" t="n">
        <v>46228</v>
      </c>
      <c r="D1185" s="11" t="n">
        <v>489</v>
      </c>
      <c r="E1185" s="13" t="s">
        <v>181</v>
      </c>
      <c r="F1185" s="11" t="n">
        <v>2</v>
      </c>
      <c r="G1185" s="13" t="s">
        <v>482</v>
      </c>
      <c r="H1185" s="11" t="n">
        <v>2110405</v>
      </c>
      <c r="I1185" s="13" t="s">
        <v>34</v>
      </c>
      <c r="J1185" s="11" t="n">
        <v>1334121</v>
      </c>
      <c r="L1185" s="11" t="n">
        <v>208372</v>
      </c>
      <c r="M1185" s="13" t="s">
        <v>44</v>
      </c>
      <c r="N1185" s="13" t="s">
        <v>36</v>
      </c>
      <c r="P1185" s="11" t="n">
        <v>167</v>
      </c>
      <c r="Q1185" s="13" t="s">
        <v>101</v>
      </c>
      <c r="R1185" s="13" t="s">
        <v>46</v>
      </c>
      <c r="S1185" s="11" t="n">
        <v>1130101</v>
      </c>
      <c r="T1185" s="13" t="s">
        <v>47</v>
      </c>
      <c r="U1185" s="14" t="n">
        <v>101.12</v>
      </c>
      <c r="W1185" s="14" t="n">
        <v>0</v>
      </c>
      <c r="X1185" s="13" t="s">
        <v>1241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46211</v>
      </c>
      <c r="C1186" s="12" t="n">
        <v>46228</v>
      </c>
      <c r="D1186" s="11" t="n">
        <v>1122</v>
      </c>
      <c r="E1186" s="13" t="s">
        <v>1242</v>
      </c>
      <c r="F1186" s="11" t="n">
        <v>24</v>
      </c>
      <c r="G1186" s="13" t="s">
        <v>42</v>
      </c>
      <c r="H1186" s="11" t="n">
        <v>2110405</v>
      </c>
      <c r="I1186" s="13" t="s">
        <v>34</v>
      </c>
      <c r="J1186" s="11" t="n">
        <v>1397045</v>
      </c>
      <c r="L1186" s="11" t="n">
        <v>664111</v>
      </c>
      <c r="M1186" s="13" t="s">
        <v>44</v>
      </c>
      <c r="N1186" s="13" t="s">
        <v>36</v>
      </c>
      <c r="P1186" s="11" t="n">
        <v>167</v>
      </c>
      <c r="Q1186" s="13" t="s">
        <v>101</v>
      </c>
      <c r="R1186" s="13" t="s">
        <v>46</v>
      </c>
      <c r="S1186" s="11" t="n">
        <v>1130101</v>
      </c>
      <c r="T1186" s="13" t="s">
        <v>47</v>
      </c>
      <c r="U1186" s="14" t="n">
        <v>614.99</v>
      </c>
      <c r="W1186" s="14" t="n">
        <v>0</v>
      </c>
      <c r="X1186" s="13" t="s">
        <v>1243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CAD CD 12X1 168FLS P</v>
      </c>
      <c r="AC1186" s="1" t="n">
        <v>12877</v>
      </c>
    </row>
    <row r="1187" customFormat="false" ht="12.75" hidden="false" customHeight="true" outlineLevel="0" collapsed="false">
      <c r="A1187" s="11" t="n">
        <v>3</v>
      </c>
      <c r="B1187" s="12" t="n">
        <v>46211</v>
      </c>
      <c r="C1187" s="12" t="n">
        <v>46228</v>
      </c>
      <c r="D1187" s="11" t="n">
        <v>1672</v>
      </c>
      <c r="E1187" s="13" t="s">
        <v>67</v>
      </c>
      <c r="F1187" s="11" t="n">
        <v>24</v>
      </c>
      <c r="G1187" s="13" t="s">
        <v>42</v>
      </c>
      <c r="H1187" s="11" t="n">
        <v>2110101</v>
      </c>
      <c r="I1187" s="13" t="s">
        <v>43</v>
      </c>
      <c r="J1187" s="11" t="n">
        <v>1369286</v>
      </c>
      <c r="L1187" s="11" t="n">
        <v>1388539</v>
      </c>
      <c r="M1187" s="13" t="s">
        <v>150</v>
      </c>
      <c r="N1187" s="13" t="s">
        <v>69</v>
      </c>
      <c r="P1187" s="11" t="n">
        <v>167</v>
      </c>
      <c r="Q1187" s="13" t="s">
        <v>101</v>
      </c>
      <c r="R1187" s="13" t="s">
        <v>46</v>
      </c>
      <c r="S1187" s="11" t="n">
        <v>1130101</v>
      </c>
      <c r="T1187" s="13" t="s">
        <v>47</v>
      </c>
      <c r="U1187" s="14" t="n">
        <v>887.5</v>
      </c>
      <c r="W1187" s="14" t="n">
        <v>0</v>
      </c>
      <c r="X1187" s="13" t="s">
        <v>1244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AGUAYARA GALAO 20L</v>
      </c>
      <c r="AC1187" s="1" t="n">
        <v>1388539</v>
      </c>
    </row>
    <row r="1188" customFormat="false" ht="12.75" hidden="false" customHeight="true" outlineLevel="0" collapsed="false">
      <c r="A1188" s="11" t="n">
        <v>3</v>
      </c>
      <c r="B1188" s="12" t="n">
        <v>46211</v>
      </c>
      <c r="C1188" s="12" t="n">
        <v>46228</v>
      </c>
      <c r="D1188" s="11" t="n">
        <v>1398</v>
      </c>
      <c r="E1188" s="13" t="s">
        <v>1245</v>
      </c>
      <c r="F1188" s="11" t="n">
        <v>24</v>
      </c>
      <c r="G1188" s="13" t="s">
        <v>42</v>
      </c>
      <c r="H1188" s="11" t="n">
        <v>2110405</v>
      </c>
      <c r="I1188" s="13" t="s">
        <v>34</v>
      </c>
      <c r="J1188" s="11" t="n">
        <v>1397019</v>
      </c>
      <c r="L1188" s="11" t="n">
        <v>33331</v>
      </c>
      <c r="M1188" s="13" t="s">
        <v>44</v>
      </c>
      <c r="N1188" s="13" t="s">
        <v>36</v>
      </c>
      <c r="P1188" s="11" t="n">
        <v>167</v>
      </c>
      <c r="Q1188" s="13" t="s">
        <v>101</v>
      </c>
      <c r="R1188" s="13" t="s">
        <v>46</v>
      </c>
      <c r="S1188" s="11" t="n">
        <v>1130101</v>
      </c>
      <c r="T1188" s="13" t="s">
        <v>47</v>
      </c>
      <c r="U1188" s="14" t="n">
        <v>592.06</v>
      </c>
      <c r="W1188" s="14" t="n">
        <v>0</v>
      </c>
      <c r="X1188" s="13" t="s">
        <v>1246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CADERNO STIFF AMAREL</v>
      </c>
      <c r="AC1188" s="1" t="n">
        <v>1330</v>
      </c>
    </row>
    <row r="1189" customFormat="false" ht="12.75" hidden="false" customHeight="true" outlineLevel="0" collapsed="false">
      <c r="A1189" s="11" t="n">
        <v>3</v>
      </c>
      <c r="B1189" s="12" t="n">
        <v>46220</v>
      </c>
      <c r="C1189" s="12" t="n">
        <v>46228</v>
      </c>
      <c r="D1189" s="11" t="n">
        <v>1836</v>
      </c>
      <c r="E1189" s="13" t="s">
        <v>745</v>
      </c>
      <c r="F1189" s="11" t="n">
        <v>24</v>
      </c>
      <c r="G1189" s="13" t="s">
        <v>42</v>
      </c>
      <c r="H1189" s="11" t="n">
        <v>2110405</v>
      </c>
      <c r="I1189" s="13" t="s">
        <v>34</v>
      </c>
      <c r="J1189" s="11" t="n">
        <v>1411915</v>
      </c>
      <c r="L1189" s="11" t="n">
        <v>220041</v>
      </c>
      <c r="M1189" s="13" t="s">
        <v>44</v>
      </c>
      <c r="N1189" s="13" t="s">
        <v>36</v>
      </c>
      <c r="P1189" s="11" t="n">
        <v>167</v>
      </c>
      <c r="Q1189" s="13" t="s">
        <v>101</v>
      </c>
      <c r="R1189" s="13" t="s">
        <v>72</v>
      </c>
      <c r="S1189" s="11" t="n">
        <v>4210315</v>
      </c>
      <c r="T1189" s="13" t="s">
        <v>438</v>
      </c>
      <c r="U1189" s="14" t="n">
        <v>20.74</v>
      </c>
      <c r="W1189" s="14" t="n">
        <v>0</v>
      </c>
      <c r="X1189" s="13" t="s">
        <v>1247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46221</v>
      </c>
      <c r="C1190" s="12" t="n">
        <v>46228</v>
      </c>
      <c r="D1190" s="11" t="n">
        <v>1828</v>
      </c>
      <c r="E1190" s="13" t="s">
        <v>278</v>
      </c>
      <c r="F1190" s="11" t="n">
        <v>24</v>
      </c>
      <c r="G1190" s="13" t="s">
        <v>42</v>
      </c>
      <c r="H1190" s="11" t="n">
        <v>2110405</v>
      </c>
      <c r="I1190" s="13" t="s">
        <v>34</v>
      </c>
      <c r="J1190" s="11" t="n">
        <v>1424553</v>
      </c>
      <c r="L1190" s="11" t="n">
        <v>58764</v>
      </c>
      <c r="M1190" s="13" t="s">
        <v>44</v>
      </c>
      <c r="N1190" s="13" t="s">
        <v>36</v>
      </c>
      <c r="P1190" s="11" t="n">
        <v>167</v>
      </c>
      <c r="Q1190" s="13" t="s">
        <v>101</v>
      </c>
      <c r="R1190" s="13" t="s">
        <v>46</v>
      </c>
      <c r="S1190" s="11" t="n">
        <v>1130101</v>
      </c>
      <c r="T1190" s="13" t="s">
        <v>47</v>
      </c>
      <c r="U1190" s="14" t="n">
        <v>772</v>
      </c>
      <c r="W1190" s="14" t="n">
        <v>0</v>
      </c>
      <c r="X1190" s="13" t="s">
        <v>1248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 PERU DF DISTRIBUIDORA DE FR</v>
      </c>
      <c r="AC1190" s="1" t="n">
        <v>1393</v>
      </c>
    </row>
    <row r="1191" customFormat="false" ht="12.75" hidden="false" customHeight="true" outlineLevel="0" collapsed="false">
      <c r="A1191" s="11" t="n">
        <v>3</v>
      </c>
      <c r="B1191" s="12" t="n">
        <v>46228</v>
      </c>
      <c r="C1191" s="12" t="n">
        <v>46228</v>
      </c>
      <c r="D1191" s="11" t="n">
        <v>42</v>
      </c>
      <c r="E1191" s="13" t="s">
        <v>80</v>
      </c>
      <c r="F1191" s="11" t="n">
        <v>13</v>
      </c>
      <c r="G1191" s="13" t="s">
        <v>81</v>
      </c>
      <c r="H1191" s="11" t="n">
        <v>2110101</v>
      </c>
      <c r="I1191" s="13" t="s">
        <v>43</v>
      </c>
      <c r="J1191" s="11" t="n">
        <v>1448526</v>
      </c>
      <c r="L1191" s="11" t="n">
        <v>4421</v>
      </c>
      <c r="M1191" s="13" t="s">
        <v>44</v>
      </c>
      <c r="N1191" s="13" t="s">
        <v>69</v>
      </c>
      <c r="P1191" s="11" t="n">
        <v>167</v>
      </c>
      <c r="Q1191" s="13" t="s">
        <v>101</v>
      </c>
      <c r="R1191" s="13" t="s">
        <v>46</v>
      </c>
      <c r="S1191" s="11" t="n">
        <v>1130101</v>
      </c>
      <c r="T1191" s="13" t="s">
        <v>47</v>
      </c>
      <c r="U1191" s="14" t="n">
        <v>125</v>
      </c>
      <c r="W1191" s="14" t="n">
        <v>125</v>
      </c>
      <c r="X1191" s="13" t="s">
        <v>1249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46228</v>
      </c>
      <c r="C1192" s="12" t="n">
        <v>46228</v>
      </c>
      <c r="D1192" s="11" t="n">
        <v>42</v>
      </c>
      <c r="E1192" s="13" t="s">
        <v>80</v>
      </c>
      <c r="F1192" s="11" t="n">
        <v>13</v>
      </c>
      <c r="G1192" s="13" t="s">
        <v>81</v>
      </c>
      <c r="H1192" s="11" t="n">
        <v>2110101</v>
      </c>
      <c r="I1192" s="13" t="s">
        <v>43</v>
      </c>
      <c r="J1192" s="11" t="n">
        <v>1448555</v>
      </c>
      <c r="L1192" s="11" t="n">
        <v>4422</v>
      </c>
      <c r="M1192" s="13" t="s">
        <v>44</v>
      </c>
      <c r="N1192" s="13" t="s">
        <v>69</v>
      </c>
      <c r="P1192" s="11" t="n">
        <v>167</v>
      </c>
      <c r="Q1192" s="13" t="s">
        <v>101</v>
      </c>
      <c r="R1192" s="13" t="s">
        <v>46</v>
      </c>
      <c r="S1192" s="11" t="n">
        <v>1130101</v>
      </c>
      <c r="T1192" s="13" t="s">
        <v>47</v>
      </c>
      <c r="U1192" s="14" t="n">
        <v>305</v>
      </c>
      <c r="W1192" s="14" t="n">
        <v>305</v>
      </c>
      <c r="X1192" s="13" t="s">
        <v>1250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46228</v>
      </c>
      <c r="C1193" s="12" t="n">
        <v>46228</v>
      </c>
      <c r="D1193" s="11" t="n">
        <v>10043</v>
      </c>
      <c r="E1193" s="13" t="s">
        <v>112</v>
      </c>
      <c r="F1193" s="11" t="n">
        <v>13</v>
      </c>
      <c r="G1193" s="13" t="s">
        <v>81</v>
      </c>
      <c r="H1193" s="11" t="n">
        <v>2110101</v>
      </c>
      <c r="I1193" s="13" t="s">
        <v>43</v>
      </c>
      <c r="J1193" s="11" t="n">
        <v>1463278</v>
      </c>
      <c r="L1193" s="11" t="n">
        <v>806</v>
      </c>
      <c r="M1193" s="13" t="s">
        <v>44</v>
      </c>
      <c r="N1193" s="13" t="s">
        <v>69</v>
      </c>
      <c r="P1193" s="11" t="n">
        <v>167</v>
      </c>
      <c r="Q1193" s="13" t="s">
        <v>101</v>
      </c>
      <c r="R1193" s="13" t="s">
        <v>46</v>
      </c>
      <c r="S1193" s="11" t="n">
        <v>1130101</v>
      </c>
      <c r="T1193" s="13" t="s">
        <v>47</v>
      </c>
      <c r="U1193" s="14" t="n">
        <v>270</v>
      </c>
      <c r="W1193" s="14" t="n">
        <v>270</v>
      </c>
      <c r="X1193" s="13" t="s">
        <v>1251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1" t="n">
        <v>3</v>
      </c>
      <c r="B1194" s="12" t="n">
        <v>46205</v>
      </c>
      <c r="C1194" s="12" t="n">
        <v>46228</v>
      </c>
      <c r="D1194" s="11" t="n">
        <v>663</v>
      </c>
      <c r="E1194" s="13" t="s">
        <v>611</v>
      </c>
      <c r="F1194" s="11" t="n">
        <v>59</v>
      </c>
      <c r="G1194" s="13" t="s">
        <v>1252</v>
      </c>
      <c r="H1194" s="11" t="n">
        <v>2110405</v>
      </c>
      <c r="I1194" s="13" t="s">
        <v>34</v>
      </c>
      <c r="J1194" s="11" t="n">
        <v>1465226</v>
      </c>
      <c r="L1194" s="11" t="n">
        <v>227947</v>
      </c>
      <c r="M1194" s="13" t="s">
        <v>44</v>
      </c>
      <c r="N1194" s="13" t="s">
        <v>36</v>
      </c>
      <c r="P1194" s="11" t="n">
        <v>167</v>
      </c>
      <c r="Q1194" s="13" t="s">
        <v>101</v>
      </c>
      <c r="R1194" s="13" t="s">
        <v>38</v>
      </c>
      <c r="S1194" s="11" t="n">
        <v>4210227</v>
      </c>
      <c r="T1194" s="13" t="s">
        <v>196</v>
      </c>
      <c r="U1194" s="14" t="n">
        <v>93.34</v>
      </c>
      <c r="W1194" s="14" t="n">
        <v>0</v>
      </c>
      <c r="X1194" s="13" t="s">
        <v>1253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46205</v>
      </c>
      <c r="C1195" s="12" t="n">
        <v>46228</v>
      </c>
      <c r="D1195" s="11" t="n">
        <v>848</v>
      </c>
      <c r="E1195" s="13" t="s">
        <v>1254</v>
      </c>
      <c r="F1195" s="11" t="n">
        <v>59</v>
      </c>
      <c r="G1195" s="13" t="s">
        <v>1252</v>
      </c>
      <c r="H1195" s="11" t="n">
        <v>2110405</v>
      </c>
      <c r="I1195" s="13" t="s">
        <v>34</v>
      </c>
      <c r="J1195" s="11" t="n">
        <v>1465263</v>
      </c>
      <c r="L1195" s="11" t="n">
        <v>227951</v>
      </c>
      <c r="M1195" s="13" t="s">
        <v>44</v>
      </c>
      <c r="N1195" s="13" t="s">
        <v>36</v>
      </c>
      <c r="P1195" s="11" t="n">
        <v>167</v>
      </c>
      <c r="Q1195" s="13" t="s">
        <v>101</v>
      </c>
      <c r="R1195" s="13" t="s">
        <v>38</v>
      </c>
      <c r="S1195" s="11" t="n">
        <v>4210227</v>
      </c>
      <c r="T1195" s="13" t="s">
        <v>196</v>
      </c>
      <c r="U1195" s="14" t="n">
        <v>112.94</v>
      </c>
      <c r="W1195" s="14" t="n">
        <v>0</v>
      </c>
      <c r="X1195" s="13" t="s">
        <v>1255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1" t="n">
        <v>3</v>
      </c>
      <c r="B1196" s="12" t="n">
        <v>46224</v>
      </c>
      <c r="C1196" s="12" t="n">
        <v>46229</v>
      </c>
      <c r="D1196" s="11" t="n">
        <v>42</v>
      </c>
      <c r="E1196" s="13" t="s">
        <v>80</v>
      </c>
      <c r="F1196" s="11" t="n">
        <v>34</v>
      </c>
      <c r="G1196" s="13" t="s">
        <v>33</v>
      </c>
      <c r="H1196" s="11" t="n">
        <v>2110101</v>
      </c>
      <c r="I1196" s="13" t="s">
        <v>43</v>
      </c>
      <c r="J1196" s="11" t="n">
        <v>1427553</v>
      </c>
      <c r="L1196" s="11" t="n">
        <v>4403</v>
      </c>
      <c r="M1196" s="13" t="s">
        <v>44</v>
      </c>
      <c r="N1196" s="13" t="s">
        <v>69</v>
      </c>
      <c r="P1196" s="11" t="n">
        <v>167</v>
      </c>
      <c r="Q1196" s="13" t="s">
        <v>101</v>
      </c>
      <c r="R1196" s="13" t="s">
        <v>46</v>
      </c>
      <c r="S1196" s="11" t="n">
        <v>1130101</v>
      </c>
      <c r="T1196" s="13" t="s">
        <v>47</v>
      </c>
      <c r="U1196" s="14" t="n">
        <v>280</v>
      </c>
      <c r="W1196" s="14" t="n">
        <v>0</v>
      </c>
      <c r="X1196" s="13" t="s">
        <v>1256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46226</v>
      </c>
      <c r="C1197" s="12" t="n">
        <v>46229</v>
      </c>
      <c r="D1197" s="11" t="n">
        <v>928</v>
      </c>
      <c r="E1197" s="13" t="s">
        <v>663</v>
      </c>
      <c r="F1197" s="11" t="n">
        <v>24</v>
      </c>
      <c r="G1197" s="13" t="s">
        <v>42</v>
      </c>
      <c r="H1197" s="11" t="n">
        <v>2110405</v>
      </c>
      <c r="I1197" s="13" t="s">
        <v>34</v>
      </c>
      <c r="J1197" s="11" t="n">
        <v>1440441</v>
      </c>
      <c r="L1197" s="11" t="n">
        <v>224312</v>
      </c>
      <c r="M1197" s="13" t="s">
        <v>44</v>
      </c>
      <c r="N1197" s="13" t="s">
        <v>36</v>
      </c>
      <c r="P1197" s="11" t="n">
        <v>101</v>
      </c>
      <c r="Q1197" s="13" t="s">
        <v>37</v>
      </c>
      <c r="R1197" s="13" t="s">
        <v>72</v>
      </c>
      <c r="S1197" s="11" t="n">
        <v>421033</v>
      </c>
      <c r="T1197" s="13" t="s">
        <v>664</v>
      </c>
      <c r="U1197" s="14" t="n">
        <v>299.9</v>
      </c>
      <c r="W1197" s="14" t="n">
        <v>0</v>
      </c>
      <c r="X1197" s="13" t="s">
        <v>1257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46155</v>
      </c>
      <c r="C1198" s="12" t="n">
        <v>46230</v>
      </c>
      <c r="D1198" s="11" t="n">
        <v>1911</v>
      </c>
      <c r="E1198" s="13" t="s">
        <v>541</v>
      </c>
      <c r="F1198" s="11" t="n">
        <v>24</v>
      </c>
      <c r="G1198" s="13" t="s">
        <v>42</v>
      </c>
      <c r="H1198" s="11" t="n">
        <v>2110405</v>
      </c>
      <c r="I1198" s="13" t="s">
        <v>34</v>
      </c>
      <c r="J1198" s="11" t="n">
        <v>1116842</v>
      </c>
      <c r="L1198" s="11" t="n">
        <v>29643</v>
      </c>
      <c r="M1198" s="13" t="s">
        <v>44</v>
      </c>
      <c r="N1198" s="13" t="s">
        <v>36</v>
      </c>
      <c r="P1198" s="11" t="n">
        <v>128</v>
      </c>
      <c r="Q1198" s="13" t="s">
        <v>45</v>
      </c>
      <c r="R1198" s="13" t="s">
        <v>38</v>
      </c>
      <c r="S1198" s="11" t="n">
        <v>4210227</v>
      </c>
      <c r="T1198" s="13" t="s">
        <v>196</v>
      </c>
      <c r="U1198" s="14" t="n">
        <v>512.27</v>
      </c>
      <c r="W1198" s="14" t="n">
        <v>0</v>
      </c>
      <c r="X1198" s="13" t="s">
        <v>1258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nao encontrado</v>
      </c>
      <c r="AC1198" s="1" t="n">
        <v>2964</v>
      </c>
    </row>
    <row r="1199" customFormat="false" ht="12.75" hidden="false" customHeight="true" outlineLevel="0" collapsed="false">
      <c r="A1199" s="11" t="n">
        <v>3</v>
      </c>
      <c r="B1199" s="12" t="n">
        <v>46162</v>
      </c>
      <c r="C1199" s="12" t="n">
        <v>46230</v>
      </c>
      <c r="D1199" s="11" t="n">
        <v>1085</v>
      </c>
      <c r="E1199" s="13" t="s">
        <v>389</v>
      </c>
      <c r="F1199" s="11" t="n">
        <v>24</v>
      </c>
      <c r="G1199" s="13" t="s">
        <v>42</v>
      </c>
      <c r="H1199" s="11" t="n">
        <v>2110101</v>
      </c>
      <c r="I1199" s="13" t="s">
        <v>43</v>
      </c>
      <c r="J1199" s="11" t="n">
        <v>1132860</v>
      </c>
      <c r="L1199" s="11" t="n">
        <v>86043</v>
      </c>
      <c r="M1199" s="13" t="s">
        <v>44</v>
      </c>
      <c r="N1199" s="13" t="s">
        <v>36</v>
      </c>
      <c r="P1199" s="11" t="n">
        <v>128</v>
      </c>
      <c r="Q1199" s="13" t="s">
        <v>45</v>
      </c>
      <c r="R1199" s="13" t="s">
        <v>46</v>
      </c>
      <c r="S1199" s="11" t="n">
        <v>1130101</v>
      </c>
      <c r="T1199" s="13" t="s">
        <v>47</v>
      </c>
      <c r="U1199" s="14" t="n">
        <v>543.15</v>
      </c>
      <c r="W1199" s="14" t="n">
        <v>0</v>
      </c>
      <c r="X1199" s="13" t="s">
        <v>1259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nao encontrado</v>
      </c>
      <c r="AC1199" s="1" t="n">
        <v>8604</v>
      </c>
    </row>
    <row r="1200" customFormat="false" ht="12.75" hidden="false" customHeight="true" outlineLevel="0" collapsed="false">
      <c r="A1200" s="11" t="n">
        <v>3</v>
      </c>
      <c r="B1200" s="12" t="n">
        <v>46230</v>
      </c>
      <c r="C1200" s="12" t="n">
        <v>46230</v>
      </c>
      <c r="D1200" s="11" t="n">
        <v>42</v>
      </c>
      <c r="E1200" s="13" t="s">
        <v>80</v>
      </c>
      <c r="F1200" s="11" t="n">
        <v>13</v>
      </c>
      <c r="G1200" s="13" t="s">
        <v>81</v>
      </c>
      <c r="H1200" s="11" t="n">
        <v>2110101</v>
      </c>
      <c r="I1200" s="13" t="s">
        <v>43</v>
      </c>
      <c r="J1200" s="11" t="n">
        <v>1458828</v>
      </c>
      <c r="L1200" s="11" t="n">
        <v>4425</v>
      </c>
      <c r="M1200" s="13" t="s">
        <v>44</v>
      </c>
      <c r="N1200" s="13" t="s">
        <v>69</v>
      </c>
      <c r="P1200" s="11" t="n">
        <v>167</v>
      </c>
      <c r="Q1200" s="13" t="s">
        <v>101</v>
      </c>
      <c r="R1200" s="13" t="s">
        <v>46</v>
      </c>
      <c r="S1200" s="11" t="n">
        <v>1130101</v>
      </c>
      <c r="T1200" s="13" t="s">
        <v>47</v>
      </c>
      <c r="U1200" s="14" t="n">
        <v>125</v>
      </c>
      <c r="W1200" s="14" t="n">
        <v>125</v>
      </c>
      <c r="X1200" s="13" t="s">
        <v>1192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46198</v>
      </c>
      <c r="C1201" s="12" t="n">
        <v>46230</v>
      </c>
      <c r="D1201" s="11" t="n">
        <v>1699</v>
      </c>
      <c r="E1201" s="13" t="s">
        <v>60</v>
      </c>
      <c r="F1201" s="11" t="n">
        <v>24</v>
      </c>
      <c r="G1201" s="13" t="s">
        <v>42</v>
      </c>
      <c r="H1201" s="11" t="n">
        <v>2110101</v>
      </c>
      <c r="I1201" s="13" t="s">
        <v>43</v>
      </c>
      <c r="J1201" s="11" t="n">
        <v>1312327</v>
      </c>
      <c r="L1201" s="11" t="n">
        <v>3059183</v>
      </c>
      <c r="M1201" s="13" t="s">
        <v>44</v>
      </c>
      <c r="N1201" s="13" t="s">
        <v>36</v>
      </c>
      <c r="P1201" s="11" t="n">
        <v>128</v>
      </c>
      <c r="Q1201" s="13" t="s">
        <v>45</v>
      </c>
      <c r="R1201" s="13" t="s">
        <v>46</v>
      </c>
      <c r="S1201" s="11" t="n">
        <v>1130101</v>
      </c>
      <c r="T1201" s="13" t="s">
        <v>47</v>
      </c>
      <c r="U1201" s="14" t="n">
        <v>649.19</v>
      </c>
      <c r="W1201" s="14" t="n">
        <v>0</v>
      </c>
      <c r="X1201" s="13" t="s">
        <v>1260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1" t="n">
        <v>3</v>
      </c>
      <c r="B1202" s="12" t="n">
        <v>46230</v>
      </c>
      <c r="C1202" s="12" t="n">
        <v>46230</v>
      </c>
      <c r="D1202" s="11" t="n">
        <v>1205</v>
      </c>
      <c r="E1202" s="13" t="s">
        <v>1261</v>
      </c>
      <c r="F1202" s="11" t="n">
        <v>24</v>
      </c>
      <c r="G1202" s="13" t="s">
        <v>42</v>
      </c>
      <c r="H1202" s="11" t="n">
        <v>2110405</v>
      </c>
      <c r="I1202" s="13" t="s">
        <v>34</v>
      </c>
      <c r="J1202" s="11" t="n">
        <v>1459494</v>
      </c>
      <c r="L1202" s="11" t="n">
        <v>227158</v>
      </c>
      <c r="M1202" s="13" t="s">
        <v>44</v>
      </c>
      <c r="N1202" s="13" t="s">
        <v>36</v>
      </c>
      <c r="P1202" s="11" t="n">
        <v>102</v>
      </c>
      <c r="Q1202" s="13" t="s">
        <v>186</v>
      </c>
      <c r="R1202" s="13" t="s">
        <v>46</v>
      </c>
      <c r="S1202" s="11" t="n">
        <v>1130101</v>
      </c>
      <c r="T1202" s="13" t="s">
        <v>47</v>
      </c>
      <c r="U1202" s="14" t="n">
        <v>213.75</v>
      </c>
      <c r="W1202" s="14" t="n">
        <v>0</v>
      </c>
      <c r="X1202" s="13" t="s">
        <v>1262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46203</v>
      </c>
      <c r="C1203" s="12" t="n">
        <v>46230</v>
      </c>
      <c r="D1203" s="11" t="n">
        <v>1701</v>
      </c>
      <c r="E1203" s="13" t="s">
        <v>1263</v>
      </c>
      <c r="F1203" s="11" t="n">
        <v>24</v>
      </c>
      <c r="G1203" s="13" t="s">
        <v>42</v>
      </c>
      <c r="H1203" s="11" t="n">
        <v>2110101</v>
      </c>
      <c r="I1203" s="13" t="s">
        <v>43</v>
      </c>
      <c r="J1203" s="11" t="n">
        <v>1334000</v>
      </c>
      <c r="L1203" s="11" t="n">
        <v>142426</v>
      </c>
      <c r="M1203" s="13" t="s">
        <v>44</v>
      </c>
      <c r="N1203" s="13" t="s">
        <v>69</v>
      </c>
      <c r="P1203" s="11" t="n">
        <v>128</v>
      </c>
      <c r="Q1203" s="13" t="s">
        <v>45</v>
      </c>
      <c r="R1203" s="13" t="s">
        <v>46</v>
      </c>
      <c r="S1203" s="11" t="n">
        <v>1130101</v>
      </c>
      <c r="T1203" s="13" t="s">
        <v>47</v>
      </c>
      <c r="U1203" s="14" t="n">
        <v>222.97</v>
      </c>
      <c r="W1203" s="14" t="n">
        <v>0</v>
      </c>
      <c r="X1203" s="13" t="s">
        <v>1264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1" t="n">
        <v>3</v>
      </c>
      <c r="B1204" s="12" t="n">
        <v>46205</v>
      </c>
      <c r="C1204" s="12" t="n">
        <v>46230</v>
      </c>
      <c r="D1204" s="11" t="n">
        <v>10017</v>
      </c>
      <c r="E1204" s="13" t="s">
        <v>335</v>
      </c>
      <c r="F1204" s="11" t="n">
        <v>24</v>
      </c>
      <c r="G1204" s="13" t="s">
        <v>42</v>
      </c>
      <c r="H1204" s="11" t="n">
        <v>2110101</v>
      </c>
      <c r="I1204" s="13" t="s">
        <v>43</v>
      </c>
      <c r="J1204" s="11" t="n">
        <v>1359834</v>
      </c>
      <c r="L1204" s="11" t="n">
        <v>1941142</v>
      </c>
      <c r="M1204" s="13" t="s">
        <v>44</v>
      </c>
      <c r="N1204" s="13" t="s">
        <v>36</v>
      </c>
      <c r="P1204" s="11" t="n">
        <v>167</v>
      </c>
      <c r="Q1204" s="13" t="s">
        <v>101</v>
      </c>
      <c r="R1204" s="13" t="s">
        <v>46</v>
      </c>
      <c r="S1204" s="11" t="n">
        <v>1130101</v>
      </c>
      <c r="T1204" s="13" t="s">
        <v>47</v>
      </c>
      <c r="U1204" s="14" t="n">
        <v>1819.31</v>
      </c>
      <c r="W1204" s="14" t="n">
        <v>0</v>
      </c>
      <c r="X1204" s="13" t="s">
        <v>1265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1" t="n">
        <v>3</v>
      </c>
      <c r="B1205" s="12" t="n">
        <v>46216</v>
      </c>
      <c r="C1205" s="12" t="n">
        <v>46230</v>
      </c>
      <c r="D1205" s="11" t="n">
        <v>1636</v>
      </c>
      <c r="E1205" s="13" t="s">
        <v>49</v>
      </c>
      <c r="F1205" s="11" t="n">
        <v>24</v>
      </c>
      <c r="G1205" s="13" t="s">
        <v>42</v>
      </c>
      <c r="H1205" s="11" t="n">
        <v>2110405</v>
      </c>
      <c r="I1205" s="13" t="s">
        <v>34</v>
      </c>
      <c r="J1205" s="11" t="n">
        <v>1401740</v>
      </c>
      <c r="L1205" s="11" t="n">
        <v>32187181</v>
      </c>
      <c r="M1205" s="13" t="s">
        <v>44</v>
      </c>
      <c r="N1205" s="13" t="s">
        <v>36</v>
      </c>
      <c r="P1205" s="11" t="n">
        <v>167</v>
      </c>
      <c r="Q1205" s="13" t="s">
        <v>101</v>
      </c>
      <c r="R1205" s="13" t="s">
        <v>46</v>
      </c>
      <c r="S1205" s="11" t="n">
        <v>1130101</v>
      </c>
      <c r="T1205" s="13" t="s">
        <v>47</v>
      </c>
      <c r="U1205" s="14" t="n">
        <v>928.46</v>
      </c>
      <c r="W1205" s="14" t="n">
        <v>0</v>
      </c>
      <c r="X1205" s="13" t="s">
        <v>1266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1" t="n">
        <v>3</v>
      </c>
      <c r="B1206" s="12" t="n">
        <v>46216</v>
      </c>
      <c r="C1206" s="12" t="n">
        <v>46230</v>
      </c>
      <c r="D1206" s="11" t="n">
        <v>1445</v>
      </c>
      <c r="E1206" s="13" t="s">
        <v>1267</v>
      </c>
      <c r="F1206" s="11" t="n">
        <v>24</v>
      </c>
      <c r="G1206" s="13" t="s">
        <v>42</v>
      </c>
      <c r="H1206" s="11" t="n">
        <v>2110405</v>
      </c>
      <c r="I1206" s="13" t="s">
        <v>34</v>
      </c>
      <c r="J1206" s="11" t="n">
        <v>1407207</v>
      </c>
      <c r="L1206" s="11" t="n">
        <v>2982061</v>
      </c>
      <c r="M1206" s="13" t="s">
        <v>44</v>
      </c>
      <c r="N1206" s="13" t="s">
        <v>36</v>
      </c>
      <c r="P1206" s="11" t="n">
        <v>167</v>
      </c>
      <c r="Q1206" s="13" t="s">
        <v>101</v>
      </c>
      <c r="R1206" s="13" t="s">
        <v>46</v>
      </c>
      <c r="S1206" s="11" t="n">
        <v>1130101</v>
      </c>
      <c r="T1206" s="13" t="s">
        <v>47</v>
      </c>
      <c r="U1206" s="14" t="n">
        <v>620.25</v>
      </c>
      <c r="W1206" s="14" t="n">
        <v>0</v>
      </c>
      <c r="X1206" s="13" t="s">
        <v>1268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1" t="n">
        <v>3</v>
      </c>
      <c r="B1207" s="12" t="n">
        <v>46220</v>
      </c>
      <c r="C1207" s="12" t="n">
        <v>46230</v>
      </c>
      <c r="D1207" s="11" t="n">
        <v>1723</v>
      </c>
      <c r="E1207" s="13" t="s">
        <v>76</v>
      </c>
      <c r="F1207" s="11" t="n">
        <v>24</v>
      </c>
      <c r="G1207" s="13" t="s">
        <v>42</v>
      </c>
      <c r="H1207" s="11" t="n">
        <v>2110405</v>
      </c>
      <c r="I1207" s="13" t="s">
        <v>34</v>
      </c>
      <c r="J1207" s="11" t="n">
        <v>1411509</v>
      </c>
      <c r="L1207" s="11" t="n">
        <v>56716</v>
      </c>
      <c r="M1207" s="13" t="s">
        <v>44</v>
      </c>
      <c r="N1207" s="13" t="s">
        <v>36</v>
      </c>
      <c r="P1207" s="11" t="n">
        <v>167</v>
      </c>
      <c r="Q1207" s="13" t="s">
        <v>101</v>
      </c>
      <c r="R1207" s="13" t="s">
        <v>46</v>
      </c>
      <c r="S1207" s="11" t="n">
        <v>1130101</v>
      </c>
      <c r="T1207" s="13" t="s">
        <v>47</v>
      </c>
      <c r="U1207" s="14" t="n">
        <v>2889.6</v>
      </c>
      <c r="W1207" s="14" t="n">
        <v>0</v>
      </c>
      <c r="X1207" s="13" t="s">
        <v>1269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1" t="n">
        <v>3</v>
      </c>
      <c r="B1208" s="12" t="n">
        <v>46212</v>
      </c>
      <c r="C1208" s="12" t="n">
        <v>46230</v>
      </c>
      <c r="D1208" s="11" t="n">
        <v>1621</v>
      </c>
      <c r="E1208" s="13" t="s">
        <v>306</v>
      </c>
      <c r="F1208" s="11" t="n">
        <v>24</v>
      </c>
      <c r="G1208" s="13" t="s">
        <v>42</v>
      </c>
      <c r="H1208" s="11" t="n">
        <v>2110405</v>
      </c>
      <c r="I1208" s="13" t="s">
        <v>34</v>
      </c>
      <c r="J1208" s="11" t="n">
        <v>1414909</v>
      </c>
      <c r="L1208" s="11" t="n">
        <v>899327</v>
      </c>
      <c r="M1208" s="13" t="s">
        <v>44</v>
      </c>
      <c r="N1208" s="13" t="s">
        <v>36</v>
      </c>
      <c r="P1208" s="11" t="n">
        <v>167</v>
      </c>
      <c r="Q1208" s="13" t="s">
        <v>101</v>
      </c>
      <c r="R1208" s="13" t="s">
        <v>46</v>
      </c>
      <c r="S1208" s="11" t="n">
        <v>1130101</v>
      </c>
      <c r="T1208" s="13" t="s">
        <v>47</v>
      </c>
      <c r="U1208" s="14" t="n">
        <v>925.68</v>
      </c>
      <c r="W1208" s="14" t="n">
        <v>0</v>
      </c>
      <c r="X1208" s="13" t="s">
        <v>1270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1" t="n">
        <v>3</v>
      </c>
      <c r="B1209" s="12" t="n">
        <v>46223</v>
      </c>
      <c r="C1209" s="12" t="n">
        <v>46230</v>
      </c>
      <c r="D1209" s="11" t="n">
        <v>33</v>
      </c>
      <c r="E1209" s="13" t="s">
        <v>71</v>
      </c>
      <c r="F1209" s="11" t="n">
        <v>34</v>
      </c>
      <c r="G1209" s="13" t="s">
        <v>33</v>
      </c>
      <c r="H1209" s="11" t="n">
        <v>2110405</v>
      </c>
      <c r="I1209" s="13" t="s">
        <v>34</v>
      </c>
      <c r="J1209" s="11" t="n">
        <v>1425043</v>
      </c>
      <c r="L1209" s="11" t="n">
        <v>222360</v>
      </c>
      <c r="M1209" s="13" t="s">
        <v>150</v>
      </c>
      <c r="N1209" s="13" t="s">
        <v>36</v>
      </c>
      <c r="P1209" s="11" t="n">
        <v>101</v>
      </c>
      <c r="Q1209" s="13" t="s">
        <v>37</v>
      </c>
      <c r="R1209" s="13" t="s">
        <v>109</v>
      </c>
      <c r="S1209" s="11" t="n">
        <v>1240203</v>
      </c>
      <c r="T1209" s="13" t="s">
        <v>110</v>
      </c>
      <c r="U1209" s="14" t="n">
        <v>2320.3</v>
      </c>
      <c r="W1209" s="14" t="n">
        <v>0</v>
      </c>
      <c r="X1209" s="13" t="s">
        <v>1271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46223</v>
      </c>
      <c r="C1210" s="12" t="n">
        <v>46230</v>
      </c>
      <c r="D1210" s="11" t="n">
        <v>1723</v>
      </c>
      <c r="E1210" s="13" t="s">
        <v>76</v>
      </c>
      <c r="F1210" s="11" t="n">
        <v>24</v>
      </c>
      <c r="G1210" s="13" t="s">
        <v>42</v>
      </c>
      <c r="H1210" s="11" t="n">
        <v>2110405</v>
      </c>
      <c r="I1210" s="13" t="s">
        <v>34</v>
      </c>
      <c r="J1210" s="11" t="n">
        <v>1427459</v>
      </c>
      <c r="L1210" s="11" t="n">
        <v>570361</v>
      </c>
      <c r="M1210" s="13" t="s">
        <v>44</v>
      </c>
      <c r="N1210" s="13" t="s">
        <v>36</v>
      </c>
      <c r="P1210" s="11" t="n">
        <v>167</v>
      </c>
      <c r="Q1210" s="13" t="s">
        <v>101</v>
      </c>
      <c r="R1210" s="13" t="s">
        <v>46</v>
      </c>
      <c r="S1210" s="11" t="n">
        <v>1130101</v>
      </c>
      <c r="T1210" s="13" t="s">
        <v>47</v>
      </c>
      <c r="U1210" s="14" t="n">
        <v>5478.25</v>
      </c>
      <c r="W1210" s="14" t="n">
        <v>0</v>
      </c>
      <c r="X1210" s="13" t="s">
        <v>1272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1" t="n">
        <v>3</v>
      </c>
      <c r="B1211" s="12" t="n">
        <v>46229</v>
      </c>
      <c r="C1211" s="12" t="n">
        <v>46230</v>
      </c>
      <c r="D1211" s="11" t="n">
        <v>1936</v>
      </c>
      <c r="E1211" s="13" t="s">
        <v>78</v>
      </c>
      <c r="F1211" s="11" t="n">
        <v>24</v>
      </c>
      <c r="G1211" s="13" t="s">
        <v>42</v>
      </c>
      <c r="H1211" s="11" t="n">
        <v>2110405</v>
      </c>
      <c r="I1211" s="13" t="s">
        <v>34</v>
      </c>
      <c r="J1211" s="11" t="n">
        <v>1458284</v>
      </c>
      <c r="L1211" s="11" t="n">
        <v>50612091</v>
      </c>
      <c r="M1211" s="13" t="s">
        <v>44</v>
      </c>
      <c r="N1211" s="13" t="s">
        <v>36</v>
      </c>
      <c r="P1211" s="11" t="n">
        <v>167</v>
      </c>
      <c r="Q1211" s="13" t="s">
        <v>101</v>
      </c>
      <c r="R1211" s="13" t="s">
        <v>46</v>
      </c>
      <c r="S1211" s="11" t="n">
        <v>1130101</v>
      </c>
      <c r="T1211" s="13" t="s">
        <v>47</v>
      </c>
      <c r="U1211" s="14" t="n">
        <v>2108.86</v>
      </c>
      <c r="W1211" s="14" t="n">
        <v>0</v>
      </c>
      <c r="X1211" s="13" t="s">
        <v>1273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46230</v>
      </c>
      <c r="C1212" s="12" t="n">
        <v>46230</v>
      </c>
      <c r="D1212" s="11" t="n">
        <v>33</v>
      </c>
      <c r="E1212" s="13" t="s">
        <v>71</v>
      </c>
      <c r="F1212" s="11" t="n">
        <v>34</v>
      </c>
      <c r="G1212" s="13" t="s">
        <v>33</v>
      </c>
      <c r="H1212" s="11" t="n">
        <v>2110405</v>
      </c>
      <c r="I1212" s="13" t="s">
        <v>34</v>
      </c>
      <c r="J1212" s="11" t="n">
        <v>1458638</v>
      </c>
      <c r="L1212" s="11" t="n">
        <v>227015</v>
      </c>
      <c r="M1212" s="13" t="s">
        <v>44</v>
      </c>
      <c r="N1212" s="13" t="s">
        <v>36</v>
      </c>
      <c r="P1212" s="11" t="n">
        <v>101</v>
      </c>
      <c r="Q1212" s="13" t="s">
        <v>37</v>
      </c>
      <c r="R1212" s="13" t="s">
        <v>38</v>
      </c>
      <c r="S1212" s="11" t="n">
        <v>4210218</v>
      </c>
      <c r="T1212" s="13" t="s">
        <v>1274</v>
      </c>
      <c r="U1212" s="14" t="n">
        <v>125</v>
      </c>
      <c r="W1212" s="14" t="n">
        <v>0</v>
      </c>
      <c r="X1212" s="13" t="s">
        <v>1275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46230</v>
      </c>
      <c r="C1213" s="12" t="n">
        <v>46230</v>
      </c>
      <c r="D1213" s="11" t="n">
        <v>515</v>
      </c>
      <c r="E1213" s="13" t="s">
        <v>105</v>
      </c>
      <c r="F1213" s="11" t="n">
        <v>34</v>
      </c>
      <c r="G1213" s="13" t="s">
        <v>33</v>
      </c>
      <c r="H1213" s="11" t="n">
        <v>2110405</v>
      </c>
      <c r="I1213" s="13" t="s">
        <v>34</v>
      </c>
      <c r="J1213" s="11" t="n">
        <v>1464157</v>
      </c>
      <c r="L1213" s="11" t="n">
        <v>227795</v>
      </c>
      <c r="M1213" s="13" t="s">
        <v>44</v>
      </c>
      <c r="N1213" s="13" t="s">
        <v>36</v>
      </c>
      <c r="P1213" s="11" t="n">
        <v>102</v>
      </c>
      <c r="Q1213" s="13" t="s">
        <v>186</v>
      </c>
      <c r="R1213" s="13" t="s">
        <v>1129</v>
      </c>
      <c r="S1213" s="11" t="n">
        <v>22103</v>
      </c>
      <c r="T1213" s="13" t="s">
        <v>1129</v>
      </c>
      <c r="U1213" s="14" t="n">
        <v>10000</v>
      </c>
      <c r="W1213" s="14" t="n">
        <v>0</v>
      </c>
      <c r="X1213" s="13" t="s">
        <v>1276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46230</v>
      </c>
      <c r="C1214" s="12" t="n">
        <v>46230</v>
      </c>
      <c r="D1214" s="11" t="n">
        <v>10047</v>
      </c>
      <c r="E1214" s="13" t="s">
        <v>84</v>
      </c>
      <c r="F1214" s="11" t="n">
        <v>24</v>
      </c>
      <c r="G1214" s="13" t="s">
        <v>42</v>
      </c>
      <c r="H1214" s="11" t="n">
        <v>2110405</v>
      </c>
      <c r="I1214" s="13" t="s">
        <v>34</v>
      </c>
      <c r="J1214" s="11" t="n">
        <v>1468127</v>
      </c>
      <c r="L1214" s="11" t="n">
        <v>228381</v>
      </c>
      <c r="M1214" s="13" t="s">
        <v>44</v>
      </c>
      <c r="N1214" s="13" t="s">
        <v>36</v>
      </c>
      <c r="P1214" s="11" t="n">
        <v>102</v>
      </c>
      <c r="Q1214" s="13" t="s">
        <v>186</v>
      </c>
      <c r="R1214" s="13" t="s">
        <v>46</v>
      </c>
      <c r="S1214" s="11" t="n">
        <v>1130101</v>
      </c>
      <c r="T1214" s="13" t="s">
        <v>47</v>
      </c>
      <c r="U1214" s="14" t="n">
        <v>30.51</v>
      </c>
      <c r="W1214" s="14" t="n">
        <v>0</v>
      </c>
      <c r="X1214" s="13" t="s">
        <v>1277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46199</v>
      </c>
      <c r="C1215" s="12" t="n">
        <v>46231</v>
      </c>
      <c r="D1215" s="11" t="n">
        <v>1634</v>
      </c>
      <c r="E1215" s="13" t="s">
        <v>1069</v>
      </c>
      <c r="F1215" s="11" t="n">
        <v>24</v>
      </c>
      <c r="G1215" s="13" t="s">
        <v>42</v>
      </c>
      <c r="H1215" s="11" t="n">
        <v>2110101</v>
      </c>
      <c r="I1215" s="13" t="s">
        <v>43</v>
      </c>
      <c r="J1215" s="11" t="n">
        <v>1334077</v>
      </c>
      <c r="L1215" s="11" t="n">
        <v>3274643</v>
      </c>
      <c r="M1215" s="13" t="s">
        <v>44</v>
      </c>
      <c r="N1215" s="13" t="s">
        <v>36</v>
      </c>
      <c r="P1215" s="11" t="n">
        <v>167</v>
      </c>
      <c r="Q1215" s="13" t="s">
        <v>101</v>
      </c>
      <c r="R1215" s="13" t="s">
        <v>46</v>
      </c>
      <c r="S1215" s="11" t="n">
        <v>1130101</v>
      </c>
      <c r="T1215" s="13" t="s">
        <v>47</v>
      </c>
      <c r="U1215" s="14" t="n">
        <v>288.37</v>
      </c>
      <c r="W1215" s="14" t="n">
        <v>0</v>
      </c>
      <c r="X1215" s="13" t="s">
        <v>1278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1" t="n">
        <v>3</v>
      </c>
      <c r="B1216" s="12" t="n">
        <v>46204</v>
      </c>
      <c r="C1216" s="12" t="n">
        <v>46231</v>
      </c>
      <c r="D1216" s="11" t="n">
        <v>1624</v>
      </c>
      <c r="E1216" s="13" t="s">
        <v>208</v>
      </c>
      <c r="F1216" s="11" t="n">
        <v>24</v>
      </c>
      <c r="G1216" s="13" t="s">
        <v>42</v>
      </c>
      <c r="H1216" s="11" t="n">
        <v>2110101</v>
      </c>
      <c r="I1216" s="13" t="s">
        <v>43</v>
      </c>
      <c r="J1216" s="11" t="n">
        <v>1340688</v>
      </c>
      <c r="L1216" s="11" t="n">
        <v>6615202</v>
      </c>
      <c r="M1216" s="13" t="s">
        <v>44</v>
      </c>
      <c r="N1216" s="13" t="s">
        <v>36</v>
      </c>
      <c r="P1216" s="11" t="n">
        <v>167</v>
      </c>
      <c r="Q1216" s="13" t="s">
        <v>101</v>
      </c>
      <c r="R1216" s="13" t="s">
        <v>46</v>
      </c>
      <c r="S1216" s="11" t="n">
        <v>1130101</v>
      </c>
      <c r="T1216" s="13" t="s">
        <v>47</v>
      </c>
      <c r="U1216" s="14" t="n">
        <v>656.2</v>
      </c>
      <c r="W1216" s="14" t="n">
        <v>0</v>
      </c>
      <c r="X1216" s="13" t="s">
        <v>1279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1" t="n">
        <v>3</v>
      </c>
      <c r="B1217" s="12" t="n">
        <v>46210</v>
      </c>
      <c r="C1217" s="12" t="n">
        <v>46231</v>
      </c>
      <c r="D1217" s="11" t="n">
        <v>1612</v>
      </c>
      <c r="E1217" s="13" t="s">
        <v>264</v>
      </c>
      <c r="F1217" s="11" t="n">
        <v>24</v>
      </c>
      <c r="G1217" s="13" t="s">
        <v>42</v>
      </c>
      <c r="H1217" s="11" t="n">
        <v>2110101</v>
      </c>
      <c r="I1217" s="13" t="s">
        <v>43</v>
      </c>
      <c r="J1217" s="11" t="n">
        <v>1365024</v>
      </c>
      <c r="L1217" s="11" t="n">
        <v>22989872</v>
      </c>
      <c r="M1217" s="13" t="s">
        <v>44</v>
      </c>
      <c r="N1217" s="13" t="s">
        <v>36</v>
      </c>
      <c r="P1217" s="11" t="n">
        <v>167</v>
      </c>
      <c r="Q1217" s="13" t="s">
        <v>101</v>
      </c>
      <c r="R1217" s="13" t="s">
        <v>46</v>
      </c>
      <c r="S1217" s="11" t="n">
        <v>1130101</v>
      </c>
      <c r="T1217" s="13" t="s">
        <v>47</v>
      </c>
      <c r="U1217" s="14" t="n">
        <v>977.57</v>
      </c>
      <c r="W1217" s="14" t="n">
        <v>0</v>
      </c>
      <c r="X1217" s="13" t="s">
        <v>1280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1" t="n">
        <v>3</v>
      </c>
      <c r="B1218" s="12" t="n">
        <v>46223</v>
      </c>
      <c r="C1218" s="12" t="n">
        <v>46231</v>
      </c>
      <c r="D1218" s="11" t="n">
        <v>1705</v>
      </c>
      <c r="E1218" s="13" t="s">
        <v>122</v>
      </c>
      <c r="F1218" s="11" t="n">
        <v>24</v>
      </c>
      <c r="G1218" s="13" t="s">
        <v>42</v>
      </c>
      <c r="H1218" s="11" t="n">
        <v>2110405</v>
      </c>
      <c r="I1218" s="13" t="s">
        <v>34</v>
      </c>
      <c r="J1218" s="11" t="n">
        <v>1427447</v>
      </c>
      <c r="L1218" s="11" t="n">
        <v>12117387</v>
      </c>
      <c r="M1218" s="13" t="s">
        <v>44</v>
      </c>
      <c r="N1218" s="13" t="s">
        <v>36</v>
      </c>
      <c r="P1218" s="11" t="n">
        <v>167</v>
      </c>
      <c r="Q1218" s="13" t="s">
        <v>101</v>
      </c>
      <c r="R1218" s="13" t="s">
        <v>46</v>
      </c>
      <c r="S1218" s="11" t="n">
        <v>1130101</v>
      </c>
      <c r="T1218" s="13" t="s">
        <v>47</v>
      </c>
      <c r="U1218" s="14" t="n">
        <v>995.03</v>
      </c>
      <c r="W1218" s="14" t="n">
        <v>0</v>
      </c>
      <c r="X1218" s="13" t="s">
        <v>1281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1" t="n">
        <v>3</v>
      </c>
      <c r="B1219" s="12" t="n">
        <v>46224</v>
      </c>
      <c r="C1219" s="12" t="n">
        <v>46231</v>
      </c>
      <c r="D1219" s="11" t="n">
        <v>1705</v>
      </c>
      <c r="E1219" s="13" t="s">
        <v>122</v>
      </c>
      <c r="F1219" s="11" t="n">
        <v>24</v>
      </c>
      <c r="G1219" s="13" t="s">
        <v>42</v>
      </c>
      <c r="H1219" s="11" t="n">
        <v>2110405</v>
      </c>
      <c r="I1219" s="13" t="s">
        <v>34</v>
      </c>
      <c r="J1219" s="11" t="n">
        <v>1427452</v>
      </c>
      <c r="L1219" s="11" t="n">
        <v>19463315</v>
      </c>
      <c r="M1219" s="13" t="s">
        <v>44</v>
      </c>
      <c r="N1219" s="13" t="s">
        <v>36</v>
      </c>
      <c r="P1219" s="11" t="n">
        <v>167</v>
      </c>
      <c r="Q1219" s="13" t="s">
        <v>101</v>
      </c>
      <c r="R1219" s="13" t="s">
        <v>46</v>
      </c>
      <c r="S1219" s="11" t="n">
        <v>1130101</v>
      </c>
      <c r="T1219" s="13" t="s">
        <v>47</v>
      </c>
      <c r="U1219" s="14" t="n">
        <v>4839.24</v>
      </c>
      <c r="W1219" s="14" t="n">
        <v>0</v>
      </c>
      <c r="X1219" s="13" t="s">
        <v>1282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1" t="n">
        <v>3</v>
      </c>
      <c r="B1220" s="12" t="n">
        <v>46224</v>
      </c>
      <c r="C1220" s="12" t="n">
        <v>46231</v>
      </c>
      <c r="D1220" s="11" t="n">
        <v>1625</v>
      </c>
      <c r="E1220" s="13" t="s">
        <v>320</v>
      </c>
      <c r="F1220" s="11" t="n">
        <v>24</v>
      </c>
      <c r="G1220" s="13" t="s">
        <v>42</v>
      </c>
      <c r="H1220" s="11" t="n">
        <v>2110405</v>
      </c>
      <c r="I1220" s="13" t="s">
        <v>34</v>
      </c>
      <c r="J1220" s="11" t="n">
        <v>1427640</v>
      </c>
      <c r="L1220" s="11" t="n">
        <v>14770</v>
      </c>
      <c r="M1220" s="13" t="s">
        <v>44</v>
      </c>
      <c r="N1220" s="13" t="s">
        <v>36</v>
      </c>
      <c r="P1220" s="11" t="n">
        <v>167</v>
      </c>
      <c r="Q1220" s="13" t="s">
        <v>101</v>
      </c>
      <c r="R1220" s="13" t="s">
        <v>46</v>
      </c>
      <c r="S1220" s="11" t="n">
        <v>1130101</v>
      </c>
      <c r="T1220" s="13" t="s">
        <v>47</v>
      </c>
      <c r="U1220" s="14" t="n">
        <v>3682.25</v>
      </c>
      <c r="W1220" s="14" t="n">
        <v>0</v>
      </c>
      <c r="X1220" s="13" t="s">
        <v>1283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1" t="n">
        <v>3</v>
      </c>
      <c r="B1221" s="12" t="n">
        <v>46225</v>
      </c>
      <c r="C1221" s="12" t="n">
        <v>46231</v>
      </c>
      <c r="D1221" s="11" t="n">
        <v>42</v>
      </c>
      <c r="E1221" s="13" t="s">
        <v>80</v>
      </c>
      <c r="F1221" s="11" t="n">
        <v>34</v>
      </c>
      <c r="G1221" s="13" t="s">
        <v>33</v>
      </c>
      <c r="H1221" s="11" t="n">
        <v>2110101</v>
      </c>
      <c r="I1221" s="13" t="s">
        <v>43</v>
      </c>
      <c r="J1221" s="11" t="n">
        <v>1434171</v>
      </c>
      <c r="L1221" s="11" t="n">
        <v>4409</v>
      </c>
      <c r="M1221" s="13" t="s">
        <v>44</v>
      </c>
      <c r="N1221" s="13" t="s">
        <v>69</v>
      </c>
      <c r="P1221" s="11" t="n">
        <v>167</v>
      </c>
      <c r="Q1221" s="13" t="s">
        <v>101</v>
      </c>
      <c r="R1221" s="13" t="s">
        <v>46</v>
      </c>
      <c r="S1221" s="11" t="n">
        <v>1130101</v>
      </c>
      <c r="T1221" s="13" t="s">
        <v>47</v>
      </c>
      <c r="U1221" s="14" t="n">
        <v>600</v>
      </c>
      <c r="W1221" s="14" t="n">
        <v>0</v>
      </c>
      <c r="X1221" s="13" t="s">
        <v>1284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46224</v>
      </c>
      <c r="C1222" s="12" t="n">
        <v>46231</v>
      </c>
      <c r="D1222" s="11" t="n">
        <v>10038</v>
      </c>
      <c r="E1222" s="13" t="s">
        <v>312</v>
      </c>
      <c r="F1222" s="11" t="n">
        <v>24</v>
      </c>
      <c r="G1222" s="13" t="s">
        <v>42</v>
      </c>
      <c r="H1222" s="11" t="n">
        <v>2110405</v>
      </c>
      <c r="I1222" s="13" t="s">
        <v>34</v>
      </c>
      <c r="J1222" s="11" t="n">
        <v>1434266</v>
      </c>
      <c r="L1222" s="11" t="n">
        <v>194167005</v>
      </c>
      <c r="M1222" s="13" t="s">
        <v>44</v>
      </c>
      <c r="N1222" s="13" t="s">
        <v>36</v>
      </c>
      <c r="P1222" s="11" t="n">
        <v>167</v>
      </c>
      <c r="Q1222" s="13" t="s">
        <v>101</v>
      </c>
      <c r="R1222" s="13" t="s">
        <v>46</v>
      </c>
      <c r="S1222" s="11" t="n">
        <v>1130101</v>
      </c>
      <c r="T1222" s="13" t="s">
        <v>47</v>
      </c>
      <c r="U1222" s="14" t="n">
        <v>574</v>
      </c>
      <c r="W1222" s="14" t="n">
        <v>0</v>
      </c>
      <c r="X1222" s="13" t="s">
        <v>706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46224</v>
      </c>
      <c r="C1223" s="12" t="n">
        <v>46231</v>
      </c>
      <c r="D1223" s="11" t="n">
        <v>1378</v>
      </c>
      <c r="E1223" s="13" t="s">
        <v>120</v>
      </c>
      <c r="F1223" s="11" t="n">
        <v>24</v>
      </c>
      <c r="G1223" s="13" t="s">
        <v>42</v>
      </c>
      <c r="H1223" s="11" t="n">
        <v>2110405</v>
      </c>
      <c r="I1223" s="13" t="s">
        <v>34</v>
      </c>
      <c r="J1223" s="11" t="n">
        <v>1434292</v>
      </c>
      <c r="L1223" s="11" t="n">
        <v>18314</v>
      </c>
      <c r="M1223" s="13" t="s">
        <v>44</v>
      </c>
      <c r="N1223" s="13" t="s">
        <v>36</v>
      </c>
      <c r="P1223" s="11" t="n">
        <v>167</v>
      </c>
      <c r="Q1223" s="13" t="s">
        <v>101</v>
      </c>
      <c r="R1223" s="13" t="s">
        <v>46</v>
      </c>
      <c r="S1223" s="11" t="n">
        <v>1130101</v>
      </c>
      <c r="T1223" s="13" t="s">
        <v>47</v>
      </c>
      <c r="U1223" s="14" t="n">
        <v>200</v>
      </c>
      <c r="W1223" s="14" t="n">
        <v>0</v>
      </c>
      <c r="X1223" s="13" t="s">
        <v>1285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1" t="n">
        <v>3</v>
      </c>
      <c r="B1224" s="12" t="n">
        <v>46225</v>
      </c>
      <c r="C1224" s="12" t="n">
        <v>46231</v>
      </c>
      <c r="D1224" s="11" t="n">
        <v>1722</v>
      </c>
      <c r="E1224" s="13" t="s">
        <v>417</v>
      </c>
      <c r="F1224" s="11" t="n">
        <v>24</v>
      </c>
      <c r="G1224" s="13" t="s">
        <v>42</v>
      </c>
      <c r="H1224" s="11" t="n">
        <v>2110405</v>
      </c>
      <c r="I1224" s="13" t="s">
        <v>34</v>
      </c>
      <c r="J1224" s="11" t="n">
        <v>1434705</v>
      </c>
      <c r="L1224" s="11" t="n">
        <v>6860</v>
      </c>
      <c r="M1224" s="13" t="s">
        <v>44</v>
      </c>
      <c r="N1224" s="13" t="s">
        <v>36</v>
      </c>
      <c r="P1224" s="11" t="n">
        <v>167</v>
      </c>
      <c r="Q1224" s="13" t="s">
        <v>101</v>
      </c>
      <c r="R1224" s="13" t="s">
        <v>46</v>
      </c>
      <c r="S1224" s="11" t="n">
        <v>1130101</v>
      </c>
      <c r="T1224" s="13" t="s">
        <v>47</v>
      </c>
      <c r="U1224" s="14" t="n">
        <v>233</v>
      </c>
      <c r="W1224" s="14" t="n">
        <v>0</v>
      </c>
      <c r="X1224" s="13" t="s">
        <v>1286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1" t="n">
        <v>3</v>
      </c>
      <c r="B1225" s="12" t="n">
        <v>46224</v>
      </c>
      <c r="C1225" s="12" t="n">
        <v>46231</v>
      </c>
      <c r="D1225" s="11" t="n">
        <v>1734</v>
      </c>
      <c r="E1225" s="13" t="s">
        <v>125</v>
      </c>
      <c r="F1225" s="11" t="n">
        <v>24</v>
      </c>
      <c r="G1225" s="13" t="s">
        <v>42</v>
      </c>
      <c r="H1225" s="11" t="n">
        <v>2110405</v>
      </c>
      <c r="I1225" s="13" t="s">
        <v>34</v>
      </c>
      <c r="J1225" s="11" t="n">
        <v>1438981</v>
      </c>
      <c r="L1225" s="11" t="n">
        <v>2560201</v>
      </c>
      <c r="M1225" s="13" t="s">
        <v>44</v>
      </c>
      <c r="N1225" s="13" t="s">
        <v>36</v>
      </c>
      <c r="P1225" s="11" t="n">
        <v>167</v>
      </c>
      <c r="Q1225" s="13" t="s">
        <v>101</v>
      </c>
      <c r="R1225" s="13" t="s">
        <v>46</v>
      </c>
      <c r="S1225" s="11" t="n">
        <v>1130101</v>
      </c>
      <c r="T1225" s="13" t="s">
        <v>47</v>
      </c>
      <c r="U1225" s="14" t="n">
        <v>355</v>
      </c>
      <c r="W1225" s="14" t="n">
        <v>0</v>
      </c>
      <c r="X1225" s="13" t="s">
        <v>1287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1" t="n">
        <v>3</v>
      </c>
      <c r="B1226" s="12" t="n">
        <v>46227</v>
      </c>
      <c r="C1226" s="12" t="n">
        <v>46231</v>
      </c>
      <c r="D1226" s="11" t="n">
        <v>42</v>
      </c>
      <c r="E1226" s="13" t="s">
        <v>80</v>
      </c>
      <c r="F1226" s="11" t="n">
        <v>34</v>
      </c>
      <c r="G1226" s="13" t="s">
        <v>33</v>
      </c>
      <c r="H1226" s="11" t="n">
        <v>2110101</v>
      </c>
      <c r="I1226" s="13" t="s">
        <v>43</v>
      </c>
      <c r="J1226" s="11" t="n">
        <v>1445099</v>
      </c>
      <c r="L1226" s="11" t="n">
        <v>4420</v>
      </c>
      <c r="M1226" s="13" t="s">
        <v>44</v>
      </c>
      <c r="N1226" s="13" t="s">
        <v>69</v>
      </c>
      <c r="P1226" s="11" t="n">
        <v>167</v>
      </c>
      <c r="Q1226" s="13" t="s">
        <v>101</v>
      </c>
      <c r="R1226" s="13" t="s">
        <v>46</v>
      </c>
      <c r="S1226" s="11" t="n">
        <v>1130101</v>
      </c>
      <c r="T1226" s="13" t="s">
        <v>47</v>
      </c>
      <c r="U1226" s="14" t="n">
        <v>2232</v>
      </c>
      <c r="W1226" s="14" t="n">
        <v>0</v>
      </c>
      <c r="X1226" s="13" t="s">
        <v>1029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46227</v>
      </c>
      <c r="C1227" s="12" t="n">
        <v>46231</v>
      </c>
      <c r="D1227" s="11" t="n">
        <v>1615</v>
      </c>
      <c r="E1227" s="13" t="s">
        <v>130</v>
      </c>
      <c r="F1227" s="11" t="n">
        <v>34</v>
      </c>
      <c r="G1227" s="13" t="s">
        <v>33</v>
      </c>
      <c r="H1227" s="11" t="n">
        <v>2110405</v>
      </c>
      <c r="I1227" s="13" t="s">
        <v>34</v>
      </c>
      <c r="J1227" s="11" t="n">
        <v>1445108</v>
      </c>
      <c r="L1227" s="11" t="n">
        <v>14946</v>
      </c>
      <c r="M1227" s="13" t="s">
        <v>44</v>
      </c>
      <c r="N1227" s="13" t="s">
        <v>36</v>
      </c>
      <c r="P1227" s="11" t="n">
        <v>167</v>
      </c>
      <c r="Q1227" s="13" t="s">
        <v>101</v>
      </c>
      <c r="R1227" s="13" t="s">
        <v>46</v>
      </c>
      <c r="S1227" s="11" t="n">
        <v>1130101</v>
      </c>
      <c r="T1227" s="13" t="s">
        <v>47</v>
      </c>
      <c r="U1227" s="14" t="n">
        <v>310</v>
      </c>
      <c r="W1227" s="14" t="n">
        <v>0</v>
      </c>
      <c r="X1227" s="13" t="s">
        <v>1288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1" t="n">
        <v>3</v>
      </c>
      <c r="B1228" s="12" t="n">
        <v>46227</v>
      </c>
      <c r="C1228" s="12" t="n">
        <v>46231</v>
      </c>
      <c r="D1228" s="11" t="n">
        <v>1615</v>
      </c>
      <c r="E1228" s="13" t="s">
        <v>130</v>
      </c>
      <c r="F1228" s="11" t="n">
        <v>34</v>
      </c>
      <c r="G1228" s="13" t="s">
        <v>33</v>
      </c>
      <c r="H1228" s="11" t="n">
        <v>2110405</v>
      </c>
      <c r="I1228" s="13" t="s">
        <v>34</v>
      </c>
      <c r="J1228" s="11" t="n">
        <v>1445113</v>
      </c>
      <c r="L1228" s="11" t="n">
        <v>224939</v>
      </c>
      <c r="M1228" s="13" t="s">
        <v>44</v>
      </c>
      <c r="N1228" s="13" t="s">
        <v>36</v>
      </c>
      <c r="P1228" s="11" t="n">
        <v>167</v>
      </c>
      <c r="Q1228" s="13" t="s">
        <v>101</v>
      </c>
      <c r="R1228" s="13" t="s">
        <v>46</v>
      </c>
      <c r="S1228" s="11" t="n">
        <v>1130101</v>
      </c>
      <c r="T1228" s="13" t="s">
        <v>47</v>
      </c>
      <c r="U1228" s="14" t="n">
        <v>175</v>
      </c>
      <c r="W1228" s="14" t="n">
        <v>0</v>
      </c>
      <c r="X1228" s="13" t="s">
        <v>1289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1" t="n">
        <v>3</v>
      </c>
      <c r="B1229" s="12" t="n">
        <v>46228</v>
      </c>
      <c r="C1229" s="12" t="n">
        <v>46231</v>
      </c>
      <c r="D1229" s="11" t="n">
        <v>642</v>
      </c>
      <c r="E1229" s="13" t="s">
        <v>135</v>
      </c>
      <c r="F1229" s="11" t="n">
        <v>24</v>
      </c>
      <c r="G1229" s="13" t="s">
        <v>42</v>
      </c>
      <c r="H1229" s="11" t="n">
        <v>2110405</v>
      </c>
      <c r="I1229" s="13" t="s">
        <v>34</v>
      </c>
      <c r="J1229" s="11" t="n">
        <v>1458619</v>
      </c>
      <c r="L1229" s="11" t="n">
        <v>545</v>
      </c>
      <c r="M1229" s="13" t="s">
        <v>44</v>
      </c>
      <c r="N1229" s="13" t="s">
        <v>36</v>
      </c>
      <c r="P1229" s="11" t="n">
        <v>167</v>
      </c>
      <c r="Q1229" s="13" t="s">
        <v>101</v>
      </c>
      <c r="R1229" s="13" t="s">
        <v>46</v>
      </c>
      <c r="S1229" s="11" t="n">
        <v>1130101</v>
      </c>
      <c r="T1229" s="13" t="s">
        <v>47</v>
      </c>
      <c r="U1229" s="14" t="n">
        <v>240</v>
      </c>
      <c r="W1229" s="14" t="n">
        <v>0</v>
      </c>
      <c r="X1229" s="13" t="s">
        <v>1290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1" t="n">
        <v>3</v>
      </c>
      <c r="B1230" s="12" t="n">
        <v>46223</v>
      </c>
      <c r="C1230" s="12" t="n">
        <v>46231</v>
      </c>
      <c r="D1230" s="11" t="n">
        <v>17</v>
      </c>
      <c r="E1230" s="13" t="s">
        <v>1291</v>
      </c>
      <c r="F1230" s="11" t="n">
        <v>34</v>
      </c>
      <c r="G1230" s="13" t="s">
        <v>33</v>
      </c>
      <c r="H1230" s="11" t="n">
        <v>2110405</v>
      </c>
      <c r="I1230" s="13" t="s">
        <v>34</v>
      </c>
      <c r="J1230" s="11" t="n">
        <v>1464473</v>
      </c>
      <c r="L1230" s="11" t="n">
        <v>227845</v>
      </c>
      <c r="M1230" s="13" t="s">
        <v>44</v>
      </c>
      <c r="N1230" s="13" t="s">
        <v>36</v>
      </c>
      <c r="P1230" s="11" t="n">
        <v>101</v>
      </c>
      <c r="Q1230" s="13" t="s">
        <v>37</v>
      </c>
      <c r="R1230" s="13" t="s">
        <v>203</v>
      </c>
      <c r="S1230" s="11" t="n">
        <v>4220199</v>
      </c>
      <c r="T1230" s="13" t="s">
        <v>204</v>
      </c>
      <c r="U1230" s="14" t="n">
        <v>2600</v>
      </c>
      <c r="W1230" s="14" t="n">
        <v>0</v>
      </c>
      <c r="X1230" s="13" t="s">
        <v>1292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46231</v>
      </c>
      <c r="C1231" s="12" t="n">
        <v>46231</v>
      </c>
      <c r="D1231" s="11" t="n">
        <v>42</v>
      </c>
      <c r="E1231" s="13" t="s">
        <v>80</v>
      </c>
      <c r="F1231" s="11" t="n">
        <v>13</v>
      </c>
      <c r="G1231" s="13" t="s">
        <v>81</v>
      </c>
      <c r="H1231" s="11" t="n">
        <v>2110101</v>
      </c>
      <c r="I1231" s="13" t="s">
        <v>43</v>
      </c>
      <c r="J1231" s="11" t="n">
        <v>1464750</v>
      </c>
      <c r="L1231" s="11" t="n">
        <v>4435</v>
      </c>
      <c r="M1231" s="13" t="s">
        <v>44</v>
      </c>
      <c r="N1231" s="13" t="s">
        <v>69</v>
      </c>
      <c r="P1231" s="11" t="n">
        <v>167</v>
      </c>
      <c r="Q1231" s="13" t="s">
        <v>101</v>
      </c>
      <c r="R1231" s="13" t="s">
        <v>46</v>
      </c>
      <c r="S1231" s="11" t="n">
        <v>1130101</v>
      </c>
      <c r="T1231" s="13" t="s">
        <v>47</v>
      </c>
      <c r="U1231" s="14" t="n">
        <v>75</v>
      </c>
      <c r="W1231" s="14" t="n">
        <v>75</v>
      </c>
      <c r="X1231" s="13" t="s">
        <v>772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46231</v>
      </c>
      <c r="C1232" s="12" t="n">
        <v>46231</v>
      </c>
      <c r="D1232" s="11" t="n">
        <v>42</v>
      </c>
      <c r="E1232" s="13" t="s">
        <v>80</v>
      </c>
      <c r="F1232" s="11" t="n">
        <v>13</v>
      </c>
      <c r="G1232" s="13" t="s">
        <v>81</v>
      </c>
      <c r="H1232" s="11" t="n">
        <v>2110101</v>
      </c>
      <c r="I1232" s="13" t="s">
        <v>43</v>
      </c>
      <c r="J1232" s="11" t="n">
        <v>1465112</v>
      </c>
      <c r="L1232" s="11" t="n">
        <v>4436</v>
      </c>
      <c r="M1232" s="13" t="s">
        <v>44</v>
      </c>
      <c r="N1232" s="13" t="s">
        <v>69</v>
      </c>
      <c r="P1232" s="11" t="n">
        <v>167</v>
      </c>
      <c r="Q1232" s="13" t="s">
        <v>101</v>
      </c>
      <c r="R1232" s="13" t="s">
        <v>46</v>
      </c>
      <c r="S1232" s="11" t="n">
        <v>1130101</v>
      </c>
      <c r="T1232" s="13" t="s">
        <v>47</v>
      </c>
      <c r="U1232" s="14" t="n">
        <v>250</v>
      </c>
      <c r="W1232" s="14" t="n">
        <v>250</v>
      </c>
      <c r="X1232" s="13" t="s">
        <v>1293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46204</v>
      </c>
      <c r="C1233" s="12" t="n">
        <v>46232</v>
      </c>
      <c r="D1233" s="11" t="n">
        <v>1740</v>
      </c>
      <c r="E1233" s="13" t="s">
        <v>170</v>
      </c>
      <c r="F1233" s="11" t="n">
        <v>24</v>
      </c>
      <c r="G1233" s="13" t="s">
        <v>42</v>
      </c>
      <c r="H1233" s="11" t="n">
        <v>2110101</v>
      </c>
      <c r="I1233" s="13" t="s">
        <v>43</v>
      </c>
      <c r="J1233" s="11" t="n">
        <v>1335363</v>
      </c>
      <c r="L1233" s="11" t="n">
        <v>12428243</v>
      </c>
      <c r="M1233" s="13" t="s">
        <v>44</v>
      </c>
      <c r="N1233" s="13" t="s">
        <v>36</v>
      </c>
      <c r="P1233" s="11" t="n">
        <v>167</v>
      </c>
      <c r="Q1233" s="13" t="s">
        <v>101</v>
      </c>
      <c r="R1233" s="13" t="s">
        <v>46</v>
      </c>
      <c r="S1233" s="11" t="n">
        <v>1130101</v>
      </c>
      <c r="T1233" s="13" t="s">
        <v>47</v>
      </c>
      <c r="U1233" s="14" t="n">
        <v>683</v>
      </c>
      <c r="W1233" s="14" t="n">
        <v>0</v>
      </c>
      <c r="X1233" s="13" t="s">
        <v>1294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1" t="n">
        <v>3</v>
      </c>
      <c r="B1234" s="12" t="n">
        <v>46204</v>
      </c>
      <c r="C1234" s="12" t="n">
        <v>46232</v>
      </c>
      <c r="D1234" s="11" t="n">
        <v>1740</v>
      </c>
      <c r="E1234" s="13" t="s">
        <v>170</v>
      </c>
      <c r="F1234" s="11" t="n">
        <v>24</v>
      </c>
      <c r="G1234" s="13" t="s">
        <v>42</v>
      </c>
      <c r="H1234" s="11" t="n">
        <v>2110101</v>
      </c>
      <c r="I1234" s="13" t="s">
        <v>43</v>
      </c>
      <c r="J1234" s="11" t="n">
        <v>1335374</v>
      </c>
      <c r="L1234" s="11" t="n">
        <v>12428253</v>
      </c>
      <c r="M1234" s="13" t="s">
        <v>44</v>
      </c>
      <c r="N1234" s="13" t="s">
        <v>36</v>
      </c>
      <c r="P1234" s="11" t="n">
        <v>167</v>
      </c>
      <c r="Q1234" s="13" t="s">
        <v>101</v>
      </c>
      <c r="R1234" s="13" t="s">
        <v>46</v>
      </c>
      <c r="S1234" s="11" t="n">
        <v>1130101</v>
      </c>
      <c r="T1234" s="13" t="s">
        <v>47</v>
      </c>
      <c r="U1234" s="14" t="n">
        <v>764</v>
      </c>
      <c r="W1234" s="14" t="n">
        <v>0</v>
      </c>
      <c r="X1234" s="13" t="s">
        <v>1295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1" t="n">
        <v>3</v>
      </c>
      <c r="B1235" s="12" t="n">
        <v>46206</v>
      </c>
      <c r="C1235" s="12" t="n">
        <v>46232</v>
      </c>
      <c r="D1235" s="11" t="n">
        <v>1815</v>
      </c>
      <c r="E1235" s="13" t="s">
        <v>53</v>
      </c>
      <c r="F1235" s="11" t="n">
        <v>24</v>
      </c>
      <c r="G1235" s="13" t="s">
        <v>42</v>
      </c>
      <c r="H1235" s="11" t="n">
        <v>2110101</v>
      </c>
      <c r="I1235" s="13" t="s">
        <v>43</v>
      </c>
      <c r="J1235" s="11" t="n">
        <v>1345436</v>
      </c>
      <c r="L1235" s="11" t="n">
        <v>4544843</v>
      </c>
      <c r="M1235" s="13" t="s">
        <v>44</v>
      </c>
      <c r="N1235" s="13" t="s">
        <v>36</v>
      </c>
      <c r="P1235" s="11" t="n">
        <v>167</v>
      </c>
      <c r="Q1235" s="13" t="s">
        <v>101</v>
      </c>
      <c r="R1235" s="13" t="s">
        <v>46</v>
      </c>
      <c r="S1235" s="11" t="n">
        <v>1130101</v>
      </c>
      <c r="T1235" s="13" t="s">
        <v>47</v>
      </c>
      <c r="U1235" s="14" t="n">
        <v>2508.9</v>
      </c>
      <c r="W1235" s="14" t="n">
        <v>0</v>
      </c>
      <c r="X1235" s="13" t="s">
        <v>1296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1" t="n">
        <v>3</v>
      </c>
      <c r="B1236" s="12" t="n">
        <v>46212</v>
      </c>
      <c r="C1236" s="12" t="n">
        <v>46232</v>
      </c>
      <c r="D1236" s="11" t="n">
        <v>1734</v>
      </c>
      <c r="E1236" s="13" t="s">
        <v>125</v>
      </c>
      <c r="F1236" s="11" t="n">
        <v>24</v>
      </c>
      <c r="G1236" s="13" t="s">
        <v>42</v>
      </c>
      <c r="H1236" s="11" t="n">
        <v>2110101</v>
      </c>
      <c r="I1236" s="13" t="s">
        <v>43</v>
      </c>
      <c r="J1236" s="11" t="n">
        <v>1373726</v>
      </c>
      <c r="L1236" s="11" t="n">
        <v>255010</v>
      </c>
      <c r="M1236" s="13" t="s">
        <v>44</v>
      </c>
      <c r="N1236" s="13" t="s">
        <v>69</v>
      </c>
      <c r="P1236" s="11" t="n">
        <v>167</v>
      </c>
      <c r="Q1236" s="13" t="s">
        <v>101</v>
      </c>
      <c r="R1236" s="13" t="s">
        <v>46</v>
      </c>
      <c r="S1236" s="11" t="n">
        <v>1130101</v>
      </c>
      <c r="T1236" s="13" t="s">
        <v>47</v>
      </c>
      <c r="U1236" s="14" t="n">
        <v>553.87</v>
      </c>
      <c r="W1236" s="14" t="n">
        <v>0</v>
      </c>
      <c r="X1236" s="13" t="s">
        <v>1297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1" t="n">
        <v>3</v>
      </c>
      <c r="B1237" s="12" t="n">
        <v>46211</v>
      </c>
      <c r="C1237" s="12" t="n">
        <v>46232</v>
      </c>
      <c r="D1237" s="11" t="n">
        <v>1740</v>
      </c>
      <c r="E1237" s="13" t="s">
        <v>170</v>
      </c>
      <c r="F1237" s="11" t="n">
        <v>24</v>
      </c>
      <c r="G1237" s="13" t="s">
        <v>42</v>
      </c>
      <c r="H1237" s="11" t="n">
        <v>2110101</v>
      </c>
      <c r="I1237" s="13" t="s">
        <v>43</v>
      </c>
      <c r="J1237" s="11" t="n">
        <v>1373787</v>
      </c>
      <c r="L1237" s="11" t="n">
        <v>12453552</v>
      </c>
      <c r="M1237" s="13" t="s">
        <v>44</v>
      </c>
      <c r="N1237" s="13" t="s">
        <v>36</v>
      </c>
      <c r="P1237" s="11" t="n">
        <v>167</v>
      </c>
      <c r="Q1237" s="13" t="s">
        <v>101</v>
      </c>
      <c r="R1237" s="13" t="s">
        <v>46</v>
      </c>
      <c r="S1237" s="11" t="n">
        <v>1130101</v>
      </c>
      <c r="T1237" s="13" t="s">
        <v>47</v>
      </c>
      <c r="U1237" s="14" t="n">
        <v>902.57</v>
      </c>
      <c r="W1237" s="14" t="n">
        <v>0</v>
      </c>
      <c r="X1237" s="13" t="s">
        <v>1298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46232</v>
      </c>
      <c r="D1238" s="11" t="n">
        <v>1107</v>
      </c>
      <c r="E1238" s="13" t="s">
        <v>165</v>
      </c>
      <c r="F1238" s="11" t="n">
        <v>24</v>
      </c>
      <c r="G1238" s="13" t="s">
        <v>42</v>
      </c>
      <c r="H1238" s="11" t="n">
        <v>2110101</v>
      </c>
      <c r="I1238" s="13" t="s">
        <v>43</v>
      </c>
      <c r="J1238" s="11" t="n">
        <v>1373797</v>
      </c>
      <c r="L1238" s="11" t="n">
        <v>4263682</v>
      </c>
      <c r="M1238" s="13" t="s">
        <v>44</v>
      </c>
      <c r="N1238" s="13" t="s">
        <v>36</v>
      </c>
      <c r="P1238" s="11" t="n">
        <v>167</v>
      </c>
      <c r="Q1238" s="13" t="s">
        <v>101</v>
      </c>
      <c r="R1238" s="13" t="s">
        <v>46</v>
      </c>
      <c r="S1238" s="11" t="n">
        <v>1130101</v>
      </c>
      <c r="T1238" s="13" t="s">
        <v>47</v>
      </c>
      <c r="U1238" s="14" t="n">
        <v>651.11</v>
      </c>
      <c r="W1238" s="14" t="n">
        <v>0</v>
      </c>
      <c r="X1238" s="13" t="s">
        <v>1299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1" t="n">
        <v>3</v>
      </c>
      <c r="B1239" s="12" t="n">
        <v>46211</v>
      </c>
      <c r="C1239" s="12" t="n">
        <v>46232</v>
      </c>
      <c r="D1239" s="11" t="n">
        <v>1676</v>
      </c>
      <c r="E1239" s="13" t="s">
        <v>253</v>
      </c>
      <c r="F1239" s="11" t="n">
        <v>24</v>
      </c>
      <c r="G1239" s="13" t="s">
        <v>42</v>
      </c>
      <c r="H1239" s="11" t="n">
        <v>2110101</v>
      </c>
      <c r="I1239" s="13" t="s">
        <v>43</v>
      </c>
      <c r="J1239" s="11" t="n">
        <v>1373838</v>
      </c>
      <c r="L1239" s="11" t="n">
        <v>1037762</v>
      </c>
      <c r="M1239" s="13" t="s">
        <v>44</v>
      </c>
      <c r="N1239" s="13" t="s">
        <v>36</v>
      </c>
      <c r="P1239" s="11" t="n">
        <v>167</v>
      </c>
      <c r="Q1239" s="13" t="s">
        <v>101</v>
      </c>
      <c r="R1239" s="13" t="s">
        <v>46</v>
      </c>
      <c r="S1239" s="11" t="n">
        <v>1130101</v>
      </c>
      <c r="T1239" s="13" t="s">
        <v>47</v>
      </c>
      <c r="U1239" s="14" t="n">
        <v>572.37</v>
      </c>
      <c r="W1239" s="14" t="n">
        <v>0</v>
      </c>
      <c r="X1239" s="13" t="s">
        <v>1300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1" t="n">
        <v>3</v>
      </c>
      <c r="B1240" s="12" t="n">
        <v>46218</v>
      </c>
      <c r="C1240" s="12" t="n">
        <v>46232</v>
      </c>
      <c r="D1240" s="11" t="n">
        <v>1740</v>
      </c>
      <c r="E1240" s="13" t="s">
        <v>170</v>
      </c>
      <c r="F1240" s="11" t="n">
        <v>24</v>
      </c>
      <c r="G1240" s="13" t="s">
        <v>42</v>
      </c>
      <c r="H1240" s="11" t="n">
        <v>2110405</v>
      </c>
      <c r="I1240" s="13" t="s">
        <v>34</v>
      </c>
      <c r="J1240" s="11" t="n">
        <v>1402423</v>
      </c>
      <c r="L1240" s="11" t="n">
        <v>12479161</v>
      </c>
      <c r="M1240" s="13" t="s">
        <v>44</v>
      </c>
      <c r="N1240" s="13" t="s">
        <v>36</v>
      </c>
      <c r="P1240" s="11" t="n">
        <v>167</v>
      </c>
      <c r="Q1240" s="13" t="s">
        <v>101</v>
      </c>
      <c r="R1240" s="13" t="s">
        <v>46</v>
      </c>
      <c r="S1240" s="11" t="n">
        <v>1130101</v>
      </c>
      <c r="T1240" s="13" t="s">
        <v>47</v>
      </c>
      <c r="U1240" s="14" t="n">
        <v>623.07</v>
      </c>
      <c r="W1240" s="14" t="n">
        <v>0</v>
      </c>
      <c r="X1240" s="13" t="s">
        <v>1301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1" t="n">
        <v>3</v>
      </c>
      <c r="B1241" s="12" t="n">
        <v>46218</v>
      </c>
      <c r="C1241" s="12" t="n">
        <v>46232</v>
      </c>
      <c r="D1241" s="11" t="n">
        <v>1740</v>
      </c>
      <c r="E1241" s="13" t="s">
        <v>170</v>
      </c>
      <c r="F1241" s="11" t="n">
        <v>24</v>
      </c>
      <c r="G1241" s="13" t="s">
        <v>42</v>
      </c>
      <c r="H1241" s="11" t="n">
        <v>2110405</v>
      </c>
      <c r="I1241" s="13" t="s">
        <v>34</v>
      </c>
      <c r="J1241" s="11" t="n">
        <v>1402525</v>
      </c>
      <c r="L1241" s="11" t="n">
        <v>12479171</v>
      </c>
      <c r="M1241" s="13" t="s">
        <v>44</v>
      </c>
      <c r="N1241" s="13" t="s">
        <v>36</v>
      </c>
      <c r="P1241" s="11" t="n">
        <v>167</v>
      </c>
      <c r="Q1241" s="13" t="s">
        <v>101</v>
      </c>
      <c r="R1241" s="13" t="s">
        <v>46</v>
      </c>
      <c r="S1241" s="11" t="n">
        <v>1130101</v>
      </c>
      <c r="T1241" s="13" t="s">
        <v>47</v>
      </c>
      <c r="U1241" s="14" t="n">
        <v>840.92</v>
      </c>
      <c r="W1241" s="14" t="n">
        <v>0</v>
      </c>
      <c r="X1241" s="13" t="s">
        <v>1302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1" t="n">
        <v>3</v>
      </c>
      <c r="B1242" s="12" t="n">
        <v>46224</v>
      </c>
      <c r="C1242" s="12" t="n">
        <v>46232</v>
      </c>
      <c r="D1242" s="11" t="n">
        <v>1024</v>
      </c>
      <c r="E1242" s="13" t="s">
        <v>161</v>
      </c>
      <c r="F1242" s="11" t="n">
        <v>24</v>
      </c>
      <c r="G1242" s="13" t="s">
        <v>42</v>
      </c>
      <c r="H1242" s="11" t="n">
        <v>2110405</v>
      </c>
      <c r="I1242" s="13" t="s">
        <v>34</v>
      </c>
      <c r="J1242" s="11" t="n">
        <v>1434255</v>
      </c>
      <c r="L1242" s="11" t="n">
        <v>6077011</v>
      </c>
      <c r="M1242" s="13" t="s">
        <v>44</v>
      </c>
      <c r="N1242" s="13" t="s">
        <v>36</v>
      </c>
      <c r="P1242" s="11" t="n">
        <v>167</v>
      </c>
      <c r="Q1242" s="13" t="s">
        <v>101</v>
      </c>
      <c r="R1242" s="13" t="s">
        <v>46</v>
      </c>
      <c r="S1242" s="11" t="n">
        <v>1130101</v>
      </c>
      <c r="T1242" s="13" t="s">
        <v>47</v>
      </c>
      <c r="U1242" s="14" t="n">
        <v>600.4</v>
      </c>
      <c r="W1242" s="14" t="n">
        <v>0</v>
      </c>
      <c r="X1242" s="13" t="s">
        <v>1303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1" t="n">
        <v>3</v>
      </c>
      <c r="B1243" s="12" t="n">
        <v>46225</v>
      </c>
      <c r="C1243" s="12" t="n">
        <v>46232</v>
      </c>
      <c r="D1243" s="11" t="n">
        <v>1625</v>
      </c>
      <c r="E1243" s="13" t="s">
        <v>320</v>
      </c>
      <c r="F1243" s="11" t="n">
        <v>24</v>
      </c>
      <c r="G1243" s="13" t="s">
        <v>42</v>
      </c>
      <c r="H1243" s="11" t="n">
        <v>2110405</v>
      </c>
      <c r="I1243" s="13" t="s">
        <v>34</v>
      </c>
      <c r="J1243" s="11" t="n">
        <v>1434300</v>
      </c>
      <c r="L1243" s="11" t="n">
        <v>14783</v>
      </c>
      <c r="M1243" s="13" t="s">
        <v>44</v>
      </c>
      <c r="N1243" s="13" t="s">
        <v>36</v>
      </c>
      <c r="P1243" s="11" t="n">
        <v>167</v>
      </c>
      <c r="Q1243" s="13" t="s">
        <v>101</v>
      </c>
      <c r="R1243" s="13" t="s">
        <v>46</v>
      </c>
      <c r="S1243" s="11" t="n">
        <v>1130101</v>
      </c>
      <c r="T1243" s="13" t="s">
        <v>47</v>
      </c>
      <c r="U1243" s="14" t="n">
        <v>2086.5</v>
      </c>
      <c r="W1243" s="14" t="n">
        <v>0</v>
      </c>
      <c r="X1243" s="13" t="s">
        <v>1304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1" t="n">
        <v>3</v>
      </c>
      <c r="B1244" s="12" t="n">
        <v>46224</v>
      </c>
      <c r="C1244" s="12" t="n">
        <v>46232</v>
      </c>
      <c r="D1244" s="11" t="n">
        <v>1457</v>
      </c>
      <c r="E1244" s="13" t="s">
        <v>179</v>
      </c>
      <c r="F1244" s="11" t="n">
        <v>24</v>
      </c>
      <c r="G1244" s="13" t="s">
        <v>42</v>
      </c>
      <c r="H1244" s="11" t="n">
        <v>2110405</v>
      </c>
      <c r="I1244" s="13" t="s">
        <v>34</v>
      </c>
      <c r="J1244" s="11" t="n">
        <v>1434314</v>
      </c>
      <c r="L1244" s="11" t="n">
        <v>13342</v>
      </c>
      <c r="M1244" s="13" t="s">
        <v>44</v>
      </c>
      <c r="N1244" s="13" t="s">
        <v>36</v>
      </c>
      <c r="P1244" s="11" t="n">
        <v>167</v>
      </c>
      <c r="Q1244" s="13" t="s">
        <v>101</v>
      </c>
      <c r="R1244" s="13" t="s">
        <v>46</v>
      </c>
      <c r="S1244" s="11" t="n">
        <v>1130101</v>
      </c>
      <c r="T1244" s="13" t="s">
        <v>47</v>
      </c>
      <c r="U1244" s="14" t="n">
        <v>203.08</v>
      </c>
      <c r="W1244" s="14" t="n">
        <v>0</v>
      </c>
      <c r="X1244" s="13" t="s">
        <v>1305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1" t="n">
        <v>3</v>
      </c>
      <c r="B1245" s="12" t="n">
        <v>46225</v>
      </c>
      <c r="C1245" s="12" t="n">
        <v>46232</v>
      </c>
      <c r="D1245" s="11" t="n">
        <v>1613</v>
      </c>
      <c r="E1245" s="13" t="s">
        <v>177</v>
      </c>
      <c r="F1245" s="11" t="n">
        <v>24</v>
      </c>
      <c r="G1245" s="13" t="s">
        <v>42</v>
      </c>
      <c r="H1245" s="11" t="n">
        <v>2110405</v>
      </c>
      <c r="I1245" s="13" t="s">
        <v>34</v>
      </c>
      <c r="J1245" s="11" t="n">
        <v>1434377</v>
      </c>
      <c r="L1245" s="11" t="n">
        <v>16099461</v>
      </c>
      <c r="M1245" s="13" t="s">
        <v>44</v>
      </c>
      <c r="N1245" s="13" t="s">
        <v>36</v>
      </c>
      <c r="P1245" s="11" t="n">
        <v>167</v>
      </c>
      <c r="Q1245" s="13" t="s">
        <v>101</v>
      </c>
      <c r="R1245" s="13" t="s">
        <v>46</v>
      </c>
      <c r="S1245" s="11" t="n">
        <v>1130101</v>
      </c>
      <c r="T1245" s="13" t="s">
        <v>47</v>
      </c>
      <c r="U1245" s="14" t="n">
        <v>1315.54</v>
      </c>
      <c r="W1245" s="14" t="n">
        <v>0</v>
      </c>
      <c r="X1245" s="13" t="s">
        <v>1306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1" t="n">
        <v>3</v>
      </c>
      <c r="B1246" s="12" t="n">
        <v>46225</v>
      </c>
      <c r="C1246" s="12" t="n">
        <v>46232</v>
      </c>
      <c r="D1246" s="11" t="n">
        <v>1609</v>
      </c>
      <c r="E1246" s="13" t="s">
        <v>410</v>
      </c>
      <c r="F1246" s="11" t="n">
        <v>24</v>
      </c>
      <c r="G1246" s="13" t="s">
        <v>42</v>
      </c>
      <c r="H1246" s="11" t="n">
        <v>2110405</v>
      </c>
      <c r="I1246" s="13" t="s">
        <v>34</v>
      </c>
      <c r="J1246" s="11" t="n">
        <v>1435851</v>
      </c>
      <c r="L1246" s="11" t="n">
        <v>5838</v>
      </c>
      <c r="M1246" s="13" t="s">
        <v>44</v>
      </c>
      <c r="N1246" s="13" t="s">
        <v>36</v>
      </c>
      <c r="P1246" s="11" t="n">
        <v>167</v>
      </c>
      <c r="Q1246" s="13" t="s">
        <v>101</v>
      </c>
      <c r="R1246" s="13" t="s">
        <v>46</v>
      </c>
      <c r="S1246" s="11" t="n">
        <v>1130101</v>
      </c>
      <c r="T1246" s="13" t="s">
        <v>47</v>
      </c>
      <c r="U1246" s="14" t="n">
        <v>884.95</v>
      </c>
      <c r="W1246" s="14" t="n">
        <v>0</v>
      </c>
      <c r="X1246" s="13" t="s">
        <v>1307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1" t="n">
        <v>3</v>
      </c>
      <c r="B1247" s="12" t="n">
        <v>46231</v>
      </c>
      <c r="C1247" s="12" t="n">
        <v>46232</v>
      </c>
      <c r="D1247" s="11" t="n">
        <v>10096</v>
      </c>
      <c r="E1247" s="13" t="s">
        <v>1232</v>
      </c>
      <c r="F1247" s="11" t="n">
        <v>34</v>
      </c>
      <c r="G1247" s="13" t="s">
        <v>33</v>
      </c>
      <c r="H1247" s="11" t="n">
        <v>2110405</v>
      </c>
      <c r="I1247" s="13" t="s">
        <v>34</v>
      </c>
      <c r="J1247" s="11" t="n">
        <v>1465408</v>
      </c>
      <c r="L1247" s="11" t="n">
        <v>88</v>
      </c>
      <c r="M1247" s="13" t="s">
        <v>44</v>
      </c>
      <c r="N1247" s="13" t="s">
        <v>36</v>
      </c>
      <c r="P1247" s="11" t="n">
        <v>167</v>
      </c>
      <c r="Q1247" s="13" t="s">
        <v>101</v>
      </c>
      <c r="R1247" s="13" t="s">
        <v>46</v>
      </c>
      <c r="S1247" s="11" t="n">
        <v>1130101</v>
      </c>
      <c r="T1247" s="13" t="s">
        <v>47</v>
      </c>
      <c r="U1247" s="14" t="n">
        <v>180</v>
      </c>
      <c r="W1247" s="14" t="n">
        <v>0</v>
      </c>
      <c r="X1247" s="13" t="s">
        <v>1308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1" t="n">
        <v>3</v>
      </c>
      <c r="B1248" s="12" t="n">
        <v>46232</v>
      </c>
      <c r="C1248" s="12" t="n">
        <v>46232</v>
      </c>
      <c r="D1248" s="11" t="n">
        <v>42</v>
      </c>
      <c r="E1248" s="13" t="s">
        <v>80</v>
      </c>
      <c r="F1248" s="11" t="n">
        <v>13</v>
      </c>
      <c r="G1248" s="13" t="s">
        <v>81</v>
      </c>
      <c r="H1248" s="11" t="n">
        <v>2110101</v>
      </c>
      <c r="I1248" s="13" t="s">
        <v>43</v>
      </c>
      <c r="J1248" s="11" t="n">
        <v>1468153</v>
      </c>
      <c r="L1248" s="11" t="n">
        <v>4437</v>
      </c>
      <c r="M1248" s="13" t="s">
        <v>44</v>
      </c>
      <c r="N1248" s="13" t="s">
        <v>69</v>
      </c>
      <c r="P1248" s="11" t="n">
        <v>167</v>
      </c>
      <c r="Q1248" s="13" t="s">
        <v>101</v>
      </c>
      <c r="R1248" s="13" t="s">
        <v>46</v>
      </c>
      <c r="S1248" s="11" t="n">
        <v>1130101</v>
      </c>
      <c r="T1248" s="13" t="s">
        <v>47</v>
      </c>
      <c r="U1248" s="14" t="n">
        <v>100</v>
      </c>
      <c r="W1248" s="14" t="n">
        <v>100</v>
      </c>
      <c r="X1248" s="13" t="s">
        <v>1309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46230</v>
      </c>
      <c r="C1249" s="12" t="n">
        <v>46233</v>
      </c>
      <c r="D1249" s="11" t="n">
        <v>1807</v>
      </c>
      <c r="E1249" s="13" t="s">
        <v>568</v>
      </c>
      <c r="F1249" s="11" t="n">
        <v>24</v>
      </c>
      <c r="G1249" s="13" t="s">
        <v>42</v>
      </c>
      <c r="H1249" s="11" t="n">
        <v>2110405</v>
      </c>
      <c r="I1249" s="13" t="s">
        <v>34</v>
      </c>
      <c r="J1249" s="11" t="n">
        <v>1459268</v>
      </c>
      <c r="L1249" s="11" t="n">
        <v>227124</v>
      </c>
      <c r="M1249" s="13" t="s">
        <v>44</v>
      </c>
      <c r="N1249" s="13" t="s">
        <v>36</v>
      </c>
      <c r="P1249" s="11" t="n">
        <v>101</v>
      </c>
      <c r="Q1249" s="13" t="s">
        <v>37</v>
      </c>
      <c r="R1249" s="13" t="s">
        <v>565</v>
      </c>
      <c r="S1249" s="11" t="n">
        <v>2110712</v>
      </c>
      <c r="T1249" s="13" t="s">
        <v>1310</v>
      </c>
      <c r="U1249" s="14" t="n">
        <v>515.73</v>
      </c>
      <c r="W1249" s="14" t="n">
        <v>0</v>
      </c>
      <c r="X1249" s="13" t="s">
        <v>1311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1" t="n">
        <v>3</v>
      </c>
      <c r="B1250" s="12" t="n">
        <v>46230</v>
      </c>
      <c r="C1250" s="12" t="n">
        <v>46233</v>
      </c>
      <c r="D1250" s="11" t="n">
        <v>1807</v>
      </c>
      <c r="E1250" s="13" t="s">
        <v>568</v>
      </c>
      <c r="F1250" s="11" t="n">
        <v>24</v>
      </c>
      <c r="G1250" s="13" t="s">
        <v>42</v>
      </c>
      <c r="H1250" s="11" t="n">
        <v>2110405</v>
      </c>
      <c r="I1250" s="13" t="s">
        <v>34</v>
      </c>
      <c r="J1250" s="11" t="n">
        <v>1459271</v>
      </c>
      <c r="L1250" s="11" t="n">
        <v>227125</v>
      </c>
      <c r="M1250" s="13" t="s">
        <v>44</v>
      </c>
      <c r="N1250" s="13" t="s">
        <v>36</v>
      </c>
      <c r="P1250" s="11" t="n">
        <v>101</v>
      </c>
      <c r="Q1250" s="13" t="s">
        <v>37</v>
      </c>
      <c r="R1250" s="13" t="s">
        <v>565</v>
      </c>
      <c r="S1250" s="11" t="n">
        <v>2110704</v>
      </c>
      <c r="T1250" s="13" t="s">
        <v>740</v>
      </c>
      <c r="U1250" s="14" t="n">
        <v>859.55</v>
      </c>
      <c r="W1250" s="14" t="n">
        <v>0</v>
      </c>
      <c r="X1250" s="13" t="s">
        <v>1312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46230</v>
      </c>
      <c r="C1251" s="12" t="n">
        <v>46233</v>
      </c>
      <c r="D1251" s="11" t="n">
        <v>642</v>
      </c>
      <c r="E1251" s="13" t="s">
        <v>135</v>
      </c>
      <c r="F1251" s="11" t="n">
        <v>24</v>
      </c>
      <c r="G1251" s="13" t="s">
        <v>42</v>
      </c>
      <c r="H1251" s="11" t="n">
        <v>2110405</v>
      </c>
      <c r="I1251" s="13" t="s">
        <v>34</v>
      </c>
      <c r="J1251" s="11" t="n">
        <v>1464503</v>
      </c>
      <c r="L1251" s="11" t="n">
        <v>551</v>
      </c>
      <c r="M1251" s="13" t="s">
        <v>44</v>
      </c>
      <c r="N1251" s="13" t="s">
        <v>36</v>
      </c>
      <c r="P1251" s="11" t="n">
        <v>167</v>
      </c>
      <c r="Q1251" s="13" t="s">
        <v>101</v>
      </c>
      <c r="R1251" s="13" t="s">
        <v>46</v>
      </c>
      <c r="S1251" s="11" t="n">
        <v>1130101</v>
      </c>
      <c r="T1251" s="13" t="s">
        <v>47</v>
      </c>
      <c r="U1251" s="14" t="n">
        <v>180</v>
      </c>
      <c r="W1251" s="14" t="n">
        <v>0</v>
      </c>
      <c r="X1251" s="13" t="s">
        <v>1313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1" t="n">
        <v>3</v>
      </c>
      <c r="B1252" s="12" t="n">
        <v>46205</v>
      </c>
      <c r="C1252" s="12" t="n">
        <v>46233</v>
      </c>
      <c r="D1252" s="11" t="n">
        <v>794</v>
      </c>
      <c r="E1252" s="13" t="s">
        <v>152</v>
      </c>
      <c r="F1252" s="11" t="n">
        <v>24</v>
      </c>
      <c r="G1252" s="13" t="s">
        <v>42</v>
      </c>
      <c r="H1252" s="11" t="n">
        <v>2110405</v>
      </c>
      <c r="I1252" s="13" t="s">
        <v>34</v>
      </c>
      <c r="J1252" s="11" t="n">
        <v>1340248</v>
      </c>
      <c r="L1252" s="11" t="n">
        <v>82673</v>
      </c>
      <c r="M1252" s="13" t="s">
        <v>44</v>
      </c>
      <c r="N1252" s="13" t="s">
        <v>36</v>
      </c>
      <c r="P1252" s="11" t="n">
        <v>167</v>
      </c>
      <c r="Q1252" s="13" t="s">
        <v>101</v>
      </c>
      <c r="R1252" s="13" t="s">
        <v>38</v>
      </c>
      <c r="S1252" s="11" t="n">
        <v>4210299</v>
      </c>
      <c r="T1252" s="13" t="s">
        <v>1079</v>
      </c>
      <c r="U1252" s="14" t="n">
        <v>475.95</v>
      </c>
      <c r="W1252" s="14" t="n">
        <v>0</v>
      </c>
      <c r="X1252" s="13" t="s">
        <v>1314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1" t="n">
        <v>3</v>
      </c>
      <c r="B1253" s="12" t="n">
        <v>46204</v>
      </c>
      <c r="C1253" s="12" t="n">
        <v>46233</v>
      </c>
      <c r="D1253" s="11" t="n">
        <v>1664</v>
      </c>
      <c r="E1253" s="13" t="s">
        <v>1082</v>
      </c>
      <c r="F1253" s="11" t="n">
        <v>24</v>
      </c>
      <c r="G1253" s="13" t="s">
        <v>42</v>
      </c>
      <c r="H1253" s="11" t="n">
        <v>2110101</v>
      </c>
      <c r="I1253" s="13" t="s">
        <v>43</v>
      </c>
      <c r="J1253" s="11" t="n">
        <v>1340460</v>
      </c>
      <c r="L1253" s="11" t="n">
        <v>784223</v>
      </c>
      <c r="M1253" s="13" t="s">
        <v>44</v>
      </c>
      <c r="N1253" s="13" t="s">
        <v>36</v>
      </c>
      <c r="P1253" s="11" t="n">
        <v>167</v>
      </c>
      <c r="Q1253" s="13" t="s">
        <v>101</v>
      </c>
      <c r="R1253" s="13" t="s">
        <v>46</v>
      </c>
      <c r="S1253" s="11" t="n">
        <v>1130101</v>
      </c>
      <c r="T1253" s="13" t="s">
        <v>47</v>
      </c>
      <c r="U1253" s="14" t="n">
        <v>323.78</v>
      </c>
      <c r="W1253" s="14" t="n">
        <v>0</v>
      </c>
      <c r="X1253" s="13" t="s">
        <v>1315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1" t="n">
        <v>3</v>
      </c>
      <c r="B1254" s="12" t="n">
        <v>46211</v>
      </c>
      <c r="C1254" s="12" t="n">
        <v>46233</v>
      </c>
      <c r="D1254" s="11" t="n">
        <v>1718</v>
      </c>
      <c r="E1254" s="13" t="s">
        <v>408</v>
      </c>
      <c r="F1254" s="11" t="n">
        <v>24</v>
      </c>
      <c r="G1254" s="13" t="s">
        <v>42</v>
      </c>
      <c r="H1254" s="11" t="n">
        <v>2110101</v>
      </c>
      <c r="I1254" s="13" t="s">
        <v>43</v>
      </c>
      <c r="J1254" s="11" t="n">
        <v>1373757</v>
      </c>
      <c r="L1254" s="11" t="n">
        <v>8043782</v>
      </c>
      <c r="M1254" s="13" t="s">
        <v>44</v>
      </c>
      <c r="N1254" s="13" t="s">
        <v>36</v>
      </c>
      <c r="P1254" s="11" t="n">
        <v>167</v>
      </c>
      <c r="Q1254" s="13" t="s">
        <v>101</v>
      </c>
      <c r="R1254" s="13" t="s">
        <v>46</v>
      </c>
      <c r="S1254" s="11" t="n">
        <v>1130101</v>
      </c>
      <c r="T1254" s="13" t="s">
        <v>47</v>
      </c>
      <c r="U1254" s="14" t="n">
        <v>369.82</v>
      </c>
      <c r="W1254" s="14" t="n">
        <v>0</v>
      </c>
      <c r="X1254" s="13" t="s">
        <v>1316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ISQUEIRO BIC G</v>
      </c>
      <c r="AC1254" s="1" t="n">
        <v>680644</v>
      </c>
    </row>
    <row r="1255" customFormat="false" ht="12.75" hidden="false" customHeight="true" outlineLevel="0" collapsed="false">
      <c r="A1255" s="11" t="n">
        <v>3</v>
      </c>
      <c r="B1255" s="12" t="n">
        <v>46212</v>
      </c>
      <c r="C1255" s="12" t="n">
        <v>46233</v>
      </c>
      <c r="D1255" s="11" t="n">
        <v>1656</v>
      </c>
      <c r="E1255" s="13" t="s">
        <v>260</v>
      </c>
      <c r="F1255" s="11" t="n">
        <v>24</v>
      </c>
      <c r="G1255" s="13" t="s">
        <v>42</v>
      </c>
      <c r="H1255" s="11" t="n">
        <v>2110101</v>
      </c>
      <c r="I1255" s="13" t="s">
        <v>43</v>
      </c>
      <c r="J1255" s="11" t="n">
        <v>1373885</v>
      </c>
      <c r="L1255" s="11" t="n">
        <v>2233332</v>
      </c>
      <c r="M1255" s="13" t="s">
        <v>44</v>
      </c>
      <c r="N1255" s="13" t="s">
        <v>36</v>
      </c>
      <c r="P1255" s="11" t="n">
        <v>167</v>
      </c>
      <c r="Q1255" s="13" t="s">
        <v>101</v>
      </c>
      <c r="R1255" s="13" t="s">
        <v>46</v>
      </c>
      <c r="S1255" s="11" t="n">
        <v>1130101</v>
      </c>
      <c r="T1255" s="13" t="s">
        <v>47</v>
      </c>
      <c r="U1255" s="14" t="n">
        <v>396.51</v>
      </c>
      <c r="W1255" s="14" t="n">
        <v>0</v>
      </c>
      <c r="X1255" s="13" t="s">
        <v>1317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-KETCHUP TRADICIONAL</v>
      </c>
      <c r="AC1255" s="1" t="n">
        <v>223333</v>
      </c>
    </row>
    <row r="1256" customFormat="false" ht="12.75" hidden="false" customHeight="true" outlineLevel="0" collapsed="false">
      <c r="A1256" s="11" t="n">
        <v>3</v>
      </c>
      <c r="B1256" s="12" t="n">
        <v>46211</v>
      </c>
      <c r="C1256" s="12" t="n">
        <v>46233</v>
      </c>
      <c r="D1256" s="11" t="n">
        <v>1605</v>
      </c>
      <c r="E1256" s="13" t="s">
        <v>113</v>
      </c>
      <c r="F1256" s="11" t="n">
        <v>24</v>
      </c>
      <c r="G1256" s="13" t="s">
        <v>42</v>
      </c>
      <c r="H1256" s="11" t="n">
        <v>2110101</v>
      </c>
      <c r="I1256" s="13" t="s">
        <v>43</v>
      </c>
      <c r="J1256" s="11" t="n">
        <v>1374953</v>
      </c>
      <c r="L1256" s="11" t="n">
        <v>2178643</v>
      </c>
      <c r="M1256" s="13" t="s">
        <v>44</v>
      </c>
      <c r="N1256" s="13" t="s">
        <v>36</v>
      </c>
      <c r="P1256" s="11" t="n">
        <v>167</v>
      </c>
      <c r="Q1256" s="13" t="s">
        <v>101</v>
      </c>
      <c r="R1256" s="13" t="s">
        <v>46</v>
      </c>
      <c r="S1256" s="11" t="n">
        <v>1130101</v>
      </c>
      <c r="T1256" s="13" t="s">
        <v>47</v>
      </c>
      <c r="U1256" s="14" t="n">
        <v>357.26</v>
      </c>
      <c r="W1256" s="14" t="n">
        <v>0</v>
      </c>
      <c r="X1256" s="13" t="s">
        <v>1318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1" t="n">
        <v>3</v>
      </c>
      <c r="B1257" s="12" t="n">
        <v>46213</v>
      </c>
      <c r="C1257" s="12" t="n">
        <v>46233</v>
      </c>
      <c r="D1257" s="11" t="n">
        <v>911</v>
      </c>
      <c r="E1257" s="13" t="s">
        <v>587</v>
      </c>
      <c r="F1257" s="11" t="n">
        <v>24</v>
      </c>
      <c r="G1257" s="13" t="s">
        <v>42</v>
      </c>
      <c r="H1257" s="11" t="n">
        <v>2110101</v>
      </c>
      <c r="I1257" s="13" t="s">
        <v>43</v>
      </c>
      <c r="J1257" s="11" t="n">
        <v>1376528</v>
      </c>
      <c r="L1257" s="11" t="n">
        <v>53461</v>
      </c>
      <c r="M1257" s="13" t="s">
        <v>44</v>
      </c>
      <c r="N1257" s="13" t="s">
        <v>69</v>
      </c>
      <c r="P1257" s="11" t="n">
        <v>167</v>
      </c>
      <c r="Q1257" s="13" t="s">
        <v>101</v>
      </c>
      <c r="R1257" s="13" t="s">
        <v>46</v>
      </c>
      <c r="S1257" s="11" t="n">
        <v>1130101</v>
      </c>
      <c r="T1257" s="13" t="s">
        <v>47</v>
      </c>
      <c r="U1257" s="14" t="n">
        <v>591.47</v>
      </c>
      <c r="W1257" s="14" t="n">
        <v>0</v>
      </c>
      <c r="X1257" s="13" t="s">
        <v>1319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1" t="n">
        <v>3</v>
      </c>
      <c r="B1258" s="12" t="n">
        <v>46219</v>
      </c>
      <c r="C1258" s="12" t="n">
        <v>46233</v>
      </c>
      <c r="D1258" s="11" t="n">
        <v>1039</v>
      </c>
      <c r="E1258" s="13" t="s">
        <v>594</v>
      </c>
      <c r="F1258" s="11" t="n">
        <v>24</v>
      </c>
      <c r="G1258" s="13" t="s">
        <v>42</v>
      </c>
      <c r="H1258" s="11" t="n">
        <v>2110405</v>
      </c>
      <c r="I1258" s="13" t="s">
        <v>34</v>
      </c>
      <c r="J1258" s="11" t="n">
        <v>1410316</v>
      </c>
      <c r="L1258" s="11" t="n">
        <v>192872</v>
      </c>
      <c r="M1258" s="13" t="s">
        <v>44</v>
      </c>
      <c r="N1258" s="13" t="s">
        <v>36</v>
      </c>
      <c r="P1258" s="11" t="n">
        <v>167</v>
      </c>
      <c r="Q1258" s="13" t="s">
        <v>101</v>
      </c>
      <c r="R1258" s="13" t="s">
        <v>46</v>
      </c>
      <c r="S1258" s="11" t="n">
        <v>1130101</v>
      </c>
      <c r="T1258" s="13" t="s">
        <v>47</v>
      </c>
      <c r="U1258" s="14" t="n">
        <v>1453.93</v>
      </c>
      <c r="W1258" s="14" t="n">
        <v>0</v>
      </c>
      <c r="X1258" s="13" t="s">
        <v>1320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1" t="n">
        <v>3</v>
      </c>
      <c r="B1259" s="12" t="n">
        <v>46225</v>
      </c>
      <c r="C1259" s="12" t="n">
        <v>46233</v>
      </c>
      <c r="D1259" s="11" t="n">
        <v>1642</v>
      </c>
      <c r="E1259" s="13" t="s">
        <v>274</v>
      </c>
      <c r="F1259" s="11" t="n">
        <v>24</v>
      </c>
      <c r="G1259" s="13" t="s">
        <v>42</v>
      </c>
      <c r="H1259" s="11" t="n">
        <v>2110405</v>
      </c>
      <c r="I1259" s="13" t="s">
        <v>34</v>
      </c>
      <c r="J1259" s="11" t="n">
        <v>1438963</v>
      </c>
      <c r="L1259" s="11" t="n">
        <v>103313</v>
      </c>
      <c r="M1259" s="13" t="s">
        <v>44</v>
      </c>
      <c r="N1259" s="13" t="s">
        <v>36</v>
      </c>
      <c r="P1259" s="11" t="n">
        <v>167</v>
      </c>
      <c r="Q1259" s="13" t="s">
        <v>101</v>
      </c>
      <c r="R1259" s="13" t="s">
        <v>46</v>
      </c>
      <c r="S1259" s="11" t="n">
        <v>1130101</v>
      </c>
      <c r="T1259" s="13" t="s">
        <v>47</v>
      </c>
      <c r="U1259" s="14" t="n">
        <v>540.18</v>
      </c>
      <c r="W1259" s="14" t="n">
        <v>0</v>
      </c>
      <c r="X1259" s="13" t="s">
        <v>1321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1" t="n">
        <v>3</v>
      </c>
      <c r="B1260" s="12" t="n">
        <v>46226</v>
      </c>
      <c r="C1260" s="12" t="n">
        <v>46233</v>
      </c>
      <c r="D1260" s="11" t="n">
        <v>42</v>
      </c>
      <c r="E1260" s="13" t="s">
        <v>80</v>
      </c>
      <c r="F1260" s="11" t="n">
        <v>34</v>
      </c>
      <c r="G1260" s="13" t="s">
        <v>33</v>
      </c>
      <c r="H1260" s="11" t="n">
        <v>2110101</v>
      </c>
      <c r="I1260" s="13" t="s">
        <v>43</v>
      </c>
      <c r="J1260" s="11" t="n">
        <v>1439290</v>
      </c>
      <c r="L1260" s="11" t="n">
        <v>4414</v>
      </c>
      <c r="M1260" s="13" t="s">
        <v>44</v>
      </c>
      <c r="N1260" s="13" t="s">
        <v>69</v>
      </c>
      <c r="P1260" s="11" t="n">
        <v>167</v>
      </c>
      <c r="Q1260" s="13" t="s">
        <v>101</v>
      </c>
      <c r="R1260" s="13" t="s">
        <v>46</v>
      </c>
      <c r="S1260" s="11" t="n">
        <v>1130101</v>
      </c>
      <c r="T1260" s="13" t="s">
        <v>47</v>
      </c>
      <c r="U1260" s="14" t="n">
        <v>1200</v>
      </c>
      <c r="W1260" s="14" t="n">
        <v>0</v>
      </c>
      <c r="X1260" s="13" t="s">
        <v>1322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1" t="n">
        <v>3</v>
      </c>
      <c r="B1261" s="12" t="n">
        <v>46227</v>
      </c>
      <c r="C1261" s="12" t="n">
        <v>46233</v>
      </c>
      <c r="D1261" s="11" t="n">
        <v>42</v>
      </c>
      <c r="E1261" s="13" t="s">
        <v>80</v>
      </c>
      <c r="F1261" s="11" t="n">
        <v>34</v>
      </c>
      <c r="G1261" s="13" t="s">
        <v>33</v>
      </c>
      <c r="H1261" s="11" t="n">
        <v>2110101</v>
      </c>
      <c r="I1261" s="13" t="s">
        <v>43</v>
      </c>
      <c r="J1261" s="11" t="n">
        <v>1443631</v>
      </c>
      <c r="L1261" s="11" t="n">
        <v>4418</v>
      </c>
      <c r="M1261" s="13" t="s">
        <v>44</v>
      </c>
      <c r="N1261" s="13" t="s">
        <v>69</v>
      </c>
      <c r="P1261" s="11" t="n">
        <v>167</v>
      </c>
      <c r="Q1261" s="13" t="s">
        <v>101</v>
      </c>
      <c r="R1261" s="13" t="s">
        <v>46</v>
      </c>
      <c r="S1261" s="11" t="n">
        <v>1130101</v>
      </c>
      <c r="T1261" s="13" t="s">
        <v>47</v>
      </c>
      <c r="U1261" s="14" t="n">
        <v>280</v>
      </c>
      <c r="W1261" s="14" t="n">
        <v>0</v>
      </c>
      <c r="X1261" s="13" t="s">
        <v>323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46233</v>
      </c>
      <c r="C1262" s="12" t="n">
        <v>46233</v>
      </c>
      <c r="D1262" s="11" t="n">
        <v>42</v>
      </c>
      <c r="E1262" s="13" t="s">
        <v>80</v>
      </c>
      <c r="F1262" s="11" t="n">
        <v>13</v>
      </c>
      <c r="G1262" s="13" t="s">
        <v>81</v>
      </c>
      <c r="H1262" s="11" t="n">
        <v>2110101</v>
      </c>
      <c r="I1262" s="13" t="s">
        <v>43</v>
      </c>
      <c r="J1262" s="11" t="n">
        <v>1473140</v>
      </c>
      <c r="L1262" s="11" t="n">
        <v>4439</v>
      </c>
      <c r="M1262" s="13" t="s">
        <v>44</v>
      </c>
      <c r="N1262" s="13" t="s">
        <v>69</v>
      </c>
      <c r="P1262" s="11" t="n">
        <v>167</v>
      </c>
      <c r="Q1262" s="13" t="s">
        <v>101</v>
      </c>
      <c r="R1262" s="13" t="s">
        <v>46</v>
      </c>
      <c r="S1262" s="11" t="n">
        <v>1130101</v>
      </c>
      <c r="T1262" s="13" t="s">
        <v>47</v>
      </c>
      <c r="U1262" s="14" t="n">
        <v>145</v>
      </c>
      <c r="W1262" s="14" t="n">
        <v>145</v>
      </c>
      <c r="X1262" s="13" t="s">
        <v>1250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46233</v>
      </c>
      <c r="C1263" s="12" t="n">
        <v>46233</v>
      </c>
      <c r="D1263" s="11" t="n">
        <v>42</v>
      </c>
      <c r="E1263" s="13" t="s">
        <v>80</v>
      </c>
      <c r="F1263" s="11" t="n">
        <v>13</v>
      </c>
      <c r="G1263" s="13" t="s">
        <v>81</v>
      </c>
      <c r="H1263" s="11" t="n">
        <v>2110101</v>
      </c>
      <c r="I1263" s="13" t="s">
        <v>43</v>
      </c>
      <c r="J1263" s="11" t="n">
        <v>1473157</v>
      </c>
      <c r="L1263" s="11" t="n">
        <v>4440</v>
      </c>
      <c r="M1263" s="13" t="s">
        <v>44</v>
      </c>
      <c r="N1263" s="13" t="s">
        <v>69</v>
      </c>
      <c r="P1263" s="11" t="n">
        <v>167</v>
      </c>
      <c r="Q1263" s="13" t="s">
        <v>101</v>
      </c>
      <c r="R1263" s="13" t="s">
        <v>46</v>
      </c>
      <c r="S1263" s="11" t="n">
        <v>1130101</v>
      </c>
      <c r="T1263" s="13" t="s">
        <v>47</v>
      </c>
      <c r="U1263" s="14" t="n">
        <v>250</v>
      </c>
      <c r="W1263" s="14" t="n">
        <v>250</v>
      </c>
      <c r="X1263" s="13" t="s">
        <v>1323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46231</v>
      </c>
      <c r="C1264" s="12" t="n">
        <v>46234</v>
      </c>
      <c r="D1264" s="11" t="n">
        <v>1615</v>
      </c>
      <c r="E1264" s="13" t="s">
        <v>130</v>
      </c>
      <c r="F1264" s="11" t="n">
        <v>34</v>
      </c>
      <c r="G1264" s="13" t="s">
        <v>33</v>
      </c>
      <c r="H1264" s="11" t="n">
        <v>2110405</v>
      </c>
      <c r="I1264" s="13" t="s">
        <v>34</v>
      </c>
      <c r="J1264" s="11" t="n">
        <v>1464520</v>
      </c>
      <c r="L1264" s="11" t="n">
        <v>14968</v>
      </c>
      <c r="M1264" s="13" t="s">
        <v>44</v>
      </c>
      <c r="N1264" s="13" t="s">
        <v>36</v>
      </c>
      <c r="P1264" s="11" t="n">
        <v>167</v>
      </c>
      <c r="Q1264" s="13" t="s">
        <v>101</v>
      </c>
      <c r="R1264" s="13" t="s">
        <v>46</v>
      </c>
      <c r="S1264" s="11" t="n">
        <v>1130101</v>
      </c>
      <c r="T1264" s="13" t="s">
        <v>47</v>
      </c>
      <c r="U1264" s="14" t="n">
        <v>140</v>
      </c>
      <c r="W1264" s="14" t="n">
        <v>0</v>
      </c>
      <c r="X1264" s="13" t="s">
        <v>1324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1" t="n">
        <v>3</v>
      </c>
      <c r="B1265" s="12" t="n">
        <v>46209</v>
      </c>
      <c r="C1265" s="12" t="n">
        <v>46234</v>
      </c>
      <c r="D1265" s="11" t="n">
        <v>1136</v>
      </c>
      <c r="E1265" s="13" t="s">
        <v>693</v>
      </c>
      <c r="F1265" s="11" t="n">
        <v>24</v>
      </c>
      <c r="G1265" s="13" t="s">
        <v>42</v>
      </c>
      <c r="H1265" s="11" t="n">
        <v>2110101</v>
      </c>
      <c r="I1265" s="13" t="s">
        <v>43</v>
      </c>
      <c r="J1265" s="11" t="n">
        <v>1377178</v>
      </c>
      <c r="L1265" s="11" t="n">
        <v>516262</v>
      </c>
      <c r="M1265" s="13" t="s">
        <v>44</v>
      </c>
      <c r="N1265" s="13" t="s">
        <v>36</v>
      </c>
      <c r="P1265" s="11" t="n">
        <v>167</v>
      </c>
      <c r="Q1265" s="13" t="s">
        <v>101</v>
      </c>
      <c r="R1265" s="13" t="s">
        <v>46</v>
      </c>
      <c r="S1265" s="11" t="n">
        <v>1130101</v>
      </c>
      <c r="T1265" s="13" t="s">
        <v>47</v>
      </c>
      <c r="U1265" s="14" t="n">
        <v>567.72</v>
      </c>
      <c r="W1265" s="14" t="n">
        <v>0</v>
      </c>
      <c r="X1265" s="13" t="s">
        <v>1325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1" t="n">
        <v>3</v>
      </c>
      <c r="B1266" s="12" t="n">
        <v>46212</v>
      </c>
      <c r="C1266" s="12" t="n">
        <v>46234</v>
      </c>
      <c r="D1266" s="11" t="n">
        <v>1816</v>
      </c>
      <c r="E1266" s="13" t="s">
        <v>554</v>
      </c>
      <c r="F1266" s="11" t="n">
        <v>24</v>
      </c>
      <c r="G1266" s="13" t="s">
        <v>42</v>
      </c>
      <c r="H1266" s="11" t="n">
        <v>2110405</v>
      </c>
      <c r="I1266" s="13" t="s">
        <v>34</v>
      </c>
      <c r="J1266" s="11" t="n">
        <v>1392489</v>
      </c>
      <c r="L1266" s="11" t="n">
        <v>3333642</v>
      </c>
      <c r="M1266" s="13" t="s">
        <v>44</v>
      </c>
      <c r="N1266" s="13" t="s">
        <v>36</v>
      </c>
      <c r="P1266" s="11" t="n">
        <v>167</v>
      </c>
      <c r="Q1266" s="13" t="s">
        <v>101</v>
      </c>
      <c r="R1266" s="13" t="s">
        <v>46</v>
      </c>
      <c r="S1266" s="11" t="n">
        <v>1130101</v>
      </c>
      <c r="T1266" s="13" t="s">
        <v>47</v>
      </c>
      <c r="U1266" s="14" t="n">
        <v>1528.61</v>
      </c>
      <c r="W1266" s="14" t="n">
        <v>0</v>
      </c>
      <c r="X1266" s="13" t="s">
        <v>1326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1" t="n">
        <v>3</v>
      </c>
      <c r="B1267" s="12" t="n">
        <v>46212</v>
      </c>
      <c r="C1267" s="12" t="n">
        <v>46234</v>
      </c>
      <c r="D1267" s="11" t="n">
        <v>10037</v>
      </c>
      <c r="E1267" s="13" t="s">
        <v>359</v>
      </c>
      <c r="F1267" s="11" t="n">
        <v>24</v>
      </c>
      <c r="G1267" s="13" t="s">
        <v>42</v>
      </c>
      <c r="H1267" s="11" t="n">
        <v>2110405</v>
      </c>
      <c r="I1267" s="13" t="s">
        <v>34</v>
      </c>
      <c r="J1267" s="11" t="n">
        <v>1392502</v>
      </c>
      <c r="L1267" s="11" t="n">
        <v>27511</v>
      </c>
      <c r="M1267" s="13" t="s">
        <v>44</v>
      </c>
      <c r="N1267" s="13" t="s">
        <v>36</v>
      </c>
      <c r="P1267" s="11" t="n">
        <v>167</v>
      </c>
      <c r="Q1267" s="13" t="s">
        <v>101</v>
      </c>
      <c r="R1267" s="13" t="s">
        <v>46</v>
      </c>
      <c r="S1267" s="11" t="n">
        <v>1130101</v>
      </c>
      <c r="T1267" s="13" t="s">
        <v>47</v>
      </c>
      <c r="U1267" s="14" t="n">
        <v>565.04</v>
      </c>
      <c r="W1267" s="14" t="n">
        <v>0</v>
      </c>
      <c r="X1267" s="13" t="s">
        <v>1327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1" t="n">
        <v>3</v>
      </c>
      <c r="B1268" s="12" t="n">
        <v>46211</v>
      </c>
      <c r="C1268" s="12" t="n">
        <v>46234</v>
      </c>
      <c r="D1268" s="11" t="n">
        <v>1027</v>
      </c>
      <c r="E1268" s="13" t="s">
        <v>1328</v>
      </c>
      <c r="F1268" s="11" t="n">
        <v>24</v>
      </c>
      <c r="G1268" s="13" t="s">
        <v>42</v>
      </c>
      <c r="H1268" s="11" t="n">
        <v>2110405</v>
      </c>
      <c r="I1268" s="13" t="s">
        <v>34</v>
      </c>
      <c r="J1268" s="11" t="n">
        <v>1396995</v>
      </c>
      <c r="L1268" s="11" t="n">
        <v>11403</v>
      </c>
      <c r="M1268" s="13" t="s">
        <v>44</v>
      </c>
      <c r="N1268" s="13" t="s">
        <v>36</v>
      </c>
      <c r="P1268" s="11" t="n">
        <v>167</v>
      </c>
      <c r="Q1268" s="13" t="s">
        <v>101</v>
      </c>
      <c r="R1268" s="13" t="s">
        <v>46</v>
      </c>
      <c r="S1268" s="11" t="n">
        <v>1130101</v>
      </c>
      <c r="T1268" s="13" t="s">
        <v>47</v>
      </c>
      <c r="U1268" s="14" t="n">
        <v>293.4</v>
      </c>
      <c r="W1268" s="14" t="n">
        <v>0</v>
      </c>
      <c r="X1268" s="13" t="s">
        <v>1329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1" t="n">
        <v>3</v>
      </c>
      <c r="B1269" s="12" t="n">
        <v>46213</v>
      </c>
      <c r="C1269" s="12" t="n">
        <v>46234</v>
      </c>
      <c r="D1269" s="11" t="n">
        <v>10009</v>
      </c>
      <c r="E1269" s="13" t="s">
        <v>373</v>
      </c>
      <c r="F1269" s="11" t="n">
        <v>24</v>
      </c>
      <c r="G1269" s="13" t="s">
        <v>42</v>
      </c>
      <c r="H1269" s="11" t="n">
        <v>2110405</v>
      </c>
      <c r="I1269" s="13" t="s">
        <v>34</v>
      </c>
      <c r="J1269" s="11" t="n">
        <v>1402522</v>
      </c>
      <c r="L1269" s="11" t="n">
        <v>1426592</v>
      </c>
      <c r="M1269" s="13" t="s">
        <v>44</v>
      </c>
      <c r="N1269" s="13" t="s">
        <v>36</v>
      </c>
      <c r="P1269" s="11" t="n">
        <v>167</v>
      </c>
      <c r="Q1269" s="13" t="s">
        <v>101</v>
      </c>
      <c r="R1269" s="13" t="s">
        <v>46</v>
      </c>
      <c r="S1269" s="11" t="n">
        <v>1130101</v>
      </c>
      <c r="T1269" s="13" t="s">
        <v>47</v>
      </c>
      <c r="U1269" s="14" t="n">
        <v>1041.28</v>
      </c>
      <c r="W1269" s="14" t="n">
        <v>0</v>
      </c>
      <c r="X1269" s="13" t="s">
        <v>1330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1" t="n">
        <v>3</v>
      </c>
      <c r="B1270" s="12" t="n">
        <v>46213</v>
      </c>
      <c r="C1270" s="12" t="n">
        <v>46234</v>
      </c>
      <c r="D1270" s="11" t="n">
        <v>1657</v>
      </c>
      <c r="E1270" s="13" t="s">
        <v>255</v>
      </c>
      <c r="F1270" s="11" t="n">
        <v>24</v>
      </c>
      <c r="G1270" s="13" t="s">
        <v>42</v>
      </c>
      <c r="H1270" s="11" t="n">
        <v>2110405</v>
      </c>
      <c r="I1270" s="13" t="s">
        <v>34</v>
      </c>
      <c r="J1270" s="11" t="n">
        <v>1407149</v>
      </c>
      <c r="L1270" s="11" t="n">
        <v>3761992</v>
      </c>
      <c r="M1270" s="13" t="s">
        <v>44</v>
      </c>
      <c r="N1270" s="13" t="s">
        <v>36</v>
      </c>
      <c r="P1270" s="11" t="n">
        <v>167</v>
      </c>
      <c r="Q1270" s="13" t="s">
        <v>101</v>
      </c>
      <c r="R1270" s="13" t="s">
        <v>46</v>
      </c>
      <c r="S1270" s="11" t="n">
        <v>1130101</v>
      </c>
      <c r="T1270" s="13" t="s">
        <v>47</v>
      </c>
      <c r="U1270" s="14" t="n">
        <v>708.09</v>
      </c>
      <c r="W1270" s="14" t="n">
        <v>0</v>
      </c>
      <c r="X1270" s="13" t="s">
        <v>1331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1" t="n">
        <v>3</v>
      </c>
      <c r="B1271" s="12" t="n">
        <v>46219</v>
      </c>
      <c r="C1271" s="12" t="n">
        <v>46234</v>
      </c>
      <c r="D1271" s="11" t="n">
        <v>1814</v>
      </c>
      <c r="E1271" s="13" t="s">
        <v>339</v>
      </c>
      <c r="F1271" s="11" t="n">
        <v>24</v>
      </c>
      <c r="G1271" s="13" t="s">
        <v>42</v>
      </c>
      <c r="H1271" s="11" t="n">
        <v>2110405</v>
      </c>
      <c r="I1271" s="13" t="s">
        <v>34</v>
      </c>
      <c r="J1271" s="11" t="n">
        <v>1411451</v>
      </c>
      <c r="L1271" s="11" t="n">
        <v>276212</v>
      </c>
      <c r="M1271" s="13" t="s">
        <v>44</v>
      </c>
      <c r="N1271" s="13" t="s">
        <v>36</v>
      </c>
      <c r="P1271" s="11" t="n">
        <v>167</v>
      </c>
      <c r="Q1271" s="13" t="s">
        <v>101</v>
      </c>
      <c r="R1271" s="13" t="s">
        <v>46</v>
      </c>
      <c r="S1271" s="11" t="n">
        <v>1130101</v>
      </c>
      <c r="T1271" s="13" t="s">
        <v>47</v>
      </c>
      <c r="U1271" s="14" t="n">
        <v>678.13</v>
      </c>
      <c r="W1271" s="14" t="n">
        <v>0</v>
      </c>
      <c r="X1271" s="13" t="s">
        <v>1332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1" t="n">
        <v>3</v>
      </c>
      <c r="B1272" s="12" t="n">
        <v>46219</v>
      </c>
      <c r="C1272" s="12" t="n">
        <v>46234</v>
      </c>
      <c r="D1272" s="11" t="n">
        <v>1873</v>
      </c>
      <c r="E1272" s="13" t="s">
        <v>1333</v>
      </c>
      <c r="F1272" s="11" t="n">
        <v>24</v>
      </c>
      <c r="G1272" s="13" t="s">
        <v>42</v>
      </c>
      <c r="H1272" s="11" t="n">
        <v>2110405</v>
      </c>
      <c r="I1272" s="13" t="s">
        <v>34</v>
      </c>
      <c r="J1272" s="11" t="n">
        <v>1411467</v>
      </c>
      <c r="L1272" s="11" t="n">
        <v>1116701</v>
      </c>
      <c r="M1272" s="13" t="s">
        <v>44</v>
      </c>
      <c r="N1272" s="13" t="s">
        <v>36</v>
      </c>
      <c r="P1272" s="11" t="n">
        <v>167</v>
      </c>
      <c r="Q1272" s="13" t="s">
        <v>101</v>
      </c>
      <c r="R1272" s="13" t="s">
        <v>46</v>
      </c>
      <c r="S1272" s="11" t="n">
        <v>1130101</v>
      </c>
      <c r="T1272" s="13" t="s">
        <v>47</v>
      </c>
      <c r="U1272" s="14" t="n">
        <v>337.5</v>
      </c>
      <c r="W1272" s="14" t="n">
        <v>0</v>
      </c>
      <c r="X1272" s="13" t="s">
        <v>1334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1" t="n">
        <v>3</v>
      </c>
      <c r="B1273" s="12" t="n">
        <v>46219</v>
      </c>
      <c r="C1273" s="12" t="n">
        <v>46234</v>
      </c>
      <c r="D1273" s="11" t="n">
        <v>1166</v>
      </c>
      <c r="E1273" s="13" t="s">
        <v>941</v>
      </c>
      <c r="F1273" s="11" t="n">
        <v>24</v>
      </c>
      <c r="G1273" s="13" t="s">
        <v>42</v>
      </c>
      <c r="H1273" s="11" t="n">
        <v>2110405</v>
      </c>
      <c r="I1273" s="13" t="s">
        <v>34</v>
      </c>
      <c r="J1273" s="11" t="n">
        <v>1411487</v>
      </c>
      <c r="L1273" s="11" t="n">
        <v>355192</v>
      </c>
      <c r="M1273" s="13" t="s">
        <v>44</v>
      </c>
      <c r="N1273" s="13" t="s">
        <v>36</v>
      </c>
      <c r="P1273" s="11" t="n">
        <v>167</v>
      </c>
      <c r="Q1273" s="13" t="s">
        <v>101</v>
      </c>
      <c r="R1273" s="13" t="s">
        <v>46</v>
      </c>
      <c r="S1273" s="11" t="n">
        <v>1130101</v>
      </c>
      <c r="T1273" s="13" t="s">
        <v>47</v>
      </c>
      <c r="U1273" s="14" t="n">
        <v>631.62</v>
      </c>
      <c r="W1273" s="14" t="n">
        <v>0</v>
      </c>
      <c r="X1273" s="13" t="s">
        <v>1335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1" t="n">
        <v>3</v>
      </c>
      <c r="B1274" s="12" t="n">
        <v>46226</v>
      </c>
      <c r="C1274" s="12" t="n">
        <v>46234</v>
      </c>
      <c r="D1274" s="11" t="n">
        <v>10063</v>
      </c>
      <c r="E1274" s="13" t="s">
        <v>218</v>
      </c>
      <c r="F1274" s="11" t="n">
        <v>24</v>
      </c>
      <c r="G1274" s="13" t="s">
        <v>42</v>
      </c>
      <c r="H1274" s="11" t="n">
        <v>2110405</v>
      </c>
      <c r="I1274" s="13" t="s">
        <v>34</v>
      </c>
      <c r="J1274" s="11" t="n">
        <v>1443617</v>
      </c>
      <c r="L1274" s="11" t="n">
        <v>2587</v>
      </c>
      <c r="M1274" s="13" t="s">
        <v>44</v>
      </c>
      <c r="N1274" s="13" t="s">
        <v>36</v>
      </c>
      <c r="P1274" s="11" t="n">
        <v>167</v>
      </c>
      <c r="Q1274" s="13" t="s">
        <v>101</v>
      </c>
      <c r="R1274" s="13" t="s">
        <v>46</v>
      </c>
      <c r="S1274" s="11" t="n">
        <v>1130101</v>
      </c>
      <c r="T1274" s="13" t="s">
        <v>47</v>
      </c>
      <c r="U1274" s="14" t="n">
        <v>1870</v>
      </c>
      <c r="W1274" s="14" t="n">
        <v>0</v>
      </c>
      <c r="X1274" s="13" t="s">
        <v>1336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1" t="n">
        <v>3</v>
      </c>
      <c r="B1275" s="12" t="n">
        <v>46227</v>
      </c>
      <c r="C1275" s="12" t="n">
        <v>46234</v>
      </c>
      <c r="D1275" s="11" t="n">
        <v>200</v>
      </c>
      <c r="E1275" s="13" t="s">
        <v>94</v>
      </c>
      <c r="F1275" s="11" t="n">
        <v>34</v>
      </c>
      <c r="G1275" s="13" t="s">
        <v>33</v>
      </c>
      <c r="H1275" s="11" t="n">
        <v>2110405</v>
      </c>
      <c r="I1275" s="13" t="s">
        <v>34</v>
      </c>
      <c r="J1275" s="11" t="n">
        <v>1445376</v>
      </c>
      <c r="L1275" s="11" t="n">
        <v>224969</v>
      </c>
      <c r="M1275" s="13" t="s">
        <v>44</v>
      </c>
      <c r="N1275" s="13" t="s">
        <v>36</v>
      </c>
      <c r="P1275" s="11" t="n">
        <v>101</v>
      </c>
      <c r="Q1275" s="13" t="s">
        <v>37</v>
      </c>
      <c r="R1275" s="13" t="s">
        <v>72</v>
      </c>
      <c r="S1275" s="11" t="n">
        <v>4210304</v>
      </c>
      <c r="T1275" s="13" t="s">
        <v>726</v>
      </c>
      <c r="U1275" s="14" t="n">
        <v>1801.5</v>
      </c>
      <c r="W1275" s="14" t="n">
        <v>0</v>
      </c>
      <c r="X1275" s="13" t="s">
        <v>1337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46227</v>
      </c>
      <c r="C1276" s="12" t="n">
        <v>46234</v>
      </c>
      <c r="D1276" s="11" t="n">
        <v>1378</v>
      </c>
      <c r="E1276" s="13" t="s">
        <v>120</v>
      </c>
      <c r="F1276" s="11" t="n">
        <v>24</v>
      </c>
      <c r="G1276" s="13" t="s">
        <v>42</v>
      </c>
      <c r="H1276" s="11" t="n">
        <v>2110405</v>
      </c>
      <c r="I1276" s="13" t="s">
        <v>34</v>
      </c>
      <c r="J1276" s="11" t="n">
        <v>1448384</v>
      </c>
      <c r="L1276" s="11" t="n">
        <v>18359</v>
      </c>
      <c r="M1276" s="13" t="s">
        <v>44</v>
      </c>
      <c r="N1276" s="13" t="s">
        <v>36</v>
      </c>
      <c r="P1276" s="11" t="n">
        <v>167</v>
      </c>
      <c r="Q1276" s="13" t="s">
        <v>101</v>
      </c>
      <c r="R1276" s="13" t="s">
        <v>46</v>
      </c>
      <c r="S1276" s="11" t="n">
        <v>1130101</v>
      </c>
      <c r="T1276" s="13" t="s">
        <v>47</v>
      </c>
      <c r="U1276" s="14" t="n">
        <v>199</v>
      </c>
      <c r="W1276" s="14" t="n">
        <v>0</v>
      </c>
      <c r="X1276" s="13" t="s">
        <v>1338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1" t="n">
        <v>3</v>
      </c>
      <c r="B1277" s="12" t="n">
        <v>46227</v>
      </c>
      <c r="C1277" s="12" t="n">
        <v>46234</v>
      </c>
      <c r="D1277" s="11" t="n">
        <v>1705</v>
      </c>
      <c r="E1277" s="13" t="s">
        <v>122</v>
      </c>
      <c r="F1277" s="11" t="n">
        <v>24</v>
      </c>
      <c r="G1277" s="13" t="s">
        <v>42</v>
      </c>
      <c r="H1277" s="11" t="n">
        <v>2110405</v>
      </c>
      <c r="I1277" s="13" t="s">
        <v>34</v>
      </c>
      <c r="J1277" s="11" t="n">
        <v>1448391</v>
      </c>
      <c r="L1277" s="11" t="n">
        <v>1954505</v>
      </c>
      <c r="M1277" s="13" t="s">
        <v>44</v>
      </c>
      <c r="N1277" s="13" t="s">
        <v>36</v>
      </c>
      <c r="P1277" s="11" t="n">
        <v>167</v>
      </c>
      <c r="Q1277" s="13" t="s">
        <v>101</v>
      </c>
      <c r="R1277" s="13" t="s">
        <v>46</v>
      </c>
      <c r="S1277" s="11" t="n">
        <v>1130101</v>
      </c>
      <c r="T1277" s="13" t="s">
        <v>47</v>
      </c>
      <c r="U1277" s="14" t="n">
        <v>2748.77</v>
      </c>
      <c r="W1277" s="14" t="n">
        <v>0</v>
      </c>
      <c r="X1277" s="13" t="s">
        <v>1339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1" t="n">
        <v>3</v>
      </c>
      <c r="B1278" s="12" t="n">
        <v>46227</v>
      </c>
      <c r="C1278" s="12" t="n">
        <v>46234</v>
      </c>
      <c r="D1278" s="11" t="n">
        <v>1705</v>
      </c>
      <c r="E1278" s="13" t="s">
        <v>122</v>
      </c>
      <c r="F1278" s="11" t="n">
        <v>24</v>
      </c>
      <c r="G1278" s="13" t="s">
        <v>42</v>
      </c>
      <c r="H1278" s="11" t="n">
        <v>2110405</v>
      </c>
      <c r="I1278" s="13" t="s">
        <v>34</v>
      </c>
      <c r="J1278" s="11" t="n">
        <v>1448397</v>
      </c>
      <c r="L1278" s="11" t="n">
        <v>1220130</v>
      </c>
      <c r="M1278" s="13" t="s">
        <v>44</v>
      </c>
      <c r="N1278" s="13" t="s">
        <v>36</v>
      </c>
      <c r="P1278" s="11" t="n">
        <v>167</v>
      </c>
      <c r="Q1278" s="13" t="s">
        <v>101</v>
      </c>
      <c r="R1278" s="13" t="s">
        <v>46</v>
      </c>
      <c r="S1278" s="11" t="n">
        <v>1130101</v>
      </c>
      <c r="T1278" s="13" t="s">
        <v>47</v>
      </c>
      <c r="U1278" s="14" t="n">
        <v>1666.43</v>
      </c>
      <c r="W1278" s="14" t="n">
        <v>0</v>
      </c>
      <c r="X1278" s="13" t="s">
        <v>1340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1" t="n">
        <v>3</v>
      </c>
      <c r="B1279" s="12" t="n">
        <v>46227</v>
      </c>
      <c r="C1279" s="12" t="n">
        <v>46234</v>
      </c>
      <c r="D1279" s="11" t="n">
        <v>1723</v>
      </c>
      <c r="E1279" s="13" t="s">
        <v>76</v>
      </c>
      <c r="F1279" s="11" t="n">
        <v>24</v>
      </c>
      <c r="G1279" s="13" t="s">
        <v>42</v>
      </c>
      <c r="H1279" s="11" t="n">
        <v>2110405</v>
      </c>
      <c r="I1279" s="13" t="s">
        <v>34</v>
      </c>
      <c r="J1279" s="11" t="n">
        <v>1448504</v>
      </c>
      <c r="L1279" s="11" t="n">
        <v>574651</v>
      </c>
      <c r="M1279" s="13" t="s">
        <v>44</v>
      </c>
      <c r="N1279" s="13" t="s">
        <v>36</v>
      </c>
      <c r="P1279" s="11" t="n">
        <v>167</v>
      </c>
      <c r="Q1279" s="13" t="s">
        <v>101</v>
      </c>
      <c r="R1279" s="13" t="s">
        <v>46</v>
      </c>
      <c r="S1279" s="11" t="n">
        <v>1130101</v>
      </c>
      <c r="T1279" s="13" t="s">
        <v>47</v>
      </c>
      <c r="U1279" s="14" t="n">
        <v>3653.9</v>
      </c>
      <c r="W1279" s="14" t="n">
        <v>0</v>
      </c>
      <c r="X1279" s="13" t="s">
        <v>1341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1" t="n">
        <v>3</v>
      </c>
      <c r="B1280" s="12" t="n">
        <v>46231</v>
      </c>
      <c r="C1280" s="12" t="n">
        <v>46234</v>
      </c>
      <c r="D1280" s="11" t="n">
        <v>42</v>
      </c>
      <c r="E1280" s="13" t="s">
        <v>80</v>
      </c>
      <c r="F1280" s="11" t="n">
        <v>34</v>
      </c>
      <c r="G1280" s="13" t="s">
        <v>33</v>
      </c>
      <c r="H1280" s="11" t="n">
        <v>2110101</v>
      </c>
      <c r="I1280" s="13" t="s">
        <v>43</v>
      </c>
      <c r="J1280" s="11" t="n">
        <v>1464707</v>
      </c>
      <c r="L1280" s="11" t="n">
        <v>4434</v>
      </c>
      <c r="M1280" s="13" t="s">
        <v>44</v>
      </c>
      <c r="N1280" s="13" t="s">
        <v>69</v>
      </c>
      <c r="P1280" s="11" t="n">
        <v>167</v>
      </c>
      <c r="Q1280" s="13" t="s">
        <v>101</v>
      </c>
      <c r="R1280" s="13" t="s">
        <v>46</v>
      </c>
      <c r="S1280" s="11" t="n">
        <v>1130101</v>
      </c>
      <c r="T1280" s="13" t="s">
        <v>47</v>
      </c>
      <c r="U1280" s="14" t="n">
        <v>2004</v>
      </c>
      <c r="W1280" s="14" t="n">
        <v>0</v>
      </c>
      <c r="X1280" s="13" t="s">
        <v>1342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46234</v>
      </c>
      <c r="C1281" s="12" t="n">
        <v>46234</v>
      </c>
      <c r="D1281" s="11" t="n">
        <v>42</v>
      </c>
      <c r="E1281" s="13" t="s">
        <v>80</v>
      </c>
      <c r="F1281" s="11" t="n">
        <v>13</v>
      </c>
      <c r="G1281" s="13" t="s">
        <v>81</v>
      </c>
      <c r="H1281" s="11" t="n">
        <v>2110101</v>
      </c>
      <c r="I1281" s="13" t="s">
        <v>43</v>
      </c>
      <c r="J1281" s="11" t="n">
        <v>1478173</v>
      </c>
      <c r="L1281" s="11" t="n">
        <v>4446</v>
      </c>
      <c r="M1281" s="13" t="s">
        <v>44</v>
      </c>
      <c r="N1281" s="13" t="s">
        <v>69</v>
      </c>
      <c r="P1281" s="11" t="n">
        <v>167</v>
      </c>
      <c r="Q1281" s="13" t="s">
        <v>101</v>
      </c>
      <c r="R1281" s="13" t="s">
        <v>46</v>
      </c>
      <c r="S1281" s="11" t="n">
        <v>1130101</v>
      </c>
      <c r="T1281" s="13" t="s">
        <v>47</v>
      </c>
      <c r="U1281" s="14" t="n">
        <v>145</v>
      </c>
      <c r="W1281" s="14" t="n">
        <v>145</v>
      </c>
      <c r="X1281" s="13" t="s">
        <v>772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46234</v>
      </c>
      <c r="C1282" s="12" t="n">
        <v>46234</v>
      </c>
      <c r="D1282" s="11" t="n">
        <v>10035</v>
      </c>
      <c r="E1282" s="13" t="s">
        <v>227</v>
      </c>
      <c r="F1282" s="11" t="n">
        <v>13</v>
      </c>
      <c r="G1282" s="13" t="s">
        <v>81</v>
      </c>
      <c r="H1282" s="11" t="n">
        <v>2110101</v>
      </c>
      <c r="I1282" s="13" t="s">
        <v>43</v>
      </c>
      <c r="J1282" s="11" t="n">
        <v>1481673</v>
      </c>
      <c r="L1282" s="11" t="n">
        <v>388</v>
      </c>
      <c r="M1282" s="13" t="s">
        <v>44</v>
      </c>
      <c r="N1282" s="13" t="s">
        <v>69</v>
      </c>
      <c r="P1282" s="11" t="n">
        <v>167</v>
      </c>
      <c r="Q1282" s="13" t="s">
        <v>101</v>
      </c>
      <c r="R1282" s="13" t="s">
        <v>46</v>
      </c>
      <c r="S1282" s="11" t="n">
        <v>1130101</v>
      </c>
      <c r="T1282" s="13" t="s">
        <v>47</v>
      </c>
      <c r="U1282" s="14" t="n">
        <v>1070</v>
      </c>
      <c r="W1282" s="14" t="n">
        <v>1070</v>
      </c>
      <c r="X1282" s="13" t="s">
        <v>1343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1" t="n">
        <v>3</v>
      </c>
      <c r="B1283" s="12" t="n">
        <v>46228</v>
      </c>
      <c r="C1283" s="12" t="n">
        <v>46235</v>
      </c>
      <c r="D1283" s="11" t="n">
        <v>1625</v>
      </c>
      <c r="E1283" s="13" t="s">
        <v>320</v>
      </c>
      <c r="F1283" s="11" t="n">
        <v>24</v>
      </c>
      <c r="G1283" s="13" t="s">
        <v>42</v>
      </c>
      <c r="H1283" s="11" t="n">
        <v>2110405</v>
      </c>
      <c r="I1283" s="13" t="s">
        <v>34</v>
      </c>
      <c r="J1283" s="11" t="n">
        <v>1458735</v>
      </c>
      <c r="L1283" s="11" t="n">
        <v>14819</v>
      </c>
      <c r="M1283" s="13" t="s">
        <v>44</v>
      </c>
      <c r="N1283" s="13" t="s">
        <v>36</v>
      </c>
      <c r="P1283" s="11" t="n">
        <v>167</v>
      </c>
      <c r="Q1283" s="13" t="s">
        <v>101</v>
      </c>
      <c r="R1283" s="13" t="s">
        <v>46</v>
      </c>
      <c r="S1283" s="11" t="n">
        <v>1130101</v>
      </c>
      <c r="T1283" s="13" t="s">
        <v>47</v>
      </c>
      <c r="U1283" s="14" t="n">
        <v>4441.6</v>
      </c>
      <c r="W1283" s="14" t="n">
        <v>0</v>
      </c>
      <c r="X1283" s="13" t="s">
        <v>1344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1" t="n">
        <v>3</v>
      </c>
      <c r="B1284" s="12" t="n">
        <v>46221</v>
      </c>
      <c r="C1284" s="12" t="n">
        <v>46235</v>
      </c>
      <c r="D1284" s="11" t="n">
        <v>1681</v>
      </c>
      <c r="E1284" s="13" t="s">
        <v>1345</v>
      </c>
      <c r="F1284" s="11" t="n">
        <v>24</v>
      </c>
      <c r="G1284" s="13" t="s">
        <v>42</v>
      </c>
      <c r="H1284" s="11" t="n">
        <v>2110405</v>
      </c>
      <c r="I1284" s="13" t="s">
        <v>34</v>
      </c>
      <c r="J1284" s="11" t="n">
        <v>1415987</v>
      </c>
      <c r="L1284" s="11" t="n">
        <v>391951</v>
      </c>
      <c r="M1284" s="13" t="s">
        <v>44</v>
      </c>
      <c r="N1284" s="13" t="s">
        <v>36</v>
      </c>
      <c r="P1284" s="11" t="n">
        <v>167</v>
      </c>
      <c r="Q1284" s="13" t="s">
        <v>101</v>
      </c>
      <c r="R1284" s="13" t="s">
        <v>46</v>
      </c>
      <c r="S1284" s="11" t="n">
        <v>1130101</v>
      </c>
      <c r="T1284" s="13" t="s">
        <v>47</v>
      </c>
      <c r="U1284" s="14" t="n">
        <v>2254.72</v>
      </c>
      <c r="W1284" s="14" t="n">
        <v>0</v>
      </c>
      <c r="X1284" s="13" t="s">
        <v>1346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1" t="n">
        <v>3</v>
      </c>
      <c r="B1285" s="12" t="n">
        <v>46223</v>
      </c>
      <c r="C1285" s="12" t="n">
        <v>46235</v>
      </c>
      <c r="D1285" s="11" t="n">
        <v>33</v>
      </c>
      <c r="E1285" s="13" t="s">
        <v>71</v>
      </c>
      <c r="F1285" s="11" t="n">
        <v>34</v>
      </c>
      <c r="G1285" s="13" t="s">
        <v>33</v>
      </c>
      <c r="H1285" s="11" t="n">
        <v>2110405</v>
      </c>
      <c r="I1285" s="13" t="s">
        <v>34</v>
      </c>
      <c r="J1285" s="11" t="n">
        <v>1425043</v>
      </c>
      <c r="L1285" s="11" t="n">
        <v>222360</v>
      </c>
      <c r="M1285" s="13" t="s">
        <v>244</v>
      </c>
      <c r="N1285" s="13" t="s">
        <v>36</v>
      </c>
      <c r="P1285" s="11" t="n">
        <v>101</v>
      </c>
      <c r="Q1285" s="13" t="s">
        <v>37</v>
      </c>
      <c r="R1285" s="13" t="s">
        <v>109</v>
      </c>
      <c r="S1285" s="11" t="n">
        <v>1240203</v>
      </c>
      <c r="T1285" s="13" t="s">
        <v>110</v>
      </c>
      <c r="U1285" s="14" t="n">
        <v>2320.3</v>
      </c>
      <c r="W1285" s="14" t="n">
        <v>0</v>
      </c>
      <c r="X1285" s="13" t="s">
        <v>1347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46223</v>
      </c>
      <c r="C1286" s="12" t="n">
        <v>46235</v>
      </c>
      <c r="D1286" s="11" t="n">
        <v>1672</v>
      </c>
      <c r="E1286" s="13" t="s">
        <v>67</v>
      </c>
      <c r="F1286" s="11" t="n">
        <v>24</v>
      </c>
      <c r="G1286" s="13" t="s">
        <v>42</v>
      </c>
      <c r="H1286" s="11" t="n">
        <v>2110405</v>
      </c>
      <c r="I1286" s="13" t="s">
        <v>34</v>
      </c>
      <c r="J1286" s="11" t="n">
        <v>1434234</v>
      </c>
      <c r="L1286" s="11" t="n">
        <v>14005101</v>
      </c>
      <c r="M1286" s="13" t="s">
        <v>44</v>
      </c>
      <c r="N1286" s="13" t="s">
        <v>36</v>
      </c>
      <c r="P1286" s="11" t="n">
        <v>167</v>
      </c>
      <c r="Q1286" s="13" t="s">
        <v>101</v>
      </c>
      <c r="R1286" s="13" t="s">
        <v>46</v>
      </c>
      <c r="S1286" s="11" t="n">
        <v>1130101</v>
      </c>
      <c r="T1286" s="13" t="s">
        <v>47</v>
      </c>
      <c r="U1286" s="14" t="n">
        <v>1316.75</v>
      </c>
      <c r="W1286" s="14" t="n">
        <v>0</v>
      </c>
      <c r="X1286" s="13" t="s">
        <v>1348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1" t="n">
        <v>3</v>
      </c>
      <c r="B1287" s="12" t="n">
        <v>46225</v>
      </c>
      <c r="C1287" s="12" t="n">
        <v>46235</v>
      </c>
      <c r="D1287" s="11" t="n">
        <v>1672</v>
      </c>
      <c r="E1287" s="13" t="s">
        <v>67</v>
      </c>
      <c r="F1287" s="11" t="n">
        <v>24</v>
      </c>
      <c r="G1287" s="13" t="s">
        <v>42</v>
      </c>
      <c r="H1287" s="11" t="n">
        <v>2110405</v>
      </c>
      <c r="I1287" s="13" t="s">
        <v>34</v>
      </c>
      <c r="J1287" s="11" t="n">
        <v>1438968</v>
      </c>
      <c r="L1287" s="11" t="n">
        <v>14006311</v>
      </c>
      <c r="M1287" s="13" t="s">
        <v>44</v>
      </c>
      <c r="N1287" s="13" t="s">
        <v>36</v>
      </c>
      <c r="P1287" s="11" t="n">
        <v>167</v>
      </c>
      <c r="Q1287" s="13" t="s">
        <v>101</v>
      </c>
      <c r="R1287" s="13" t="s">
        <v>46</v>
      </c>
      <c r="S1287" s="11" t="n">
        <v>1130101</v>
      </c>
      <c r="T1287" s="13" t="s">
        <v>47</v>
      </c>
      <c r="U1287" s="14" t="n">
        <v>887.5</v>
      </c>
      <c r="W1287" s="14" t="n">
        <v>0</v>
      </c>
      <c r="X1287" s="13" t="s">
        <v>1349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1" t="n">
        <v>3</v>
      </c>
      <c r="B1288" s="12" t="n">
        <v>46228</v>
      </c>
      <c r="C1288" s="12" t="n">
        <v>46235</v>
      </c>
      <c r="D1288" s="11" t="n">
        <v>1039</v>
      </c>
      <c r="E1288" s="13" t="s">
        <v>594</v>
      </c>
      <c r="F1288" s="11" t="n">
        <v>24</v>
      </c>
      <c r="G1288" s="13" t="s">
        <v>42</v>
      </c>
      <c r="H1288" s="11" t="n">
        <v>2110405</v>
      </c>
      <c r="I1288" s="13" t="s">
        <v>34</v>
      </c>
      <c r="J1288" s="11" t="n">
        <v>1458340</v>
      </c>
      <c r="L1288" s="11" t="n">
        <v>1945301</v>
      </c>
      <c r="M1288" s="13" t="s">
        <v>44</v>
      </c>
      <c r="N1288" s="13" t="s">
        <v>36</v>
      </c>
      <c r="P1288" s="11" t="n">
        <v>167</v>
      </c>
      <c r="Q1288" s="13" t="s">
        <v>101</v>
      </c>
      <c r="R1288" s="13" t="s">
        <v>46</v>
      </c>
      <c r="S1288" s="11" t="n">
        <v>1130101</v>
      </c>
      <c r="T1288" s="13" t="s">
        <v>47</v>
      </c>
      <c r="U1288" s="14" t="n">
        <v>1086.18</v>
      </c>
      <c r="W1288" s="14" t="n">
        <v>0</v>
      </c>
      <c r="X1288" s="13" t="s">
        <v>1350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1" t="n">
        <v>3</v>
      </c>
      <c r="B1289" s="12" t="n">
        <v>46235</v>
      </c>
      <c r="C1289" s="12" t="n">
        <v>46235</v>
      </c>
      <c r="D1289" s="11" t="n">
        <v>42</v>
      </c>
      <c r="E1289" s="13" t="s">
        <v>80</v>
      </c>
      <c r="F1289" s="11" t="n">
        <v>13</v>
      </c>
      <c r="G1289" s="13" t="s">
        <v>81</v>
      </c>
      <c r="H1289" s="11" t="n">
        <v>2110101</v>
      </c>
      <c r="I1289" s="13" t="s">
        <v>43</v>
      </c>
      <c r="J1289" s="11" t="n">
        <v>1482174</v>
      </c>
      <c r="L1289" s="11" t="n">
        <v>4448</v>
      </c>
      <c r="M1289" s="13" t="s">
        <v>44</v>
      </c>
      <c r="N1289" s="13" t="s">
        <v>69</v>
      </c>
      <c r="P1289" s="11" t="n">
        <v>167</v>
      </c>
      <c r="Q1289" s="13" t="s">
        <v>101</v>
      </c>
      <c r="R1289" s="13" t="s">
        <v>46</v>
      </c>
      <c r="S1289" s="11" t="n">
        <v>1130101</v>
      </c>
      <c r="T1289" s="13" t="s">
        <v>47</v>
      </c>
      <c r="U1289" s="14" t="n">
        <v>280</v>
      </c>
      <c r="W1289" s="14" t="n">
        <v>280</v>
      </c>
      <c r="X1289" s="13" t="s">
        <v>1351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46235</v>
      </c>
      <c r="C1290" s="12" t="n">
        <v>46235</v>
      </c>
      <c r="D1290" s="11" t="n">
        <v>42</v>
      </c>
      <c r="E1290" s="13" t="s">
        <v>80</v>
      </c>
      <c r="F1290" s="11" t="n">
        <v>13</v>
      </c>
      <c r="G1290" s="13" t="s">
        <v>81</v>
      </c>
      <c r="H1290" s="11" t="n">
        <v>2110101</v>
      </c>
      <c r="I1290" s="13" t="s">
        <v>43</v>
      </c>
      <c r="J1290" s="11" t="n">
        <v>1482544</v>
      </c>
      <c r="L1290" s="11" t="n">
        <v>4450</v>
      </c>
      <c r="M1290" s="13" t="s">
        <v>44</v>
      </c>
      <c r="N1290" s="13" t="s">
        <v>69</v>
      </c>
      <c r="P1290" s="11" t="n">
        <v>167</v>
      </c>
      <c r="Q1290" s="13" t="s">
        <v>101</v>
      </c>
      <c r="R1290" s="13" t="s">
        <v>46</v>
      </c>
      <c r="S1290" s="11" t="n">
        <v>1130101</v>
      </c>
      <c r="T1290" s="13" t="s">
        <v>47</v>
      </c>
      <c r="U1290" s="14" t="n">
        <v>128.44</v>
      </c>
      <c r="W1290" s="14" t="n">
        <v>128.44</v>
      </c>
      <c r="X1290" s="13" t="s">
        <v>1352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46235</v>
      </c>
      <c r="C1291" s="12" t="n">
        <v>46235</v>
      </c>
      <c r="D1291" s="11" t="n">
        <v>10043</v>
      </c>
      <c r="E1291" s="13" t="s">
        <v>112</v>
      </c>
      <c r="F1291" s="11" t="n">
        <v>13</v>
      </c>
      <c r="G1291" s="13" t="s">
        <v>81</v>
      </c>
      <c r="H1291" s="11" t="n">
        <v>2110101</v>
      </c>
      <c r="I1291" s="13" t="s">
        <v>43</v>
      </c>
      <c r="J1291" s="11" t="n">
        <v>1492757</v>
      </c>
      <c r="L1291" s="11" t="n">
        <v>821</v>
      </c>
      <c r="M1291" s="13" t="s">
        <v>44</v>
      </c>
      <c r="N1291" s="13" t="s">
        <v>69</v>
      </c>
      <c r="P1291" s="11" t="n">
        <v>167</v>
      </c>
      <c r="Q1291" s="13" t="s">
        <v>101</v>
      </c>
      <c r="R1291" s="13" t="s">
        <v>46</v>
      </c>
      <c r="S1291" s="11" t="n">
        <v>1130101</v>
      </c>
      <c r="T1291" s="13" t="s">
        <v>47</v>
      </c>
      <c r="U1291" s="14" t="n">
        <v>270</v>
      </c>
      <c r="W1291" s="14" t="n">
        <v>270</v>
      </c>
      <c r="X1291" s="13" t="s">
        <v>1353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1" t="n">
        <v>3</v>
      </c>
      <c r="B1292" s="12" t="n">
        <v>46220</v>
      </c>
      <c r="C1292" s="12" t="n">
        <v>46236</v>
      </c>
      <c r="D1292" s="11" t="n">
        <v>1778</v>
      </c>
      <c r="E1292" s="13" t="s">
        <v>116</v>
      </c>
      <c r="F1292" s="11" t="n">
        <v>24</v>
      </c>
      <c r="G1292" s="13" t="s">
        <v>42</v>
      </c>
      <c r="H1292" s="11" t="n">
        <v>2110405</v>
      </c>
      <c r="I1292" s="13" t="s">
        <v>34</v>
      </c>
      <c r="J1292" s="11" t="n">
        <v>1410513</v>
      </c>
      <c r="L1292" s="11" t="n">
        <v>163145085</v>
      </c>
      <c r="M1292" s="13" t="s">
        <v>44</v>
      </c>
      <c r="N1292" s="13" t="s">
        <v>36</v>
      </c>
      <c r="P1292" s="11" t="n">
        <v>167</v>
      </c>
      <c r="Q1292" s="13" t="s">
        <v>101</v>
      </c>
      <c r="R1292" s="13" t="s">
        <v>38</v>
      </c>
      <c r="S1292" s="11" t="n">
        <v>4210207</v>
      </c>
      <c r="T1292" s="13" t="s">
        <v>117</v>
      </c>
      <c r="U1292" s="14" t="n">
        <v>337.29</v>
      </c>
      <c r="W1292" s="14" t="n">
        <v>0</v>
      </c>
      <c r="X1292" s="13" t="s">
        <v>1354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46226</v>
      </c>
      <c r="C1293" s="12" t="n">
        <v>46236</v>
      </c>
      <c r="D1293" s="11" t="n">
        <v>10061</v>
      </c>
      <c r="E1293" s="13" t="s">
        <v>465</v>
      </c>
      <c r="F1293" s="11" t="n">
        <v>24</v>
      </c>
      <c r="G1293" s="13" t="s">
        <v>42</v>
      </c>
      <c r="H1293" s="11" t="n">
        <v>2110405</v>
      </c>
      <c r="I1293" s="13" t="s">
        <v>34</v>
      </c>
      <c r="J1293" s="11" t="n">
        <v>1443681</v>
      </c>
      <c r="L1293" s="11" t="n">
        <v>3082</v>
      </c>
      <c r="M1293" s="13" t="s">
        <v>44</v>
      </c>
      <c r="N1293" s="13" t="s">
        <v>36</v>
      </c>
      <c r="P1293" s="11" t="n">
        <v>167</v>
      </c>
      <c r="Q1293" s="13" t="s">
        <v>101</v>
      </c>
      <c r="R1293" s="13" t="s">
        <v>46</v>
      </c>
      <c r="S1293" s="11" t="n">
        <v>1130101</v>
      </c>
      <c r="T1293" s="13" t="s">
        <v>47</v>
      </c>
      <c r="U1293" s="14" t="n">
        <v>400.5</v>
      </c>
      <c r="W1293" s="14" t="n">
        <v>0</v>
      </c>
      <c r="X1293" s="13" t="s">
        <v>1355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1" t="n">
        <v>3</v>
      </c>
      <c r="B1294" s="12" t="n">
        <v>46231</v>
      </c>
      <c r="C1294" s="12" t="n">
        <v>46236</v>
      </c>
      <c r="D1294" s="11" t="n">
        <v>49</v>
      </c>
      <c r="E1294" s="13" t="s">
        <v>138</v>
      </c>
      <c r="F1294" s="11" t="n">
        <v>34</v>
      </c>
      <c r="G1294" s="13" t="s">
        <v>33</v>
      </c>
      <c r="H1294" s="11" t="n">
        <v>2110405</v>
      </c>
      <c r="I1294" s="13" t="s">
        <v>34</v>
      </c>
      <c r="J1294" s="11" t="n">
        <v>1464754</v>
      </c>
      <c r="L1294" s="11" t="n">
        <v>227889</v>
      </c>
      <c r="M1294" s="13" t="s">
        <v>44</v>
      </c>
      <c r="N1294" s="13" t="s">
        <v>36</v>
      </c>
      <c r="P1294" s="11" t="n">
        <v>101</v>
      </c>
      <c r="Q1294" s="13" t="s">
        <v>37</v>
      </c>
      <c r="R1294" s="13" t="s">
        <v>139</v>
      </c>
      <c r="S1294" s="11" t="n">
        <v>2110901</v>
      </c>
      <c r="T1294" s="13" t="s">
        <v>140</v>
      </c>
      <c r="U1294" s="14" t="n">
        <v>4107.42</v>
      </c>
      <c r="W1294" s="14" t="n">
        <v>0</v>
      </c>
      <c r="X1294" s="13" t="s">
        <v>1356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46236</v>
      </c>
      <c r="C1295" s="12" t="n">
        <v>46236</v>
      </c>
      <c r="D1295" s="11" t="n">
        <v>978</v>
      </c>
      <c r="E1295" s="13" t="s">
        <v>183</v>
      </c>
      <c r="F1295" s="11" t="n">
        <v>13</v>
      </c>
      <c r="G1295" s="13" t="s">
        <v>81</v>
      </c>
      <c r="H1295" s="11" t="n">
        <v>2110101</v>
      </c>
      <c r="I1295" s="13" t="s">
        <v>43</v>
      </c>
      <c r="J1295" s="11" t="n">
        <v>1493184</v>
      </c>
      <c r="L1295" s="11" t="n">
        <v>407</v>
      </c>
      <c r="M1295" s="13" t="s">
        <v>44</v>
      </c>
      <c r="N1295" s="13" t="s">
        <v>69</v>
      </c>
      <c r="P1295" s="11" t="n">
        <v>167</v>
      </c>
      <c r="Q1295" s="13" t="s">
        <v>101</v>
      </c>
      <c r="R1295" s="13" t="s">
        <v>46</v>
      </c>
      <c r="S1295" s="11" t="n">
        <v>1130101</v>
      </c>
      <c r="T1295" s="13" t="s">
        <v>47</v>
      </c>
      <c r="U1295" s="14" t="n">
        <v>436</v>
      </c>
      <c r="W1295" s="14" t="n">
        <v>0</v>
      </c>
      <c r="X1295" s="13" t="s">
        <v>1357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1" t="n">
        <v>3</v>
      </c>
      <c r="B1296" s="12" t="n">
        <v>46230</v>
      </c>
      <c r="C1296" s="12" t="n">
        <v>46237</v>
      </c>
      <c r="D1296" s="11" t="n">
        <v>1723</v>
      </c>
      <c r="E1296" s="13" t="s">
        <v>76</v>
      </c>
      <c r="F1296" s="11" t="n">
        <v>24</v>
      </c>
      <c r="G1296" s="13" t="s">
        <v>42</v>
      </c>
      <c r="H1296" s="11" t="n">
        <v>2110405</v>
      </c>
      <c r="I1296" s="13" t="s">
        <v>34</v>
      </c>
      <c r="J1296" s="11" t="n">
        <v>1458785</v>
      </c>
      <c r="L1296" s="11" t="n">
        <v>57685</v>
      </c>
      <c r="M1296" s="13" t="s">
        <v>44</v>
      </c>
      <c r="N1296" s="13" t="s">
        <v>36</v>
      </c>
      <c r="P1296" s="11" t="n">
        <v>167</v>
      </c>
      <c r="Q1296" s="13" t="s">
        <v>101</v>
      </c>
      <c r="R1296" s="13" t="s">
        <v>46</v>
      </c>
      <c r="S1296" s="11" t="n">
        <v>1130101</v>
      </c>
      <c r="T1296" s="13" t="s">
        <v>47</v>
      </c>
      <c r="U1296" s="14" t="n">
        <v>2329.6</v>
      </c>
      <c r="W1296" s="14" t="n">
        <v>0</v>
      </c>
      <c r="X1296" s="13" t="s">
        <v>1358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1" t="n">
        <v>3</v>
      </c>
      <c r="B1297" s="12" t="n">
        <v>46230</v>
      </c>
      <c r="C1297" s="12" t="n">
        <v>46237</v>
      </c>
      <c r="D1297" s="11" t="n">
        <v>1628</v>
      </c>
      <c r="E1297" s="13" t="s">
        <v>809</v>
      </c>
      <c r="F1297" s="11" t="n">
        <v>24</v>
      </c>
      <c r="G1297" s="13" t="s">
        <v>42</v>
      </c>
      <c r="H1297" s="11" t="n">
        <v>2110405</v>
      </c>
      <c r="I1297" s="13" t="s">
        <v>34</v>
      </c>
      <c r="J1297" s="11" t="n">
        <v>1464512</v>
      </c>
      <c r="L1297" s="11" t="n">
        <v>90670</v>
      </c>
      <c r="M1297" s="13" t="s">
        <v>44</v>
      </c>
      <c r="N1297" s="13" t="s">
        <v>36</v>
      </c>
      <c r="P1297" s="11" t="n">
        <v>167</v>
      </c>
      <c r="Q1297" s="13" t="s">
        <v>101</v>
      </c>
      <c r="R1297" s="13" t="s">
        <v>46</v>
      </c>
      <c r="S1297" s="11" t="n">
        <v>1130101</v>
      </c>
      <c r="T1297" s="13" t="s">
        <v>47</v>
      </c>
      <c r="U1297" s="14" t="n">
        <v>408.29</v>
      </c>
      <c r="W1297" s="14" t="n">
        <v>0</v>
      </c>
      <c r="X1297" s="13" t="s">
        <v>1359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1" t="n">
        <v>3</v>
      </c>
      <c r="B1298" s="12" t="n">
        <v>46202</v>
      </c>
      <c r="C1298" s="12" t="n">
        <v>46237</v>
      </c>
      <c r="D1298" s="11" t="n">
        <v>10011</v>
      </c>
      <c r="E1298" s="13" t="s">
        <v>284</v>
      </c>
      <c r="F1298" s="11" t="n">
        <v>24</v>
      </c>
      <c r="G1298" s="13" t="s">
        <v>42</v>
      </c>
      <c r="H1298" s="11" t="n">
        <v>2110101</v>
      </c>
      <c r="I1298" s="13" t="s">
        <v>43</v>
      </c>
      <c r="J1298" s="11" t="n">
        <v>1334046</v>
      </c>
      <c r="L1298" s="11" t="n">
        <v>344682</v>
      </c>
      <c r="M1298" s="13" t="s">
        <v>44</v>
      </c>
      <c r="N1298" s="13" t="s">
        <v>36</v>
      </c>
      <c r="P1298" s="11" t="n">
        <v>167</v>
      </c>
      <c r="Q1298" s="13" t="s">
        <v>101</v>
      </c>
      <c r="R1298" s="13" t="s">
        <v>46</v>
      </c>
      <c r="S1298" s="11" t="n">
        <v>1130101</v>
      </c>
      <c r="T1298" s="13" t="s">
        <v>47</v>
      </c>
      <c r="U1298" s="14" t="n">
        <v>925.9</v>
      </c>
      <c r="W1298" s="14" t="n">
        <v>0</v>
      </c>
      <c r="X1298" s="13" t="s">
        <v>1360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1" t="n">
        <v>3</v>
      </c>
      <c r="B1299" s="12" t="n">
        <v>46205</v>
      </c>
      <c r="C1299" s="12" t="n">
        <v>46237</v>
      </c>
      <c r="D1299" s="11" t="n">
        <v>10017</v>
      </c>
      <c r="E1299" s="13" t="s">
        <v>335</v>
      </c>
      <c r="F1299" s="11" t="n">
        <v>24</v>
      </c>
      <c r="G1299" s="13" t="s">
        <v>42</v>
      </c>
      <c r="H1299" s="11" t="n">
        <v>2110101</v>
      </c>
      <c r="I1299" s="13" t="s">
        <v>43</v>
      </c>
      <c r="J1299" s="11" t="n">
        <v>1359846</v>
      </c>
      <c r="L1299" s="11" t="n">
        <v>1941143</v>
      </c>
      <c r="M1299" s="13" t="s">
        <v>44</v>
      </c>
      <c r="N1299" s="13" t="s">
        <v>36</v>
      </c>
      <c r="P1299" s="11" t="n">
        <v>167</v>
      </c>
      <c r="Q1299" s="13" t="s">
        <v>101</v>
      </c>
      <c r="R1299" s="13" t="s">
        <v>46</v>
      </c>
      <c r="S1299" s="11" t="n">
        <v>1130101</v>
      </c>
      <c r="T1299" s="13" t="s">
        <v>47</v>
      </c>
      <c r="U1299" s="14" t="n">
        <v>1819.31</v>
      </c>
      <c r="W1299" s="14" t="n">
        <v>0</v>
      </c>
      <c r="X1299" s="13" t="s">
        <v>1361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1" t="n">
        <v>3</v>
      </c>
      <c r="B1300" s="12" t="n">
        <v>46216</v>
      </c>
      <c r="C1300" s="12" t="n">
        <v>46237</v>
      </c>
      <c r="D1300" s="11" t="n">
        <v>1636</v>
      </c>
      <c r="E1300" s="13" t="s">
        <v>49</v>
      </c>
      <c r="F1300" s="11" t="n">
        <v>24</v>
      </c>
      <c r="G1300" s="13" t="s">
        <v>42</v>
      </c>
      <c r="H1300" s="11" t="n">
        <v>2110405</v>
      </c>
      <c r="I1300" s="13" t="s">
        <v>34</v>
      </c>
      <c r="J1300" s="11" t="n">
        <v>1401755</v>
      </c>
      <c r="L1300" s="11" t="n">
        <v>32187182</v>
      </c>
      <c r="M1300" s="13" t="s">
        <v>44</v>
      </c>
      <c r="N1300" s="13" t="s">
        <v>36</v>
      </c>
      <c r="P1300" s="11" t="n">
        <v>167</v>
      </c>
      <c r="Q1300" s="13" t="s">
        <v>101</v>
      </c>
      <c r="R1300" s="13" t="s">
        <v>46</v>
      </c>
      <c r="S1300" s="11" t="n">
        <v>1130101</v>
      </c>
      <c r="T1300" s="13" t="s">
        <v>47</v>
      </c>
      <c r="U1300" s="14" t="n">
        <v>930.36</v>
      </c>
      <c r="W1300" s="14" t="n">
        <v>0</v>
      </c>
      <c r="X1300" s="13" t="s">
        <v>1362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1" t="n">
        <v>3</v>
      </c>
      <c r="B1301" s="12" t="n">
        <v>46216</v>
      </c>
      <c r="C1301" s="12" t="n">
        <v>46237</v>
      </c>
      <c r="D1301" s="11" t="n">
        <v>1445</v>
      </c>
      <c r="E1301" s="13" t="s">
        <v>1267</v>
      </c>
      <c r="F1301" s="11" t="n">
        <v>24</v>
      </c>
      <c r="G1301" s="13" t="s">
        <v>42</v>
      </c>
      <c r="H1301" s="11" t="n">
        <v>2110405</v>
      </c>
      <c r="I1301" s="13" t="s">
        <v>34</v>
      </c>
      <c r="J1301" s="11" t="n">
        <v>1407208</v>
      </c>
      <c r="L1301" s="11" t="n">
        <v>2982072</v>
      </c>
      <c r="M1301" s="13" t="s">
        <v>44</v>
      </c>
      <c r="N1301" s="13" t="s">
        <v>36</v>
      </c>
      <c r="P1301" s="11" t="n">
        <v>167</v>
      </c>
      <c r="Q1301" s="13" t="s">
        <v>101</v>
      </c>
      <c r="R1301" s="13" t="s">
        <v>46</v>
      </c>
      <c r="S1301" s="11" t="n">
        <v>1130101</v>
      </c>
      <c r="T1301" s="13" t="s">
        <v>47</v>
      </c>
      <c r="U1301" s="14" t="n">
        <v>620.25</v>
      </c>
      <c r="W1301" s="14" t="n">
        <v>0</v>
      </c>
      <c r="X1301" s="13" t="s">
        <v>1363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1" t="n">
        <v>3</v>
      </c>
      <c r="B1302" s="12" t="n">
        <v>46218</v>
      </c>
      <c r="C1302" s="12" t="n">
        <v>46237</v>
      </c>
      <c r="D1302" s="11" t="n">
        <v>1789</v>
      </c>
      <c r="E1302" s="13" t="s">
        <v>62</v>
      </c>
      <c r="F1302" s="11" t="n">
        <v>24</v>
      </c>
      <c r="G1302" s="13" t="s">
        <v>42</v>
      </c>
      <c r="H1302" s="11" t="n">
        <v>2110405</v>
      </c>
      <c r="I1302" s="13" t="s">
        <v>34</v>
      </c>
      <c r="J1302" s="11" t="n">
        <v>1410504</v>
      </c>
      <c r="L1302" s="11" t="n">
        <v>11872767</v>
      </c>
      <c r="M1302" s="13" t="s">
        <v>44</v>
      </c>
      <c r="N1302" s="13" t="s">
        <v>36</v>
      </c>
      <c r="P1302" s="11" t="n">
        <v>167</v>
      </c>
      <c r="Q1302" s="13" t="s">
        <v>101</v>
      </c>
      <c r="R1302" s="13" t="s">
        <v>63</v>
      </c>
      <c r="S1302" s="11" t="n">
        <v>4210112</v>
      </c>
      <c r="T1302" s="13" t="s">
        <v>64</v>
      </c>
      <c r="U1302" s="14" t="n">
        <v>238.7</v>
      </c>
      <c r="W1302" s="14" t="n">
        <v>0</v>
      </c>
      <c r="X1302" s="13" t="s">
        <v>1364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46220</v>
      </c>
      <c r="C1303" s="12" t="n">
        <v>46237</v>
      </c>
      <c r="D1303" s="11" t="n">
        <v>1166</v>
      </c>
      <c r="E1303" s="13" t="s">
        <v>941</v>
      </c>
      <c r="F1303" s="11" t="n">
        <v>24</v>
      </c>
      <c r="G1303" s="13" t="s">
        <v>42</v>
      </c>
      <c r="H1303" s="11" t="n">
        <v>2110405</v>
      </c>
      <c r="I1303" s="13" t="s">
        <v>34</v>
      </c>
      <c r="J1303" s="11" t="n">
        <v>1424569</v>
      </c>
      <c r="L1303" s="11" t="n">
        <v>355481</v>
      </c>
      <c r="M1303" s="13" t="s">
        <v>44</v>
      </c>
      <c r="N1303" s="13" t="s">
        <v>36</v>
      </c>
      <c r="P1303" s="11" t="n">
        <v>167</v>
      </c>
      <c r="Q1303" s="13" t="s">
        <v>101</v>
      </c>
      <c r="R1303" s="13" t="s">
        <v>46</v>
      </c>
      <c r="S1303" s="11" t="n">
        <v>1130101</v>
      </c>
      <c r="T1303" s="13" t="s">
        <v>47</v>
      </c>
      <c r="U1303" s="14" t="n">
        <v>404.55</v>
      </c>
      <c r="W1303" s="14" t="n">
        <v>0</v>
      </c>
      <c r="X1303" s="13" t="s">
        <v>1365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1" t="n">
        <v>3</v>
      </c>
      <c r="B1304" s="12" t="n">
        <v>46223</v>
      </c>
      <c r="C1304" s="12" t="n">
        <v>46237</v>
      </c>
      <c r="D1304" s="11" t="n">
        <v>1723</v>
      </c>
      <c r="E1304" s="13" t="s">
        <v>76</v>
      </c>
      <c r="F1304" s="11" t="n">
        <v>24</v>
      </c>
      <c r="G1304" s="13" t="s">
        <v>42</v>
      </c>
      <c r="H1304" s="11" t="n">
        <v>2110405</v>
      </c>
      <c r="I1304" s="13" t="s">
        <v>34</v>
      </c>
      <c r="J1304" s="11" t="n">
        <v>1427462</v>
      </c>
      <c r="L1304" s="11" t="n">
        <v>570362</v>
      </c>
      <c r="M1304" s="13" t="s">
        <v>44</v>
      </c>
      <c r="N1304" s="13" t="s">
        <v>36</v>
      </c>
      <c r="P1304" s="11" t="n">
        <v>167</v>
      </c>
      <c r="Q1304" s="13" t="s">
        <v>101</v>
      </c>
      <c r="R1304" s="13" t="s">
        <v>46</v>
      </c>
      <c r="S1304" s="11" t="n">
        <v>1130101</v>
      </c>
      <c r="T1304" s="13" t="s">
        <v>47</v>
      </c>
      <c r="U1304" s="14" t="n">
        <v>5478.25</v>
      </c>
      <c r="W1304" s="14" t="n">
        <v>0</v>
      </c>
      <c r="X1304" s="13" t="s">
        <v>1366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1" t="n">
        <v>3</v>
      </c>
      <c r="B1305" s="12" t="n">
        <v>46224</v>
      </c>
      <c r="C1305" s="12" t="n">
        <v>46237</v>
      </c>
      <c r="D1305" s="11" t="n">
        <v>1789</v>
      </c>
      <c r="E1305" s="13" t="s">
        <v>62</v>
      </c>
      <c r="F1305" s="11" t="n">
        <v>24</v>
      </c>
      <c r="G1305" s="13" t="s">
        <v>42</v>
      </c>
      <c r="H1305" s="11" t="n">
        <v>2110405</v>
      </c>
      <c r="I1305" s="13" t="s">
        <v>34</v>
      </c>
      <c r="J1305" s="11" t="n">
        <v>1427532</v>
      </c>
      <c r="L1305" s="11" t="n">
        <v>118727166</v>
      </c>
      <c r="M1305" s="13" t="s">
        <v>44</v>
      </c>
      <c r="N1305" s="13" t="s">
        <v>36</v>
      </c>
      <c r="P1305" s="11" t="n">
        <v>167</v>
      </c>
      <c r="Q1305" s="13" t="s">
        <v>101</v>
      </c>
      <c r="R1305" s="13" t="s">
        <v>63</v>
      </c>
      <c r="S1305" s="11" t="n">
        <v>4210112</v>
      </c>
      <c r="T1305" s="13" t="s">
        <v>64</v>
      </c>
      <c r="U1305" s="14" t="n">
        <v>5522.24</v>
      </c>
      <c r="W1305" s="14" t="n">
        <v>0</v>
      </c>
      <c r="X1305" s="13" t="s">
        <v>65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46225</v>
      </c>
      <c r="C1306" s="12" t="n">
        <v>46237</v>
      </c>
      <c r="D1306" s="11" t="n">
        <v>1613</v>
      </c>
      <c r="E1306" s="13" t="s">
        <v>177</v>
      </c>
      <c r="F1306" s="11" t="n">
        <v>24</v>
      </c>
      <c r="G1306" s="13" t="s">
        <v>42</v>
      </c>
      <c r="H1306" s="11" t="n">
        <v>2110405</v>
      </c>
      <c r="I1306" s="13" t="s">
        <v>34</v>
      </c>
      <c r="J1306" s="11" t="n">
        <v>1434398</v>
      </c>
      <c r="L1306" s="11" t="n">
        <v>16099462</v>
      </c>
      <c r="M1306" s="13" t="s">
        <v>44</v>
      </c>
      <c r="N1306" s="13" t="s">
        <v>36</v>
      </c>
      <c r="P1306" s="11" t="n">
        <v>167</v>
      </c>
      <c r="Q1306" s="13" t="s">
        <v>101</v>
      </c>
      <c r="R1306" s="13" t="s">
        <v>46</v>
      </c>
      <c r="S1306" s="11" t="n">
        <v>1130101</v>
      </c>
      <c r="T1306" s="13" t="s">
        <v>47</v>
      </c>
      <c r="U1306" s="14" t="n">
        <v>1315.54</v>
      </c>
      <c r="W1306" s="14" t="n">
        <v>0</v>
      </c>
      <c r="X1306" s="13" t="s">
        <v>1367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1" t="n">
        <v>3</v>
      </c>
      <c r="B1307" s="12" t="n">
        <v>46230</v>
      </c>
      <c r="C1307" s="12" t="n">
        <v>46237</v>
      </c>
      <c r="D1307" s="11" t="n">
        <v>1269</v>
      </c>
      <c r="E1307" s="13" t="s">
        <v>1368</v>
      </c>
      <c r="F1307" s="11" t="n">
        <v>24</v>
      </c>
      <c r="G1307" s="13" t="s">
        <v>42</v>
      </c>
      <c r="H1307" s="11" t="n">
        <v>2110405</v>
      </c>
      <c r="I1307" s="13" t="s">
        <v>34</v>
      </c>
      <c r="J1307" s="11" t="n">
        <v>1458688</v>
      </c>
      <c r="L1307" s="11" t="n">
        <v>41</v>
      </c>
      <c r="M1307" s="13" t="s">
        <v>44</v>
      </c>
      <c r="N1307" s="13" t="s">
        <v>36</v>
      </c>
      <c r="P1307" s="11" t="n">
        <v>167</v>
      </c>
      <c r="Q1307" s="13" t="s">
        <v>101</v>
      </c>
      <c r="R1307" s="13" t="s">
        <v>46</v>
      </c>
      <c r="S1307" s="11" t="n">
        <v>1130101</v>
      </c>
      <c r="T1307" s="13" t="s">
        <v>47</v>
      </c>
      <c r="U1307" s="14" t="n">
        <v>746.66</v>
      </c>
      <c r="W1307" s="14" t="n">
        <v>0</v>
      </c>
      <c r="X1307" s="13" t="s">
        <v>1369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1" t="n">
        <v>3</v>
      </c>
      <c r="B1308" s="12" t="n">
        <v>46237</v>
      </c>
      <c r="C1308" s="12" t="n">
        <v>46237</v>
      </c>
      <c r="D1308" s="11" t="n">
        <v>42</v>
      </c>
      <c r="E1308" s="13" t="s">
        <v>80</v>
      </c>
      <c r="F1308" s="11" t="n">
        <v>13</v>
      </c>
      <c r="G1308" s="13" t="s">
        <v>81</v>
      </c>
      <c r="H1308" s="11" t="n">
        <v>2110101</v>
      </c>
      <c r="I1308" s="13" t="s">
        <v>43</v>
      </c>
      <c r="J1308" s="11" t="n">
        <v>1492790</v>
      </c>
      <c r="L1308" s="11" t="n">
        <v>4452</v>
      </c>
      <c r="M1308" s="13" t="s">
        <v>44</v>
      </c>
      <c r="N1308" s="13" t="s">
        <v>69</v>
      </c>
      <c r="P1308" s="11" t="n">
        <v>167</v>
      </c>
      <c r="Q1308" s="13" t="s">
        <v>101</v>
      </c>
      <c r="R1308" s="13" t="s">
        <v>46</v>
      </c>
      <c r="S1308" s="11" t="n">
        <v>1130101</v>
      </c>
      <c r="T1308" s="13" t="s">
        <v>47</v>
      </c>
      <c r="U1308" s="14" t="n">
        <v>100</v>
      </c>
      <c r="W1308" s="14" t="n">
        <v>100</v>
      </c>
      <c r="X1308" s="13" t="s">
        <v>1370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46237</v>
      </c>
      <c r="C1309" s="12" t="n">
        <v>46237</v>
      </c>
      <c r="D1309" s="11" t="n">
        <v>42</v>
      </c>
      <c r="E1309" s="13" t="s">
        <v>80</v>
      </c>
      <c r="F1309" s="11" t="n">
        <v>13</v>
      </c>
      <c r="G1309" s="13" t="s">
        <v>81</v>
      </c>
      <c r="H1309" s="11" t="n">
        <v>2110101</v>
      </c>
      <c r="I1309" s="13" t="s">
        <v>43</v>
      </c>
      <c r="J1309" s="11" t="n">
        <v>1493149</v>
      </c>
      <c r="L1309" s="11" t="n">
        <v>4453</v>
      </c>
      <c r="M1309" s="13" t="s">
        <v>44</v>
      </c>
      <c r="N1309" s="13" t="s">
        <v>69</v>
      </c>
      <c r="P1309" s="11" t="n">
        <v>167</v>
      </c>
      <c r="Q1309" s="13" t="s">
        <v>101</v>
      </c>
      <c r="R1309" s="13" t="s">
        <v>46</v>
      </c>
      <c r="S1309" s="11" t="n">
        <v>1130101</v>
      </c>
      <c r="T1309" s="13" t="s">
        <v>47</v>
      </c>
      <c r="U1309" s="14" t="n">
        <v>125</v>
      </c>
      <c r="W1309" s="14" t="n">
        <v>125</v>
      </c>
      <c r="X1309" s="13" t="s">
        <v>1371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46237</v>
      </c>
      <c r="C1310" s="12" t="n">
        <v>46237</v>
      </c>
      <c r="D1310" s="11" t="n">
        <v>1792</v>
      </c>
      <c r="E1310" s="13" t="s">
        <v>108</v>
      </c>
      <c r="F1310" s="11" t="n">
        <v>24</v>
      </c>
      <c r="G1310" s="13" t="s">
        <v>42</v>
      </c>
      <c r="H1310" s="11" t="n">
        <v>2110405</v>
      </c>
      <c r="I1310" s="13" t="s">
        <v>34</v>
      </c>
      <c r="J1310" s="11" t="n">
        <v>1290195</v>
      </c>
      <c r="L1310" s="11" t="n">
        <v>201754</v>
      </c>
      <c r="M1310" s="13" t="s">
        <v>150</v>
      </c>
      <c r="N1310" s="13" t="s">
        <v>36</v>
      </c>
      <c r="P1310" s="11" t="n">
        <v>102</v>
      </c>
      <c r="Q1310" s="13" t="s">
        <v>186</v>
      </c>
      <c r="R1310" s="13" t="s">
        <v>109</v>
      </c>
      <c r="S1310" s="11" t="n">
        <v>1240203</v>
      </c>
      <c r="T1310" s="13" t="s">
        <v>110</v>
      </c>
      <c r="U1310" s="14" t="n">
        <v>404.78</v>
      </c>
      <c r="W1310" s="14" t="n">
        <v>0</v>
      </c>
      <c r="X1310" s="13" t="s">
        <v>850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46237</v>
      </c>
      <c r="C1311" s="12" t="n">
        <v>46237</v>
      </c>
      <c r="D1311" s="11" t="n">
        <v>358</v>
      </c>
      <c r="E1311" s="13" t="s">
        <v>95</v>
      </c>
      <c r="F1311" s="11" t="n">
        <v>34</v>
      </c>
      <c r="G1311" s="13" t="s">
        <v>33</v>
      </c>
      <c r="H1311" s="11" t="n">
        <v>2110405</v>
      </c>
      <c r="I1311" s="13" t="s">
        <v>34</v>
      </c>
      <c r="J1311" s="11" t="n">
        <v>1495492</v>
      </c>
      <c r="L1311" s="11" t="n">
        <v>232266</v>
      </c>
      <c r="M1311" s="13" t="s">
        <v>44</v>
      </c>
      <c r="N1311" s="13" t="s">
        <v>36</v>
      </c>
      <c r="P1311" s="11" t="n">
        <v>167</v>
      </c>
      <c r="Q1311" s="13" t="s">
        <v>101</v>
      </c>
      <c r="R1311" s="13" t="s">
        <v>72</v>
      </c>
      <c r="S1311" s="11" t="n">
        <v>4210310</v>
      </c>
      <c r="T1311" s="13" t="s">
        <v>88</v>
      </c>
      <c r="U1311" s="14" t="n">
        <v>405</v>
      </c>
      <c r="W1311" s="14" t="n">
        <v>0</v>
      </c>
      <c r="X1311" s="13" t="s">
        <v>1372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46237</v>
      </c>
      <c r="C1312" s="12" t="n">
        <v>46237</v>
      </c>
      <c r="D1312" s="11" t="n">
        <v>41</v>
      </c>
      <c r="E1312" s="13" t="s">
        <v>90</v>
      </c>
      <c r="F1312" s="11" t="n">
        <v>34</v>
      </c>
      <c r="G1312" s="13" t="s">
        <v>33</v>
      </c>
      <c r="H1312" s="11" t="n">
        <v>2110405</v>
      </c>
      <c r="I1312" s="13" t="s">
        <v>34</v>
      </c>
      <c r="J1312" s="11" t="n">
        <v>1495496</v>
      </c>
      <c r="L1312" s="11" t="n">
        <v>232267</v>
      </c>
      <c r="M1312" s="13" t="s">
        <v>44</v>
      </c>
      <c r="N1312" s="13" t="s">
        <v>36</v>
      </c>
      <c r="P1312" s="11" t="n">
        <v>167</v>
      </c>
      <c r="Q1312" s="13" t="s">
        <v>101</v>
      </c>
      <c r="R1312" s="13" t="s">
        <v>72</v>
      </c>
      <c r="S1312" s="11" t="n">
        <v>4210310</v>
      </c>
      <c r="T1312" s="13" t="s">
        <v>88</v>
      </c>
      <c r="U1312" s="14" t="n">
        <v>390</v>
      </c>
      <c r="W1312" s="14" t="n">
        <v>0</v>
      </c>
      <c r="X1312" s="13" t="s">
        <v>1372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46237</v>
      </c>
      <c r="C1313" s="12" t="n">
        <v>46237</v>
      </c>
      <c r="D1313" s="11" t="n">
        <v>313</v>
      </c>
      <c r="E1313" s="13" t="s">
        <v>92</v>
      </c>
      <c r="F1313" s="11" t="n">
        <v>34</v>
      </c>
      <c r="G1313" s="13" t="s">
        <v>33</v>
      </c>
      <c r="H1313" s="11" t="n">
        <v>2110405</v>
      </c>
      <c r="I1313" s="13" t="s">
        <v>34</v>
      </c>
      <c r="J1313" s="11" t="n">
        <v>1495497</v>
      </c>
      <c r="L1313" s="11" t="n">
        <v>232269</v>
      </c>
      <c r="M1313" s="13" t="s">
        <v>44</v>
      </c>
      <c r="N1313" s="13" t="s">
        <v>36</v>
      </c>
      <c r="P1313" s="11" t="n">
        <v>167</v>
      </c>
      <c r="Q1313" s="13" t="s">
        <v>101</v>
      </c>
      <c r="R1313" s="13" t="s">
        <v>72</v>
      </c>
      <c r="S1313" s="11" t="n">
        <v>4210310</v>
      </c>
      <c r="T1313" s="13" t="s">
        <v>88</v>
      </c>
      <c r="U1313" s="14" t="n">
        <v>390</v>
      </c>
      <c r="W1313" s="14" t="n">
        <v>0</v>
      </c>
      <c r="X1313" s="13" t="s">
        <v>1372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46237</v>
      </c>
      <c r="C1314" s="12" t="n">
        <v>46237</v>
      </c>
      <c r="D1314" s="11" t="n">
        <v>332</v>
      </c>
      <c r="E1314" s="13" t="s">
        <v>91</v>
      </c>
      <c r="F1314" s="11" t="n">
        <v>34</v>
      </c>
      <c r="G1314" s="13" t="s">
        <v>33</v>
      </c>
      <c r="H1314" s="11" t="n">
        <v>2110405</v>
      </c>
      <c r="I1314" s="13" t="s">
        <v>34</v>
      </c>
      <c r="J1314" s="11" t="n">
        <v>1495499</v>
      </c>
      <c r="L1314" s="11" t="n">
        <v>232270</v>
      </c>
      <c r="M1314" s="13" t="s">
        <v>44</v>
      </c>
      <c r="N1314" s="13" t="s">
        <v>36</v>
      </c>
      <c r="P1314" s="11" t="n">
        <v>167</v>
      </c>
      <c r="Q1314" s="13" t="s">
        <v>101</v>
      </c>
      <c r="R1314" s="13" t="s">
        <v>72</v>
      </c>
      <c r="S1314" s="11" t="n">
        <v>4210310</v>
      </c>
      <c r="T1314" s="13" t="s">
        <v>88</v>
      </c>
      <c r="U1314" s="14" t="n">
        <v>390</v>
      </c>
      <c r="W1314" s="14" t="n">
        <v>0</v>
      </c>
      <c r="X1314" s="13" t="s">
        <v>1372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46237</v>
      </c>
      <c r="C1315" s="12" t="n">
        <v>46237</v>
      </c>
      <c r="D1315" s="11" t="n">
        <v>35</v>
      </c>
      <c r="E1315" s="13" t="s">
        <v>45</v>
      </c>
      <c r="F1315" s="11" t="n">
        <v>34</v>
      </c>
      <c r="G1315" s="13" t="s">
        <v>33</v>
      </c>
      <c r="H1315" s="11" t="n">
        <v>2110405</v>
      </c>
      <c r="I1315" s="13" t="s">
        <v>34</v>
      </c>
      <c r="J1315" s="11" t="n">
        <v>1495500</v>
      </c>
      <c r="L1315" s="11" t="n">
        <v>232271</v>
      </c>
      <c r="M1315" s="13" t="s">
        <v>44</v>
      </c>
      <c r="N1315" s="13" t="s">
        <v>36</v>
      </c>
      <c r="P1315" s="11" t="n">
        <v>167</v>
      </c>
      <c r="Q1315" s="13" t="s">
        <v>101</v>
      </c>
      <c r="R1315" s="13" t="s">
        <v>72</v>
      </c>
      <c r="S1315" s="11" t="n">
        <v>4210310</v>
      </c>
      <c r="T1315" s="13" t="s">
        <v>88</v>
      </c>
      <c r="U1315" s="14" t="n">
        <v>390</v>
      </c>
      <c r="W1315" s="14" t="n">
        <v>0</v>
      </c>
      <c r="X1315" s="13" t="s">
        <v>1372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46237</v>
      </c>
      <c r="C1316" s="12" t="n">
        <v>46237</v>
      </c>
      <c r="D1316" s="11" t="n">
        <v>10070</v>
      </c>
      <c r="E1316" s="13" t="s">
        <v>93</v>
      </c>
      <c r="F1316" s="11" t="n">
        <v>34</v>
      </c>
      <c r="G1316" s="13" t="s">
        <v>33</v>
      </c>
      <c r="H1316" s="11" t="n">
        <v>2110405</v>
      </c>
      <c r="I1316" s="13" t="s">
        <v>34</v>
      </c>
      <c r="J1316" s="11" t="n">
        <v>1495504</v>
      </c>
      <c r="L1316" s="11" t="n">
        <v>232272</v>
      </c>
      <c r="M1316" s="13" t="s">
        <v>44</v>
      </c>
      <c r="N1316" s="13" t="s">
        <v>36</v>
      </c>
      <c r="P1316" s="11" t="n">
        <v>167</v>
      </c>
      <c r="Q1316" s="13" t="s">
        <v>101</v>
      </c>
      <c r="R1316" s="13" t="s">
        <v>72</v>
      </c>
      <c r="S1316" s="11" t="n">
        <v>4210310</v>
      </c>
      <c r="T1316" s="13" t="s">
        <v>88</v>
      </c>
      <c r="U1316" s="14" t="n">
        <v>390</v>
      </c>
      <c r="W1316" s="14" t="n">
        <v>0</v>
      </c>
      <c r="X1316" s="13" t="s">
        <v>1372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46237</v>
      </c>
      <c r="C1317" s="12" t="n">
        <v>46237</v>
      </c>
      <c r="D1317" s="11" t="n">
        <v>320</v>
      </c>
      <c r="E1317" s="13" t="s">
        <v>100</v>
      </c>
      <c r="F1317" s="11" t="n">
        <v>34</v>
      </c>
      <c r="G1317" s="13" t="s">
        <v>33</v>
      </c>
      <c r="H1317" s="11" t="n">
        <v>2110405</v>
      </c>
      <c r="I1317" s="13" t="s">
        <v>34</v>
      </c>
      <c r="J1317" s="11" t="n">
        <v>1495505</v>
      </c>
      <c r="L1317" s="11" t="n">
        <v>232274</v>
      </c>
      <c r="M1317" s="13" t="s">
        <v>44</v>
      </c>
      <c r="N1317" s="13" t="s">
        <v>36</v>
      </c>
      <c r="P1317" s="11" t="n">
        <v>167</v>
      </c>
      <c r="Q1317" s="13" t="s">
        <v>101</v>
      </c>
      <c r="R1317" s="13" t="s">
        <v>72</v>
      </c>
      <c r="S1317" s="11" t="n">
        <v>4210310</v>
      </c>
      <c r="T1317" s="13" t="s">
        <v>88</v>
      </c>
      <c r="U1317" s="14" t="n">
        <v>375</v>
      </c>
      <c r="W1317" s="14" t="n">
        <v>0</v>
      </c>
      <c r="X1317" s="13" t="s">
        <v>1372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46237</v>
      </c>
      <c r="C1318" s="12" t="n">
        <v>46237</v>
      </c>
      <c r="D1318" s="11" t="n">
        <v>389</v>
      </c>
      <c r="E1318" s="13" t="s">
        <v>99</v>
      </c>
      <c r="F1318" s="11" t="n">
        <v>34</v>
      </c>
      <c r="G1318" s="13" t="s">
        <v>33</v>
      </c>
      <c r="H1318" s="11" t="n">
        <v>2110405</v>
      </c>
      <c r="I1318" s="13" t="s">
        <v>34</v>
      </c>
      <c r="J1318" s="11" t="n">
        <v>1495508</v>
      </c>
      <c r="L1318" s="11" t="n">
        <v>232275</v>
      </c>
      <c r="M1318" s="13" t="s">
        <v>44</v>
      </c>
      <c r="N1318" s="13" t="s">
        <v>36</v>
      </c>
      <c r="P1318" s="11" t="n">
        <v>167</v>
      </c>
      <c r="Q1318" s="13" t="s">
        <v>101</v>
      </c>
      <c r="R1318" s="13" t="s">
        <v>72</v>
      </c>
      <c r="S1318" s="11" t="n">
        <v>4210310</v>
      </c>
      <c r="T1318" s="13" t="s">
        <v>88</v>
      </c>
      <c r="U1318" s="14" t="n">
        <v>360</v>
      </c>
      <c r="W1318" s="14" t="n">
        <v>0</v>
      </c>
      <c r="X1318" s="13" t="s">
        <v>1372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46237</v>
      </c>
      <c r="C1319" s="12" t="n">
        <v>46237</v>
      </c>
      <c r="D1319" s="11" t="n">
        <v>83</v>
      </c>
      <c r="E1319" s="13" t="s">
        <v>102</v>
      </c>
      <c r="F1319" s="11" t="n">
        <v>34</v>
      </c>
      <c r="G1319" s="13" t="s">
        <v>33</v>
      </c>
      <c r="H1319" s="11" t="n">
        <v>2110405</v>
      </c>
      <c r="I1319" s="13" t="s">
        <v>34</v>
      </c>
      <c r="J1319" s="11" t="n">
        <v>1495510</v>
      </c>
      <c r="L1319" s="11" t="n">
        <v>232277</v>
      </c>
      <c r="M1319" s="13" t="s">
        <v>44</v>
      </c>
      <c r="N1319" s="13" t="s">
        <v>36</v>
      </c>
      <c r="P1319" s="11" t="n">
        <v>167</v>
      </c>
      <c r="Q1319" s="13" t="s">
        <v>101</v>
      </c>
      <c r="R1319" s="13" t="s">
        <v>72</v>
      </c>
      <c r="S1319" s="11" t="n">
        <v>4210310</v>
      </c>
      <c r="T1319" s="13" t="s">
        <v>88</v>
      </c>
      <c r="U1319" s="14" t="n">
        <v>345</v>
      </c>
      <c r="W1319" s="14" t="n">
        <v>0</v>
      </c>
      <c r="X1319" s="13" t="s">
        <v>1372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46237</v>
      </c>
      <c r="C1320" s="12" t="n">
        <v>46237</v>
      </c>
      <c r="D1320" s="11" t="n">
        <v>10053</v>
      </c>
      <c r="E1320" s="13" t="s">
        <v>101</v>
      </c>
      <c r="F1320" s="11" t="n">
        <v>34</v>
      </c>
      <c r="G1320" s="13" t="s">
        <v>33</v>
      </c>
      <c r="H1320" s="11" t="n">
        <v>2110405</v>
      </c>
      <c r="I1320" s="13" t="s">
        <v>34</v>
      </c>
      <c r="J1320" s="11" t="n">
        <v>1495512</v>
      </c>
      <c r="L1320" s="11" t="n">
        <v>232278</v>
      </c>
      <c r="M1320" s="13" t="s">
        <v>44</v>
      </c>
      <c r="N1320" s="13" t="s">
        <v>36</v>
      </c>
      <c r="P1320" s="11" t="n">
        <v>167</v>
      </c>
      <c r="Q1320" s="13" t="s">
        <v>101</v>
      </c>
      <c r="R1320" s="13" t="s">
        <v>72</v>
      </c>
      <c r="S1320" s="11" t="n">
        <v>4210310</v>
      </c>
      <c r="T1320" s="13" t="s">
        <v>88</v>
      </c>
      <c r="U1320" s="14" t="n">
        <v>330</v>
      </c>
      <c r="W1320" s="14" t="n">
        <v>0</v>
      </c>
      <c r="X1320" s="13" t="s">
        <v>1372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46237</v>
      </c>
      <c r="C1321" s="12" t="n">
        <v>46237</v>
      </c>
      <c r="D1321" s="11" t="n">
        <v>10072</v>
      </c>
      <c r="E1321" s="13" t="s">
        <v>98</v>
      </c>
      <c r="F1321" s="11" t="n">
        <v>34</v>
      </c>
      <c r="G1321" s="13" t="s">
        <v>33</v>
      </c>
      <c r="H1321" s="11" t="n">
        <v>2110405</v>
      </c>
      <c r="I1321" s="13" t="s">
        <v>34</v>
      </c>
      <c r="J1321" s="11" t="n">
        <v>1495514</v>
      </c>
      <c r="L1321" s="11" t="n">
        <v>232279</v>
      </c>
      <c r="M1321" s="13" t="s">
        <v>44</v>
      </c>
      <c r="N1321" s="13" t="s">
        <v>36</v>
      </c>
      <c r="P1321" s="11" t="n">
        <v>167</v>
      </c>
      <c r="Q1321" s="13" t="s">
        <v>101</v>
      </c>
      <c r="R1321" s="13" t="s">
        <v>72</v>
      </c>
      <c r="S1321" s="11" t="n">
        <v>4210310</v>
      </c>
      <c r="T1321" s="13" t="s">
        <v>88</v>
      </c>
      <c r="U1321" s="14" t="n">
        <v>105</v>
      </c>
      <c r="W1321" s="14" t="n">
        <v>0</v>
      </c>
      <c r="X1321" s="13" t="s">
        <v>1372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46237</v>
      </c>
      <c r="C1322" s="12" t="n">
        <v>46237</v>
      </c>
      <c r="D1322" s="11" t="n">
        <v>35</v>
      </c>
      <c r="E1322" s="13" t="s">
        <v>45</v>
      </c>
      <c r="F1322" s="11" t="n">
        <v>34</v>
      </c>
      <c r="G1322" s="13" t="s">
        <v>33</v>
      </c>
      <c r="H1322" s="11" t="n">
        <v>2110405</v>
      </c>
      <c r="I1322" s="13" t="s">
        <v>34</v>
      </c>
      <c r="J1322" s="11" t="n">
        <v>1495519</v>
      </c>
      <c r="L1322" s="11" t="n">
        <v>232281</v>
      </c>
      <c r="M1322" s="13" t="s">
        <v>44</v>
      </c>
      <c r="N1322" s="13" t="s">
        <v>36</v>
      </c>
      <c r="P1322" s="11" t="n">
        <v>167</v>
      </c>
      <c r="Q1322" s="13" t="s">
        <v>101</v>
      </c>
      <c r="R1322" s="13" t="s">
        <v>72</v>
      </c>
      <c r="S1322" s="11" t="n">
        <v>4210309</v>
      </c>
      <c r="T1322" s="13" t="s">
        <v>103</v>
      </c>
      <c r="U1322" s="14" t="n">
        <v>260</v>
      </c>
      <c r="W1322" s="14" t="n">
        <v>0</v>
      </c>
      <c r="X1322" s="13" t="s">
        <v>1373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46237</v>
      </c>
      <c r="C1323" s="12" t="n">
        <v>46237</v>
      </c>
      <c r="D1323" s="11" t="n">
        <v>41</v>
      </c>
      <c r="E1323" s="13" t="s">
        <v>90</v>
      </c>
      <c r="F1323" s="11" t="n">
        <v>34</v>
      </c>
      <c r="G1323" s="13" t="s">
        <v>33</v>
      </c>
      <c r="H1323" s="11" t="n">
        <v>2110405</v>
      </c>
      <c r="I1323" s="13" t="s">
        <v>34</v>
      </c>
      <c r="J1323" s="11" t="n">
        <v>1495521</v>
      </c>
      <c r="L1323" s="11" t="n">
        <v>232282</v>
      </c>
      <c r="M1323" s="13" t="s">
        <v>44</v>
      </c>
      <c r="N1323" s="13" t="s">
        <v>36</v>
      </c>
      <c r="P1323" s="11" t="n">
        <v>167</v>
      </c>
      <c r="Q1323" s="13" t="s">
        <v>101</v>
      </c>
      <c r="R1323" s="13" t="s">
        <v>72</v>
      </c>
      <c r="S1323" s="11" t="n">
        <v>4210309</v>
      </c>
      <c r="T1323" s="13" t="s">
        <v>103</v>
      </c>
      <c r="U1323" s="14" t="n">
        <v>260</v>
      </c>
      <c r="W1323" s="14" t="n">
        <v>0</v>
      </c>
      <c r="X1323" s="13" t="s">
        <v>1373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46237</v>
      </c>
      <c r="C1324" s="12" t="n">
        <v>46237</v>
      </c>
      <c r="D1324" s="11" t="n">
        <v>332</v>
      </c>
      <c r="E1324" s="13" t="s">
        <v>91</v>
      </c>
      <c r="F1324" s="11" t="n">
        <v>34</v>
      </c>
      <c r="G1324" s="13" t="s">
        <v>33</v>
      </c>
      <c r="H1324" s="11" t="n">
        <v>2110405</v>
      </c>
      <c r="I1324" s="13" t="s">
        <v>34</v>
      </c>
      <c r="J1324" s="11" t="n">
        <v>1495528</v>
      </c>
      <c r="L1324" s="11" t="n">
        <v>232283</v>
      </c>
      <c r="M1324" s="13" t="s">
        <v>44</v>
      </c>
      <c r="N1324" s="13" t="s">
        <v>36</v>
      </c>
      <c r="P1324" s="11" t="n">
        <v>167</v>
      </c>
      <c r="Q1324" s="13" t="s">
        <v>101</v>
      </c>
      <c r="R1324" s="13" t="s">
        <v>72</v>
      </c>
      <c r="S1324" s="11" t="n">
        <v>4210309</v>
      </c>
      <c r="T1324" s="13" t="s">
        <v>103</v>
      </c>
      <c r="U1324" s="14" t="n">
        <v>260</v>
      </c>
      <c r="W1324" s="14" t="n">
        <v>0</v>
      </c>
      <c r="X1324" s="13" t="s">
        <v>1373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46237</v>
      </c>
      <c r="C1325" s="12" t="n">
        <v>46237</v>
      </c>
      <c r="D1325" s="11" t="n">
        <v>389</v>
      </c>
      <c r="E1325" s="13" t="s">
        <v>99</v>
      </c>
      <c r="F1325" s="11" t="n">
        <v>34</v>
      </c>
      <c r="G1325" s="13" t="s">
        <v>33</v>
      </c>
      <c r="H1325" s="11" t="n">
        <v>2110405</v>
      </c>
      <c r="I1325" s="13" t="s">
        <v>34</v>
      </c>
      <c r="J1325" s="11" t="n">
        <v>1495530</v>
      </c>
      <c r="L1325" s="11" t="n">
        <v>232284</v>
      </c>
      <c r="M1325" s="13" t="s">
        <v>44</v>
      </c>
      <c r="N1325" s="13" t="s">
        <v>36</v>
      </c>
      <c r="P1325" s="11" t="n">
        <v>167</v>
      </c>
      <c r="Q1325" s="13" t="s">
        <v>101</v>
      </c>
      <c r="R1325" s="13" t="s">
        <v>72</v>
      </c>
      <c r="S1325" s="11" t="n">
        <v>4210309</v>
      </c>
      <c r="T1325" s="13" t="s">
        <v>103</v>
      </c>
      <c r="U1325" s="14" t="n">
        <v>240</v>
      </c>
      <c r="W1325" s="14" t="n">
        <v>0</v>
      </c>
      <c r="X1325" s="13" t="s">
        <v>1373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46237</v>
      </c>
      <c r="C1326" s="12" t="n">
        <v>46237</v>
      </c>
      <c r="D1326" s="11" t="n">
        <v>515</v>
      </c>
      <c r="E1326" s="13" t="s">
        <v>105</v>
      </c>
      <c r="F1326" s="11" t="n">
        <v>34</v>
      </c>
      <c r="G1326" s="13" t="s">
        <v>33</v>
      </c>
      <c r="H1326" s="11" t="n">
        <v>2110405</v>
      </c>
      <c r="I1326" s="13" t="s">
        <v>34</v>
      </c>
      <c r="J1326" s="11" t="n">
        <v>1509302</v>
      </c>
      <c r="L1326" s="11" t="n">
        <v>234319</v>
      </c>
      <c r="M1326" s="13" t="s">
        <v>44</v>
      </c>
      <c r="N1326" s="13" t="s">
        <v>36</v>
      </c>
      <c r="P1326" s="11" t="n">
        <v>102</v>
      </c>
      <c r="Q1326" s="13" t="s">
        <v>186</v>
      </c>
      <c r="R1326" s="13" t="s">
        <v>85</v>
      </c>
      <c r="S1326" s="11" t="n">
        <v>4210502</v>
      </c>
      <c r="T1326" s="13" t="s">
        <v>187</v>
      </c>
      <c r="U1326" s="14" t="n">
        <v>924.41</v>
      </c>
      <c r="W1326" s="14" t="n">
        <v>0</v>
      </c>
      <c r="X1326" s="13" t="s">
        <v>1374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46237</v>
      </c>
      <c r="C1327" s="12" t="n">
        <v>46237</v>
      </c>
      <c r="D1327" s="11" t="n">
        <v>515</v>
      </c>
      <c r="E1327" s="13" t="s">
        <v>105</v>
      </c>
      <c r="F1327" s="11" t="n">
        <v>34</v>
      </c>
      <c r="G1327" s="13" t="s">
        <v>33</v>
      </c>
      <c r="H1327" s="11" t="n">
        <v>2110405</v>
      </c>
      <c r="I1327" s="13" t="s">
        <v>34</v>
      </c>
      <c r="J1327" s="11" t="n">
        <v>1509326</v>
      </c>
      <c r="L1327" s="11" t="n">
        <v>234323</v>
      </c>
      <c r="M1327" s="13" t="s">
        <v>44</v>
      </c>
      <c r="N1327" s="13" t="s">
        <v>36</v>
      </c>
      <c r="P1327" s="11" t="n">
        <v>102</v>
      </c>
      <c r="Q1327" s="13" t="s">
        <v>186</v>
      </c>
      <c r="R1327" s="13" t="s">
        <v>85</v>
      </c>
      <c r="S1327" s="11" t="n">
        <v>4210508</v>
      </c>
      <c r="T1327" s="13" t="s">
        <v>106</v>
      </c>
      <c r="U1327" s="14" t="n">
        <v>151.61</v>
      </c>
      <c r="W1327" s="14" t="n">
        <v>0</v>
      </c>
      <c r="X1327" s="13" t="s">
        <v>1375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46204</v>
      </c>
      <c r="C1328" s="12" t="n">
        <v>46238</v>
      </c>
      <c r="D1328" s="11" t="n">
        <v>1624</v>
      </c>
      <c r="E1328" s="13" t="s">
        <v>208</v>
      </c>
      <c r="F1328" s="11" t="n">
        <v>24</v>
      </c>
      <c r="G1328" s="13" t="s">
        <v>42</v>
      </c>
      <c r="H1328" s="11" t="n">
        <v>2110405</v>
      </c>
      <c r="I1328" s="13" t="s">
        <v>34</v>
      </c>
      <c r="J1328" s="11" t="n">
        <v>1340692</v>
      </c>
      <c r="L1328" s="11" t="n">
        <v>6615203</v>
      </c>
      <c r="M1328" s="13" t="s">
        <v>44</v>
      </c>
      <c r="N1328" s="13" t="s">
        <v>36</v>
      </c>
      <c r="P1328" s="11" t="n">
        <v>167</v>
      </c>
      <c r="Q1328" s="13" t="s">
        <v>101</v>
      </c>
      <c r="R1328" s="13" t="s">
        <v>46</v>
      </c>
      <c r="S1328" s="11" t="n">
        <v>1130101</v>
      </c>
      <c r="T1328" s="13" t="s">
        <v>47</v>
      </c>
      <c r="U1328" s="14" t="n">
        <v>656.2</v>
      </c>
      <c r="W1328" s="14" t="n">
        <v>656.2</v>
      </c>
      <c r="X1328" s="13" t="s">
        <v>1376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1" t="n">
        <v>3</v>
      </c>
      <c r="B1329" s="12" t="n">
        <v>46210</v>
      </c>
      <c r="C1329" s="12" t="n">
        <v>46238</v>
      </c>
      <c r="D1329" s="11" t="n">
        <v>1612</v>
      </c>
      <c r="E1329" s="13" t="s">
        <v>264</v>
      </c>
      <c r="F1329" s="11" t="n">
        <v>24</v>
      </c>
      <c r="G1329" s="13" t="s">
        <v>42</v>
      </c>
      <c r="H1329" s="11" t="n">
        <v>2110405</v>
      </c>
      <c r="I1329" s="13" t="s">
        <v>34</v>
      </c>
      <c r="J1329" s="11" t="n">
        <v>1365036</v>
      </c>
      <c r="L1329" s="11" t="n">
        <v>22989873</v>
      </c>
      <c r="M1329" s="13" t="s">
        <v>44</v>
      </c>
      <c r="N1329" s="13" t="s">
        <v>36</v>
      </c>
      <c r="P1329" s="11" t="n">
        <v>167</v>
      </c>
      <c r="Q1329" s="13" t="s">
        <v>101</v>
      </c>
      <c r="R1329" s="13" t="s">
        <v>46</v>
      </c>
      <c r="S1329" s="11" t="n">
        <v>1130101</v>
      </c>
      <c r="T1329" s="13" t="s">
        <v>47</v>
      </c>
      <c r="U1329" s="14" t="n">
        <v>977.57</v>
      </c>
      <c r="W1329" s="14" t="n">
        <v>977.57</v>
      </c>
      <c r="X1329" s="13" t="s">
        <v>1377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1" t="n">
        <v>3</v>
      </c>
      <c r="B1330" s="12" t="n">
        <v>46214</v>
      </c>
      <c r="C1330" s="12" t="n">
        <v>46238</v>
      </c>
      <c r="D1330" s="11" t="n">
        <v>33</v>
      </c>
      <c r="E1330" s="13" t="s">
        <v>71</v>
      </c>
      <c r="F1330" s="11" t="n">
        <v>34</v>
      </c>
      <c r="G1330" s="13" t="s">
        <v>33</v>
      </c>
      <c r="H1330" s="11" t="n">
        <v>2110405</v>
      </c>
      <c r="I1330" s="13" t="s">
        <v>34</v>
      </c>
      <c r="J1330" s="11" t="n">
        <v>911199</v>
      </c>
      <c r="L1330" s="11" t="n">
        <v>143958</v>
      </c>
      <c r="M1330" s="13" t="s">
        <v>380</v>
      </c>
      <c r="N1330" s="13" t="s">
        <v>36</v>
      </c>
      <c r="P1330" s="11" t="n">
        <v>102</v>
      </c>
      <c r="Q1330" s="13" t="s">
        <v>186</v>
      </c>
      <c r="R1330" s="13" t="s">
        <v>245</v>
      </c>
      <c r="S1330" s="11" t="n">
        <v>2210202</v>
      </c>
      <c r="T1330" s="13" t="s">
        <v>245</v>
      </c>
      <c r="U1330" s="14" t="n">
        <v>1000</v>
      </c>
      <c r="W1330" s="14" t="n">
        <v>1000</v>
      </c>
      <c r="X1330" s="13" t="s">
        <v>246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1" t="n">
        <v>3</v>
      </c>
      <c r="B1331" s="12" t="n">
        <v>46218</v>
      </c>
      <c r="C1331" s="12" t="n">
        <v>46238</v>
      </c>
      <c r="D1331" s="11" t="n">
        <v>530</v>
      </c>
      <c r="E1331" s="13" t="s">
        <v>1378</v>
      </c>
      <c r="F1331" s="11" t="n">
        <v>24</v>
      </c>
      <c r="G1331" s="13" t="s">
        <v>42</v>
      </c>
      <c r="H1331" s="11" t="n">
        <v>2110405</v>
      </c>
      <c r="I1331" s="13" t="s">
        <v>34</v>
      </c>
      <c r="J1331" s="11" t="n">
        <v>1411672</v>
      </c>
      <c r="L1331" s="11" t="n">
        <v>220015</v>
      </c>
      <c r="M1331" s="13" t="s">
        <v>44</v>
      </c>
      <c r="N1331" s="13" t="s">
        <v>36</v>
      </c>
      <c r="P1331" s="11" t="n">
        <v>167</v>
      </c>
      <c r="Q1331" s="13" t="s">
        <v>101</v>
      </c>
      <c r="R1331" s="13" t="s">
        <v>565</v>
      </c>
      <c r="S1331" s="11" t="n">
        <v>2110714</v>
      </c>
      <c r="T1331" s="13" t="s">
        <v>1379</v>
      </c>
      <c r="U1331" s="14" t="n">
        <v>972.11</v>
      </c>
      <c r="W1331" s="14" t="n">
        <v>972.11</v>
      </c>
      <c r="X1331" s="13" t="s">
        <v>1380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1" t="n">
        <v>3</v>
      </c>
      <c r="B1332" s="12" t="n">
        <v>46224</v>
      </c>
      <c r="C1332" s="12" t="n">
        <v>46238</v>
      </c>
      <c r="D1332" s="11" t="n">
        <v>1921</v>
      </c>
      <c r="E1332" s="13" t="s">
        <v>247</v>
      </c>
      <c r="F1332" s="11" t="n">
        <v>24</v>
      </c>
      <c r="G1332" s="13" t="s">
        <v>42</v>
      </c>
      <c r="H1332" s="11" t="n">
        <v>2110405</v>
      </c>
      <c r="I1332" s="13" t="s">
        <v>34</v>
      </c>
      <c r="J1332" s="11" t="n">
        <v>1427653</v>
      </c>
      <c r="L1332" s="11" t="n">
        <v>134391</v>
      </c>
      <c r="M1332" s="13" t="s">
        <v>44</v>
      </c>
      <c r="N1332" s="13" t="s">
        <v>36</v>
      </c>
      <c r="P1332" s="11" t="n">
        <v>167</v>
      </c>
      <c r="Q1332" s="13" t="s">
        <v>101</v>
      </c>
      <c r="R1332" s="13" t="s">
        <v>46</v>
      </c>
      <c r="S1332" s="11" t="n">
        <v>1130101</v>
      </c>
      <c r="T1332" s="13" t="s">
        <v>47</v>
      </c>
      <c r="U1332" s="14" t="n">
        <v>360.15</v>
      </c>
      <c r="W1332" s="14" t="n">
        <v>360.15</v>
      </c>
      <c r="X1332" s="13" t="s">
        <v>1381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1" t="n">
        <v>3</v>
      </c>
      <c r="B1333" s="12" t="n">
        <v>46224</v>
      </c>
      <c r="C1333" s="12" t="n">
        <v>46238</v>
      </c>
      <c r="D1333" s="11" t="n">
        <v>1681</v>
      </c>
      <c r="E1333" s="13" t="s">
        <v>1345</v>
      </c>
      <c r="F1333" s="11" t="n">
        <v>24</v>
      </c>
      <c r="G1333" s="13" t="s">
        <v>42</v>
      </c>
      <c r="H1333" s="11" t="n">
        <v>2110405</v>
      </c>
      <c r="I1333" s="13" t="s">
        <v>34</v>
      </c>
      <c r="J1333" s="11" t="n">
        <v>1434272</v>
      </c>
      <c r="L1333" s="11" t="n">
        <v>39221</v>
      </c>
      <c r="M1333" s="13" t="s">
        <v>44</v>
      </c>
      <c r="N1333" s="13" t="s">
        <v>36</v>
      </c>
      <c r="P1333" s="11" t="n">
        <v>167</v>
      </c>
      <c r="Q1333" s="13" t="s">
        <v>101</v>
      </c>
      <c r="R1333" s="13" t="s">
        <v>46</v>
      </c>
      <c r="S1333" s="11" t="n">
        <v>1130101</v>
      </c>
      <c r="T1333" s="13" t="s">
        <v>47</v>
      </c>
      <c r="U1333" s="14" t="n">
        <v>2419.55</v>
      </c>
      <c r="W1333" s="14" t="n">
        <v>2419.55</v>
      </c>
      <c r="X1333" s="13" t="s">
        <v>1382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1" t="n">
        <v>3</v>
      </c>
      <c r="B1334" s="12" t="n">
        <v>46224</v>
      </c>
      <c r="C1334" s="12" t="n">
        <v>46238</v>
      </c>
      <c r="D1334" s="11" t="n">
        <v>1643</v>
      </c>
      <c r="E1334" s="13" t="s">
        <v>198</v>
      </c>
      <c r="F1334" s="11" t="n">
        <v>24</v>
      </c>
      <c r="G1334" s="13" t="s">
        <v>42</v>
      </c>
      <c r="H1334" s="11" t="n">
        <v>2110405</v>
      </c>
      <c r="I1334" s="13" t="s">
        <v>34</v>
      </c>
      <c r="J1334" s="11" t="n">
        <v>1434277</v>
      </c>
      <c r="L1334" s="11" t="n">
        <v>10747</v>
      </c>
      <c r="M1334" s="13" t="s">
        <v>44</v>
      </c>
      <c r="N1334" s="13" t="s">
        <v>36</v>
      </c>
      <c r="P1334" s="11" t="n">
        <v>167</v>
      </c>
      <c r="Q1334" s="13" t="s">
        <v>101</v>
      </c>
      <c r="R1334" s="13" t="s">
        <v>46</v>
      </c>
      <c r="S1334" s="11" t="n">
        <v>1130101</v>
      </c>
      <c r="T1334" s="13" t="s">
        <v>47</v>
      </c>
      <c r="U1334" s="14" t="n">
        <v>285</v>
      </c>
      <c r="W1334" s="14" t="n">
        <v>285</v>
      </c>
      <c r="X1334" s="13" t="s">
        <v>1383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1" t="n">
        <v>3</v>
      </c>
      <c r="B1335" s="12" t="n">
        <v>46224</v>
      </c>
      <c r="C1335" s="12" t="n">
        <v>46238</v>
      </c>
      <c r="D1335" s="11" t="n">
        <v>1734</v>
      </c>
      <c r="E1335" s="13" t="s">
        <v>125</v>
      </c>
      <c r="F1335" s="11" t="n">
        <v>24</v>
      </c>
      <c r="G1335" s="13" t="s">
        <v>42</v>
      </c>
      <c r="H1335" s="11" t="n">
        <v>2110405</v>
      </c>
      <c r="I1335" s="13" t="s">
        <v>34</v>
      </c>
      <c r="J1335" s="11" t="n">
        <v>1438992</v>
      </c>
      <c r="L1335" s="11" t="n">
        <v>2560202</v>
      </c>
      <c r="M1335" s="13" t="s">
        <v>44</v>
      </c>
      <c r="N1335" s="13" t="s">
        <v>36</v>
      </c>
      <c r="P1335" s="11" t="n">
        <v>167</v>
      </c>
      <c r="Q1335" s="13" t="s">
        <v>101</v>
      </c>
      <c r="R1335" s="13" t="s">
        <v>46</v>
      </c>
      <c r="S1335" s="11" t="n">
        <v>1130101</v>
      </c>
      <c r="T1335" s="13" t="s">
        <v>47</v>
      </c>
      <c r="U1335" s="14" t="n">
        <v>356.24</v>
      </c>
      <c r="W1335" s="14" t="n">
        <v>356.24</v>
      </c>
      <c r="X1335" s="13" t="s">
        <v>1384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1" t="n">
        <v>3</v>
      </c>
      <c r="B1336" s="12" t="n">
        <v>46224</v>
      </c>
      <c r="C1336" s="12" t="n">
        <v>46238</v>
      </c>
      <c r="D1336" s="11" t="n">
        <v>1636</v>
      </c>
      <c r="E1336" s="13" t="s">
        <v>49</v>
      </c>
      <c r="F1336" s="11" t="n">
        <v>24</v>
      </c>
      <c r="G1336" s="13" t="s">
        <v>42</v>
      </c>
      <c r="H1336" s="11" t="n">
        <v>2110405</v>
      </c>
      <c r="I1336" s="13" t="s">
        <v>34</v>
      </c>
      <c r="J1336" s="11" t="n">
        <v>1448422</v>
      </c>
      <c r="L1336" s="11" t="n">
        <v>32235721</v>
      </c>
      <c r="M1336" s="13" t="s">
        <v>44</v>
      </c>
      <c r="N1336" s="13" t="s">
        <v>36</v>
      </c>
      <c r="P1336" s="11" t="n">
        <v>167</v>
      </c>
      <c r="Q1336" s="13" t="s">
        <v>101</v>
      </c>
      <c r="R1336" s="13" t="s">
        <v>46</v>
      </c>
      <c r="S1336" s="11" t="n">
        <v>1130101</v>
      </c>
      <c r="T1336" s="13" t="s">
        <v>47</v>
      </c>
      <c r="U1336" s="14" t="n">
        <v>287.28</v>
      </c>
      <c r="W1336" s="14" t="n">
        <v>287.28</v>
      </c>
      <c r="X1336" s="13" t="s">
        <v>1385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1" t="n">
        <v>3</v>
      </c>
      <c r="B1337" s="12" t="n">
        <v>46231</v>
      </c>
      <c r="C1337" s="12" t="n">
        <v>46238</v>
      </c>
      <c r="D1337" s="11" t="n">
        <v>489</v>
      </c>
      <c r="E1337" s="13" t="s">
        <v>181</v>
      </c>
      <c r="F1337" s="11" t="n">
        <v>34</v>
      </c>
      <c r="G1337" s="13" t="s">
        <v>33</v>
      </c>
      <c r="H1337" s="11" t="n">
        <v>2110405</v>
      </c>
      <c r="I1337" s="13" t="s">
        <v>34</v>
      </c>
      <c r="J1337" s="11" t="n">
        <v>1463396</v>
      </c>
      <c r="L1337" s="11" t="n">
        <v>227712</v>
      </c>
      <c r="M1337" s="13" t="s">
        <v>44</v>
      </c>
      <c r="N1337" s="13" t="s">
        <v>36</v>
      </c>
      <c r="P1337" s="11" t="n">
        <v>167</v>
      </c>
      <c r="Q1337" s="13" t="s">
        <v>101</v>
      </c>
      <c r="R1337" s="13" t="s">
        <v>46</v>
      </c>
      <c r="S1337" s="11" t="n">
        <v>1130101</v>
      </c>
      <c r="T1337" s="13" t="s">
        <v>47</v>
      </c>
      <c r="U1337" s="14" t="n">
        <v>735</v>
      </c>
      <c r="W1337" s="14" t="n">
        <v>735</v>
      </c>
      <c r="X1337" s="13" t="s">
        <v>1386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1" t="n">
        <v>3</v>
      </c>
      <c r="B1338" s="12" t="n">
        <v>46238</v>
      </c>
      <c r="C1338" s="12" t="n">
        <v>46238</v>
      </c>
      <c r="D1338" s="11" t="n">
        <v>515</v>
      </c>
      <c r="E1338" s="13" t="s">
        <v>105</v>
      </c>
      <c r="F1338" s="11" t="n">
        <v>34</v>
      </c>
      <c r="G1338" s="13" t="s">
        <v>33</v>
      </c>
      <c r="H1338" s="11" t="n">
        <v>2110405</v>
      </c>
      <c r="I1338" s="13" t="s">
        <v>34</v>
      </c>
      <c r="J1338" s="11" t="n">
        <v>1499005</v>
      </c>
      <c r="L1338" s="11" t="n">
        <v>232821</v>
      </c>
      <c r="M1338" s="13" t="s">
        <v>44</v>
      </c>
      <c r="N1338" s="13" t="s">
        <v>36</v>
      </c>
      <c r="P1338" s="11" t="n">
        <v>101</v>
      </c>
      <c r="Q1338" s="13" t="s">
        <v>37</v>
      </c>
      <c r="R1338" s="13" t="s">
        <v>85</v>
      </c>
      <c r="S1338" s="11" t="n">
        <v>4210504</v>
      </c>
      <c r="T1338" s="13" t="s">
        <v>142</v>
      </c>
      <c r="U1338" s="14" t="n">
        <v>335.37</v>
      </c>
      <c r="W1338" s="14" t="n">
        <v>335.37</v>
      </c>
      <c r="X1338" s="13" t="s">
        <v>1387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46231</v>
      </c>
      <c r="C1339" s="12" t="n">
        <v>46238</v>
      </c>
      <c r="D1339" s="11" t="n">
        <v>1749</v>
      </c>
      <c r="E1339" s="13" t="s">
        <v>266</v>
      </c>
      <c r="F1339" s="11" t="n">
        <v>24</v>
      </c>
      <c r="G1339" s="13" t="s">
        <v>42</v>
      </c>
      <c r="H1339" s="11" t="n">
        <v>2110405</v>
      </c>
      <c r="I1339" s="13" t="s">
        <v>34</v>
      </c>
      <c r="J1339" s="11" t="n">
        <v>1472995</v>
      </c>
      <c r="L1339" s="11" t="n">
        <v>35681</v>
      </c>
      <c r="M1339" s="13" t="s">
        <v>44</v>
      </c>
      <c r="N1339" s="13" t="s">
        <v>36</v>
      </c>
      <c r="P1339" s="11" t="n">
        <v>167</v>
      </c>
      <c r="Q1339" s="13" t="s">
        <v>101</v>
      </c>
      <c r="R1339" s="13" t="s">
        <v>46</v>
      </c>
      <c r="S1339" s="11" t="n">
        <v>1130101</v>
      </c>
      <c r="T1339" s="13" t="s">
        <v>47</v>
      </c>
      <c r="U1339" s="14" t="n">
        <v>1398.66</v>
      </c>
      <c r="W1339" s="14" t="n">
        <v>1398.66</v>
      </c>
      <c r="X1339" s="13" t="s">
        <v>1388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SAB BARRA ECON 500G</v>
      </c>
      <c r="AC1339" s="1" t="n">
        <v>2956</v>
      </c>
    </row>
    <row r="1340" customFormat="false" ht="12.75" hidden="false" customHeight="true" outlineLevel="0" collapsed="false">
      <c r="A1340" s="11" t="n">
        <v>3</v>
      </c>
      <c r="B1340" s="12" t="n">
        <v>46231</v>
      </c>
      <c r="C1340" s="12" t="n">
        <v>46238</v>
      </c>
      <c r="D1340" s="11" t="n">
        <v>1723</v>
      </c>
      <c r="E1340" s="13" t="s">
        <v>76</v>
      </c>
      <c r="F1340" s="11" t="n">
        <v>24</v>
      </c>
      <c r="G1340" s="13" t="s">
        <v>42</v>
      </c>
      <c r="H1340" s="11" t="n">
        <v>2110405</v>
      </c>
      <c r="I1340" s="13" t="s">
        <v>34</v>
      </c>
      <c r="J1340" s="11" t="n">
        <v>1473766</v>
      </c>
      <c r="L1340" s="11" t="n">
        <v>578111</v>
      </c>
      <c r="M1340" s="13" t="s">
        <v>44</v>
      </c>
      <c r="N1340" s="13" t="s">
        <v>36</v>
      </c>
      <c r="P1340" s="11" t="n">
        <v>167</v>
      </c>
      <c r="Q1340" s="13" t="s">
        <v>101</v>
      </c>
      <c r="R1340" s="13" t="s">
        <v>46</v>
      </c>
      <c r="S1340" s="11" t="n">
        <v>1130101</v>
      </c>
      <c r="T1340" s="13" t="s">
        <v>47</v>
      </c>
      <c r="U1340" s="14" t="n">
        <v>2040.8</v>
      </c>
      <c r="W1340" s="14" t="n">
        <v>2040.8</v>
      </c>
      <c r="X1340" s="13" t="s">
        <v>1389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TRASEIRO DE BOI L1</v>
      </c>
      <c r="AC1340" s="1" t="n">
        <v>173903</v>
      </c>
    </row>
    <row r="1341" customFormat="false" ht="12.75" hidden="false" customHeight="true" outlineLevel="0" collapsed="false">
      <c r="A1341" s="11" t="n">
        <v>3</v>
      </c>
      <c r="B1341" s="12" t="n">
        <v>46234</v>
      </c>
      <c r="C1341" s="12" t="n">
        <v>46238</v>
      </c>
      <c r="D1341" s="11" t="n">
        <v>42</v>
      </c>
      <c r="E1341" s="13" t="s">
        <v>80</v>
      </c>
      <c r="F1341" s="11" t="n">
        <v>34</v>
      </c>
      <c r="G1341" s="13" t="s">
        <v>33</v>
      </c>
      <c r="H1341" s="11" t="n">
        <v>2110101</v>
      </c>
      <c r="I1341" s="13" t="s">
        <v>43</v>
      </c>
      <c r="J1341" s="11" t="n">
        <v>1478620</v>
      </c>
      <c r="L1341" s="11" t="n">
        <v>4447</v>
      </c>
      <c r="M1341" s="13" t="s">
        <v>44</v>
      </c>
      <c r="N1341" s="13" t="s">
        <v>69</v>
      </c>
      <c r="P1341" s="11" t="n">
        <v>167</v>
      </c>
      <c r="Q1341" s="13" t="s">
        <v>101</v>
      </c>
      <c r="R1341" s="13" t="s">
        <v>46</v>
      </c>
      <c r="S1341" s="11" t="n">
        <v>1130101</v>
      </c>
      <c r="T1341" s="13" t="s">
        <v>47</v>
      </c>
      <c r="U1341" s="14" t="n">
        <v>1774</v>
      </c>
      <c r="W1341" s="14" t="n">
        <v>1774</v>
      </c>
      <c r="X1341" s="13" t="s">
        <v>1390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46234</v>
      </c>
      <c r="C1342" s="12" t="n">
        <v>46238</v>
      </c>
      <c r="D1342" s="11" t="n">
        <v>1615</v>
      </c>
      <c r="E1342" s="13" t="s">
        <v>130</v>
      </c>
      <c r="F1342" s="11" t="n">
        <v>34</v>
      </c>
      <c r="G1342" s="13" t="s">
        <v>33</v>
      </c>
      <c r="H1342" s="11" t="n">
        <v>2110405</v>
      </c>
      <c r="I1342" s="13" t="s">
        <v>34</v>
      </c>
      <c r="J1342" s="11" t="n">
        <v>1478626</v>
      </c>
      <c r="L1342" s="11" t="n">
        <v>229887</v>
      </c>
      <c r="M1342" s="13" t="s">
        <v>44</v>
      </c>
      <c r="N1342" s="13" t="s">
        <v>36</v>
      </c>
      <c r="P1342" s="11" t="n">
        <v>167</v>
      </c>
      <c r="Q1342" s="13" t="s">
        <v>101</v>
      </c>
      <c r="R1342" s="13" t="s">
        <v>46</v>
      </c>
      <c r="S1342" s="11" t="n">
        <v>1130101</v>
      </c>
      <c r="T1342" s="13" t="s">
        <v>47</v>
      </c>
      <c r="U1342" s="14" t="n">
        <v>410</v>
      </c>
      <c r="W1342" s="14" t="n">
        <v>410</v>
      </c>
      <c r="X1342" s="13" t="s">
        <v>1391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ALHO KG</v>
      </c>
      <c r="AC1342" s="1" t="n">
        <v>14997</v>
      </c>
    </row>
    <row r="1343" customFormat="false" ht="12.75" hidden="false" customHeight="true" outlineLevel="0" collapsed="false">
      <c r="A1343" s="11" t="n">
        <v>3</v>
      </c>
      <c r="B1343" s="12" t="n">
        <v>46234</v>
      </c>
      <c r="C1343" s="12" t="n">
        <v>46238</v>
      </c>
      <c r="D1343" s="11" t="n">
        <v>1615</v>
      </c>
      <c r="E1343" s="13" t="s">
        <v>130</v>
      </c>
      <c r="F1343" s="11" t="n">
        <v>34</v>
      </c>
      <c r="G1343" s="13" t="s">
        <v>33</v>
      </c>
      <c r="H1343" s="11" t="n">
        <v>2110405</v>
      </c>
      <c r="I1343" s="13" t="s">
        <v>34</v>
      </c>
      <c r="J1343" s="11" t="n">
        <v>1478631</v>
      </c>
      <c r="L1343" s="11" t="n">
        <v>229888</v>
      </c>
      <c r="M1343" s="13" t="s">
        <v>44</v>
      </c>
      <c r="N1343" s="13" t="s">
        <v>36</v>
      </c>
      <c r="P1343" s="11" t="n">
        <v>167</v>
      </c>
      <c r="Q1343" s="13" t="s">
        <v>101</v>
      </c>
      <c r="R1343" s="13" t="s">
        <v>46</v>
      </c>
      <c r="S1343" s="11" t="n">
        <v>1130101</v>
      </c>
      <c r="T1343" s="13" t="s">
        <v>47</v>
      </c>
      <c r="U1343" s="14" t="n">
        <v>210</v>
      </c>
      <c r="W1343" s="14" t="n">
        <v>210</v>
      </c>
      <c r="X1343" s="13" t="s">
        <v>1392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46235</v>
      </c>
      <c r="C1344" s="12" t="n">
        <v>46238</v>
      </c>
      <c r="D1344" s="11" t="n">
        <v>10096</v>
      </c>
      <c r="E1344" s="13" t="s">
        <v>1232</v>
      </c>
      <c r="F1344" s="11" t="n">
        <v>34</v>
      </c>
      <c r="G1344" s="13" t="s">
        <v>33</v>
      </c>
      <c r="H1344" s="11" t="n">
        <v>2110405</v>
      </c>
      <c r="I1344" s="13" t="s">
        <v>34</v>
      </c>
      <c r="J1344" s="11" t="n">
        <v>1492846</v>
      </c>
      <c r="L1344" s="11" t="n">
        <v>110</v>
      </c>
      <c r="M1344" s="13" t="s">
        <v>44</v>
      </c>
      <c r="N1344" s="13" t="s">
        <v>36</v>
      </c>
      <c r="P1344" s="11" t="n">
        <v>167</v>
      </c>
      <c r="Q1344" s="13" t="s">
        <v>101</v>
      </c>
      <c r="R1344" s="13" t="s">
        <v>46</v>
      </c>
      <c r="S1344" s="11" t="n">
        <v>1130101</v>
      </c>
      <c r="T1344" s="13" t="s">
        <v>47</v>
      </c>
      <c r="U1344" s="14" t="n">
        <v>180</v>
      </c>
      <c r="W1344" s="14" t="n">
        <v>180</v>
      </c>
      <c r="X1344" s="13" t="s">
        <v>1393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MIYAZAKI GRANDE</v>
      </c>
      <c r="AC1344" s="1" t="n">
        <v>110</v>
      </c>
    </row>
    <row r="1345" customFormat="false" ht="12.75" hidden="false" customHeight="true" outlineLevel="0" collapsed="false">
      <c r="A1345" s="11" t="n">
        <v>3</v>
      </c>
      <c r="B1345" s="12" t="n">
        <v>46238</v>
      </c>
      <c r="C1345" s="12" t="n">
        <v>46238</v>
      </c>
      <c r="D1345" s="11" t="n">
        <v>515</v>
      </c>
      <c r="E1345" s="13" t="s">
        <v>105</v>
      </c>
      <c r="F1345" s="11" t="n">
        <v>34</v>
      </c>
      <c r="G1345" s="13" t="s">
        <v>33</v>
      </c>
      <c r="H1345" s="11" t="n">
        <v>2110405</v>
      </c>
      <c r="I1345" s="13" t="s">
        <v>34</v>
      </c>
      <c r="J1345" s="11" t="n">
        <v>1499012</v>
      </c>
      <c r="L1345" s="11" t="n">
        <v>232823</v>
      </c>
      <c r="M1345" s="13" t="s">
        <v>44</v>
      </c>
      <c r="N1345" s="13" t="s">
        <v>36</v>
      </c>
      <c r="P1345" s="11" t="n">
        <v>101</v>
      </c>
      <c r="Q1345" s="13" t="s">
        <v>37</v>
      </c>
      <c r="R1345" s="13" t="s">
        <v>85</v>
      </c>
      <c r="S1345" s="11" t="n">
        <v>4210504</v>
      </c>
      <c r="T1345" s="13" t="s">
        <v>142</v>
      </c>
      <c r="U1345" s="14" t="n">
        <v>250.26</v>
      </c>
      <c r="W1345" s="14" t="n">
        <v>250.26</v>
      </c>
      <c r="X1345" s="13" t="s">
        <v>1394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1" t="n">
        <v>3</v>
      </c>
      <c r="B1346" s="12" t="n">
        <v>46238</v>
      </c>
      <c r="C1346" s="12" t="n">
        <v>46238</v>
      </c>
      <c r="D1346" s="11" t="n">
        <v>42</v>
      </c>
      <c r="E1346" s="13" t="s">
        <v>80</v>
      </c>
      <c r="F1346" s="11" t="n">
        <v>13</v>
      </c>
      <c r="G1346" s="13" t="s">
        <v>81</v>
      </c>
      <c r="H1346" s="11" t="n">
        <v>2110101</v>
      </c>
      <c r="I1346" s="13" t="s">
        <v>43</v>
      </c>
      <c r="J1346" s="11" t="n">
        <v>1499322</v>
      </c>
      <c r="L1346" s="11" t="n">
        <v>4458</v>
      </c>
      <c r="M1346" s="13" t="s">
        <v>44</v>
      </c>
      <c r="N1346" s="13" t="s">
        <v>69</v>
      </c>
      <c r="P1346" s="11" t="n">
        <v>167</v>
      </c>
      <c r="Q1346" s="13" t="s">
        <v>101</v>
      </c>
      <c r="R1346" s="13" t="s">
        <v>46</v>
      </c>
      <c r="S1346" s="11" t="n">
        <v>1130101</v>
      </c>
      <c r="T1346" s="13" t="s">
        <v>47</v>
      </c>
      <c r="U1346" s="14" t="n">
        <v>145</v>
      </c>
      <c r="W1346" s="14" t="n">
        <v>145</v>
      </c>
      <c r="X1346" s="13" t="s">
        <v>1144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1" t="n">
        <v>3</v>
      </c>
      <c r="B1347" s="12" t="n">
        <v>46238</v>
      </c>
      <c r="C1347" s="12" t="n">
        <v>46238</v>
      </c>
      <c r="D1347" s="11" t="n">
        <v>42</v>
      </c>
      <c r="E1347" s="13" t="s">
        <v>80</v>
      </c>
      <c r="F1347" s="11" t="n">
        <v>13</v>
      </c>
      <c r="G1347" s="13" t="s">
        <v>81</v>
      </c>
      <c r="H1347" s="11" t="n">
        <v>2110101</v>
      </c>
      <c r="I1347" s="13" t="s">
        <v>43</v>
      </c>
      <c r="J1347" s="11" t="n">
        <v>1500491</v>
      </c>
      <c r="L1347" s="11" t="n">
        <v>4460</v>
      </c>
      <c r="M1347" s="13" t="s">
        <v>44</v>
      </c>
      <c r="N1347" s="13" t="s">
        <v>69</v>
      </c>
      <c r="P1347" s="11" t="n">
        <v>167</v>
      </c>
      <c r="Q1347" s="13" t="s">
        <v>101</v>
      </c>
      <c r="R1347" s="13" t="s">
        <v>46</v>
      </c>
      <c r="S1347" s="11" t="n">
        <v>1130101</v>
      </c>
      <c r="T1347" s="13" t="s">
        <v>47</v>
      </c>
      <c r="U1347" s="14" t="n">
        <v>125</v>
      </c>
      <c r="W1347" s="14" t="n">
        <v>125</v>
      </c>
      <c r="X1347" s="13" t="s">
        <v>1192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46238</v>
      </c>
      <c r="C1348" s="12" t="n">
        <v>46238</v>
      </c>
      <c r="D1348" s="11" t="n">
        <v>515</v>
      </c>
      <c r="E1348" s="13" t="s">
        <v>105</v>
      </c>
      <c r="F1348" s="11" t="n">
        <v>34</v>
      </c>
      <c r="G1348" s="13" t="s">
        <v>33</v>
      </c>
      <c r="H1348" s="11" t="n">
        <v>2110405</v>
      </c>
      <c r="I1348" s="13" t="s">
        <v>34</v>
      </c>
      <c r="J1348" s="11" t="n">
        <v>1509404</v>
      </c>
      <c r="L1348" s="11" t="n">
        <v>234329</v>
      </c>
      <c r="M1348" s="13" t="s">
        <v>44</v>
      </c>
      <c r="N1348" s="13" t="s">
        <v>36</v>
      </c>
      <c r="P1348" s="11" t="n">
        <v>102</v>
      </c>
      <c r="Q1348" s="13" t="s">
        <v>186</v>
      </c>
      <c r="R1348" s="13" t="s">
        <v>85</v>
      </c>
      <c r="S1348" s="11" t="n">
        <v>4210504</v>
      </c>
      <c r="T1348" s="13" t="s">
        <v>142</v>
      </c>
      <c r="U1348" s="14" t="n">
        <v>29.28</v>
      </c>
      <c r="W1348" s="14" t="n">
        <v>29.28</v>
      </c>
      <c r="X1348" s="13" t="s">
        <v>1395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1" t="n">
        <v>3</v>
      </c>
      <c r="B1349" s="12" t="n">
        <v>46238</v>
      </c>
      <c r="C1349" s="12" t="n">
        <v>46238</v>
      </c>
      <c r="D1349" s="11" t="n">
        <v>515</v>
      </c>
      <c r="E1349" s="13" t="s">
        <v>105</v>
      </c>
      <c r="F1349" s="11" t="n">
        <v>34</v>
      </c>
      <c r="G1349" s="13" t="s">
        <v>33</v>
      </c>
      <c r="H1349" s="11" t="n">
        <v>2110405</v>
      </c>
      <c r="I1349" s="13" t="s">
        <v>34</v>
      </c>
      <c r="J1349" s="11" t="n">
        <v>1509407</v>
      </c>
      <c r="L1349" s="11" t="n">
        <v>234331</v>
      </c>
      <c r="M1349" s="13" t="s">
        <v>44</v>
      </c>
      <c r="N1349" s="13" t="s">
        <v>36</v>
      </c>
      <c r="P1349" s="11" t="n">
        <v>102</v>
      </c>
      <c r="Q1349" s="13" t="s">
        <v>186</v>
      </c>
      <c r="R1349" s="13" t="s">
        <v>85</v>
      </c>
      <c r="S1349" s="11" t="n">
        <v>4210504</v>
      </c>
      <c r="T1349" s="13" t="s">
        <v>142</v>
      </c>
      <c r="U1349" s="14" t="n">
        <v>43.85</v>
      </c>
      <c r="W1349" s="14" t="n">
        <v>43.85</v>
      </c>
      <c r="X1349" s="13" t="s">
        <v>1396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46238</v>
      </c>
      <c r="C1350" s="12" t="n">
        <v>46238</v>
      </c>
      <c r="D1350" s="11" t="n">
        <v>515</v>
      </c>
      <c r="E1350" s="13" t="s">
        <v>105</v>
      </c>
      <c r="F1350" s="11" t="n">
        <v>34</v>
      </c>
      <c r="G1350" s="13" t="s">
        <v>33</v>
      </c>
      <c r="H1350" s="11" t="n">
        <v>2110405</v>
      </c>
      <c r="I1350" s="13" t="s">
        <v>34</v>
      </c>
      <c r="J1350" s="11" t="n">
        <v>1509415</v>
      </c>
      <c r="L1350" s="11" t="n">
        <v>234332</v>
      </c>
      <c r="M1350" s="13" t="s">
        <v>44</v>
      </c>
      <c r="N1350" s="13" t="s">
        <v>36</v>
      </c>
      <c r="P1350" s="11" t="n">
        <v>102</v>
      </c>
      <c r="Q1350" s="13" t="s">
        <v>186</v>
      </c>
      <c r="R1350" s="13" t="s">
        <v>85</v>
      </c>
      <c r="S1350" s="11" t="n">
        <v>4210504</v>
      </c>
      <c r="T1350" s="13" t="s">
        <v>142</v>
      </c>
      <c r="U1350" s="14" t="n">
        <v>198.17</v>
      </c>
      <c r="W1350" s="14" t="n">
        <v>198.17</v>
      </c>
      <c r="X1350" s="13" t="s">
        <v>1397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1" t="n">
        <v>3</v>
      </c>
      <c r="B1351" s="12" t="n">
        <v>46238</v>
      </c>
      <c r="C1351" s="12" t="n">
        <v>46238</v>
      </c>
      <c r="D1351" s="11" t="n">
        <v>515</v>
      </c>
      <c r="E1351" s="13" t="s">
        <v>105</v>
      </c>
      <c r="F1351" s="11" t="n">
        <v>34</v>
      </c>
      <c r="G1351" s="13" t="s">
        <v>33</v>
      </c>
      <c r="H1351" s="11" t="n">
        <v>2110405</v>
      </c>
      <c r="I1351" s="13" t="s">
        <v>34</v>
      </c>
      <c r="J1351" s="11" t="n">
        <v>1509415</v>
      </c>
      <c r="L1351" s="11" t="n">
        <v>234332</v>
      </c>
      <c r="M1351" s="13" t="s">
        <v>150</v>
      </c>
      <c r="N1351" s="13" t="s">
        <v>36</v>
      </c>
      <c r="P1351" s="11" t="n">
        <v>102</v>
      </c>
      <c r="Q1351" s="13" t="s">
        <v>186</v>
      </c>
      <c r="R1351" s="13" t="s">
        <v>85</v>
      </c>
      <c r="S1351" s="11" t="n">
        <v>4210504</v>
      </c>
      <c r="T1351" s="13" t="s">
        <v>142</v>
      </c>
      <c r="U1351" s="14" t="n">
        <v>770.86</v>
      </c>
      <c r="W1351" s="14" t="n">
        <v>770.86</v>
      </c>
      <c r="X1351" s="13" t="s">
        <v>1398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1" t="n">
        <v>3</v>
      </c>
      <c r="B1352" s="12" t="n">
        <v>46147</v>
      </c>
      <c r="C1352" s="12" t="n">
        <v>46239</v>
      </c>
      <c r="D1352" s="11" t="n">
        <v>515</v>
      </c>
      <c r="E1352" s="13" t="s">
        <v>105</v>
      </c>
      <c r="F1352" s="11" t="n">
        <v>34</v>
      </c>
      <c r="G1352" s="13" t="s">
        <v>33</v>
      </c>
      <c r="H1352" s="11" t="n">
        <v>2110405</v>
      </c>
      <c r="I1352" s="13" t="s">
        <v>34</v>
      </c>
      <c r="J1352" s="11" t="n">
        <v>1157461</v>
      </c>
      <c r="L1352" s="11" t="n">
        <v>181615</v>
      </c>
      <c r="M1352" s="13" t="s">
        <v>315</v>
      </c>
      <c r="N1352" s="13" t="s">
        <v>36</v>
      </c>
      <c r="P1352" s="11" t="n">
        <v>101</v>
      </c>
      <c r="Q1352" s="13" t="s">
        <v>37</v>
      </c>
      <c r="R1352" s="13" t="s">
        <v>85</v>
      </c>
      <c r="S1352" s="11" t="n">
        <v>4210508</v>
      </c>
      <c r="T1352" s="13" t="s">
        <v>106</v>
      </c>
      <c r="U1352" s="14" t="n">
        <v>151.61</v>
      </c>
      <c r="W1352" s="14" t="n">
        <v>0</v>
      </c>
      <c r="X1352" s="13" t="s">
        <v>1399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1" t="n">
        <v>3</v>
      </c>
      <c r="B1353" s="12" t="n">
        <v>46230</v>
      </c>
      <c r="C1353" s="12" t="n">
        <v>46239</v>
      </c>
      <c r="D1353" s="11" t="n">
        <v>1040</v>
      </c>
      <c r="E1353" s="13" t="s">
        <v>215</v>
      </c>
      <c r="F1353" s="11" t="n">
        <v>24</v>
      </c>
      <c r="G1353" s="13" t="s">
        <v>42</v>
      </c>
      <c r="H1353" s="11" t="n">
        <v>2110405</v>
      </c>
      <c r="I1353" s="13" t="s">
        <v>34</v>
      </c>
      <c r="J1353" s="11" t="n">
        <v>1459343</v>
      </c>
      <c r="L1353" s="11" t="n">
        <v>793463664</v>
      </c>
      <c r="M1353" s="13" t="s">
        <v>44</v>
      </c>
      <c r="N1353" s="13" t="s">
        <v>36</v>
      </c>
      <c r="P1353" s="11" t="n">
        <v>101</v>
      </c>
      <c r="Q1353" s="13" t="s">
        <v>37</v>
      </c>
      <c r="R1353" s="13" t="s">
        <v>38</v>
      </c>
      <c r="S1353" s="11" t="n">
        <v>4210201</v>
      </c>
      <c r="T1353" s="13" t="s">
        <v>216</v>
      </c>
      <c r="U1353" s="14" t="n">
        <v>286</v>
      </c>
      <c r="W1353" s="14" t="n">
        <v>0</v>
      </c>
      <c r="X1353" s="13" t="s">
        <v>1400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46211</v>
      </c>
      <c r="C1354" s="12" t="n">
        <v>46239</v>
      </c>
      <c r="D1354" s="11" t="n">
        <v>1740</v>
      </c>
      <c r="E1354" s="13" t="s">
        <v>170</v>
      </c>
      <c r="F1354" s="11" t="n">
        <v>24</v>
      </c>
      <c r="G1354" s="13" t="s">
        <v>42</v>
      </c>
      <c r="H1354" s="11" t="n">
        <v>2110101</v>
      </c>
      <c r="I1354" s="13" t="s">
        <v>43</v>
      </c>
      <c r="J1354" s="11" t="n">
        <v>1373789</v>
      </c>
      <c r="L1354" s="11" t="n">
        <v>12453553</v>
      </c>
      <c r="M1354" s="13" t="s">
        <v>44</v>
      </c>
      <c r="N1354" s="13" t="s">
        <v>36</v>
      </c>
      <c r="P1354" s="11" t="n">
        <v>167</v>
      </c>
      <c r="Q1354" s="13" t="s">
        <v>101</v>
      </c>
      <c r="R1354" s="13" t="s">
        <v>46</v>
      </c>
      <c r="S1354" s="11" t="n">
        <v>1130101</v>
      </c>
      <c r="T1354" s="13" t="s">
        <v>47</v>
      </c>
      <c r="U1354" s="14" t="n">
        <v>902.57</v>
      </c>
      <c r="W1354" s="14" t="n">
        <v>0</v>
      </c>
      <c r="X1354" s="13" t="s">
        <v>1401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1" t="n">
        <v>3</v>
      </c>
      <c r="B1355" s="12" t="n">
        <v>46210</v>
      </c>
      <c r="C1355" s="12" t="n">
        <v>46239</v>
      </c>
      <c r="D1355" s="11" t="n">
        <v>1107</v>
      </c>
      <c r="E1355" s="13" t="s">
        <v>165</v>
      </c>
      <c r="F1355" s="11" t="n">
        <v>24</v>
      </c>
      <c r="G1355" s="13" t="s">
        <v>42</v>
      </c>
      <c r="H1355" s="11" t="n">
        <v>2110101</v>
      </c>
      <c r="I1355" s="13" t="s">
        <v>43</v>
      </c>
      <c r="J1355" s="11" t="n">
        <v>1373805</v>
      </c>
      <c r="L1355" s="11" t="n">
        <v>4263683</v>
      </c>
      <c r="M1355" s="13" t="s">
        <v>44</v>
      </c>
      <c r="N1355" s="13" t="s">
        <v>36</v>
      </c>
      <c r="P1355" s="11" t="n">
        <v>167</v>
      </c>
      <c r="Q1355" s="13" t="s">
        <v>101</v>
      </c>
      <c r="R1355" s="13" t="s">
        <v>46</v>
      </c>
      <c r="S1355" s="11" t="n">
        <v>1130101</v>
      </c>
      <c r="T1355" s="13" t="s">
        <v>47</v>
      </c>
      <c r="U1355" s="14" t="n">
        <v>651.11</v>
      </c>
      <c r="W1355" s="14" t="n">
        <v>0</v>
      </c>
      <c r="X1355" s="13" t="s">
        <v>1402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1" t="n">
        <v>3</v>
      </c>
      <c r="B1356" s="12" t="n">
        <v>46211</v>
      </c>
      <c r="C1356" s="12" t="n">
        <v>46239</v>
      </c>
      <c r="D1356" s="11" t="n">
        <v>1676</v>
      </c>
      <c r="E1356" s="13" t="s">
        <v>253</v>
      </c>
      <c r="F1356" s="11" t="n">
        <v>24</v>
      </c>
      <c r="G1356" s="13" t="s">
        <v>42</v>
      </c>
      <c r="H1356" s="11" t="n">
        <v>2110101</v>
      </c>
      <c r="I1356" s="13" t="s">
        <v>43</v>
      </c>
      <c r="J1356" s="11" t="n">
        <v>1373845</v>
      </c>
      <c r="L1356" s="11" t="n">
        <v>1037763</v>
      </c>
      <c r="M1356" s="13" t="s">
        <v>44</v>
      </c>
      <c r="N1356" s="13" t="s">
        <v>36</v>
      </c>
      <c r="P1356" s="11" t="n">
        <v>167</v>
      </c>
      <c r="Q1356" s="13" t="s">
        <v>101</v>
      </c>
      <c r="R1356" s="13" t="s">
        <v>46</v>
      </c>
      <c r="S1356" s="11" t="n">
        <v>1130101</v>
      </c>
      <c r="T1356" s="13" t="s">
        <v>47</v>
      </c>
      <c r="U1356" s="14" t="n">
        <v>572.54</v>
      </c>
      <c r="W1356" s="14" t="n">
        <v>0</v>
      </c>
      <c r="X1356" s="13" t="s">
        <v>1403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1" t="n">
        <v>3</v>
      </c>
      <c r="B1357" s="12" t="n">
        <v>46212</v>
      </c>
      <c r="C1357" s="12" t="n">
        <v>46239</v>
      </c>
      <c r="D1357" s="11" t="n">
        <v>1768</v>
      </c>
      <c r="E1357" s="13" t="s">
        <v>379</v>
      </c>
      <c r="F1357" s="11" t="n">
        <v>34</v>
      </c>
      <c r="G1357" s="13" t="s">
        <v>33</v>
      </c>
      <c r="H1357" s="11" t="n">
        <v>2110405</v>
      </c>
      <c r="I1357" s="13" t="s">
        <v>34</v>
      </c>
      <c r="J1357" s="11" t="n">
        <v>628297</v>
      </c>
      <c r="L1357" s="11" t="n">
        <v>100146</v>
      </c>
      <c r="M1357" s="13" t="s">
        <v>525</v>
      </c>
      <c r="N1357" s="13" t="s">
        <v>36</v>
      </c>
      <c r="P1357" s="11" t="n">
        <v>102</v>
      </c>
      <c r="Q1357" s="13" t="s">
        <v>186</v>
      </c>
      <c r="R1357" s="13" t="s">
        <v>38</v>
      </c>
      <c r="S1357" s="11" t="n">
        <v>4210202</v>
      </c>
      <c r="T1357" s="13" t="s">
        <v>381</v>
      </c>
      <c r="U1357" s="14" t="n">
        <v>2431.5</v>
      </c>
      <c r="W1357" s="14" t="n">
        <v>0</v>
      </c>
      <c r="X1357" s="13" t="s">
        <v>382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46218</v>
      </c>
      <c r="C1358" s="12" t="n">
        <v>46239</v>
      </c>
      <c r="D1358" s="11" t="n">
        <v>1740</v>
      </c>
      <c r="E1358" s="13" t="s">
        <v>170</v>
      </c>
      <c r="F1358" s="11" t="n">
        <v>24</v>
      </c>
      <c r="G1358" s="13" t="s">
        <v>42</v>
      </c>
      <c r="H1358" s="11" t="n">
        <v>2110405</v>
      </c>
      <c r="I1358" s="13" t="s">
        <v>34</v>
      </c>
      <c r="J1358" s="11" t="n">
        <v>1402527</v>
      </c>
      <c r="L1358" s="11" t="n">
        <v>12479172</v>
      </c>
      <c r="M1358" s="13" t="s">
        <v>44</v>
      </c>
      <c r="N1358" s="13" t="s">
        <v>36</v>
      </c>
      <c r="P1358" s="11" t="n">
        <v>167</v>
      </c>
      <c r="Q1358" s="13" t="s">
        <v>101</v>
      </c>
      <c r="R1358" s="13" t="s">
        <v>46</v>
      </c>
      <c r="S1358" s="11" t="n">
        <v>1130101</v>
      </c>
      <c r="T1358" s="13" t="s">
        <v>47</v>
      </c>
      <c r="U1358" s="14" t="n">
        <v>840.93</v>
      </c>
      <c r="W1358" s="14" t="n">
        <v>0</v>
      </c>
      <c r="X1358" s="13" t="s">
        <v>1404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1" t="n">
        <v>3</v>
      </c>
      <c r="B1359" s="12" t="n">
        <v>46224</v>
      </c>
      <c r="C1359" s="12" t="n">
        <v>46239</v>
      </c>
      <c r="D1359" s="11" t="n">
        <v>1024</v>
      </c>
      <c r="E1359" s="13" t="s">
        <v>161</v>
      </c>
      <c r="F1359" s="11" t="n">
        <v>24</v>
      </c>
      <c r="G1359" s="13" t="s">
        <v>42</v>
      </c>
      <c r="H1359" s="11" t="n">
        <v>2110405</v>
      </c>
      <c r="I1359" s="13" t="s">
        <v>34</v>
      </c>
      <c r="J1359" s="11" t="n">
        <v>1434259</v>
      </c>
      <c r="L1359" s="11" t="n">
        <v>6077012</v>
      </c>
      <c r="M1359" s="13" t="s">
        <v>44</v>
      </c>
      <c r="N1359" s="13" t="s">
        <v>36</v>
      </c>
      <c r="P1359" s="11" t="n">
        <v>167</v>
      </c>
      <c r="Q1359" s="13" t="s">
        <v>101</v>
      </c>
      <c r="R1359" s="13" t="s">
        <v>46</v>
      </c>
      <c r="S1359" s="11" t="n">
        <v>1130101</v>
      </c>
      <c r="T1359" s="13" t="s">
        <v>47</v>
      </c>
      <c r="U1359" s="14" t="n">
        <v>600.4</v>
      </c>
      <c r="W1359" s="14" t="n">
        <v>0</v>
      </c>
      <c r="X1359" s="13" t="s">
        <v>1405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1" t="n">
        <v>3</v>
      </c>
      <c r="B1360" s="12" t="n">
        <v>46225</v>
      </c>
      <c r="C1360" s="12" t="n">
        <v>46239</v>
      </c>
      <c r="D1360" s="11" t="n">
        <v>1740</v>
      </c>
      <c r="E1360" s="13" t="s">
        <v>170</v>
      </c>
      <c r="F1360" s="11" t="n">
        <v>24</v>
      </c>
      <c r="G1360" s="13" t="s">
        <v>42</v>
      </c>
      <c r="H1360" s="11" t="n">
        <v>2110405</v>
      </c>
      <c r="I1360" s="13" t="s">
        <v>34</v>
      </c>
      <c r="J1360" s="11" t="n">
        <v>1435861</v>
      </c>
      <c r="L1360" s="11" t="n">
        <v>12504181</v>
      </c>
      <c r="M1360" s="13" t="s">
        <v>44</v>
      </c>
      <c r="N1360" s="13" t="s">
        <v>36</v>
      </c>
      <c r="P1360" s="11" t="n">
        <v>167</v>
      </c>
      <c r="Q1360" s="13" t="s">
        <v>101</v>
      </c>
      <c r="R1360" s="13" t="s">
        <v>46</v>
      </c>
      <c r="S1360" s="11" t="n">
        <v>1130101</v>
      </c>
      <c r="T1360" s="13" t="s">
        <v>47</v>
      </c>
      <c r="U1360" s="14" t="n">
        <v>867.32</v>
      </c>
      <c r="W1360" s="14" t="n">
        <v>0</v>
      </c>
      <c r="X1360" s="13" t="s">
        <v>1406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1" t="n">
        <v>3</v>
      </c>
      <c r="B1361" s="12" t="n">
        <v>46225</v>
      </c>
      <c r="C1361" s="12" t="n">
        <v>46239</v>
      </c>
      <c r="D1361" s="11" t="n">
        <v>1815</v>
      </c>
      <c r="E1361" s="13" t="s">
        <v>53</v>
      </c>
      <c r="F1361" s="11" t="n">
        <v>24</v>
      </c>
      <c r="G1361" s="13" t="s">
        <v>42</v>
      </c>
      <c r="H1361" s="11" t="n">
        <v>2110405</v>
      </c>
      <c r="I1361" s="13" t="s">
        <v>34</v>
      </c>
      <c r="J1361" s="11" t="n">
        <v>1435869</v>
      </c>
      <c r="L1361" s="11" t="n">
        <v>4580361</v>
      </c>
      <c r="M1361" s="13" t="s">
        <v>44</v>
      </c>
      <c r="N1361" s="13" t="s">
        <v>36</v>
      </c>
      <c r="P1361" s="11" t="n">
        <v>167</v>
      </c>
      <c r="Q1361" s="13" t="s">
        <v>101</v>
      </c>
      <c r="R1361" s="13" t="s">
        <v>46</v>
      </c>
      <c r="S1361" s="11" t="n">
        <v>1130101</v>
      </c>
      <c r="T1361" s="13" t="s">
        <v>47</v>
      </c>
      <c r="U1361" s="14" t="n">
        <v>2067.28</v>
      </c>
      <c r="W1361" s="14" t="n">
        <v>0</v>
      </c>
      <c r="X1361" s="13" t="s">
        <v>1407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1" t="n">
        <v>3</v>
      </c>
      <c r="B1362" s="12" t="n">
        <v>46232</v>
      </c>
      <c r="C1362" s="12" t="n">
        <v>46239</v>
      </c>
      <c r="D1362" s="11" t="n">
        <v>1695</v>
      </c>
      <c r="E1362" s="13" t="s">
        <v>269</v>
      </c>
      <c r="F1362" s="11" t="n">
        <v>24</v>
      </c>
      <c r="G1362" s="13" t="s">
        <v>42</v>
      </c>
      <c r="H1362" s="11" t="n">
        <v>2110405</v>
      </c>
      <c r="I1362" s="13" t="s">
        <v>34</v>
      </c>
      <c r="J1362" s="11" t="n">
        <v>1469691</v>
      </c>
      <c r="L1362" s="11" t="n">
        <v>195091</v>
      </c>
      <c r="M1362" s="13" t="s">
        <v>44</v>
      </c>
      <c r="N1362" s="13" t="s">
        <v>36</v>
      </c>
      <c r="P1362" s="11" t="n">
        <v>167</v>
      </c>
      <c r="Q1362" s="13" t="s">
        <v>101</v>
      </c>
      <c r="R1362" s="13" t="s">
        <v>46</v>
      </c>
      <c r="S1362" s="11" t="n">
        <v>1130101</v>
      </c>
      <c r="T1362" s="13" t="s">
        <v>47</v>
      </c>
      <c r="U1362" s="14" t="n">
        <v>978.6</v>
      </c>
      <c r="W1362" s="14" t="n">
        <v>0</v>
      </c>
      <c r="X1362" s="13" t="s">
        <v>1408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1" t="n">
        <v>3</v>
      </c>
      <c r="B1363" s="12" t="n">
        <v>46232</v>
      </c>
      <c r="C1363" s="12" t="n">
        <v>46239</v>
      </c>
      <c r="D1363" s="11" t="n">
        <v>1695</v>
      </c>
      <c r="E1363" s="13" t="s">
        <v>269</v>
      </c>
      <c r="F1363" s="11" t="n">
        <v>34</v>
      </c>
      <c r="G1363" s="13" t="s">
        <v>33</v>
      </c>
      <c r="H1363" s="11" t="n">
        <v>2110405</v>
      </c>
      <c r="I1363" s="13" t="s">
        <v>34</v>
      </c>
      <c r="J1363" s="11" t="n">
        <v>1469724</v>
      </c>
      <c r="L1363" s="11" t="n">
        <v>228598</v>
      </c>
      <c r="M1363" s="13" t="s">
        <v>44</v>
      </c>
      <c r="N1363" s="13" t="s">
        <v>36</v>
      </c>
      <c r="P1363" s="11" t="n">
        <v>167</v>
      </c>
      <c r="Q1363" s="13" t="s">
        <v>101</v>
      </c>
      <c r="R1363" s="13" t="s">
        <v>46</v>
      </c>
      <c r="S1363" s="11" t="n">
        <v>1130101</v>
      </c>
      <c r="T1363" s="13" t="s">
        <v>47</v>
      </c>
      <c r="U1363" s="14" t="n">
        <v>512.4</v>
      </c>
      <c r="W1363" s="14" t="n">
        <v>0</v>
      </c>
      <c r="X1363" s="13" t="s">
        <v>1409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46232</v>
      </c>
      <c r="C1364" s="12" t="n">
        <v>46239</v>
      </c>
      <c r="D1364" s="11" t="n">
        <v>1378</v>
      </c>
      <c r="E1364" s="13" t="s">
        <v>120</v>
      </c>
      <c r="F1364" s="11" t="n">
        <v>24</v>
      </c>
      <c r="G1364" s="13" t="s">
        <v>42</v>
      </c>
      <c r="H1364" s="11" t="n">
        <v>2110101</v>
      </c>
      <c r="I1364" s="13" t="s">
        <v>43</v>
      </c>
      <c r="J1364" s="11" t="n">
        <v>1472859</v>
      </c>
      <c r="L1364" s="11" t="n">
        <v>18423</v>
      </c>
      <c r="M1364" s="13" t="s">
        <v>44</v>
      </c>
      <c r="N1364" s="13" t="s">
        <v>36</v>
      </c>
      <c r="P1364" s="11" t="n">
        <v>167</v>
      </c>
      <c r="Q1364" s="13" t="s">
        <v>101</v>
      </c>
      <c r="R1364" s="13" t="s">
        <v>46</v>
      </c>
      <c r="S1364" s="11" t="n">
        <v>1130101</v>
      </c>
      <c r="T1364" s="13" t="s">
        <v>47</v>
      </c>
      <c r="U1364" s="14" t="n">
        <v>237.6</v>
      </c>
      <c r="W1364" s="14" t="n">
        <v>0</v>
      </c>
      <c r="X1364" s="13" t="s">
        <v>1410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1" t="n">
        <v>3</v>
      </c>
      <c r="B1365" s="12" t="n">
        <v>46231</v>
      </c>
      <c r="C1365" s="12" t="n">
        <v>46239</v>
      </c>
      <c r="D1365" s="11" t="n">
        <v>1457</v>
      </c>
      <c r="E1365" s="13" t="s">
        <v>179</v>
      </c>
      <c r="F1365" s="11" t="n">
        <v>24</v>
      </c>
      <c r="G1365" s="13" t="s">
        <v>42</v>
      </c>
      <c r="H1365" s="11" t="n">
        <v>2110405</v>
      </c>
      <c r="I1365" s="13" t="s">
        <v>34</v>
      </c>
      <c r="J1365" s="11" t="n">
        <v>1472866</v>
      </c>
      <c r="L1365" s="11" t="n">
        <v>13662</v>
      </c>
      <c r="M1365" s="13" t="s">
        <v>44</v>
      </c>
      <c r="N1365" s="13" t="s">
        <v>36</v>
      </c>
      <c r="P1365" s="11" t="n">
        <v>167</v>
      </c>
      <c r="Q1365" s="13" t="s">
        <v>101</v>
      </c>
      <c r="R1365" s="13" t="s">
        <v>46</v>
      </c>
      <c r="S1365" s="11" t="n">
        <v>1130101</v>
      </c>
      <c r="T1365" s="13" t="s">
        <v>47</v>
      </c>
      <c r="U1365" s="14" t="n">
        <v>388.41</v>
      </c>
      <c r="W1365" s="14" t="n">
        <v>0</v>
      </c>
      <c r="X1365" s="13" t="s">
        <v>1411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1" t="n">
        <v>3</v>
      </c>
      <c r="B1366" s="12" t="n">
        <v>46233</v>
      </c>
      <c r="C1366" s="12" t="n">
        <v>46239</v>
      </c>
      <c r="D1366" s="11" t="n">
        <v>42</v>
      </c>
      <c r="E1366" s="13" t="s">
        <v>80</v>
      </c>
      <c r="F1366" s="11" t="n">
        <v>34</v>
      </c>
      <c r="G1366" s="13" t="s">
        <v>33</v>
      </c>
      <c r="H1366" s="11" t="n">
        <v>2110101</v>
      </c>
      <c r="I1366" s="13" t="s">
        <v>43</v>
      </c>
      <c r="J1366" s="11" t="n">
        <v>1473118</v>
      </c>
      <c r="L1366" s="11" t="n">
        <v>4438</v>
      </c>
      <c r="M1366" s="13" t="s">
        <v>44</v>
      </c>
      <c r="N1366" s="13" t="s">
        <v>69</v>
      </c>
      <c r="P1366" s="11" t="n">
        <v>167</v>
      </c>
      <c r="Q1366" s="13" t="s">
        <v>101</v>
      </c>
      <c r="R1366" s="13" t="s">
        <v>46</v>
      </c>
      <c r="S1366" s="11" t="n">
        <v>1130101</v>
      </c>
      <c r="T1366" s="13" t="s">
        <v>47</v>
      </c>
      <c r="U1366" s="14" t="n">
        <v>280</v>
      </c>
      <c r="W1366" s="14" t="n">
        <v>0</v>
      </c>
      <c r="X1366" s="13" t="s">
        <v>323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46232</v>
      </c>
      <c r="C1367" s="12" t="n">
        <v>46239</v>
      </c>
      <c r="D1367" s="11" t="n">
        <v>10018</v>
      </c>
      <c r="E1367" s="13" t="s">
        <v>654</v>
      </c>
      <c r="F1367" s="11" t="n">
        <v>34</v>
      </c>
      <c r="G1367" s="13" t="s">
        <v>33</v>
      </c>
      <c r="H1367" s="11" t="n">
        <v>2110405</v>
      </c>
      <c r="I1367" s="13" t="s">
        <v>34</v>
      </c>
      <c r="J1367" s="11" t="n">
        <v>1498874</v>
      </c>
      <c r="L1367" s="11" t="n">
        <v>348</v>
      </c>
      <c r="M1367" s="13" t="s">
        <v>44</v>
      </c>
      <c r="N1367" s="13" t="s">
        <v>36</v>
      </c>
      <c r="P1367" s="11" t="n">
        <v>167</v>
      </c>
      <c r="Q1367" s="13" t="s">
        <v>101</v>
      </c>
      <c r="R1367" s="13" t="s">
        <v>46</v>
      </c>
      <c r="S1367" s="11" t="n">
        <v>1130101</v>
      </c>
      <c r="T1367" s="13" t="s">
        <v>47</v>
      </c>
      <c r="U1367" s="14" t="n">
        <v>966.88</v>
      </c>
      <c r="W1367" s="14" t="n">
        <v>0</v>
      </c>
      <c r="X1367" s="13" t="s">
        <v>1412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1" t="n">
        <v>3</v>
      </c>
      <c r="B1368" s="12" t="n">
        <v>46239</v>
      </c>
      <c r="C1368" s="12" t="n">
        <v>46239</v>
      </c>
      <c r="D1368" s="11" t="n">
        <v>42</v>
      </c>
      <c r="E1368" s="13" t="s">
        <v>80</v>
      </c>
      <c r="F1368" s="11" t="n">
        <v>13</v>
      </c>
      <c r="G1368" s="13" t="s">
        <v>81</v>
      </c>
      <c r="H1368" s="11" t="n">
        <v>2110101</v>
      </c>
      <c r="I1368" s="13" t="s">
        <v>43</v>
      </c>
      <c r="J1368" s="11" t="n">
        <v>1503410</v>
      </c>
      <c r="L1368" s="11" t="n">
        <v>4463</v>
      </c>
      <c r="M1368" s="13" t="s">
        <v>44</v>
      </c>
      <c r="N1368" s="13" t="s">
        <v>69</v>
      </c>
      <c r="P1368" s="11" t="n">
        <v>167</v>
      </c>
      <c r="Q1368" s="13" t="s">
        <v>101</v>
      </c>
      <c r="R1368" s="13" t="s">
        <v>46</v>
      </c>
      <c r="S1368" s="11" t="n">
        <v>1130101</v>
      </c>
      <c r="T1368" s="13" t="s">
        <v>47</v>
      </c>
      <c r="U1368" s="14" t="n">
        <v>100</v>
      </c>
      <c r="W1368" s="14" t="n">
        <v>100</v>
      </c>
      <c r="X1368" s="13" t="s">
        <v>1413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46239</v>
      </c>
      <c r="C1369" s="12" t="n">
        <v>46239</v>
      </c>
      <c r="D1369" s="11" t="n">
        <v>42</v>
      </c>
      <c r="E1369" s="13" t="s">
        <v>80</v>
      </c>
      <c r="F1369" s="11" t="n">
        <v>13</v>
      </c>
      <c r="G1369" s="13" t="s">
        <v>81</v>
      </c>
      <c r="H1369" s="11" t="n">
        <v>2110101</v>
      </c>
      <c r="I1369" s="13" t="s">
        <v>43</v>
      </c>
      <c r="J1369" s="11" t="n">
        <v>1504610</v>
      </c>
      <c r="L1369" s="11" t="n">
        <v>4464</v>
      </c>
      <c r="M1369" s="13" t="s">
        <v>44</v>
      </c>
      <c r="N1369" s="13" t="s">
        <v>69</v>
      </c>
      <c r="P1369" s="11" t="n">
        <v>167</v>
      </c>
      <c r="Q1369" s="13" t="s">
        <v>101</v>
      </c>
      <c r="R1369" s="13" t="s">
        <v>46</v>
      </c>
      <c r="S1369" s="11" t="n">
        <v>1130101</v>
      </c>
      <c r="T1369" s="13" t="s">
        <v>47</v>
      </c>
      <c r="U1369" s="14" t="n">
        <v>125</v>
      </c>
      <c r="W1369" s="14" t="n">
        <v>125</v>
      </c>
      <c r="X1369" s="13" t="s">
        <v>1371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46205</v>
      </c>
      <c r="C1370" s="12" t="n">
        <v>46240</v>
      </c>
      <c r="D1370" s="11" t="n">
        <v>794</v>
      </c>
      <c r="E1370" s="13" t="s">
        <v>152</v>
      </c>
      <c r="F1370" s="11" t="n">
        <v>24</v>
      </c>
      <c r="G1370" s="13" t="s">
        <v>42</v>
      </c>
      <c r="H1370" s="11" t="n">
        <v>2110405</v>
      </c>
      <c r="I1370" s="13" t="s">
        <v>34</v>
      </c>
      <c r="J1370" s="11" t="n">
        <v>1340253</v>
      </c>
      <c r="L1370" s="11" t="n">
        <v>82674</v>
      </c>
      <c r="M1370" s="13" t="s">
        <v>44</v>
      </c>
      <c r="N1370" s="13" t="s">
        <v>36</v>
      </c>
      <c r="P1370" s="11" t="n">
        <v>167</v>
      </c>
      <c r="Q1370" s="13" t="s">
        <v>101</v>
      </c>
      <c r="R1370" s="13" t="s">
        <v>38</v>
      </c>
      <c r="S1370" s="11" t="n">
        <v>4210299</v>
      </c>
      <c r="T1370" s="13" t="s">
        <v>1079</v>
      </c>
      <c r="U1370" s="14" t="n">
        <v>475.95</v>
      </c>
      <c r="W1370" s="14" t="n">
        <v>475.95</v>
      </c>
      <c r="X1370" s="13" t="s">
        <v>1414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1" t="n">
        <v>3</v>
      </c>
      <c r="B1371" s="12" t="n">
        <v>46212</v>
      </c>
      <c r="C1371" s="12" t="n">
        <v>46240</v>
      </c>
      <c r="D1371" s="11" t="n">
        <v>1656</v>
      </c>
      <c r="E1371" s="13" t="s">
        <v>260</v>
      </c>
      <c r="F1371" s="11" t="n">
        <v>24</v>
      </c>
      <c r="G1371" s="13" t="s">
        <v>42</v>
      </c>
      <c r="H1371" s="11" t="n">
        <v>2110101</v>
      </c>
      <c r="I1371" s="13" t="s">
        <v>43</v>
      </c>
      <c r="J1371" s="11" t="n">
        <v>1373894</v>
      </c>
      <c r="L1371" s="11" t="n">
        <v>2233333</v>
      </c>
      <c r="M1371" s="13" t="s">
        <v>44</v>
      </c>
      <c r="N1371" s="13" t="s">
        <v>36</v>
      </c>
      <c r="P1371" s="11" t="n">
        <v>167</v>
      </c>
      <c r="Q1371" s="13" t="s">
        <v>101</v>
      </c>
      <c r="R1371" s="13" t="s">
        <v>46</v>
      </c>
      <c r="S1371" s="11" t="n">
        <v>1130101</v>
      </c>
      <c r="T1371" s="13" t="s">
        <v>47</v>
      </c>
      <c r="U1371" s="14" t="n">
        <v>396.51</v>
      </c>
      <c r="W1371" s="14" t="n">
        <v>396.51</v>
      </c>
      <c r="X1371" s="13" t="s">
        <v>1415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1" t="n">
        <v>3</v>
      </c>
      <c r="B1372" s="12" t="n">
        <v>46219</v>
      </c>
      <c r="C1372" s="12" t="n">
        <v>46240</v>
      </c>
      <c r="D1372" s="11" t="n">
        <v>1039</v>
      </c>
      <c r="E1372" s="13" t="s">
        <v>594</v>
      </c>
      <c r="F1372" s="11" t="n">
        <v>24</v>
      </c>
      <c r="G1372" s="13" t="s">
        <v>42</v>
      </c>
      <c r="H1372" s="11" t="n">
        <v>2110405</v>
      </c>
      <c r="I1372" s="13" t="s">
        <v>34</v>
      </c>
      <c r="J1372" s="11" t="n">
        <v>1410321</v>
      </c>
      <c r="L1372" s="11" t="n">
        <v>192873</v>
      </c>
      <c r="M1372" s="13" t="s">
        <v>44</v>
      </c>
      <c r="N1372" s="13" t="s">
        <v>36</v>
      </c>
      <c r="P1372" s="11" t="n">
        <v>167</v>
      </c>
      <c r="Q1372" s="13" t="s">
        <v>101</v>
      </c>
      <c r="R1372" s="13" t="s">
        <v>46</v>
      </c>
      <c r="S1372" s="11" t="n">
        <v>1130101</v>
      </c>
      <c r="T1372" s="13" t="s">
        <v>47</v>
      </c>
      <c r="U1372" s="14" t="n">
        <v>1453.92</v>
      </c>
      <c r="W1372" s="14" t="n">
        <v>1453.92</v>
      </c>
      <c r="X1372" s="13" t="s">
        <v>1416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1" t="n">
        <v>3</v>
      </c>
      <c r="B1373" s="12" t="n">
        <v>46224</v>
      </c>
      <c r="C1373" s="12" t="n">
        <v>46240</v>
      </c>
      <c r="D1373" s="11" t="n">
        <v>1916</v>
      </c>
      <c r="E1373" s="13" t="s">
        <v>351</v>
      </c>
      <c r="F1373" s="11" t="n">
        <v>24</v>
      </c>
      <c r="G1373" s="13" t="s">
        <v>42</v>
      </c>
      <c r="H1373" s="11" t="n">
        <v>2110405</v>
      </c>
      <c r="I1373" s="13" t="s">
        <v>34</v>
      </c>
      <c r="J1373" s="11" t="n">
        <v>1434200</v>
      </c>
      <c r="L1373" s="11" t="n">
        <v>39904</v>
      </c>
      <c r="M1373" s="13" t="s">
        <v>44</v>
      </c>
      <c r="N1373" s="13" t="s">
        <v>36</v>
      </c>
      <c r="P1373" s="11" t="n">
        <v>167</v>
      </c>
      <c r="Q1373" s="13" t="s">
        <v>101</v>
      </c>
      <c r="R1373" s="13" t="s">
        <v>46</v>
      </c>
      <c r="S1373" s="11" t="n">
        <v>1130101</v>
      </c>
      <c r="T1373" s="13" t="s">
        <v>47</v>
      </c>
      <c r="U1373" s="14" t="n">
        <v>249.5</v>
      </c>
      <c r="W1373" s="14" t="n">
        <v>249.5</v>
      </c>
      <c r="X1373" s="13" t="s">
        <v>1417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1" t="n">
        <v>3</v>
      </c>
      <c r="B1374" s="12" t="n">
        <v>46226</v>
      </c>
      <c r="C1374" s="12" t="n">
        <v>46240</v>
      </c>
      <c r="D1374" s="11" t="n">
        <v>10009</v>
      </c>
      <c r="E1374" s="13" t="s">
        <v>373</v>
      </c>
      <c r="F1374" s="11" t="n">
        <v>24</v>
      </c>
      <c r="G1374" s="13" t="s">
        <v>42</v>
      </c>
      <c r="H1374" s="11" t="n">
        <v>2110405</v>
      </c>
      <c r="I1374" s="13" t="s">
        <v>34</v>
      </c>
      <c r="J1374" s="11" t="n">
        <v>1448406</v>
      </c>
      <c r="L1374" s="11" t="n">
        <v>1431205</v>
      </c>
      <c r="M1374" s="13" t="s">
        <v>44</v>
      </c>
      <c r="N1374" s="13" t="s">
        <v>36</v>
      </c>
      <c r="P1374" s="11" t="n">
        <v>167</v>
      </c>
      <c r="Q1374" s="13" t="s">
        <v>101</v>
      </c>
      <c r="R1374" s="13" t="s">
        <v>46</v>
      </c>
      <c r="S1374" s="11" t="n">
        <v>1130101</v>
      </c>
      <c r="T1374" s="13" t="s">
        <v>47</v>
      </c>
      <c r="U1374" s="14" t="n">
        <v>741.08</v>
      </c>
      <c r="W1374" s="14" t="n">
        <v>741.08</v>
      </c>
      <c r="X1374" s="13" t="s">
        <v>1418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1" t="n">
        <v>3</v>
      </c>
      <c r="B1375" s="12" t="n">
        <v>46232</v>
      </c>
      <c r="C1375" s="12" t="n">
        <v>46240</v>
      </c>
      <c r="D1375" s="11" t="n">
        <v>1642</v>
      </c>
      <c r="E1375" s="13" t="s">
        <v>274</v>
      </c>
      <c r="F1375" s="11" t="n">
        <v>24</v>
      </c>
      <c r="G1375" s="13" t="s">
        <v>42</v>
      </c>
      <c r="H1375" s="11" t="n">
        <v>2110405</v>
      </c>
      <c r="I1375" s="13" t="s">
        <v>34</v>
      </c>
      <c r="J1375" s="11" t="n">
        <v>1472950</v>
      </c>
      <c r="L1375" s="11" t="n">
        <v>1034331</v>
      </c>
      <c r="M1375" s="13" t="s">
        <v>44</v>
      </c>
      <c r="N1375" s="13" t="s">
        <v>36</v>
      </c>
      <c r="P1375" s="11" t="n">
        <v>167</v>
      </c>
      <c r="Q1375" s="13" t="s">
        <v>101</v>
      </c>
      <c r="R1375" s="13" t="s">
        <v>46</v>
      </c>
      <c r="S1375" s="11" t="n">
        <v>1130101</v>
      </c>
      <c r="T1375" s="13" t="s">
        <v>47</v>
      </c>
      <c r="U1375" s="14" t="n">
        <v>510.9</v>
      </c>
      <c r="W1375" s="14" t="n">
        <v>510.9</v>
      </c>
      <c r="X1375" s="13" t="s">
        <v>1419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1" t="n">
        <v>3</v>
      </c>
      <c r="B1376" s="12" t="n">
        <v>46233</v>
      </c>
      <c r="C1376" s="12" t="n">
        <v>46240</v>
      </c>
      <c r="D1376" s="11" t="n">
        <v>1625</v>
      </c>
      <c r="E1376" s="13" t="s">
        <v>320</v>
      </c>
      <c r="F1376" s="11" t="n">
        <v>24</v>
      </c>
      <c r="G1376" s="13" t="s">
        <v>42</v>
      </c>
      <c r="H1376" s="11" t="n">
        <v>2110405</v>
      </c>
      <c r="I1376" s="13" t="s">
        <v>34</v>
      </c>
      <c r="J1376" s="11" t="n">
        <v>1473750</v>
      </c>
      <c r="L1376" s="11" t="n">
        <v>148801</v>
      </c>
      <c r="M1376" s="13" t="s">
        <v>44</v>
      </c>
      <c r="N1376" s="13" t="s">
        <v>36</v>
      </c>
      <c r="P1376" s="11" t="n">
        <v>167</v>
      </c>
      <c r="Q1376" s="13" t="s">
        <v>101</v>
      </c>
      <c r="R1376" s="13" t="s">
        <v>46</v>
      </c>
      <c r="S1376" s="11" t="n">
        <v>1130101</v>
      </c>
      <c r="T1376" s="13" t="s">
        <v>47</v>
      </c>
      <c r="U1376" s="14" t="n">
        <v>3135.1</v>
      </c>
      <c r="W1376" s="14" t="n">
        <v>3135.1</v>
      </c>
      <c r="X1376" s="13" t="s">
        <v>1420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1" t="n">
        <v>3</v>
      </c>
      <c r="B1377" s="12" t="n">
        <v>46233</v>
      </c>
      <c r="C1377" s="12" t="n">
        <v>46240</v>
      </c>
      <c r="D1377" s="11" t="n">
        <v>1613</v>
      </c>
      <c r="E1377" s="13" t="s">
        <v>177</v>
      </c>
      <c r="F1377" s="11" t="n">
        <v>24</v>
      </c>
      <c r="G1377" s="13" t="s">
        <v>42</v>
      </c>
      <c r="H1377" s="11" t="n">
        <v>2110405</v>
      </c>
      <c r="I1377" s="13" t="s">
        <v>34</v>
      </c>
      <c r="J1377" s="11" t="n">
        <v>1473794</v>
      </c>
      <c r="L1377" s="11" t="n">
        <v>16135171</v>
      </c>
      <c r="M1377" s="13" t="s">
        <v>44</v>
      </c>
      <c r="N1377" s="13" t="s">
        <v>36</v>
      </c>
      <c r="P1377" s="11" t="n">
        <v>167</v>
      </c>
      <c r="Q1377" s="13" t="s">
        <v>101</v>
      </c>
      <c r="R1377" s="13" t="s">
        <v>46</v>
      </c>
      <c r="S1377" s="11" t="n">
        <v>1130101</v>
      </c>
      <c r="T1377" s="13" t="s">
        <v>47</v>
      </c>
      <c r="U1377" s="14" t="n">
        <v>1468.01</v>
      </c>
      <c r="W1377" s="14" t="n">
        <v>1468.01</v>
      </c>
      <c r="X1377" s="13" t="s">
        <v>1421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1" t="n">
        <v>3</v>
      </c>
      <c r="B1378" s="12" t="n">
        <v>46233</v>
      </c>
      <c r="C1378" s="12" t="n">
        <v>46240</v>
      </c>
      <c r="D1378" s="11" t="n">
        <v>10063</v>
      </c>
      <c r="E1378" s="13" t="s">
        <v>218</v>
      </c>
      <c r="F1378" s="11" t="n">
        <v>24</v>
      </c>
      <c r="G1378" s="13" t="s">
        <v>42</v>
      </c>
      <c r="H1378" s="11" t="n">
        <v>2110405</v>
      </c>
      <c r="I1378" s="13" t="s">
        <v>34</v>
      </c>
      <c r="J1378" s="11" t="n">
        <v>1477495</v>
      </c>
      <c r="L1378" s="11" t="n">
        <v>2628</v>
      </c>
      <c r="M1378" s="13" t="s">
        <v>44</v>
      </c>
      <c r="N1378" s="13" t="s">
        <v>36</v>
      </c>
      <c r="P1378" s="11" t="n">
        <v>167</v>
      </c>
      <c r="Q1378" s="13" t="s">
        <v>101</v>
      </c>
      <c r="R1378" s="13" t="s">
        <v>46</v>
      </c>
      <c r="S1378" s="11" t="n">
        <v>1130101</v>
      </c>
      <c r="T1378" s="13" t="s">
        <v>47</v>
      </c>
      <c r="U1378" s="14" t="n">
        <v>1865</v>
      </c>
      <c r="W1378" s="14" t="n">
        <v>1865</v>
      </c>
      <c r="X1378" s="13" t="s">
        <v>1422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1" t="n">
        <v>3</v>
      </c>
      <c r="B1379" s="12" t="n">
        <v>46233</v>
      </c>
      <c r="C1379" s="12" t="n">
        <v>46240</v>
      </c>
      <c r="D1379" s="11" t="n">
        <v>1705</v>
      </c>
      <c r="E1379" s="13" t="s">
        <v>122</v>
      </c>
      <c r="F1379" s="11" t="n">
        <v>24</v>
      </c>
      <c r="G1379" s="13" t="s">
        <v>42</v>
      </c>
      <c r="H1379" s="11" t="n">
        <v>2110405</v>
      </c>
      <c r="I1379" s="13" t="s">
        <v>34</v>
      </c>
      <c r="J1379" s="11" t="n">
        <v>1478102</v>
      </c>
      <c r="L1379" s="11" t="n">
        <v>12276507</v>
      </c>
      <c r="M1379" s="13" t="s">
        <v>44</v>
      </c>
      <c r="N1379" s="13" t="s">
        <v>36</v>
      </c>
      <c r="P1379" s="11" t="n">
        <v>167</v>
      </c>
      <c r="Q1379" s="13" t="s">
        <v>101</v>
      </c>
      <c r="R1379" s="13" t="s">
        <v>46</v>
      </c>
      <c r="S1379" s="11" t="n">
        <v>1130101</v>
      </c>
      <c r="T1379" s="13" t="s">
        <v>47</v>
      </c>
      <c r="U1379" s="14" t="n">
        <v>1560.7</v>
      </c>
      <c r="W1379" s="14" t="n">
        <v>1560.7</v>
      </c>
      <c r="X1379" s="13" t="s">
        <v>1423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1" t="n">
        <v>3</v>
      </c>
      <c r="B1380" s="12" t="n">
        <v>46233</v>
      </c>
      <c r="C1380" s="12" t="n">
        <v>46240</v>
      </c>
      <c r="D1380" s="11" t="n">
        <v>1705</v>
      </c>
      <c r="E1380" s="13" t="s">
        <v>122</v>
      </c>
      <c r="F1380" s="11" t="n">
        <v>24</v>
      </c>
      <c r="G1380" s="13" t="s">
        <v>42</v>
      </c>
      <c r="H1380" s="11" t="n">
        <v>2110405</v>
      </c>
      <c r="I1380" s="13" t="s">
        <v>34</v>
      </c>
      <c r="J1380" s="11" t="n">
        <v>1478121</v>
      </c>
      <c r="L1380" s="11" t="n">
        <v>19624745</v>
      </c>
      <c r="M1380" s="13" t="s">
        <v>44</v>
      </c>
      <c r="N1380" s="13" t="s">
        <v>36</v>
      </c>
      <c r="P1380" s="11" t="n">
        <v>167</v>
      </c>
      <c r="Q1380" s="13" t="s">
        <v>101</v>
      </c>
      <c r="R1380" s="13" t="s">
        <v>46</v>
      </c>
      <c r="S1380" s="11" t="n">
        <v>1130101</v>
      </c>
      <c r="T1380" s="13" t="s">
        <v>47</v>
      </c>
      <c r="U1380" s="14" t="n">
        <v>4490.06</v>
      </c>
      <c r="W1380" s="14" t="n">
        <v>4490.06</v>
      </c>
      <c r="X1380" s="13" t="s">
        <v>1424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1" t="n">
        <v>3</v>
      </c>
      <c r="B1381" s="12" t="n">
        <v>46237</v>
      </c>
      <c r="C1381" s="12" t="n">
        <v>46240</v>
      </c>
      <c r="D1381" s="11" t="n">
        <v>1734</v>
      </c>
      <c r="E1381" s="13" t="s">
        <v>125</v>
      </c>
      <c r="F1381" s="11" t="n">
        <v>24</v>
      </c>
      <c r="G1381" s="13" t="s">
        <v>42</v>
      </c>
      <c r="H1381" s="11" t="n">
        <v>2110405</v>
      </c>
      <c r="I1381" s="13" t="s">
        <v>34</v>
      </c>
      <c r="J1381" s="11" t="n">
        <v>1495558</v>
      </c>
      <c r="L1381" s="11" t="n">
        <v>2562081</v>
      </c>
      <c r="M1381" s="13" t="s">
        <v>44</v>
      </c>
      <c r="N1381" s="13" t="s">
        <v>36</v>
      </c>
      <c r="P1381" s="11" t="n">
        <v>167</v>
      </c>
      <c r="Q1381" s="13" t="s">
        <v>101</v>
      </c>
      <c r="R1381" s="13" t="s">
        <v>46</v>
      </c>
      <c r="S1381" s="11" t="n">
        <v>1130101</v>
      </c>
      <c r="T1381" s="13" t="s">
        <v>47</v>
      </c>
      <c r="U1381" s="14" t="n">
        <v>430.14</v>
      </c>
      <c r="W1381" s="14" t="n">
        <v>430.14</v>
      </c>
      <c r="X1381" s="13" t="s">
        <v>1425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SORVETE 2 LTS FLOCOS</v>
      </c>
      <c r="AC1381" s="1" t="n">
        <v>256208</v>
      </c>
    </row>
    <row r="1382" customFormat="false" ht="12.75" hidden="false" customHeight="true" outlineLevel="0" collapsed="false">
      <c r="A1382" s="11" t="n">
        <v>3</v>
      </c>
      <c r="B1382" s="12" t="n">
        <v>46238</v>
      </c>
      <c r="C1382" s="12" t="n">
        <v>46240</v>
      </c>
      <c r="D1382" s="11" t="n">
        <v>10096</v>
      </c>
      <c r="E1382" s="13" t="s">
        <v>1232</v>
      </c>
      <c r="F1382" s="11" t="n">
        <v>34</v>
      </c>
      <c r="G1382" s="13" t="s">
        <v>33</v>
      </c>
      <c r="H1382" s="11" t="n">
        <v>2110405</v>
      </c>
      <c r="I1382" s="13" t="s">
        <v>34</v>
      </c>
      <c r="J1382" s="11" t="n">
        <v>1503214</v>
      </c>
      <c r="L1382" s="11" t="n">
        <v>233412</v>
      </c>
      <c r="M1382" s="13" t="s">
        <v>44</v>
      </c>
      <c r="N1382" s="13" t="s">
        <v>36</v>
      </c>
      <c r="P1382" s="11" t="n">
        <v>167</v>
      </c>
      <c r="Q1382" s="13" t="s">
        <v>101</v>
      </c>
      <c r="R1382" s="13" t="s">
        <v>46</v>
      </c>
      <c r="S1382" s="11" t="n">
        <v>1130101</v>
      </c>
      <c r="T1382" s="13" t="s">
        <v>47</v>
      </c>
      <c r="U1382" s="14" t="n">
        <v>180</v>
      </c>
      <c r="W1382" s="14" t="n">
        <v>180</v>
      </c>
      <c r="X1382" s="13" t="s">
        <v>1426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BOLO MIYAZAKI GRANDE</v>
      </c>
      <c r="AC1382" s="1" t="n">
        <v>118</v>
      </c>
    </row>
    <row r="1383" customFormat="false" ht="12.75" hidden="false" customHeight="true" outlineLevel="0" collapsed="false">
      <c r="A1383" s="11" t="n">
        <v>3</v>
      </c>
      <c r="B1383" s="12" t="n">
        <v>46240</v>
      </c>
      <c r="C1383" s="12" t="n">
        <v>46240</v>
      </c>
      <c r="D1383" s="11" t="n">
        <v>42</v>
      </c>
      <c r="E1383" s="13" t="s">
        <v>80</v>
      </c>
      <c r="F1383" s="11" t="n">
        <v>13</v>
      </c>
      <c r="G1383" s="13" t="s">
        <v>81</v>
      </c>
      <c r="H1383" s="11" t="n">
        <v>2110101</v>
      </c>
      <c r="I1383" s="13" t="s">
        <v>43</v>
      </c>
      <c r="J1383" s="11" t="n">
        <v>1507944</v>
      </c>
      <c r="L1383" s="11" t="n">
        <v>4467</v>
      </c>
      <c r="M1383" s="13" t="s">
        <v>44</v>
      </c>
      <c r="N1383" s="13" t="s">
        <v>69</v>
      </c>
      <c r="P1383" s="11" t="n">
        <v>167</v>
      </c>
      <c r="Q1383" s="13" t="s">
        <v>101</v>
      </c>
      <c r="R1383" s="13" t="s">
        <v>46</v>
      </c>
      <c r="S1383" s="11" t="n">
        <v>1130101</v>
      </c>
      <c r="T1383" s="13" t="s">
        <v>47</v>
      </c>
      <c r="U1383" s="14" t="n">
        <v>145</v>
      </c>
      <c r="W1383" s="14" t="n">
        <v>145</v>
      </c>
      <c r="X1383" s="13" t="s">
        <v>1427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46240</v>
      </c>
      <c r="C1384" s="12" t="n">
        <v>46240</v>
      </c>
      <c r="D1384" s="11" t="n">
        <v>514</v>
      </c>
      <c r="E1384" s="13" t="s">
        <v>32</v>
      </c>
      <c r="F1384" s="11" t="n">
        <v>34</v>
      </c>
      <c r="G1384" s="13" t="s">
        <v>33</v>
      </c>
      <c r="H1384" s="11" t="n">
        <v>2110405</v>
      </c>
      <c r="I1384" s="13" t="s">
        <v>34</v>
      </c>
      <c r="J1384" s="11" t="n">
        <v>1508954</v>
      </c>
      <c r="L1384" s="11" t="n">
        <v>234280</v>
      </c>
      <c r="M1384" s="13" t="s">
        <v>44</v>
      </c>
      <c r="N1384" s="13" t="s">
        <v>36</v>
      </c>
      <c r="P1384" s="11" t="n">
        <v>102</v>
      </c>
      <c r="Q1384" s="13" t="s">
        <v>186</v>
      </c>
      <c r="R1384" s="13" t="s">
        <v>85</v>
      </c>
      <c r="S1384" s="11" t="n">
        <v>4210505</v>
      </c>
      <c r="T1384" s="13" t="s">
        <v>144</v>
      </c>
      <c r="U1384" s="14" t="n">
        <v>2.65</v>
      </c>
      <c r="W1384" s="14" t="n">
        <v>0</v>
      </c>
      <c r="X1384" s="13" t="s">
        <v>1428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46240</v>
      </c>
      <c r="C1385" s="12" t="n">
        <v>46240</v>
      </c>
      <c r="D1385" s="11" t="n">
        <v>514</v>
      </c>
      <c r="E1385" s="13" t="s">
        <v>32</v>
      </c>
      <c r="F1385" s="11" t="n">
        <v>34</v>
      </c>
      <c r="G1385" s="13" t="s">
        <v>33</v>
      </c>
      <c r="H1385" s="11" t="n">
        <v>2110405</v>
      </c>
      <c r="I1385" s="13" t="s">
        <v>34</v>
      </c>
      <c r="J1385" s="11" t="n">
        <v>1508958</v>
      </c>
      <c r="L1385" s="11" t="n">
        <v>234282</v>
      </c>
      <c r="M1385" s="13" t="s">
        <v>44</v>
      </c>
      <c r="N1385" s="13" t="s">
        <v>36</v>
      </c>
      <c r="P1385" s="11" t="n">
        <v>102</v>
      </c>
      <c r="Q1385" s="13" t="s">
        <v>186</v>
      </c>
      <c r="R1385" s="13" t="s">
        <v>85</v>
      </c>
      <c r="S1385" s="11" t="n">
        <v>4210505</v>
      </c>
      <c r="T1385" s="13" t="s">
        <v>144</v>
      </c>
      <c r="U1385" s="14" t="n">
        <v>0.05</v>
      </c>
      <c r="W1385" s="14" t="n">
        <v>0</v>
      </c>
      <c r="X1385" s="13" t="s">
        <v>1429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1" t="n">
        <v>3</v>
      </c>
      <c r="B1386" s="12" t="n">
        <v>46240</v>
      </c>
      <c r="C1386" s="12" t="n">
        <v>46240</v>
      </c>
      <c r="D1386" s="11" t="n">
        <v>514</v>
      </c>
      <c r="E1386" s="13" t="s">
        <v>32</v>
      </c>
      <c r="F1386" s="11" t="n">
        <v>34</v>
      </c>
      <c r="G1386" s="13" t="s">
        <v>33</v>
      </c>
      <c r="H1386" s="11" t="n">
        <v>2110405</v>
      </c>
      <c r="I1386" s="13" t="s">
        <v>34</v>
      </c>
      <c r="J1386" s="11" t="n">
        <v>1508974</v>
      </c>
      <c r="L1386" s="11" t="n">
        <v>234285</v>
      </c>
      <c r="M1386" s="13" t="s">
        <v>44</v>
      </c>
      <c r="N1386" s="13" t="s">
        <v>36</v>
      </c>
      <c r="P1386" s="11" t="n">
        <v>102</v>
      </c>
      <c r="Q1386" s="13" t="s">
        <v>186</v>
      </c>
      <c r="R1386" s="13" t="s">
        <v>85</v>
      </c>
      <c r="S1386" s="11" t="n">
        <v>4210502</v>
      </c>
      <c r="T1386" s="13" t="s">
        <v>187</v>
      </c>
      <c r="U1386" s="14" t="n">
        <v>5.08</v>
      </c>
      <c r="W1386" s="14" t="n">
        <v>0</v>
      </c>
      <c r="X1386" s="13" t="s">
        <v>1430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46240</v>
      </c>
      <c r="C1387" s="12" t="n">
        <v>46240</v>
      </c>
      <c r="D1387" s="11" t="n">
        <v>515</v>
      </c>
      <c r="E1387" s="13" t="s">
        <v>105</v>
      </c>
      <c r="F1387" s="11" t="n">
        <v>34</v>
      </c>
      <c r="G1387" s="13" t="s">
        <v>33</v>
      </c>
      <c r="H1387" s="11" t="n">
        <v>2110405</v>
      </c>
      <c r="I1387" s="13" t="s">
        <v>34</v>
      </c>
      <c r="J1387" s="11" t="n">
        <v>1508982</v>
      </c>
      <c r="L1387" s="11" t="n">
        <v>234286</v>
      </c>
      <c r="M1387" s="13" t="s">
        <v>44</v>
      </c>
      <c r="N1387" s="13" t="s">
        <v>36</v>
      </c>
      <c r="P1387" s="11" t="n">
        <v>102</v>
      </c>
      <c r="Q1387" s="13" t="s">
        <v>186</v>
      </c>
      <c r="R1387" s="13" t="s">
        <v>203</v>
      </c>
      <c r="S1387" s="11" t="n">
        <v>4220199</v>
      </c>
      <c r="T1387" s="13" t="s">
        <v>204</v>
      </c>
      <c r="U1387" s="14" t="n">
        <v>10</v>
      </c>
      <c r="W1387" s="14" t="n">
        <v>10</v>
      </c>
      <c r="X1387" s="13" t="s">
        <v>1431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46240</v>
      </c>
      <c r="C1388" s="12" t="n">
        <v>46240</v>
      </c>
      <c r="D1388" s="11" t="n">
        <v>42</v>
      </c>
      <c r="E1388" s="13" t="s">
        <v>80</v>
      </c>
      <c r="F1388" s="11" t="n">
        <v>13</v>
      </c>
      <c r="G1388" s="13" t="s">
        <v>81</v>
      </c>
      <c r="H1388" s="11" t="n">
        <v>2110101</v>
      </c>
      <c r="I1388" s="13" t="s">
        <v>43</v>
      </c>
      <c r="J1388" s="11" t="n">
        <v>1509300</v>
      </c>
      <c r="L1388" s="11" t="n">
        <v>4468</v>
      </c>
      <c r="M1388" s="13" t="s">
        <v>44</v>
      </c>
      <c r="N1388" s="13" t="s">
        <v>69</v>
      </c>
      <c r="P1388" s="11" t="n">
        <v>167</v>
      </c>
      <c r="Q1388" s="13" t="s">
        <v>101</v>
      </c>
      <c r="R1388" s="13" t="s">
        <v>46</v>
      </c>
      <c r="S1388" s="11" t="n">
        <v>1130101</v>
      </c>
      <c r="T1388" s="13" t="s">
        <v>47</v>
      </c>
      <c r="U1388" s="14" t="n">
        <v>125</v>
      </c>
      <c r="W1388" s="14" t="n">
        <v>125</v>
      </c>
      <c r="X1388" s="13" t="s">
        <v>1432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1" t="n">
        <v>3</v>
      </c>
      <c r="B1389" s="12" t="n">
        <v>46240</v>
      </c>
      <c r="C1389" s="12" t="n">
        <v>46240</v>
      </c>
      <c r="D1389" s="11" t="n">
        <v>239</v>
      </c>
      <c r="E1389" s="13" t="s">
        <v>96</v>
      </c>
      <c r="F1389" s="11" t="n">
        <v>34</v>
      </c>
      <c r="G1389" s="13" t="s">
        <v>33</v>
      </c>
      <c r="H1389" s="11" t="n">
        <v>2110405</v>
      </c>
      <c r="I1389" s="13" t="s">
        <v>34</v>
      </c>
      <c r="J1389" s="11" t="n">
        <v>1512818</v>
      </c>
      <c r="L1389" s="11" t="n">
        <v>234774</v>
      </c>
      <c r="M1389" s="13" t="s">
        <v>44</v>
      </c>
      <c r="N1389" s="13" t="s">
        <v>36</v>
      </c>
      <c r="P1389" s="11" t="n">
        <v>167</v>
      </c>
      <c r="Q1389" s="13" t="s">
        <v>101</v>
      </c>
      <c r="R1389" s="13" t="s">
        <v>72</v>
      </c>
      <c r="S1389" s="11" t="n">
        <v>4210301</v>
      </c>
      <c r="T1389" s="13" t="s">
        <v>230</v>
      </c>
      <c r="U1389" s="14" t="n">
        <v>1165.68</v>
      </c>
      <c r="W1389" s="14" t="n">
        <v>1165.68</v>
      </c>
      <c r="X1389" s="13" t="s">
        <v>1433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1" t="n">
        <v>3</v>
      </c>
      <c r="B1390" s="12" t="n">
        <v>46240</v>
      </c>
      <c r="C1390" s="12" t="n">
        <v>46240</v>
      </c>
      <c r="D1390" s="11" t="n">
        <v>10070</v>
      </c>
      <c r="E1390" s="13" t="s">
        <v>93</v>
      </c>
      <c r="F1390" s="11" t="n">
        <v>34</v>
      </c>
      <c r="G1390" s="13" t="s">
        <v>33</v>
      </c>
      <c r="H1390" s="11" t="n">
        <v>2110405</v>
      </c>
      <c r="I1390" s="13" t="s">
        <v>34</v>
      </c>
      <c r="J1390" s="11" t="n">
        <v>1512825</v>
      </c>
      <c r="L1390" s="11" t="n">
        <v>234778</v>
      </c>
      <c r="M1390" s="13" t="s">
        <v>44</v>
      </c>
      <c r="N1390" s="13" t="s">
        <v>36</v>
      </c>
      <c r="P1390" s="11" t="n">
        <v>167</v>
      </c>
      <c r="Q1390" s="13" t="s">
        <v>101</v>
      </c>
      <c r="R1390" s="13" t="s">
        <v>72</v>
      </c>
      <c r="S1390" s="11" t="n">
        <v>4210301</v>
      </c>
      <c r="T1390" s="13" t="s">
        <v>230</v>
      </c>
      <c r="U1390" s="14" t="n">
        <v>921.18</v>
      </c>
      <c r="W1390" s="14" t="n">
        <v>921.18</v>
      </c>
      <c r="X1390" s="13" t="s">
        <v>1433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1" t="n">
        <v>3</v>
      </c>
      <c r="B1391" s="12" t="n">
        <v>46240</v>
      </c>
      <c r="C1391" s="12" t="n">
        <v>46240</v>
      </c>
      <c r="D1391" s="11" t="n">
        <v>10053</v>
      </c>
      <c r="E1391" s="13" t="s">
        <v>101</v>
      </c>
      <c r="F1391" s="11" t="n">
        <v>34</v>
      </c>
      <c r="G1391" s="13" t="s">
        <v>33</v>
      </c>
      <c r="H1391" s="11" t="n">
        <v>2110405</v>
      </c>
      <c r="I1391" s="13" t="s">
        <v>34</v>
      </c>
      <c r="J1391" s="11" t="n">
        <v>1512834</v>
      </c>
      <c r="L1391" s="11" t="n">
        <v>234780</v>
      </c>
      <c r="M1391" s="13" t="s">
        <v>44</v>
      </c>
      <c r="N1391" s="13" t="s">
        <v>36</v>
      </c>
      <c r="P1391" s="11" t="n">
        <v>167</v>
      </c>
      <c r="Q1391" s="13" t="s">
        <v>101</v>
      </c>
      <c r="R1391" s="13" t="s">
        <v>72</v>
      </c>
      <c r="S1391" s="11" t="n">
        <v>4210301</v>
      </c>
      <c r="T1391" s="13" t="s">
        <v>230</v>
      </c>
      <c r="U1391" s="14" t="n">
        <v>1076.05</v>
      </c>
      <c r="W1391" s="14" t="n">
        <v>1076.05</v>
      </c>
      <c r="X1391" s="13" t="s">
        <v>1433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46240</v>
      </c>
      <c r="C1392" s="12" t="n">
        <v>46240</v>
      </c>
      <c r="D1392" s="11" t="n">
        <v>389</v>
      </c>
      <c r="E1392" s="13" t="s">
        <v>99</v>
      </c>
      <c r="F1392" s="11" t="n">
        <v>34</v>
      </c>
      <c r="G1392" s="13" t="s">
        <v>33</v>
      </c>
      <c r="H1392" s="11" t="n">
        <v>2110405</v>
      </c>
      <c r="I1392" s="13" t="s">
        <v>34</v>
      </c>
      <c r="J1392" s="11" t="n">
        <v>1512843</v>
      </c>
      <c r="L1392" s="11" t="n">
        <v>234781</v>
      </c>
      <c r="M1392" s="13" t="s">
        <v>44</v>
      </c>
      <c r="N1392" s="13" t="s">
        <v>36</v>
      </c>
      <c r="P1392" s="11" t="n">
        <v>167</v>
      </c>
      <c r="Q1392" s="13" t="s">
        <v>101</v>
      </c>
      <c r="R1392" s="13" t="s">
        <v>72</v>
      </c>
      <c r="S1392" s="11" t="n">
        <v>4210301</v>
      </c>
      <c r="T1392" s="13" t="s">
        <v>230</v>
      </c>
      <c r="U1392" s="14" t="n">
        <v>746.29</v>
      </c>
      <c r="W1392" s="14" t="n">
        <v>746.29</v>
      </c>
      <c r="X1392" s="13" t="s">
        <v>1433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12.75" hidden="false" customHeight="true" outlineLevel="0" collapsed="false">
      <c r="A1393" s="11" t="n">
        <v>3</v>
      </c>
      <c r="B1393" s="12" t="n">
        <v>46240</v>
      </c>
      <c r="C1393" s="12" t="n">
        <v>46240</v>
      </c>
      <c r="D1393" s="11" t="n">
        <v>35</v>
      </c>
      <c r="E1393" s="13" t="s">
        <v>45</v>
      </c>
      <c r="F1393" s="11" t="n">
        <v>34</v>
      </c>
      <c r="G1393" s="13" t="s">
        <v>33</v>
      </c>
      <c r="H1393" s="11" t="n">
        <v>2110405</v>
      </c>
      <c r="I1393" s="13" t="s">
        <v>34</v>
      </c>
      <c r="J1393" s="11" t="n">
        <v>1512852</v>
      </c>
      <c r="L1393" s="11" t="n">
        <v>234784</v>
      </c>
      <c r="M1393" s="13" t="s">
        <v>44</v>
      </c>
      <c r="N1393" s="13" t="s">
        <v>36</v>
      </c>
      <c r="P1393" s="11" t="n">
        <v>167</v>
      </c>
      <c r="Q1393" s="13" t="s">
        <v>101</v>
      </c>
      <c r="R1393" s="13" t="s">
        <v>72</v>
      </c>
      <c r="S1393" s="11" t="n">
        <v>4210301</v>
      </c>
      <c r="T1393" s="13" t="s">
        <v>230</v>
      </c>
      <c r="U1393" s="14" t="n">
        <v>1576.97</v>
      </c>
      <c r="W1393" s="14" t="n">
        <v>1576.97</v>
      </c>
      <c r="X1393" s="13" t="s">
        <v>1433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1" t="n">
        <v>3</v>
      </c>
      <c r="B1394" s="12" t="n">
        <v>46240</v>
      </c>
      <c r="C1394" s="12" t="n">
        <v>46240</v>
      </c>
      <c r="D1394" s="11" t="n">
        <v>41</v>
      </c>
      <c r="E1394" s="13" t="s">
        <v>90</v>
      </c>
      <c r="F1394" s="11" t="n">
        <v>34</v>
      </c>
      <c r="G1394" s="13" t="s">
        <v>33</v>
      </c>
      <c r="H1394" s="11" t="n">
        <v>2110405</v>
      </c>
      <c r="I1394" s="13" t="s">
        <v>34</v>
      </c>
      <c r="J1394" s="11" t="n">
        <v>1512854</v>
      </c>
      <c r="L1394" s="11" t="n">
        <v>234785</v>
      </c>
      <c r="M1394" s="13" t="s">
        <v>44</v>
      </c>
      <c r="N1394" s="13" t="s">
        <v>36</v>
      </c>
      <c r="P1394" s="11" t="n">
        <v>167</v>
      </c>
      <c r="Q1394" s="13" t="s">
        <v>101</v>
      </c>
      <c r="R1394" s="13" t="s">
        <v>72</v>
      </c>
      <c r="S1394" s="11" t="n">
        <v>4210301</v>
      </c>
      <c r="T1394" s="13" t="s">
        <v>230</v>
      </c>
      <c r="U1394" s="14" t="n">
        <v>854.15</v>
      </c>
      <c r="W1394" s="14" t="n">
        <v>854.15</v>
      </c>
      <c r="X1394" s="13" t="s">
        <v>1433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1" t="n">
        <v>3</v>
      </c>
      <c r="B1395" s="12" t="n">
        <v>46240</v>
      </c>
      <c r="C1395" s="12" t="n">
        <v>46240</v>
      </c>
      <c r="D1395" s="11" t="n">
        <v>313</v>
      </c>
      <c r="E1395" s="13" t="s">
        <v>92</v>
      </c>
      <c r="F1395" s="11" t="n">
        <v>34</v>
      </c>
      <c r="G1395" s="13" t="s">
        <v>33</v>
      </c>
      <c r="H1395" s="11" t="n">
        <v>2110405</v>
      </c>
      <c r="I1395" s="13" t="s">
        <v>34</v>
      </c>
      <c r="J1395" s="11" t="n">
        <v>1512856</v>
      </c>
      <c r="L1395" s="11" t="n">
        <v>234786</v>
      </c>
      <c r="M1395" s="13" t="s">
        <v>44</v>
      </c>
      <c r="N1395" s="13" t="s">
        <v>36</v>
      </c>
      <c r="P1395" s="11" t="n">
        <v>167</v>
      </c>
      <c r="Q1395" s="13" t="s">
        <v>101</v>
      </c>
      <c r="R1395" s="13" t="s">
        <v>72</v>
      </c>
      <c r="S1395" s="11" t="n">
        <v>4210301</v>
      </c>
      <c r="T1395" s="13" t="s">
        <v>230</v>
      </c>
      <c r="U1395" s="14" t="n">
        <v>997.07</v>
      </c>
      <c r="W1395" s="14" t="n">
        <v>997.07</v>
      </c>
      <c r="X1395" s="13" t="s">
        <v>1433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1" t="n">
        <v>3</v>
      </c>
      <c r="B1396" s="12" t="n">
        <v>46240</v>
      </c>
      <c r="C1396" s="12" t="n">
        <v>46240</v>
      </c>
      <c r="D1396" s="11" t="n">
        <v>83</v>
      </c>
      <c r="E1396" s="13" t="s">
        <v>102</v>
      </c>
      <c r="F1396" s="11" t="n">
        <v>34</v>
      </c>
      <c r="G1396" s="13" t="s">
        <v>33</v>
      </c>
      <c r="H1396" s="11" t="n">
        <v>2110405</v>
      </c>
      <c r="I1396" s="13" t="s">
        <v>34</v>
      </c>
      <c r="J1396" s="11" t="n">
        <v>1512863</v>
      </c>
      <c r="L1396" s="11" t="n">
        <v>234787</v>
      </c>
      <c r="M1396" s="13" t="s">
        <v>44</v>
      </c>
      <c r="N1396" s="13" t="s">
        <v>36</v>
      </c>
      <c r="P1396" s="11" t="n">
        <v>167</v>
      </c>
      <c r="Q1396" s="13" t="s">
        <v>101</v>
      </c>
      <c r="R1396" s="13" t="s">
        <v>72</v>
      </c>
      <c r="S1396" s="11" t="n">
        <v>4210301</v>
      </c>
      <c r="T1396" s="13" t="s">
        <v>230</v>
      </c>
      <c r="U1396" s="14" t="n">
        <v>67.54</v>
      </c>
      <c r="W1396" s="14" t="n">
        <v>67.54</v>
      </c>
      <c r="X1396" s="13" t="s">
        <v>1433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1" t="n">
        <v>3</v>
      </c>
      <c r="B1397" s="12" t="n">
        <v>46240</v>
      </c>
      <c r="C1397" s="12" t="n">
        <v>46240</v>
      </c>
      <c r="D1397" s="11" t="n">
        <v>320</v>
      </c>
      <c r="E1397" s="13" t="s">
        <v>100</v>
      </c>
      <c r="F1397" s="11" t="n">
        <v>34</v>
      </c>
      <c r="G1397" s="13" t="s">
        <v>33</v>
      </c>
      <c r="H1397" s="11" t="n">
        <v>2110405</v>
      </c>
      <c r="I1397" s="13" t="s">
        <v>34</v>
      </c>
      <c r="J1397" s="11" t="n">
        <v>1512867</v>
      </c>
      <c r="L1397" s="11" t="n">
        <v>234789</v>
      </c>
      <c r="M1397" s="13" t="s">
        <v>44</v>
      </c>
      <c r="N1397" s="13" t="s">
        <v>36</v>
      </c>
      <c r="P1397" s="11" t="n">
        <v>167</v>
      </c>
      <c r="Q1397" s="13" t="s">
        <v>101</v>
      </c>
      <c r="R1397" s="13" t="s">
        <v>72</v>
      </c>
      <c r="S1397" s="11" t="n">
        <v>4210301</v>
      </c>
      <c r="T1397" s="13" t="s">
        <v>230</v>
      </c>
      <c r="U1397" s="14" t="n">
        <v>864.82</v>
      </c>
      <c r="W1397" s="14" t="n">
        <v>864.82</v>
      </c>
      <c r="X1397" s="13" t="s">
        <v>1433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1" t="n">
        <v>3</v>
      </c>
      <c r="B1398" s="12" t="n">
        <v>46240</v>
      </c>
      <c r="C1398" s="12" t="n">
        <v>46240</v>
      </c>
      <c r="D1398" s="11" t="n">
        <v>332</v>
      </c>
      <c r="E1398" s="13" t="s">
        <v>91</v>
      </c>
      <c r="F1398" s="11" t="n">
        <v>34</v>
      </c>
      <c r="G1398" s="13" t="s">
        <v>33</v>
      </c>
      <c r="H1398" s="11" t="n">
        <v>2110405</v>
      </c>
      <c r="I1398" s="13" t="s">
        <v>34</v>
      </c>
      <c r="J1398" s="11" t="n">
        <v>1512870</v>
      </c>
      <c r="L1398" s="11" t="n">
        <v>234790</v>
      </c>
      <c r="M1398" s="13" t="s">
        <v>44</v>
      </c>
      <c r="N1398" s="13" t="s">
        <v>36</v>
      </c>
      <c r="P1398" s="11" t="n">
        <v>167</v>
      </c>
      <c r="Q1398" s="13" t="s">
        <v>101</v>
      </c>
      <c r="R1398" s="13" t="s">
        <v>72</v>
      </c>
      <c r="S1398" s="11" t="n">
        <v>4210301</v>
      </c>
      <c r="T1398" s="13" t="s">
        <v>230</v>
      </c>
      <c r="U1398" s="14" t="n">
        <v>658.49</v>
      </c>
      <c r="W1398" s="14" t="n">
        <v>658.49</v>
      </c>
      <c r="X1398" s="13" t="s">
        <v>1433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1" t="n">
        <v>3</v>
      </c>
      <c r="B1399" s="12" t="n">
        <v>46240</v>
      </c>
      <c r="C1399" s="12" t="n">
        <v>46240</v>
      </c>
      <c r="D1399" s="11" t="n">
        <v>10072</v>
      </c>
      <c r="E1399" s="13" t="s">
        <v>98</v>
      </c>
      <c r="F1399" s="11" t="n">
        <v>34</v>
      </c>
      <c r="G1399" s="13" t="s">
        <v>33</v>
      </c>
      <c r="H1399" s="11" t="n">
        <v>2110405</v>
      </c>
      <c r="I1399" s="13" t="s">
        <v>34</v>
      </c>
      <c r="J1399" s="11" t="n">
        <v>1512874</v>
      </c>
      <c r="L1399" s="11" t="n">
        <v>234792</v>
      </c>
      <c r="M1399" s="13" t="s">
        <v>44</v>
      </c>
      <c r="N1399" s="13" t="s">
        <v>36</v>
      </c>
      <c r="P1399" s="11" t="n">
        <v>167</v>
      </c>
      <c r="Q1399" s="13" t="s">
        <v>101</v>
      </c>
      <c r="R1399" s="13" t="s">
        <v>72</v>
      </c>
      <c r="S1399" s="11" t="n">
        <v>4210301</v>
      </c>
      <c r="T1399" s="13" t="s">
        <v>230</v>
      </c>
      <c r="U1399" s="14" t="n">
        <v>1261.72</v>
      </c>
      <c r="W1399" s="14" t="n">
        <v>1261.72</v>
      </c>
      <c r="X1399" s="13" t="s">
        <v>1433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46240</v>
      </c>
      <c r="C1400" s="12" t="n">
        <v>46240</v>
      </c>
      <c r="D1400" s="11" t="n">
        <v>200</v>
      </c>
      <c r="E1400" s="13" t="s">
        <v>94</v>
      </c>
      <c r="F1400" s="11" t="n">
        <v>34</v>
      </c>
      <c r="G1400" s="13" t="s">
        <v>33</v>
      </c>
      <c r="H1400" s="11" t="n">
        <v>2110405</v>
      </c>
      <c r="I1400" s="13" t="s">
        <v>34</v>
      </c>
      <c r="J1400" s="11" t="n">
        <v>1512879</v>
      </c>
      <c r="L1400" s="11" t="n">
        <v>234794</v>
      </c>
      <c r="M1400" s="13" t="s">
        <v>44</v>
      </c>
      <c r="N1400" s="13" t="s">
        <v>36</v>
      </c>
      <c r="P1400" s="11" t="n">
        <v>167</v>
      </c>
      <c r="Q1400" s="13" t="s">
        <v>101</v>
      </c>
      <c r="R1400" s="13" t="s">
        <v>72</v>
      </c>
      <c r="S1400" s="11" t="n">
        <v>4210301</v>
      </c>
      <c r="T1400" s="13" t="s">
        <v>230</v>
      </c>
      <c r="U1400" s="14" t="n">
        <v>1170.71</v>
      </c>
      <c r="W1400" s="14" t="n">
        <v>1170.71</v>
      </c>
      <c r="X1400" s="13" t="s">
        <v>1433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46240</v>
      </c>
      <c r="C1401" s="12" t="n">
        <v>46240</v>
      </c>
      <c r="D1401" s="11" t="n">
        <v>32</v>
      </c>
      <c r="E1401" s="13" t="s">
        <v>202</v>
      </c>
      <c r="F1401" s="11" t="n">
        <v>7</v>
      </c>
      <c r="G1401" s="13" t="s">
        <v>229</v>
      </c>
      <c r="H1401" s="11" t="n">
        <v>2110405</v>
      </c>
      <c r="I1401" s="13" t="s">
        <v>34</v>
      </c>
      <c r="J1401" s="11" t="n">
        <v>1512894</v>
      </c>
      <c r="L1401" s="11" t="n">
        <v>234801</v>
      </c>
      <c r="M1401" s="13" t="s">
        <v>44</v>
      </c>
      <c r="N1401" s="13" t="s">
        <v>36</v>
      </c>
      <c r="P1401" s="11" t="n">
        <v>167</v>
      </c>
      <c r="Q1401" s="13" t="s">
        <v>101</v>
      </c>
      <c r="R1401" s="13" t="s">
        <v>72</v>
      </c>
      <c r="S1401" s="11" t="n">
        <v>4210301</v>
      </c>
      <c r="T1401" s="13" t="s">
        <v>230</v>
      </c>
      <c r="U1401" s="14" t="n">
        <v>1066.32</v>
      </c>
      <c r="W1401" s="14" t="n">
        <v>0</v>
      </c>
      <c r="X1401" s="13" t="s">
        <v>1434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1" t="n">
        <v>3</v>
      </c>
      <c r="B1402" s="12" t="n">
        <v>46240</v>
      </c>
      <c r="C1402" s="12" t="n">
        <v>46240</v>
      </c>
      <c r="D1402" s="11" t="n">
        <v>239</v>
      </c>
      <c r="E1402" s="13" t="s">
        <v>96</v>
      </c>
      <c r="F1402" s="11" t="n">
        <v>7</v>
      </c>
      <c r="G1402" s="13" t="s">
        <v>229</v>
      </c>
      <c r="H1402" s="11" t="n">
        <v>2110405</v>
      </c>
      <c r="I1402" s="13" t="s">
        <v>34</v>
      </c>
      <c r="J1402" s="11" t="n">
        <v>1512896</v>
      </c>
      <c r="L1402" s="11" t="n">
        <v>234804</v>
      </c>
      <c r="M1402" s="13" t="s">
        <v>44</v>
      </c>
      <c r="N1402" s="13" t="s">
        <v>36</v>
      </c>
      <c r="P1402" s="11" t="n">
        <v>167</v>
      </c>
      <c r="Q1402" s="13" t="s">
        <v>101</v>
      </c>
      <c r="R1402" s="13" t="s">
        <v>72</v>
      </c>
      <c r="S1402" s="11" t="n">
        <v>4210301</v>
      </c>
      <c r="T1402" s="13" t="s">
        <v>230</v>
      </c>
      <c r="U1402" s="14" t="n">
        <v>498.56</v>
      </c>
      <c r="W1402" s="14" t="n">
        <v>0</v>
      </c>
      <c r="X1402" s="13" t="s">
        <v>1434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46240</v>
      </c>
      <c r="C1403" s="12" t="n">
        <v>46240</v>
      </c>
      <c r="D1403" s="11" t="n">
        <v>10070</v>
      </c>
      <c r="E1403" s="13" t="s">
        <v>93</v>
      </c>
      <c r="F1403" s="11" t="n">
        <v>7</v>
      </c>
      <c r="G1403" s="13" t="s">
        <v>229</v>
      </c>
      <c r="H1403" s="11" t="n">
        <v>2110405</v>
      </c>
      <c r="I1403" s="13" t="s">
        <v>34</v>
      </c>
      <c r="J1403" s="11" t="n">
        <v>1512898</v>
      </c>
      <c r="L1403" s="11" t="n">
        <v>234805</v>
      </c>
      <c r="M1403" s="13" t="s">
        <v>44</v>
      </c>
      <c r="N1403" s="13" t="s">
        <v>36</v>
      </c>
      <c r="P1403" s="11" t="n">
        <v>167</v>
      </c>
      <c r="Q1403" s="13" t="s">
        <v>101</v>
      </c>
      <c r="R1403" s="13" t="s">
        <v>72</v>
      </c>
      <c r="S1403" s="11" t="n">
        <v>4210301</v>
      </c>
      <c r="T1403" s="13" t="s">
        <v>230</v>
      </c>
      <c r="U1403" s="14" t="n">
        <v>743.06</v>
      </c>
      <c r="W1403" s="14" t="n">
        <v>0</v>
      </c>
      <c r="X1403" s="13" t="s">
        <v>1434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1" t="n">
        <v>3</v>
      </c>
      <c r="B1404" s="12" t="n">
        <v>46240</v>
      </c>
      <c r="C1404" s="12" t="n">
        <v>46240</v>
      </c>
      <c r="D1404" s="11" t="n">
        <v>10053</v>
      </c>
      <c r="E1404" s="13" t="s">
        <v>101</v>
      </c>
      <c r="F1404" s="11" t="n">
        <v>7</v>
      </c>
      <c r="G1404" s="13" t="s">
        <v>229</v>
      </c>
      <c r="H1404" s="11" t="n">
        <v>2110405</v>
      </c>
      <c r="I1404" s="13" t="s">
        <v>34</v>
      </c>
      <c r="J1404" s="11" t="n">
        <v>1512901</v>
      </c>
      <c r="L1404" s="11" t="n">
        <v>234806</v>
      </c>
      <c r="M1404" s="13" t="s">
        <v>44</v>
      </c>
      <c r="N1404" s="13" t="s">
        <v>36</v>
      </c>
      <c r="P1404" s="11" t="n">
        <v>167</v>
      </c>
      <c r="Q1404" s="13" t="s">
        <v>101</v>
      </c>
      <c r="R1404" s="13" t="s">
        <v>72</v>
      </c>
      <c r="S1404" s="11" t="n">
        <v>4210301</v>
      </c>
      <c r="T1404" s="13" t="s">
        <v>230</v>
      </c>
      <c r="U1404" s="14" t="n">
        <v>562.81</v>
      </c>
      <c r="W1404" s="14" t="n">
        <v>0</v>
      </c>
      <c r="X1404" s="13" t="s">
        <v>1434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1" t="n">
        <v>3</v>
      </c>
      <c r="B1405" s="12" t="n">
        <v>46240</v>
      </c>
      <c r="C1405" s="12" t="n">
        <v>46240</v>
      </c>
      <c r="D1405" s="11" t="n">
        <v>389</v>
      </c>
      <c r="E1405" s="13" t="s">
        <v>99</v>
      </c>
      <c r="F1405" s="11" t="n">
        <v>7</v>
      </c>
      <c r="G1405" s="13" t="s">
        <v>229</v>
      </c>
      <c r="H1405" s="11" t="n">
        <v>2110405</v>
      </c>
      <c r="I1405" s="13" t="s">
        <v>34</v>
      </c>
      <c r="J1405" s="11" t="n">
        <v>1512908</v>
      </c>
      <c r="L1405" s="11" t="n">
        <v>234808</v>
      </c>
      <c r="M1405" s="13" t="s">
        <v>44</v>
      </c>
      <c r="N1405" s="13" t="s">
        <v>36</v>
      </c>
      <c r="P1405" s="11" t="n">
        <v>167</v>
      </c>
      <c r="Q1405" s="13" t="s">
        <v>101</v>
      </c>
      <c r="R1405" s="13" t="s">
        <v>72</v>
      </c>
      <c r="S1405" s="11" t="n">
        <v>4210301</v>
      </c>
      <c r="T1405" s="13" t="s">
        <v>230</v>
      </c>
      <c r="U1405" s="14" t="n">
        <v>444.15</v>
      </c>
      <c r="W1405" s="14" t="n">
        <v>0</v>
      </c>
      <c r="X1405" s="13" t="s">
        <v>1434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46240</v>
      </c>
      <c r="C1406" s="12" t="n">
        <v>46240</v>
      </c>
      <c r="D1406" s="11" t="n">
        <v>41</v>
      </c>
      <c r="E1406" s="13" t="s">
        <v>90</v>
      </c>
      <c r="F1406" s="11" t="n">
        <v>7</v>
      </c>
      <c r="G1406" s="13" t="s">
        <v>229</v>
      </c>
      <c r="H1406" s="11" t="n">
        <v>2110405</v>
      </c>
      <c r="I1406" s="13" t="s">
        <v>34</v>
      </c>
      <c r="J1406" s="11" t="n">
        <v>1512910</v>
      </c>
      <c r="L1406" s="11" t="n">
        <v>234810</v>
      </c>
      <c r="M1406" s="13" t="s">
        <v>44</v>
      </c>
      <c r="N1406" s="13" t="s">
        <v>36</v>
      </c>
      <c r="P1406" s="11" t="n">
        <v>167</v>
      </c>
      <c r="Q1406" s="13" t="s">
        <v>101</v>
      </c>
      <c r="R1406" s="13" t="s">
        <v>72</v>
      </c>
      <c r="S1406" s="11" t="n">
        <v>4210301</v>
      </c>
      <c r="T1406" s="13" t="s">
        <v>230</v>
      </c>
      <c r="U1406" s="14" t="n">
        <v>638.88</v>
      </c>
      <c r="W1406" s="14" t="n">
        <v>0</v>
      </c>
      <c r="X1406" s="13" t="s">
        <v>1434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46240</v>
      </c>
      <c r="C1407" s="12" t="n">
        <v>46240</v>
      </c>
      <c r="D1407" s="11" t="n">
        <v>313</v>
      </c>
      <c r="E1407" s="13" t="s">
        <v>92</v>
      </c>
      <c r="F1407" s="11" t="n">
        <v>7</v>
      </c>
      <c r="G1407" s="13" t="s">
        <v>229</v>
      </c>
      <c r="H1407" s="11" t="n">
        <v>2110405</v>
      </c>
      <c r="I1407" s="13" t="s">
        <v>34</v>
      </c>
      <c r="J1407" s="11" t="n">
        <v>1512911</v>
      </c>
      <c r="L1407" s="11" t="n">
        <v>234811</v>
      </c>
      <c r="M1407" s="13" t="s">
        <v>44</v>
      </c>
      <c r="N1407" s="13" t="s">
        <v>36</v>
      </c>
      <c r="P1407" s="11" t="n">
        <v>167</v>
      </c>
      <c r="Q1407" s="13" t="s">
        <v>101</v>
      </c>
      <c r="R1407" s="13" t="s">
        <v>72</v>
      </c>
      <c r="S1407" s="11" t="n">
        <v>4210301</v>
      </c>
      <c r="T1407" s="13" t="s">
        <v>230</v>
      </c>
      <c r="U1407" s="14" t="n">
        <v>494.97</v>
      </c>
      <c r="W1407" s="14" t="n">
        <v>0</v>
      </c>
      <c r="X1407" s="13" t="s">
        <v>1434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1" t="n">
        <v>3</v>
      </c>
      <c r="B1408" s="12" t="n">
        <v>46240</v>
      </c>
      <c r="C1408" s="12" t="n">
        <v>46240</v>
      </c>
      <c r="D1408" s="11" t="n">
        <v>320</v>
      </c>
      <c r="E1408" s="13" t="s">
        <v>100</v>
      </c>
      <c r="F1408" s="11" t="n">
        <v>7</v>
      </c>
      <c r="G1408" s="13" t="s">
        <v>229</v>
      </c>
      <c r="H1408" s="11" t="n">
        <v>2110405</v>
      </c>
      <c r="I1408" s="13" t="s">
        <v>34</v>
      </c>
      <c r="J1408" s="11" t="n">
        <v>1512914</v>
      </c>
      <c r="L1408" s="11" t="n">
        <v>234813</v>
      </c>
      <c r="M1408" s="13" t="s">
        <v>44</v>
      </c>
      <c r="N1408" s="13" t="s">
        <v>36</v>
      </c>
      <c r="P1408" s="11" t="n">
        <v>167</v>
      </c>
      <c r="Q1408" s="13" t="s">
        <v>101</v>
      </c>
      <c r="R1408" s="13" t="s">
        <v>72</v>
      </c>
      <c r="S1408" s="11" t="n">
        <v>4210301</v>
      </c>
      <c r="T1408" s="13" t="s">
        <v>230</v>
      </c>
      <c r="U1408" s="14" t="n">
        <v>540.15</v>
      </c>
      <c r="W1408" s="14" t="n">
        <v>0</v>
      </c>
      <c r="X1408" s="13" t="s">
        <v>1434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46240</v>
      </c>
      <c r="C1409" s="12" t="n">
        <v>46240</v>
      </c>
      <c r="D1409" s="11" t="n">
        <v>332</v>
      </c>
      <c r="E1409" s="13" t="s">
        <v>91</v>
      </c>
      <c r="F1409" s="11" t="n">
        <v>7</v>
      </c>
      <c r="G1409" s="13" t="s">
        <v>229</v>
      </c>
      <c r="H1409" s="11" t="n">
        <v>2110405</v>
      </c>
      <c r="I1409" s="13" t="s">
        <v>34</v>
      </c>
      <c r="J1409" s="11" t="n">
        <v>1512919</v>
      </c>
      <c r="L1409" s="11" t="n">
        <v>234814</v>
      </c>
      <c r="M1409" s="13" t="s">
        <v>44</v>
      </c>
      <c r="N1409" s="13" t="s">
        <v>36</v>
      </c>
      <c r="P1409" s="11" t="n">
        <v>167</v>
      </c>
      <c r="Q1409" s="13" t="s">
        <v>101</v>
      </c>
      <c r="R1409" s="13" t="s">
        <v>72</v>
      </c>
      <c r="S1409" s="11" t="n">
        <v>4210301</v>
      </c>
      <c r="T1409" s="13" t="s">
        <v>230</v>
      </c>
      <c r="U1409" s="14" t="n">
        <v>532.51</v>
      </c>
      <c r="W1409" s="14" t="n">
        <v>0</v>
      </c>
      <c r="X1409" s="13" t="s">
        <v>1434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46240</v>
      </c>
      <c r="C1410" s="12" t="n">
        <v>46240</v>
      </c>
      <c r="D1410" s="11" t="n">
        <v>10072</v>
      </c>
      <c r="E1410" s="13" t="s">
        <v>98</v>
      </c>
      <c r="F1410" s="11" t="n">
        <v>7</v>
      </c>
      <c r="G1410" s="13" t="s">
        <v>229</v>
      </c>
      <c r="H1410" s="11" t="n">
        <v>2110405</v>
      </c>
      <c r="I1410" s="13" t="s">
        <v>34</v>
      </c>
      <c r="J1410" s="11" t="n">
        <v>1512924</v>
      </c>
      <c r="L1410" s="11" t="n">
        <v>234815</v>
      </c>
      <c r="M1410" s="13" t="s">
        <v>44</v>
      </c>
      <c r="N1410" s="13" t="s">
        <v>36</v>
      </c>
      <c r="P1410" s="11" t="n">
        <v>167</v>
      </c>
      <c r="Q1410" s="13" t="s">
        <v>101</v>
      </c>
      <c r="R1410" s="13" t="s">
        <v>72</v>
      </c>
      <c r="S1410" s="11" t="n">
        <v>4210301</v>
      </c>
      <c r="T1410" s="13" t="s">
        <v>230</v>
      </c>
      <c r="U1410" s="14" t="n">
        <v>396.5</v>
      </c>
      <c r="W1410" s="14" t="n">
        <v>0</v>
      </c>
      <c r="X1410" s="13" t="s">
        <v>1434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46240</v>
      </c>
      <c r="C1411" s="12" t="n">
        <v>46240</v>
      </c>
      <c r="D1411" s="11" t="n">
        <v>200</v>
      </c>
      <c r="E1411" s="13" t="s">
        <v>94</v>
      </c>
      <c r="F1411" s="11" t="n">
        <v>7</v>
      </c>
      <c r="G1411" s="13" t="s">
        <v>229</v>
      </c>
      <c r="H1411" s="11" t="n">
        <v>2110405</v>
      </c>
      <c r="I1411" s="13" t="s">
        <v>34</v>
      </c>
      <c r="J1411" s="11" t="n">
        <v>1512947</v>
      </c>
      <c r="L1411" s="11" t="n">
        <v>234820</v>
      </c>
      <c r="M1411" s="13" t="s">
        <v>44</v>
      </c>
      <c r="N1411" s="13" t="s">
        <v>36</v>
      </c>
      <c r="P1411" s="11" t="n">
        <v>167</v>
      </c>
      <c r="Q1411" s="13" t="s">
        <v>101</v>
      </c>
      <c r="R1411" s="13" t="s">
        <v>72</v>
      </c>
      <c r="S1411" s="11" t="n">
        <v>4210301</v>
      </c>
      <c r="T1411" s="13" t="s">
        <v>230</v>
      </c>
      <c r="U1411" s="14" t="n">
        <v>150.3</v>
      </c>
      <c r="W1411" s="14" t="n">
        <v>0</v>
      </c>
      <c r="X1411" s="13" t="s">
        <v>1435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46240</v>
      </c>
      <c r="C1412" s="12" t="n">
        <v>46240</v>
      </c>
      <c r="D1412" s="11" t="n">
        <v>10070</v>
      </c>
      <c r="E1412" s="13" t="s">
        <v>93</v>
      </c>
      <c r="F1412" s="11" t="n">
        <v>34</v>
      </c>
      <c r="G1412" s="13" t="s">
        <v>33</v>
      </c>
      <c r="H1412" s="11" t="n">
        <v>2110405</v>
      </c>
      <c r="I1412" s="13" t="s">
        <v>34</v>
      </c>
      <c r="J1412" s="11" t="n">
        <v>1512978</v>
      </c>
      <c r="L1412" s="11" t="n">
        <v>234824</v>
      </c>
      <c r="M1412" s="13" t="s">
        <v>44</v>
      </c>
      <c r="N1412" s="13" t="s">
        <v>36</v>
      </c>
      <c r="P1412" s="11" t="n">
        <v>167</v>
      </c>
      <c r="Q1412" s="13" t="s">
        <v>101</v>
      </c>
      <c r="R1412" s="13" t="s">
        <v>72</v>
      </c>
      <c r="S1412" s="11" t="n">
        <v>4210301</v>
      </c>
      <c r="T1412" s="13" t="s">
        <v>230</v>
      </c>
      <c r="U1412" s="14" t="n">
        <v>59.19</v>
      </c>
      <c r="W1412" s="14" t="n">
        <v>59.19</v>
      </c>
      <c r="X1412" s="13" t="s">
        <v>1436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46240</v>
      </c>
      <c r="C1413" s="12" t="n">
        <v>46240</v>
      </c>
      <c r="D1413" s="11" t="n">
        <v>41</v>
      </c>
      <c r="E1413" s="13" t="s">
        <v>90</v>
      </c>
      <c r="F1413" s="11" t="n">
        <v>11</v>
      </c>
      <c r="G1413" s="13" t="s">
        <v>234</v>
      </c>
      <c r="H1413" s="11" t="n">
        <v>2110405</v>
      </c>
      <c r="I1413" s="13" t="s">
        <v>34</v>
      </c>
      <c r="J1413" s="11" t="n">
        <v>1528853</v>
      </c>
      <c r="L1413" s="11" t="n">
        <v>237130</v>
      </c>
      <c r="M1413" s="13" t="s">
        <v>44</v>
      </c>
      <c r="N1413" s="13" t="s">
        <v>36</v>
      </c>
      <c r="P1413" s="11" t="n">
        <v>167</v>
      </c>
      <c r="Q1413" s="13" t="s">
        <v>101</v>
      </c>
      <c r="R1413" s="13" t="s">
        <v>72</v>
      </c>
      <c r="S1413" s="11" t="n">
        <v>4210301</v>
      </c>
      <c r="T1413" s="13" t="s">
        <v>230</v>
      </c>
      <c r="U1413" s="14" t="n">
        <v>500</v>
      </c>
      <c r="W1413" s="14" t="n">
        <v>500</v>
      </c>
      <c r="X1413" s="13" t="s">
        <v>1437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46240</v>
      </c>
      <c r="C1414" s="12" t="n">
        <v>46240</v>
      </c>
      <c r="D1414" s="11" t="n">
        <v>16</v>
      </c>
      <c r="E1414" s="13" t="s">
        <v>242</v>
      </c>
      <c r="F1414" s="11" t="n">
        <v>11</v>
      </c>
      <c r="G1414" s="13" t="s">
        <v>234</v>
      </c>
      <c r="H1414" s="11" t="n">
        <v>2110405</v>
      </c>
      <c r="I1414" s="13" t="s">
        <v>34</v>
      </c>
      <c r="J1414" s="11" t="n">
        <v>1528855</v>
      </c>
      <c r="L1414" s="11" t="n">
        <v>237131</v>
      </c>
      <c r="M1414" s="13" t="s">
        <v>44</v>
      </c>
      <c r="N1414" s="13" t="s">
        <v>36</v>
      </c>
      <c r="P1414" s="11" t="n">
        <v>167</v>
      </c>
      <c r="Q1414" s="13" t="s">
        <v>101</v>
      </c>
      <c r="R1414" s="13" t="s">
        <v>72</v>
      </c>
      <c r="S1414" s="11" t="n">
        <v>4210301</v>
      </c>
      <c r="T1414" s="13" t="s">
        <v>230</v>
      </c>
      <c r="U1414" s="14" t="n">
        <v>300</v>
      </c>
      <c r="W1414" s="14" t="n">
        <v>300</v>
      </c>
      <c r="X1414" s="13" t="s">
        <v>1437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46212</v>
      </c>
      <c r="C1415" s="12" t="n">
        <v>46241</v>
      </c>
      <c r="D1415" s="11" t="n">
        <v>1816</v>
      </c>
      <c r="E1415" s="13" t="s">
        <v>554</v>
      </c>
      <c r="F1415" s="11" t="n">
        <v>24</v>
      </c>
      <c r="G1415" s="13" t="s">
        <v>42</v>
      </c>
      <c r="H1415" s="11" t="n">
        <v>2110405</v>
      </c>
      <c r="I1415" s="13" t="s">
        <v>34</v>
      </c>
      <c r="J1415" s="11" t="n">
        <v>1392493</v>
      </c>
      <c r="L1415" s="11" t="n">
        <v>3333643</v>
      </c>
      <c r="M1415" s="13" t="s">
        <v>44</v>
      </c>
      <c r="N1415" s="13" t="s">
        <v>36</v>
      </c>
      <c r="P1415" s="11" t="n">
        <v>167</v>
      </c>
      <c r="Q1415" s="13" t="s">
        <v>101</v>
      </c>
      <c r="R1415" s="13" t="s">
        <v>46</v>
      </c>
      <c r="S1415" s="11" t="n">
        <v>1130101</v>
      </c>
      <c r="T1415" s="13" t="s">
        <v>47</v>
      </c>
      <c r="U1415" s="14" t="n">
        <v>1528.61</v>
      </c>
      <c r="W1415" s="14" t="n">
        <v>1528.61</v>
      </c>
      <c r="X1415" s="13" t="s">
        <v>1438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1" t="n">
        <v>3</v>
      </c>
      <c r="B1416" s="12" t="n">
        <v>46212</v>
      </c>
      <c r="C1416" s="12" t="n">
        <v>46241</v>
      </c>
      <c r="D1416" s="11" t="n">
        <v>10037</v>
      </c>
      <c r="E1416" s="13" t="s">
        <v>359</v>
      </c>
      <c r="F1416" s="11" t="n">
        <v>24</v>
      </c>
      <c r="G1416" s="13" t="s">
        <v>42</v>
      </c>
      <c r="H1416" s="11" t="n">
        <v>2110405</v>
      </c>
      <c r="I1416" s="13" t="s">
        <v>34</v>
      </c>
      <c r="J1416" s="11" t="n">
        <v>1392510</v>
      </c>
      <c r="L1416" s="11" t="n">
        <v>27512</v>
      </c>
      <c r="M1416" s="13" t="s">
        <v>44</v>
      </c>
      <c r="N1416" s="13" t="s">
        <v>36</v>
      </c>
      <c r="P1416" s="11" t="n">
        <v>167</v>
      </c>
      <c r="Q1416" s="13" t="s">
        <v>101</v>
      </c>
      <c r="R1416" s="13" t="s">
        <v>46</v>
      </c>
      <c r="S1416" s="11" t="n">
        <v>1130101</v>
      </c>
      <c r="T1416" s="13" t="s">
        <v>47</v>
      </c>
      <c r="U1416" s="14" t="n">
        <v>565.04</v>
      </c>
      <c r="W1416" s="14" t="n">
        <v>565.04</v>
      </c>
      <c r="X1416" s="13" t="s">
        <v>1439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1" t="n">
        <v>3</v>
      </c>
      <c r="B1417" s="12" t="n">
        <v>46213</v>
      </c>
      <c r="C1417" s="12" t="n">
        <v>46241</v>
      </c>
      <c r="D1417" s="11" t="n">
        <v>1705</v>
      </c>
      <c r="E1417" s="13" t="s">
        <v>122</v>
      </c>
      <c r="F1417" s="11" t="n">
        <v>24</v>
      </c>
      <c r="G1417" s="13" t="s">
        <v>42</v>
      </c>
      <c r="H1417" s="11" t="n">
        <v>2110405</v>
      </c>
      <c r="I1417" s="13" t="s">
        <v>34</v>
      </c>
      <c r="J1417" s="11" t="n">
        <v>1392548</v>
      </c>
      <c r="L1417" s="11" t="n">
        <v>11973677</v>
      </c>
      <c r="M1417" s="13" t="s">
        <v>44</v>
      </c>
      <c r="N1417" s="13" t="s">
        <v>36</v>
      </c>
      <c r="P1417" s="11" t="n">
        <v>167</v>
      </c>
      <c r="Q1417" s="13" t="s">
        <v>101</v>
      </c>
      <c r="R1417" s="13" t="s">
        <v>46</v>
      </c>
      <c r="S1417" s="11" t="n">
        <v>1130101</v>
      </c>
      <c r="T1417" s="13" t="s">
        <v>47</v>
      </c>
      <c r="U1417" s="14" t="n">
        <v>251.16</v>
      </c>
      <c r="W1417" s="14" t="n">
        <v>251.16</v>
      </c>
      <c r="X1417" s="13" t="s">
        <v>1440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1" t="n">
        <v>3</v>
      </c>
      <c r="B1418" s="12" t="n">
        <v>46213</v>
      </c>
      <c r="C1418" s="12" t="n">
        <v>46241</v>
      </c>
      <c r="D1418" s="11" t="n">
        <v>1659</v>
      </c>
      <c r="E1418" s="13" t="s">
        <v>251</v>
      </c>
      <c r="F1418" s="11" t="n">
        <v>24</v>
      </c>
      <c r="G1418" s="13" t="s">
        <v>42</v>
      </c>
      <c r="H1418" s="11" t="n">
        <v>2110405</v>
      </c>
      <c r="I1418" s="13" t="s">
        <v>34</v>
      </c>
      <c r="J1418" s="11" t="n">
        <v>1407151</v>
      </c>
      <c r="L1418" s="11" t="n">
        <v>3761993</v>
      </c>
      <c r="M1418" s="13" t="s">
        <v>44</v>
      </c>
      <c r="N1418" s="13" t="s">
        <v>36</v>
      </c>
      <c r="P1418" s="11" t="n">
        <v>167</v>
      </c>
      <c r="Q1418" s="13" t="s">
        <v>101</v>
      </c>
      <c r="R1418" s="13" t="s">
        <v>46</v>
      </c>
      <c r="S1418" s="11" t="n">
        <v>1130101</v>
      </c>
      <c r="T1418" s="13" t="s">
        <v>47</v>
      </c>
      <c r="U1418" s="14" t="n">
        <v>708.1</v>
      </c>
      <c r="W1418" s="14" t="n">
        <v>708.1</v>
      </c>
      <c r="X1418" s="13" t="s">
        <v>1441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1" t="n">
        <v>3</v>
      </c>
      <c r="B1419" s="12" t="n">
        <v>46219</v>
      </c>
      <c r="C1419" s="12" t="n">
        <v>46241</v>
      </c>
      <c r="D1419" s="11" t="n">
        <v>1873</v>
      </c>
      <c r="E1419" s="13" t="s">
        <v>1333</v>
      </c>
      <c r="F1419" s="11" t="n">
        <v>24</v>
      </c>
      <c r="G1419" s="13" t="s">
        <v>42</v>
      </c>
      <c r="H1419" s="11" t="n">
        <v>2110405</v>
      </c>
      <c r="I1419" s="13" t="s">
        <v>34</v>
      </c>
      <c r="J1419" s="11" t="n">
        <v>1411470</v>
      </c>
      <c r="L1419" s="11" t="n">
        <v>1116702</v>
      </c>
      <c r="M1419" s="13" t="s">
        <v>44</v>
      </c>
      <c r="N1419" s="13" t="s">
        <v>36</v>
      </c>
      <c r="P1419" s="11" t="n">
        <v>167</v>
      </c>
      <c r="Q1419" s="13" t="s">
        <v>101</v>
      </c>
      <c r="R1419" s="13" t="s">
        <v>46</v>
      </c>
      <c r="S1419" s="11" t="n">
        <v>1130101</v>
      </c>
      <c r="T1419" s="13" t="s">
        <v>47</v>
      </c>
      <c r="U1419" s="14" t="n">
        <v>337.5</v>
      </c>
      <c r="W1419" s="14" t="n">
        <v>337.5</v>
      </c>
      <c r="X1419" s="13" t="s">
        <v>1442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1" t="n">
        <v>3</v>
      </c>
      <c r="B1420" s="12" t="n">
        <v>46219</v>
      </c>
      <c r="C1420" s="12" t="n">
        <v>46241</v>
      </c>
      <c r="D1420" s="11" t="n">
        <v>1166</v>
      </c>
      <c r="E1420" s="13" t="s">
        <v>941</v>
      </c>
      <c r="F1420" s="11" t="n">
        <v>24</v>
      </c>
      <c r="G1420" s="13" t="s">
        <v>42</v>
      </c>
      <c r="H1420" s="11" t="n">
        <v>2110405</v>
      </c>
      <c r="I1420" s="13" t="s">
        <v>34</v>
      </c>
      <c r="J1420" s="11" t="n">
        <v>1411495</v>
      </c>
      <c r="L1420" s="11" t="n">
        <v>355193</v>
      </c>
      <c r="M1420" s="13" t="s">
        <v>44</v>
      </c>
      <c r="N1420" s="13" t="s">
        <v>36</v>
      </c>
      <c r="P1420" s="11" t="n">
        <v>167</v>
      </c>
      <c r="Q1420" s="13" t="s">
        <v>101</v>
      </c>
      <c r="R1420" s="13" t="s">
        <v>46</v>
      </c>
      <c r="S1420" s="11" t="n">
        <v>1130101</v>
      </c>
      <c r="T1420" s="13" t="s">
        <v>47</v>
      </c>
      <c r="U1420" s="14" t="n">
        <v>631.62</v>
      </c>
      <c r="W1420" s="14" t="n">
        <v>631.62</v>
      </c>
      <c r="X1420" s="13" t="s">
        <v>1443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1" t="n">
        <v>3</v>
      </c>
      <c r="B1421" s="12" t="n">
        <v>46225</v>
      </c>
      <c r="C1421" s="12" t="n">
        <v>46241</v>
      </c>
      <c r="D1421" s="11" t="n">
        <v>1699</v>
      </c>
      <c r="E1421" s="13" t="s">
        <v>60</v>
      </c>
      <c r="F1421" s="11" t="n">
        <v>24</v>
      </c>
      <c r="G1421" s="13" t="s">
        <v>42</v>
      </c>
      <c r="H1421" s="11" t="n">
        <v>2110405</v>
      </c>
      <c r="I1421" s="13" t="s">
        <v>34</v>
      </c>
      <c r="J1421" s="11" t="n">
        <v>1439128</v>
      </c>
      <c r="L1421" s="11" t="n">
        <v>3087371</v>
      </c>
      <c r="M1421" s="13" t="s">
        <v>44</v>
      </c>
      <c r="N1421" s="13" t="s">
        <v>36</v>
      </c>
      <c r="P1421" s="11" t="n">
        <v>167</v>
      </c>
      <c r="Q1421" s="13" t="s">
        <v>101</v>
      </c>
      <c r="R1421" s="13" t="s">
        <v>46</v>
      </c>
      <c r="S1421" s="11" t="n">
        <v>1130101</v>
      </c>
      <c r="T1421" s="13" t="s">
        <v>47</v>
      </c>
      <c r="U1421" s="14" t="n">
        <v>894.33</v>
      </c>
      <c r="W1421" s="14" t="n">
        <v>894.33</v>
      </c>
      <c r="X1421" s="13" t="s">
        <v>1444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1" t="n">
        <v>3</v>
      </c>
      <c r="B1422" s="12" t="n">
        <v>46227</v>
      </c>
      <c r="C1422" s="12" t="n">
        <v>46241</v>
      </c>
      <c r="D1422" s="11" t="n">
        <v>1723</v>
      </c>
      <c r="E1422" s="13" t="s">
        <v>76</v>
      </c>
      <c r="F1422" s="11" t="n">
        <v>24</v>
      </c>
      <c r="G1422" s="13" t="s">
        <v>42</v>
      </c>
      <c r="H1422" s="11" t="n">
        <v>2110405</v>
      </c>
      <c r="I1422" s="13" t="s">
        <v>34</v>
      </c>
      <c r="J1422" s="11" t="n">
        <v>1448509</v>
      </c>
      <c r="L1422" s="11" t="n">
        <v>574652</v>
      </c>
      <c r="M1422" s="13" t="s">
        <v>44</v>
      </c>
      <c r="N1422" s="13" t="s">
        <v>36</v>
      </c>
      <c r="P1422" s="11" t="n">
        <v>167</v>
      </c>
      <c r="Q1422" s="13" t="s">
        <v>101</v>
      </c>
      <c r="R1422" s="13" t="s">
        <v>46</v>
      </c>
      <c r="S1422" s="11" t="n">
        <v>1130101</v>
      </c>
      <c r="T1422" s="13" t="s">
        <v>47</v>
      </c>
      <c r="U1422" s="14" t="n">
        <v>3653.9</v>
      </c>
      <c r="W1422" s="14" t="n">
        <v>3653.9</v>
      </c>
      <c r="X1422" s="13" t="s">
        <v>1445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1" t="n">
        <v>3</v>
      </c>
      <c r="B1423" s="12" t="n">
        <v>46233</v>
      </c>
      <c r="C1423" s="12" t="n">
        <v>46241</v>
      </c>
      <c r="D1423" s="11" t="n">
        <v>1916</v>
      </c>
      <c r="E1423" s="13" t="s">
        <v>351</v>
      </c>
      <c r="F1423" s="11" t="n">
        <v>24</v>
      </c>
      <c r="G1423" s="13" t="s">
        <v>42</v>
      </c>
      <c r="H1423" s="11" t="n">
        <v>2110405</v>
      </c>
      <c r="I1423" s="13" t="s">
        <v>34</v>
      </c>
      <c r="J1423" s="11" t="n">
        <v>1474201</v>
      </c>
      <c r="L1423" s="11" t="n">
        <v>40074</v>
      </c>
      <c r="M1423" s="13" t="s">
        <v>44</v>
      </c>
      <c r="N1423" s="13" t="s">
        <v>36</v>
      </c>
      <c r="P1423" s="11" t="n">
        <v>167</v>
      </c>
      <c r="Q1423" s="13" t="s">
        <v>101</v>
      </c>
      <c r="R1423" s="13" t="s">
        <v>46</v>
      </c>
      <c r="S1423" s="11" t="n">
        <v>1130101</v>
      </c>
      <c r="T1423" s="13" t="s">
        <v>47</v>
      </c>
      <c r="U1423" s="14" t="n">
        <v>1387.5</v>
      </c>
      <c r="W1423" s="14" t="n">
        <v>1387.5</v>
      </c>
      <c r="X1423" s="13" t="s">
        <v>1446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1" t="n">
        <v>3</v>
      </c>
      <c r="B1424" s="12" t="n">
        <v>46234</v>
      </c>
      <c r="C1424" s="12" t="n">
        <v>46241</v>
      </c>
      <c r="D1424" s="11" t="n">
        <v>10038</v>
      </c>
      <c r="E1424" s="13" t="s">
        <v>312</v>
      </c>
      <c r="F1424" s="11" t="n">
        <v>24</v>
      </c>
      <c r="G1424" s="13" t="s">
        <v>42</v>
      </c>
      <c r="H1424" s="11" t="n">
        <v>2110405</v>
      </c>
      <c r="I1424" s="13" t="s">
        <v>34</v>
      </c>
      <c r="J1424" s="11" t="n">
        <v>1477505</v>
      </c>
      <c r="L1424" s="11" t="n">
        <v>195348801</v>
      </c>
      <c r="M1424" s="13" t="s">
        <v>44</v>
      </c>
      <c r="N1424" s="13" t="s">
        <v>36</v>
      </c>
      <c r="P1424" s="11" t="n">
        <v>167</v>
      </c>
      <c r="Q1424" s="13" t="s">
        <v>101</v>
      </c>
      <c r="R1424" s="13" t="s">
        <v>46</v>
      </c>
      <c r="S1424" s="11" t="n">
        <v>1130101</v>
      </c>
      <c r="T1424" s="13" t="s">
        <v>47</v>
      </c>
      <c r="U1424" s="14" t="n">
        <v>1256</v>
      </c>
      <c r="W1424" s="14" t="n">
        <v>1256</v>
      </c>
      <c r="X1424" s="13" t="s">
        <v>1447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46234</v>
      </c>
      <c r="C1425" s="12" t="n">
        <v>46241</v>
      </c>
      <c r="D1425" s="11" t="n">
        <v>42</v>
      </c>
      <c r="E1425" s="13" t="s">
        <v>80</v>
      </c>
      <c r="F1425" s="11" t="n">
        <v>34</v>
      </c>
      <c r="G1425" s="13" t="s">
        <v>33</v>
      </c>
      <c r="H1425" s="11" t="n">
        <v>2110101</v>
      </c>
      <c r="I1425" s="13" t="s">
        <v>43</v>
      </c>
      <c r="J1425" s="11" t="n">
        <v>1478165</v>
      </c>
      <c r="L1425" s="11" t="n">
        <v>4445</v>
      </c>
      <c r="M1425" s="13" t="s">
        <v>44</v>
      </c>
      <c r="N1425" s="13" t="s">
        <v>69</v>
      </c>
      <c r="P1425" s="11" t="n">
        <v>167</v>
      </c>
      <c r="Q1425" s="13" t="s">
        <v>101</v>
      </c>
      <c r="R1425" s="13" t="s">
        <v>46</v>
      </c>
      <c r="S1425" s="11" t="n">
        <v>1130101</v>
      </c>
      <c r="T1425" s="13" t="s">
        <v>47</v>
      </c>
      <c r="U1425" s="14" t="n">
        <v>600</v>
      </c>
      <c r="W1425" s="14" t="n">
        <v>600</v>
      </c>
      <c r="X1425" s="13" t="s">
        <v>1448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46234</v>
      </c>
      <c r="C1426" s="12" t="n">
        <v>46241</v>
      </c>
      <c r="D1426" s="11" t="n">
        <v>1609</v>
      </c>
      <c r="E1426" s="13" t="s">
        <v>410</v>
      </c>
      <c r="F1426" s="11" t="n">
        <v>24</v>
      </c>
      <c r="G1426" s="13" t="s">
        <v>42</v>
      </c>
      <c r="H1426" s="11" t="n">
        <v>2110405</v>
      </c>
      <c r="I1426" s="13" t="s">
        <v>34</v>
      </c>
      <c r="J1426" s="11" t="n">
        <v>1478669</v>
      </c>
      <c r="L1426" s="11" t="n">
        <v>5900</v>
      </c>
      <c r="M1426" s="13" t="s">
        <v>44</v>
      </c>
      <c r="N1426" s="13" t="s">
        <v>36</v>
      </c>
      <c r="P1426" s="11" t="n">
        <v>167</v>
      </c>
      <c r="Q1426" s="13" t="s">
        <v>101</v>
      </c>
      <c r="R1426" s="13" t="s">
        <v>46</v>
      </c>
      <c r="S1426" s="11" t="n">
        <v>1130101</v>
      </c>
      <c r="T1426" s="13" t="s">
        <v>47</v>
      </c>
      <c r="U1426" s="14" t="n">
        <v>596.3</v>
      </c>
      <c r="W1426" s="14" t="n">
        <v>596.3</v>
      </c>
      <c r="X1426" s="13" t="s">
        <v>1449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1" t="n">
        <v>3</v>
      </c>
      <c r="B1427" s="12" t="n">
        <v>46233</v>
      </c>
      <c r="C1427" s="12" t="n">
        <v>46241</v>
      </c>
      <c r="D1427" s="11" t="n">
        <v>1814</v>
      </c>
      <c r="E1427" s="13" t="s">
        <v>339</v>
      </c>
      <c r="F1427" s="11" t="n">
        <v>24</v>
      </c>
      <c r="G1427" s="13" t="s">
        <v>42</v>
      </c>
      <c r="H1427" s="11" t="n">
        <v>2110405</v>
      </c>
      <c r="I1427" s="13" t="s">
        <v>34</v>
      </c>
      <c r="J1427" s="11" t="n">
        <v>1478673</v>
      </c>
      <c r="L1427" s="11" t="n">
        <v>279761</v>
      </c>
      <c r="M1427" s="13" t="s">
        <v>44</v>
      </c>
      <c r="N1427" s="13" t="s">
        <v>36</v>
      </c>
      <c r="P1427" s="11" t="n">
        <v>167</v>
      </c>
      <c r="Q1427" s="13" t="s">
        <v>101</v>
      </c>
      <c r="R1427" s="13" t="s">
        <v>46</v>
      </c>
      <c r="S1427" s="11" t="n">
        <v>1130101</v>
      </c>
      <c r="T1427" s="13" t="s">
        <v>47</v>
      </c>
      <c r="U1427" s="14" t="n">
        <v>835.36</v>
      </c>
      <c r="W1427" s="14" t="n">
        <v>835.36</v>
      </c>
      <c r="X1427" s="13" t="s">
        <v>1450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1" t="n">
        <v>3</v>
      </c>
      <c r="B1428" s="12" t="n">
        <v>46234</v>
      </c>
      <c r="C1428" s="12" t="n">
        <v>46241</v>
      </c>
      <c r="D1428" s="11" t="n">
        <v>1378</v>
      </c>
      <c r="E1428" s="13" t="s">
        <v>120</v>
      </c>
      <c r="F1428" s="11" t="n">
        <v>24</v>
      </c>
      <c r="G1428" s="13" t="s">
        <v>42</v>
      </c>
      <c r="H1428" s="11" t="n">
        <v>2110405</v>
      </c>
      <c r="I1428" s="13" t="s">
        <v>34</v>
      </c>
      <c r="J1428" s="11" t="n">
        <v>1481655</v>
      </c>
      <c r="L1428" s="11" t="n">
        <v>18475</v>
      </c>
      <c r="M1428" s="13" t="s">
        <v>44</v>
      </c>
      <c r="N1428" s="13" t="s">
        <v>36</v>
      </c>
      <c r="P1428" s="11" t="n">
        <v>167</v>
      </c>
      <c r="Q1428" s="13" t="s">
        <v>101</v>
      </c>
      <c r="R1428" s="13" t="s">
        <v>46</v>
      </c>
      <c r="S1428" s="11" t="n">
        <v>1130101</v>
      </c>
      <c r="T1428" s="13" t="s">
        <v>47</v>
      </c>
      <c r="U1428" s="14" t="n">
        <v>151.6</v>
      </c>
      <c r="W1428" s="14" t="n">
        <v>151.6</v>
      </c>
      <c r="X1428" s="13" t="s">
        <v>1451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1" t="n">
        <v>3</v>
      </c>
      <c r="B1429" s="12" t="n">
        <v>46238</v>
      </c>
      <c r="C1429" s="12" t="n">
        <v>46241</v>
      </c>
      <c r="D1429" s="11" t="n">
        <v>1615</v>
      </c>
      <c r="E1429" s="13" t="s">
        <v>130</v>
      </c>
      <c r="F1429" s="11" t="n">
        <v>34</v>
      </c>
      <c r="G1429" s="13" t="s">
        <v>33</v>
      </c>
      <c r="H1429" s="11" t="n">
        <v>2110405</v>
      </c>
      <c r="I1429" s="13" t="s">
        <v>34</v>
      </c>
      <c r="J1429" s="11" t="n">
        <v>1500086</v>
      </c>
      <c r="L1429" s="11" t="n">
        <v>15026</v>
      </c>
      <c r="M1429" s="13" t="s">
        <v>44</v>
      </c>
      <c r="N1429" s="13" t="s">
        <v>36</v>
      </c>
      <c r="P1429" s="11" t="n">
        <v>167</v>
      </c>
      <c r="Q1429" s="13" t="s">
        <v>101</v>
      </c>
      <c r="R1429" s="13" t="s">
        <v>46</v>
      </c>
      <c r="S1429" s="11" t="n">
        <v>1130101</v>
      </c>
      <c r="T1429" s="13" t="s">
        <v>47</v>
      </c>
      <c r="U1429" s="14" t="n">
        <v>410</v>
      </c>
      <c r="W1429" s="14" t="n">
        <v>410</v>
      </c>
      <c r="X1429" s="13" t="s">
        <v>1452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1" t="n">
        <v>3</v>
      </c>
      <c r="B1430" s="12" t="n">
        <v>46238</v>
      </c>
      <c r="C1430" s="12" t="n">
        <v>46241</v>
      </c>
      <c r="D1430" s="11" t="n">
        <v>1615</v>
      </c>
      <c r="E1430" s="13" t="s">
        <v>130</v>
      </c>
      <c r="F1430" s="11" t="n">
        <v>34</v>
      </c>
      <c r="G1430" s="13" t="s">
        <v>33</v>
      </c>
      <c r="H1430" s="11" t="n">
        <v>2110405</v>
      </c>
      <c r="I1430" s="13" t="s">
        <v>34</v>
      </c>
      <c r="J1430" s="11" t="n">
        <v>1500089</v>
      </c>
      <c r="L1430" s="11" t="n">
        <v>232970</v>
      </c>
      <c r="M1430" s="13" t="s">
        <v>44</v>
      </c>
      <c r="N1430" s="13" t="s">
        <v>36</v>
      </c>
      <c r="P1430" s="11" t="n">
        <v>167</v>
      </c>
      <c r="Q1430" s="13" t="s">
        <v>101</v>
      </c>
      <c r="R1430" s="13" t="s">
        <v>46</v>
      </c>
      <c r="S1430" s="11" t="n">
        <v>1130101</v>
      </c>
      <c r="T1430" s="13" t="s">
        <v>47</v>
      </c>
      <c r="U1430" s="14" t="n">
        <v>216</v>
      </c>
      <c r="W1430" s="14" t="n">
        <v>216</v>
      </c>
      <c r="X1430" s="13" t="s">
        <v>1453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46238</v>
      </c>
      <c r="C1431" s="12" t="n">
        <v>46241</v>
      </c>
      <c r="D1431" s="11" t="n">
        <v>42</v>
      </c>
      <c r="E1431" s="13" t="s">
        <v>80</v>
      </c>
      <c r="F1431" s="11" t="n">
        <v>34</v>
      </c>
      <c r="G1431" s="13" t="s">
        <v>33</v>
      </c>
      <c r="H1431" s="11" t="n">
        <v>2110101</v>
      </c>
      <c r="I1431" s="13" t="s">
        <v>43</v>
      </c>
      <c r="J1431" s="11" t="n">
        <v>1500139</v>
      </c>
      <c r="L1431" s="11" t="n">
        <v>4459</v>
      </c>
      <c r="M1431" s="13" t="s">
        <v>44</v>
      </c>
      <c r="N1431" s="13" t="s">
        <v>69</v>
      </c>
      <c r="P1431" s="11" t="n">
        <v>167</v>
      </c>
      <c r="Q1431" s="13" t="s">
        <v>101</v>
      </c>
      <c r="R1431" s="13" t="s">
        <v>46</v>
      </c>
      <c r="S1431" s="11" t="n">
        <v>1130101</v>
      </c>
      <c r="T1431" s="13" t="s">
        <v>47</v>
      </c>
      <c r="U1431" s="14" t="n">
        <v>1493</v>
      </c>
      <c r="W1431" s="14" t="n">
        <v>1493</v>
      </c>
      <c r="X1431" s="13" t="s">
        <v>1454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46241</v>
      </c>
      <c r="C1432" s="12" t="n">
        <v>46241</v>
      </c>
      <c r="D1432" s="11" t="n">
        <v>42</v>
      </c>
      <c r="E1432" s="13" t="s">
        <v>80</v>
      </c>
      <c r="F1432" s="11" t="n">
        <v>13</v>
      </c>
      <c r="G1432" s="13" t="s">
        <v>81</v>
      </c>
      <c r="H1432" s="11" t="n">
        <v>2110101</v>
      </c>
      <c r="I1432" s="13" t="s">
        <v>43</v>
      </c>
      <c r="J1432" s="11" t="n">
        <v>1513176</v>
      </c>
      <c r="L1432" s="11" t="n">
        <v>4469</v>
      </c>
      <c r="M1432" s="13" t="s">
        <v>44</v>
      </c>
      <c r="N1432" s="13" t="s">
        <v>69</v>
      </c>
      <c r="P1432" s="11" t="n">
        <v>167</v>
      </c>
      <c r="Q1432" s="13" t="s">
        <v>101</v>
      </c>
      <c r="R1432" s="13" t="s">
        <v>46</v>
      </c>
      <c r="S1432" s="11" t="n">
        <v>1130101</v>
      </c>
      <c r="T1432" s="13" t="s">
        <v>47</v>
      </c>
      <c r="U1432" s="14" t="n">
        <v>85</v>
      </c>
      <c r="W1432" s="14" t="n">
        <v>85</v>
      </c>
      <c r="X1432" s="13" t="s">
        <v>772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46241</v>
      </c>
      <c r="C1433" s="12" t="n">
        <v>46241</v>
      </c>
      <c r="D1433" s="11" t="n">
        <v>10035</v>
      </c>
      <c r="E1433" s="13" t="s">
        <v>227</v>
      </c>
      <c r="F1433" s="11" t="n">
        <v>13</v>
      </c>
      <c r="G1433" s="13" t="s">
        <v>81</v>
      </c>
      <c r="H1433" s="11" t="n">
        <v>2110101</v>
      </c>
      <c r="I1433" s="13" t="s">
        <v>43</v>
      </c>
      <c r="J1433" s="11" t="n">
        <v>1518028</v>
      </c>
      <c r="L1433" s="11" t="n">
        <v>394</v>
      </c>
      <c r="M1433" s="13" t="s">
        <v>44</v>
      </c>
      <c r="N1433" s="13" t="s">
        <v>69</v>
      </c>
      <c r="P1433" s="11" t="n">
        <v>129</v>
      </c>
      <c r="Q1433" s="13" t="s">
        <v>102</v>
      </c>
      <c r="R1433" s="13" t="s">
        <v>46</v>
      </c>
      <c r="S1433" s="11" t="n">
        <v>1130101</v>
      </c>
      <c r="T1433" s="13" t="s">
        <v>47</v>
      </c>
      <c r="U1433" s="14" t="n">
        <v>870</v>
      </c>
      <c r="W1433" s="14" t="n">
        <v>870</v>
      </c>
      <c r="X1433" s="13" t="s">
        <v>1455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46223</v>
      </c>
      <c r="C1434" s="12" t="n">
        <v>46242</v>
      </c>
      <c r="D1434" s="11" t="n">
        <v>1672</v>
      </c>
      <c r="E1434" s="13" t="s">
        <v>67</v>
      </c>
      <c r="F1434" s="11" t="n">
        <v>24</v>
      </c>
      <c r="G1434" s="13" t="s">
        <v>42</v>
      </c>
      <c r="H1434" s="11" t="n">
        <v>2110405</v>
      </c>
      <c r="I1434" s="13" t="s">
        <v>34</v>
      </c>
      <c r="J1434" s="11" t="n">
        <v>1434242</v>
      </c>
      <c r="L1434" s="11" t="n">
        <v>14005102</v>
      </c>
      <c r="M1434" s="13" t="s">
        <v>44</v>
      </c>
      <c r="N1434" s="13" t="s">
        <v>36</v>
      </c>
      <c r="P1434" s="11" t="n">
        <v>167</v>
      </c>
      <c r="Q1434" s="13" t="s">
        <v>101</v>
      </c>
      <c r="R1434" s="13" t="s">
        <v>46</v>
      </c>
      <c r="S1434" s="11" t="n">
        <v>1130101</v>
      </c>
      <c r="T1434" s="13" t="s">
        <v>47</v>
      </c>
      <c r="U1434" s="14" t="n">
        <v>1316.75</v>
      </c>
      <c r="W1434" s="14" t="n">
        <v>1316.75</v>
      </c>
      <c r="X1434" s="13" t="s">
        <v>1456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1" t="n">
        <v>3</v>
      </c>
      <c r="B1435" s="12" t="n">
        <v>46225</v>
      </c>
      <c r="C1435" s="12" t="n">
        <v>46242</v>
      </c>
      <c r="D1435" s="11" t="n">
        <v>1672</v>
      </c>
      <c r="E1435" s="13" t="s">
        <v>67</v>
      </c>
      <c r="F1435" s="11" t="n">
        <v>24</v>
      </c>
      <c r="G1435" s="13" t="s">
        <v>42</v>
      </c>
      <c r="H1435" s="11" t="n">
        <v>2110405</v>
      </c>
      <c r="I1435" s="13" t="s">
        <v>34</v>
      </c>
      <c r="J1435" s="11" t="n">
        <v>1438976</v>
      </c>
      <c r="L1435" s="11" t="n">
        <v>14006312</v>
      </c>
      <c r="M1435" s="13" t="s">
        <v>44</v>
      </c>
      <c r="N1435" s="13" t="s">
        <v>36</v>
      </c>
      <c r="P1435" s="11" t="n">
        <v>167</v>
      </c>
      <c r="Q1435" s="13" t="s">
        <v>101</v>
      </c>
      <c r="R1435" s="13" t="s">
        <v>46</v>
      </c>
      <c r="S1435" s="11" t="n">
        <v>1130101</v>
      </c>
      <c r="T1435" s="13" t="s">
        <v>47</v>
      </c>
      <c r="U1435" s="14" t="n">
        <v>887.5</v>
      </c>
      <c r="W1435" s="14" t="n">
        <v>887.5</v>
      </c>
      <c r="X1435" s="13" t="s">
        <v>1457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1" t="n">
        <v>3</v>
      </c>
      <c r="B1436" s="12" t="n">
        <v>46227</v>
      </c>
      <c r="C1436" s="12" t="n">
        <v>46242</v>
      </c>
      <c r="D1436" s="11" t="n">
        <v>1608</v>
      </c>
      <c r="E1436" s="13" t="s">
        <v>41</v>
      </c>
      <c r="F1436" s="11" t="n">
        <v>24</v>
      </c>
      <c r="G1436" s="13" t="s">
        <v>42</v>
      </c>
      <c r="H1436" s="11" t="n">
        <v>2110405</v>
      </c>
      <c r="I1436" s="13" t="s">
        <v>34</v>
      </c>
      <c r="J1436" s="11" t="n">
        <v>1443888</v>
      </c>
      <c r="L1436" s="11" t="n">
        <v>16991331</v>
      </c>
      <c r="M1436" s="13" t="s">
        <v>44</v>
      </c>
      <c r="N1436" s="13" t="s">
        <v>36</v>
      </c>
      <c r="P1436" s="11" t="n">
        <v>167</v>
      </c>
      <c r="Q1436" s="13" t="s">
        <v>101</v>
      </c>
      <c r="R1436" s="13" t="s">
        <v>46</v>
      </c>
      <c r="S1436" s="11" t="n">
        <v>1130101</v>
      </c>
      <c r="T1436" s="13" t="s">
        <v>47</v>
      </c>
      <c r="U1436" s="14" t="n">
        <v>832.25</v>
      </c>
      <c r="W1436" s="14" t="n">
        <v>832.25</v>
      </c>
      <c r="X1436" s="13" t="s">
        <v>1458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1" t="n">
        <v>3</v>
      </c>
      <c r="B1437" s="12" t="n">
        <v>46228</v>
      </c>
      <c r="C1437" s="12" t="n">
        <v>46242</v>
      </c>
      <c r="D1437" s="11" t="n">
        <v>1039</v>
      </c>
      <c r="E1437" s="13" t="s">
        <v>594</v>
      </c>
      <c r="F1437" s="11" t="n">
        <v>24</v>
      </c>
      <c r="G1437" s="13" t="s">
        <v>42</v>
      </c>
      <c r="H1437" s="11" t="n">
        <v>2110405</v>
      </c>
      <c r="I1437" s="13" t="s">
        <v>34</v>
      </c>
      <c r="J1437" s="11" t="n">
        <v>1458348</v>
      </c>
      <c r="L1437" s="11" t="n">
        <v>194532</v>
      </c>
      <c r="M1437" s="13" t="s">
        <v>44</v>
      </c>
      <c r="N1437" s="13" t="s">
        <v>36</v>
      </c>
      <c r="P1437" s="11" t="n">
        <v>167</v>
      </c>
      <c r="Q1437" s="13" t="s">
        <v>101</v>
      </c>
      <c r="R1437" s="13" t="s">
        <v>46</v>
      </c>
      <c r="S1437" s="11" t="n">
        <v>1130101</v>
      </c>
      <c r="T1437" s="13" t="s">
        <v>47</v>
      </c>
      <c r="U1437" s="14" t="n">
        <v>1086.18</v>
      </c>
      <c r="W1437" s="14" t="n">
        <v>1086.18</v>
      </c>
      <c r="X1437" s="13" t="s">
        <v>1459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1" t="n">
        <v>3</v>
      </c>
      <c r="B1438" s="12" t="n">
        <v>46237</v>
      </c>
      <c r="C1438" s="12" t="n">
        <v>46242</v>
      </c>
      <c r="D1438" s="11" t="n">
        <v>42</v>
      </c>
      <c r="E1438" s="13" t="s">
        <v>80</v>
      </c>
      <c r="F1438" s="11" t="n">
        <v>34</v>
      </c>
      <c r="G1438" s="13" t="s">
        <v>33</v>
      </c>
      <c r="H1438" s="11" t="n">
        <v>2110101</v>
      </c>
      <c r="I1438" s="13" t="s">
        <v>43</v>
      </c>
      <c r="J1438" s="11" t="n">
        <v>1492729</v>
      </c>
      <c r="L1438" s="11" t="n">
        <v>4451</v>
      </c>
      <c r="M1438" s="13" t="s">
        <v>44</v>
      </c>
      <c r="N1438" s="13" t="s">
        <v>69</v>
      </c>
      <c r="P1438" s="11" t="n">
        <v>167</v>
      </c>
      <c r="Q1438" s="13" t="s">
        <v>101</v>
      </c>
      <c r="R1438" s="13" t="s">
        <v>46</v>
      </c>
      <c r="S1438" s="11" t="n">
        <v>1130101</v>
      </c>
      <c r="T1438" s="13" t="s">
        <v>47</v>
      </c>
      <c r="U1438" s="14" t="n">
        <v>280</v>
      </c>
      <c r="W1438" s="14" t="n">
        <v>280</v>
      </c>
      <c r="X1438" s="13" t="s">
        <v>1460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46235</v>
      </c>
      <c r="C1439" s="12" t="n">
        <v>46242</v>
      </c>
      <c r="D1439" s="11" t="n">
        <v>1828</v>
      </c>
      <c r="E1439" s="13" t="s">
        <v>278</v>
      </c>
      <c r="F1439" s="11" t="n">
        <v>24</v>
      </c>
      <c r="G1439" s="13" t="s">
        <v>42</v>
      </c>
      <c r="H1439" s="11" t="n">
        <v>2110405</v>
      </c>
      <c r="I1439" s="13" t="s">
        <v>34</v>
      </c>
      <c r="J1439" s="11" t="n">
        <v>1492812</v>
      </c>
      <c r="L1439" s="11" t="n">
        <v>58030</v>
      </c>
      <c r="M1439" s="13" t="s">
        <v>44</v>
      </c>
      <c r="N1439" s="13" t="s">
        <v>36</v>
      </c>
      <c r="P1439" s="11" t="n">
        <v>167</v>
      </c>
      <c r="Q1439" s="13" t="s">
        <v>101</v>
      </c>
      <c r="R1439" s="13" t="s">
        <v>46</v>
      </c>
      <c r="S1439" s="11" t="n">
        <v>1130101</v>
      </c>
      <c r="T1439" s="13" t="s">
        <v>47</v>
      </c>
      <c r="U1439" s="14" t="n">
        <v>907.7</v>
      </c>
      <c r="W1439" s="14" t="n">
        <v>907.7</v>
      </c>
      <c r="X1439" s="13" t="s">
        <v>1461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DEFUMADA DF DISTRIBUIDORA DE F</v>
      </c>
      <c r="AC1439" s="1" t="n">
        <v>1411</v>
      </c>
    </row>
    <row r="1440" customFormat="false" ht="12.75" hidden="false" customHeight="true" outlineLevel="0" collapsed="false">
      <c r="A1440" s="11" t="n">
        <v>3</v>
      </c>
      <c r="B1440" s="12" t="n">
        <v>46237</v>
      </c>
      <c r="C1440" s="12" t="n">
        <v>46242</v>
      </c>
      <c r="D1440" s="11" t="n">
        <v>1625</v>
      </c>
      <c r="E1440" s="13" t="s">
        <v>320</v>
      </c>
      <c r="F1440" s="11" t="n">
        <v>24</v>
      </c>
      <c r="G1440" s="13" t="s">
        <v>42</v>
      </c>
      <c r="H1440" s="11" t="n">
        <v>2110405</v>
      </c>
      <c r="I1440" s="13" t="s">
        <v>34</v>
      </c>
      <c r="J1440" s="11" t="n">
        <v>1493494</v>
      </c>
      <c r="L1440" s="11" t="n">
        <v>149121</v>
      </c>
      <c r="M1440" s="13" t="s">
        <v>44</v>
      </c>
      <c r="N1440" s="13" t="s">
        <v>36</v>
      </c>
      <c r="P1440" s="11" t="n">
        <v>167</v>
      </c>
      <c r="Q1440" s="13" t="s">
        <v>101</v>
      </c>
      <c r="R1440" s="13" t="s">
        <v>46</v>
      </c>
      <c r="S1440" s="11" t="n">
        <v>1130101</v>
      </c>
      <c r="T1440" s="13" t="s">
        <v>47</v>
      </c>
      <c r="U1440" s="14" t="n">
        <v>3573.2</v>
      </c>
      <c r="W1440" s="14" t="n">
        <v>3573.2</v>
      </c>
      <c r="X1440" s="13" t="s">
        <v>1462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1" t="n">
        <v>3</v>
      </c>
      <c r="B1441" s="12" t="n">
        <v>46242</v>
      </c>
      <c r="C1441" s="12" t="n">
        <v>46242</v>
      </c>
      <c r="D1441" s="11" t="n">
        <v>42</v>
      </c>
      <c r="E1441" s="13" t="s">
        <v>80</v>
      </c>
      <c r="F1441" s="11" t="n">
        <v>13</v>
      </c>
      <c r="G1441" s="13" t="s">
        <v>81</v>
      </c>
      <c r="H1441" s="11" t="n">
        <v>2110101</v>
      </c>
      <c r="I1441" s="13" t="s">
        <v>43</v>
      </c>
      <c r="J1441" s="11" t="n">
        <v>1517825</v>
      </c>
      <c r="L1441" s="11" t="n">
        <v>4477</v>
      </c>
      <c r="M1441" s="13" t="s">
        <v>44</v>
      </c>
      <c r="N1441" s="13" t="s">
        <v>69</v>
      </c>
      <c r="P1441" s="11" t="n">
        <v>167</v>
      </c>
      <c r="Q1441" s="13" t="s">
        <v>101</v>
      </c>
      <c r="R1441" s="13" t="s">
        <v>46</v>
      </c>
      <c r="S1441" s="11" t="n">
        <v>1130101</v>
      </c>
      <c r="T1441" s="13" t="s">
        <v>47</v>
      </c>
      <c r="U1441" s="14" t="n">
        <v>245</v>
      </c>
      <c r="W1441" s="14" t="n">
        <v>245</v>
      </c>
      <c r="X1441" s="13" t="s">
        <v>772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46242</v>
      </c>
      <c r="C1442" s="12" t="n">
        <v>46242</v>
      </c>
      <c r="D1442" s="11" t="n">
        <v>42</v>
      </c>
      <c r="E1442" s="13" t="s">
        <v>80</v>
      </c>
      <c r="F1442" s="11" t="n">
        <v>13</v>
      </c>
      <c r="G1442" s="13" t="s">
        <v>81</v>
      </c>
      <c r="H1442" s="11" t="n">
        <v>2110101</v>
      </c>
      <c r="I1442" s="13" t="s">
        <v>43</v>
      </c>
      <c r="J1442" s="11" t="n">
        <v>1518069</v>
      </c>
      <c r="L1442" s="11" t="n">
        <v>4478</v>
      </c>
      <c r="M1442" s="13" t="s">
        <v>44</v>
      </c>
      <c r="N1442" s="13" t="s">
        <v>69</v>
      </c>
      <c r="P1442" s="11" t="n">
        <v>129</v>
      </c>
      <c r="Q1442" s="13" t="s">
        <v>102</v>
      </c>
      <c r="R1442" s="13" t="s">
        <v>46</v>
      </c>
      <c r="S1442" s="11" t="n">
        <v>1130101</v>
      </c>
      <c r="T1442" s="13" t="s">
        <v>47</v>
      </c>
      <c r="U1442" s="14" t="n">
        <v>250</v>
      </c>
      <c r="W1442" s="14" t="n">
        <v>250</v>
      </c>
      <c r="X1442" s="13" t="s">
        <v>1463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46242</v>
      </c>
      <c r="C1443" s="12" t="n">
        <v>46242</v>
      </c>
      <c r="D1443" s="11" t="n">
        <v>42</v>
      </c>
      <c r="E1443" s="13" t="s">
        <v>80</v>
      </c>
      <c r="F1443" s="11" t="n">
        <v>13</v>
      </c>
      <c r="G1443" s="13" t="s">
        <v>81</v>
      </c>
      <c r="H1443" s="11" t="n">
        <v>2110101</v>
      </c>
      <c r="I1443" s="13" t="s">
        <v>43</v>
      </c>
      <c r="J1443" s="11" t="n">
        <v>1518495</v>
      </c>
      <c r="L1443" s="11" t="n">
        <v>4479</v>
      </c>
      <c r="M1443" s="13" t="s">
        <v>44</v>
      </c>
      <c r="N1443" s="13" t="s">
        <v>69</v>
      </c>
      <c r="P1443" s="11" t="n">
        <v>129</v>
      </c>
      <c r="Q1443" s="13" t="s">
        <v>102</v>
      </c>
      <c r="R1443" s="13" t="s">
        <v>46</v>
      </c>
      <c r="S1443" s="11" t="n">
        <v>1130101</v>
      </c>
      <c r="T1443" s="13" t="s">
        <v>47</v>
      </c>
      <c r="U1443" s="14" t="n">
        <v>90</v>
      </c>
      <c r="W1443" s="14" t="n">
        <v>90</v>
      </c>
      <c r="X1443" s="13" t="s">
        <v>1464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46242</v>
      </c>
      <c r="C1444" s="12" t="n">
        <v>46242</v>
      </c>
      <c r="D1444" s="11" t="n">
        <v>10043</v>
      </c>
      <c r="E1444" s="13" t="s">
        <v>112</v>
      </c>
      <c r="F1444" s="11" t="n">
        <v>13</v>
      </c>
      <c r="G1444" s="13" t="s">
        <v>81</v>
      </c>
      <c r="H1444" s="11" t="n">
        <v>2110101</v>
      </c>
      <c r="I1444" s="13" t="s">
        <v>43</v>
      </c>
      <c r="J1444" s="11" t="n">
        <v>1537157</v>
      </c>
      <c r="L1444" s="11" t="n">
        <v>846</v>
      </c>
      <c r="M1444" s="13" t="s">
        <v>44</v>
      </c>
      <c r="N1444" s="13" t="s">
        <v>69</v>
      </c>
      <c r="P1444" s="11" t="n">
        <v>167</v>
      </c>
      <c r="Q1444" s="13" t="s">
        <v>101</v>
      </c>
      <c r="R1444" s="13" t="s">
        <v>46</v>
      </c>
      <c r="S1444" s="11" t="n">
        <v>1130101</v>
      </c>
      <c r="T1444" s="13" t="s">
        <v>47</v>
      </c>
      <c r="U1444" s="14" t="n">
        <v>180</v>
      </c>
      <c r="W1444" s="14" t="n">
        <v>180</v>
      </c>
      <c r="X1444" s="13" t="s">
        <v>1465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1" t="n">
        <v>3</v>
      </c>
      <c r="B1445" s="12" t="n">
        <v>46211</v>
      </c>
      <c r="C1445" s="12" t="n">
        <v>46243</v>
      </c>
      <c r="D1445" s="11" t="n">
        <v>1398</v>
      </c>
      <c r="E1445" s="13" t="s">
        <v>1245</v>
      </c>
      <c r="F1445" s="11" t="n">
        <v>24</v>
      </c>
      <c r="G1445" s="13" t="s">
        <v>42</v>
      </c>
      <c r="H1445" s="11" t="n">
        <v>2110405</v>
      </c>
      <c r="I1445" s="13" t="s">
        <v>34</v>
      </c>
      <c r="J1445" s="11" t="n">
        <v>1397029</v>
      </c>
      <c r="L1445" s="11" t="n">
        <v>33332</v>
      </c>
      <c r="M1445" s="13" t="s">
        <v>44</v>
      </c>
      <c r="N1445" s="13" t="s">
        <v>36</v>
      </c>
      <c r="P1445" s="11" t="n">
        <v>167</v>
      </c>
      <c r="Q1445" s="13" t="s">
        <v>101</v>
      </c>
      <c r="R1445" s="13" t="s">
        <v>46</v>
      </c>
      <c r="S1445" s="11" t="n">
        <v>1130101</v>
      </c>
      <c r="T1445" s="13" t="s">
        <v>47</v>
      </c>
      <c r="U1445" s="14" t="n">
        <v>592.05</v>
      </c>
      <c r="W1445" s="14" t="n">
        <v>592.05</v>
      </c>
      <c r="X1445" s="13" t="s">
        <v>1466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STIFF AMAREL</v>
      </c>
      <c r="AC1445" s="1" t="n">
        <v>1330</v>
      </c>
    </row>
    <row r="1446" customFormat="false" ht="12.75" hidden="false" customHeight="true" outlineLevel="0" collapsed="false">
      <c r="A1446" s="11" t="n">
        <v>3</v>
      </c>
      <c r="B1446" s="12" t="n">
        <v>46211</v>
      </c>
      <c r="C1446" s="12" t="n">
        <v>46243</v>
      </c>
      <c r="D1446" s="11" t="n">
        <v>1122</v>
      </c>
      <c r="E1446" s="13" t="s">
        <v>1242</v>
      </c>
      <c r="F1446" s="11" t="n">
        <v>24</v>
      </c>
      <c r="G1446" s="13" t="s">
        <v>42</v>
      </c>
      <c r="H1446" s="11" t="n">
        <v>2110405</v>
      </c>
      <c r="I1446" s="13" t="s">
        <v>34</v>
      </c>
      <c r="J1446" s="11" t="n">
        <v>1397050</v>
      </c>
      <c r="L1446" s="11" t="n">
        <v>66412</v>
      </c>
      <c r="M1446" s="13" t="s">
        <v>44</v>
      </c>
      <c r="N1446" s="13" t="s">
        <v>36</v>
      </c>
      <c r="P1446" s="11" t="n">
        <v>167</v>
      </c>
      <c r="Q1446" s="13" t="s">
        <v>101</v>
      </c>
      <c r="R1446" s="13" t="s">
        <v>46</v>
      </c>
      <c r="S1446" s="11" t="n">
        <v>1130101</v>
      </c>
      <c r="T1446" s="13" t="s">
        <v>47</v>
      </c>
      <c r="U1446" s="14" t="n">
        <v>614.99</v>
      </c>
      <c r="W1446" s="14" t="n">
        <v>614.99</v>
      </c>
      <c r="X1446" s="13" t="s">
        <v>1467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1" t="n">
        <v>3</v>
      </c>
      <c r="B1447" s="12" t="n">
        <v>46122</v>
      </c>
      <c r="C1447" s="12" t="n">
        <v>46244</v>
      </c>
      <c r="D1447" s="11" t="n">
        <v>815</v>
      </c>
      <c r="E1447" s="13" t="s">
        <v>327</v>
      </c>
      <c r="F1447" s="11" t="n">
        <v>34</v>
      </c>
      <c r="G1447" s="13" t="s">
        <v>33</v>
      </c>
      <c r="H1447" s="11" t="n">
        <v>2110405</v>
      </c>
      <c r="I1447" s="13" t="s">
        <v>34</v>
      </c>
      <c r="J1447" s="11" t="n">
        <v>793794</v>
      </c>
      <c r="L1447" s="11" t="n">
        <v>100326</v>
      </c>
      <c r="M1447" s="13" t="s">
        <v>380</v>
      </c>
      <c r="N1447" s="13" t="s">
        <v>36</v>
      </c>
      <c r="P1447" s="11" t="n">
        <v>101</v>
      </c>
      <c r="Q1447" s="13" t="s">
        <v>37</v>
      </c>
      <c r="R1447" s="13" t="s">
        <v>139</v>
      </c>
      <c r="S1447" s="11" t="n">
        <v>2110901</v>
      </c>
      <c r="T1447" s="13" t="s">
        <v>140</v>
      </c>
      <c r="U1447" s="14" t="n">
        <v>1500</v>
      </c>
      <c r="W1447" s="14" t="n">
        <v>1500</v>
      </c>
      <c r="X1447" s="13" t="s">
        <v>328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46184</v>
      </c>
      <c r="C1448" s="12" t="n">
        <v>46244</v>
      </c>
      <c r="D1448" s="11" t="n">
        <v>1611</v>
      </c>
      <c r="E1448" s="13" t="s">
        <v>445</v>
      </c>
      <c r="F1448" s="11" t="n">
        <v>24</v>
      </c>
      <c r="G1448" s="13" t="s">
        <v>42</v>
      </c>
      <c r="H1448" s="11" t="n">
        <v>2110101</v>
      </c>
      <c r="I1448" s="13" t="s">
        <v>43</v>
      </c>
      <c r="J1448" s="11" t="n">
        <v>1239682</v>
      </c>
      <c r="L1448" s="11" t="n">
        <v>180736282</v>
      </c>
      <c r="M1448" s="13" t="s">
        <v>44</v>
      </c>
      <c r="N1448" s="13" t="s">
        <v>36</v>
      </c>
      <c r="P1448" s="11" t="n">
        <v>128</v>
      </c>
      <c r="Q1448" s="13" t="s">
        <v>45</v>
      </c>
      <c r="R1448" s="13" t="s">
        <v>46</v>
      </c>
      <c r="S1448" s="11" t="n">
        <v>1130101</v>
      </c>
      <c r="T1448" s="13" t="s">
        <v>47</v>
      </c>
      <c r="U1448" s="14" t="n">
        <v>1718.76</v>
      </c>
      <c r="W1448" s="14" t="n">
        <v>1718.76</v>
      </c>
      <c r="X1448" s="13" t="s">
        <v>1468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1" t="n">
        <v>3</v>
      </c>
      <c r="B1449" s="12" t="n">
        <v>46211</v>
      </c>
      <c r="C1449" s="12" t="n">
        <v>46244</v>
      </c>
      <c r="D1449" s="11" t="n">
        <v>33</v>
      </c>
      <c r="E1449" s="13" t="s">
        <v>71</v>
      </c>
      <c r="F1449" s="11" t="n">
        <v>34</v>
      </c>
      <c r="G1449" s="13" t="s">
        <v>33</v>
      </c>
      <c r="H1449" s="11" t="n">
        <v>2110405</v>
      </c>
      <c r="I1449" s="13" t="s">
        <v>34</v>
      </c>
      <c r="J1449" s="11" t="n">
        <v>1370731</v>
      </c>
      <c r="L1449" s="11" t="n">
        <v>213889</v>
      </c>
      <c r="M1449" s="13" t="s">
        <v>150</v>
      </c>
      <c r="N1449" s="13" t="s">
        <v>36</v>
      </c>
      <c r="P1449" s="11" t="n">
        <v>101</v>
      </c>
      <c r="Q1449" s="13" t="s">
        <v>37</v>
      </c>
      <c r="R1449" s="13" t="s">
        <v>38</v>
      </c>
      <c r="S1449" s="11" t="n">
        <v>4210222</v>
      </c>
      <c r="T1449" s="13" t="s">
        <v>1094</v>
      </c>
      <c r="U1449" s="14" t="n">
        <v>666.67</v>
      </c>
      <c r="W1449" s="14" t="n">
        <v>666.67</v>
      </c>
      <c r="X1449" s="13" t="s">
        <v>1095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46214</v>
      </c>
      <c r="C1450" s="12" t="n">
        <v>46244</v>
      </c>
      <c r="D1450" s="11" t="n">
        <v>1028</v>
      </c>
      <c r="E1450" s="13" t="s">
        <v>329</v>
      </c>
      <c r="F1450" s="11" t="n">
        <v>34</v>
      </c>
      <c r="G1450" s="13" t="s">
        <v>33</v>
      </c>
      <c r="H1450" s="11" t="n">
        <v>2110405</v>
      </c>
      <c r="I1450" s="13" t="s">
        <v>34</v>
      </c>
      <c r="J1450" s="11" t="n">
        <v>1382524</v>
      </c>
      <c r="L1450" s="11" t="n">
        <v>215701</v>
      </c>
      <c r="M1450" s="13" t="s">
        <v>150</v>
      </c>
      <c r="N1450" s="13" t="s">
        <v>36</v>
      </c>
      <c r="P1450" s="11" t="n">
        <v>101</v>
      </c>
      <c r="Q1450" s="13" t="s">
        <v>37</v>
      </c>
      <c r="R1450" s="13" t="s">
        <v>63</v>
      </c>
      <c r="S1450" s="11" t="n">
        <v>4210111</v>
      </c>
      <c r="T1450" s="13" t="s">
        <v>330</v>
      </c>
      <c r="U1450" s="14" t="n">
        <v>5500</v>
      </c>
      <c r="W1450" s="14" t="n">
        <v>5500</v>
      </c>
      <c r="X1450" s="13" t="s">
        <v>964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46216</v>
      </c>
      <c r="C1451" s="12" t="n">
        <v>46244</v>
      </c>
      <c r="D1451" s="11" t="n">
        <v>1636</v>
      </c>
      <c r="E1451" s="13" t="s">
        <v>49</v>
      </c>
      <c r="F1451" s="11" t="n">
        <v>24</v>
      </c>
      <c r="G1451" s="13" t="s">
        <v>42</v>
      </c>
      <c r="H1451" s="11" t="n">
        <v>1110204</v>
      </c>
      <c r="I1451" s="13" t="s">
        <v>1469</v>
      </c>
      <c r="J1451" s="11" t="n">
        <v>1401761</v>
      </c>
      <c r="L1451" s="11" t="n">
        <v>32187123</v>
      </c>
      <c r="M1451" s="13" t="s">
        <v>44</v>
      </c>
      <c r="N1451" s="13" t="s">
        <v>36</v>
      </c>
      <c r="P1451" s="11" t="n">
        <v>167</v>
      </c>
      <c r="Q1451" s="13" t="s">
        <v>101</v>
      </c>
      <c r="R1451" s="13" t="s">
        <v>46</v>
      </c>
      <c r="S1451" s="11" t="n">
        <v>1130101</v>
      </c>
      <c r="T1451" s="13" t="s">
        <v>47</v>
      </c>
      <c r="U1451" s="14" t="n">
        <v>930.36</v>
      </c>
      <c r="W1451" s="14" t="n">
        <v>930.36</v>
      </c>
      <c r="X1451" s="13" t="s">
        <v>1470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1" t="n">
        <v>3</v>
      </c>
      <c r="B1452" s="12" t="n">
        <v>46216</v>
      </c>
      <c r="C1452" s="12" t="n">
        <v>46244</v>
      </c>
      <c r="D1452" s="11" t="n">
        <v>1445</v>
      </c>
      <c r="E1452" s="13" t="s">
        <v>1267</v>
      </c>
      <c r="F1452" s="11" t="n">
        <v>24</v>
      </c>
      <c r="G1452" s="13" t="s">
        <v>42</v>
      </c>
      <c r="H1452" s="11" t="n">
        <v>1110204</v>
      </c>
      <c r="I1452" s="13" t="s">
        <v>1469</v>
      </c>
      <c r="J1452" s="11" t="n">
        <v>1407211</v>
      </c>
      <c r="L1452" s="11" t="n">
        <v>2982083</v>
      </c>
      <c r="M1452" s="13" t="s">
        <v>44</v>
      </c>
      <c r="N1452" s="13" t="s">
        <v>36</v>
      </c>
      <c r="P1452" s="11" t="n">
        <v>167</v>
      </c>
      <c r="Q1452" s="13" t="s">
        <v>101</v>
      </c>
      <c r="R1452" s="13" t="s">
        <v>46</v>
      </c>
      <c r="S1452" s="11" t="n">
        <v>1130101</v>
      </c>
      <c r="T1452" s="13" t="s">
        <v>47</v>
      </c>
      <c r="U1452" s="14" t="n">
        <v>620.44</v>
      </c>
      <c r="W1452" s="14" t="n">
        <v>620.44</v>
      </c>
      <c r="X1452" s="13" t="s">
        <v>1471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1" t="n">
        <v>3</v>
      </c>
      <c r="B1453" s="12" t="n">
        <v>46220</v>
      </c>
      <c r="C1453" s="12" t="n">
        <v>46244</v>
      </c>
      <c r="D1453" s="11" t="n">
        <v>1166</v>
      </c>
      <c r="E1453" s="13" t="s">
        <v>941</v>
      </c>
      <c r="F1453" s="11" t="n">
        <v>24</v>
      </c>
      <c r="G1453" s="13" t="s">
        <v>42</v>
      </c>
      <c r="H1453" s="11" t="n">
        <v>2110405</v>
      </c>
      <c r="I1453" s="13" t="s">
        <v>34</v>
      </c>
      <c r="J1453" s="11" t="n">
        <v>1424573</v>
      </c>
      <c r="L1453" s="11" t="n">
        <v>355482</v>
      </c>
      <c r="M1453" s="13" t="s">
        <v>44</v>
      </c>
      <c r="N1453" s="13" t="s">
        <v>36</v>
      </c>
      <c r="P1453" s="11" t="n">
        <v>167</v>
      </c>
      <c r="Q1453" s="13" t="s">
        <v>101</v>
      </c>
      <c r="R1453" s="13" t="s">
        <v>46</v>
      </c>
      <c r="S1453" s="11" t="n">
        <v>1130101</v>
      </c>
      <c r="T1453" s="13" t="s">
        <v>47</v>
      </c>
      <c r="U1453" s="14" t="n">
        <v>404.55</v>
      </c>
      <c r="W1453" s="14" t="n">
        <v>404.55</v>
      </c>
      <c r="X1453" s="13" t="s">
        <v>1472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1" t="n">
        <v>3</v>
      </c>
      <c r="B1454" s="12" t="n">
        <v>46228</v>
      </c>
      <c r="C1454" s="12" t="n">
        <v>46244</v>
      </c>
      <c r="D1454" s="11" t="n">
        <v>1608</v>
      </c>
      <c r="E1454" s="13" t="s">
        <v>41</v>
      </c>
      <c r="F1454" s="11" t="n">
        <v>24</v>
      </c>
      <c r="G1454" s="13" t="s">
        <v>42</v>
      </c>
      <c r="H1454" s="11" t="n">
        <v>2110405</v>
      </c>
      <c r="I1454" s="13" t="s">
        <v>34</v>
      </c>
      <c r="J1454" s="11" t="n">
        <v>1468572</v>
      </c>
      <c r="L1454" s="11" t="n">
        <v>16995931</v>
      </c>
      <c r="M1454" s="13" t="s">
        <v>44</v>
      </c>
      <c r="N1454" s="13" t="s">
        <v>36</v>
      </c>
      <c r="P1454" s="11" t="n">
        <v>167</v>
      </c>
      <c r="Q1454" s="13" t="s">
        <v>101</v>
      </c>
      <c r="R1454" s="13" t="s">
        <v>46</v>
      </c>
      <c r="S1454" s="11" t="n">
        <v>1130101</v>
      </c>
      <c r="T1454" s="13" t="s">
        <v>47</v>
      </c>
      <c r="U1454" s="14" t="n">
        <v>903.46</v>
      </c>
      <c r="W1454" s="14" t="n">
        <v>903.46</v>
      </c>
      <c r="X1454" s="13" t="s">
        <v>1473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ACHOC TODDY 200G</v>
      </c>
      <c r="AC1454" s="1" t="n">
        <v>1699593</v>
      </c>
    </row>
    <row r="1455" customFormat="false" ht="12.75" hidden="false" customHeight="true" outlineLevel="0" collapsed="false">
      <c r="A1455" s="11" t="n">
        <v>3</v>
      </c>
      <c r="B1455" s="12" t="n">
        <v>46225</v>
      </c>
      <c r="C1455" s="12" t="n">
        <v>46244</v>
      </c>
      <c r="D1455" s="11" t="n">
        <v>1613</v>
      </c>
      <c r="E1455" s="13" t="s">
        <v>177</v>
      </c>
      <c r="F1455" s="11" t="n">
        <v>24</v>
      </c>
      <c r="G1455" s="13" t="s">
        <v>42</v>
      </c>
      <c r="H1455" s="11" t="n">
        <v>2110405</v>
      </c>
      <c r="I1455" s="13" t="s">
        <v>34</v>
      </c>
      <c r="J1455" s="11" t="n">
        <v>1434411</v>
      </c>
      <c r="L1455" s="11" t="n">
        <v>16099463</v>
      </c>
      <c r="M1455" s="13" t="s">
        <v>44</v>
      </c>
      <c r="N1455" s="13" t="s">
        <v>36</v>
      </c>
      <c r="P1455" s="11" t="n">
        <v>167</v>
      </c>
      <c r="Q1455" s="13" t="s">
        <v>101</v>
      </c>
      <c r="R1455" s="13" t="s">
        <v>46</v>
      </c>
      <c r="S1455" s="11" t="n">
        <v>1130101</v>
      </c>
      <c r="T1455" s="13" t="s">
        <v>47</v>
      </c>
      <c r="U1455" s="14" t="n">
        <v>1315.92</v>
      </c>
      <c r="W1455" s="14" t="n">
        <v>1315.92</v>
      </c>
      <c r="X1455" s="13" t="s">
        <v>1474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CARRE SUINO KG</v>
      </c>
      <c r="AC1455" s="1" t="n">
        <v>1609946</v>
      </c>
    </row>
    <row r="1456" customFormat="false" ht="12.75" hidden="false" customHeight="true" outlineLevel="0" collapsed="false">
      <c r="A1456" s="11" t="n">
        <v>3</v>
      </c>
      <c r="B1456" s="12" t="n">
        <v>46228</v>
      </c>
      <c r="C1456" s="12" t="n">
        <v>46244</v>
      </c>
      <c r="D1456" s="11" t="n">
        <v>1608</v>
      </c>
      <c r="E1456" s="13" t="s">
        <v>41</v>
      </c>
      <c r="F1456" s="11" t="n">
        <v>24</v>
      </c>
      <c r="G1456" s="13" t="s">
        <v>42</v>
      </c>
      <c r="H1456" s="11" t="n">
        <v>2110405</v>
      </c>
      <c r="I1456" s="13" t="s">
        <v>34</v>
      </c>
      <c r="J1456" s="11" t="n">
        <v>1458379</v>
      </c>
      <c r="L1456" s="11" t="n">
        <v>16998851</v>
      </c>
      <c r="M1456" s="13" t="s">
        <v>44</v>
      </c>
      <c r="N1456" s="13" t="s">
        <v>36</v>
      </c>
      <c r="P1456" s="11" t="n">
        <v>167</v>
      </c>
      <c r="Q1456" s="13" t="s">
        <v>101</v>
      </c>
      <c r="R1456" s="13" t="s">
        <v>46</v>
      </c>
      <c r="S1456" s="11" t="n">
        <v>1130101</v>
      </c>
      <c r="T1456" s="13" t="s">
        <v>47</v>
      </c>
      <c r="U1456" s="14" t="n">
        <v>418.68</v>
      </c>
      <c r="W1456" s="14" t="n">
        <v>418.68</v>
      </c>
      <c r="X1456" s="13" t="s">
        <v>1475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CHEETOS LUA PARMESAO 143G</v>
      </c>
      <c r="AC1456" s="1" t="n">
        <v>1699885</v>
      </c>
    </row>
    <row r="1457" customFormat="false" ht="12.75" hidden="false" customHeight="true" outlineLevel="0" collapsed="false">
      <c r="A1457" s="11" t="n">
        <v>3</v>
      </c>
      <c r="B1457" s="12" t="n">
        <v>46230</v>
      </c>
      <c r="C1457" s="12" t="n">
        <v>46244</v>
      </c>
      <c r="D1457" s="11" t="n">
        <v>1269</v>
      </c>
      <c r="E1457" s="13" t="s">
        <v>1368</v>
      </c>
      <c r="F1457" s="11" t="n">
        <v>24</v>
      </c>
      <c r="G1457" s="13" t="s">
        <v>42</v>
      </c>
      <c r="H1457" s="11" t="n">
        <v>2110405</v>
      </c>
      <c r="I1457" s="13" t="s">
        <v>34</v>
      </c>
      <c r="J1457" s="11" t="n">
        <v>1458690</v>
      </c>
      <c r="L1457" s="11" t="n">
        <v>42</v>
      </c>
      <c r="M1457" s="13" t="s">
        <v>44</v>
      </c>
      <c r="N1457" s="13" t="s">
        <v>36</v>
      </c>
      <c r="P1457" s="11" t="n">
        <v>167</v>
      </c>
      <c r="Q1457" s="13" t="s">
        <v>101</v>
      </c>
      <c r="R1457" s="13" t="s">
        <v>46</v>
      </c>
      <c r="S1457" s="11" t="n">
        <v>1130101</v>
      </c>
      <c r="T1457" s="13" t="s">
        <v>47</v>
      </c>
      <c r="U1457" s="14" t="n">
        <v>746.66</v>
      </c>
      <c r="W1457" s="14" t="n">
        <v>746.66</v>
      </c>
      <c r="X1457" s="13" t="s">
        <v>1476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GELO SABORIZADO SABOR MELANCIA</v>
      </c>
      <c r="AC1457" s="1" t="n">
        <v>4</v>
      </c>
    </row>
    <row r="1458" customFormat="false" ht="12.75" hidden="false" customHeight="true" outlineLevel="0" collapsed="false">
      <c r="A1458" s="11" t="n">
        <v>3</v>
      </c>
      <c r="B1458" s="12" t="n">
        <v>46231</v>
      </c>
      <c r="C1458" s="12" t="n">
        <v>46244</v>
      </c>
      <c r="D1458" s="11" t="n">
        <v>1672</v>
      </c>
      <c r="E1458" s="13" t="s">
        <v>67</v>
      </c>
      <c r="F1458" s="11" t="n">
        <v>24</v>
      </c>
      <c r="G1458" s="13" t="s">
        <v>42</v>
      </c>
      <c r="H1458" s="11" t="n">
        <v>2110405</v>
      </c>
      <c r="I1458" s="13" t="s">
        <v>34</v>
      </c>
      <c r="J1458" s="11" t="n">
        <v>1472932</v>
      </c>
      <c r="L1458" s="11" t="n">
        <v>14071391</v>
      </c>
      <c r="M1458" s="13" t="s">
        <v>44</v>
      </c>
      <c r="N1458" s="13" t="s">
        <v>36</v>
      </c>
      <c r="P1458" s="11" t="n">
        <v>167</v>
      </c>
      <c r="Q1458" s="13" t="s">
        <v>101</v>
      </c>
      <c r="R1458" s="13" t="s">
        <v>46</v>
      </c>
      <c r="S1458" s="11" t="n">
        <v>1130101</v>
      </c>
      <c r="T1458" s="13" t="s">
        <v>47</v>
      </c>
      <c r="U1458" s="14" t="n">
        <v>537.5</v>
      </c>
      <c r="W1458" s="14" t="n">
        <v>537.5</v>
      </c>
      <c r="X1458" s="13" t="s">
        <v>1477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1" t="n">
        <v>3</v>
      </c>
      <c r="B1459" s="12" t="n">
        <v>46234</v>
      </c>
      <c r="C1459" s="12" t="n">
        <v>46244</v>
      </c>
      <c r="D1459" s="11" t="n">
        <v>1666</v>
      </c>
      <c r="E1459" s="13" t="s">
        <v>212</v>
      </c>
      <c r="F1459" s="11" t="n">
        <v>24</v>
      </c>
      <c r="G1459" s="13" t="s">
        <v>42</v>
      </c>
      <c r="H1459" s="11" t="n">
        <v>2110405</v>
      </c>
      <c r="I1459" s="13" t="s">
        <v>34</v>
      </c>
      <c r="J1459" s="11" t="n">
        <v>1495092</v>
      </c>
      <c r="L1459" s="11" t="n">
        <v>5686651</v>
      </c>
      <c r="M1459" s="13" t="s">
        <v>44</v>
      </c>
      <c r="N1459" s="13" t="s">
        <v>36</v>
      </c>
      <c r="P1459" s="11" t="n">
        <v>167</v>
      </c>
      <c r="Q1459" s="13" t="s">
        <v>101</v>
      </c>
      <c r="R1459" s="13" t="s">
        <v>46</v>
      </c>
      <c r="S1459" s="11" t="n">
        <v>1130101</v>
      </c>
      <c r="T1459" s="13" t="s">
        <v>47</v>
      </c>
      <c r="U1459" s="14" t="n">
        <v>2964.55</v>
      </c>
      <c r="W1459" s="14" t="n">
        <v>2964.55</v>
      </c>
      <c r="X1459" s="13" t="s">
        <v>1478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1" t="n">
        <v>3</v>
      </c>
      <c r="B1460" s="12" t="n">
        <v>46236</v>
      </c>
      <c r="C1460" s="12" t="n">
        <v>46244</v>
      </c>
      <c r="D1460" s="11" t="n">
        <v>1936</v>
      </c>
      <c r="E1460" s="13" t="s">
        <v>78</v>
      </c>
      <c r="F1460" s="11" t="n">
        <v>24</v>
      </c>
      <c r="G1460" s="13" t="s">
        <v>42</v>
      </c>
      <c r="H1460" s="11" t="n">
        <v>2110405</v>
      </c>
      <c r="I1460" s="13" t="s">
        <v>34</v>
      </c>
      <c r="J1460" s="11" t="n">
        <v>1528868</v>
      </c>
      <c r="L1460" s="11" t="n">
        <v>50633050</v>
      </c>
      <c r="M1460" s="13" t="s">
        <v>44</v>
      </c>
      <c r="N1460" s="13" t="s">
        <v>36</v>
      </c>
      <c r="P1460" s="11" t="n">
        <v>167</v>
      </c>
      <c r="Q1460" s="13" t="s">
        <v>101</v>
      </c>
      <c r="R1460" s="13" t="s">
        <v>46</v>
      </c>
      <c r="S1460" s="11" t="n">
        <v>1130101</v>
      </c>
      <c r="T1460" s="13" t="s">
        <v>47</v>
      </c>
      <c r="U1460" s="14" t="n">
        <v>611.31</v>
      </c>
      <c r="W1460" s="14" t="n">
        <v>611.31</v>
      </c>
      <c r="X1460" s="13" t="s">
        <v>79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1" t="n">
        <v>3</v>
      </c>
      <c r="B1461" s="12" t="n">
        <v>46243</v>
      </c>
      <c r="C1461" s="12" t="n">
        <v>46244</v>
      </c>
      <c r="D1461" s="11" t="n">
        <v>1936</v>
      </c>
      <c r="E1461" s="13" t="s">
        <v>78</v>
      </c>
      <c r="F1461" s="11" t="n">
        <v>24</v>
      </c>
      <c r="G1461" s="13" t="s">
        <v>42</v>
      </c>
      <c r="H1461" s="11" t="n">
        <v>2110405</v>
      </c>
      <c r="I1461" s="13" t="s">
        <v>34</v>
      </c>
      <c r="J1461" s="11" t="n">
        <v>1528878</v>
      </c>
      <c r="L1461" s="11" t="n">
        <v>237136</v>
      </c>
      <c r="M1461" s="13" t="s">
        <v>44</v>
      </c>
      <c r="N1461" s="13" t="s">
        <v>36</v>
      </c>
      <c r="P1461" s="11" t="n">
        <v>167</v>
      </c>
      <c r="Q1461" s="13" t="s">
        <v>101</v>
      </c>
      <c r="R1461" s="13" t="s">
        <v>46</v>
      </c>
      <c r="S1461" s="11" t="n">
        <v>1130101</v>
      </c>
      <c r="T1461" s="13" t="s">
        <v>47</v>
      </c>
      <c r="U1461" s="14" t="n">
        <v>193.19</v>
      </c>
      <c r="W1461" s="14" t="n">
        <v>193.19</v>
      </c>
      <c r="X1461" s="13" t="s">
        <v>597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1" t="n">
        <v>3</v>
      </c>
      <c r="B1462" s="12" t="n">
        <v>46244</v>
      </c>
      <c r="C1462" s="12" t="n">
        <v>46244</v>
      </c>
      <c r="D1462" s="11" t="n">
        <v>42</v>
      </c>
      <c r="E1462" s="13" t="s">
        <v>80</v>
      </c>
      <c r="F1462" s="11" t="n">
        <v>13</v>
      </c>
      <c r="G1462" s="13" t="s">
        <v>81</v>
      </c>
      <c r="H1462" s="11" t="n">
        <v>2110101</v>
      </c>
      <c r="I1462" s="13" t="s">
        <v>43</v>
      </c>
      <c r="J1462" s="11" t="n">
        <v>1529106</v>
      </c>
      <c r="L1462" s="11" t="n">
        <v>4480</v>
      </c>
      <c r="M1462" s="13" t="s">
        <v>44</v>
      </c>
      <c r="N1462" s="13" t="s">
        <v>69</v>
      </c>
      <c r="P1462" s="11" t="n">
        <v>167</v>
      </c>
      <c r="Q1462" s="13" t="s">
        <v>101</v>
      </c>
      <c r="R1462" s="13" t="s">
        <v>46</v>
      </c>
      <c r="S1462" s="11" t="n">
        <v>1130101</v>
      </c>
      <c r="T1462" s="13" t="s">
        <v>47</v>
      </c>
      <c r="U1462" s="14" t="n">
        <v>174</v>
      </c>
      <c r="W1462" s="14" t="n">
        <v>174</v>
      </c>
      <c r="X1462" s="13" t="s">
        <v>772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1" t="n">
        <v>3</v>
      </c>
      <c r="B1463" s="12" t="n">
        <v>46244</v>
      </c>
      <c r="C1463" s="12" t="n">
        <v>46244</v>
      </c>
      <c r="D1463" s="11" t="n">
        <v>42</v>
      </c>
      <c r="E1463" s="13" t="s">
        <v>80</v>
      </c>
      <c r="F1463" s="11" t="n">
        <v>13</v>
      </c>
      <c r="G1463" s="13" t="s">
        <v>81</v>
      </c>
      <c r="H1463" s="11" t="n">
        <v>2110101</v>
      </c>
      <c r="I1463" s="13" t="s">
        <v>43</v>
      </c>
      <c r="J1463" s="11" t="n">
        <v>1530108</v>
      </c>
      <c r="L1463" s="11" t="n">
        <v>4481</v>
      </c>
      <c r="M1463" s="13" t="s">
        <v>44</v>
      </c>
      <c r="N1463" s="13" t="s">
        <v>69</v>
      </c>
      <c r="P1463" s="11" t="n">
        <v>167</v>
      </c>
      <c r="Q1463" s="13" t="s">
        <v>101</v>
      </c>
      <c r="R1463" s="13" t="s">
        <v>46</v>
      </c>
      <c r="S1463" s="11" t="n">
        <v>1130101</v>
      </c>
      <c r="T1463" s="13" t="s">
        <v>47</v>
      </c>
      <c r="U1463" s="14" t="n">
        <v>125</v>
      </c>
      <c r="W1463" s="14" t="n">
        <v>125</v>
      </c>
      <c r="X1463" s="13" t="s">
        <v>1192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1" t="n">
        <v>3</v>
      </c>
      <c r="B1464" s="12" t="n">
        <v>46244</v>
      </c>
      <c r="C1464" s="12" t="n">
        <v>46244</v>
      </c>
      <c r="D1464" s="11" t="n">
        <v>514</v>
      </c>
      <c r="E1464" s="13" t="s">
        <v>32</v>
      </c>
      <c r="F1464" s="11" t="n">
        <v>34</v>
      </c>
      <c r="G1464" s="13" t="s">
        <v>33</v>
      </c>
      <c r="H1464" s="11" t="n">
        <v>2110405</v>
      </c>
      <c r="I1464" s="13" t="s">
        <v>34</v>
      </c>
      <c r="J1464" s="11" t="n">
        <v>1533033</v>
      </c>
      <c r="L1464" s="11" t="n">
        <v>238011</v>
      </c>
      <c r="M1464" s="13" t="s">
        <v>44</v>
      </c>
      <c r="N1464" s="13" t="s">
        <v>36</v>
      </c>
      <c r="P1464" s="11" t="n">
        <v>101</v>
      </c>
      <c r="Q1464" s="13" t="s">
        <v>37</v>
      </c>
      <c r="R1464" s="13" t="s">
        <v>203</v>
      </c>
      <c r="S1464" s="11" t="n">
        <v>4220199</v>
      </c>
      <c r="T1464" s="13" t="s">
        <v>204</v>
      </c>
      <c r="U1464" s="14" t="n">
        <v>400</v>
      </c>
      <c r="W1464" s="14" t="n">
        <v>400</v>
      </c>
      <c r="X1464" s="13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1" t="n">
        <v>3</v>
      </c>
      <c r="B1465" s="12" t="n">
        <v>46244</v>
      </c>
      <c r="C1465" s="12" t="n">
        <v>46244</v>
      </c>
      <c r="D1465" s="11" t="n">
        <v>33</v>
      </c>
      <c r="E1465" s="13" t="s">
        <v>71</v>
      </c>
      <c r="F1465" s="11" t="n">
        <v>34</v>
      </c>
      <c r="G1465" s="13" t="s">
        <v>33</v>
      </c>
      <c r="H1465" s="11" t="n">
        <v>2110405</v>
      </c>
      <c r="I1465" s="13" t="s">
        <v>34</v>
      </c>
      <c r="J1465" s="11" t="n">
        <v>1533057</v>
      </c>
      <c r="L1465" s="11" t="n">
        <v>238018</v>
      </c>
      <c r="M1465" s="13" t="s">
        <v>44</v>
      </c>
      <c r="N1465" s="13" t="s">
        <v>36</v>
      </c>
      <c r="P1465" s="11" t="n">
        <v>101</v>
      </c>
      <c r="Q1465" s="13" t="s">
        <v>37</v>
      </c>
      <c r="R1465" s="13" t="s">
        <v>38</v>
      </c>
      <c r="S1465" s="11" t="n">
        <v>4210222</v>
      </c>
      <c r="T1465" s="13" t="s">
        <v>1094</v>
      </c>
      <c r="U1465" s="14" t="n">
        <v>666.66</v>
      </c>
      <c r="W1465" s="14" t="n">
        <v>666.66</v>
      </c>
      <c r="X1465" s="13" t="s">
        <v>523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1" t="n">
        <v>3</v>
      </c>
      <c r="B1466" s="12" t="n">
        <v>46153</v>
      </c>
      <c r="C1466" s="12" t="n">
        <v>46245</v>
      </c>
      <c r="D1466" s="11" t="n">
        <v>32</v>
      </c>
      <c r="E1466" s="13" t="s">
        <v>202</v>
      </c>
      <c r="F1466" s="11" t="n">
        <v>34</v>
      </c>
      <c r="G1466" s="13" t="s">
        <v>33</v>
      </c>
      <c r="H1466" s="11" t="n">
        <v>2110405</v>
      </c>
      <c r="I1466" s="13" t="s">
        <v>34</v>
      </c>
      <c r="J1466" s="11" t="n">
        <v>1083670</v>
      </c>
      <c r="L1466" s="11" t="n">
        <v>170746</v>
      </c>
      <c r="M1466" s="13" t="s">
        <v>315</v>
      </c>
      <c r="N1466" s="13" t="s">
        <v>36</v>
      </c>
      <c r="P1466" s="11" t="n">
        <v>101</v>
      </c>
      <c r="Q1466" s="13" t="s">
        <v>37</v>
      </c>
      <c r="R1466" s="13" t="s">
        <v>203</v>
      </c>
      <c r="S1466" s="11" t="n">
        <v>4220199</v>
      </c>
      <c r="T1466" s="13" t="s">
        <v>204</v>
      </c>
      <c r="U1466" s="14" t="n">
        <v>8059.98</v>
      </c>
      <c r="W1466" s="14" t="n">
        <v>8059.98</v>
      </c>
      <c r="X1466" s="13" t="s">
        <v>1480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1" t="n">
        <v>3</v>
      </c>
      <c r="B1467" s="12" t="n">
        <v>46214</v>
      </c>
      <c r="C1467" s="12" t="n">
        <v>46245</v>
      </c>
      <c r="D1467" s="11" t="n">
        <v>33</v>
      </c>
      <c r="E1467" s="13" t="s">
        <v>71</v>
      </c>
      <c r="F1467" s="11" t="n">
        <v>34</v>
      </c>
      <c r="G1467" s="13" t="s">
        <v>33</v>
      </c>
      <c r="H1467" s="11" t="n">
        <v>2110405</v>
      </c>
      <c r="I1467" s="13" t="s">
        <v>34</v>
      </c>
      <c r="J1467" s="11" t="n">
        <v>1053887</v>
      </c>
      <c r="L1467" s="11" t="n">
        <v>166257</v>
      </c>
      <c r="M1467" s="13" t="s">
        <v>315</v>
      </c>
      <c r="N1467" s="13" t="s">
        <v>36</v>
      </c>
      <c r="P1467" s="11" t="n">
        <v>102</v>
      </c>
      <c r="Q1467" s="13" t="s">
        <v>186</v>
      </c>
      <c r="R1467" s="13" t="s">
        <v>72</v>
      </c>
      <c r="S1467" s="11" t="n">
        <v>4210301</v>
      </c>
      <c r="T1467" s="13" t="s">
        <v>230</v>
      </c>
      <c r="U1467" s="14" t="n">
        <v>329.09</v>
      </c>
      <c r="W1467" s="14" t="n">
        <v>329.09</v>
      </c>
      <c r="X1467" s="13" t="s">
        <v>317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1" t="n">
        <v>3</v>
      </c>
      <c r="B1468" s="12" t="n">
        <v>46224</v>
      </c>
      <c r="C1468" s="12" t="n">
        <v>46245</v>
      </c>
      <c r="D1468" s="11" t="n">
        <v>1921</v>
      </c>
      <c r="E1468" s="13" t="s">
        <v>247</v>
      </c>
      <c r="F1468" s="11" t="n">
        <v>24</v>
      </c>
      <c r="G1468" s="13" t="s">
        <v>42</v>
      </c>
      <c r="H1468" s="11" t="n">
        <v>2110405</v>
      </c>
      <c r="I1468" s="13" t="s">
        <v>34</v>
      </c>
      <c r="J1468" s="11" t="n">
        <v>1427659</v>
      </c>
      <c r="L1468" s="11" t="n">
        <v>134392</v>
      </c>
      <c r="M1468" s="13" t="s">
        <v>44</v>
      </c>
      <c r="N1468" s="13" t="s">
        <v>36</v>
      </c>
      <c r="P1468" s="11" t="n">
        <v>167</v>
      </c>
      <c r="Q1468" s="13" t="s">
        <v>101</v>
      </c>
      <c r="R1468" s="13" t="s">
        <v>46</v>
      </c>
      <c r="S1468" s="11" t="n">
        <v>1130101</v>
      </c>
      <c r="T1468" s="13" t="s">
        <v>47</v>
      </c>
      <c r="U1468" s="14" t="n">
        <v>360.15</v>
      </c>
      <c r="W1468" s="14" t="n">
        <v>360.15</v>
      </c>
      <c r="X1468" s="13" t="s">
        <v>1481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1" t="n">
        <v>3</v>
      </c>
      <c r="B1469" s="12" t="n">
        <v>46225</v>
      </c>
      <c r="C1469" s="12" t="n">
        <v>46245</v>
      </c>
      <c r="D1469" s="11" t="n">
        <v>1815</v>
      </c>
      <c r="E1469" s="13" t="s">
        <v>53</v>
      </c>
      <c r="F1469" s="11" t="n">
        <v>24</v>
      </c>
      <c r="G1469" s="13" t="s">
        <v>42</v>
      </c>
      <c r="H1469" s="11" t="n">
        <v>2110405</v>
      </c>
      <c r="I1469" s="13" t="s">
        <v>34</v>
      </c>
      <c r="J1469" s="11" t="n">
        <v>1435875</v>
      </c>
      <c r="L1469" s="11" t="n">
        <v>4580362</v>
      </c>
      <c r="M1469" s="13" t="s">
        <v>44</v>
      </c>
      <c r="N1469" s="13" t="s">
        <v>36</v>
      </c>
      <c r="P1469" s="11" t="n">
        <v>167</v>
      </c>
      <c r="Q1469" s="13" t="s">
        <v>101</v>
      </c>
      <c r="R1469" s="13" t="s">
        <v>46</v>
      </c>
      <c r="S1469" s="11" t="n">
        <v>1130101</v>
      </c>
      <c r="T1469" s="13" t="s">
        <v>47</v>
      </c>
      <c r="U1469" s="14" t="n">
        <v>2067.28</v>
      </c>
      <c r="W1469" s="14" t="n">
        <v>2067.28</v>
      </c>
      <c r="X1469" s="13" t="s">
        <v>1482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1" t="n">
        <v>3</v>
      </c>
      <c r="B1470" s="12" t="n">
        <v>46224</v>
      </c>
      <c r="C1470" s="12" t="n">
        <v>46245</v>
      </c>
      <c r="D1470" s="11" t="n">
        <v>1636</v>
      </c>
      <c r="E1470" s="13" t="s">
        <v>49</v>
      </c>
      <c r="F1470" s="11" t="n">
        <v>24</v>
      </c>
      <c r="G1470" s="13" t="s">
        <v>42</v>
      </c>
      <c r="H1470" s="11" t="n">
        <v>2110405</v>
      </c>
      <c r="I1470" s="13" t="s">
        <v>34</v>
      </c>
      <c r="J1470" s="11" t="n">
        <v>1448430</v>
      </c>
      <c r="L1470" s="11" t="n">
        <v>32235722</v>
      </c>
      <c r="M1470" s="13" t="s">
        <v>44</v>
      </c>
      <c r="N1470" s="13" t="s">
        <v>36</v>
      </c>
      <c r="P1470" s="11" t="n">
        <v>167</v>
      </c>
      <c r="Q1470" s="13" t="s">
        <v>101</v>
      </c>
      <c r="R1470" s="13" t="s">
        <v>46</v>
      </c>
      <c r="S1470" s="11" t="n">
        <v>1130101</v>
      </c>
      <c r="T1470" s="13" t="s">
        <v>47</v>
      </c>
      <c r="U1470" s="14" t="n">
        <v>289.19</v>
      </c>
      <c r="W1470" s="14" t="n">
        <v>289.19</v>
      </c>
      <c r="X1470" s="13" t="s">
        <v>1483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1" t="n">
        <v>3</v>
      </c>
      <c r="B1471" s="12" t="n">
        <v>46231</v>
      </c>
      <c r="C1471" s="12" t="n">
        <v>46245</v>
      </c>
      <c r="D1471" s="11" t="n">
        <v>1740</v>
      </c>
      <c r="E1471" s="13" t="s">
        <v>170</v>
      </c>
      <c r="F1471" s="11" t="n">
        <v>24</v>
      </c>
      <c r="G1471" s="13" t="s">
        <v>42</v>
      </c>
      <c r="H1471" s="11" t="n">
        <v>2110405</v>
      </c>
      <c r="I1471" s="13" t="s">
        <v>34</v>
      </c>
      <c r="J1471" s="11" t="n">
        <v>1468598</v>
      </c>
      <c r="L1471" s="11" t="n">
        <v>12522441</v>
      </c>
      <c r="M1471" s="13" t="s">
        <v>44</v>
      </c>
      <c r="N1471" s="13" t="s">
        <v>36</v>
      </c>
      <c r="P1471" s="11" t="n">
        <v>167</v>
      </c>
      <c r="Q1471" s="13" t="s">
        <v>101</v>
      </c>
      <c r="R1471" s="13" t="s">
        <v>46</v>
      </c>
      <c r="S1471" s="11" t="n">
        <v>1130101</v>
      </c>
      <c r="T1471" s="13" t="s">
        <v>47</v>
      </c>
      <c r="U1471" s="14" t="n">
        <v>676.45</v>
      </c>
      <c r="W1471" s="14" t="n">
        <v>676.45</v>
      </c>
      <c r="X1471" s="13" t="s">
        <v>1484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1" t="n">
        <v>3</v>
      </c>
      <c r="B1472" s="12" t="n">
        <v>46231</v>
      </c>
      <c r="C1472" s="12" t="n">
        <v>46245</v>
      </c>
      <c r="D1472" s="11" t="n">
        <v>1749</v>
      </c>
      <c r="E1472" s="13" t="s">
        <v>266</v>
      </c>
      <c r="F1472" s="11" t="n">
        <v>24</v>
      </c>
      <c r="G1472" s="13" t="s">
        <v>42</v>
      </c>
      <c r="H1472" s="11" t="n">
        <v>2110405</v>
      </c>
      <c r="I1472" s="13" t="s">
        <v>34</v>
      </c>
      <c r="J1472" s="11" t="n">
        <v>1473006</v>
      </c>
      <c r="L1472" s="11" t="n">
        <v>35692</v>
      </c>
      <c r="M1472" s="13" t="s">
        <v>44</v>
      </c>
      <c r="N1472" s="13" t="s">
        <v>36</v>
      </c>
      <c r="P1472" s="11" t="n">
        <v>167</v>
      </c>
      <c r="Q1472" s="13" t="s">
        <v>101</v>
      </c>
      <c r="R1472" s="13" t="s">
        <v>46</v>
      </c>
      <c r="S1472" s="11" t="n">
        <v>1130101</v>
      </c>
      <c r="T1472" s="13" t="s">
        <v>47</v>
      </c>
      <c r="U1472" s="14" t="n">
        <v>1398.66</v>
      </c>
      <c r="W1472" s="14" t="n">
        <v>1398.66</v>
      </c>
      <c r="X1472" s="13" t="s">
        <v>1485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1" t="n">
        <v>3</v>
      </c>
      <c r="B1473" s="12" t="n">
        <v>46231</v>
      </c>
      <c r="C1473" s="12" t="n">
        <v>46245</v>
      </c>
      <c r="D1473" s="11" t="n">
        <v>1723</v>
      </c>
      <c r="E1473" s="13" t="s">
        <v>76</v>
      </c>
      <c r="F1473" s="11" t="n">
        <v>24</v>
      </c>
      <c r="G1473" s="13" t="s">
        <v>42</v>
      </c>
      <c r="H1473" s="11" t="n">
        <v>2110405</v>
      </c>
      <c r="I1473" s="13" t="s">
        <v>34</v>
      </c>
      <c r="J1473" s="11" t="n">
        <v>1473775</v>
      </c>
      <c r="L1473" s="11" t="n">
        <v>578112</v>
      </c>
      <c r="M1473" s="13" t="s">
        <v>44</v>
      </c>
      <c r="N1473" s="13" t="s">
        <v>36</v>
      </c>
      <c r="P1473" s="11" t="n">
        <v>167</v>
      </c>
      <c r="Q1473" s="13" t="s">
        <v>101</v>
      </c>
      <c r="R1473" s="13" t="s">
        <v>46</v>
      </c>
      <c r="S1473" s="11" t="n">
        <v>1130101</v>
      </c>
      <c r="T1473" s="13" t="s">
        <v>47</v>
      </c>
      <c r="U1473" s="14" t="n">
        <v>2040.8</v>
      </c>
      <c r="W1473" s="14" t="n">
        <v>2040.8</v>
      </c>
      <c r="X1473" s="13" t="s">
        <v>1486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1" t="n">
        <v>3</v>
      </c>
      <c r="B1474" s="12" t="n">
        <v>46233</v>
      </c>
      <c r="C1474" s="12" t="n">
        <v>46245</v>
      </c>
      <c r="D1474" s="11" t="n">
        <v>1613</v>
      </c>
      <c r="E1474" s="13" t="s">
        <v>177</v>
      </c>
      <c r="F1474" s="11" t="n">
        <v>24</v>
      </c>
      <c r="G1474" s="13" t="s">
        <v>42</v>
      </c>
      <c r="H1474" s="11" t="n">
        <v>2110405</v>
      </c>
      <c r="I1474" s="13" t="s">
        <v>34</v>
      </c>
      <c r="J1474" s="11" t="n">
        <v>1473804</v>
      </c>
      <c r="L1474" s="11" t="n">
        <v>16135172</v>
      </c>
      <c r="M1474" s="13" t="s">
        <v>44</v>
      </c>
      <c r="N1474" s="13" t="s">
        <v>36</v>
      </c>
      <c r="P1474" s="11" t="n">
        <v>167</v>
      </c>
      <c r="Q1474" s="13" t="s">
        <v>101</v>
      </c>
      <c r="R1474" s="13" t="s">
        <v>46</v>
      </c>
      <c r="S1474" s="11" t="n">
        <v>1130101</v>
      </c>
      <c r="T1474" s="13" t="s">
        <v>47</v>
      </c>
      <c r="U1474" s="14" t="n">
        <v>1468.01</v>
      </c>
      <c r="W1474" s="14" t="n">
        <v>1468.01</v>
      </c>
      <c r="X1474" s="13" t="s">
        <v>1487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1" t="n">
        <v>3</v>
      </c>
      <c r="B1475" s="12" t="n">
        <v>46232</v>
      </c>
      <c r="C1475" s="12" t="n">
        <v>46245</v>
      </c>
      <c r="D1475" s="11" t="n">
        <v>1911</v>
      </c>
      <c r="E1475" s="13" t="s">
        <v>541</v>
      </c>
      <c r="F1475" s="11" t="n">
        <v>24</v>
      </c>
      <c r="G1475" s="13" t="s">
        <v>42</v>
      </c>
      <c r="H1475" s="11" t="n">
        <v>2110405</v>
      </c>
      <c r="I1475" s="13" t="s">
        <v>34</v>
      </c>
      <c r="J1475" s="11" t="n">
        <v>1477480</v>
      </c>
      <c r="L1475" s="11" t="n">
        <v>66364</v>
      </c>
      <c r="M1475" s="13" t="s">
        <v>44</v>
      </c>
      <c r="N1475" s="13" t="s">
        <v>36</v>
      </c>
      <c r="P1475" s="11" t="n">
        <v>167</v>
      </c>
      <c r="Q1475" s="13" t="s">
        <v>101</v>
      </c>
      <c r="R1475" s="13" t="s">
        <v>38</v>
      </c>
      <c r="S1475" s="11" t="n">
        <v>4210299</v>
      </c>
      <c r="T1475" s="13" t="s">
        <v>1079</v>
      </c>
      <c r="U1475" s="14" t="n">
        <v>648</v>
      </c>
      <c r="W1475" s="14" t="n">
        <v>648</v>
      </c>
      <c r="X1475" s="13" t="s">
        <v>1488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1" t="n">
        <v>3</v>
      </c>
      <c r="B1476" s="12" t="n">
        <v>46231</v>
      </c>
      <c r="C1476" s="12" t="n">
        <v>46245</v>
      </c>
      <c r="D1476" s="11" t="n">
        <v>10009</v>
      </c>
      <c r="E1476" s="13" t="s">
        <v>373</v>
      </c>
      <c r="F1476" s="11" t="n">
        <v>24</v>
      </c>
      <c r="G1476" s="13" t="s">
        <v>42</v>
      </c>
      <c r="H1476" s="11" t="n">
        <v>2110405</v>
      </c>
      <c r="I1476" s="13" t="s">
        <v>34</v>
      </c>
      <c r="J1476" s="11" t="n">
        <v>1477520</v>
      </c>
      <c r="L1476" s="11" t="n">
        <v>1433260</v>
      </c>
      <c r="M1476" s="13" t="s">
        <v>44</v>
      </c>
      <c r="N1476" s="13" t="s">
        <v>36</v>
      </c>
      <c r="P1476" s="11" t="n">
        <v>167</v>
      </c>
      <c r="Q1476" s="13" t="s">
        <v>101</v>
      </c>
      <c r="R1476" s="13" t="s">
        <v>46</v>
      </c>
      <c r="S1476" s="11" t="n">
        <v>1130101</v>
      </c>
      <c r="T1476" s="13" t="s">
        <v>47</v>
      </c>
      <c r="U1476" s="14" t="n">
        <v>1385.79</v>
      </c>
      <c r="W1476" s="14" t="n">
        <v>1385.79</v>
      </c>
      <c r="X1476" s="13" t="s">
        <v>1489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1" t="n">
        <v>3</v>
      </c>
      <c r="B1477" s="12" t="n">
        <v>46234</v>
      </c>
      <c r="C1477" s="12" t="n">
        <v>46245</v>
      </c>
      <c r="D1477" s="11" t="n">
        <v>1621</v>
      </c>
      <c r="E1477" s="13" t="s">
        <v>306</v>
      </c>
      <c r="F1477" s="11" t="n">
        <v>24</v>
      </c>
      <c r="G1477" s="13" t="s">
        <v>42</v>
      </c>
      <c r="H1477" s="11" t="n">
        <v>2110405</v>
      </c>
      <c r="I1477" s="13" t="s">
        <v>34</v>
      </c>
      <c r="J1477" s="11" t="n">
        <v>1492837</v>
      </c>
      <c r="L1477" s="11" t="n">
        <v>935472</v>
      </c>
      <c r="M1477" s="13" t="s">
        <v>44</v>
      </c>
      <c r="N1477" s="13" t="s">
        <v>36</v>
      </c>
      <c r="P1477" s="11" t="n">
        <v>167</v>
      </c>
      <c r="Q1477" s="13" t="s">
        <v>101</v>
      </c>
      <c r="R1477" s="13" t="s">
        <v>46</v>
      </c>
      <c r="S1477" s="11" t="n">
        <v>1130101</v>
      </c>
      <c r="T1477" s="13" t="s">
        <v>47</v>
      </c>
      <c r="U1477" s="14" t="n">
        <v>944.87</v>
      </c>
      <c r="W1477" s="14" t="n">
        <v>944.87</v>
      </c>
      <c r="X1477" s="13" t="s">
        <v>1490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1" t="n">
        <v>3</v>
      </c>
      <c r="B1478" s="12" t="n">
        <v>46237</v>
      </c>
      <c r="C1478" s="12" t="n">
        <v>46245</v>
      </c>
      <c r="D1478" s="11" t="n">
        <v>1734</v>
      </c>
      <c r="E1478" s="13" t="s">
        <v>125</v>
      </c>
      <c r="F1478" s="11" t="n">
        <v>24</v>
      </c>
      <c r="G1478" s="13" t="s">
        <v>42</v>
      </c>
      <c r="H1478" s="11" t="n">
        <v>2110405</v>
      </c>
      <c r="I1478" s="13" t="s">
        <v>34</v>
      </c>
      <c r="J1478" s="11" t="n">
        <v>1495561</v>
      </c>
      <c r="L1478" s="11" t="n">
        <v>2562082</v>
      </c>
      <c r="M1478" s="13" t="s">
        <v>44</v>
      </c>
      <c r="N1478" s="13" t="s">
        <v>36</v>
      </c>
      <c r="P1478" s="11" t="n">
        <v>167</v>
      </c>
      <c r="Q1478" s="13" t="s">
        <v>101</v>
      </c>
      <c r="R1478" s="13" t="s">
        <v>46</v>
      </c>
      <c r="S1478" s="11" t="n">
        <v>1130101</v>
      </c>
      <c r="T1478" s="13" t="s">
        <v>47</v>
      </c>
      <c r="U1478" s="14" t="n">
        <v>430</v>
      </c>
      <c r="W1478" s="14" t="n">
        <v>430</v>
      </c>
      <c r="X1478" s="13" t="s">
        <v>1491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1" t="n">
        <v>3</v>
      </c>
      <c r="B1479" s="12" t="n">
        <v>46238</v>
      </c>
      <c r="C1479" s="12" t="n">
        <v>46245</v>
      </c>
      <c r="D1479" s="11" t="n">
        <v>1378</v>
      </c>
      <c r="E1479" s="13" t="s">
        <v>120</v>
      </c>
      <c r="F1479" s="11" t="n">
        <v>24</v>
      </c>
      <c r="G1479" s="13" t="s">
        <v>42</v>
      </c>
      <c r="H1479" s="11" t="n">
        <v>2110405</v>
      </c>
      <c r="I1479" s="13" t="s">
        <v>34</v>
      </c>
      <c r="J1479" s="11" t="n">
        <v>1503228</v>
      </c>
      <c r="L1479" s="11" t="n">
        <v>18523</v>
      </c>
      <c r="M1479" s="13" t="s">
        <v>44</v>
      </c>
      <c r="N1479" s="13" t="s">
        <v>36</v>
      </c>
      <c r="P1479" s="11" t="n">
        <v>167</v>
      </c>
      <c r="Q1479" s="13" t="s">
        <v>101</v>
      </c>
      <c r="R1479" s="13" t="s">
        <v>46</v>
      </c>
      <c r="S1479" s="11" t="n">
        <v>1130101</v>
      </c>
      <c r="T1479" s="13" t="s">
        <v>47</v>
      </c>
      <c r="U1479" s="14" t="n">
        <v>282</v>
      </c>
      <c r="W1479" s="14" t="n">
        <v>282</v>
      </c>
      <c r="X1479" s="13" t="s">
        <v>1492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1" t="n">
        <v>3</v>
      </c>
      <c r="B1480" s="12" t="n">
        <v>46237</v>
      </c>
      <c r="C1480" s="12" t="n">
        <v>46245</v>
      </c>
      <c r="D1480" s="11" t="n">
        <v>1705</v>
      </c>
      <c r="E1480" s="13" t="s">
        <v>122</v>
      </c>
      <c r="F1480" s="11" t="n">
        <v>24</v>
      </c>
      <c r="G1480" s="13" t="s">
        <v>42</v>
      </c>
      <c r="H1480" s="11" t="n">
        <v>2110405</v>
      </c>
      <c r="I1480" s="13" t="s">
        <v>34</v>
      </c>
      <c r="J1480" s="11" t="n">
        <v>1504161</v>
      </c>
      <c r="L1480" s="11" t="n">
        <v>19685125</v>
      </c>
      <c r="M1480" s="13" t="s">
        <v>44</v>
      </c>
      <c r="N1480" s="13" t="s">
        <v>36</v>
      </c>
      <c r="P1480" s="11" t="n">
        <v>167</v>
      </c>
      <c r="Q1480" s="13" t="s">
        <v>101</v>
      </c>
      <c r="R1480" s="13" t="s">
        <v>46</v>
      </c>
      <c r="S1480" s="11" t="n">
        <v>1130101</v>
      </c>
      <c r="T1480" s="13" t="s">
        <v>47</v>
      </c>
      <c r="U1480" s="14" t="n">
        <v>3781.27</v>
      </c>
      <c r="W1480" s="14" t="n">
        <v>3781.27</v>
      </c>
      <c r="X1480" s="13" t="s">
        <v>1493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1" t="n">
        <v>3</v>
      </c>
      <c r="B1481" s="12" t="n">
        <v>46237</v>
      </c>
      <c r="C1481" s="12" t="n">
        <v>46245</v>
      </c>
      <c r="D1481" s="11" t="n">
        <v>1705</v>
      </c>
      <c r="E1481" s="13" t="s">
        <v>122</v>
      </c>
      <c r="F1481" s="11" t="n">
        <v>24</v>
      </c>
      <c r="G1481" s="13" t="s">
        <v>42</v>
      </c>
      <c r="H1481" s="11" t="n">
        <v>2110405</v>
      </c>
      <c r="I1481" s="13" t="s">
        <v>34</v>
      </c>
      <c r="J1481" s="11" t="n">
        <v>1504186</v>
      </c>
      <c r="L1481" s="11" t="n">
        <v>19683555</v>
      </c>
      <c r="M1481" s="13" t="s">
        <v>44</v>
      </c>
      <c r="N1481" s="13" t="s">
        <v>36</v>
      </c>
      <c r="P1481" s="11" t="n">
        <v>167</v>
      </c>
      <c r="Q1481" s="13" t="s">
        <v>101</v>
      </c>
      <c r="R1481" s="13" t="s">
        <v>46</v>
      </c>
      <c r="S1481" s="11" t="n">
        <v>1130101</v>
      </c>
      <c r="T1481" s="13" t="s">
        <v>47</v>
      </c>
      <c r="U1481" s="14" t="n">
        <v>593.41</v>
      </c>
      <c r="W1481" s="14" t="n">
        <v>593.41</v>
      </c>
      <c r="X1481" s="13" t="s">
        <v>1494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1" t="n">
        <v>3</v>
      </c>
      <c r="B1482" s="12" t="n">
        <v>46237</v>
      </c>
      <c r="C1482" s="12" t="n">
        <v>46245</v>
      </c>
      <c r="D1482" s="11" t="n">
        <v>1705</v>
      </c>
      <c r="E1482" s="13" t="s">
        <v>122</v>
      </c>
      <c r="F1482" s="11" t="n">
        <v>24</v>
      </c>
      <c r="G1482" s="13" t="s">
        <v>42</v>
      </c>
      <c r="H1482" s="11" t="n">
        <v>2110405</v>
      </c>
      <c r="I1482" s="13" t="s">
        <v>34</v>
      </c>
      <c r="J1482" s="11" t="n">
        <v>1504194</v>
      </c>
      <c r="L1482" s="11" t="n">
        <v>1232508</v>
      </c>
      <c r="M1482" s="13" t="s">
        <v>44</v>
      </c>
      <c r="N1482" s="13" t="s">
        <v>36</v>
      </c>
      <c r="P1482" s="11" t="n">
        <v>167</v>
      </c>
      <c r="Q1482" s="13" t="s">
        <v>101</v>
      </c>
      <c r="R1482" s="13" t="s">
        <v>46</v>
      </c>
      <c r="S1482" s="11" t="n">
        <v>1130101</v>
      </c>
      <c r="T1482" s="13" t="s">
        <v>47</v>
      </c>
      <c r="U1482" s="14" t="n">
        <v>2416.27</v>
      </c>
      <c r="W1482" s="14" t="n">
        <v>2416.27</v>
      </c>
      <c r="X1482" s="13" t="s">
        <v>1495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1" t="n">
        <v>3</v>
      </c>
      <c r="B1483" s="12" t="n">
        <v>46238</v>
      </c>
      <c r="C1483" s="12" t="n">
        <v>46245</v>
      </c>
      <c r="D1483" s="11" t="n">
        <v>1734</v>
      </c>
      <c r="E1483" s="13" t="s">
        <v>125</v>
      </c>
      <c r="F1483" s="11" t="n">
        <v>24</v>
      </c>
      <c r="G1483" s="13" t="s">
        <v>42</v>
      </c>
      <c r="H1483" s="11" t="n">
        <v>2110405</v>
      </c>
      <c r="I1483" s="13" t="s">
        <v>34</v>
      </c>
      <c r="J1483" s="11" t="n">
        <v>1504817</v>
      </c>
      <c r="L1483" s="11" t="n">
        <v>257005</v>
      </c>
      <c r="M1483" s="13" t="s">
        <v>44</v>
      </c>
      <c r="N1483" s="13" t="s">
        <v>36</v>
      </c>
      <c r="P1483" s="11" t="n">
        <v>167</v>
      </c>
      <c r="Q1483" s="13" t="s">
        <v>101</v>
      </c>
      <c r="R1483" s="13" t="s">
        <v>46</v>
      </c>
      <c r="S1483" s="11" t="n">
        <v>1130101</v>
      </c>
      <c r="T1483" s="13" t="s">
        <v>47</v>
      </c>
      <c r="U1483" s="14" t="n">
        <v>482.52</v>
      </c>
      <c r="W1483" s="14" t="n">
        <v>482.52</v>
      </c>
      <c r="X1483" s="13" t="s">
        <v>1496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1" t="n">
        <v>3</v>
      </c>
      <c r="B1484" s="12" t="n">
        <v>46234</v>
      </c>
      <c r="C1484" s="12" t="n">
        <v>46245</v>
      </c>
      <c r="D1484" s="11" t="n">
        <v>1608</v>
      </c>
      <c r="E1484" s="13" t="s">
        <v>41</v>
      </c>
      <c r="F1484" s="11" t="n">
        <v>24</v>
      </c>
      <c r="G1484" s="13" t="s">
        <v>42</v>
      </c>
      <c r="H1484" s="11" t="n">
        <v>2110405</v>
      </c>
      <c r="I1484" s="13" t="s">
        <v>34</v>
      </c>
      <c r="J1484" s="11" t="n">
        <v>1509868</v>
      </c>
      <c r="L1484" s="11" t="n">
        <v>1704577</v>
      </c>
      <c r="M1484" s="13" t="s">
        <v>44</v>
      </c>
      <c r="N1484" s="13" t="s">
        <v>36</v>
      </c>
      <c r="P1484" s="11" t="n">
        <v>167</v>
      </c>
      <c r="Q1484" s="13" t="s">
        <v>101</v>
      </c>
      <c r="R1484" s="13" t="s">
        <v>46</v>
      </c>
      <c r="S1484" s="11" t="n">
        <v>1130101</v>
      </c>
      <c r="T1484" s="13" t="s">
        <v>47</v>
      </c>
      <c r="U1484" s="14" t="n">
        <v>156.12</v>
      </c>
      <c r="W1484" s="14" t="n">
        <v>156.12</v>
      </c>
      <c r="X1484" s="13" t="s">
        <v>1497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1" t="n">
        <v>3</v>
      </c>
      <c r="B1485" s="12" t="n">
        <v>46241</v>
      </c>
      <c r="C1485" s="12" t="n">
        <v>46245</v>
      </c>
      <c r="D1485" s="11" t="n">
        <v>1615</v>
      </c>
      <c r="E1485" s="13" t="s">
        <v>130</v>
      </c>
      <c r="F1485" s="11" t="n">
        <v>34</v>
      </c>
      <c r="G1485" s="13" t="s">
        <v>33</v>
      </c>
      <c r="H1485" s="11" t="n">
        <v>2110405</v>
      </c>
      <c r="I1485" s="13" t="s">
        <v>34</v>
      </c>
      <c r="J1485" s="11" t="n">
        <v>1514395</v>
      </c>
      <c r="L1485" s="11" t="n">
        <v>235013</v>
      </c>
      <c r="M1485" s="13" t="s">
        <v>44</v>
      </c>
      <c r="N1485" s="13" t="s">
        <v>36</v>
      </c>
      <c r="P1485" s="11" t="n">
        <v>167</v>
      </c>
      <c r="Q1485" s="13" t="s">
        <v>101</v>
      </c>
      <c r="R1485" s="13" t="s">
        <v>46</v>
      </c>
      <c r="S1485" s="11" t="n">
        <v>1130101</v>
      </c>
      <c r="T1485" s="13" t="s">
        <v>47</v>
      </c>
      <c r="U1485" s="14" t="n">
        <v>270</v>
      </c>
      <c r="W1485" s="14" t="n">
        <v>270</v>
      </c>
      <c r="X1485" s="13" t="s">
        <v>1498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UVA VITORIA 250G</v>
      </c>
      <c r="AC1485" s="1" t="n">
        <v>15055</v>
      </c>
    </row>
    <row r="1486" customFormat="false" ht="12.75" hidden="false" customHeight="true" outlineLevel="0" collapsed="false">
      <c r="A1486" s="11" t="n">
        <v>3</v>
      </c>
      <c r="B1486" s="12" t="n">
        <v>46241</v>
      </c>
      <c r="C1486" s="12" t="n">
        <v>46245</v>
      </c>
      <c r="D1486" s="11" t="n">
        <v>1615</v>
      </c>
      <c r="E1486" s="13" t="s">
        <v>130</v>
      </c>
      <c r="F1486" s="11" t="n">
        <v>34</v>
      </c>
      <c r="G1486" s="13" t="s">
        <v>33</v>
      </c>
      <c r="H1486" s="11" t="n">
        <v>2110405</v>
      </c>
      <c r="I1486" s="13" t="s">
        <v>34</v>
      </c>
      <c r="J1486" s="11" t="n">
        <v>1514407</v>
      </c>
      <c r="L1486" s="11" t="n">
        <v>235016</v>
      </c>
      <c r="M1486" s="13" t="s">
        <v>44</v>
      </c>
      <c r="N1486" s="13" t="s">
        <v>36</v>
      </c>
      <c r="P1486" s="11" t="n">
        <v>167</v>
      </c>
      <c r="Q1486" s="13" t="s">
        <v>101</v>
      </c>
      <c r="R1486" s="13" t="s">
        <v>46</v>
      </c>
      <c r="S1486" s="11" t="n">
        <v>1130101</v>
      </c>
      <c r="T1486" s="13" t="s">
        <v>47</v>
      </c>
      <c r="U1486" s="14" t="n">
        <v>108</v>
      </c>
      <c r="W1486" s="14" t="n">
        <v>108</v>
      </c>
      <c r="X1486" s="13" t="s">
        <v>1499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12.75" hidden="false" customHeight="true" outlineLevel="0" collapsed="false">
      <c r="A1487" s="11" t="n">
        <v>3</v>
      </c>
      <c r="B1487" s="12" t="n">
        <v>46241</v>
      </c>
      <c r="C1487" s="12" t="n">
        <v>46245</v>
      </c>
      <c r="D1487" s="11" t="n">
        <v>42</v>
      </c>
      <c r="E1487" s="13" t="s">
        <v>80</v>
      </c>
      <c r="F1487" s="11" t="n">
        <v>34</v>
      </c>
      <c r="G1487" s="13" t="s">
        <v>33</v>
      </c>
      <c r="H1487" s="11" t="n">
        <v>2110101</v>
      </c>
      <c r="I1487" s="13" t="s">
        <v>43</v>
      </c>
      <c r="J1487" s="11" t="n">
        <v>1514452</v>
      </c>
      <c r="L1487" s="11" t="n">
        <v>4474</v>
      </c>
      <c r="M1487" s="13" t="s">
        <v>44</v>
      </c>
      <c r="N1487" s="13" t="s">
        <v>69</v>
      </c>
      <c r="P1487" s="11" t="n">
        <v>167</v>
      </c>
      <c r="Q1487" s="13" t="s">
        <v>101</v>
      </c>
      <c r="R1487" s="13" t="s">
        <v>46</v>
      </c>
      <c r="S1487" s="11" t="n">
        <v>1130101</v>
      </c>
      <c r="T1487" s="13" t="s">
        <v>47</v>
      </c>
      <c r="U1487" s="14" t="n">
        <v>1991</v>
      </c>
      <c r="W1487" s="14" t="n">
        <v>1991</v>
      </c>
      <c r="X1487" s="13" t="s">
        <v>1029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1" t="n">
        <v>3</v>
      </c>
      <c r="B1488" s="12" t="n">
        <v>46241</v>
      </c>
      <c r="C1488" s="12" t="n">
        <v>46245</v>
      </c>
      <c r="D1488" s="11" t="n">
        <v>10096</v>
      </c>
      <c r="E1488" s="13" t="s">
        <v>1232</v>
      </c>
      <c r="F1488" s="11" t="n">
        <v>34</v>
      </c>
      <c r="G1488" s="13" t="s">
        <v>33</v>
      </c>
      <c r="H1488" s="11" t="n">
        <v>2110405</v>
      </c>
      <c r="I1488" s="13" t="s">
        <v>34</v>
      </c>
      <c r="J1488" s="11" t="n">
        <v>1528891</v>
      </c>
      <c r="L1488" s="11" t="n">
        <v>237139</v>
      </c>
      <c r="M1488" s="13" t="s">
        <v>44</v>
      </c>
      <c r="N1488" s="13" t="s">
        <v>36</v>
      </c>
      <c r="P1488" s="11" t="n">
        <v>167</v>
      </c>
      <c r="Q1488" s="13" t="s">
        <v>101</v>
      </c>
      <c r="R1488" s="13" t="s">
        <v>46</v>
      </c>
      <c r="S1488" s="11" t="n">
        <v>1130101</v>
      </c>
      <c r="T1488" s="13" t="s">
        <v>47</v>
      </c>
      <c r="U1488" s="14" t="n">
        <v>240</v>
      </c>
      <c r="W1488" s="14" t="n">
        <v>240</v>
      </c>
      <c r="X1488" s="13" t="s">
        <v>1500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1" t="n">
        <v>3</v>
      </c>
      <c r="B1489" s="12" t="n">
        <v>46242</v>
      </c>
      <c r="C1489" s="12" t="n">
        <v>46245</v>
      </c>
      <c r="D1489" s="11" t="n">
        <v>642</v>
      </c>
      <c r="E1489" s="13" t="s">
        <v>135</v>
      </c>
      <c r="F1489" s="11" t="n">
        <v>24</v>
      </c>
      <c r="G1489" s="13" t="s">
        <v>42</v>
      </c>
      <c r="H1489" s="11" t="n">
        <v>2110405</v>
      </c>
      <c r="I1489" s="13" t="s">
        <v>34</v>
      </c>
      <c r="J1489" s="11" t="n">
        <v>1528918</v>
      </c>
      <c r="L1489" s="11" t="n">
        <v>580</v>
      </c>
      <c r="M1489" s="13" t="s">
        <v>44</v>
      </c>
      <c r="N1489" s="13" t="s">
        <v>36</v>
      </c>
      <c r="P1489" s="11" t="n">
        <v>167</v>
      </c>
      <c r="Q1489" s="13" t="s">
        <v>101</v>
      </c>
      <c r="R1489" s="13" t="s">
        <v>46</v>
      </c>
      <c r="S1489" s="11" t="n">
        <v>1130101</v>
      </c>
      <c r="T1489" s="13" t="s">
        <v>47</v>
      </c>
      <c r="U1489" s="14" t="n">
        <v>300</v>
      </c>
      <c r="W1489" s="14" t="n">
        <v>300</v>
      </c>
      <c r="X1489" s="13" t="s">
        <v>1501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1" t="n">
        <v>3</v>
      </c>
      <c r="B1490" s="12" t="n">
        <v>46245</v>
      </c>
      <c r="C1490" s="12" t="n">
        <v>46245</v>
      </c>
      <c r="D1490" s="11" t="n">
        <v>42</v>
      </c>
      <c r="E1490" s="13" t="s">
        <v>80</v>
      </c>
      <c r="F1490" s="11" t="n">
        <v>13</v>
      </c>
      <c r="G1490" s="13" t="s">
        <v>81</v>
      </c>
      <c r="H1490" s="11" t="n">
        <v>2110101</v>
      </c>
      <c r="I1490" s="13" t="s">
        <v>43</v>
      </c>
      <c r="J1490" s="11" t="n">
        <v>1531894</v>
      </c>
      <c r="L1490" s="11" t="n">
        <v>4486</v>
      </c>
      <c r="M1490" s="13" t="s">
        <v>44</v>
      </c>
      <c r="N1490" s="13" t="s">
        <v>69</v>
      </c>
      <c r="P1490" s="11" t="n">
        <v>167</v>
      </c>
      <c r="Q1490" s="13" t="s">
        <v>101</v>
      </c>
      <c r="R1490" s="13" t="s">
        <v>46</v>
      </c>
      <c r="S1490" s="11" t="n">
        <v>1130101</v>
      </c>
      <c r="T1490" s="13" t="s">
        <v>47</v>
      </c>
      <c r="U1490" s="14" t="n">
        <v>125</v>
      </c>
      <c r="W1490" s="14" t="n">
        <v>125</v>
      </c>
      <c r="X1490" s="13" t="s">
        <v>1177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/>
      <c r="AC1490" s="1"/>
    </row>
    <row r="1491" customFormat="false" ht="12.75" hidden="false" customHeight="true" outlineLevel="0" collapsed="false">
      <c r="A1491" s="11" t="n">
        <v>3</v>
      </c>
      <c r="B1491" s="12" t="n">
        <v>46245</v>
      </c>
      <c r="C1491" s="12" t="n">
        <v>46245</v>
      </c>
      <c r="D1491" s="11" t="n">
        <v>42</v>
      </c>
      <c r="E1491" s="13" t="s">
        <v>80</v>
      </c>
      <c r="F1491" s="11" t="n">
        <v>13</v>
      </c>
      <c r="G1491" s="13" t="s">
        <v>81</v>
      </c>
      <c r="H1491" s="11" t="n">
        <v>2110101</v>
      </c>
      <c r="I1491" s="13" t="s">
        <v>43</v>
      </c>
      <c r="J1491" s="11" t="n">
        <v>1532652</v>
      </c>
      <c r="L1491" s="11" t="n">
        <v>4488</v>
      </c>
      <c r="M1491" s="13" t="s">
        <v>44</v>
      </c>
      <c r="N1491" s="13" t="s">
        <v>69</v>
      </c>
      <c r="P1491" s="11" t="n">
        <v>167</v>
      </c>
      <c r="Q1491" s="13" t="s">
        <v>101</v>
      </c>
      <c r="R1491" s="13" t="s">
        <v>46</v>
      </c>
      <c r="S1491" s="11" t="n">
        <v>1130101</v>
      </c>
      <c r="T1491" s="13" t="s">
        <v>47</v>
      </c>
      <c r="U1491" s="14" t="n">
        <v>250</v>
      </c>
      <c r="W1491" s="14" t="n">
        <v>250</v>
      </c>
      <c r="X1491" s="13" t="s">
        <v>1123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/>
      <c r="AC1491" s="1"/>
    </row>
    <row r="1492" customFormat="false" ht="12.75" hidden="false" customHeight="true" outlineLevel="0" collapsed="false">
      <c r="A1492" s="11" t="n">
        <v>3</v>
      </c>
      <c r="B1492" s="12" t="n">
        <v>46225</v>
      </c>
      <c r="C1492" s="12" t="n">
        <v>46246</v>
      </c>
      <c r="D1492" s="11" t="n">
        <v>1740</v>
      </c>
      <c r="E1492" s="13" t="s">
        <v>170</v>
      </c>
      <c r="F1492" s="11" t="n">
        <v>24</v>
      </c>
      <c r="G1492" s="13" t="s">
        <v>42</v>
      </c>
      <c r="H1492" s="11" t="n">
        <v>2110405</v>
      </c>
      <c r="I1492" s="13" t="s">
        <v>34</v>
      </c>
      <c r="J1492" s="11" t="n">
        <v>1435864</v>
      </c>
      <c r="L1492" s="11" t="n">
        <v>12504182</v>
      </c>
      <c r="M1492" s="13" t="s">
        <v>44</v>
      </c>
      <c r="N1492" s="13" t="s">
        <v>36</v>
      </c>
      <c r="P1492" s="11" t="n">
        <v>167</v>
      </c>
      <c r="Q1492" s="13" t="s">
        <v>101</v>
      </c>
      <c r="R1492" s="13" t="s">
        <v>46</v>
      </c>
      <c r="S1492" s="11" t="n">
        <v>1130101</v>
      </c>
      <c r="T1492" s="13" t="s">
        <v>47</v>
      </c>
      <c r="U1492" s="14" t="n">
        <v>867.31</v>
      </c>
      <c r="W1492" s="14" t="n">
        <v>867.31</v>
      </c>
      <c r="X1492" s="13" t="s">
        <v>1502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1" t="n">
        <v>3</v>
      </c>
      <c r="B1493" s="12" t="n">
        <v>46232</v>
      </c>
      <c r="C1493" s="12" t="n">
        <v>46246</v>
      </c>
      <c r="D1493" s="11" t="n">
        <v>1740</v>
      </c>
      <c r="E1493" s="13" t="s">
        <v>170</v>
      </c>
      <c r="F1493" s="11" t="n">
        <v>24</v>
      </c>
      <c r="G1493" s="13" t="s">
        <v>42</v>
      </c>
      <c r="H1493" s="11" t="n">
        <v>2110405</v>
      </c>
      <c r="I1493" s="13" t="s">
        <v>34</v>
      </c>
      <c r="J1493" s="11" t="n">
        <v>1469526</v>
      </c>
      <c r="L1493" s="11" t="n">
        <v>12528961</v>
      </c>
      <c r="M1493" s="13" t="s">
        <v>44</v>
      </c>
      <c r="N1493" s="13" t="s">
        <v>36</v>
      </c>
      <c r="P1493" s="11" t="n">
        <v>129</v>
      </c>
      <c r="Q1493" s="13" t="s">
        <v>102</v>
      </c>
      <c r="R1493" s="13" t="s">
        <v>46</v>
      </c>
      <c r="S1493" s="11" t="n">
        <v>1130101</v>
      </c>
      <c r="T1493" s="13" t="s">
        <v>47</v>
      </c>
      <c r="U1493" s="14" t="n">
        <v>546.32</v>
      </c>
      <c r="W1493" s="14" t="n">
        <v>546.32</v>
      </c>
      <c r="X1493" s="13" t="s">
        <v>1503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1" t="n">
        <v>3</v>
      </c>
      <c r="B1494" s="12" t="n">
        <v>46232</v>
      </c>
      <c r="C1494" s="12" t="n">
        <v>46246</v>
      </c>
      <c r="D1494" s="11" t="n">
        <v>1695</v>
      </c>
      <c r="E1494" s="13" t="s">
        <v>269</v>
      </c>
      <c r="F1494" s="11" t="n">
        <v>24</v>
      </c>
      <c r="G1494" s="13" t="s">
        <v>42</v>
      </c>
      <c r="H1494" s="11" t="n">
        <v>2110405</v>
      </c>
      <c r="I1494" s="13" t="s">
        <v>34</v>
      </c>
      <c r="J1494" s="11" t="n">
        <v>1469698</v>
      </c>
      <c r="L1494" s="11" t="n">
        <v>195092</v>
      </c>
      <c r="M1494" s="13" t="s">
        <v>44</v>
      </c>
      <c r="N1494" s="13" t="s">
        <v>36</v>
      </c>
      <c r="P1494" s="11" t="n">
        <v>167</v>
      </c>
      <c r="Q1494" s="13" t="s">
        <v>101</v>
      </c>
      <c r="R1494" s="13" t="s">
        <v>46</v>
      </c>
      <c r="S1494" s="11" t="n">
        <v>1130101</v>
      </c>
      <c r="T1494" s="13" t="s">
        <v>47</v>
      </c>
      <c r="U1494" s="14" t="n">
        <v>978.6</v>
      </c>
      <c r="W1494" s="14" t="n">
        <v>978.6</v>
      </c>
      <c r="X1494" s="13" t="s">
        <v>1504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1" t="n">
        <v>3</v>
      </c>
      <c r="B1495" s="12" t="n">
        <v>46232</v>
      </c>
      <c r="C1495" s="12" t="n">
        <v>46246</v>
      </c>
      <c r="D1495" s="11" t="n">
        <v>794</v>
      </c>
      <c r="E1495" s="13" t="s">
        <v>152</v>
      </c>
      <c r="F1495" s="11" t="n">
        <v>24</v>
      </c>
      <c r="G1495" s="13" t="s">
        <v>42</v>
      </c>
      <c r="H1495" s="11" t="n">
        <v>2110405</v>
      </c>
      <c r="I1495" s="13" t="s">
        <v>34</v>
      </c>
      <c r="J1495" s="11" t="n">
        <v>1473072</v>
      </c>
      <c r="L1495" s="11" t="n">
        <v>55991</v>
      </c>
      <c r="M1495" s="13" t="s">
        <v>44</v>
      </c>
      <c r="N1495" s="13" t="s">
        <v>36</v>
      </c>
      <c r="P1495" s="11" t="n">
        <v>167</v>
      </c>
      <c r="Q1495" s="13" t="s">
        <v>101</v>
      </c>
      <c r="R1495" s="13" t="s">
        <v>38</v>
      </c>
      <c r="S1495" s="11" t="n">
        <v>4210299</v>
      </c>
      <c r="T1495" s="13" t="s">
        <v>1079</v>
      </c>
      <c r="U1495" s="14" t="n">
        <v>648.13</v>
      </c>
      <c r="W1495" s="14" t="n">
        <v>648.13</v>
      </c>
      <c r="X1495" s="13" t="s">
        <v>1505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1" t="n">
        <v>3</v>
      </c>
      <c r="B1496" s="12" t="n">
        <v>46239</v>
      </c>
      <c r="C1496" s="12" t="n">
        <v>46246</v>
      </c>
      <c r="D1496" s="11" t="n">
        <v>10102</v>
      </c>
      <c r="E1496" s="13" t="s">
        <v>1506</v>
      </c>
      <c r="F1496" s="11" t="n">
        <v>24</v>
      </c>
      <c r="G1496" s="13" t="s">
        <v>42</v>
      </c>
      <c r="H1496" s="11" t="n">
        <v>2110405</v>
      </c>
      <c r="I1496" s="13" t="s">
        <v>34</v>
      </c>
      <c r="J1496" s="11" t="n">
        <v>1503317</v>
      </c>
      <c r="L1496" s="11" t="n">
        <v>14811</v>
      </c>
      <c r="M1496" s="13" t="s">
        <v>44</v>
      </c>
      <c r="N1496" s="13" t="s">
        <v>36</v>
      </c>
      <c r="P1496" s="11" t="n">
        <v>167</v>
      </c>
      <c r="Q1496" s="13" t="s">
        <v>101</v>
      </c>
      <c r="R1496" s="13" t="s">
        <v>46</v>
      </c>
      <c r="S1496" s="11" t="n">
        <v>1130101</v>
      </c>
      <c r="T1496" s="13" t="s">
        <v>47</v>
      </c>
      <c r="U1496" s="14" t="n">
        <v>5068.23</v>
      </c>
      <c r="W1496" s="14" t="n">
        <v>5068.23</v>
      </c>
      <c r="X1496" s="13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1" t="n">
        <v>3</v>
      </c>
      <c r="B1497" s="12" t="n">
        <v>46238</v>
      </c>
      <c r="C1497" s="12" t="n">
        <v>46246</v>
      </c>
      <c r="D1497" s="11" t="n">
        <v>1024</v>
      </c>
      <c r="E1497" s="13" t="s">
        <v>161</v>
      </c>
      <c r="F1497" s="11" t="n">
        <v>24</v>
      </c>
      <c r="G1497" s="13" t="s">
        <v>42</v>
      </c>
      <c r="H1497" s="11" t="n">
        <v>2110405</v>
      </c>
      <c r="I1497" s="13" t="s">
        <v>34</v>
      </c>
      <c r="J1497" s="11" t="n">
        <v>1504201</v>
      </c>
      <c r="L1497" s="11" t="n">
        <v>6156081</v>
      </c>
      <c r="M1497" s="13" t="s">
        <v>44</v>
      </c>
      <c r="N1497" s="13" t="s">
        <v>36</v>
      </c>
      <c r="P1497" s="11" t="n">
        <v>167</v>
      </c>
      <c r="Q1497" s="13" t="s">
        <v>101</v>
      </c>
      <c r="R1497" s="13" t="s">
        <v>46</v>
      </c>
      <c r="S1497" s="11" t="n">
        <v>1130101</v>
      </c>
      <c r="T1497" s="13" t="s">
        <v>47</v>
      </c>
      <c r="U1497" s="14" t="n">
        <v>105</v>
      </c>
      <c r="W1497" s="14" t="n">
        <v>105</v>
      </c>
      <c r="X1497" s="13" t="s">
        <v>1508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1" t="n">
        <v>3</v>
      </c>
      <c r="B1498" s="12" t="n">
        <v>46239</v>
      </c>
      <c r="C1498" s="12" t="n">
        <v>46246</v>
      </c>
      <c r="D1498" s="11" t="n">
        <v>1613</v>
      </c>
      <c r="E1498" s="13" t="s">
        <v>177</v>
      </c>
      <c r="F1498" s="11" t="n">
        <v>24</v>
      </c>
      <c r="G1498" s="13" t="s">
        <v>42</v>
      </c>
      <c r="H1498" s="11" t="n">
        <v>2110405</v>
      </c>
      <c r="I1498" s="13" t="s">
        <v>34</v>
      </c>
      <c r="J1498" s="11" t="n">
        <v>1504626</v>
      </c>
      <c r="L1498" s="11" t="n">
        <v>16155701</v>
      </c>
      <c r="M1498" s="13" t="s">
        <v>44</v>
      </c>
      <c r="N1498" s="13" t="s">
        <v>36</v>
      </c>
      <c r="P1498" s="11" t="n">
        <v>167</v>
      </c>
      <c r="Q1498" s="13" t="s">
        <v>101</v>
      </c>
      <c r="R1498" s="13" t="s">
        <v>46</v>
      </c>
      <c r="S1498" s="11" t="n">
        <v>1130101</v>
      </c>
      <c r="T1498" s="13" t="s">
        <v>47</v>
      </c>
      <c r="U1498" s="14" t="n">
        <v>1173.52</v>
      </c>
      <c r="W1498" s="14" t="n">
        <v>1173.52</v>
      </c>
      <c r="X1498" s="13" t="s">
        <v>1509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1" t="n">
        <v>3</v>
      </c>
      <c r="B1499" s="12" t="n">
        <v>46238</v>
      </c>
      <c r="C1499" s="12" t="n">
        <v>46246</v>
      </c>
      <c r="D1499" s="11" t="n">
        <v>1457</v>
      </c>
      <c r="E1499" s="13" t="s">
        <v>179</v>
      </c>
      <c r="F1499" s="11" t="n">
        <v>24</v>
      </c>
      <c r="G1499" s="13" t="s">
        <v>42</v>
      </c>
      <c r="H1499" s="11" t="n">
        <v>2110405</v>
      </c>
      <c r="I1499" s="13" t="s">
        <v>34</v>
      </c>
      <c r="J1499" s="11" t="n">
        <v>1504808</v>
      </c>
      <c r="L1499" s="11" t="n">
        <v>233657</v>
      </c>
      <c r="M1499" s="13" t="s">
        <v>44</v>
      </c>
      <c r="N1499" s="13" t="s">
        <v>36</v>
      </c>
      <c r="P1499" s="11" t="n">
        <v>167</v>
      </c>
      <c r="Q1499" s="13" t="s">
        <v>101</v>
      </c>
      <c r="R1499" s="13" t="s">
        <v>46</v>
      </c>
      <c r="S1499" s="11" t="n">
        <v>1130101</v>
      </c>
      <c r="T1499" s="13" t="s">
        <v>47</v>
      </c>
      <c r="U1499" s="14" t="n">
        <v>366.4</v>
      </c>
      <c r="W1499" s="14" t="n">
        <v>366.4</v>
      </c>
      <c r="X1499" s="13" t="s">
        <v>1510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1" t="n">
        <v>3</v>
      </c>
      <c r="B1500" s="12" t="n">
        <v>46239</v>
      </c>
      <c r="C1500" s="12" t="n">
        <v>46246</v>
      </c>
      <c r="D1500" s="11" t="n">
        <v>1723</v>
      </c>
      <c r="E1500" s="13" t="s">
        <v>76</v>
      </c>
      <c r="F1500" s="11" t="n">
        <v>24</v>
      </c>
      <c r="G1500" s="13" t="s">
        <v>42</v>
      </c>
      <c r="H1500" s="11" t="n">
        <v>2110405</v>
      </c>
      <c r="I1500" s="13" t="s">
        <v>34</v>
      </c>
      <c r="J1500" s="11" t="n">
        <v>1507877</v>
      </c>
      <c r="L1500" s="11" t="n">
        <v>586661</v>
      </c>
      <c r="M1500" s="13" t="s">
        <v>44</v>
      </c>
      <c r="N1500" s="13" t="s">
        <v>36</v>
      </c>
      <c r="P1500" s="11" t="n">
        <v>167</v>
      </c>
      <c r="Q1500" s="13" t="s">
        <v>101</v>
      </c>
      <c r="R1500" s="13" t="s">
        <v>46</v>
      </c>
      <c r="S1500" s="11" t="n">
        <v>1130101</v>
      </c>
      <c r="T1500" s="13" t="s">
        <v>47</v>
      </c>
      <c r="U1500" s="14" t="n">
        <v>1142.4</v>
      </c>
      <c r="W1500" s="14" t="n">
        <v>1142.4</v>
      </c>
      <c r="X1500" s="13" t="s">
        <v>1511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1" t="n">
        <v>3</v>
      </c>
      <c r="B1501" s="12" t="n">
        <v>46246</v>
      </c>
      <c r="C1501" s="12" t="n">
        <v>46246</v>
      </c>
      <c r="D1501" s="11" t="n">
        <v>42</v>
      </c>
      <c r="E1501" s="13" t="s">
        <v>80</v>
      </c>
      <c r="F1501" s="11" t="n">
        <v>13</v>
      </c>
      <c r="G1501" s="13" t="s">
        <v>81</v>
      </c>
      <c r="H1501" s="11" t="n">
        <v>2110101</v>
      </c>
      <c r="I1501" s="13" t="s">
        <v>43</v>
      </c>
      <c r="J1501" s="11" t="n">
        <v>1536866</v>
      </c>
      <c r="L1501" s="11" t="n">
        <v>4490</v>
      </c>
      <c r="M1501" s="13" t="s">
        <v>44</v>
      </c>
      <c r="N1501" s="13" t="s">
        <v>69</v>
      </c>
      <c r="P1501" s="11" t="n">
        <v>167</v>
      </c>
      <c r="Q1501" s="13" t="s">
        <v>101</v>
      </c>
      <c r="R1501" s="13" t="s">
        <v>46</v>
      </c>
      <c r="S1501" s="11" t="n">
        <v>1130101</v>
      </c>
      <c r="T1501" s="13" t="s">
        <v>47</v>
      </c>
      <c r="U1501" s="14" t="n">
        <v>65</v>
      </c>
      <c r="W1501" s="14" t="n">
        <v>65</v>
      </c>
      <c r="X1501" s="13" t="s">
        <v>772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1" t="n">
        <v>3</v>
      </c>
      <c r="B1502" s="12" t="n">
        <v>46246</v>
      </c>
      <c r="C1502" s="12" t="n">
        <v>46246</v>
      </c>
      <c r="D1502" s="11" t="n">
        <v>10043</v>
      </c>
      <c r="E1502" s="13" t="s">
        <v>112</v>
      </c>
      <c r="F1502" s="11" t="n">
        <v>13</v>
      </c>
      <c r="G1502" s="13" t="s">
        <v>81</v>
      </c>
      <c r="H1502" s="11" t="n">
        <v>2110101</v>
      </c>
      <c r="I1502" s="13" t="s">
        <v>43</v>
      </c>
      <c r="J1502" s="11" t="n">
        <v>1542752</v>
      </c>
      <c r="L1502" s="11" t="n">
        <v>863</v>
      </c>
      <c r="M1502" s="13" t="s">
        <v>44</v>
      </c>
      <c r="N1502" s="13" t="s">
        <v>69</v>
      </c>
      <c r="P1502" s="11" t="n">
        <v>167</v>
      </c>
      <c r="Q1502" s="13" t="s">
        <v>101</v>
      </c>
      <c r="R1502" s="13" t="s">
        <v>46</v>
      </c>
      <c r="S1502" s="11" t="n">
        <v>1130101</v>
      </c>
      <c r="T1502" s="13" t="s">
        <v>47</v>
      </c>
      <c r="U1502" s="14" t="n">
        <v>180</v>
      </c>
      <c r="W1502" s="14" t="n">
        <v>180</v>
      </c>
      <c r="X1502" s="13" t="s">
        <v>1512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1" t="n">
        <v>3</v>
      </c>
      <c r="B1503" s="12" t="n">
        <v>46203</v>
      </c>
      <c r="C1503" s="12" t="n">
        <v>46247</v>
      </c>
      <c r="D1503" s="11" t="n">
        <v>10011</v>
      </c>
      <c r="E1503" s="13" t="s">
        <v>284</v>
      </c>
      <c r="F1503" s="11" t="n">
        <v>24</v>
      </c>
      <c r="G1503" s="13" t="s">
        <v>42</v>
      </c>
      <c r="H1503" s="11" t="n">
        <v>2110101</v>
      </c>
      <c r="I1503" s="13" t="s">
        <v>43</v>
      </c>
      <c r="J1503" s="11" t="n">
        <v>1334050</v>
      </c>
      <c r="L1503" s="11" t="n">
        <v>344683</v>
      </c>
      <c r="M1503" s="13" t="s">
        <v>44</v>
      </c>
      <c r="N1503" s="13" t="s">
        <v>36</v>
      </c>
      <c r="P1503" s="11" t="n">
        <v>167</v>
      </c>
      <c r="Q1503" s="13" t="s">
        <v>101</v>
      </c>
      <c r="R1503" s="13" t="s">
        <v>46</v>
      </c>
      <c r="S1503" s="11" t="n">
        <v>1130101</v>
      </c>
      <c r="T1503" s="13" t="s">
        <v>47</v>
      </c>
      <c r="U1503" s="14" t="n">
        <v>925.9</v>
      </c>
      <c r="W1503" s="14" t="n">
        <v>925.9</v>
      </c>
      <c r="X1503" s="13" t="s">
        <v>1513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1" t="n">
        <v>3</v>
      </c>
      <c r="B1504" s="12" t="n">
        <v>46230</v>
      </c>
      <c r="C1504" s="12" t="n">
        <v>46247</v>
      </c>
      <c r="D1504" s="11" t="n">
        <v>1715</v>
      </c>
      <c r="E1504" s="13" t="s">
        <v>497</v>
      </c>
      <c r="F1504" s="11" t="n">
        <v>24</v>
      </c>
      <c r="G1504" s="13" t="s">
        <v>42</v>
      </c>
      <c r="H1504" s="11" t="n">
        <v>2110405</v>
      </c>
      <c r="I1504" s="13" t="s">
        <v>34</v>
      </c>
      <c r="J1504" s="11" t="n">
        <v>1458642</v>
      </c>
      <c r="L1504" s="11" t="n">
        <v>1934021</v>
      </c>
      <c r="M1504" s="13" t="s">
        <v>44</v>
      </c>
      <c r="N1504" s="13" t="s">
        <v>36</v>
      </c>
      <c r="P1504" s="11" t="n">
        <v>167</v>
      </c>
      <c r="Q1504" s="13" t="s">
        <v>101</v>
      </c>
      <c r="R1504" s="13" t="s">
        <v>46</v>
      </c>
      <c r="S1504" s="11" t="n">
        <v>1130101</v>
      </c>
      <c r="T1504" s="13" t="s">
        <v>47</v>
      </c>
      <c r="U1504" s="14" t="n">
        <v>172.25</v>
      </c>
      <c r="W1504" s="14" t="n">
        <v>172.25</v>
      </c>
      <c r="X1504" s="13" t="s">
        <v>1514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46232</v>
      </c>
      <c r="C1505" s="12" t="n">
        <v>46247</v>
      </c>
      <c r="D1505" s="11" t="n">
        <v>1695</v>
      </c>
      <c r="E1505" s="13" t="s">
        <v>269</v>
      </c>
      <c r="F1505" s="11" t="n">
        <v>34</v>
      </c>
      <c r="G1505" s="13" t="s">
        <v>33</v>
      </c>
      <c r="H1505" s="11" t="n">
        <v>2110405</v>
      </c>
      <c r="I1505" s="13" t="s">
        <v>34</v>
      </c>
      <c r="J1505" s="11" t="n">
        <v>1469730</v>
      </c>
      <c r="L1505" s="11" t="n">
        <v>228599</v>
      </c>
      <c r="M1505" s="13" t="s">
        <v>44</v>
      </c>
      <c r="N1505" s="13" t="s">
        <v>36</v>
      </c>
      <c r="P1505" s="11" t="n">
        <v>167</v>
      </c>
      <c r="Q1505" s="13" t="s">
        <v>101</v>
      </c>
      <c r="R1505" s="13" t="s">
        <v>46</v>
      </c>
      <c r="S1505" s="11" t="n">
        <v>1130101</v>
      </c>
      <c r="T1505" s="13" t="s">
        <v>47</v>
      </c>
      <c r="U1505" s="14" t="n">
        <v>512.4</v>
      </c>
      <c r="W1505" s="14" t="n">
        <v>512.4</v>
      </c>
      <c r="X1505" s="13" t="s">
        <v>1515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1" t="n">
        <v>3</v>
      </c>
      <c r="B1506" s="12" t="n">
        <v>46232</v>
      </c>
      <c r="C1506" s="12" t="n">
        <v>46247</v>
      </c>
      <c r="D1506" s="11" t="n">
        <v>1665</v>
      </c>
      <c r="E1506" s="13" t="s">
        <v>937</v>
      </c>
      <c r="F1506" s="11" t="n">
        <v>24</v>
      </c>
      <c r="G1506" s="13" t="s">
        <v>42</v>
      </c>
      <c r="H1506" s="11" t="n">
        <v>2110405</v>
      </c>
      <c r="I1506" s="13" t="s">
        <v>34</v>
      </c>
      <c r="J1506" s="11" t="n">
        <v>1472895</v>
      </c>
      <c r="L1506" s="11" t="n">
        <v>135484</v>
      </c>
      <c r="M1506" s="13" t="s">
        <v>44</v>
      </c>
      <c r="N1506" s="13" t="s">
        <v>36</v>
      </c>
      <c r="P1506" s="11" t="n">
        <v>167</v>
      </c>
      <c r="Q1506" s="13" t="s">
        <v>101</v>
      </c>
      <c r="R1506" s="13" t="s">
        <v>46</v>
      </c>
      <c r="S1506" s="11" t="n">
        <v>1130101</v>
      </c>
      <c r="T1506" s="13" t="s">
        <v>47</v>
      </c>
      <c r="U1506" s="14" t="n">
        <v>243</v>
      </c>
      <c r="W1506" s="14" t="n">
        <v>243</v>
      </c>
      <c r="X1506" s="13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1" t="n">
        <v>3</v>
      </c>
      <c r="B1507" s="12" t="n">
        <v>46233</v>
      </c>
      <c r="C1507" s="12" t="n">
        <v>46247</v>
      </c>
      <c r="D1507" s="11" t="n">
        <v>1625</v>
      </c>
      <c r="E1507" s="13" t="s">
        <v>320</v>
      </c>
      <c r="F1507" s="11" t="n">
        <v>24</v>
      </c>
      <c r="G1507" s="13" t="s">
        <v>42</v>
      </c>
      <c r="H1507" s="11" t="n">
        <v>2110405</v>
      </c>
      <c r="I1507" s="13" t="s">
        <v>34</v>
      </c>
      <c r="J1507" s="11" t="n">
        <v>1473755</v>
      </c>
      <c r="L1507" s="11" t="n">
        <v>148802</v>
      </c>
      <c r="M1507" s="13" t="s">
        <v>44</v>
      </c>
      <c r="N1507" s="13" t="s">
        <v>36</v>
      </c>
      <c r="P1507" s="11" t="n">
        <v>167</v>
      </c>
      <c r="Q1507" s="13" t="s">
        <v>101</v>
      </c>
      <c r="R1507" s="13" t="s">
        <v>46</v>
      </c>
      <c r="S1507" s="11" t="n">
        <v>1130101</v>
      </c>
      <c r="T1507" s="13" t="s">
        <v>47</v>
      </c>
      <c r="U1507" s="14" t="n">
        <v>3135.1</v>
      </c>
      <c r="W1507" s="14" t="n">
        <v>3135.1</v>
      </c>
      <c r="X1507" s="13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1" t="n">
        <v>3</v>
      </c>
      <c r="B1508" s="12" t="n">
        <v>46232</v>
      </c>
      <c r="C1508" s="12" t="n">
        <v>46247</v>
      </c>
      <c r="D1508" s="11" t="n">
        <v>1718</v>
      </c>
      <c r="E1508" s="13" t="s">
        <v>408</v>
      </c>
      <c r="F1508" s="11" t="n">
        <v>24</v>
      </c>
      <c r="G1508" s="13" t="s">
        <v>42</v>
      </c>
      <c r="H1508" s="11" t="n">
        <v>2110405</v>
      </c>
      <c r="I1508" s="13" t="s">
        <v>34</v>
      </c>
      <c r="J1508" s="11" t="n">
        <v>1473782</v>
      </c>
      <c r="L1508" s="11" t="n">
        <v>8101041</v>
      </c>
      <c r="M1508" s="13" t="s">
        <v>44</v>
      </c>
      <c r="N1508" s="13" t="s">
        <v>36</v>
      </c>
      <c r="P1508" s="11" t="n">
        <v>167</v>
      </c>
      <c r="Q1508" s="13" t="s">
        <v>101</v>
      </c>
      <c r="R1508" s="13" t="s">
        <v>46</v>
      </c>
      <c r="S1508" s="11" t="n">
        <v>1130101</v>
      </c>
      <c r="T1508" s="13" t="s">
        <v>47</v>
      </c>
      <c r="U1508" s="14" t="n">
        <v>1000.47</v>
      </c>
      <c r="W1508" s="14" t="n">
        <v>1000.47</v>
      </c>
      <c r="X1508" s="13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1" t="n">
        <v>3</v>
      </c>
      <c r="B1509" s="12" t="n">
        <v>46234</v>
      </c>
      <c r="C1509" s="12" t="n">
        <v>46247</v>
      </c>
      <c r="D1509" s="11" t="n">
        <v>1672</v>
      </c>
      <c r="E1509" s="13" t="s">
        <v>67</v>
      </c>
      <c r="F1509" s="11" t="n">
        <v>24</v>
      </c>
      <c r="G1509" s="13" t="s">
        <v>42</v>
      </c>
      <c r="H1509" s="11" t="n">
        <v>2110405</v>
      </c>
      <c r="I1509" s="13" t="s">
        <v>34</v>
      </c>
      <c r="J1509" s="11" t="n">
        <v>1504745</v>
      </c>
      <c r="L1509" s="11" t="n">
        <v>14118641</v>
      </c>
      <c r="M1509" s="13" t="s">
        <v>44</v>
      </c>
      <c r="N1509" s="13" t="s">
        <v>36</v>
      </c>
      <c r="P1509" s="11" t="n">
        <v>167</v>
      </c>
      <c r="Q1509" s="13" t="s">
        <v>101</v>
      </c>
      <c r="R1509" s="13" t="s">
        <v>46</v>
      </c>
      <c r="S1509" s="11" t="n">
        <v>1130101</v>
      </c>
      <c r="T1509" s="13" t="s">
        <v>47</v>
      </c>
      <c r="U1509" s="14" t="n">
        <v>245</v>
      </c>
      <c r="W1509" s="14" t="n">
        <v>245</v>
      </c>
      <c r="X1509" s="13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1" t="n">
        <v>3</v>
      </c>
      <c r="B1510" s="12" t="n">
        <v>46239</v>
      </c>
      <c r="C1510" s="12" t="n">
        <v>46247</v>
      </c>
      <c r="D1510" s="11" t="n">
        <v>489</v>
      </c>
      <c r="E1510" s="13" t="s">
        <v>181</v>
      </c>
      <c r="F1510" s="11" t="n">
        <v>34</v>
      </c>
      <c r="G1510" s="13" t="s">
        <v>33</v>
      </c>
      <c r="H1510" s="11" t="n">
        <v>2110405</v>
      </c>
      <c r="I1510" s="13" t="s">
        <v>34</v>
      </c>
      <c r="J1510" s="11" t="n">
        <v>1504966</v>
      </c>
      <c r="L1510" s="11" t="n">
        <v>233669</v>
      </c>
      <c r="M1510" s="13" t="s">
        <v>44</v>
      </c>
      <c r="N1510" s="13" t="s">
        <v>36</v>
      </c>
      <c r="P1510" s="11" t="n">
        <v>167</v>
      </c>
      <c r="Q1510" s="13" t="s">
        <v>101</v>
      </c>
      <c r="R1510" s="13" t="s">
        <v>46</v>
      </c>
      <c r="S1510" s="11" t="n">
        <v>1130101</v>
      </c>
      <c r="T1510" s="13" t="s">
        <v>47</v>
      </c>
      <c r="U1510" s="14" t="n">
        <v>735</v>
      </c>
      <c r="W1510" s="14" t="n">
        <v>735</v>
      </c>
      <c r="X1510" s="13" t="s">
        <v>1386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46239</v>
      </c>
      <c r="C1511" s="12" t="n">
        <v>46247</v>
      </c>
      <c r="D1511" s="11" t="n">
        <v>1642</v>
      </c>
      <c r="E1511" s="13" t="s">
        <v>274</v>
      </c>
      <c r="F1511" s="11" t="n">
        <v>24</v>
      </c>
      <c r="G1511" s="13" t="s">
        <v>42</v>
      </c>
      <c r="H1511" s="11" t="n">
        <v>2110405</v>
      </c>
      <c r="I1511" s="13" t="s">
        <v>34</v>
      </c>
      <c r="J1511" s="11" t="n">
        <v>1509595</v>
      </c>
      <c r="L1511" s="11" t="n">
        <v>1035511</v>
      </c>
      <c r="M1511" s="13" t="s">
        <v>44</v>
      </c>
      <c r="N1511" s="13" t="s">
        <v>36</v>
      </c>
      <c r="P1511" s="11" t="n">
        <v>167</v>
      </c>
      <c r="Q1511" s="13" t="s">
        <v>101</v>
      </c>
      <c r="R1511" s="13" t="s">
        <v>46</v>
      </c>
      <c r="S1511" s="11" t="n">
        <v>1130101</v>
      </c>
      <c r="T1511" s="13" t="s">
        <v>47</v>
      </c>
      <c r="U1511" s="14" t="n">
        <v>648.24</v>
      </c>
      <c r="W1511" s="14" t="n">
        <v>648.24</v>
      </c>
      <c r="X1511" s="13" t="s">
        <v>1520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1" t="n">
        <v>3</v>
      </c>
      <c r="B1512" s="12" t="n">
        <v>46239</v>
      </c>
      <c r="C1512" s="12" t="n">
        <v>46247</v>
      </c>
      <c r="D1512" s="11" t="n">
        <v>1667</v>
      </c>
      <c r="E1512" s="13" t="s">
        <v>807</v>
      </c>
      <c r="F1512" s="11" t="n">
        <v>24</v>
      </c>
      <c r="G1512" s="13" t="s">
        <v>42</v>
      </c>
      <c r="H1512" s="11" t="n">
        <v>2110405</v>
      </c>
      <c r="I1512" s="13" t="s">
        <v>34</v>
      </c>
      <c r="J1512" s="11" t="n">
        <v>1509662</v>
      </c>
      <c r="L1512" s="11" t="n">
        <v>3978881</v>
      </c>
      <c r="M1512" s="13" t="s">
        <v>44</v>
      </c>
      <c r="N1512" s="13" t="s">
        <v>36</v>
      </c>
      <c r="P1512" s="11" t="n">
        <v>167</v>
      </c>
      <c r="Q1512" s="13" t="s">
        <v>101</v>
      </c>
      <c r="R1512" s="13" t="s">
        <v>46</v>
      </c>
      <c r="S1512" s="11" t="n">
        <v>1130101</v>
      </c>
      <c r="T1512" s="13" t="s">
        <v>47</v>
      </c>
      <c r="U1512" s="14" t="n">
        <v>610.14</v>
      </c>
      <c r="W1512" s="14" t="n">
        <v>610.14</v>
      </c>
      <c r="X1512" s="13" t="s">
        <v>1521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1" t="n">
        <v>3</v>
      </c>
      <c r="B1513" s="12" t="n">
        <v>46240</v>
      </c>
      <c r="C1513" s="12" t="n">
        <v>46247</v>
      </c>
      <c r="D1513" s="11" t="n">
        <v>10063</v>
      </c>
      <c r="E1513" s="13" t="s">
        <v>218</v>
      </c>
      <c r="F1513" s="11" t="n">
        <v>24</v>
      </c>
      <c r="G1513" s="13" t="s">
        <v>42</v>
      </c>
      <c r="H1513" s="11" t="n">
        <v>2110405</v>
      </c>
      <c r="I1513" s="13" t="s">
        <v>34</v>
      </c>
      <c r="J1513" s="11" t="n">
        <v>1512688</v>
      </c>
      <c r="L1513" s="11" t="n">
        <v>2676</v>
      </c>
      <c r="M1513" s="13" t="s">
        <v>44</v>
      </c>
      <c r="N1513" s="13" t="s">
        <v>36</v>
      </c>
      <c r="P1513" s="11" t="n">
        <v>167</v>
      </c>
      <c r="Q1513" s="13" t="s">
        <v>101</v>
      </c>
      <c r="R1513" s="13" t="s">
        <v>46</v>
      </c>
      <c r="S1513" s="11" t="n">
        <v>1130101</v>
      </c>
      <c r="T1513" s="13" t="s">
        <v>47</v>
      </c>
      <c r="U1513" s="14" t="n">
        <v>940</v>
      </c>
      <c r="W1513" s="14" t="n">
        <v>940</v>
      </c>
      <c r="X1513" s="13" t="s">
        <v>1522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1" t="n">
        <v>3</v>
      </c>
      <c r="B1514" s="12" t="n">
        <v>46245</v>
      </c>
      <c r="C1514" s="12" t="n">
        <v>46247</v>
      </c>
      <c r="D1514" s="11" t="n">
        <v>10096</v>
      </c>
      <c r="E1514" s="13" t="s">
        <v>1232</v>
      </c>
      <c r="F1514" s="11" t="n">
        <v>34</v>
      </c>
      <c r="G1514" s="13" t="s">
        <v>33</v>
      </c>
      <c r="H1514" s="11" t="n">
        <v>2110405</v>
      </c>
      <c r="I1514" s="13" t="s">
        <v>34</v>
      </c>
      <c r="J1514" s="11" t="n">
        <v>1536885</v>
      </c>
      <c r="L1514" s="11" t="n">
        <v>238614</v>
      </c>
      <c r="M1514" s="13" t="s">
        <v>44</v>
      </c>
      <c r="N1514" s="13" t="s">
        <v>36</v>
      </c>
      <c r="P1514" s="11" t="n">
        <v>167</v>
      </c>
      <c r="Q1514" s="13" t="s">
        <v>101</v>
      </c>
      <c r="R1514" s="13" t="s">
        <v>46</v>
      </c>
      <c r="S1514" s="11" t="n">
        <v>1130101</v>
      </c>
      <c r="T1514" s="13" t="s">
        <v>47</v>
      </c>
      <c r="U1514" s="14" t="n">
        <v>240</v>
      </c>
      <c r="W1514" s="14" t="n">
        <v>240</v>
      </c>
      <c r="X1514" s="13" t="s">
        <v>1523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1" t="n">
        <v>3</v>
      </c>
      <c r="B1515" s="12" t="n">
        <v>46247</v>
      </c>
      <c r="C1515" s="12" t="n">
        <v>46247</v>
      </c>
      <c r="D1515" s="11" t="n">
        <v>42</v>
      </c>
      <c r="E1515" s="13" t="s">
        <v>80</v>
      </c>
      <c r="F1515" s="11" t="n">
        <v>13</v>
      </c>
      <c r="G1515" s="13" t="s">
        <v>81</v>
      </c>
      <c r="H1515" s="11" t="n">
        <v>2110101</v>
      </c>
      <c r="I1515" s="13" t="s">
        <v>43</v>
      </c>
      <c r="J1515" s="11" t="n">
        <v>1540703</v>
      </c>
      <c r="L1515" s="11" t="n">
        <v>4495</v>
      </c>
      <c r="M1515" s="13" t="s">
        <v>44</v>
      </c>
      <c r="N1515" s="13" t="s">
        <v>69</v>
      </c>
      <c r="P1515" s="11" t="n">
        <v>167</v>
      </c>
      <c r="Q1515" s="13" t="s">
        <v>101</v>
      </c>
      <c r="R1515" s="13" t="s">
        <v>46</v>
      </c>
      <c r="S1515" s="11" t="n">
        <v>1130101</v>
      </c>
      <c r="T1515" s="13" t="s">
        <v>47</v>
      </c>
      <c r="U1515" s="14" t="n">
        <v>250</v>
      </c>
      <c r="W1515" s="14" t="n">
        <v>250</v>
      </c>
      <c r="X1515" s="13" t="s">
        <v>1123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46247</v>
      </c>
      <c r="C1516" s="12" t="n">
        <v>46247</v>
      </c>
      <c r="D1516" s="11" t="n">
        <v>42</v>
      </c>
      <c r="E1516" s="13" t="s">
        <v>80</v>
      </c>
      <c r="F1516" s="11" t="n">
        <v>13</v>
      </c>
      <c r="G1516" s="13" t="s">
        <v>81</v>
      </c>
      <c r="H1516" s="11" t="n">
        <v>2110101</v>
      </c>
      <c r="I1516" s="13" t="s">
        <v>43</v>
      </c>
      <c r="J1516" s="11" t="n">
        <v>1542717</v>
      </c>
      <c r="L1516" s="11" t="n">
        <v>4496</v>
      </c>
      <c r="M1516" s="13" t="s">
        <v>44</v>
      </c>
      <c r="N1516" s="13" t="s">
        <v>69</v>
      </c>
      <c r="P1516" s="11" t="n">
        <v>167</v>
      </c>
      <c r="Q1516" s="13" t="s">
        <v>101</v>
      </c>
      <c r="R1516" s="13" t="s">
        <v>46</v>
      </c>
      <c r="S1516" s="11" t="n">
        <v>1130101</v>
      </c>
      <c r="T1516" s="13" t="s">
        <v>47</v>
      </c>
      <c r="U1516" s="14" t="n">
        <v>144</v>
      </c>
      <c r="W1516" s="14" t="n">
        <v>144</v>
      </c>
      <c r="X1516" s="13" t="s">
        <v>772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46248</v>
      </c>
      <c r="C1517" s="12" t="n">
        <v>46248</v>
      </c>
      <c r="D1517" s="11" t="n">
        <v>10067</v>
      </c>
      <c r="E1517" s="13" t="s">
        <v>471</v>
      </c>
      <c r="F1517" s="11" t="n">
        <v>24</v>
      </c>
      <c r="G1517" s="13" t="s">
        <v>42</v>
      </c>
      <c r="H1517" s="11" t="n">
        <v>2110405</v>
      </c>
      <c r="I1517" s="13" t="s">
        <v>34</v>
      </c>
      <c r="J1517" s="11" t="n">
        <v>1545390</v>
      </c>
      <c r="L1517" s="11" t="n">
        <v>102049303</v>
      </c>
      <c r="M1517" s="13" t="s">
        <v>44</v>
      </c>
      <c r="N1517" s="13" t="s">
        <v>36</v>
      </c>
      <c r="P1517" s="11" t="n">
        <v>101</v>
      </c>
      <c r="Q1517" s="13" t="s">
        <v>37</v>
      </c>
      <c r="R1517" s="13" t="s">
        <v>38</v>
      </c>
      <c r="S1517" s="11" t="n">
        <v>4210227</v>
      </c>
      <c r="T1517" s="13" t="s">
        <v>196</v>
      </c>
      <c r="U1517" s="14" t="n">
        <v>162.36</v>
      </c>
      <c r="W1517" s="14" t="n">
        <v>162.36</v>
      </c>
      <c r="X1517" s="13" t="s">
        <v>1524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46248</v>
      </c>
      <c r="C1518" s="12" t="n">
        <v>46248</v>
      </c>
      <c r="D1518" s="11" t="n">
        <v>1830</v>
      </c>
      <c r="E1518" s="13" t="s">
        <v>1525</v>
      </c>
      <c r="F1518" s="11" t="n">
        <v>24</v>
      </c>
      <c r="G1518" s="13" t="s">
        <v>42</v>
      </c>
      <c r="H1518" s="11" t="n">
        <v>2110405</v>
      </c>
      <c r="I1518" s="13" t="s">
        <v>34</v>
      </c>
      <c r="J1518" s="11" t="n">
        <v>1545402</v>
      </c>
      <c r="L1518" s="11" t="n">
        <v>1123</v>
      </c>
      <c r="M1518" s="13" t="s">
        <v>44</v>
      </c>
      <c r="N1518" s="13" t="s">
        <v>36</v>
      </c>
      <c r="P1518" s="11" t="n">
        <v>101</v>
      </c>
      <c r="Q1518" s="13" t="s">
        <v>37</v>
      </c>
      <c r="R1518" s="13" t="s">
        <v>72</v>
      </c>
      <c r="S1518" s="11" t="n">
        <v>4210319</v>
      </c>
      <c r="T1518" s="13" t="s">
        <v>73</v>
      </c>
      <c r="U1518" s="14" t="n">
        <v>174</v>
      </c>
      <c r="W1518" s="14" t="n">
        <v>174</v>
      </c>
      <c r="X1518" s="13" t="s">
        <v>1526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46212</v>
      </c>
      <c r="C1519" s="12" t="n">
        <v>46248</v>
      </c>
      <c r="D1519" s="11" t="n">
        <v>10037</v>
      </c>
      <c r="E1519" s="13" t="s">
        <v>359</v>
      </c>
      <c r="F1519" s="11" t="n">
        <v>24</v>
      </c>
      <c r="G1519" s="13" t="s">
        <v>42</v>
      </c>
      <c r="H1519" s="11" t="n">
        <v>2110405</v>
      </c>
      <c r="I1519" s="13" t="s">
        <v>34</v>
      </c>
      <c r="J1519" s="11" t="n">
        <v>1392516</v>
      </c>
      <c r="L1519" s="11" t="n">
        <v>27513</v>
      </c>
      <c r="M1519" s="13" t="s">
        <v>44</v>
      </c>
      <c r="N1519" s="13" t="s">
        <v>36</v>
      </c>
      <c r="P1519" s="11" t="n">
        <v>167</v>
      </c>
      <c r="Q1519" s="13" t="s">
        <v>101</v>
      </c>
      <c r="R1519" s="13" t="s">
        <v>46</v>
      </c>
      <c r="S1519" s="11" t="n">
        <v>1130101</v>
      </c>
      <c r="T1519" s="13" t="s">
        <v>47</v>
      </c>
      <c r="U1519" s="14" t="n">
        <v>565.04</v>
      </c>
      <c r="W1519" s="14" t="n">
        <v>565.04</v>
      </c>
      <c r="X1519" s="13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1" t="n">
        <v>3</v>
      </c>
      <c r="B1520" s="12" t="n">
        <v>46225</v>
      </c>
      <c r="C1520" s="12" t="n">
        <v>46248</v>
      </c>
      <c r="D1520" s="11" t="n">
        <v>1699</v>
      </c>
      <c r="E1520" s="13" t="s">
        <v>60</v>
      </c>
      <c r="F1520" s="11" t="n">
        <v>24</v>
      </c>
      <c r="G1520" s="13" t="s">
        <v>42</v>
      </c>
      <c r="H1520" s="11" t="n">
        <v>2110405</v>
      </c>
      <c r="I1520" s="13" t="s">
        <v>34</v>
      </c>
      <c r="J1520" s="11" t="n">
        <v>1439138</v>
      </c>
      <c r="L1520" s="11" t="n">
        <v>3087372</v>
      </c>
      <c r="M1520" s="13" t="s">
        <v>44</v>
      </c>
      <c r="N1520" s="13" t="s">
        <v>36</v>
      </c>
      <c r="P1520" s="11" t="n">
        <v>167</v>
      </c>
      <c r="Q1520" s="13" t="s">
        <v>101</v>
      </c>
      <c r="R1520" s="13" t="s">
        <v>46</v>
      </c>
      <c r="S1520" s="11" t="n">
        <v>1130101</v>
      </c>
      <c r="T1520" s="13" t="s">
        <v>47</v>
      </c>
      <c r="U1520" s="14" t="n">
        <v>894.33</v>
      </c>
      <c r="W1520" s="14" t="n">
        <v>894.33</v>
      </c>
      <c r="X1520" s="13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1" t="n">
        <v>3</v>
      </c>
      <c r="B1521" s="12" t="n">
        <v>46232</v>
      </c>
      <c r="C1521" s="12" t="n">
        <v>46248</v>
      </c>
      <c r="D1521" s="11" t="n">
        <v>1699</v>
      </c>
      <c r="E1521" s="13" t="s">
        <v>60</v>
      </c>
      <c r="F1521" s="11" t="n">
        <v>24</v>
      </c>
      <c r="G1521" s="13" t="s">
        <v>42</v>
      </c>
      <c r="H1521" s="11" t="n">
        <v>2110405</v>
      </c>
      <c r="I1521" s="13" t="s">
        <v>34</v>
      </c>
      <c r="J1521" s="11" t="n">
        <v>1474069</v>
      </c>
      <c r="L1521" s="11" t="n">
        <v>3095421</v>
      </c>
      <c r="M1521" s="13" t="s">
        <v>44</v>
      </c>
      <c r="N1521" s="13" t="s">
        <v>36</v>
      </c>
      <c r="P1521" s="11" t="n">
        <v>167</v>
      </c>
      <c r="Q1521" s="13" t="s">
        <v>101</v>
      </c>
      <c r="R1521" s="13" t="s">
        <v>46</v>
      </c>
      <c r="S1521" s="11" t="n">
        <v>1130101</v>
      </c>
      <c r="T1521" s="13" t="s">
        <v>47</v>
      </c>
      <c r="U1521" s="14" t="n">
        <v>983.7</v>
      </c>
      <c r="W1521" s="14" t="n">
        <v>983.7</v>
      </c>
      <c r="X1521" s="13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1" t="n">
        <v>3</v>
      </c>
      <c r="B1522" s="12" t="n">
        <v>46232</v>
      </c>
      <c r="C1522" s="12" t="n">
        <v>46248</v>
      </c>
      <c r="D1522" s="11" t="n">
        <v>10017</v>
      </c>
      <c r="E1522" s="13" t="s">
        <v>335</v>
      </c>
      <c r="F1522" s="11" t="n">
        <v>24</v>
      </c>
      <c r="G1522" s="13" t="s">
        <v>42</v>
      </c>
      <c r="H1522" s="11" t="n">
        <v>2110405</v>
      </c>
      <c r="I1522" s="13" t="s">
        <v>34</v>
      </c>
      <c r="J1522" s="11" t="n">
        <v>1474074</v>
      </c>
      <c r="L1522" s="11" t="n">
        <v>1950891</v>
      </c>
      <c r="M1522" s="13" t="s">
        <v>44</v>
      </c>
      <c r="N1522" s="13" t="s">
        <v>36</v>
      </c>
      <c r="P1522" s="11" t="n">
        <v>167</v>
      </c>
      <c r="Q1522" s="13" t="s">
        <v>101</v>
      </c>
      <c r="R1522" s="13" t="s">
        <v>46</v>
      </c>
      <c r="S1522" s="11" t="n">
        <v>1130101</v>
      </c>
      <c r="T1522" s="13" t="s">
        <v>47</v>
      </c>
      <c r="U1522" s="14" t="n">
        <v>1191.82</v>
      </c>
      <c r="W1522" s="14" t="n">
        <v>1191.82</v>
      </c>
      <c r="X1522" s="13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1" t="n">
        <v>3</v>
      </c>
      <c r="B1523" s="12" t="n">
        <v>46233</v>
      </c>
      <c r="C1523" s="12" t="n">
        <v>46248</v>
      </c>
      <c r="D1523" s="11" t="n">
        <v>1916</v>
      </c>
      <c r="E1523" s="13" t="s">
        <v>351</v>
      </c>
      <c r="F1523" s="11" t="n">
        <v>24</v>
      </c>
      <c r="G1523" s="13" t="s">
        <v>42</v>
      </c>
      <c r="H1523" s="11" t="n">
        <v>2110405</v>
      </c>
      <c r="I1523" s="13" t="s">
        <v>34</v>
      </c>
      <c r="J1523" s="11" t="n">
        <v>1474199</v>
      </c>
      <c r="L1523" s="11" t="n">
        <v>2604</v>
      </c>
      <c r="M1523" s="13" t="s">
        <v>44</v>
      </c>
      <c r="N1523" s="13" t="s">
        <v>36</v>
      </c>
      <c r="P1523" s="11" t="n">
        <v>167</v>
      </c>
      <c r="Q1523" s="13" t="s">
        <v>101</v>
      </c>
      <c r="R1523" s="13" t="s">
        <v>46</v>
      </c>
      <c r="S1523" s="11" t="n">
        <v>1130101</v>
      </c>
      <c r="T1523" s="13" t="s">
        <v>47</v>
      </c>
      <c r="U1523" s="14" t="n">
        <v>105</v>
      </c>
      <c r="W1523" s="14" t="n">
        <v>105</v>
      </c>
      <c r="X1523" s="13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1" t="n">
        <v>3</v>
      </c>
      <c r="B1524" s="12" t="n">
        <v>46234</v>
      </c>
      <c r="C1524" s="12" t="n">
        <v>46248</v>
      </c>
      <c r="D1524" s="11" t="n">
        <v>519</v>
      </c>
      <c r="E1524" s="13" t="s">
        <v>242</v>
      </c>
      <c r="F1524" s="11" t="n">
        <v>34</v>
      </c>
      <c r="G1524" s="13" t="s">
        <v>33</v>
      </c>
      <c r="H1524" s="11" t="n">
        <v>2110405</v>
      </c>
      <c r="I1524" s="13" t="s">
        <v>34</v>
      </c>
      <c r="J1524" s="11" t="n">
        <v>1477410</v>
      </c>
      <c r="L1524" s="11" t="n">
        <v>229713</v>
      </c>
      <c r="M1524" s="13" t="s">
        <v>44</v>
      </c>
      <c r="N1524" s="13" t="s">
        <v>36</v>
      </c>
      <c r="P1524" s="11" t="n">
        <v>101</v>
      </c>
      <c r="Q1524" s="13" t="s">
        <v>37</v>
      </c>
      <c r="R1524" s="13" t="s">
        <v>245</v>
      </c>
      <c r="S1524" s="11" t="n">
        <v>2210203</v>
      </c>
      <c r="T1524" s="13" t="s">
        <v>1532</v>
      </c>
      <c r="U1524" s="14" t="n">
        <v>50000</v>
      </c>
      <c r="W1524" s="14" t="n">
        <v>0</v>
      </c>
      <c r="X1524" s="13" t="s">
        <v>1533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46234</v>
      </c>
      <c r="C1525" s="12" t="n">
        <v>46248</v>
      </c>
      <c r="D1525" s="11" t="n">
        <v>815</v>
      </c>
      <c r="E1525" s="13" t="s">
        <v>327</v>
      </c>
      <c r="F1525" s="11" t="n">
        <v>34</v>
      </c>
      <c r="G1525" s="13" t="s">
        <v>33</v>
      </c>
      <c r="H1525" s="11" t="n">
        <v>2110405</v>
      </c>
      <c r="I1525" s="13" t="s">
        <v>34</v>
      </c>
      <c r="J1525" s="11" t="n">
        <v>1477448</v>
      </c>
      <c r="L1525" s="11" t="n">
        <v>229731</v>
      </c>
      <c r="M1525" s="13" t="s">
        <v>44</v>
      </c>
      <c r="N1525" s="13" t="s">
        <v>36</v>
      </c>
      <c r="P1525" s="11" t="n">
        <v>101</v>
      </c>
      <c r="Q1525" s="13" t="s">
        <v>37</v>
      </c>
      <c r="R1525" s="13" t="s">
        <v>245</v>
      </c>
      <c r="S1525" s="11" t="n">
        <v>2210203</v>
      </c>
      <c r="T1525" s="13" t="s">
        <v>1532</v>
      </c>
      <c r="U1525" s="14" t="n">
        <v>75000</v>
      </c>
      <c r="W1525" s="14" t="n">
        <v>0</v>
      </c>
      <c r="X1525" s="13" t="s">
        <v>1534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46232</v>
      </c>
      <c r="C1526" s="12" t="n">
        <v>46248</v>
      </c>
      <c r="D1526" s="11" t="n">
        <v>1196</v>
      </c>
      <c r="E1526" s="13" t="s">
        <v>174</v>
      </c>
      <c r="F1526" s="11" t="n">
        <v>24</v>
      </c>
      <c r="G1526" s="13" t="s">
        <v>42</v>
      </c>
      <c r="H1526" s="11" t="n">
        <v>2110405</v>
      </c>
      <c r="I1526" s="13" t="s">
        <v>34</v>
      </c>
      <c r="J1526" s="11" t="n">
        <v>1478189</v>
      </c>
      <c r="L1526" s="11" t="n">
        <v>13171</v>
      </c>
      <c r="M1526" s="13" t="s">
        <v>44</v>
      </c>
      <c r="N1526" s="13" t="s">
        <v>36</v>
      </c>
      <c r="P1526" s="11" t="n">
        <v>167</v>
      </c>
      <c r="Q1526" s="13" t="s">
        <v>101</v>
      </c>
      <c r="R1526" s="13" t="s">
        <v>46</v>
      </c>
      <c r="S1526" s="11" t="n">
        <v>1130101</v>
      </c>
      <c r="T1526" s="13" t="s">
        <v>47</v>
      </c>
      <c r="U1526" s="14" t="n">
        <v>481.15</v>
      </c>
      <c r="W1526" s="14" t="n">
        <v>481.15</v>
      </c>
      <c r="X1526" s="13" t="s">
        <v>1535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1" t="n">
        <v>3</v>
      </c>
      <c r="B1527" s="12" t="n">
        <v>46233</v>
      </c>
      <c r="C1527" s="12" t="n">
        <v>46248</v>
      </c>
      <c r="D1527" s="11" t="n">
        <v>1814</v>
      </c>
      <c r="E1527" s="13" t="s">
        <v>339</v>
      </c>
      <c r="F1527" s="11" t="n">
        <v>24</v>
      </c>
      <c r="G1527" s="13" t="s">
        <v>42</v>
      </c>
      <c r="H1527" s="11" t="n">
        <v>2110405</v>
      </c>
      <c r="I1527" s="13" t="s">
        <v>34</v>
      </c>
      <c r="J1527" s="11" t="n">
        <v>1478675</v>
      </c>
      <c r="L1527" s="11" t="n">
        <v>279762</v>
      </c>
      <c r="M1527" s="13" t="s">
        <v>44</v>
      </c>
      <c r="N1527" s="13" t="s">
        <v>36</v>
      </c>
      <c r="P1527" s="11" t="n">
        <v>167</v>
      </c>
      <c r="Q1527" s="13" t="s">
        <v>101</v>
      </c>
      <c r="R1527" s="13" t="s">
        <v>46</v>
      </c>
      <c r="S1527" s="11" t="n">
        <v>1130101</v>
      </c>
      <c r="T1527" s="13" t="s">
        <v>47</v>
      </c>
      <c r="U1527" s="14" t="n">
        <v>835.37</v>
      </c>
      <c r="W1527" s="14" t="n">
        <v>835.37</v>
      </c>
      <c r="X1527" s="13" t="s">
        <v>1536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1" t="n">
        <v>3</v>
      </c>
      <c r="B1528" s="12" t="n">
        <v>46233</v>
      </c>
      <c r="C1528" s="12" t="n">
        <v>46248</v>
      </c>
      <c r="D1528" s="11" t="n">
        <v>1608</v>
      </c>
      <c r="E1528" s="13" t="s">
        <v>41</v>
      </c>
      <c r="F1528" s="11" t="n">
        <v>24</v>
      </c>
      <c r="G1528" s="13" t="s">
        <v>42</v>
      </c>
      <c r="H1528" s="11" t="n">
        <v>2110101</v>
      </c>
      <c r="I1528" s="13" t="s">
        <v>43</v>
      </c>
      <c r="J1528" s="11" t="n">
        <v>1482387</v>
      </c>
      <c r="L1528" s="11" t="n">
        <v>17031521</v>
      </c>
      <c r="M1528" s="13" t="s">
        <v>44</v>
      </c>
      <c r="N1528" s="13" t="s">
        <v>36</v>
      </c>
      <c r="P1528" s="11" t="n">
        <v>167</v>
      </c>
      <c r="Q1528" s="13" t="s">
        <v>101</v>
      </c>
      <c r="R1528" s="13" t="s">
        <v>46</v>
      </c>
      <c r="S1528" s="11" t="n">
        <v>1130101</v>
      </c>
      <c r="T1528" s="13" t="s">
        <v>47</v>
      </c>
      <c r="U1528" s="14" t="n">
        <v>362.69</v>
      </c>
      <c r="W1528" s="14" t="n">
        <v>362.69</v>
      </c>
      <c r="X1528" s="13" t="s">
        <v>1537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1" t="n">
        <v>3</v>
      </c>
      <c r="B1529" s="12" t="n">
        <v>46248</v>
      </c>
      <c r="C1529" s="12" t="n">
        <v>46248</v>
      </c>
      <c r="D1529" s="11" t="n">
        <v>42</v>
      </c>
      <c r="E1529" s="13" t="s">
        <v>80</v>
      </c>
      <c r="F1529" s="11" t="n">
        <v>13</v>
      </c>
      <c r="G1529" s="13" t="s">
        <v>81</v>
      </c>
      <c r="H1529" s="11" t="n">
        <v>2110101</v>
      </c>
      <c r="I1529" s="13" t="s">
        <v>43</v>
      </c>
      <c r="J1529" s="11" t="n">
        <v>1545577</v>
      </c>
      <c r="L1529" s="11" t="n">
        <v>4497</v>
      </c>
      <c r="M1529" s="13" t="s">
        <v>44</v>
      </c>
      <c r="N1529" s="13" t="s">
        <v>69</v>
      </c>
      <c r="P1529" s="11" t="n">
        <v>129</v>
      </c>
      <c r="Q1529" s="13" t="s">
        <v>102</v>
      </c>
      <c r="R1529" s="13" t="s">
        <v>46</v>
      </c>
      <c r="S1529" s="11" t="n">
        <v>1130101</v>
      </c>
      <c r="T1529" s="13" t="s">
        <v>47</v>
      </c>
      <c r="U1529" s="14" t="n">
        <v>136</v>
      </c>
      <c r="W1529" s="14" t="n">
        <v>136</v>
      </c>
      <c r="X1529" s="13" t="s">
        <v>772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46248</v>
      </c>
      <c r="C1530" s="12" t="n">
        <v>46248</v>
      </c>
      <c r="D1530" s="11" t="n">
        <v>42</v>
      </c>
      <c r="E1530" s="13" t="s">
        <v>80</v>
      </c>
      <c r="F1530" s="11" t="n">
        <v>13</v>
      </c>
      <c r="G1530" s="13" t="s">
        <v>81</v>
      </c>
      <c r="H1530" s="11" t="n">
        <v>2110101</v>
      </c>
      <c r="I1530" s="13" t="s">
        <v>43</v>
      </c>
      <c r="J1530" s="11" t="n">
        <v>1545585</v>
      </c>
      <c r="L1530" s="11" t="n">
        <v>4498</v>
      </c>
      <c r="M1530" s="13" t="s">
        <v>44</v>
      </c>
      <c r="N1530" s="13" t="s">
        <v>69</v>
      </c>
      <c r="P1530" s="11" t="n">
        <v>129</v>
      </c>
      <c r="Q1530" s="13" t="s">
        <v>102</v>
      </c>
      <c r="R1530" s="13" t="s">
        <v>46</v>
      </c>
      <c r="S1530" s="11" t="n">
        <v>1130101</v>
      </c>
      <c r="T1530" s="13" t="s">
        <v>47</v>
      </c>
      <c r="U1530" s="14" t="n">
        <v>250</v>
      </c>
      <c r="W1530" s="14" t="n">
        <v>250</v>
      </c>
      <c r="X1530" s="13" t="s">
        <v>1293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46241</v>
      </c>
      <c r="C1531" s="12" t="n">
        <v>46248</v>
      </c>
      <c r="D1531" s="11" t="n">
        <v>1828</v>
      </c>
      <c r="E1531" s="13" t="s">
        <v>278</v>
      </c>
      <c r="F1531" s="11" t="n">
        <v>24</v>
      </c>
      <c r="G1531" s="13" t="s">
        <v>42</v>
      </c>
      <c r="H1531" s="11" t="n">
        <v>2110405</v>
      </c>
      <c r="I1531" s="13" t="s">
        <v>34</v>
      </c>
      <c r="J1531" s="11" t="n">
        <v>1513088</v>
      </c>
      <c r="L1531" s="11" t="n">
        <v>157</v>
      </c>
      <c r="M1531" s="13" t="s">
        <v>44</v>
      </c>
      <c r="N1531" s="13" t="s">
        <v>36</v>
      </c>
      <c r="P1531" s="11" t="n">
        <v>167</v>
      </c>
      <c r="Q1531" s="13" t="s">
        <v>101</v>
      </c>
      <c r="R1531" s="13" t="s">
        <v>46</v>
      </c>
      <c r="S1531" s="11" t="n">
        <v>1130101</v>
      </c>
      <c r="T1531" s="13" t="s">
        <v>47</v>
      </c>
      <c r="U1531" s="14" t="n">
        <v>700.4</v>
      </c>
      <c r="W1531" s="14" t="n">
        <v>700.4</v>
      </c>
      <c r="X1531" s="13" t="s">
        <v>1538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 PERU DF DISTRIBUIDORA DE FR</v>
      </c>
      <c r="AC1531" s="1" t="n">
        <v>1420</v>
      </c>
    </row>
    <row r="1532" customFormat="false" ht="12.75" hidden="false" customHeight="true" outlineLevel="0" collapsed="false">
      <c r="A1532" s="11" t="n">
        <v>3</v>
      </c>
      <c r="B1532" s="12" t="n">
        <v>46241</v>
      </c>
      <c r="C1532" s="12" t="n">
        <v>46248</v>
      </c>
      <c r="D1532" s="11" t="n">
        <v>42</v>
      </c>
      <c r="E1532" s="13" t="s">
        <v>80</v>
      </c>
      <c r="F1532" s="11" t="n">
        <v>34</v>
      </c>
      <c r="G1532" s="13" t="s">
        <v>33</v>
      </c>
      <c r="H1532" s="11" t="n">
        <v>2110101</v>
      </c>
      <c r="I1532" s="13" t="s">
        <v>43</v>
      </c>
      <c r="J1532" s="11" t="n">
        <v>1513572</v>
      </c>
      <c r="L1532" s="11" t="n">
        <v>4473</v>
      </c>
      <c r="M1532" s="13" t="s">
        <v>44</v>
      </c>
      <c r="N1532" s="13" t="s">
        <v>69</v>
      </c>
      <c r="P1532" s="11" t="n">
        <v>167</v>
      </c>
      <c r="Q1532" s="13" t="s">
        <v>101</v>
      </c>
      <c r="R1532" s="13" t="s">
        <v>46</v>
      </c>
      <c r="S1532" s="11" t="n">
        <v>1130101</v>
      </c>
      <c r="T1532" s="13" t="s">
        <v>47</v>
      </c>
      <c r="U1532" s="14" t="n">
        <v>300</v>
      </c>
      <c r="W1532" s="14" t="n">
        <v>300</v>
      </c>
      <c r="X1532" s="13" t="s">
        <v>1539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46241</v>
      </c>
      <c r="C1533" s="12" t="n">
        <v>46248</v>
      </c>
      <c r="D1533" s="11" t="n">
        <v>1723</v>
      </c>
      <c r="E1533" s="13" t="s">
        <v>76</v>
      </c>
      <c r="F1533" s="11" t="n">
        <v>24</v>
      </c>
      <c r="G1533" s="13" t="s">
        <v>42</v>
      </c>
      <c r="H1533" s="11" t="n">
        <v>2110405</v>
      </c>
      <c r="I1533" s="13" t="s">
        <v>34</v>
      </c>
      <c r="J1533" s="11" t="n">
        <v>1514492</v>
      </c>
      <c r="L1533" s="11" t="n">
        <v>589281</v>
      </c>
      <c r="M1533" s="13" t="s">
        <v>44</v>
      </c>
      <c r="N1533" s="13" t="s">
        <v>36</v>
      </c>
      <c r="P1533" s="11" t="n">
        <v>167</v>
      </c>
      <c r="Q1533" s="13" t="s">
        <v>101</v>
      </c>
      <c r="R1533" s="13" t="s">
        <v>46</v>
      </c>
      <c r="S1533" s="11" t="n">
        <v>1130101</v>
      </c>
      <c r="T1533" s="13" t="s">
        <v>47</v>
      </c>
      <c r="U1533" s="14" t="n">
        <v>1847.6</v>
      </c>
      <c r="W1533" s="14" t="n">
        <v>1847.6</v>
      </c>
      <c r="X1533" s="13" t="s">
        <v>1540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1" t="n">
        <v>3</v>
      </c>
      <c r="B1534" s="12" t="n">
        <v>46242</v>
      </c>
      <c r="C1534" s="12" t="n">
        <v>46248</v>
      </c>
      <c r="D1534" s="11" t="n">
        <v>1378</v>
      </c>
      <c r="E1534" s="13" t="s">
        <v>120</v>
      </c>
      <c r="F1534" s="11" t="n">
        <v>24</v>
      </c>
      <c r="G1534" s="13" t="s">
        <v>42</v>
      </c>
      <c r="H1534" s="11" t="n">
        <v>2110405</v>
      </c>
      <c r="I1534" s="13" t="s">
        <v>34</v>
      </c>
      <c r="J1534" s="11" t="n">
        <v>1528933</v>
      </c>
      <c r="L1534" s="11" t="n">
        <v>18584</v>
      </c>
      <c r="M1534" s="13" t="s">
        <v>44</v>
      </c>
      <c r="N1534" s="13" t="s">
        <v>36</v>
      </c>
      <c r="P1534" s="11" t="n">
        <v>167</v>
      </c>
      <c r="Q1534" s="13" t="s">
        <v>101</v>
      </c>
      <c r="R1534" s="13" t="s">
        <v>46</v>
      </c>
      <c r="S1534" s="11" t="n">
        <v>1130101</v>
      </c>
      <c r="T1534" s="13" t="s">
        <v>47</v>
      </c>
      <c r="U1534" s="14" t="n">
        <v>242.1</v>
      </c>
      <c r="W1534" s="14" t="n">
        <v>242.1</v>
      </c>
      <c r="X1534" s="13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1" t="n">
        <v>3</v>
      </c>
      <c r="B1535" s="12" t="n">
        <v>46245</v>
      </c>
      <c r="C1535" s="12" t="n">
        <v>46248</v>
      </c>
      <c r="D1535" s="11" t="n">
        <v>1615</v>
      </c>
      <c r="E1535" s="13" t="s">
        <v>130</v>
      </c>
      <c r="F1535" s="11" t="n">
        <v>34</v>
      </c>
      <c r="G1535" s="13" t="s">
        <v>33</v>
      </c>
      <c r="H1535" s="11" t="n">
        <v>2110405</v>
      </c>
      <c r="I1535" s="13" t="s">
        <v>34</v>
      </c>
      <c r="J1535" s="11" t="n">
        <v>1532664</v>
      </c>
      <c r="L1535" s="11" t="n">
        <v>15077</v>
      </c>
      <c r="M1535" s="13" t="s">
        <v>44</v>
      </c>
      <c r="N1535" s="13" t="s">
        <v>36</v>
      </c>
      <c r="P1535" s="11" t="n">
        <v>167</v>
      </c>
      <c r="Q1535" s="13" t="s">
        <v>101</v>
      </c>
      <c r="R1535" s="13" t="s">
        <v>46</v>
      </c>
      <c r="S1535" s="11" t="n">
        <v>1130101</v>
      </c>
      <c r="T1535" s="13" t="s">
        <v>47</v>
      </c>
      <c r="U1535" s="14" t="n">
        <v>320</v>
      </c>
      <c r="W1535" s="14" t="n">
        <v>320</v>
      </c>
      <c r="X1535" s="13" t="s">
        <v>1542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1" t="n">
        <v>3</v>
      </c>
      <c r="B1536" s="12" t="n">
        <v>46245</v>
      </c>
      <c r="C1536" s="12" t="n">
        <v>46248</v>
      </c>
      <c r="D1536" s="11" t="n">
        <v>1615</v>
      </c>
      <c r="E1536" s="13" t="s">
        <v>130</v>
      </c>
      <c r="F1536" s="11" t="n">
        <v>34</v>
      </c>
      <c r="G1536" s="13" t="s">
        <v>33</v>
      </c>
      <c r="H1536" s="11" t="n">
        <v>2110405</v>
      </c>
      <c r="I1536" s="13" t="s">
        <v>34</v>
      </c>
      <c r="J1536" s="11" t="n">
        <v>1532667</v>
      </c>
      <c r="L1536" s="11" t="n">
        <v>237968</v>
      </c>
      <c r="M1536" s="13" t="s">
        <v>44</v>
      </c>
      <c r="N1536" s="13" t="s">
        <v>36</v>
      </c>
      <c r="P1536" s="11" t="n">
        <v>167</v>
      </c>
      <c r="Q1536" s="13" t="s">
        <v>101</v>
      </c>
      <c r="R1536" s="13" t="s">
        <v>46</v>
      </c>
      <c r="S1536" s="11" t="n">
        <v>1130101</v>
      </c>
      <c r="T1536" s="13" t="s">
        <v>47</v>
      </c>
      <c r="U1536" s="14" t="n">
        <v>152</v>
      </c>
      <c r="W1536" s="14" t="n">
        <v>152</v>
      </c>
      <c r="X1536" s="13" t="s">
        <v>1543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46245</v>
      </c>
      <c r="C1537" s="12" t="n">
        <v>46248</v>
      </c>
      <c r="D1537" s="11" t="n">
        <v>42</v>
      </c>
      <c r="E1537" s="13" t="s">
        <v>80</v>
      </c>
      <c r="F1537" s="11" t="n">
        <v>34</v>
      </c>
      <c r="G1537" s="13" t="s">
        <v>33</v>
      </c>
      <c r="H1537" s="11" t="n">
        <v>2110101</v>
      </c>
      <c r="I1537" s="13" t="s">
        <v>43</v>
      </c>
      <c r="J1537" s="11" t="n">
        <v>1532675</v>
      </c>
      <c r="L1537" s="11" t="n">
        <v>4489</v>
      </c>
      <c r="M1537" s="13" t="s">
        <v>44</v>
      </c>
      <c r="N1537" s="13" t="s">
        <v>69</v>
      </c>
      <c r="P1537" s="11" t="n">
        <v>167</v>
      </c>
      <c r="Q1537" s="13" t="s">
        <v>101</v>
      </c>
      <c r="R1537" s="13" t="s">
        <v>46</v>
      </c>
      <c r="S1537" s="11" t="n">
        <v>1130101</v>
      </c>
      <c r="T1537" s="13" t="s">
        <v>47</v>
      </c>
      <c r="U1537" s="14" t="n">
        <v>1690</v>
      </c>
      <c r="W1537" s="14" t="n">
        <v>1690</v>
      </c>
      <c r="X1537" s="13" t="s">
        <v>1029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46245</v>
      </c>
      <c r="C1538" s="12" t="n">
        <v>46248</v>
      </c>
      <c r="D1538" s="11" t="n">
        <v>642</v>
      </c>
      <c r="E1538" s="13" t="s">
        <v>135</v>
      </c>
      <c r="F1538" s="11" t="n">
        <v>24</v>
      </c>
      <c r="G1538" s="13" t="s">
        <v>42</v>
      </c>
      <c r="H1538" s="11" t="n">
        <v>2110405</v>
      </c>
      <c r="I1538" s="13" t="s">
        <v>34</v>
      </c>
      <c r="J1538" s="11" t="n">
        <v>1537134</v>
      </c>
      <c r="L1538" s="11" t="n">
        <v>238623</v>
      </c>
      <c r="M1538" s="13" t="s">
        <v>44</v>
      </c>
      <c r="N1538" s="13" t="s">
        <v>36</v>
      </c>
      <c r="P1538" s="11" t="n">
        <v>167</v>
      </c>
      <c r="Q1538" s="13" t="s">
        <v>101</v>
      </c>
      <c r="R1538" s="13" t="s">
        <v>46</v>
      </c>
      <c r="S1538" s="11" t="n">
        <v>1130101</v>
      </c>
      <c r="T1538" s="13" t="s">
        <v>47</v>
      </c>
      <c r="U1538" s="14" t="n">
        <v>300</v>
      </c>
      <c r="W1538" s="14" t="n">
        <v>300</v>
      </c>
      <c r="X1538" s="13" t="s">
        <v>1544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1" t="n">
        <v>3</v>
      </c>
      <c r="B1539" s="12" t="n">
        <v>46248</v>
      </c>
      <c r="C1539" s="12" t="n">
        <v>46248</v>
      </c>
      <c r="D1539" s="11" t="n">
        <v>42</v>
      </c>
      <c r="E1539" s="13" t="s">
        <v>80</v>
      </c>
      <c r="F1539" s="11" t="n">
        <v>13</v>
      </c>
      <c r="G1539" s="13" t="s">
        <v>81</v>
      </c>
      <c r="H1539" s="11" t="n">
        <v>2110101</v>
      </c>
      <c r="I1539" s="13" t="s">
        <v>43</v>
      </c>
      <c r="J1539" s="11" t="n">
        <v>1547299</v>
      </c>
      <c r="L1539" s="11" t="n">
        <v>4505</v>
      </c>
      <c r="M1539" s="13" t="s">
        <v>44</v>
      </c>
      <c r="N1539" s="13" t="s">
        <v>69</v>
      </c>
      <c r="P1539" s="11" t="n">
        <v>167</v>
      </c>
      <c r="Q1539" s="13" t="s">
        <v>101</v>
      </c>
      <c r="R1539" s="13" t="s">
        <v>46</v>
      </c>
      <c r="S1539" s="11" t="n">
        <v>1130101</v>
      </c>
      <c r="T1539" s="13" t="s">
        <v>47</v>
      </c>
      <c r="U1539" s="14" t="n">
        <v>87.04</v>
      </c>
      <c r="W1539" s="14" t="n">
        <v>87.04</v>
      </c>
      <c r="X1539" s="13" t="s">
        <v>1545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46248</v>
      </c>
      <c r="C1540" s="12" t="n">
        <v>46248</v>
      </c>
      <c r="D1540" s="11" t="n">
        <v>978</v>
      </c>
      <c r="E1540" s="13" t="s">
        <v>183</v>
      </c>
      <c r="F1540" s="11" t="n">
        <v>13</v>
      </c>
      <c r="G1540" s="13" t="s">
        <v>81</v>
      </c>
      <c r="H1540" s="11" t="n">
        <v>2110101</v>
      </c>
      <c r="I1540" s="13" t="s">
        <v>43</v>
      </c>
      <c r="J1540" s="11" t="n">
        <v>1551170</v>
      </c>
      <c r="L1540" s="11" t="n">
        <v>478</v>
      </c>
      <c r="M1540" s="13" t="s">
        <v>44</v>
      </c>
      <c r="N1540" s="13" t="s">
        <v>69</v>
      </c>
      <c r="P1540" s="11" t="n">
        <v>167</v>
      </c>
      <c r="Q1540" s="13" t="s">
        <v>101</v>
      </c>
      <c r="R1540" s="13" t="s">
        <v>46</v>
      </c>
      <c r="S1540" s="11" t="n">
        <v>1130101</v>
      </c>
      <c r="T1540" s="13" t="s">
        <v>47</v>
      </c>
      <c r="U1540" s="14" t="n">
        <v>557</v>
      </c>
      <c r="W1540" s="14" t="n">
        <v>557</v>
      </c>
      <c r="X1540" s="13" t="s">
        <v>1546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DAN GELO CUBO 5 KG</v>
      </c>
      <c r="AC1540" s="1" t="n">
        <v>478</v>
      </c>
    </row>
    <row r="1541" customFormat="false" ht="12.75" hidden="false" customHeight="true" outlineLevel="0" collapsed="false">
      <c r="A1541" s="11" t="n">
        <v>3</v>
      </c>
      <c r="B1541" s="12" t="n">
        <v>46248</v>
      </c>
      <c r="C1541" s="12" t="n">
        <v>46248</v>
      </c>
      <c r="D1541" s="11" t="n">
        <v>10035</v>
      </c>
      <c r="E1541" s="13" t="s">
        <v>227</v>
      </c>
      <c r="F1541" s="11" t="n">
        <v>13</v>
      </c>
      <c r="G1541" s="13" t="s">
        <v>81</v>
      </c>
      <c r="H1541" s="11" t="n">
        <v>2110101</v>
      </c>
      <c r="I1541" s="13" t="s">
        <v>43</v>
      </c>
      <c r="J1541" s="11" t="n">
        <v>1551713</v>
      </c>
      <c r="L1541" s="11" t="n">
        <v>400</v>
      </c>
      <c r="M1541" s="13" t="s">
        <v>44</v>
      </c>
      <c r="N1541" s="13" t="s">
        <v>69</v>
      </c>
      <c r="P1541" s="11" t="n">
        <v>167</v>
      </c>
      <c r="Q1541" s="13" t="s">
        <v>101</v>
      </c>
      <c r="R1541" s="13" t="s">
        <v>46</v>
      </c>
      <c r="S1541" s="11" t="n">
        <v>1130101</v>
      </c>
      <c r="T1541" s="13" t="s">
        <v>47</v>
      </c>
      <c r="U1541" s="14" t="n">
        <v>1070</v>
      </c>
      <c r="W1541" s="14" t="n">
        <v>1070</v>
      </c>
      <c r="X1541" s="13" t="s">
        <v>1547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1" t="n">
        <v>3</v>
      </c>
      <c r="B1542" s="12" t="n">
        <v>46097</v>
      </c>
      <c r="C1542" s="12" t="n">
        <v>46249</v>
      </c>
      <c r="D1542" s="11" t="n">
        <v>1867</v>
      </c>
      <c r="E1542" s="13" t="s">
        <v>425</v>
      </c>
      <c r="F1542" s="11" t="n">
        <v>24</v>
      </c>
      <c r="G1542" s="13" t="s">
        <v>42</v>
      </c>
      <c r="H1542" s="11" t="n">
        <v>2110405</v>
      </c>
      <c r="I1542" s="13" t="s">
        <v>34</v>
      </c>
      <c r="J1542" s="11" t="n">
        <v>809440</v>
      </c>
      <c r="L1542" s="11" t="n">
        <v>777006512</v>
      </c>
      <c r="M1542" s="13" t="s">
        <v>35</v>
      </c>
      <c r="N1542" s="13" t="s">
        <v>36</v>
      </c>
      <c r="P1542" s="11" t="n">
        <v>101</v>
      </c>
      <c r="Q1542" s="13" t="s">
        <v>37</v>
      </c>
      <c r="R1542" s="13" t="s">
        <v>426</v>
      </c>
      <c r="S1542" s="11" t="n">
        <v>4210401</v>
      </c>
      <c r="T1542" s="13" t="s">
        <v>427</v>
      </c>
      <c r="U1542" s="14" t="n">
        <v>225.2</v>
      </c>
      <c r="W1542" s="14" t="n">
        <v>0</v>
      </c>
      <c r="X1542" s="13" t="s">
        <v>1548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46227</v>
      </c>
      <c r="C1543" s="12" t="n">
        <v>46249</v>
      </c>
      <c r="D1543" s="11" t="n">
        <v>1608</v>
      </c>
      <c r="E1543" s="13" t="s">
        <v>41</v>
      </c>
      <c r="F1543" s="11" t="n">
        <v>24</v>
      </c>
      <c r="G1543" s="13" t="s">
        <v>42</v>
      </c>
      <c r="H1543" s="11" t="n">
        <v>2110405</v>
      </c>
      <c r="I1543" s="13" t="s">
        <v>34</v>
      </c>
      <c r="J1543" s="11" t="n">
        <v>1443899</v>
      </c>
      <c r="L1543" s="11" t="n">
        <v>16991332</v>
      </c>
      <c r="M1543" s="13" t="s">
        <v>44</v>
      </c>
      <c r="N1543" s="13" t="s">
        <v>36</v>
      </c>
      <c r="P1543" s="11" t="n">
        <v>167</v>
      </c>
      <c r="Q1543" s="13" t="s">
        <v>101</v>
      </c>
      <c r="R1543" s="13" t="s">
        <v>46</v>
      </c>
      <c r="S1543" s="11" t="n">
        <v>1130101</v>
      </c>
      <c r="T1543" s="13" t="s">
        <v>47</v>
      </c>
      <c r="U1543" s="14" t="n">
        <v>832.25</v>
      </c>
      <c r="W1543" s="14" t="n">
        <v>0</v>
      </c>
      <c r="X1543" s="13" t="s">
        <v>1549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1" t="n">
        <v>3</v>
      </c>
      <c r="B1544" s="12" t="n">
        <v>46228</v>
      </c>
      <c r="C1544" s="12" t="n">
        <v>46249</v>
      </c>
      <c r="D1544" s="11" t="n">
        <v>1039</v>
      </c>
      <c r="E1544" s="13" t="s">
        <v>594</v>
      </c>
      <c r="F1544" s="11" t="n">
        <v>24</v>
      </c>
      <c r="G1544" s="13" t="s">
        <v>42</v>
      </c>
      <c r="H1544" s="11" t="n">
        <v>2110405</v>
      </c>
      <c r="I1544" s="13" t="s">
        <v>34</v>
      </c>
      <c r="J1544" s="11" t="n">
        <v>1458367</v>
      </c>
      <c r="L1544" s="11" t="n">
        <v>194533</v>
      </c>
      <c r="M1544" s="13" t="s">
        <v>44</v>
      </c>
      <c r="N1544" s="13" t="s">
        <v>36</v>
      </c>
      <c r="P1544" s="11" t="n">
        <v>167</v>
      </c>
      <c r="Q1544" s="13" t="s">
        <v>101</v>
      </c>
      <c r="R1544" s="13" t="s">
        <v>46</v>
      </c>
      <c r="S1544" s="11" t="n">
        <v>1130101</v>
      </c>
      <c r="T1544" s="13" t="s">
        <v>47</v>
      </c>
      <c r="U1544" s="14" t="n">
        <v>1086.18</v>
      </c>
      <c r="W1544" s="14" t="n">
        <v>0</v>
      </c>
      <c r="X1544" s="13" t="s">
        <v>1550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1" t="n">
        <v>3</v>
      </c>
      <c r="B1545" s="12" t="n">
        <v>46231</v>
      </c>
      <c r="C1545" s="12" t="n">
        <v>46249</v>
      </c>
      <c r="D1545" s="11" t="n">
        <v>1893</v>
      </c>
      <c r="E1545" s="13" t="s">
        <v>442</v>
      </c>
      <c r="F1545" s="11" t="n">
        <v>34</v>
      </c>
      <c r="G1545" s="13" t="s">
        <v>33</v>
      </c>
      <c r="H1545" s="11" t="n">
        <v>2110405</v>
      </c>
      <c r="I1545" s="13" t="s">
        <v>34</v>
      </c>
      <c r="J1545" s="11" t="n">
        <v>1464910</v>
      </c>
      <c r="L1545" s="11" t="n">
        <v>227905</v>
      </c>
      <c r="M1545" s="13" t="s">
        <v>44</v>
      </c>
      <c r="N1545" s="13" t="s">
        <v>36</v>
      </c>
      <c r="P1545" s="11" t="n">
        <v>101</v>
      </c>
      <c r="Q1545" s="13" t="s">
        <v>37</v>
      </c>
      <c r="R1545" s="13" t="s">
        <v>72</v>
      </c>
      <c r="S1545" s="11" t="n">
        <v>4210315</v>
      </c>
      <c r="T1545" s="13" t="s">
        <v>438</v>
      </c>
      <c r="U1545" s="14" t="n">
        <v>177.2</v>
      </c>
      <c r="W1545" s="14" t="n">
        <v>0</v>
      </c>
      <c r="X1545" s="13" t="s">
        <v>1551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46237</v>
      </c>
      <c r="C1546" s="12" t="n">
        <v>46249</v>
      </c>
      <c r="D1546" s="11" t="n">
        <v>1625</v>
      </c>
      <c r="E1546" s="13" t="s">
        <v>320</v>
      </c>
      <c r="F1546" s="11" t="n">
        <v>24</v>
      </c>
      <c r="G1546" s="13" t="s">
        <v>42</v>
      </c>
      <c r="H1546" s="11" t="n">
        <v>2110405</v>
      </c>
      <c r="I1546" s="13" t="s">
        <v>34</v>
      </c>
      <c r="J1546" s="11" t="n">
        <v>1493506</v>
      </c>
      <c r="L1546" s="11" t="n">
        <v>149122</v>
      </c>
      <c r="M1546" s="13" t="s">
        <v>44</v>
      </c>
      <c r="N1546" s="13" t="s">
        <v>36</v>
      </c>
      <c r="P1546" s="11" t="n">
        <v>167</v>
      </c>
      <c r="Q1546" s="13" t="s">
        <v>101</v>
      </c>
      <c r="R1546" s="13" t="s">
        <v>46</v>
      </c>
      <c r="S1546" s="11" t="n">
        <v>1130101</v>
      </c>
      <c r="T1546" s="13" t="s">
        <v>47</v>
      </c>
      <c r="U1546" s="14" t="n">
        <v>3573.2</v>
      </c>
      <c r="W1546" s="14" t="n">
        <v>0</v>
      </c>
      <c r="X1546" s="13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1" t="n">
        <v>3</v>
      </c>
      <c r="B1547" s="12" t="n">
        <v>46237</v>
      </c>
      <c r="C1547" s="12" t="n">
        <v>46249</v>
      </c>
      <c r="D1547" s="11" t="n">
        <v>1672</v>
      </c>
      <c r="E1547" s="13" t="s">
        <v>67</v>
      </c>
      <c r="F1547" s="11" t="n">
        <v>24</v>
      </c>
      <c r="G1547" s="13" t="s">
        <v>42</v>
      </c>
      <c r="H1547" s="11" t="n">
        <v>2110405</v>
      </c>
      <c r="I1547" s="13" t="s">
        <v>34</v>
      </c>
      <c r="J1547" s="11" t="n">
        <v>1504154</v>
      </c>
      <c r="L1547" s="11" t="n">
        <v>14134011</v>
      </c>
      <c r="M1547" s="13" t="s">
        <v>44</v>
      </c>
      <c r="N1547" s="13" t="s">
        <v>36</v>
      </c>
      <c r="P1547" s="11" t="n">
        <v>167</v>
      </c>
      <c r="Q1547" s="13" t="s">
        <v>101</v>
      </c>
      <c r="R1547" s="13" t="s">
        <v>46</v>
      </c>
      <c r="S1547" s="11" t="n">
        <v>1130101</v>
      </c>
      <c r="T1547" s="13" t="s">
        <v>47</v>
      </c>
      <c r="U1547" s="14" t="n">
        <v>725.05</v>
      </c>
      <c r="W1547" s="14" t="n">
        <v>0</v>
      </c>
      <c r="X1547" s="13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1" t="n">
        <v>3</v>
      </c>
      <c r="B1548" s="12" t="n">
        <v>46244</v>
      </c>
      <c r="C1548" s="12" t="n">
        <v>46249</v>
      </c>
      <c r="D1548" s="11" t="n">
        <v>1625</v>
      </c>
      <c r="E1548" s="13" t="s">
        <v>320</v>
      </c>
      <c r="F1548" s="11" t="n">
        <v>24</v>
      </c>
      <c r="G1548" s="13" t="s">
        <v>42</v>
      </c>
      <c r="H1548" s="11" t="n">
        <v>2110405</v>
      </c>
      <c r="I1548" s="13" t="s">
        <v>34</v>
      </c>
      <c r="J1548" s="11" t="n">
        <v>1530140</v>
      </c>
      <c r="L1548" s="11" t="n">
        <v>149941</v>
      </c>
      <c r="M1548" s="13" t="s">
        <v>44</v>
      </c>
      <c r="N1548" s="13" t="s">
        <v>36</v>
      </c>
      <c r="P1548" s="11" t="n">
        <v>167</v>
      </c>
      <c r="Q1548" s="13" t="s">
        <v>101</v>
      </c>
      <c r="R1548" s="13" t="s">
        <v>46</v>
      </c>
      <c r="S1548" s="11" t="n">
        <v>1130101</v>
      </c>
      <c r="T1548" s="13" t="s">
        <v>47</v>
      </c>
      <c r="U1548" s="14" t="n">
        <v>3648.3</v>
      </c>
      <c r="W1548" s="14" t="n">
        <v>0</v>
      </c>
      <c r="X1548" s="13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1" t="n">
        <v>3</v>
      </c>
      <c r="B1549" s="12" t="n">
        <v>46246</v>
      </c>
      <c r="C1549" s="12" t="n">
        <v>46249</v>
      </c>
      <c r="D1549" s="11" t="n">
        <v>447</v>
      </c>
      <c r="E1549" s="13" t="s">
        <v>437</v>
      </c>
      <c r="F1549" s="11" t="n">
        <v>24</v>
      </c>
      <c r="G1549" s="13" t="s">
        <v>42</v>
      </c>
      <c r="H1549" s="11" t="n">
        <v>2110405</v>
      </c>
      <c r="I1549" s="13" t="s">
        <v>34</v>
      </c>
      <c r="J1549" s="11" t="n">
        <v>1370645</v>
      </c>
      <c r="L1549" s="11" t="n">
        <v>213881</v>
      </c>
      <c r="M1549" s="13" t="s">
        <v>150</v>
      </c>
      <c r="N1549" s="13" t="s">
        <v>36</v>
      </c>
      <c r="P1549" s="11" t="n">
        <v>101</v>
      </c>
      <c r="Q1549" s="13" t="s">
        <v>37</v>
      </c>
      <c r="R1549" s="13" t="s">
        <v>72</v>
      </c>
      <c r="S1549" s="11" t="n">
        <v>4210315</v>
      </c>
      <c r="T1549" s="13" t="s">
        <v>438</v>
      </c>
      <c r="U1549" s="14" t="n">
        <v>166.52</v>
      </c>
      <c r="W1549" s="14" t="n">
        <v>0</v>
      </c>
      <c r="X1549" s="13" t="s">
        <v>1093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46248</v>
      </c>
      <c r="C1550" s="12" t="n">
        <v>46249</v>
      </c>
      <c r="D1550" s="11" t="n">
        <v>489</v>
      </c>
      <c r="E1550" s="13" t="s">
        <v>181</v>
      </c>
      <c r="F1550" s="11" t="n">
        <v>34</v>
      </c>
      <c r="G1550" s="13" t="s">
        <v>33</v>
      </c>
      <c r="H1550" s="11" t="n">
        <v>2110405</v>
      </c>
      <c r="I1550" s="13" t="s">
        <v>34</v>
      </c>
      <c r="J1550" s="11" t="n">
        <v>1547464</v>
      </c>
      <c r="L1550" s="11" t="n">
        <v>239881</v>
      </c>
      <c r="M1550" s="13" t="s">
        <v>44</v>
      </c>
      <c r="N1550" s="13" t="s">
        <v>36</v>
      </c>
      <c r="P1550" s="11" t="n">
        <v>167</v>
      </c>
      <c r="Q1550" s="13" t="s">
        <v>101</v>
      </c>
      <c r="R1550" s="13" t="s">
        <v>38</v>
      </c>
      <c r="S1550" s="11" t="n">
        <v>4210227</v>
      </c>
      <c r="T1550" s="13" t="s">
        <v>196</v>
      </c>
      <c r="U1550" s="14" t="n">
        <v>400</v>
      </c>
      <c r="W1550" s="14" t="n">
        <v>0</v>
      </c>
      <c r="X1550" s="13" t="s">
        <v>1555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46249</v>
      </c>
      <c r="C1551" s="12" t="n">
        <v>46249</v>
      </c>
      <c r="D1551" s="11" t="n">
        <v>42</v>
      </c>
      <c r="E1551" s="13" t="s">
        <v>80</v>
      </c>
      <c r="F1551" s="11" t="n">
        <v>13</v>
      </c>
      <c r="G1551" s="13" t="s">
        <v>81</v>
      </c>
      <c r="H1551" s="11" t="n">
        <v>2110101</v>
      </c>
      <c r="I1551" s="13" t="s">
        <v>43</v>
      </c>
      <c r="J1551" s="11" t="n">
        <v>1552235</v>
      </c>
      <c r="L1551" s="11" t="n">
        <v>4506</v>
      </c>
      <c r="M1551" s="13" t="s">
        <v>44</v>
      </c>
      <c r="N1551" s="13" t="s">
        <v>69</v>
      </c>
      <c r="P1551" s="11" t="n">
        <v>167</v>
      </c>
      <c r="Q1551" s="13" t="s">
        <v>101</v>
      </c>
      <c r="R1551" s="13" t="s">
        <v>46</v>
      </c>
      <c r="S1551" s="11" t="n">
        <v>1130101</v>
      </c>
      <c r="T1551" s="13" t="s">
        <v>47</v>
      </c>
      <c r="U1551" s="14" t="n">
        <v>308</v>
      </c>
      <c r="W1551" s="14" t="n">
        <v>308</v>
      </c>
      <c r="X1551" s="13" t="s">
        <v>772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46207</v>
      </c>
      <c r="C1552" s="12" t="n">
        <v>46251</v>
      </c>
      <c r="D1552" s="11" t="n">
        <v>1814</v>
      </c>
      <c r="E1552" s="13" t="s">
        <v>339</v>
      </c>
      <c r="F1552" s="11" t="n">
        <v>24</v>
      </c>
      <c r="G1552" s="13" t="s">
        <v>42</v>
      </c>
      <c r="H1552" s="11" t="n">
        <v>2110101</v>
      </c>
      <c r="I1552" s="13" t="s">
        <v>43</v>
      </c>
      <c r="J1552" s="11" t="n">
        <v>1348312</v>
      </c>
      <c r="L1552" s="11" t="n">
        <v>27252</v>
      </c>
      <c r="M1552" s="13" t="s">
        <v>150</v>
      </c>
      <c r="N1552" s="13" t="s">
        <v>69</v>
      </c>
      <c r="P1552" s="11" t="n">
        <v>167</v>
      </c>
      <c r="Q1552" s="13" t="s">
        <v>101</v>
      </c>
      <c r="R1552" s="13" t="s">
        <v>46</v>
      </c>
      <c r="S1552" s="11" t="n">
        <v>1130101</v>
      </c>
      <c r="T1552" s="13" t="s">
        <v>47</v>
      </c>
      <c r="U1552" s="14" t="n">
        <v>587.62</v>
      </c>
      <c r="W1552" s="14" t="n">
        <v>0</v>
      </c>
      <c r="X1552" s="13" t="s">
        <v>1556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46251</v>
      </c>
      <c r="D1553" s="11" t="n">
        <v>1778</v>
      </c>
      <c r="E1553" s="13" t="s">
        <v>116</v>
      </c>
      <c r="F1553" s="11" t="n">
        <v>24</v>
      </c>
      <c r="G1553" s="13" t="s">
        <v>42</v>
      </c>
      <c r="H1553" s="11" t="n">
        <v>2110405</v>
      </c>
      <c r="I1553" s="13" t="s">
        <v>34</v>
      </c>
      <c r="J1553" s="11" t="n">
        <v>1411762</v>
      </c>
      <c r="L1553" s="11" t="n">
        <v>163141621</v>
      </c>
      <c r="M1553" s="13" t="s">
        <v>44</v>
      </c>
      <c r="N1553" s="13" t="s">
        <v>36</v>
      </c>
      <c r="P1553" s="11" t="n">
        <v>167</v>
      </c>
      <c r="Q1553" s="13" t="s">
        <v>101</v>
      </c>
      <c r="R1553" s="13" t="s">
        <v>38</v>
      </c>
      <c r="S1553" s="11" t="n">
        <v>4210207</v>
      </c>
      <c r="T1553" s="13" t="s">
        <v>117</v>
      </c>
      <c r="U1553" s="14" t="n">
        <v>65.5</v>
      </c>
      <c r="W1553" s="14" t="n">
        <v>0</v>
      </c>
      <c r="X1553" s="13" t="s">
        <v>1557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46251</v>
      </c>
      <c r="D1554" s="11" t="n">
        <v>16</v>
      </c>
      <c r="E1554" s="13" t="s">
        <v>242</v>
      </c>
      <c r="F1554" s="11" t="n">
        <v>34</v>
      </c>
      <c r="G1554" s="13" t="s">
        <v>33</v>
      </c>
      <c r="H1554" s="11" t="n">
        <v>2110405</v>
      </c>
      <c r="I1554" s="13" t="s">
        <v>34</v>
      </c>
      <c r="J1554" s="11" t="n">
        <v>1415325</v>
      </c>
      <c r="L1554" s="11" t="n">
        <v>220522</v>
      </c>
      <c r="M1554" s="13" t="s">
        <v>44</v>
      </c>
      <c r="N1554" s="13" t="s">
        <v>36</v>
      </c>
      <c r="P1554" s="11" t="n">
        <v>101</v>
      </c>
      <c r="Q1554" s="13" t="s">
        <v>37</v>
      </c>
      <c r="R1554" s="13" t="s">
        <v>245</v>
      </c>
      <c r="S1554" s="11" t="n">
        <v>2210202</v>
      </c>
      <c r="T1554" s="13" t="s">
        <v>245</v>
      </c>
      <c r="U1554" s="14" t="n">
        <v>1000</v>
      </c>
      <c r="W1554" s="14" t="n">
        <v>0</v>
      </c>
      <c r="X1554" s="13" t="s">
        <v>1558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46224</v>
      </c>
      <c r="C1555" s="12" t="n">
        <v>46251</v>
      </c>
      <c r="D1555" s="11" t="n">
        <v>16</v>
      </c>
      <c r="E1555" s="13" t="s">
        <v>242</v>
      </c>
      <c r="F1555" s="11" t="n">
        <v>34</v>
      </c>
      <c r="G1555" s="13" t="s">
        <v>33</v>
      </c>
      <c r="H1555" s="11" t="n">
        <v>2110405</v>
      </c>
      <c r="I1555" s="13" t="s">
        <v>34</v>
      </c>
      <c r="J1555" s="11" t="n">
        <v>1428695</v>
      </c>
      <c r="L1555" s="11" t="n">
        <v>222991</v>
      </c>
      <c r="M1555" s="13" t="s">
        <v>44</v>
      </c>
      <c r="N1555" s="13" t="s">
        <v>36</v>
      </c>
      <c r="P1555" s="11" t="n">
        <v>101</v>
      </c>
      <c r="Q1555" s="13" t="s">
        <v>37</v>
      </c>
      <c r="R1555" s="13" t="s">
        <v>245</v>
      </c>
      <c r="S1555" s="11" t="n">
        <v>2210202</v>
      </c>
      <c r="T1555" s="13" t="s">
        <v>245</v>
      </c>
      <c r="U1555" s="14" t="n">
        <v>3000</v>
      </c>
      <c r="W1555" s="14" t="n">
        <v>0</v>
      </c>
      <c r="X1555" s="13" t="s">
        <v>1559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46225</v>
      </c>
      <c r="C1556" s="12" t="n">
        <v>46251</v>
      </c>
      <c r="D1556" s="11" t="n">
        <v>1815</v>
      </c>
      <c r="E1556" s="13" t="s">
        <v>53</v>
      </c>
      <c r="F1556" s="11" t="n">
        <v>24</v>
      </c>
      <c r="G1556" s="13" t="s">
        <v>42</v>
      </c>
      <c r="H1556" s="11" t="n">
        <v>2110405</v>
      </c>
      <c r="I1556" s="13" t="s">
        <v>34</v>
      </c>
      <c r="J1556" s="11" t="n">
        <v>1435878</v>
      </c>
      <c r="L1556" s="11" t="n">
        <v>4580363</v>
      </c>
      <c r="M1556" s="13" t="s">
        <v>44</v>
      </c>
      <c r="N1556" s="13" t="s">
        <v>36</v>
      </c>
      <c r="P1556" s="11" t="n">
        <v>167</v>
      </c>
      <c r="Q1556" s="13" t="s">
        <v>101</v>
      </c>
      <c r="R1556" s="13" t="s">
        <v>46</v>
      </c>
      <c r="S1556" s="11" t="n">
        <v>1130101</v>
      </c>
      <c r="T1556" s="13" t="s">
        <v>47</v>
      </c>
      <c r="U1556" s="14" t="n">
        <v>2067.28</v>
      </c>
      <c r="W1556" s="14" t="n">
        <v>0</v>
      </c>
      <c r="X1556" s="13" t="s">
        <v>1560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1" t="n">
        <v>3</v>
      </c>
      <c r="B1557" s="12" t="n">
        <v>46228</v>
      </c>
      <c r="C1557" s="12" t="n">
        <v>46251</v>
      </c>
      <c r="D1557" s="11" t="n">
        <v>1608</v>
      </c>
      <c r="E1557" s="13" t="s">
        <v>41</v>
      </c>
      <c r="F1557" s="11" t="n">
        <v>24</v>
      </c>
      <c r="G1557" s="13" t="s">
        <v>42</v>
      </c>
      <c r="H1557" s="11" t="n">
        <v>2110405</v>
      </c>
      <c r="I1557" s="13" t="s">
        <v>34</v>
      </c>
      <c r="J1557" s="11" t="n">
        <v>1458586</v>
      </c>
      <c r="L1557" s="11" t="n">
        <v>16998852</v>
      </c>
      <c r="M1557" s="13" t="s">
        <v>44</v>
      </c>
      <c r="N1557" s="13" t="s">
        <v>36</v>
      </c>
      <c r="P1557" s="11" t="n">
        <v>167</v>
      </c>
      <c r="Q1557" s="13" t="s">
        <v>101</v>
      </c>
      <c r="R1557" s="13" t="s">
        <v>46</v>
      </c>
      <c r="S1557" s="11" t="n">
        <v>1130101</v>
      </c>
      <c r="T1557" s="13" t="s">
        <v>47</v>
      </c>
      <c r="U1557" s="14" t="n">
        <v>418.68</v>
      </c>
      <c r="W1557" s="14" t="n">
        <v>0</v>
      </c>
      <c r="X1557" s="13" t="s">
        <v>1561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1" t="n">
        <v>3</v>
      </c>
      <c r="B1558" s="12" t="n">
        <v>46230</v>
      </c>
      <c r="C1558" s="12" t="n">
        <v>46251</v>
      </c>
      <c r="D1558" s="11" t="n">
        <v>1269</v>
      </c>
      <c r="E1558" s="13" t="s">
        <v>1368</v>
      </c>
      <c r="F1558" s="11" t="n">
        <v>24</v>
      </c>
      <c r="G1558" s="13" t="s">
        <v>42</v>
      </c>
      <c r="H1558" s="11" t="n">
        <v>2110405</v>
      </c>
      <c r="I1558" s="13" t="s">
        <v>34</v>
      </c>
      <c r="J1558" s="11" t="n">
        <v>1458706</v>
      </c>
      <c r="L1558" s="11" t="n">
        <v>43</v>
      </c>
      <c r="M1558" s="13" t="s">
        <v>44</v>
      </c>
      <c r="N1558" s="13" t="s">
        <v>36</v>
      </c>
      <c r="P1558" s="11" t="n">
        <v>167</v>
      </c>
      <c r="Q1558" s="13" t="s">
        <v>101</v>
      </c>
      <c r="R1558" s="13" t="s">
        <v>46</v>
      </c>
      <c r="S1558" s="11" t="n">
        <v>1130101</v>
      </c>
      <c r="T1558" s="13" t="s">
        <v>47</v>
      </c>
      <c r="U1558" s="14" t="n">
        <v>746.68</v>
      </c>
      <c r="W1558" s="14" t="n">
        <v>0</v>
      </c>
      <c r="X1558" s="13" t="s">
        <v>1562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1" t="n">
        <v>3</v>
      </c>
      <c r="B1559" s="12" t="n">
        <v>46231</v>
      </c>
      <c r="C1559" s="12" t="n">
        <v>46251</v>
      </c>
      <c r="D1559" s="11" t="n">
        <v>1354</v>
      </c>
      <c r="E1559" s="13" t="s">
        <v>1563</v>
      </c>
      <c r="F1559" s="11" t="n">
        <v>60</v>
      </c>
      <c r="G1559" s="13" t="s">
        <v>1564</v>
      </c>
      <c r="H1559" s="11" t="n">
        <v>2110405</v>
      </c>
      <c r="I1559" s="13" t="s">
        <v>34</v>
      </c>
      <c r="J1559" s="11" t="n">
        <v>1468267</v>
      </c>
      <c r="L1559" s="11" t="n">
        <v>1339</v>
      </c>
      <c r="M1559" s="13" t="s">
        <v>44</v>
      </c>
      <c r="N1559" s="13" t="s">
        <v>36</v>
      </c>
      <c r="P1559" s="11" t="n">
        <v>167</v>
      </c>
      <c r="Q1559" s="13" t="s">
        <v>101</v>
      </c>
      <c r="R1559" s="13" t="s">
        <v>38</v>
      </c>
      <c r="S1559" s="11" t="n">
        <v>4210227</v>
      </c>
      <c r="T1559" s="13" t="s">
        <v>196</v>
      </c>
      <c r="U1559" s="14" t="n">
        <v>121.66</v>
      </c>
      <c r="W1559" s="14" t="n">
        <v>0</v>
      </c>
      <c r="X1559" s="13" t="s">
        <v>1565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1" t="n">
        <v>3</v>
      </c>
      <c r="B1560" s="12" t="n">
        <v>46228</v>
      </c>
      <c r="C1560" s="12" t="n">
        <v>46251</v>
      </c>
      <c r="D1560" s="11" t="n">
        <v>1608</v>
      </c>
      <c r="E1560" s="13" t="s">
        <v>41</v>
      </c>
      <c r="F1560" s="11" t="n">
        <v>24</v>
      </c>
      <c r="G1560" s="13" t="s">
        <v>42</v>
      </c>
      <c r="H1560" s="11" t="n">
        <v>2110405</v>
      </c>
      <c r="I1560" s="13" t="s">
        <v>34</v>
      </c>
      <c r="J1560" s="11" t="n">
        <v>1468583</v>
      </c>
      <c r="L1560" s="11" t="n">
        <v>16995932</v>
      </c>
      <c r="M1560" s="13" t="s">
        <v>44</v>
      </c>
      <c r="N1560" s="13" t="s">
        <v>36</v>
      </c>
      <c r="P1560" s="11" t="n">
        <v>167</v>
      </c>
      <c r="Q1560" s="13" t="s">
        <v>101</v>
      </c>
      <c r="R1560" s="13" t="s">
        <v>46</v>
      </c>
      <c r="S1560" s="11" t="n">
        <v>1130101</v>
      </c>
      <c r="T1560" s="13" t="s">
        <v>47</v>
      </c>
      <c r="U1560" s="14" t="n">
        <v>903.47</v>
      </c>
      <c r="W1560" s="14" t="n">
        <v>0</v>
      </c>
      <c r="X1560" s="13" t="s">
        <v>1566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1" t="n">
        <v>3</v>
      </c>
      <c r="B1561" s="12" t="n">
        <v>46232</v>
      </c>
      <c r="C1561" s="12" t="n">
        <v>46251</v>
      </c>
      <c r="D1561" s="11" t="n">
        <v>1672</v>
      </c>
      <c r="E1561" s="13" t="s">
        <v>67</v>
      </c>
      <c r="F1561" s="11" t="n">
        <v>24</v>
      </c>
      <c r="G1561" s="13" t="s">
        <v>42</v>
      </c>
      <c r="H1561" s="11" t="n">
        <v>2110405</v>
      </c>
      <c r="I1561" s="13" t="s">
        <v>34</v>
      </c>
      <c r="J1561" s="11" t="n">
        <v>1472941</v>
      </c>
      <c r="L1561" s="11" t="n">
        <v>14071392</v>
      </c>
      <c r="M1561" s="13" t="s">
        <v>44</v>
      </c>
      <c r="N1561" s="13" t="s">
        <v>36</v>
      </c>
      <c r="P1561" s="11" t="n">
        <v>167</v>
      </c>
      <c r="Q1561" s="13" t="s">
        <v>101</v>
      </c>
      <c r="R1561" s="13" t="s">
        <v>46</v>
      </c>
      <c r="S1561" s="11" t="n">
        <v>1130101</v>
      </c>
      <c r="T1561" s="13" t="s">
        <v>47</v>
      </c>
      <c r="U1561" s="14" t="n">
        <v>537.5</v>
      </c>
      <c r="W1561" s="14" t="n">
        <v>0</v>
      </c>
      <c r="X1561" s="13" t="s">
        <v>1567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1" t="n">
        <v>3</v>
      </c>
      <c r="B1562" s="12" t="n">
        <v>46230</v>
      </c>
      <c r="C1562" s="12" t="n">
        <v>46251</v>
      </c>
      <c r="D1562" s="11" t="n">
        <v>10009</v>
      </c>
      <c r="E1562" s="13" t="s">
        <v>373</v>
      </c>
      <c r="F1562" s="11" t="n">
        <v>24</v>
      </c>
      <c r="G1562" s="13" t="s">
        <v>42</v>
      </c>
      <c r="H1562" s="11" t="n">
        <v>2110405</v>
      </c>
      <c r="I1562" s="13" t="s">
        <v>34</v>
      </c>
      <c r="J1562" s="11" t="n">
        <v>1477532</v>
      </c>
      <c r="L1562" s="11" t="n">
        <v>1431918</v>
      </c>
      <c r="M1562" s="13" t="s">
        <v>44</v>
      </c>
      <c r="N1562" s="13" t="s">
        <v>36</v>
      </c>
      <c r="P1562" s="11" t="n">
        <v>167</v>
      </c>
      <c r="Q1562" s="13" t="s">
        <v>101</v>
      </c>
      <c r="R1562" s="13" t="s">
        <v>46</v>
      </c>
      <c r="S1562" s="11" t="n">
        <v>1130101</v>
      </c>
      <c r="T1562" s="13" t="s">
        <v>47</v>
      </c>
      <c r="U1562" s="14" t="n">
        <v>742.93</v>
      </c>
      <c r="W1562" s="14" t="n">
        <v>0</v>
      </c>
      <c r="X1562" s="13" t="s">
        <v>1568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1" t="n">
        <v>3</v>
      </c>
      <c r="B1563" s="12" t="n">
        <v>46230</v>
      </c>
      <c r="C1563" s="12" t="n">
        <v>46251</v>
      </c>
      <c r="D1563" s="11" t="n">
        <v>10009</v>
      </c>
      <c r="E1563" s="13" t="s">
        <v>373</v>
      </c>
      <c r="F1563" s="11" t="n">
        <v>24</v>
      </c>
      <c r="G1563" s="13" t="s">
        <v>42</v>
      </c>
      <c r="H1563" s="11" t="n">
        <v>2110405</v>
      </c>
      <c r="I1563" s="13" t="s">
        <v>34</v>
      </c>
      <c r="J1563" s="11" t="n">
        <v>1477537</v>
      </c>
      <c r="L1563" s="11" t="n">
        <v>1432680</v>
      </c>
      <c r="M1563" s="13" t="s">
        <v>44</v>
      </c>
      <c r="N1563" s="13" t="s">
        <v>36</v>
      </c>
      <c r="P1563" s="11" t="n">
        <v>167</v>
      </c>
      <c r="Q1563" s="13" t="s">
        <v>101</v>
      </c>
      <c r="R1563" s="13" t="s">
        <v>46</v>
      </c>
      <c r="S1563" s="11" t="n">
        <v>1130101</v>
      </c>
      <c r="T1563" s="13" t="s">
        <v>47</v>
      </c>
      <c r="U1563" s="14" t="n">
        <v>1015.17</v>
      </c>
      <c r="W1563" s="14" t="n">
        <v>0</v>
      </c>
      <c r="X1563" s="13" t="s">
        <v>1569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1" t="n">
        <v>3</v>
      </c>
      <c r="B1564" s="12" t="n">
        <v>46237</v>
      </c>
      <c r="C1564" s="12" t="n">
        <v>46251</v>
      </c>
      <c r="D1564" s="11" t="n">
        <v>1723</v>
      </c>
      <c r="E1564" s="13" t="s">
        <v>76</v>
      </c>
      <c r="F1564" s="11" t="n">
        <v>24</v>
      </c>
      <c r="G1564" s="13" t="s">
        <v>42</v>
      </c>
      <c r="H1564" s="11" t="n">
        <v>2110405</v>
      </c>
      <c r="I1564" s="13" t="s">
        <v>34</v>
      </c>
      <c r="J1564" s="11" t="n">
        <v>1493479</v>
      </c>
      <c r="L1564" s="11" t="n">
        <v>58429</v>
      </c>
      <c r="M1564" s="13" t="s">
        <v>44</v>
      </c>
      <c r="N1564" s="13" t="s">
        <v>36</v>
      </c>
      <c r="P1564" s="11" t="n">
        <v>167</v>
      </c>
      <c r="Q1564" s="13" t="s">
        <v>101</v>
      </c>
      <c r="R1564" s="13" t="s">
        <v>46</v>
      </c>
      <c r="S1564" s="11" t="n">
        <v>1130101</v>
      </c>
      <c r="T1564" s="13" t="s">
        <v>47</v>
      </c>
      <c r="U1564" s="14" t="n">
        <v>3287</v>
      </c>
      <c r="W1564" s="14" t="n">
        <v>0</v>
      </c>
      <c r="X1564" s="13" t="s">
        <v>1570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46234</v>
      </c>
      <c r="C1565" s="12" t="n">
        <v>46251</v>
      </c>
      <c r="D1565" s="11" t="n">
        <v>1666</v>
      </c>
      <c r="E1565" s="13" t="s">
        <v>212</v>
      </c>
      <c r="F1565" s="11" t="n">
        <v>24</v>
      </c>
      <c r="G1565" s="13" t="s">
        <v>42</v>
      </c>
      <c r="H1565" s="11" t="n">
        <v>2110405</v>
      </c>
      <c r="I1565" s="13" t="s">
        <v>34</v>
      </c>
      <c r="J1565" s="11" t="n">
        <v>1495100</v>
      </c>
      <c r="L1565" s="11" t="n">
        <v>5686652</v>
      </c>
      <c r="M1565" s="13" t="s">
        <v>44</v>
      </c>
      <c r="N1565" s="13" t="s">
        <v>36</v>
      </c>
      <c r="P1565" s="11" t="n">
        <v>167</v>
      </c>
      <c r="Q1565" s="13" t="s">
        <v>101</v>
      </c>
      <c r="R1565" s="13" t="s">
        <v>46</v>
      </c>
      <c r="S1565" s="11" t="n">
        <v>1130101</v>
      </c>
      <c r="T1565" s="13" t="s">
        <v>47</v>
      </c>
      <c r="U1565" s="14" t="n">
        <v>2964.56</v>
      </c>
      <c r="W1565" s="14" t="n">
        <v>0</v>
      </c>
      <c r="X1565" s="13" t="s">
        <v>1571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1" t="n">
        <v>3</v>
      </c>
      <c r="B1566" s="12" t="n">
        <v>46233</v>
      </c>
      <c r="C1566" s="12" t="n">
        <v>46251</v>
      </c>
      <c r="D1566" s="11" t="n">
        <v>1636</v>
      </c>
      <c r="E1566" s="13" t="s">
        <v>49</v>
      </c>
      <c r="F1566" s="11" t="n">
        <v>24</v>
      </c>
      <c r="G1566" s="13" t="s">
        <v>42</v>
      </c>
      <c r="H1566" s="11" t="n">
        <v>2110405</v>
      </c>
      <c r="I1566" s="13" t="s">
        <v>34</v>
      </c>
      <c r="J1566" s="11" t="n">
        <v>1495385</v>
      </c>
      <c r="L1566" s="11" t="n">
        <v>32292541</v>
      </c>
      <c r="M1566" s="13" t="s">
        <v>44</v>
      </c>
      <c r="N1566" s="13" t="s">
        <v>36</v>
      </c>
      <c r="P1566" s="11" t="n">
        <v>167</v>
      </c>
      <c r="Q1566" s="13" t="s">
        <v>101</v>
      </c>
      <c r="R1566" s="13" t="s">
        <v>46</v>
      </c>
      <c r="S1566" s="11" t="n">
        <v>1130101</v>
      </c>
      <c r="T1566" s="13" t="s">
        <v>47</v>
      </c>
      <c r="U1566" s="14" t="n">
        <v>947.74</v>
      </c>
      <c r="W1566" s="14" t="n">
        <v>0</v>
      </c>
      <c r="X1566" s="13" t="s">
        <v>1572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1" t="n">
        <v>3</v>
      </c>
      <c r="B1567" s="12" t="n">
        <v>46237</v>
      </c>
      <c r="C1567" s="12" t="n">
        <v>46251</v>
      </c>
      <c r="D1567" s="11" t="n">
        <v>846</v>
      </c>
      <c r="E1567" s="13" t="s">
        <v>262</v>
      </c>
      <c r="F1567" s="11" t="n">
        <v>24</v>
      </c>
      <c r="G1567" s="13" t="s">
        <v>42</v>
      </c>
      <c r="H1567" s="11" t="n">
        <v>2110405</v>
      </c>
      <c r="I1567" s="13" t="s">
        <v>34</v>
      </c>
      <c r="J1567" s="11" t="n">
        <v>1498612</v>
      </c>
      <c r="L1567" s="11" t="n">
        <v>8461</v>
      </c>
      <c r="M1567" s="13" t="s">
        <v>44</v>
      </c>
      <c r="N1567" s="13" t="s">
        <v>36</v>
      </c>
      <c r="P1567" s="11" t="n">
        <v>167</v>
      </c>
      <c r="Q1567" s="13" t="s">
        <v>101</v>
      </c>
      <c r="R1567" s="13" t="s">
        <v>46</v>
      </c>
      <c r="S1567" s="11" t="n">
        <v>1130101</v>
      </c>
      <c r="T1567" s="13" t="s">
        <v>47</v>
      </c>
      <c r="U1567" s="14" t="n">
        <v>538.21</v>
      </c>
      <c r="W1567" s="14" t="n">
        <v>0</v>
      </c>
      <c r="X1567" s="13" t="s">
        <v>1573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1" t="n">
        <v>3</v>
      </c>
      <c r="B1568" s="12" t="n">
        <v>46239</v>
      </c>
      <c r="C1568" s="12" t="n">
        <v>46251</v>
      </c>
      <c r="D1568" s="11" t="n">
        <v>1613</v>
      </c>
      <c r="E1568" s="13" t="s">
        <v>177</v>
      </c>
      <c r="F1568" s="11" t="n">
        <v>24</v>
      </c>
      <c r="G1568" s="13" t="s">
        <v>42</v>
      </c>
      <c r="H1568" s="11" t="n">
        <v>2110405</v>
      </c>
      <c r="I1568" s="13" t="s">
        <v>34</v>
      </c>
      <c r="J1568" s="11" t="n">
        <v>1504630</v>
      </c>
      <c r="L1568" s="11" t="n">
        <v>16155702</v>
      </c>
      <c r="M1568" s="13" t="s">
        <v>44</v>
      </c>
      <c r="N1568" s="13" t="s">
        <v>36</v>
      </c>
      <c r="P1568" s="11" t="n">
        <v>167</v>
      </c>
      <c r="Q1568" s="13" t="s">
        <v>101</v>
      </c>
      <c r="R1568" s="13" t="s">
        <v>46</v>
      </c>
      <c r="S1568" s="11" t="n">
        <v>1130101</v>
      </c>
      <c r="T1568" s="13" t="s">
        <v>47</v>
      </c>
      <c r="U1568" s="14" t="n">
        <v>1173.52</v>
      </c>
      <c r="W1568" s="14" t="n">
        <v>0</v>
      </c>
      <c r="X1568" s="13" t="s">
        <v>1574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1" t="n">
        <v>3</v>
      </c>
      <c r="B1569" s="12" t="n">
        <v>46244</v>
      </c>
      <c r="C1569" s="12" t="n">
        <v>46251</v>
      </c>
      <c r="D1569" s="11" t="n">
        <v>1723</v>
      </c>
      <c r="E1569" s="13" t="s">
        <v>76</v>
      </c>
      <c r="F1569" s="11" t="n">
        <v>24</v>
      </c>
      <c r="G1569" s="13" t="s">
        <v>42</v>
      </c>
      <c r="H1569" s="11" t="n">
        <v>2110405</v>
      </c>
      <c r="I1569" s="13" t="s">
        <v>34</v>
      </c>
      <c r="J1569" s="11" t="n">
        <v>1530176</v>
      </c>
      <c r="L1569" s="11" t="n">
        <v>591831</v>
      </c>
      <c r="M1569" s="13" t="s">
        <v>44</v>
      </c>
      <c r="N1569" s="13" t="s">
        <v>36</v>
      </c>
      <c r="P1569" s="11" t="n">
        <v>167</v>
      </c>
      <c r="Q1569" s="13" t="s">
        <v>101</v>
      </c>
      <c r="R1569" s="13" t="s">
        <v>46</v>
      </c>
      <c r="S1569" s="11" t="n">
        <v>1130101</v>
      </c>
      <c r="T1569" s="13" t="s">
        <v>47</v>
      </c>
      <c r="U1569" s="14" t="n">
        <v>1642.3</v>
      </c>
      <c r="W1569" s="14" t="n">
        <v>0</v>
      </c>
      <c r="X1569" s="13" t="s">
        <v>1575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1" t="n">
        <v>3</v>
      </c>
      <c r="B1570" s="12" t="n">
        <v>46245</v>
      </c>
      <c r="C1570" s="12" t="n">
        <v>46251</v>
      </c>
      <c r="D1570" s="11" t="n">
        <v>42</v>
      </c>
      <c r="E1570" s="13" t="s">
        <v>80</v>
      </c>
      <c r="F1570" s="11" t="n">
        <v>34</v>
      </c>
      <c r="G1570" s="13" t="s">
        <v>33</v>
      </c>
      <c r="H1570" s="11" t="n">
        <v>2110101</v>
      </c>
      <c r="I1570" s="13" t="s">
        <v>43</v>
      </c>
      <c r="J1570" s="11" t="n">
        <v>1531906</v>
      </c>
      <c r="L1570" s="11" t="n">
        <v>4487</v>
      </c>
      <c r="M1570" s="13" t="s">
        <v>44</v>
      </c>
      <c r="N1570" s="13" t="s">
        <v>69</v>
      </c>
      <c r="P1570" s="11" t="n">
        <v>167</v>
      </c>
      <c r="Q1570" s="13" t="s">
        <v>101</v>
      </c>
      <c r="R1570" s="13" t="s">
        <v>46</v>
      </c>
      <c r="S1570" s="11" t="n">
        <v>1130101</v>
      </c>
      <c r="T1570" s="13" t="s">
        <v>47</v>
      </c>
      <c r="U1570" s="14" t="n">
        <v>300</v>
      </c>
      <c r="W1570" s="14" t="n">
        <v>0</v>
      </c>
      <c r="X1570" s="13" t="s">
        <v>1576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46251</v>
      </c>
      <c r="C1571" s="12" t="n">
        <v>46251</v>
      </c>
      <c r="D1571" s="11" t="n">
        <v>42</v>
      </c>
      <c r="E1571" s="13" t="s">
        <v>80</v>
      </c>
      <c r="F1571" s="11" t="n">
        <v>13</v>
      </c>
      <c r="G1571" s="13" t="s">
        <v>81</v>
      </c>
      <c r="H1571" s="11" t="n">
        <v>2110101</v>
      </c>
      <c r="I1571" s="13" t="s">
        <v>43</v>
      </c>
      <c r="J1571" s="11" t="n">
        <v>1560742</v>
      </c>
      <c r="L1571" s="11" t="n">
        <v>4507</v>
      </c>
      <c r="M1571" s="13" t="s">
        <v>44</v>
      </c>
      <c r="N1571" s="13" t="s">
        <v>69</v>
      </c>
      <c r="P1571" s="11" t="n">
        <v>167</v>
      </c>
      <c r="Q1571" s="13" t="s">
        <v>101</v>
      </c>
      <c r="R1571" s="13" t="s">
        <v>46</v>
      </c>
      <c r="S1571" s="11" t="n">
        <v>1130101</v>
      </c>
      <c r="T1571" s="13" t="s">
        <v>47</v>
      </c>
      <c r="U1571" s="14" t="n">
        <v>128</v>
      </c>
      <c r="W1571" s="14" t="n">
        <v>128</v>
      </c>
      <c r="X1571" s="13" t="s">
        <v>1577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1" t="n">
        <v>3</v>
      </c>
      <c r="B1572" s="12" t="n">
        <v>46251</v>
      </c>
      <c r="C1572" s="12" t="n">
        <v>46251</v>
      </c>
      <c r="D1572" s="11" t="n">
        <v>42</v>
      </c>
      <c r="E1572" s="13" t="s">
        <v>80</v>
      </c>
      <c r="F1572" s="11" t="n">
        <v>13</v>
      </c>
      <c r="G1572" s="13" t="s">
        <v>81</v>
      </c>
      <c r="H1572" s="11" t="n">
        <v>2110101</v>
      </c>
      <c r="I1572" s="13" t="s">
        <v>43</v>
      </c>
      <c r="J1572" s="11" t="n">
        <v>1560801</v>
      </c>
      <c r="L1572" s="11" t="n">
        <v>4508</v>
      </c>
      <c r="M1572" s="13" t="s">
        <v>44</v>
      </c>
      <c r="N1572" s="13" t="s">
        <v>69</v>
      </c>
      <c r="P1572" s="11" t="n">
        <v>167</v>
      </c>
      <c r="Q1572" s="13" t="s">
        <v>101</v>
      </c>
      <c r="R1572" s="13" t="s">
        <v>46</v>
      </c>
      <c r="S1572" s="11" t="n">
        <v>1130101</v>
      </c>
      <c r="T1572" s="13" t="s">
        <v>47</v>
      </c>
      <c r="U1572" s="14" t="n">
        <v>125</v>
      </c>
      <c r="W1572" s="14" t="n">
        <v>125</v>
      </c>
      <c r="X1572" s="13" t="s">
        <v>1192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1" t="n">
        <v>3</v>
      </c>
      <c r="B1573" s="12" t="n">
        <v>46250</v>
      </c>
      <c r="C1573" s="12" t="n">
        <v>46251</v>
      </c>
      <c r="D1573" s="11" t="n">
        <v>1936</v>
      </c>
      <c r="E1573" s="13" t="s">
        <v>78</v>
      </c>
      <c r="F1573" s="11" t="n">
        <v>24</v>
      </c>
      <c r="G1573" s="13" t="s">
        <v>42</v>
      </c>
      <c r="H1573" s="11" t="n">
        <v>2110405</v>
      </c>
      <c r="I1573" s="13" t="s">
        <v>34</v>
      </c>
      <c r="J1573" s="11" t="n">
        <v>1562523</v>
      </c>
      <c r="L1573" s="11" t="n">
        <v>241936</v>
      </c>
      <c r="M1573" s="13" t="s">
        <v>44</v>
      </c>
      <c r="N1573" s="13" t="s">
        <v>36</v>
      </c>
      <c r="P1573" s="11" t="n">
        <v>167</v>
      </c>
      <c r="Q1573" s="13" t="s">
        <v>101</v>
      </c>
      <c r="R1573" s="13" t="s">
        <v>46</v>
      </c>
      <c r="S1573" s="11" t="n">
        <v>1130101</v>
      </c>
      <c r="T1573" s="13" t="s">
        <v>47</v>
      </c>
      <c r="U1573" s="14" t="n">
        <v>459.94</v>
      </c>
      <c r="W1573" s="14" t="n">
        <v>0</v>
      </c>
      <c r="X1573" s="13" t="s">
        <v>1578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1" t="n">
        <v>3</v>
      </c>
      <c r="B1574" s="12" t="n">
        <v>46234</v>
      </c>
      <c r="C1574" s="12" t="n">
        <v>46251</v>
      </c>
      <c r="D1574" s="11" t="n">
        <v>1608</v>
      </c>
      <c r="E1574" s="13" t="s">
        <v>41</v>
      </c>
      <c r="F1574" s="11" t="n">
        <v>24</v>
      </c>
      <c r="G1574" s="13" t="s">
        <v>42</v>
      </c>
      <c r="H1574" s="11" t="n">
        <v>2110405</v>
      </c>
      <c r="I1574" s="13" t="s">
        <v>34</v>
      </c>
      <c r="J1574" s="11" t="n">
        <v>1566100</v>
      </c>
      <c r="L1574" s="11" t="n">
        <v>242366</v>
      </c>
      <c r="M1574" s="13" t="s">
        <v>44</v>
      </c>
      <c r="N1574" s="13" t="s">
        <v>36</v>
      </c>
      <c r="P1574" s="11" t="n">
        <v>167</v>
      </c>
      <c r="Q1574" s="13" t="s">
        <v>101</v>
      </c>
      <c r="R1574" s="13" t="s">
        <v>46</v>
      </c>
      <c r="S1574" s="11" t="n">
        <v>1130101</v>
      </c>
      <c r="T1574" s="13" t="s">
        <v>47</v>
      </c>
      <c r="U1574" s="14" t="n">
        <v>166.32</v>
      </c>
      <c r="W1574" s="14" t="n">
        <v>0</v>
      </c>
      <c r="X1574" s="13" t="s">
        <v>1579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1" t="n">
        <v>3</v>
      </c>
      <c r="B1575" s="12" t="n">
        <v>46251</v>
      </c>
      <c r="C1575" s="12" t="n">
        <v>46251</v>
      </c>
      <c r="D1575" s="11" t="n">
        <v>515</v>
      </c>
      <c r="E1575" s="13" t="s">
        <v>105</v>
      </c>
      <c r="F1575" s="11" t="n">
        <v>34</v>
      </c>
      <c r="G1575" s="13" t="s">
        <v>33</v>
      </c>
      <c r="H1575" s="11" t="n">
        <v>2110405</v>
      </c>
      <c r="I1575" s="13" t="s">
        <v>34</v>
      </c>
      <c r="J1575" s="11" t="n">
        <v>1567604</v>
      </c>
      <c r="L1575" s="11" t="n">
        <v>242501</v>
      </c>
      <c r="M1575" s="13" t="s">
        <v>44</v>
      </c>
      <c r="N1575" s="13" t="s">
        <v>36</v>
      </c>
      <c r="P1575" s="11" t="n">
        <v>102</v>
      </c>
      <c r="Q1575" s="13" t="s">
        <v>186</v>
      </c>
      <c r="R1575" s="13" t="s">
        <v>85</v>
      </c>
      <c r="S1575" s="11" t="n">
        <v>4210504</v>
      </c>
      <c r="T1575" s="13" t="s">
        <v>142</v>
      </c>
      <c r="U1575" s="14" t="n">
        <v>165</v>
      </c>
      <c r="W1575" s="14" t="n">
        <v>0</v>
      </c>
      <c r="X1575" s="13" t="s">
        <v>1580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1" t="n">
        <v>3</v>
      </c>
      <c r="B1576" s="12" t="n">
        <v>46251</v>
      </c>
      <c r="C1576" s="12" t="n">
        <v>46251</v>
      </c>
      <c r="D1576" s="11" t="n">
        <v>515</v>
      </c>
      <c r="E1576" s="13" t="s">
        <v>105</v>
      </c>
      <c r="F1576" s="11" t="n">
        <v>34</v>
      </c>
      <c r="G1576" s="13" t="s">
        <v>33</v>
      </c>
      <c r="H1576" s="11" t="n">
        <v>2110405</v>
      </c>
      <c r="I1576" s="13" t="s">
        <v>34</v>
      </c>
      <c r="J1576" s="11" t="n">
        <v>1567606</v>
      </c>
      <c r="L1576" s="11" t="n">
        <v>242502</v>
      </c>
      <c r="M1576" s="13" t="s">
        <v>44</v>
      </c>
      <c r="N1576" s="13" t="s">
        <v>36</v>
      </c>
      <c r="P1576" s="11" t="n">
        <v>102</v>
      </c>
      <c r="Q1576" s="13" t="s">
        <v>186</v>
      </c>
      <c r="R1576" s="13" t="s">
        <v>85</v>
      </c>
      <c r="S1576" s="11" t="n">
        <v>4210502</v>
      </c>
      <c r="T1576" s="13" t="s">
        <v>187</v>
      </c>
      <c r="U1576" s="14" t="n">
        <v>3165.78</v>
      </c>
      <c r="W1576" s="14" t="n">
        <v>0</v>
      </c>
      <c r="X1576" s="13" t="s">
        <v>1581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1" t="n">
        <v>3</v>
      </c>
      <c r="B1577" s="12" t="n">
        <v>45950</v>
      </c>
      <c r="C1577" s="12" t="n">
        <v>46252</v>
      </c>
      <c r="D1577" s="11" t="n">
        <v>515</v>
      </c>
      <c r="E1577" s="13" t="s">
        <v>105</v>
      </c>
      <c r="F1577" s="11" t="n">
        <v>34</v>
      </c>
      <c r="G1577" s="13" t="s">
        <v>33</v>
      </c>
      <c r="H1577" s="11" t="n">
        <v>2110405</v>
      </c>
      <c r="I1577" s="13" t="s">
        <v>34</v>
      </c>
      <c r="J1577" s="11" t="n">
        <v>546000</v>
      </c>
      <c r="L1577" s="11" t="n">
        <v>85577</v>
      </c>
      <c r="M1577" s="13" t="s">
        <v>1582</v>
      </c>
      <c r="N1577" s="13" t="s">
        <v>36</v>
      </c>
      <c r="P1577" s="11" t="n">
        <v>101</v>
      </c>
      <c r="Q1577" s="13" t="s">
        <v>37</v>
      </c>
      <c r="R1577" s="13" t="s">
        <v>38</v>
      </c>
      <c r="S1577" s="11" t="n">
        <v>4210210</v>
      </c>
      <c r="T1577" s="13" t="s">
        <v>39</v>
      </c>
      <c r="U1577" s="14" t="n">
        <v>45.73</v>
      </c>
      <c r="W1577" s="14" t="n">
        <v>45.73</v>
      </c>
      <c r="X1577" s="13" t="s">
        <v>1583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46009</v>
      </c>
      <c r="C1578" s="12" t="n">
        <v>46252</v>
      </c>
      <c r="D1578" s="11" t="n">
        <v>515</v>
      </c>
      <c r="E1578" s="13" t="s">
        <v>105</v>
      </c>
      <c r="F1578" s="11" t="n">
        <v>34</v>
      </c>
      <c r="G1578" s="13" t="s">
        <v>33</v>
      </c>
      <c r="H1578" s="11" t="n">
        <v>2110405</v>
      </c>
      <c r="I1578" s="13" t="s">
        <v>34</v>
      </c>
      <c r="J1578" s="11" t="n">
        <v>818253</v>
      </c>
      <c r="L1578" s="11" t="n">
        <v>129421</v>
      </c>
      <c r="M1578" s="13" t="s">
        <v>1147</v>
      </c>
      <c r="N1578" s="13" t="s">
        <v>36</v>
      </c>
      <c r="P1578" s="11" t="n">
        <v>102</v>
      </c>
      <c r="Q1578" s="13" t="s">
        <v>186</v>
      </c>
      <c r="R1578" s="13" t="s">
        <v>139</v>
      </c>
      <c r="S1578" s="11" t="n">
        <v>2110901</v>
      </c>
      <c r="T1578" s="13" t="s">
        <v>140</v>
      </c>
      <c r="U1578" s="14" t="n">
        <v>2090.82</v>
      </c>
      <c r="W1578" s="14" t="n">
        <v>2090.82</v>
      </c>
      <c r="X1578" s="13" t="s">
        <v>1584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46206</v>
      </c>
      <c r="C1579" s="12" t="n">
        <v>46252</v>
      </c>
      <c r="D1579" s="11" t="n">
        <v>33</v>
      </c>
      <c r="E1579" s="13" t="s">
        <v>71</v>
      </c>
      <c r="F1579" s="11" t="n">
        <v>34</v>
      </c>
      <c r="G1579" s="13" t="s">
        <v>33</v>
      </c>
      <c r="H1579" s="11" t="n">
        <v>2110405</v>
      </c>
      <c r="I1579" s="13" t="s">
        <v>34</v>
      </c>
      <c r="J1579" s="11" t="n">
        <v>1345342</v>
      </c>
      <c r="L1579" s="11" t="n">
        <v>210000</v>
      </c>
      <c r="M1579" s="13" t="s">
        <v>150</v>
      </c>
      <c r="N1579" s="13" t="s">
        <v>36</v>
      </c>
      <c r="P1579" s="11" t="n">
        <v>101</v>
      </c>
      <c r="Q1579" s="13" t="s">
        <v>37</v>
      </c>
      <c r="R1579" s="13" t="s">
        <v>38</v>
      </c>
      <c r="S1579" s="11" t="n">
        <v>4210203</v>
      </c>
      <c r="T1579" s="13" t="s">
        <v>817</v>
      </c>
      <c r="U1579" s="14" t="n">
        <v>373.79</v>
      </c>
      <c r="W1579" s="14" t="n">
        <v>373.79</v>
      </c>
      <c r="X1579" s="13" t="s">
        <v>1140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46224</v>
      </c>
      <c r="C1580" s="12" t="n">
        <v>46252</v>
      </c>
      <c r="D1580" s="11" t="n">
        <v>1921</v>
      </c>
      <c r="E1580" s="13" t="s">
        <v>247</v>
      </c>
      <c r="F1580" s="11" t="n">
        <v>24</v>
      </c>
      <c r="G1580" s="13" t="s">
        <v>42</v>
      </c>
      <c r="H1580" s="11" t="n">
        <v>2110405</v>
      </c>
      <c r="I1580" s="13" t="s">
        <v>34</v>
      </c>
      <c r="J1580" s="11" t="n">
        <v>1427664</v>
      </c>
      <c r="L1580" s="11" t="n">
        <v>134393</v>
      </c>
      <c r="M1580" s="13" t="s">
        <v>44</v>
      </c>
      <c r="N1580" s="13" t="s">
        <v>36</v>
      </c>
      <c r="P1580" s="11" t="n">
        <v>167</v>
      </c>
      <c r="Q1580" s="13" t="s">
        <v>101</v>
      </c>
      <c r="R1580" s="13" t="s">
        <v>46</v>
      </c>
      <c r="S1580" s="11" t="n">
        <v>1130101</v>
      </c>
      <c r="T1580" s="13" t="s">
        <v>47</v>
      </c>
      <c r="U1580" s="14" t="n">
        <v>360.16</v>
      </c>
      <c r="W1580" s="14" t="n">
        <v>360.16</v>
      </c>
      <c r="X1580" s="13" t="s">
        <v>1585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1" t="n">
        <v>3</v>
      </c>
      <c r="B1581" s="12" t="n">
        <v>46224</v>
      </c>
      <c r="C1581" s="12" t="n">
        <v>46252</v>
      </c>
      <c r="D1581" s="11" t="n">
        <v>1636</v>
      </c>
      <c r="E1581" s="13" t="s">
        <v>49</v>
      </c>
      <c r="F1581" s="11" t="n">
        <v>24</v>
      </c>
      <c r="G1581" s="13" t="s">
        <v>42</v>
      </c>
      <c r="H1581" s="11" t="n">
        <v>2110101</v>
      </c>
      <c r="I1581" s="13" t="s">
        <v>43</v>
      </c>
      <c r="J1581" s="11" t="n">
        <v>1448434</v>
      </c>
      <c r="L1581" s="11" t="n">
        <v>32235723</v>
      </c>
      <c r="M1581" s="13" t="s">
        <v>44</v>
      </c>
      <c r="N1581" s="13" t="s">
        <v>36</v>
      </c>
      <c r="P1581" s="11" t="n">
        <v>167</v>
      </c>
      <c r="Q1581" s="13" t="s">
        <v>101</v>
      </c>
      <c r="R1581" s="13" t="s">
        <v>46</v>
      </c>
      <c r="S1581" s="11" t="n">
        <v>1130101</v>
      </c>
      <c r="T1581" s="13" t="s">
        <v>47</v>
      </c>
      <c r="U1581" s="14" t="n">
        <v>289.19</v>
      </c>
      <c r="W1581" s="14" t="n">
        <v>289.19</v>
      </c>
      <c r="X1581" s="13" t="s">
        <v>1586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1" t="n">
        <v>3</v>
      </c>
      <c r="B1582" s="12" t="n">
        <v>46231</v>
      </c>
      <c r="C1582" s="12" t="n">
        <v>46252</v>
      </c>
      <c r="D1582" s="11" t="n">
        <v>1740</v>
      </c>
      <c r="E1582" s="13" t="s">
        <v>170</v>
      </c>
      <c r="F1582" s="11" t="n">
        <v>24</v>
      </c>
      <c r="G1582" s="13" t="s">
        <v>42</v>
      </c>
      <c r="H1582" s="11" t="n">
        <v>2110405</v>
      </c>
      <c r="I1582" s="13" t="s">
        <v>34</v>
      </c>
      <c r="J1582" s="11" t="n">
        <v>1468604</v>
      </c>
      <c r="L1582" s="11" t="n">
        <v>12522442</v>
      </c>
      <c r="M1582" s="13" t="s">
        <v>44</v>
      </c>
      <c r="N1582" s="13" t="s">
        <v>36</v>
      </c>
      <c r="P1582" s="11" t="n">
        <v>167</v>
      </c>
      <c r="Q1582" s="13" t="s">
        <v>101</v>
      </c>
      <c r="R1582" s="13" t="s">
        <v>46</v>
      </c>
      <c r="S1582" s="11" t="n">
        <v>1130101</v>
      </c>
      <c r="T1582" s="13" t="s">
        <v>47</v>
      </c>
      <c r="U1582" s="14" t="n">
        <v>676.45</v>
      </c>
      <c r="W1582" s="14" t="n">
        <v>676.45</v>
      </c>
      <c r="X1582" s="13" t="s">
        <v>1587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1" t="n">
        <v>3</v>
      </c>
      <c r="B1583" s="12" t="n">
        <v>46231</v>
      </c>
      <c r="C1583" s="12" t="n">
        <v>46252</v>
      </c>
      <c r="D1583" s="11" t="n">
        <v>1749</v>
      </c>
      <c r="E1583" s="13" t="s">
        <v>266</v>
      </c>
      <c r="F1583" s="11" t="n">
        <v>24</v>
      </c>
      <c r="G1583" s="13" t="s">
        <v>42</v>
      </c>
      <c r="H1583" s="11" t="n">
        <v>2110405</v>
      </c>
      <c r="I1583" s="13" t="s">
        <v>34</v>
      </c>
      <c r="J1583" s="11" t="n">
        <v>1473015</v>
      </c>
      <c r="L1583" s="11" t="n">
        <v>34683</v>
      </c>
      <c r="M1583" s="13" t="s">
        <v>44</v>
      </c>
      <c r="N1583" s="13" t="s">
        <v>36</v>
      </c>
      <c r="P1583" s="11" t="n">
        <v>167</v>
      </c>
      <c r="Q1583" s="13" t="s">
        <v>101</v>
      </c>
      <c r="R1583" s="13" t="s">
        <v>46</v>
      </c>
      <c r="S1583" s="11" t="n">
        <v>1130101</v>
      </c>
      <c r="T1583" s="13" t="s">
        <v>47</v>
      </c>
      <c r="U1583" s="14" t="n">
        <v>1399.08</v>
      </c>
      <c r="W1583" s="14" t="n">
        <v>1399.08</v>
      </c>
      <c r="X1583" s="13" t="s">
        <v>1588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1" t="n">
        <v>3</v>
      </c>
      <c r="B1584" s="12" t="n">
        <v>46233</v>
      </c>
      <c r="C1584" s="12" t="n">
        <v>46252</v>
      </c>
      <c r="D1584" s="11" t="n">
        <v>1613</v>
      </c>
      <c r="E1584" s="13" t="s">
        <v>177</v>
      </c>
      <c r="F1584" s="11" t="n">
        <v>24</v>
      </c>
      <c r="G1584" s="13" t="s">
        <v>42</v>
      </c>
      <c r="H1584" s="11" t="n">
        <v>2110405</v>
      </c>
      <c r="I1584" s="13" t="s">
        <v>34</v>
      </c>
      <c r="J1584" s="11" t="n">
        <v>1473814</v>
      </c>
      <c r="L1584" s="11" t="n">
        <v>16135173</v>
      </c>
      <c r="M1584" s="13" t="s">
        <v>44</v>
      </c>
      <c r="N1584" s="13" t="s">
        <v>36</v>
      </c>
      <c r="P1584" s="11" t="n">
        <v>167</v>
      </c>
      <c r="Q1584" s="13" t="s">
        <v>101</v>
      </c>
      <c r="R1584" s="13" t="s">
        <v>46</v>
      </c>
      <c r="S1584" s="11" t="n">
        <v>1130101</v>
      </c>
      <c r="T1584" s="13" t="s">
        <v>47</v>
      </c>
      <c r="U1584" s="14" t="n">
        <v>1468.46</v>
      </c>
      <c r="W1584" s="14" t="n">
        <v>1468.46</v>
      </c>
      <c r="X1584" s="13" t="s">
        <v>1589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1" t="n">
        <v>3</v>
      </c>
      <c r="B1585" s="12" t="n">
        <v>46238</v>
      </c>
      <c r="C1585" s="12" t="n">
        <v>46252</v>
      </c>
      <c r="D1585" s="11" t="n">
        <v>1656</v>
      </c>
      <c r="E1585" s="13" t="s">
        <v>260</v>
      </c>
      <c r="F1585" s="11" t="n">
        <v>24</v>
      </c>
      <c r="G1585" s="13" t="s">
        <v>42</v>
      </c>
      <c r="H1585" s="11" t="n">
        <v>2110405</v>
      </c>
      <c r="I1585" s="13" t="s">
        <v>34</v>
      </c>
      <c r="J1585" s="11" t="n">
        <v>1499214</v>
      </c>
      <c r="L1585" s="11" t="n">
        <v>224551</v>
      </c>
      <c r="M1585" s="13" t="s">
        <v>44</v>
      </c>
      <c r="N1585" s="13" t="s">
        <v>36</v>
      </c>
      <c r="P1585" s="11" t="n">
        <v>167</v>
      </c>
      <c r="Q1585" s="13" t="s">
        <v>101</v>
      </c>
      <c r="R1585" s="13" t="s">
        <v>46</v>
      </c>
      <c r="S1585" s="11" t="n">
        <v>1130101</v>
      </c>
      <c r="T1585" s="13" t="s">
        <v>47</v>
      </c>
      <c r="U1585" s="14" t="n">
        <v>358.73</v>
      </c>
      <c r="W1585" s="14" t="n">
        <v>358.73</v>
      </c>
      <c r="X1585" s="13" t="s">
        <v>1590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1" t="n">
        <v>3</v>
      </c>
      <c r="B1586" s="12" t="n">
        <v>46238</v>
      </c>
      <c r="C1586" s="12" t="n">
        <v>46252</v>
      </c>
      <c r="D1586" s="11" t="n">
        <v>1185</v>
      </c>
      <c r="E1586" s="13" t="s">
        <v>167</v>
      </c>
      <c r="F1586" s="11" t="n">
        <v>24</v>
      </c>
      <c r="G1586" s="13" t="s">
        <v>42</v>
      </c>
      <c r="H1586" s="11" t="n">
        <v>2110405</v>
      </c>
      <c r="I1586" s="13" t="s">
        <v>34</v>
      </c>
      <c r="J1586" s="11" t="n">
        <v>1500183</v>
      </c>
      <c r="L1586" s="11" t="n">
        <v>3931</v>
      </c>
      <c r="M1586" s="13" t="s">
        <v>44</v>
      </c>
      <c r="N1586" s="13" t="s">
        <v>36</v>
      </c>
      <c r="P1586" s="11" t="n">
        <v>167</v>
      </c>
      <c r="Q1586" s="13" t="s">
        <v>101</v>
      </c>
      <c r="R1586" s="13" t="s">
        <v>46</v>
      </c>
      <c r="S1586" s="11" t="n">
        <v>1130101</v>
      </c>
      <c r="T1586" s="13" t="s">
        <v>47</v>
      </c>
      <c r="U1586" s="14" t="n">
        <v>768</v>
      </c>
      <c r="W1586" s="14" t="n">
        <v>768</v>
      </c>
      <c r="X1586" s="13" t="s">
        <v>1591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1" t="n">
        <v>3</v>
      </c>
      <c r="B1587" s="12" t="n">
        <v>46237</v>
      </c>
      <c r="C1587" s="12" t="n">
        <v>46252</v>
      </c>
      <c r="D1587" s="11" t="n">
        <v>1605</v>
      </c>
      <c r="E1587" s="13" t="s">
        <v>113</v>
      </c>
      <c r="F1587" s="11" t="n">
        <v>24</v>
      </c>
      <c r="G1587" s="13" t="s">
        <v>42</v>
      </c>
      <c r="H1587" s="11" t="n">
        <v>2110405</v>
      </c>
      <c r="I1587" s="13" t="s">
        <v>34</v>
      </c>
      <c r="J1587" s="11" t="n">
        <v>1500470</v>
      </c>
      <c r="L1587" s="11" t="n">
        <v>221498</v>
      </c>
      <c r="M1587" s="13" t="s">
        <v>44</v>
      </c>
      <c r="N1587" s="13" t="s">
        <v>36</v>
      </c>
      <c r="P1587" s="11" t="n">
        <v>167</v>
      </c>
      <c r="Q1587" s="13" t="s">
        <v>101</v>
      </c>
      <c r="R1587" s="13" t="s">
        <v>46</v>
      </c>
      <c r="S1587" s="11" t="n">
        <v>1130101</v>
      </c>
      <c r="T1587" s="13" t="s">
        <v>47</v>
      </c>
      <c r="U1587" s="14" t="n">
        <v>686.64</v>
      </c>
      <c r="W1587" s="14" t="n">
        <v>686.64</v>
      </c>
      <c r="X1587" s="13" t="s">
        <v>1592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1" t="n">
        <v>3</v>
      </c>
      <c r="B1588" s="12" t="n">
        <v>46238</v>
      </c>
      <c r="C1588" s="12" t="n">
        <v>46252</v>
      </c>
      <c r="D1588" s="11" t="n">
        <v>1723</v>
      </c>
      <c r="E1588" s="13" t="s">
        <v>76</v>
      </c>
      <c r="F1588" s="11" t="n">
        <v>24</v>
      </c>
      <c r="G1588" s="13" t="s">
        <v>42</v>
      </c>
      <c r="H1588" s="11" t="n">
        <v>2110405</v>
      </c>
      <c r="I1588" s="13" t="s">
        <v>34</v>
      </c>
      <c r="J1588" s="11" t="n">
        <v>1503332</v>
      </c>
      <c r="L1588" s="11" t="n">
        <v>233429</v>
      </c>
      <c r="M1588" s="13" t="s">
        <v>44</v>
      </c>
      <c r="N1588" s="13" t="s">
        <v>36</v>
      </c>
      <c r="P1588" s="11" t="n">
        <v>167</v>
      </c>
      <c r="Q1588" s="13" t="s">
        <v>101</v>
      </c>
      <c r="R1588" s="13" t="s">
        <v>46</v>
      </c>
      <c r="S1588" s="11" t="n">
        <v>1130101</v>
      </c>
      <c r="T1588" s="13" t="s">
        <v>47</v>
      </c>
      <c r="U1588" s="14" t="n">
        <v>3624</v>
      </c>
      <c r="W1588" s="14" t="n">
        <v>3624</v>
      </c>
      <c r="X1588" s="13" t="s">
        <v>1593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1" t="n">
        <v>3</v>
      </c>
      <c r="B1589" s="12" t="n">
        <v>46238</v>
      </c>
      <c r="C1589" s="12" t="n">
        <v>46252</v>
      </c>
      <c r="D1589" s="11" t="n">
        <v>1745</v>
      </c>
      <c r="E1589" s="13" t="s">
        <v>592</v>
      </c>
      <c r="F1589" s="11" t="n">
        <v>24</v>
      </c>
      <c r="G1589" s="13" t="s">
        <v>42</v>
      </c>
      <c r="H1589" s="11" t="n">
        <v>2110405</v>
      </c>
      <c r="I1589" s="13" t="s">
        <v>34</v>
      </c>
      <c r="J1589" s="11" t="n">
        <v>1504228</v>
      </c>
      <c r="L1589" s="11" t="n">
        <v>3560051</v>
      </c>
      <c r="M1589" s="13" t="s">
        <v>44</v>
      </c>
      <c r="N1589" s="13" t="s">
        <v>36</v>
      </c>
      <c r="P1589" s="11" t="n">
        <v>167</v>
      </c>
      <c r="Q1589" s="13" t="s">
        <v>101</v>
      </c>
      <c r="R1589" s="13" t="s">
        <v>46</v>
      </c>
      <c r="S1589" s="11" t="n">
        <v>1130101</v>
      </c>
      <c r="T1589" s="13" t="s">
        <v>47</v>
      </c>
      <c r="U1589" s="14" t="n">
        <v>590.43</v>
      </c>
      <c r="W1589" s="14" t="n">
        <v>590.43</v>
      </c>
      <c r="X1589" s="13" t="s">
        <v>1594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1" t="n">
        <v>3</v>
      </c>
      <c r="B1590" s="12" t="n">
        <v>46238</v>
      </c>
      <c r="C1590" s="12" t="n">
        <v>46252</v>
      </c>
      <c r="D1590" s="11" t="n">
        <v>1668</v>
      </c>
      <c r="E1590" s="13" t="s">
        <v>159</v>
      </c>
      <c r="F1590" s="11" t="n">
        <v>24</v>
      </c>
      <c r="G1590" s="13" t="s">
        <v>42</v>
      </c>
      <c r="H1590" s="11" t="n">
        <v>2110405</v>
      </c>
      <c r="I1590" s="13" t="s">
        <v>34</v>
      </c>
      <c r="J1590" s="11" t="n">
        <v>1504237</v>
      </c>
      <c r="L1590" s="11" t="n">
        <v>7455921</v>
      </c>
      <c r="M1590" s="13" t="s">
        <v>44</v>
      </c>
      <c r="N1590" s="13" t="s">
        <v>36</v>
      </c>
      <c r="P1590" s="11" t="n">
        <v>167</v>
      </c>
      <c r="Q1590" s="13" t="s">
        <v>101</v>
      </c>
      <c r="R1590" s="13" t="s">
        <v>46</v>
      </c>
      <c r="S1590" s="11" t="n">
        <v>1130101</v>
      </c>
      <c r="T1590" s="13" t="s">
        <v>47</v>
      </c>
      <c r="U1590" s="14" t="n">
        <v>1242.27</v>
      </c>
      <c r="W1590" s="14" t="n">
        <v>1242.27</v>
      </c>
      <c r="X1590" s="13" t="s">
        <v>1595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1" t="n">
        <v>3</v>
      </c>
      <c r="B1591" s="12" t="n">
        <v>46238</v>
      </c>
      <c r="C1591" s="12" t="n">
        <v>46252</v>
      </c>
      <c r="D1591" s="11" t="n">
        <v>1734</v>
      </c>
      <c r="E1591" s="13" t="s">
        <v>125</v>
      </c>
      <c r="F1591" s="11" t="n">
        <v>24</v>
      </c>
      <c r="G1591" s="13" t="s">
        <v>42</v>
      </c>
      <c r="H1591" s="11" t="n">
        <v>2110405</v>
      </c>
      <c r="I1591" s="13" t="s">
        <v>34</v>
      </c>
      <c r="J1591" s="11" t="n">
        <v>1504820</v>
      </c>
      <c r="L1591" s="11" t="n">
        <v>2570041</v>
      </c>
      <c r="M1591" s="13" t="s">
        <v>44</v>
      </c>
      <c r="N1591" s="13" t="s">
        <v>36</v>
      </c>
      <c r="P1591" s="11" t="n">
        <v>167</v>
      </c>
      <c r="Q1591" s="13" t="s">
        <v>101</v>
      </c>
      <c r="R1591" s="13" t="s">
        <v>46</v>
      </c>
      <c r="S1591" s="11" t="n">
        <v>1130101</v>
      </c>
      <c r="T1591" s="13" t="s">
        <v>47</v>
      </c>
      <c r="U1591" s="14" t="n">
        <v>496</v>
      </c>
      <c r="W1591" s="14" t="n">
        <v>496</v>
      </c>
      <c r="X1591" s="13" t="s">
        <v>1596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1" t="n">
        <v>3</v>
      </c>
      <c r="B1592" s="12" t="n">
        <v>46246</v>
      </c>
      <c r="C1592" s="12" t="n">
        <v>46252</v>
      </c>
      <c r="D1592" s="11" t="n">
        <v>1378</v>
      </c>
      <c r="E1592" s="13" t="s">
        <v>120</v>
      </c>
      <c r="F1592" s="11" t="n">
        <v>24</v>
      </c>
      <c r="G1592" s="13" t="s">
        <v>42</v>
      </c>
      <c r="H1592" s="11" t="n">
        <v>2110405</v>
      </c>
      <c r="I1592" s="13" t="s">
        <v>34</v>
      </c>
      <c r="J1592" s="11" t="n">
        <v>1536975</v>
      </c>
      <c r="L1592" s="11" t="n">
        <v>18630</v>
      </c>
      <c r="M1592" s="13" t="s">
        <v>44</v>
      </c>
      <c r="N1592" s="13" t="s">
        <v>36</v>
      </c>
      <c r="P1592" s="11" t="n">
        <v>167</v>
      </c>
      <c r="Q1592" s="13" t="s">
        <v>101</v>
      </c>
      <c r="R1592" s="13" t="s">
        <v>46</v>
      </c>
      <c r="S1592" s="11" t="n">
        <v>1130101</v>
      </c>
      <c r="T1592" s="13" t="s">
        <v>47</v>
      </c>
      <c r="U1592" s="14" t="n">
        <v>143</v>
      </c>
      <c r="W1592" s="14" t="n">
        <v>143</v>
      </c>
      <c r="X1592" s="13" t="s">
        <v>1597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1" t="n">
        <v>3</v>
      </c>
      <c r="B1593" s="12" t="n">
        <v>46245</v>
      </c>
      <c r="C1593" s="12" t="n">
        <v>46252</v>
      </c>
      <c r="D1593" s="11" t="n">
        <v>1723</v>
      </c>
      <c r="E1593" s="13" t="s">
        <v>76</v>
      </c>
      <c r="F1593" s="11" t="n">
        <v>24</v>
      </c>
      <c r="G1593" s="13" t="s">
        <v>42</v>
      </c>
      <c r="H1593" s="11" t="n">
        <v>2110405</v>
      </c>
      <c r="I1593" s="13" t="s">
        <v>34</v>
      </c>
      <c r="J1593" s="11" t="n">
        <v>1536989</v>
      </c>
      <c r="L1593" s="11" t="n">
        <v>592461</v>
      </c>
      <c r="M1593" s="13" t="s">
        <v>44</v>
      </c>
      <c r="N1593" s="13" t="s">
        <v>36</v>
      </c>
      <c r="P1593" s="11" t="n">
        <v>167</v>
      </c>
      <c r="Q1593" s="13" t="s">
        <v>101</v>
      </c>
      <c r="R1593" s="13" t="s">
        <v>46</v>
      </c>
      <c r="S1593" s="11" t="n">
        <v>1130101</v>
      </c>
      <c r="T1593" s="13" t="s">
        <v>47</v>
      </c>
      <c r="U1593" s="14" t="n">
        <v>981.6</v>
      </c>
      <c r="W1593" s="14" t="n">
        <v>981.6</v>
      </c>
      <c r="X1593" s="13" t="s">
        <v>1598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1" t="n">
        <v>3</v>
      </c>
      <c r="B1594" s="12" t="n">
        <v>46246</v>
      </c>
      <c r="C1594" s="12" t="n">
        <v>46252</v>
      </c>
      <c r="D1594" s="11" t="n">
        <v>1734</v>
      </c>
      <c r="E1594" s="13" t="s">
        <v>125</v>
      </c>
      <c r="F1594" s="11" t="n">
        <v>24</v>
      </c>
      <c r="G1594" s="13" t="s">
        <v>42</v>
      </c>
      <c r="H1594" s="11" t="n">
        <v>2110405</v>
      </c>
      <c r="I1594" s="13" t="s">
        <v>34</v>
      </c>
      <c r="J1594" s="11" t="n">
        <v>1537291</v>
      </c>
      <c r="L1594" s="11" t="n">
        <v>2575211</v>
      </c>
      <c r="M1594" s="13" t="s">
        <v>44</v>
      </c>
      <c r="N1594" s="13" t="s">
        <v>36</v>
      </c>
      <c r="P1594" s="11" t="n">
        <v>167</v>
      </c>
      <c r="Q1594" s="13" t="s">
        <v>101</v>
      </c>
      <c r="R1594" s="13" t="s">
        <v>46</v>
      </c>
      <c r="S1594" s="11" t="n">
        <v>1130101</v>
      </c>
      <c r="T1594" s="13" t="s">
        <v>47</v>
      </c>
      <c r="U1594" s="14" t="n">
        <v>448</v>
      </c>
      <c r="W1594" s="14" t="n">
        <v>448</v>
      </c>
      <c r="X1594" s="13" t="s">
        <v>1599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1" t="n">
        <v>3</v>
      </c>
      <c r="B1595" s="12" t="n">
        <v>46247</v>
      </c>
      <c r="C1595" s="12" t="n">
        <v>46252</v>
      </c>
      <c r="D1595" s="11" t="n">
        <v>42</v>
      </c>
      <c r="E1595" s="13" t="s">
        <v>80</v>
      </c>
      <c r="F1595" s="11" t="n">
        <v>34</v>
      </c>
      <c r="G1595" s="13" t="s">
        <v>33</v>
      </c>
      <c r="H1595" s="11" t="n">
        <v>2110101</v>
      </c>
      <c r="I1595" s="13" t="s">
        <v>43</v>
      </c>
      <c r="J1595" s="11" t="n">
        <v>1540694</v>
      </c>
      <c r="L1595" s="11" t="n">
        <v>4494</v>
      </c>
      <c r="M1595" s="13" t="s">
        <v>44</v>
      </c>
      <c r="N1595" s="13" t="s">
        <v>69</v>
      </c>
      <c r="P1595" s="11" t="n">
        <v>167</v>
      </c>
      <c r="Q1595" s="13" t="s">
        <v>101</v>
      </c>
      <c r="R1595" s="13" t="s">
        <v>46</v>
      </c>
      <c r="S1595" s="11" t="n">
        <v>1130101</v>
      </c>
      <c r="T1595" s="13" t="s">
        <v>47</v>
      </c>
      <c r="U1595" s="14" t="n">
        <v>940</v>
      </c>
      <c r="W1595" s="14" t="n">
        <v>940</v>
      </c>
      <c r="X1595" s="13" t="s">
        <v>1600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1" t="n">
        <v>3</v>
      </c>
      <c r="B1596" s="12" t="n">
        <v>46248</v>
      </c>
      <c r="C1596" s="12" t="n">
        <v>46252</v>
      </c>
      <c r="D1596" s="11" t="n">
        <v>1615</v>
      </c>
      <c r="E1596" s="13" t="s">
        <v>130</v>
      </c>
      <c r="F1596" s="11" t="n">
        <v>34</v>
      </c>
      <c r="G1596" s="13" t="s">
        <v>33</v>
      </c>
      <c r="H1596" s="11" t="n">
        <v>2110405</v>
      </c>
      <c r="I1596" s="13" t="s">
        <v>34</v>
      </c>
      <c r="J1596" s="11" t="n">
        <v>1546173</v>
      </c>
      <c r="L1596" s="11" t="n">
        <v>239815</v>
      </c>
      <c r="M1596" s="13" t="s">
        <v>44</v>
      </c>
      <c r="N1596" s="13" t="s">
        <v>36</v>
      </c>
      <c r="P1596" s="11" t="n">
        <v>167</v>
      </c>
      <c r="Q1596" s="13" t="s">
        <v>101</v>
      </c>
      <c r="R1596" s="13" t="s">
        <v>46</v>
      </c>
      <c r="S1596" s="11" t="n">
        <v>1130101</v>
      </c>
      <c r="T1596" s="13" t="s">
        <v>47</v>
      </c>
      <c r="U1596" s="14" t="n">
        <v>120</v>
      </c>
      <c r="W1596" s="14" t="n">
        <v>120</v>
      </c>
      <c r="X1596" s="13" t="s">
        <v>1601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1" t="n">
        <v>3</v>
      </c>
      <c r="B1597" s="12" t="n">
        <v>46248</v>
      </c>
      <c r="C1597" s="12" t="n">
        <v>46252</v>
      </c>
      <c r="D1597" s="11" t="n">
        <v>1615</v>
      </c>
      <c r="E1597" s="13" t="s">
        <v>130</v>
      </c>
      <c r="F1597" s="11" t="n">
        <v>34</v>
      </c>
      <c r="G1597" s="13" t="s">
        <v>33</v>
      </c>
      <c r="H1597" s="11" t="n">
        <v>2110405</v>
      </c>
      <c r="I1597" s="13" t="s">
        <v>34</v>
      </c>
      <c r="J1597" s="11" t="n">
        <v>1546179</v>
      </c>
      <c r="L1597" s="11" t="n">
        <v>15115</v>
      </c>
      <c r="M1597" s="13" t="s">
        <v>44</v>
      </c>
      <c r="N1597" s="13" t="s">
        <v>36</v>
      </c>
      <c r="P1597" s="11" t="n">
        <v>167</v>
      </c>
      <c r="Q1597" s="13" t="s">
        <v>101</v>
      </c>
      <c r="R1597" s="13" t="s">
        <v>46</v>
      </c>
      <c r="S1597" s="11" t="n">
        <v>1130101</v>
      </c>
      <c r="T1597" s="13" t="s">
        <v>47</v>
      </c>
      <c r="U1597" s="14" t="n">
        <v>550</v>
      </c>
      <c r="W1597" s="14" t="n">
        <v>550</v>
      </c>
      <c r="X1597" s="13" t="s">
        <v>1602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1" t="n">
        <v>3</v>
      </c>
      <c r="B1598" s="12" t="n">
        <v>46248</v>
      </c>
      <c r="C1598" s="12" t="n">
        <v>46252</v>
      </c>
      <c r="D1598" s="11" t="n">
        <v>42</v>
      </c>
      <c r="E1598" s="13" t="s">
        <v>80</v>
      </c>
      <c r="F1598" s="11" t="n">
        <v>34</v>
      </c>
      <c r="G1598" s="13" t="s">
        <v>33</v>
      </c>
      <c r="H1598" s="11" t="n">
        <v>2110101</v>
      </c>
      <c r="I1598" s="13" t="s">
        <v>43</v>
      </c>
      <c r="J1598" s="11" t="n">
        <v>1546217</v>
      </c>
      <c r="L1598" s="11" t="n">
        <v>4502</v>
      </c>
      <c r="M1598" s="13" t="s">
        <v>44</v>
      </c>
      <c r="N1598" s="13" t="s">
        <v>69</v>
      </c>
      <c r="P1598" s="11" t="n">
        <v>167</v>
      </c>
      <c r="Q1598" s="13" t="s">
        <v>101</v>
      </c>
      <c r="R1598" s="13" t="s">
        <v>46</v>
      </c>
      <c r="S1598" s="11" t="n">
        <v>1130101</v>
      </c>
      <c r="T1598" s="13" t="s">
        <v>47</v>
      </c>
      <c r="U1598" s="14" t="n">
        <v>1884</v>
      </c>
      <c r="W1598" s="14" t="n">
        <v>1884</v>
      </c>
      <c r="X1598" s="13" t="s">
        <v>1029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1" t="n">
        <v>3</v>
      </c>
      <c r="B1599" s="12" t="n">
        <v>46248</v>
      </c>
      <c r="C1599" s="12" t="n">
        <v>46252</v>
      </c>
      <c r="D1599" s="11" t="n">
        <v>736</v>
      </c>
      <c r="E1599" s="13" t="s">
        <v>1603</v>
      </c>
      <c r="F1599" s="11" t="n">
        <v>24</v>
      </c>
      <c r="G1599" s="13" t="s">
        <v>42</v>
      </c>
      <c r="H1599" s="11" t="n">
        <v>2110405</v>
      </c>
      <c r="I1599" s="13" t="s">
        <v>34</v>
      </c>
      <c r="J1599" s="11" t="n">
        <v>1551561</v>
      </c>
      <c r="L1599" s="11" t="n">
        <v>195</v>
      </c>
      <c r="M1599" s="13" t="s">
        <v>44</v>
      </c>
      <c r="N1599" s="13" t="s">
        <v>36</v>
      </c>
      <c r="P1599" s="11" t="n">
        <v>167</v>
      </c>
      <c r="Q1599" s="13" t="s">
        <v>101</v>
      </c>
      <c r="R1599" s="13" t="s">
        <v>46</v>
      </c>
      <c r="S1599" s="11" t="n">
        <v>1130101</v>
      </c>
      <c r="T1599" s="13" t="s">
        <v>47</v>
      </c>
      <c r="U1599" s="14" t="n">
        <v>354</v>
      </c>
      <c r="W1599" s="14" t="n">
        <v>354</v>
      </c>
      <c r="X1599" s="13" t="s">
        <v>1604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1" t="n">
        <v>3</v>
      </c>
      <c r="B1600" s="12" t="n">
        <v>46249</v>
      </c>
      <c r="C1600" s="12" t="n">
        <v>46252</v>
      </c>
      <c r="D1600" s="11" t="n">
        <v>10096</v>
      </c>
      <c r="E1600" s="13" t="s">
        <v>1232</v>
      </c>
      <c r="F1600" s="11" t="n">
        <v>34</v>
      </c>
      <c r="G1600" s="13" t="s">
        <v>33</v>
      </c>
      <c r="H1600" s="11" t="n">
        <v>2110405</v>
      </c>
      <c r="I1600" s="13" t="s">
        <v>34</v>
      </c>
      <c r="J1600" s="11" t="n">
        <v>1560757</v>
      </c>
      <c r="L1600" s="11" t="n">
        <v>241700</v>
      </c>
      <c r="M1600" s="13" t="s">
        <v>44</v>
      </c>
      <c r="N1600" s="13" t="s">
        <v>36</v>
      </c>
      <c r="P1600" s="11" t="n">
        <v>167</v>
      </c>
      <c r="Q1600" s="13" t="s">
        <v>101</v>
      </c>
      <c r="R1600" s="13" t="s">
        <v>46</v>
      </c>
      <c r="S1600" s="11" t="n">
        <v>1130101</v>
      </c>
      <c r="T1600" s="13" t="s">
        <v>47</v>
      </c>
      <c r="U1600" s="14" t="n">
        <v>180</v>
      </c>
      <c r="W1600" s="14" t="n">
        <v>180</v>
      </c>
      <c r="X1600" s="13" t="s">
        <v>1605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1" t="n">
        <v>3</v>
      </c>
      <c r="B1601" s="12" t="n">
        <v>46252</v>
      </c>
      <c r="C1601" s="12" t="n">
        <v>46252</v>
      </c>
      <c r="D1601" s="11" t="n">
        <v>42</v>
      </c>
      <c r="E1601" s="13" t="s">
        <v>80</v>
      </c>
      <c r="F1601" s="11" t="n">
        <v>13</v>
      </c>
      <c r="G1601" s="13" t="s">
        <v>81</v>
      </c>
      <c r="H1601" s="11" t="n">
        <v>2110101</v>
      </c>
      <c r="I1601" s="13" t="s">
        <v>43</v>
      </c>
      <c r="J1601" s="11" t="n">
        <v>1566572</v>
      </c>
      <c r="L1601" s="11" t="n">
        <v>4516</v>
      </c>
      <c r="M1601" s="13" t="s">
        <v>44</v>
      </c>
      <c r="N1601" s="13" t="s">
        <v>69</v>
      </c>
      <c r="P1601" s="11" t="n">
        <v>167</v>
      </c>
      <c r="Q1601" s="13" t="s">
        <v>101</v>
      </c>
      <c r="R1601" s="13" t="s">
        <v>46</v>
      </c>
      <c r="S1601" s="11" t="n">
        <v>1130101</v>
      </c>
      <c r="T1601" s="13" t="s">
        <v>47</v>
      </c>
      <c r="U1601" s="14" t="n">
        <v>94</v>
      </c>
      <c r="W1601" s="14" t="n">
        <v>94</v>
      </c>
      <c r="X1601" s="13" t="s">
        <v>772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/>
      <c r="AC1601" s="1"/>
    </row>
    <row r="1602" customFormat="false" ht="12.75" hidden="false" customHeight="true" outlineLevel="0" collapsed="false">
      <c r="A1602" s="11" t="n">
        <v>3</v>
      </c>
      <c r="B1602" s="12" t="n">
        <v>46252</v>
      </c>
      <c r="C1602" s="12" t="n">
        <v>46252</v>
      </c>
      <c r="D1602" s="11" t="n">
        <v>476</v>
      </c>
      <c r="E1602" s="13" t="s">
        <v>1606</v>
      </c>
      <c r="F1602" s="11" t="n">
        <v>13</v>
      </c>
      <c r="G1602" s="13" t="s">
        <v>81</v>
      </c>
      <c r="H1602" s="11" t="n">
        <v>2110101</v>
      </c>
      <c r="I1602" s="13" t="s">
        <v>43</v>
      </c>
      <c r="J1602" s="11" t="n">
        <v>1567582</v>
      </c>
      <c r="L1602" s="11" t="n">
        <v>1666189</v>
      </c>
      <c r="M1602" s="13" t="s">
        <v>44</v>
      </c>
      <c r="N1602" s="13" t="s">
        <v>69</v>
      </c>
      <c r="P1602" s="11" t="n">
        <v>167</v>
      </c>
      <c r="Q1602" s="13" t="s">
        <v>101</v>
      </c>
      <c r="R1602" s="13" t="s">
        <v>46</v>
      </c>
      <c r="S1602" s="11" t="n">
        <v>1130101</v>
      </c>
      <c r="T1602" s="13" t="s">
        <v>47</v>
      </c>
      <c r="U1602" s="14" t="n">
        <v>150.3</v>
      </c>
      <c r="W1602" s="14" t="n">
        <v>150.3</v>
      </c>
      <c r="X1602" s="13" t="s">
        <v>1607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1" t="n">
        <v>3</v>
      </c>
      <c r="B1603" s="12" t="n">
        <v>46252</v>
      </c>
      <c r="C1603" s="12" t="n">
        <v>46252</v>
      </c>
      <c r="D1603" s="11" t="n">
        <v>42</v>
      </c>
      <c r="E1603" s="13" t="s">
        <v>80</v>
      </c>
      <c r="F1603" s="11" t="n">
        <v>13</v>
      </c>
      <c r="G1603" s="13" t="s">
        <v>81</v>
      </c>
      <c r="H1603" s="11" t="n">
        <v>2110101</v>
      </c>
      <c r="I1603" s="13" t="s">
        <v>43</v>
      </c>
      <c r="J1603" s="11" t="n">
        <v>1567678</v>
      </c>
      <c r="L1603" s="11" t="n">
        <v>4518</v>
      </c>
      <c r="M1603" s="13" t="s">
        <v>44</v>
      </c>
      <c r="N1603" s="13" t="s">
        <v>69</v>
      </c>
      <c r="P1603" s="11" t="n">
        <v>167</v>
      </c>
      <c r="Q1603" s="13" t="s">
        <v>101</v>
      </c>
      <c r="R1603" s="13" t="s">
        <v>46</v>
      </c>
      <c r="S1603" s="11" t="n">
        <v>1130101</v>
      </c>
      <c r="T1603" s="13" t="s">
        <v>47</v>
      </c>
      <c r="U1603" s="14" t="n">
        <v>250</v>
      </c>
      <c r="W1603" s="14" t="n">
        <v>250</v>
      </c>
      <c r="X1603" s="13" t="s">
        <v>1608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1" t="n">
        <v>3</v>
      </c>
      <c r="B1604" s="12" t="n">
        <v>46225</v>
      </c>
      <c r="C1604" s="12" t="n">
        <v>46253</v>
      </c>
      <c r="D1604" s="11" t="n">
        <v>1740</v>
      </c>
      <c r="E1604" s="13" t="s">
        <v>170</v>
      </c>
      <c r="F1604" s="11" t="n">
        <v>24</v>
      </c>
      <c r="G1604" s="13" t="s">
        <v>42</v>
      </c>
      <c r="H1604" s="11" t="n">
        <v>2110405</v>
      </c>
      <c r="I1604" s="13" t="s">
        <v>34</v>
      </c>
      <c r="J1604" s="11" t="n">
        <v>1435866</v>
      </c>
      <c r="L1604" s="11" t="n">
        <v>12504183</v>
      </c>
      <c r="M1604" s="13" t="s">
        <v>44</v>
      </c>
      <c r="N1604" s="13" t="s">
        <v>36</v>
      </c>
      <c r="P1604" s="11" t="n">
        <v>167</v>
      </c>
      <c r="Q1604" s="13" t="s">
        <v>101</v>
      </c>
      <c r="R1604" s="13" t="s">
        <v>46</v>
      </c>
      <c r="S1604" s="11" t="n">
        <v>1130101</v>
      </c>
      <c r="T1604" s="13" t="s">
        <v>47</v>
      </c>
      <c r="U1604" s="14" t="n">
        <v>867.31</v>
      </c>
      <c r="W1604" s="14" t="n">
        <v>867.31</v>
      </c>
      <c r="X1604" s="13" t="s">
        <v>1609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1" t="n">
        <v>3</v>
      </c>
      <c r="B1605" s="12" t="n">
        <v>46232</v>
      </c>
      <c r="C1605" s="12" t="n">
        <v>46253</v>
      </c>
      <c r="D1605" s="11" t="n">
        <v>1695</v>
      </c>
      <c r="E1605" s="13" t="s">
        <v>269</v>
      </c>
      <c r="F1605" s="11" t="n">
        <v>24</v>
      </c>
      <c r="G1605" s="13" t="s">
        <v>42</v>
      </c>
      <c r="H1605" s="11" t="n">
        <v>2110405</v>
      </c>
      <c r="I1605" s="13" t="s">
        <v>34</v>
      </c>
      <c r="J1605" s="11" t="n">
        <v>1469704</v>
      </c>
      <c r="L1605" s="11" t="n">
        <v>195093</v>
      </c>
      <c r="M1605" s="13" t="s">
        <v>44</v>
      </c>
      <c r="N1605" s="13" t="s">
        <v>36</v>
      </c>
      <c r="P1605" s="11" t="n">
        <v>167</v>
      </c>
      <c r="Q1605" s="13" t="s">
        <v>101</v>
      </c>
      <c r="R1605" s="13" t="s">
        <v>46</v>
      </c>
      <c r="S1605" s="11" t="n">
        <v>1130101</v>
      </c>
      <c r="T1605" s="13" t="s">
        <v>47</v>
      </c>
      <c r="U1605" s="14" t="n">
        <v>978.59</v>
      </c>
      <c r="W1605" s="14" t="n">
        <v>978.59</v>
      </c>
      <c r="X1605" s="13" t="s">
        <v>1610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1" t="n">
        <v>3</v>
      </c>
      <c r="B1606" s="12" t="n">
        <v>46232</v>
      </c>
      <c r="C1606" s="12" t="n">
        <v>46253</v>
      </c>
      <c r="D1606" s="11" t="n">
        <v>1695</v>
      </c>
      <c r="E1606" s="13" t="s">
        <v>269</v>
      </c>
      <c r="F1606" s="11" t="n">
        <v>34</v>
      </c>
      <c r="G1606" s="13" t="s">
        <v>33</v>
      </c>
      <c r="H1606" s="11" t="n">
        <v>2110405</v>
      </c>
      <c r="I1606" s="13" t="s">
        <v>34</v>
      </c>
      <c r="J1606" s="11" t="n">
        <v>1469739</v>
      </c>
      <c r="L1606" s="11" t="n">
        <v>228600</v>
      </c>
      <c r="M1606" s="13" t="s">
        <v>44</v>
      </c>
      <c r="N1606" s="13" t="s">
        <v>36</v>
      </c>
      <c r="P1606" s="11" t="n">
        <v>167</v>
      </c>
      <c r="Q1606" s="13" t="s">
        <v>101</v>
      </c>
      <c r="R1606" s="13" t="s">
        <v>46</v>
      </c>
      <c r="S1606" s="11" t="n">
        <v>1130101</v>
      </c>
      <c r="T1606" s="13" t="s">
        <v>47</v>
      </c>
      <c r="U1606" s="14" t="n">
        <v>512.4</v>
      </c>
      <c r="W1606" s="14" t="n">
        <v>512.4</v>
      </c>
      <c r="X1606" s="13" t="s">
        <v>1611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46232</v>
      </c>
      <c r="C1607" s="12" t="n">
        <v>46253</v>
      </c>
      <c r="D1607" s="11" t="n">
        <v>794</v>
      </c>
      <c r="E1607" s="13" t="s">
        <v>152</v>
      </c>
      <c r="F1607" s="11" t="n">
        <v>24</v>
      </c>
      <c r="G1607" s="13" t="s">
        <v>42</v>
      </c>
      <c r="H1607" s="11" t="n">
        <v>2110405</v>
      </c>
      <c r="I1607" s="13" t="s">
        <v>34</v>
      </c>
      <c r="J1607" s="11" t="n">
        <v>1473079</v>
      </c>
      <c r="L1607" s="11" t="n">
        <v>55992</v>
      </c>
      <c r="M1607" s="13" t="s">
        <v>44</v>
      </c>
      <c r="N1607" s="13" t="s">
        <v>36</v>
      </c>
      <c r="P1607" s="11" t="n">
        <v>167</v>
      </c>
      <c r="Q1607" s="13" t="s">
        <v>101</v>
      </c>
      <c r="R1607" s="13" t="s">
        <v>38</v>
      </c>
      <c r="S1607" s="11" t="n">
        <v>4210299</v>
      </c>
      <c r="T1607" s="13" t="s">
        <v>1079</v>
      </c>
      <c r="U1607" s="14" t="n">
        <v>648.13</v>
      </c>
      <c r="W1607" s="14" t="n">
        <v>648.13</v>
      </c>
      <c r="X1607" s="13" t="s">
        <v>1612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1" t="n">
        <v>3</v>
      </c>
      <c r="B1608" s="12" t="n">
        <v>46237</v>
      </c>
      <c r="C1608" s="12" t="n">
        <v>46253</v>
      </c>
      <c r="D1608" s="11" t="n">
        <v>1708</v>
      </c>
      <c r="E1608" s="13" t="s">
        <v>1613</v>
      </c>
      <c r="F1608" s="11" t="n">
        <v>24</v>
      </c>
      <c r="G1608" s="13" t="s">
        <v>42</v>
      </c>
      <c r="H1608" s="11" t="n">
        <v>2110405</v>
      </c>
      <c r="I1608" s="13" t="s">
        <v>34</v>
      </c>
      <c r="J1608" s="11" t="n">
        <v>1500065</v>
      </c>
      <c r="L1608" s="11" t="n">
        <v>2646961</v>
      </c>
      <c r="M1608" s="13" t="s">
        <v>44</v>
      </c>
      <c r="N1608" s="13" t="s">
        <v>36</v>
      </c>
      <c r="P1608" s="11" t="n">
        <v>167</v>
      </c>
      <c r="Q1608" s="13" t="s">
        <v>101</v>
      </c>
      <c r="R1608" s="13" t="s">
        <v>46</v>
      </c>
      <c r="S1608" s="11" t="n">
        <v>1130101</v>
      </c>
      <c r="T1608" s="13" t="s">
        <v>47</v>
      </c>
      <c r="U1608" s="14" t="n">
        <v>260.46</v>
      </c>
      <c r="W1608" s="14" t="n">
        <v>260.46</v>
      </c>
      <c r="X1608" s="13" t="s">
        <v>1614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1" t="n">
        <v>3</v>
      </c>
      <c r="B1609" s="12" t="n">
        <v>46238</v>
      </c>
      <c r="C1609" s="12" t="n">
        <v>46253</v>
      </c>
      <c r="D1609" s="11" t="n">
        <v>1024</v>
      </c>
      <c r="E1609" s="13" t="s">
        <v>161</v>
      </c>
      <c r="F1609" s="11" t="n">
        <v>24</v>
      </c>
      <c r="G1609" s="13" t="s">
        <v>42</v>
      </c>
      <c r="H1609" s="11" t="n">
        <v>2110405</v>
      </c>
      <c r="I1609" s="13" t="s">
        <v>34</v>
      </c>
      <c r="J1609" s="11" t="n">
        <v>1504205</v>
      </c>
      <c r="L1609" s="11" t="n">
        <v>6156082</v>
      </c>
      <c r="M1609" s="13" t="s">
        <v>44</v>
      </c>
      <c r="N1609" s="13" t="s">
        <v>36</v>
      </c>
      <c r="P1609" s="11" t="n">
        <v>167</v>
      </c>
      <c r="Q1609" s="13" t="s">
        <v>101</v>
      </c>
      <c r="R1609" s="13" t="s">
        <v>46</v>
      </c>
      <c r="S1609" s="11" t="n">
        <v>1130101</v>
      </c>
      <c r="T1609" s="13" t="s">
        <v>47</v>
      </c>
      <c r="U1609" s="14" t="n">
        <v>105</v>
      </c>
      <c r="W1609" s="14" t="n">
        <v>105</v>
      </c>
      <c r="X1609" s="13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1" t="n">
        <v>3</v>
      </c>
      <c r="B1610" s="12" t="n">
        <v>46238</v>
      </c>
      <c r="C1610" s="12" t="n">
        <v>46253</v>
      </c>
      <c r="D1610" s="11" t="n">
        <v>1608</v>
      </c>
      <c r="E1610" s="13" t="s">
        <v>41</v>
      </c>
      <c r="F1610" s="11" t="n">
        <v>24</v>
      </c>
      <c r="G1610" s="13" t="s">
        <v>42</v>
      </c>
      <c r="H1610" s="11" t="n">
        <v>2110405</v>
      </c>
      <c r="I1610" s="13" t="s">
        <v>34</v>
      </c>
      <c r="J1610" s="11" t="n">
        <v>1504643</v>
      </c>
      <c r="L1610" s="11" t="n">
        <v>17042421</v>
      </c>
      <c r="M1610" s="13" t="s">
        <v>44</v>
      </c>
      <c r="N1610" s="13" t="s">
        <v>36</v>
      </c>
      <c r="P1610" s="11" t="n">
        <v>167</v>
      </c>
      <c r="Q1610" s="13" t="s">
        <v>101</v>
      </c>
      <c r="R1610" s="13" t="s">
        <v>46</v>
      </c>
      <c r="S1610" s="11" t="n">
        <v>1130101</v>
      </c>
      <c r="T1610" s="13" t="s">
        <v>47</v>
      </c>
      <c r="U1610" s="14" t="n">
        <v>166.32</v>
      </c>
      <c r="W1610" s="14" t="n">
        <v>166.32</v>
      </c>
      <c r="X1610" s="13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1" t="n">
        <v>3</v>
      </c>
      <c r="B1611" s="12" t="n">
        <v>46239</v>
      </c>
      <c r="C1611" s="12" t="n">
        <v>46253</v>
      </c>
      <c r="D1611" s="11" t="n">
        <v>1740</v>
      </c>
      <c r="E1611" s="13" t="s">
        <v>170</v>
      </c>
      <c r="F1611" s="11" t="n">
        <v>24</v>
      </c>
      <c r="G1611" s="13" t="s">
        <v>42</v>
      </c>
      <c r="H1611" s="11" t="n">
        <v>2110405</v>
      </c>
      <c r="I1611" s="13" t="s">
        <v>34</v>
      </c>
      <c r="J1611" s="11" t="n">
        <v>1504722</v>
      </c>
      <c r="L1611" s="11" t="n">
        <v>12556071</v>
      </c>
      <c r="M1611" s="13" t="s">
        <v>44</v>
      </c>
      <c r="N1611" s="13" t="s">
        <v>36</v>
      </c>
      <c r="P1611" s="11" t="n">
        <v>167</v>
      </c>
      <c r="Q1611" s="13" t="s">
        <v>101</v>
      </c>
      <c r="R1611" s="13" t="s">
        <v>46</v>
      </c>
      <c r="S1611" s="11" t="n">
        <v>1130101</v>
      </c>
      <c r="T1611" s="13" t="s">
        <v>47</v>
      </c>
      <c r="U1611" s="14" t="n">
        <v>445.69</v>
      </c>
      <c r="W1611" s="14" t="n">
        <v>445.69</v>
      </c>
      <c r="X1611" s="13" t="s">
        <v>1617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1" t="n">
        <v>3</v>
      </c>
      <c r="B1612" s="12" t="n">
        <v>46239</v>
      </c>
      <c r="C1612" s="12" t="n">
        <v>46253</v>
      </c>
      <c r="D1612" s="11" t="n">
        <v>1740</v>
      </c>
      <c r="E1612" s="13" t="s">
        <v>170</v>
      </c>
      <c r="F1612" s="11" t="n">
        <v>24</v>
      </c>
      <c r="G1612" s="13" t="s">
        <v>42</v>
      </c>
      <c r="H1612" s="11" t="n">
        <v>2110405</v>
      </c>
      <c r="I1612" s="13" t="s">
        <v>34</v>
      </c>
      <c r="J1612" s="11" t="n">
        <v>1504738</v>
      </c>
      <c r="L1612" s="11" t="n">
        <v>12556061</v>
      </c>
      <c r="M1612" s="13" t="s">
        <v>44</v>
      </c>
      <c r="N1612" s="13" t="s">
        <v>36</v>
      </c>
      <c r="P1612" s="11" t="n">
        <v>167</v>
      </c>
      <c r="Q1612" s="13" t="s">
        <v>101</v>
      </c>
      <c r="R1612" s="13" t="s">
        <v>46</v>
      </c>
      <c r="S1612" s="11" t="n">
        <v>1130101</v>
      </c>
      <c r="T1612" s="13" t="s">
        <v>47</v>
      </c>
      <c r="U1612" s="14" t="n">
        <v>771.86</v>
      </c>
      <c r="W1612" s="14" t="n">
        <v>771.86</v>
      </c>
      <c r="X1612" s="13" t="s">
        <v>1618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1" t="n">
        <v>3</v>
      </c>
      <c r="B1613" s="12" t="n">
        <v>46239</v>
      </c>
      <c r="C1613" s="12" t="n">
        <v>46253</v>
      </c>
      <c r="D1613" s="11" t="n">
        <v>1723</v>
      </c>
      <c r="E1613" s="13" t="s">
        <v>76</v>
      </c>
      <c r="F1613" s="11" t="n">
        <v>24</v>
      </c>
      <c r="G1613" s="13" t="s">
        <v>42</v>
      </c>
      <c r="H1613" s="11" t="n">
        <v>2110405</v>
      </c>
      <c r="I1613" s="13" t="s">
        <v>34</v>
      </c>
      <c r="J1613" s="11" t="n">
        <v>1507885</v>
      </c>
      <c r="L1613" s="11" t="n">
        <v>586662</v>
      </c>
      <c r="M1613" s="13" t="s">
        <v>44</v>
      </c>
      <c r="N1613" s="13" t="s">
        <v>36</v>
      </c>
      <c r="P1613" s="11" t="n">
        <v>167</v>
      </c>
      <c r="Q1613" s="13" t="s">
        <v>101</v>
      </c>
      <c r="R1613" s="13" t="s">
        <v>46</v>
      </c>
      <c r="S1613" s="11" t="n">
        <v>1130101</v>
      </c>
      <c r="T1613" s="13" t="s">
        <v>47</v>
      </c>
      <c r="U1613" s="14" t="n">
        <v>1142.4</v>
      </c>
      <c r="W1613" s="14" t="n">
        <v>1142.4</v>
      </c>
      <c r="X1613" s="13" t="s">
        <v>1619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1" t="n">
        <v>3</v>
      </c>
      <c r="B1614" s="12" t="n">
        <v>46245</v>
      </c>
      <c r="C1614" s="12" t="n">
        <v>46253</v>
      </c>
      <c r="D1614" s="11" t="n">
        <v>1609</v>
      </c>
      <c r="E1614" s="13" t="s">
        <v>410</v>
      </c>
      <c r="F1614" s="11" t="n">
        <v>24</v>
      </c>
      <c r="G1614" s="13" t="s">
        <v>42</v>
      </c>
      <c r="H1614" s="11" t="n">
        <v>2110405</v>
      </c>
      <c r="I1614" s="13" t="s">
        <v>34</v>
      </c>
      <c r="J1614" s="11" t="n">
        <v>1536963</v>
      </c>
      <c r="L1614" s="11" t="n">
        <v>5961</v>
      </c>
      <c r="M1614" s="13" t="s">
        <v>44</v>
      </c>
      <c r="N1614" s="13" t="s">
        <v>36</v>
      </c>
      <c r="P1614" s="11" t="n">
        <v>167</v>
      </c>
      <c r="Q1614" s="13" t="s">
        <v>101</v>
      </c>
      <c r="R1614" s="13" t="s">
        <v>46</v>
      </c>
      <c r="S1614" s="11" t="n">
        <v>1130101</v>
      </c>
      <c r="T1614" s="13" t="s">
        <v>47</v>
      </c>
      <c r="U1614" s="14" t="n">
        <v>919.3</v>
      </c>
      <c r="W1614" s="14" t="n">
        <v>919.3</v>
      </c>
      <c r="X1614" s="13" t="s">
        <v>1620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1" t="n">
        <v>3</v>
      </c>
      <c r="B1615" s="12" t="n">
        <v>46245</v>
      </c>
      <c r="C1615" s="12" t="n">
        <v>46253</v>
      </c>
      <c r="D1615" s="11" t="n">
        <v>1024</v>
      </c>
      <c r="E1615" s="13" t="s">
        <v>161</v>
      </c>
      <c r="F1615" s="11" t="n">
        <v>24</v>
      </c>
      <c r="G1615" s="13" t="s">
        <v>42</v>
      </c>
      <c r="H1615" s="11" t="n">
        <v>2110405</v>
      </c>
      <c r="I1615" s="13" t="s">
        <v>34</v>
      </c>
      <c r="J1615" s="11" t="n">
        <v>1537101</v>
      </c>
      <c r="L1615" s="11" t="n">
        <v>6205701</v>
      </c>
      <c r="M1615" s="13" t="s">
        <v>44</v>
      </c>
      <c r="N1615" s="13" t="s">
        <v>36</v>
      </c>
      <c r="P1615" s="11" t="n">
        <v>167</v>
      </c>
      <c r="Q1615" s="13" t="s">
        <v>101</v>
      </c>
      <c r="R1615" s="13" t="s">
        <v>46</v>
      </c>
      <c r="S1615" s="11" t="n">
        <v>1130101</v>
      </c>
      <c r="T1615" s="13" t="s">
        <v>47</v>
      </c>
      <c r="U1615" s="14" t="n">
        <v>222</v>
      </c>
      <c r="W1615" s="14" t="n">
        <v>222</v>
      </c>
      <c r="X1615" s="13" t="s">
        <v>1621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1" t="n">
        <v>3</v>
      </c>
      <c r="B1616" s="12" t="n">
        <v>46240</v>
      </c>
      <c r="C1616" s="12" t="n">
        <v>46253</v>
      </c>
      <c r="D1616" s="11" t="n">
        <v>1672</v>
      </c>
      <c r="E1616" s="13" t="s">
        <v>67</v>
      </c>
      <c r="F1616" s="11" t="n">
        <v>24</v>
      </c>
      <c r="G1616" s="13" t="s">
        <v>42</v>
      </c>
      <c r="H1616" s="11" t="n">
        <v>2110405</v>
      </c>
      <c r="I1616" s="13" t="s">
        <v>34</v>
      </c>
      <c r="J1616" s="11" t="n">
        <v>1542904</v>
      </c>
      <c r="L1616" s="11" t="n">
        <v>14173191</v>
      </c>
      <c r="M1616" s="13" t="s">
        <v>44</v>
      </c>
      <c r="N1616" s="13" t="s">
        <v>36</v>
      </c>
      <c r="P1616" s="11" t="n">
        <v>167</v>
      </c>
      <c r="Q1616" s="13" t="s">
        <v>101</v>
      </c>
      <c r="R1616" s="13" t="s">
        <v>46</v>
      </c>
      <c r="S1616" s="11" t="n">
        <v>1130101</v>
      </c>
      <c r="T1616" s="13" t="s">
        <v>47</v>
      </c>
      <c r="U1616" s="14" t="n">
        <v>362.5</v>
      </c>
      <c r="W1616" s="14" t="n">
        <v>362.5</v>
      </c>
      <c r="X1616" s="13" t="s">
        <v>1622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1" t="n">
        <v>3</v>
      </c>
      <c r="B1617" s="12" t="n">
        <v>46246</v>
      </c>
      <c r="C1617" s="12" t="n">
        <v>46253</v>
      </c>
      <c r="D1617" s="11" t="n">
        <v>10048</v>
      </c>
      <c r="E1617" s="13" t="s">
        <v>1623</v>
      </c>
      <c r="F1617" s="11" t="n">
        <v>24</v>
      </c>
      <c r="G1617" s="13" t="s">
        <v>42</v>
      </c>
      <c r="H1617" s="11" t="n">
        <v>2110405</v>
      </c>
      <c r="I1617" s="13" t="s">
        <v>34</v>
      </c>
      <c r="J1617" s="11" t="n">
        <v>1543786</v>
      </c>
      <c r="L1617" s="11" t="n">
        <v>30171</v>
      </c>
      <c r="M1617" s="13" t="s">
        <v>44</v>
      </c>
      <c r="N1617" s="13" t="s">
        <v>36</v>
      </c>
      <c r="P1617" s="11" t="n">
        <v>167</v>
      </c>
      <c r="Q1617" s="13" t="s">
        <v>101</v>
      </c>
      <c r="R1617" s="13" t="s">
        <v>46</v>
      </c>
      <c r="S1617" s="11" t="n">
        <v>1130101</v>
      </c>
      <c r="T1617" s="13" t="s">
        <v>47</v>
      </c>
      <c r="U1617" s="14" t="n">
        <v>481</v>
      </c>
      <c r="W1617" s="14" t="n">
        <v>481</v>
      </c>
      <c r="X1617" s="13" t="s">
        <v>1624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1" t="n">
        <v>3</v>
      </c>
      <c r="B1618" s="12" t="n">
        <v>46246</v>
      </c>
      <c r="C1618" s="12" t="n">
        <v>46253</v>
      </c>
      <c r="D1618" s="11" t="n">
        <v>10048</v>
      </c>
      <c r="E1618" s="13" t="s">
        <v>1623</v>
      </c>
      <c r="F1618" s="11" t="n">
        <v>24</v>
      </c>
      <c r="G1618" s="13" t="s">
        <v>42</v>
      </c>
      <c r="H1618" s="11" t="n">
        <v>2110405</v>
      </c>
      <c r="I1618" s="13" t="s">
        <v>34</v>
      </c>
      <c r="J1618" s="11" t="n">
        <v>1551902</v>
      </c>
      <c r="L1618" s="11" t="n">
        <v>747701</v>
      </c>
      <c r="M1618" s="13" t="s">
        <v>44</v>
      </c>
      <c r="N1618" s="13" t="s">
        <v>36</v>
      </c>
      <c r="P1618" s="11" t="n">
        <v>167</v>
      </c>
      <c r="Q1618" s="13" t="s">
        <v>101</v>
      </c>
      <c r="R1618" s="13" t="s">
        <v>46</v>
      </c>
      <c r="S1618" s="11" t="n">
        <v>1130101</v>
      </c>
      <c r="T1618" s="13" t="s">
        <v>47</v>
      </c>
      <c r="U1618" s="14" t="n">
        <v>401</v>
      </c>
      <c r="W1618" s="14" t="n">
        <v>401</v>
      </c>
      <c r="X1618" s="13" t="s">
        <v>1625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1" t="n">
        <v>3</v>
      </c>
      <c r="B1619" s="12" t="n">
        <v>46253</v>
      </c>
      <c r="C1619" s="12" t="n">
        <v>46253</v>
      </c>
      <c r="D1619" s="11" t="n">
        <v>42</v>
      </c>
      <c r="E1619" s="13" t="s">
        <v>80</v>
      </c>
      <c r="F1619" s="11" t="n">
        <v>13</v>
      </c>
      <c r="G1619" s="13" t="s">
        <v>81</v>
      </c>
      <c r="H1619" s="11" t="n">
        <v>2110101</v>
      </c>
      <c r="I1619" s="13" t="s">
        <v>43</v>
      </c>
      <c r="J1619" s="11" t="n">
        <v>1572636</v>
      </c>
      <c r="L1619" s="11" t="n">
        <v>4519</v>
      </c>
      <c r="M1619" s="13" t="s">
        <v>44</v>
      </c>
      <c r="N1619" s="13" t="s">
        <v>69</v>
      </c>
      <c r="P1619" s="11" t="n">
        <v>167</v>
      </c>
      <c r="Q1619" s="13" t="s">
        <v>101</v>
      </c>
      <c r="R1619" s="13" t="s">
        <v>46</v>
      </c>
      <c r="S1619" s="11" t="n">
        <v>1130101</v>
      </c>
      <c r="T1619" s="13" t="s">
        <v>47</v>
      </c>
      <c r="U1619" s="14" t="n">
        <v>125</v>
      </c>
      <c r="W1619" s="14" t="n">
        <v>125</v>
      </c>
      <c r="X1619" s="13" t="s">
        <v>1626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1" t="n">
        <v>3</v>
      </c>
      <c r="B1620" s="12" t="n">
        <v>46253</v>
      </c>
      <c r="C1620" s="12" t="n">
        <v>46253</v>
      </c>
      <c r="D1620" s="11" t="n">
        <v>42</v>
      </c>
      <c r="E1620" s="13" t="s">
        <v>80</v>
      </c>
      <c r="F1620" s="11" t="n">
        <v>13</v>
      </c>
      <c r="G1620" s="13" t="s">
        <v>81</v>
      </c>
      <c r="H1620" s="11" t="n">
        <v>2110101</v>
      </c>
      <c r="I1620" s="13" t="s">
        <v>43</v>
      </c>
      <c r="J1620" s="11" t="n">
        <v>1572665</v>
      </c>
      <c r="L1620" s="11" t="n">
        <v>4520</v>
      </c>
      <c r="M1620" s="13" t="s">
        <v>44</v>
      </c>
      <c r="N1620" s="13" t="s">
        <v>69</v>
      </c>
      <c r="P1620" s="11" t="n">
        <v>167</v>
      </c>
      <c r="Q1620" s="13" t="s">
        <v>101</v>
      </c>
      <c r="R1620" s="13" t="s">
        <v>46</v>
      </c>
      <c r="S1620" s="11" t="n">
        <v>1130101</v>
      </c>
      <c r="T1620" s="13" t="s">
        <v>47</v>
      </c>
      <c r="U1620" s="14" t="n">
        <v>124</v>
      </c>
      <c r="W1620" s="14" t="n">
        <v>124</v>
      </c>
      <c r="X1620" s="13" t="s">
        <v>1627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1" t="n">
        <v>3</v>
      </c>
      <c r="B1621" s="12" t="n">
        <v>46011</v>
      </c>
      <c r="C1621" s="12" t="n">
        <v>46254</v>
      </c>
      <c r="D1621" s="11" t="n">
        <v>514</v>
      </c>
      <c r="E1621" s="13" t="s">
        <v>32</v>
      </c>
      <c r="F1621" s="11" t="n">
        <v>34</v>
      </c>
      <c r="G1621" s="13" t="s">
        <v>33</v>
      </c>
      <c r="H1621" s="11" t="n">
        <v>2110405</v>
      </c>
      <c r="I1621" s="13" t="s">
        <v>34</v>
      </c>
      <c r="J1621" s="11" t="n">
        <v>695960</v>
      </c>
      <c r="L1621" s="11" t="n">
        <v>3</v>
      </c>
      <c r="M1621" s="13" t="s">
        <v>1136</v>
      </c>
      <c r="N1621" s="13" t="s">
        <v>36</v>
      </c>
      <c r="P1621" s="11" t="n">
        <v>101</v>
      </c>
      <c r="Q1621" s="13" t="s">
        <v>37</v>
      </c>
      <c r="R1621" s="13" t="s">
        <v>38</v>
      </c>
      <c r="S1621" s="11" t="n">
        <v>4210210</v>
      </c>
      <c r="T1621" s="13" t="s">
        <v>39</v>
      </c>
      <c r="U1621" s="14" t="n">
        <v>807.37</v>
      </c>
      <c r="W1621" s="14" t="n">
        <v>807.37</v>
      </c>
      <c r="X1621" s="13" t="s">
        <v>1628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1" t="n">
        <v>3</v>
      </c>
      <c r="B1622" s="12" t="n">
        <v>46223</v>
      </c>
      <c r="C1622" s="12" t="n">
        <v>46254</v>
      </c>
      <c r="D1622" s="11" t="n">
        <v>33</v>
      </c>
      <c r="E1622" s="13" t="s">
        <v>71</v>
      </c>
      <c r="F1622" s="11" t="n">
        <v>34</v>
      </c>
      <c r="G1622" s="13" t="s">
        <v>33</v>
      </c>
      <c r="H1622" s="11" t="n">
        <v>2110405</v>
      </c>
      <c r="I1622" s="13" t="s">
        <v>34</v>
      </c>
      <c r="J1622" s="11" t="n">
        <v>1424252</v>
      </c>
      <c r="L1622" s="11" t="n">
        <v>222229</v>
      </c>
      <c r="M1622" s="13" t="s">
        <v>150</v>
      </c>
      <c r="N1622" s="13" t="s">
        <v>36</v>
      </c>
      <c r="P1622" s="11" t="n">
        <v>101</v>
      </c>
      <c r="Q1622" s="13" t="s">
        <v>37</v>
      </c>
      <c r="R1622" s="13" t="s">
        <v>63</v>
      </c>
      <c r="S1622" s="11" t="n">
        <v>4210107</v>
      </c>
      <c r="T1622" s="13" t="s">
        <v>530</v>
      </c>
      <c r="U1622" s="14" t="n">
        <v>203.75</v>
      </c>
      <c r="W1622" s="14" t="n">
        <v>203.75</v>
      </c>
      <c r="X1622" s="13" t="s">
        <v>1160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/>
      <c r="AC1622" s="1"/>
    </row>
    <row r="1623" customFormat="false" ht="12.75" hidden="false" customHeight="true" outlineLevel="0" collapsed="false">
      <c r="A1623" s="11" t="n">
        <v>3</v>
      </c>
      <c r="B1623" s="12" t="n">
        <v>46223</v>
      </c>
      <c r="C1623" s="12" t="n">
        <v>46254</v>
      </c>
      <c r="D1623" s="11" t="n">
        <v>17</v>
      </c>
      <c r="E1623" s="13" t="s">
        <v>1291</v>
      </c>
      <c r="F1623" s="11" t="n">
        <v>34</v>
      </c>
      <c r="G1623" s="13" t="s">
        <v>33</v>
      </c>
      <c r="H1623" s="11" t="n">
        <v>2110405</v>
      </c>
      <c r="I1623" s="13" t="s">
        <v>34</v>
      </c>
      <c r="J1623" s="11" t="n">
        <v>1464473</v>
      </c>
      <c r="L1623" s="11" t="n">
        <v>227845</v>
      </c>
      <c r="M1623" s="13" t="s">
        <v>150</v>
      </c>
      <c r="N1623" s="13" t="s">
        <v>36</v>
      </c>
      <c r="P1623" s="11" t="n">
        <v>101</v>
      </c>
      <c r="Q1623" s="13" t="s">
        <v>37</v>
      </c>
      <c r="R1623" s="13" t="s">
        <v>203</v>
      </c>
      <c r="S1623" s="11" t="n">
        <v>4220199</v>
      </c>
      <c r="T1623" s="13" t="s">
        <v>204</v>
      </c>
      <c r="U1623" s="14" t="n">
        <v>2600</v>
      </c>
      <c r="W1623" s="14" t="n">
        <v>2600</v>
      </c>
      <c r="X1623" s="13" t="s">
        <v>1292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1" t="n">
        <v>3</v>
      </c>
      <c r="B1624" s="12" t="n">
        <v>46231</v>
      </c>
      <c r="C1624" s="12" t="n">
        <v>46254</v>
      </c>
      <c r="D1624" s="11" t="n">
        <v>10028</v>
      </c>
      <c r="E1624" s="13" t="s">
        <v>590</v>
      </c>
      <c r="F1624" s="11" t="n">
        <v>24</v>
      </c>
      <c r="G1624" s="13" t="s">
        <v>42</v>
      </c>
      <c r="H1624" s="11" t="n">
        <v>2110405</v>
      </c>
      <c r="I1624" s="13" t="s">
        <v>34</v>
      </c>
      <c r="J1624" s="11" t="n">
        <v>1464619</v>
      </c>
      <c r="L1624" s="11" t="n">
        <v>227869</v>
      </c>
      <c r="M1624" s="13" t="s">
        <v>44</v>
      </c>
      <c r="N1624" s="13" t="s">
        <v>36</v>
      </c>
      <c r="P1624" s="11" t="n">
        <v>101</v>
      </c>
      <c r="Q1624" s="13" t="s">
        <v>37</v>
      </c>
      <c r="R1624" s="13" t="s">
        <v>72</v>
      </c>
      <c r="S1624" s="11" t="n">
        <v>4210315</v>
      </c>
      <c r="T1624" s="13" t="s">
        <v>438</v>
      </c>
      <c r="U1624" s="14" t="n">
        <v>595.9</v>
      </c>
      <c r="W1624" s="14" t="n">
        <v>595.9</v>
      </c>
      <c r="X1624" s="13" t="s">
        <v>591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1" t="n">
        <v>3</v>
      </c>
      <c r="B1625" s="12" t="n">
        <v>46232</v>
      </c>
      <c r="C1625" s="12" t="n">
        <v>46254</v>
      </c>
      <c r="D1625" s="11" t="n">
        <v>1718</v>
      </c>
      <c r="E1625" s="13" t="s">
        <v>408</v>
      </c>
      <c r="F1625" s="11" t="n">
        <v>24</v>
      </c>
      <c r="G1625" s="13" t="s">
        <v>42</v>
      </c>
      <c r="H1625" s="11" t="n">
        <v>2110405</v>
      </c>
      <c r="I1625" s="13" t="s">
        <v>34</v>
      </c>
      <c r="J1625" s="11" t="n">
        <v>1473785</v>
      </c>
      <c r="L1625" s="11" t="n">
        <v>8101042</v>
      </c>
      <c r="M1625" s="13" t="s">
        <v>44</v>
      </c>
      <c r="N1625" s="13" t="s">
        <v>36</v>
      </c>
      <c r="P1625" s="11" t="n">
        <v>167</v>
      </c>
      <c r="Q1625" s="13" t="s">
        <v>101</v>
      </c>
      <c r="R1625" s="13" t="s">
        <v>46</v>
      </c>
      <c r="S1625" s="11" t="n">
        <v>1130101</v>
      </c>
      <c r="T1625" s="13" t="s">
        <v>47</v>
      </c>
      <c r="U1625" s="14" t="n">
        <v>1000.47</v>
      </c>
      <c r="W1625" s="14" t="n">
        <v>1000.47</v>
      </c>
      <c r="X1625" s="13" t="s">
        <v>1629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TRIDENT MORANGO</v>
      </c>
      <c r="AC1625" s="1" t="n">
        <v>685877</v>
      </c>
    </row>
    <row r="1626" customFormat="false" ht="12.75" hidden="false" customHeight="true" outlineLevel="0" collapsed="false">
      <c r="A1626" s="11" t="n">
        <v>3</v>
      </c>
      <c r="B1626" s="12" t="n">
        <v>46233</v>
      </c>
      <c r="C1626" s="12" t="n">
        <v>46254</v>
      </c>
      <c r="D1626" s="11" t="n">
        <v>10009</v>
      </c>
      <c r="E1626" s="13" t="s">
        <v>373</v>
      </c>
      <c r="F1626" s="11" t="n">
        <v>24</v>
      </c>
      <c r="G1626" s="13" t="s">
        <v>42</v>
      </c>
      <c r="H1626" s="11" t="n">
        <v>2110405</v>
      </c>
      <c r="I1626" s="13" t="s">
        <v>34</v>
      </c>
      <c r="J1626" s="11" t="n">
        <v>1495568</v>
      </c>
      <c r="L1626" s="11" t="n">
        <v>1434035</v>
      </c>
      <c r="M1626" s="13" t="s">
        <v>44</v>
      </c>
      <c r="N1626" s="13" t="s">
        <v>36</v>
      </c>
      <c r="P1626" s="11" t="n">
        <v>167</v>
      </c>
      <c r="Q1626" s="13" t="s">
        <v>101</v>
      </c>
      <c r="R1626" s="13" t="s">
        <v>46</v>
      </c>
      <c r="S1626" s="11" t="n">
        <v>1130101</v>
      </c>
      <c r="T1626" s="13" t="s">
        <v>47</v>
      </c>
      <c r="U1626" s="14" t="n">
        <v>228.24</v>
      </c>
      <c r="W1626" s="14" t="n">
        <v>228.24</v>
      </c>
      <c r="X1626" s="13" t="s">
        <v>1630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PSTMP BISC RECH CHOC 130G</v>
      </c>
      <c r="AC1626" s="1" t="n">
        <v>1434035</v>
      </c>
    </row>
    <row r="1627" customFormat="false" ht="12.75" hidden="false" customHeight="true" outlineLevel="0" collapsed="false">
      <c r="A1627" s="11" t="n">
        <v>3</v>
      </c>
      <c r="B1627" s="12" t="n">
        <v>46239</v>
      </c>
      <c r="C1627" s="12" t="n">
        <v>46254</v>
      </c>
      <c r="D1627" s="11" t="n">
        <v>1612</v>
      </c>
      <c r="E1627" s="13" t="s">
        <v>264</v>
      </c>
      <c r="F1627" s="11" t="n">
        <v>24</v>
      </c>
      <c r="G1627" s="13" t="s">
        <v>42</v>
      </c>
      <c r="H1627" s="11" t="n">
        <v>2110405</v>
      </c>
      <c r="I1627" s="13" t="s">
        <v>34</v>
      </c>
      <c r="J1627" s="11" t="n">
        <v>1504101</v>
      </c>
      <c r="L1627" s="11" t="n">
        <v>23076071</v>
      </c>
      <c r="M1627" s="13" t="s">
        <v>44</v>
      </c>
      <c r="N1627" s="13" t="s">
        <v>36</v>
      </c>
      <c r="P1627" s="11" t="n">
        <v>167</v>
      </c>
      <c r="Q1627" s="13" t="s">
        <v>101</v>
      </c>
      <c r="R1627" s="13" t="s">
        <v>46</v>
      </c>
      <c r="S1627" s="11" t="n">
        <v>1130101</v>
      </c>
      <c r="T1627" s="13" t="s">
        <v>47</v>
      </c>
      <c r="U1627" s="14" t="n">
        <v>496.59</v>
      </c>
      <c r="W1627" s="14" t="n">
        <v>496.59</v>
      </c>
      <c r="X1627" s="13" t="s">
        <v>1631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AMENDOIM JAPONES DORI 30G</v>
      </c>
      <c r="AC1627" s="1" t="n">
        <v>2307607</v>
      </c>
    </row>
    <row r="1628" customFormat="false" ht="12.75" hidden="false" customHeight="true" outlineLevel="0" collapsed="false">
      <c r="A1628" s="11" t="n">
        <v>3</v>
      </c>
      <c r="B1628" s="12" t="n">
        <v>46239</v>
      </c>
      <c r="C1628" s="12" t="n">
        <v>46254</v>
      </c>
      <c r="D1628" s="11" t="n">
        <v>1612</v>
      </c>
      <c r="E1628" s="13" t="s">
        <v>264</v>
      </c>
      <c r="F1628" s="11" t="n">
        <v>24</v>
      </c>
      <c r="G1628" s="13" t="s">
        <v>42</v>
      </c>
      <c r="H1628" s="11" t="n">
        <v>2110405</v>
      </c>
      <c r="I1628" s="13" t="s">
        <v>34</v>
      </c>
      <c r="J1628" s="11" t="n">
        <v>1504128</v>
      </c>
      <c r="L1628" s="11" t="n">
        <v>23076081</v>
      </c>
      <c r="M1628" s="13" t="s">
        <v>44</v>
      </c>
      <c r="N1628" s="13" t="s">
        <v>36</v>
      </c>
      <c r="P1628" s="11" t="n">
        <v>167</v>
      </c>
      <c r="Q1628" s="13" t="s">
        <v>101</v>
      </c>
      <c r="R1628" s="13" t="s">
        <v>46</v>
      </c>
      <c r="S1628" s="11" t="n">
        <v>1130101</v>
      </c>
      <c r="T1628" s="13" t="s">
        <v>47</v>
      </c>
      <c r="U1628" s="14" t="n">
        <v>368.38</v>
      </c>
      <c r="W1628" s="14" t="n">
        <v>368.38</v>
      </c>
      <c r="X1628" s="13" t="s">
        <v>1632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OVO KINDER JOY 20G</v>
      </c>
      <c r="AC1628" s="1" t="n">
        <v>2307608</v>
      </c>
    </row>
    <row r="1629" customFormat="false" ht="12.75" hidden="false" customHeight="true" outlineLevel="0" collapsed="false">
      <c r="A1629" s="11" t="n">
        <v>3</v>
      </c>
      <c r="B1629" s="12" t="n">
        <v>46234</v>
      </c>
      <c r="C1629" s="12" t="n">
        <v>46254</v>
      </c>
      <c r="D1629" s="11" t="n">
        <v>1672</v>
      </c>
      <c r="E1629" s="13" t="s">
        <v>67</v>
      </c>
      <c r="F1629" s="11" t="n">
        <v>24</v>
      </c>
      <c r="G1629" s="13" t="s">
        <v>42</v>
      </c>
      <c r="H1629" s="11" t="n">
        <v>2110405</v>
      </c>
      <c r="I1629" s="13" t="s">
        <v>34</v>
      </c>
      <c r="J1629" s="11" t="n">
        <v>1504748</v>
      </c>
      <c r="L1629" s="11" t="n">
        <v>14118642</v>
      </c>
      <c r="M1629" s="13" t="s">
        <v>44</v>
      </c>
      <c r="N1629" s="13" t="s">
        <v>36</v>
      </c>
      <c r="P1629" s="11" t="n">
        <v>167</v>
      </c>
      <c r="Q1629" s="13" t="s">
        <v>101</v>
      </c>
      <c r="R1629" s="13" t="s">
        <v>46</v>
      </c>
      <c r="S1629" s="11" t="n">
        <v>1130101</v>
      </c>
      <c r="T1629" s="13" t="s">
        <v>47</v>
      </c>
      <c r="U1629" s="14" t="n">
        <v>245</v>
      </c>
      <c r="W1629" s="14" t="n">
        <v>245</v>
      </c>
      <c r="X1629" s="13" t="s">
        <v>1633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AGUACRIM 20L</v>
      </c>
      <c r="AC1629" s="1" t="n">
        <v>1411864</v>
      </c>
    </row>
    <row r="1630" customFormat="false" ht="12.75" hidden="false" customHeight="true" outlineLevel="0" collapsed="false">
      <c r="A1630" s="11" t="n">
        <v>3</v>
      </c>
      <c r="B1630" s="12" t="n">
        <v>46239</v>
      </c>
      <c r="C1630" s="12" t="n">
        <v>46254</v>
      </c>
      <c r="D1630" s="11" t="n">
        <v>1601</v>
      </c>
      <c r="E1630" s="13" t="s">
        <v>155</v>
      </c>
      <c r="F1630" s="11" t="n">
        <v>24</v>
      </c>
      <c r="G1630" s="13" t="s">
        <v>42</v>
      </c>
      <c r="H1630" s="11" t="n">
        <v>2110405</v>
      </c>
      <c r="I1630" s="13" t="s">
        <v>34</v>
      </c>
      <c r="J1630" s="11" t="n">
        <v>1508046</v>
      </c>
      <c r="L1630" s="11" t="n">
        <v>9610981</v>
      </c>
      <c r="M1630" s="13" t="s">
        <v>44</v>
      </c>
      <c r="N1630" s="13" t="s">
        <v>36</v>
      </c>
      <c r="P1630" s="11" t="n">
        <v>167</v>
      </c>
      <c r="Q1630" s="13" t="s">
        <v>101</v>
      </c>
      <c r="R1630" s="13" t="s">
        <v>46</v>
      </c>
      <c r="S1630" s="11" t="n">
        <v>1130101</v>
      </c>
      <c r="T1630" s="13" t="s">
        <v>47</v>
      </c>
      <c r="U1630" s="14" t="n">
        <v>477.88</v>
      </c>
      <c r="W1630" s="14" t="n">
        <v>477.88</v>
      </c>
      <c r="X1630" s="13" t="s">
        <v>1634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TRIGO TRIGOLAR C/F1K</v>
      </c>
      <c r="AC1630" s="1" t="n">
        <v>860572</v>
      </c>
    </row>
    <row r="1631" customFormat="false" ht="12.75" hidden="false" customHeight="true" outlineLevel="0" collapsed="false">
      <c r="A1631" s="11" t="n">
        <v>3</v>
      </c>
      <c r="B1631" s="12" t="n">
        <v>46240</v>
      </c>
      <c r="C1631" s="12" t="n">
        <v>46254</v>
      </c>
      <c r="D1631" s="11" t="n">
        <v>1643</v>
      </c>
      <c r="E1631" s="13" t="s">
        <v>198</v>
      </c>
      <c r="F1631" s="11" t="n">
        <v>24</v>
      </c>
      <c r="G1631" s="13" t="s">
        <v>42</v>
      </c>
      <c r="H1631" s="11" t="n">
        <v>2110405</v>
      </c>
      <c r="I1631" s="13" t="s">
        <v>34</v>
      </c>
      <c r="J1631" s="11" t="n">
        <v>1509613</v>
      </c>
      <c r="L1631" s="11" t="n">
        <v>108091</v>
      </c>
      <c r="M1631" s="13" t="s">
        <v>44</v>
      </c>
      <c r="N1631" s="13" t="s">
        <v>36</v>
      </c>
      <c r="P1631" s="11" t="n">
        <v>167</v>
      </c>
      <c r="Q1631" s="13" t="s">
        <v>101</v>
      </c>
      <c r="R1631" s="13" t="s">
        <v>46</v>
      </c>
      <c r="S1631" s="11" t="n">
        <v>1130101</v>
      </c>
      <c r="T1631" s="13" t="s">
        <v>47</v>
      </c>
      <c r="U1631" s="14" t="n">
        <v>228</v>
      </c>
      <c r="W1631" s="14" t="n">
        <v>228</v>
      </c>
      <c r="X1631" s="13" t="s">
        <v>1635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COCADA CASMORENINH</v>
      </c>
      <c r="AC1631" s="1" t="n">
        <v>10809</v>
      </c>
    </row>
    <row r="1632" customFormat="false" ht="12.75" hidden="false" customHeight="true" outlineLevel="0" collapsed="false">
      <c r="A1632" s="11" t="n">
        <v>3</v>
      </c>
      <c r="B1632" s="12" t="n">
        <v>46239</v>
      </c>
      <c r="C1632" s="12" t="n">
        <v>46254</v>
      </c>
      <c r="D1632" s="11" t="n">
        <v>1107</v>
      </c>
      <c r="E1632" s="13" t="s">
        <v>165</v>
      </c>
      <c r="F1632" s="11" t="n">
        <v>24</v>
      </c>
      <c r="G1632" s="13" t="s">
        <v>42</v>
      </c>
      <c r="H1632" s="11" t="n">
        <v>2110405</v>
      </c>
      <c r="I1632" s="13" t="s">
        <v>34</v>
      </c>
      <c r="J1632" s="11" t="n">
        <v>1509618</v>
      </c>
      <c r="L1632" s="11" t="n">
        <v>4383351</v>
      </c>
      <c r="M1632" s="13" t="s">
        <v>44</v>
      </c>
      <c r="N1632" s="13" t="s">
        <v>36</v>
      </c>
      <c r="P1632" s="11" t="n">
        <v>167</v>
      </c>
      <c r="Q1632" s="13" t="s">
        <v>101</v>
      </c>
      <c r="R1632" s="13" t="s">
        <v>46</v>
      </c>
      <c r="S1632" s="11" t="n">
        <v>1130101</v>
      </c>
      <c r="T1632" s="13" t="s">
        <v>47</v>
      </c>
      <c r="U1632" s="14" t="n">
        <v>984.44</v>
      </c>
      <c r="W1632" s="14" t="n">
        <v>984.44</v>
      </c>
      <c r="X1632" s="13" t="s">
        <v>1636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BOLINHO MORANGO 7308</v>
      </c>
      <c r="AC1632" s="1" t="n">
        <v>438335</v>
      </c>
    </row>
    <row r="1633" customFormat="false" ht="12.75" hidden="false" customHeight="true" outlineLevel="0" collapsed="false">
      <c r="A1633" s="11" t="n">
        <v>3</v>
      </c>
      <c r="B1633" s="12" t="n">
        <v>46239</v>
      </c>
      <c r="C1633" s="12" t="n">
        <v>46254</v>
      </c>
      <c r="D1633" s="11" t="n">
        <v>1667</v>
      </c>
      <c r="E1633" s="13" t="s">
        <v>807</v>
      </c>
      <c r="F1633" s="11" t="n">
        <v>24</v>
      </c>
      <c r="G1633" s="13" t="s">
        <v>42</v>
      </c>
      <c r="H1633" s="11" t="n">
        <v>2110405</v>
      </c>
      <c r="I1633" s="13" t="s">
        <v>34</v>
      </c>
      <c r="J1633" s="11" t="n">
        <v>1509699</v>
      </c>
      <c r="L1633" s="11" t="n">
        <v>3978882</v>
      </c>
      <c r="M1633" s="13" t="s">
        <v>44</v>
      </c>
      <c r="N1633" s="13" t="s">
        <v>36</v>
      </c>
      <c r="P1633" s="11" t="n">
        <v>167</v>
      </c>
      <c r="Q1633" s="13" t="s">
        <v>101</v>
      </c>
      <c r="R1633" s="13" t="s">
        <v>46</v>
      </c>
      <c r="S1633" s="11" t="n">
        <v>1130101</v>
      </c>
      <c r="T1633" s="13" t="s">
        <v>47</v>
      </c>
      <c r="U1633" s="14" t="n">
        <v>610.15</v>
      </c>
      <c r="W1633" s="14" t="n">
        <v>610.15</v>
      </c>
      <c r="X1633" s="13" t="s">
        <v>1637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MILHO PRA PIPOCA DON</v>
      </c>
      <c r="AC1633" s="1" t="n">
        <v>397888</v>
      </c>
    </row>
    <row r="1634" customFormat="false" ht="12.75" hidden="false" customHeight="true" outlineLevel="0" collapsed="false">
      <c r="A1634" s="11" t="n">
        <v>3</v>
      </c>
      <c r="B1634" s="12" t="n">
        <v>46240</v>
      </c>
      <c r="C1634" s="12" t="n">
        <v>46254</v>
      </c>
      <c r="D1634" s="11" t="n">
        <v>1723</v>
      </c>
      <c r="E1634" s="13" t="s">
        <v>76</v>
      </c>
      <c r="F1634" s="11" t="n">
        <v>24</v>
      </c>
      <c r="G1634" s="13" t="s">
        <v>42</v>
      </c>
      <c r="H1634" s="11" t="n">
        <v>2110405</v>
      </c>
      <c r="I1634" s="13" t="s">
        <v>34</v>
      </c>
      <c r="J1634" s="11" t="n">
        <v>1512771</v>
      </c>
      <c r="L1634" s="11" t="n">
        <v>58795</v>
      </c>
      <c r="M1634" s="13" t="s">
        <v>44</v>
      </c>
      <c r="N1634" s="13" t="s">
        <v>36</v>
      </c>
      <c r="P1634" s="11" t="n">
        <v>167</v>
      </c>
      <c r="Q1634" s="13" t="s">
        <v>101</v>
      </c>
      <c r="R1634" s="13" t="s">
        <v>46</v>
      </c>
      <c r="S1634" s="11" t="n">
        <v>1130101</v>
      </c>
      <c r="T1634" s="13" t="s">
        <v>47</v>
      </c>
      <c r="U1634" s="14" t="n">
        <v>1194.6</v>
      </c>
      <c r="W1634" s="14" t="n">
        <v>1194.6</v>
      </c>
      <c r="X1634" s="13" t="s">
        <v>1638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DIANTEIRO DE BOI L</v>
      </c>
      <c r="AC1634" s="1" t="n">
        <v>174443</v>
      </c>
    </row>
    <row r="1635" customFormat="false" ht="12.75" hidden="false" customHeight="true" outlineLevel="0" collapsed="false">
      <c r="A1635" s="11" t="n">
        <v>3</v>
      </c>
      <c r="B1635" s="12" t="n">
        <v>46247</v>
      </c>
      <c r="C1635" s="12" t="n">
        <v>46254</v>
      </c>
      <c r="D1635" s="11" t="n">
        <v>1723</v>
      </c>
      <c r="E1635" s="13" t="s">
        <v>76</v>
      </c>
      <c r="F1635" s="11" t="n">
        <v>24</v>
      </c>
      <c r="G1635" s="13" t="s">
        <v>42</v>
      </c>
      <c r="H1635" s="11" t="n">
        <v>2110405</v>
      </c>
      <c r="I1635" s="13" t="s">
        <v>34</v>
      </c>
      <c r="J1635" s="11" t="n">
        <v>1545622</v>
      </c>
      <c r="L1635" s="11" t="n">
        <v>595071</v>
      </c>
      <c r="M1635" s="13" t="s">
        <v>44</v>
      </c>
      <c r="N1635" s="13" t="s">
        <v>36</v>
      </c>
      <c r="P1635" s="11" t="n">
        <v>167</v>
      </c>
      <c r="Q1635" s="13" t="s">
        <v>101</v>
      </c>
      <c r="R1635" s="13" t="s">
        <v>46</v>
      </c>
      <c r="S1635" s="11" t="n">
        <v>1130101</v>
      </c>
      <c r="T1635" s="13" t="s">
        <v>47</v>
      </c>
      <c r="U1635" s="14" t="n">
        <v>2260.33</v>
      </c>
      <c r="W1635" s="14" t="n">
        <v>2260.33</v>
      </c>
      <c r="X1635" s="13" t="s">
        <v>1639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174810</v>
      </c>
    </row>
    <row r="1636" customFormat="false" ht="12.75" hidden="false" customHeight="true" outlineLevel="0" collapsed="false">
      <c r="A1636" s="11" t="n">
        <v>3</v>
      </c>
      <c r="B1636" s="12" t="n">
        <v>46246</v>
      </c>
      <c r="C1636" s="12" t="n">
        <v>46254</v>
      </c>
      <c r="D1636" s="11" t="n">
        <v>1814</v>
      </c>
      <c r="E1636" s="13" t="s">
        <v>339</v>
      </c>
      <c r="F1636" s="11" t="n">
        <v>24</v>
      </c>
      <c r="G1636" s="13" t="s">
        <v>42</v>
      </c>
      <c r="H1636" s="11" t="n">
        <v>2110405</v>
      </c>
      <c r="I1636" s="13" t="s">
        <v>34</v>
      </c>
      <c r="J1636" s="11" t="n">
        <v>1542965</v>
      </c>
      <c r="L1636" s="11" t="n">
        <v>283531</v>
      </c>
      <c r="M1636" s="13" t="s">
        <v>44</v>
      </c>
      <c r="N1636" s="13" t="s">
        <v>36</v>
      </c>
      <c r="P1636" s="11" t="n">
        <v>167</v>
      </c>
      <c r="Q1636" s="13" t="s">
        <v>101</v>
      </c>
      <c r="R1636" s="13" t="s">
        <v>46</v>
      </c>
      <c r="S1636" s="11" t="n">
        <v>1130101</v>
      </c>
      <c r="T1636" s="13" t="s">
        <v>47</v>
      </c>
      <c r="U1636" s="14" t="n">
        <v>730.72</v>
      </c>
      <c r="W1636" s="14" t="n">
        <v>730.72</v>
      </c>
      <c r="X1636" s="13" t="s">
        <v>1640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POLPA GRAVIOLA 100G</v>
      </c>
      <c r="AC1636" s="1" t="n">
        <v>28353</v>
      </c>
    </row>
    <row r="1637" customFormat="false" ht="12.75" hidden="false" customHeight="true" outlineLevel="0" collapsed="false">
      <c r="A1637" s="11" t="n">
        <v>3</v>
      </c>
      <c r="B1637" s="12" t="n">
        <v>46246</v>
      </c>
      <c r="C1637" s="12" t="n">
        <v>46254</v>
      </c>
      <c r="D1637" s="11" t="n">
        <v>1642</v>
      </c>
      <c r="E1637" s="13" t="s">
        <v>274</v>
      </c>
      <c r="F1637" s="11" t="n">
        <v>24</v>
      </c>
      <c r="G1637" s="13" t="s">
        <v>42</v>
      </c>
      <c r="H1637" s="11" t="n">
        <v>2110405</v>
      </c>
      <c r="I1637" s="13" t="s">
        <v>34</v>
      </c>
      <c r="J1637" s="11" t="n">
        <v>1543002</v>
      </c>
      <c r="L1637" s="11" t="n">
        <v>1036551</v>
      </c>
      <c r="M1637" s="13" t="s">
        <v>44</v>
      </c>
      <c r="N1637" s="13" t="s">
        <v>36</v>
      </c>
      <c r="P1637" s="11" t="n">
        <v>167</v>
      </c>
      <c r="Q1637" s="13" t="s">
        <v>101</v>
      </c>
      <c r="R1637" s="13" t="s">
        <v>46</v>
      </c>
      <c r="S1637" s="11" t="n">
        <v>1130101</v>
      </c>
      <c r="T1637" s="13" t="s">
        <v>47</v>
      </c>
      <c r="U1637" s="14" t="n">
        <v>552.02</v>
      </c>
      <c r="W1637" s="14" t="n">
        <v>552.02</v>
      </c>
      <c r="X1637" s="13" t="s">
        <v>1641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DE FORMA BROTHER</v>
      </c>
      <c r="AC1637" s="1" t="n">
        <v>1036555</v>
      </c>
    </row>
    <row r="1638" customFormat="false" ht="12.75" hidden="false" customHeight="true" outlineLevel="0" collapsed="false">
      <c r="A1638" s="11" t="n">
        <v>3</v>
      </c>
      <c r="B1638" s="12" t="n">
        <v>46247</v>
      </c>
      <c r="C1638" s="12" t="n">
        <v>46254</v>
      </c>
      <c r="D1638" s="11" t="n">
        <v>10063</v>
      </c>
      <c r="E1638" s="13" t="s">
        <v>218</v>
      </c>
      <c r="F1638" s="11" t="n">
        <v>24</v>
      </c>
      <c r="G1638" s="13" t="s">
        <v>42</v>
      </c>
      <c r="H1638" s="11" t="n">
        <v>2110405</v>
      </c>
      <c r="I1638" s="13" t="s">
        <v>34</v>
      </c>
      <c r="J1638" s="11" t="n">
        <v>1545750</v>
      </c>
      <c r="L1638" s="11" t="n">
        <v>2703</v>
      </c>
      <c r="M1638" s="13" t="s">
        <v>44</v>
      </c>
      <c r="N1638" s="13" t="s">
        <v>36</v>
      </c>
      <c r="P1638" s="11" t="n">
        <v>167</v>
      </c>
      <c r="Q1638" s="13" t="s">
        <v>101</v>
      </c>
      <c r="R1638" s="13" t="s">
        <v>46</v>
      </c>
      <c r="S1638" s="11" t="n">
        <v>1130101</v>
      </c>
      <c r="T1638" s="13" t="s">
        <v>47</v>
      </c>
      <c r="U1638" s="14" t="n">
        <v>1865</v>
      </c>
      <c r="W1638" s="14" t="n">
        <v>1865</v>
      </c>
      <c r="X1638" s="13" t="s">
        <v>1642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MARROM UNID</v>
      </c>
      <c r="AC1638" s="1" t="n">
        <v>2703</v>
      </c>
    </row>
    <row r="1639" customFormat="false" ht="12.75" hidden="false" customHeight="true" outlineLevel="0" collapsed="false">
      <c r="A1639" s="11" t="n">
        <v>3</v>
      </c>
      <c r="B1639" s="12" t="n">
        <v>46251</v>
      </c>
      <c r="C1639" s="12" t="n">
        <v>46254</v>
      </c>
      <c r="D1639" s="11" t="n">
        <v>1947</v>
      </c>
      <c r="E1639" s="13" t="s">
        <v>518</v>
      </c>
      <c r="F1639" s="11" t="n">
        <v>34</v>
      </c>
      <c r="G1639" s="13" t="s">
        <v>33</v>
      </c>
      <c r="H1639" s="11" t="n">
        <v>2110405</v>
      </c>
      <c r="I1639" s="13" t="s">
        <v>34</v>
      </c>
      <c r="J1639" s="11" t="n">
        <v>1561660</v>
      </c>
      <c r="L1639" s="11" t="n">
        <v>7</v>
      </c>
      <c r="M1639" s="13" t="s">
        <v>44</v>
      </c>
      <c r="N1639" s="13" t="s">
        <v>36</v>
      </c>
      <c r="P1639" s="11" t="n">
        <v>101</v>
      </c>
      <c r="Q1639" s="13" t="s">
        <v>37</v>
      </c>
      <c r="R1639" s="13" t="s">
        <v>565</v>
      </c>
      <c r="S1639" s="11" t="n">
        <v>2110707</v>
      </c>
      <c r="T1639" s="13" t="s">
        <v>566</v>
      </c>
      <c r="U1639" s="14" t="n">
        <v>2045.22</v>
      </c>
      <c r="W1639" s="14" t="n">
        <v>2045.22</v>
      </c>
      <c r="X1639" s="13" t="s">
        <v>1643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46251</v>
      </c>
      <c r="C1640" s="12" t="n">
        <v>46254</v>
      </c>
      <c r="D1640" s="11" t="n">
        <v>642</v>
      </c>
      <c r="E1640" s="13" t="s">
        <v>135</v>
      </c>
      <c r="F1640" s="11" t="n">
        <v>24</v>
      </c>
      <c r="G1640" s="13" t="s">
        <v>42</v>
      </c>
      <c r="H1640" s="11" t="n">
        <v>2110405</v>
      </c>
      <c r="I1640" s="13" t="s">
        <v>34</v>
      </c>
      <c r="J1640" s="11" t="n">
        <v>1568158</v>
      </c>
      <c r="L1640" s="11" t="n">
        <v>606</v>
      </c>
      <c r="M1640" s="13" t="s">
        <v>44</v>
      </c>
      <c r="N1640" s="13" t="s">
        <v>36</v>
      </c>
      <c r="P1640" s="11" t="n">
        <v>167</v>
      </c>
      <c r="Q1640" s="13" t="s">
        <v>101</v>
      </c>
      <c r="R1640" s="13" t="s">
        <v>46</v>
      </c>
      <c r="S1640" s="11" t="n">
        <v>1130101</v>
      </c>
      <c r="T1640" s="13" t="s">
        <v>47</v>
      </c>
      <c r="U1640" s="14" t="n">
        <v>240</v>
      </c>
      <c r="W1640" s="14" t="n">
        <v>240</v>
      </c>
      <c r="X1640" s="13" t="s">
        <v>1644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BOLO BLOOM 600G</v>
      </c>
      <c r="AC1640" s="1" t="n">
        <v>606</v>
      </c>
    </row>
    <row r="1641" customFormat="false" ht="12.75" hidden="false" customHeight="true" outlineLevel="0" collapsed="false">
      <c r="A1641" s="11" t="n">
        <v>3</v>
      </c>
      <c r="B1641" s="12" t="n">
        <v>46253</v>
      </c>
      <c r="C1641" s="12" t="n">
        <v>46254</v>
      </c>
      <c r="D1641" s="11" t="n">
        <v>1807</v>
      </c>
      <c r="E1641" s="13" t="s">
        <v>568</v>
      </c>
      <c r="F1641" s="11" t="n">
        <v>24</v>
      </c>
      <c r="G1641" s="13" t="s">
        <v>42</v>
      </c>
      <c r="H1641" s="11" t="n">
        <v>2110405</v>
      </c>
      <c r="I1641" s="13" t="s">
        <v>34</v>
      </c>
      <c r="J1641" s="11" t="n">
        <v>1572086</v>
      </c>
      <c r="L1641" s="11" t="n">
        <v>243023</v>
      </c>
      <c r="M1641" s="13" t="s">
        <v>44</v>
      </c>
      <c r="N1641" s="13" t="s">
        <v>36</v>
      </c>
      <c r="P1641" s="11" t="n">
        <v>101</v>
      </c>
      <c r="Q1641" s="13" t="s">
        <v>37</v>
      </c>
      <c r="R1641" s="13" t="s">
        <v>565</v>
      </c>
      <c r="S1641" s="11" t="n">
        <v>2110701</v>
      </c>
      <c r="T1641" s="13" t="s">
        <v>569</v>
      </c>
      <c r="U1641" s="14" t="n">
        <v>4049.11</v>
      </c>
      <c r="W1641" s="14" t="n">
        <v>4049.11</v>
      </c>
      <c r="X1641" s="13" t="s">
        <v>1645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/>
      <c r="AC1641" s="1"/>
    </row>
    <row r="1642" customFormat="false" ht="12.75" hidden="false" customHeight="true" outlineLevel="0" collapsed="false">
      <c r="A1642" s="11" t="n">
        <v>3</v>
      </c>
      <c r="B1642" s="12" t="n">
        <v>46253</v>
      </c>
      <c r="C1642" s="12" t="n">
        <v>46254</v>
      </c>
      <c r="D1642" s="11" t="n">
        <v>32</v>
      </c>
      <c r="E1642" s="13" t="s">
        <v>202</v>
      </c>
      <c r="F1642" s="11" t="n">
        <v>24</v>
      </c>
      <c r="G1642" s="13" t="s">
        <v>42</v>
      </c>
      <c r="H1642" s="11" t="n">
        <v>2110405</v>
      </c>
      <c r="I1642" s="13" t="s">
        <v>34</v>
      </c>
      <c r="J1642" s="11" t="n">
        <v>1572221</v>
      </c>
      <c r="L1642" s="11" t="n">
        <v>243036</v>
      </c>
      <c r="M1642" s="13" t="s">
        <v>44</v>
      </c>
      <c r="N1642" s="13" t="s">
        <v>36</v>
      </c>
      <c r="P1642" s="11" t="n">
        <v>101</v>
      </c>
      <c r="Q1642" s="13" t="s">
        <v>37</v>
      </c>
      <c r="R1642" s="13" t="s">
        <v>203</v>
      </c>
      <c r="S1642" s="11" t="n">
        <v>4220199</v>
      </c>
      <c r="T1642" s="13" t="s">
        <v>204</v>
      </c>
      <c r="U1642" s="14" t="n">
        <v>620</v>
      </c>
      <c r="W1642" s="14" t="n">
        <v>620</v>
      </c>
      <c r="X1642" s="13" t="s">
        <v>1646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1" t="n">
        <v>3</v>
      </c>
      <c r="B1643" s="12" t="n">
        <v>46253</v>
      </c>
      <c r="C1643" s="12" t="n">
        <v>46254</v>
      </c>
      <c r="D1643" s="11" t="n">
        <v>1947</v>
      </c>
      <c r="E1643" s="13" t="s">
        <v>518</v>
      </c>
      <c r="F1643" s="11" t="n">
        <v>34</v>
      </c>
      <c r="G1643" s="13" t="s">
        <v>33</v>
      </c>
      <c r="H1643" s="11" t="n">
        <v>2110405</v>
      </c>
      <c r="I1643" s="13" t="s">
        <v>34</v>
      </c>
      <c r="J1643" s="11" t="n">
        <v>1572587</v>
      </c>
      <c r="L1643" s="11" t="n">
        <v>243072</v>
      </c>
      <c r="M1643" s="13" t="s">
        <v>44</v>
      </c>
      <c r="N1643" s="13" t="s">
        <v>36</v>
      </c>
      <c r="P1643" s="11" t="n">
        <v>101</v>
      </c>
      <c r="Q1643" s="13" t="s">
        <v>37</v>
      </c>
      <c r="R1643" s="13" t="s">
        <v>72</v>
      </c>
      <c r="S1643" s="11" t="n">
        <v>4210303</v>
      </c>
      <c r="T1643" s="13" t="s">
        <v>521</v>
      </c>
      <c r="U1643" s="14" t="n">
        <v>1288.83</v>
      </c>
      <c r="W1643" s="14" t="n">
        <v>1288.83</v>
      </c>
      <c r="X1643" s="13" t="s">
        <v>1647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1" t="n">
        <v>3</v>
      </c>
      <c r="B1644" s="12" t="n">
        <v>46253</v>
      </c>
      <c r="C1644" s="12" t="n">
        <v>46254</v>
      </c>
      <c r="D1644" s="11" t="n">
        <v>1947</v>
      </c>
      <c r="E1644" s="13" t="s">
        <v>518</v>
      </c>
      <c r="F1644" s="11" t="n">
        <v>34</v>
      </c>
      <c r="G1644" s="13" t="s">
        <v>33</v>
      </c>
      <c r="H1644" s="11" t="n">
        <v>2110405</v>
      </c>
      <c r="I1644" s="13" t="s">
        <v>34</v>
      </c>
      <c r="J1644" s="11" t="n">
        <v>1572640</v>
      </c>
      <c r="L1644" s="11" t="n">
        <v>243078</v>
      </c>
      <c r="M1644" s="13" t="s">
        <v>44</v>
      </c>
      <c r="N1644" s="13" t="s">
        <v>36</v>
      </c>
      <c r="P1644" s="11" t="n">
        <v>101</v>
      </c>
      <c r="Q1644" s="13" t="s">
        <v>37</v>
      </c>
      <c r="R1644" s="13" t="s">
        <v>72</v>
      </c>
      <c r="S1644" s="11" t="n">
        <v>4210302</v>
      </c>
      <c r="T1644" s="13" t="s">
        <v>519</v>
      </c>
      <c r="U1644" s="14" t="n">
        <v>4326.37</v>
      </c>
      <c r="W1644" s="14" t="n">
        <v>4326.37</v>
      </c>
      <c r="X1644" s="13" t="s">
        <v>1648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1" t="n">
        <v>3</v>
      </c>
      <c r="B1645" s="12" t="n">
        <v>46253</v>
      </c>
      <c r="C1645" s="12" t="n">
        <v>46254</v>
      </c>
      <c r="D1645" s="11" t="n">
        <v>33</v>
      </c>
      <c r="E1645" s="13" t="s">
        <v>71</v>
      </c>
      <c r="F1645" s="11" t="n">
        <v>34</v>
      </c>
      <c r="G1645" s="13" t="s">
        <v>33</v>
      </c>
      <c r="H1645" s="11" t="n">
        <v>2110405</v>
      </c>
      <c r="I1645" s="13" t="s">
        <v>34</v>
      </c>
      <c r="J1645" s="11" t="n">
        <v>1572839</v>
      </c>
      <c r="L1645" s="11" t="n">
        <v>243103</v>
      </c>
      <c r="M1645" s="13" t="s">
        <v>44</v>
      </c>
      <c r="N1645" s="13" t="s">
        <v>36</v>
      </c>
      <c r="P1645" s="11" t="n">
        <v>101</v>
      </c>
      <c r="Q1645" s="13" t="s">
        <v>37</v>
      </c>
      <c r="R1645" s="13" t="s">
        <v>656</v>
      </c>
      <c r="S1645" s="11" t="n">
        <v>1140101</v>
      </c>
      <c r="T1645" s="13" t="s">
        <v>657</v>
      </c>
      <c r="U1645" s="14" t="n">
        <v>74.36</v>
      </c>
      <c r="W1645" s="14" t="n">
        <v>74.36</v>
      </c>
      <c r="X1645" s="13" t="s">
        <v>1649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1" t="n">
        <v>3</v>
      </c>
      <c r="B1646" s="12" t="n">
        <v>46254</v>
      </c>
      <c r="C1646" s="12" t="n">
        <v>46254</v>
      </c>
      <c r="D1646" s="11" t="n">
        <v>42</v>
      </c>
      <c r="E1646" s="13" t="s">
        <v>80</v>
      </c>
      <c r="F1646" s="11" t="n">
        <v>13</v>
      </c>
      <c r="G1646" s="13" t="s">
        <v>81</v>
      </c>
      <c r="H1646" s="11" t="n">
        <v>2110101</v>
      </c>
      <c r="I1646" s="13" t="s">
        <v>43</v>
      </c>
      <c r="J1646" s="11" t="n">
        <v>1575752</v>
      </c>
      <c r="L1646" s="11" t="n">
        <v>4523</v>
      </c>
      <c r="M1646" s="13" t="s">
        <v>44</v>
      </c>
      <c r="N1646" s="13" t="s">
        <v>69</v>
      </c>
      <c r="P1646" s="11" t="n">
        <v>167</v>
      </c>
      <c r="Q1646" s="13" t="s">
        <v>101</v>
      </c>
      <c r="R1646" s="13" t="s">
        <v>46</v>
      </c>
      <c r="S1646" s="11" t="n">
        <v>1130101</v>
      </c>
      <c r="T1646" s="13" t="s">
        <v>47</v>
      </c>
      <c r="U1646" s="14" t="n">
        <v>157</v>
      </c>
      <c r="W1646" s="14" t="n">
        <v>157</v>
      </c>
      <c r="X1646" s="13" t="s">
        <v>1650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1" t="n">
        <v>3</v>
      </c>
      <c r="B1647" s="12" t="n">
        <v>46254</v>
      </c>
      <c r="C1647" s="12" t="n">
        <v>46254</v>
      </c>
      <c r="D1647" s="11" t="n">
        <v>42</v>
      </c>
      <c r="E1647" s="13" t="s">
        <v>80</v>
      </c>
      <c r="F1647" s="11" t="n">
        <v>13</v>
      </c>
      <c r="G1647" s="13" t="s">
        <v>81</v>
      </c>
      <c r="H1647" s="11" t="n">
        <v>2110101</v>
      </c>
      <c r="I1647" s="13" t="s">
        <v>43</v>
      </c>
      <c r="J1647" s="11" t="n">
        <v>1575781</v>
      </c>
      <c r="L1647" s="11" t="n">
        <v>4524</v>
      </c>
      <c r="M1647" s="13" t="s">
        <v>44</v>
      </c>
      <c r="N1647" s="13" t="s">
        <v>69</v>
      </c>
      <c r="P1647" s="11" t="n">
        <v>167</v>
      </c>
      <c r="Q1647" s="13" t="s">
        <v>101</v>
      </c>
      <c r="R1647" s="13" t="s">
        <v>46</v>
      </c>
      <c r="S1647" s="11" t="n">
        <v>1130101</v>
      </c>
      <c r="T1647" s="13" t="s">
        <v>47</v>
      </c>
      <c r="U1647" s="14" t="n">
        <v>250</v>
      </c>
      <c r="W1647" s="14" t="n">
        <v>250</v>
      </c>
      <c r="X1647" s="13" t="s">
        <v>1123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46254</v>
      </c>
      <c r="C1648" s="12" t="n">
        <v>46254</v>
      </c>
      <c r="D1648" s="11" t="n">
        <v>42</v>
      </c>
      <c r="E1648" s="13" t="s">
        <v>80</v>
      </c>
      <c r="F1648" s="11" t="n">
        <v>13</v>
      </c>
      <c r="G1648" s="13" t="s">
        <v>81</v>
      </c>
      <c r="H1648" s="11" t="n">
        <v>2110101</v>
      </c>
      <c r="I1648" s="13" t="s">
        <v>43</v>
      </c>
      <c r="J1648" s="11" t="n">
        <v>1576169</v>
      </c>
      <c r="L1648" s="11" t="n">
        <v>4526</v>
      </c>
      <c r="M1648" s="13" t="s">
        <v>44</v>
      </c>
      <c r="N1648" s="13" t="s">
        <v>69</v>
      </c>
      <c r="P1648" s="11" t="n">
        <v>167</v>
      </c>
      <c r="Q1648" s="13" t="s">
        <v>101</v>
      </c>
      <c r="R1648" s="13" t="s">
        <v>46</v>
      </c>
      <c r="S1648" s="11" t="n">
        <v>1130101</v>
      </c>
      <c r="T1648" s="13" t="s">
        <v>47</v>
      </c>
      <c r="U1648" s="14" t="n">
        <v>37.38</v>
      </c>
      <c r="W1648" s="14" t="n">
        <v>37.38</v>
      </c>
      <c r="X1648" s="13" t="s">
        <v>1651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1" t="n">
        <v>3</v>
      </c>
      <c r="B1649" s="12" t="n">
        <v>46247</v>
      </c>
      <c r="C1649" s="12" t="n">
        <v>46255</v>
      </c>
      <c r="D1649" s="11" t="n">
        <v>1621</v>
      </c>
      <c r="E1649" s="13" t="s">
        <v>306</v>
      </c>
      <c r="F1649" s="11" t="n">
        <v>24</v>
      </c>
      <c r="G1649" s="13" t="s">
        <v>42</v>
      </c>
      <c r="H1649" s="11" t="n">
        <v>2110405</v>
      </c>
      <c r="I1649" s="13" t="s">
        <v>34</v>
      </c>
      <c r="J1649" s="11" t="n">
        <v>1552007</v>
      </c>
      <c r="L1649" s="11" t="n">
        <v>957023</v>
      </c>
      <c r="M1649" s="13" t="s">
        <v>44</v>
      </c>
      <c r="N1649" s="13" t="s">
        <v>36</v>
      </c>
      <c r="P1649" s="11" t="n">
        <v>167</v>
      </c>
      <c r="Q1649" s="13" t="s">
        <v>101</v>
      </c>
      <c r="R1649" s="13" t="s">
        <v>46</v>
      </c>
      <c r="S1649" s="11" t="n">
        <v>1130101</v>
      </c>
      <c r="T1649" s="13" t="s">
        <v>47</v>
      </c>
      <c r="U1649" s="14" t="n">
        <v>6686.96</v>
      </c>
      <c r="W1649" s="14" t="n">
        <v>6686.96</v>
      </c>
      <c r="X1649" s="13" t="s">
        <v>1652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CERV BRAHMA ZERO 350ML</v>
      </c>
      <c r="AC1649" s="1" t="n">
        <v>957023</v>
      </c>
    </row>
    <row r="1650" customFormat="false" ht="12.75" hidden="false" customHeight="true" outlineLevel="0" collapsed="false">
      <c r="A1650" s="11" t="n">
        <v>3</v>
      </c>
      <c r="B1650" s="12" t="n">
        <v>46252</v>
      </c>
      <c r="C1650" s="12" t="n">
        <v>46255</v>
      </c>
      <c r="D1650" s="11" t="n">
        <v>1615</v>
      </c>
      <c r="E1650" s="13" t="s">
        <v>130</v>
      </c>
      <c r="F1650" s="11" t="n">
        <v>34</v>
      </c>
      <c r="G1650" s="13" t="s">
        <v>33</v>
      </c>
      <c r="H1650" s="11" t="n">
        <v>2110405</v>
      </c>
      <c r="I1650" s="13" t="s">
        <v>34</v>
      </c>
      <c r="J1650" s="11" t="n">
        <v>1567590</v>
      </c>
      <c r="L1650" s="11" t="n">
        <v>15134</v>
      </c>
      <c r="M1650" s="13" t="s">
        <v>44</v>
      </c>
      <c r="N1650" s="13" t="s">
        <v>36</v>
      </c>
      <c r="P1650" s="11" t="n">
        <v>167</v>
      </c>
      <c r="Q1650" s="13" t="s">
        <v>101</v>
      </c>
      <c r="R1650" s="13" t="s">
        <v>46</v>
      </c>
      <c r="S1650" s="11" t="n">
        <v>1130101</v>
      </c>
      <c r="T1650" s="13" t="s">
        <v>47</v>
      </c>
      <c r="U1650" s="14" t="n">
        <v>450</v>
      </c>
      <c r="W1650" s="14" t="n">
        <v>450</v>
      </c>
      <c r="X1650" s="13" t="s">
        <v>1653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MACA FUJI KG</v>
      </c>
      <c r="AC1650" s="1" t="n">
        <v>15134</v>
      </c>
    </row>
    <row r="1651" customFormat="false" ht="12.75" hidden="false" customHeight="true" outlineLevel="0" collapsed="false">
      <c r="A1651" s="11" t="n">
        <v>3</v>
      </c>
      <c r="B1651" s="12" t="n">
        <v>46252</v>
      </c>
      <c r="C1651" s="12" t="n">
        <v>46255</v>
      </c>
      <c r="D1651" s="11" t="n">
        <v>1615</v>
      </c>
      <c r="E1651" s="13" t="s">
        <v>130</v>
      </c>
      <c r="F1651" s="11" t="n">
        <v>34</v>
      </c>
      <c r="G1651" s="13" t="s">
        <v>33</v>
      </c>
      <c r="H1651" s="11" t="n">
        <v>2110405</v>
      </c>
      <c r="I1651" s="13" t="s">
        <v>34</v>
      </c>
      <c r="J1651" s="11" t="n">
        <v>1567619</v>
      </c>
      <c r="L1651" s="11" t="n">
        <v>242504</v>
      </c>
      <c r="M1651" s="13" t="s">
        <v>44</v>
      </c>
      <c r="N1651" s="13" t="s">
        <v>36</v>
      </c>
      <c r="P1651" s="11" t="n">
        <v>167</v>
      </c>
      <c r="Q1651" s="13" t="s">
        <v>101</v>
      </c>
      <c r="R1651" s="13" t="s">
        <v>46</v>
      </c>
      <c r="S1651" s="11" t="n">
        <v>1130101</v>
      </c>
      <c r="T1651" s="13" t="s">
        <v>47</v>
      </c>
      <c r="U1651" s="14" t="n">
        <v>215</v>
      </c>
      <c r="W1651" s="14" t="n">
        <v>215</v>
      </c>
      <c r="X1651" s="13" t="s">
        <v>1654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46252</v>
      </c>
      <c r="C1652" s="12" t="n">
        <v>46255</v>
      </c>
      <c r="D1652" s="11" t="n">
        <v>42</v>
      </c>
      <c r="E1652" s="13" t="s">
        <v>80</v>
      </c>
      <c r="F1652" s="11" t="n">
        <v>34</v>
      </c>
      <c r="G1652" s="13" t="s">
        <v>33</v>
      </c>
      <c r="H1652" s="11" t="n">
        <v>2110101</v>
      </c>
      <c r="I1652" s="13" t="s">
        <v>43</v>
      </c>
      <c r="J1652" s="11" t="n">
        <v>1567636</v>
      </c>
      <c r="L1652" s="11" t="n">
        <v>4517</v>
      </c>
      <c r="M1652" s="13" t="s">
        <v>44</v>
      </c>
      <c r="N1652" s="13" t="s">
        <v>69</v>
      </c>
      <c r="P1652" s="11" t="n">
        <v>167</v>
      </c>
      <c r="Q1652" s="13" t="s">
        <v>101</v>
      </c>
      <c r="R1652" s="13" t="s">
        <v>46</v>
      </c>
      <c r="S1652" s="11" t="n">
        <v>1130101</v>
      </c>
      <c r="T1652" s="13" t="s">
        <v>47</v>
      </c>
      <c r="U1652" s="14" t="n">
        <v>2124</v>
      </c>
      <c r="W1652" s="14" t="n">
        <v>2124</v>
      </c>
      <c r="X1652" s="13" t="s">
        <v>1655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46255</v>
      </c>
      <c r="C1653" s="12" t="n">
        <v>46255</v>
      </c>
      <c r="D1653" s="11" t="n">
        <v>42</v>
      </c>
      <c r="E1653" s="13" t="s">
        <v>80</v>
      </c>
      <c r="F1653" s="11" t="n">
        <v>13</v>
      </c>
      <c r="G1653" s="13" t="s">
        <v>81</v>
      </c>
      <c r="H1653" s="11" t="n">
        <v>2110101</v>
      </c>
      <c r="I1653" s="13" t="s">
        <v>43</v>
      </c>
      <c r="J1653" s="11" t="n">
        <v>1581919</v>
      </c>
      <c r="L1653" s="11" t="n">
        <v>4530</v>
      </c>
      <c r="M1653" s="13" t="s">
        <v>44</v>
      </c>
      <c r="N1653" s="13" t="s">
        <v>69</v>
      </c>
      <c r="P1653" s="11" t="n">
        <v>167</v>
      </c>
      <c r="Q1653" s="13" t="s">
        <v>101</v>
      </c>
      <c r="R1653" s="13" t="s">
        <v>46</v>
      </c>
      <c r="S1653" s="11" t="n">
        <v>1130101</v>
      </c>
      <c r="T1653" s="13" t="s">
        <v>47</v>
      </c>
      <c r="U1653" s="14" t="n">
        <v>90</v>
      </c>
      <c r="W1653" s="14" t="n">
        <v>90</v>
      </c>
      <c r="X1653" s="13" t="s">
        <v>1656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46255</v>
      </c>
      <c r="C1654" s="12" t="n">
        <v>46255</v>
      </c>
      <c r="D1654" s="11" t="n">
        <v>42</v>
      </c>
      <c r="E1654" s="13" t="s">
        <v>80</v>
      </c>
      <c r="F1654" s="11" t="n">
        <v>13</v>
      </c>
      <c r="G1654" s="13" t="s">
        <v>81</v>
      </c>
      <c r="H1654" s="11" t="n">
        <v>2110101</v>
      </c>
      <c r="I1654" s="13" t="s">
        <v>43</v>
      </c>
      <c r="J1654" s="11" t="n">
        <v>1581935</v>
      </c>
      <c r="L1654" s="11" t="n">
        <v>4531</v>
      </c>
      <c r="M1654" s="13" t="s">
        <v>44</v>
      </c>
      <c r="N1654" s="13" t="s">
        <v>69</v>
      </c>
      <c r="P1654" s="11" t="n">
        <v>167</v>
      </c>
      <c r="Q1654" s="13" t="s">
        <v>101</v>
      </c>
      <c r="R1654" s="13" t="s">
        <v>46</v>
      </c>
      <c r="S1654" s="11" t="n">
        <v>1130101</v>
      </c>
      <c r="T1654" s="13" t="s">
        <v>47</v>
      </c>
      <c r="U1654" s="14" t="n">
        <v>47.42</v>
      </c>
      <c r="W1654" s="14" t="n">
        <v>47.42</v>
      </c>
      <c r="X1654" s="13" t="s">
        <v>1657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46255</v>
      </c>
      <c r="C1655" s="12" t="n">
        <v>46255</v>
      </c>
      <c r="D1655" s="11" t="n">
        <v>42</v>
      </c>
      <c r="E1655" s="13" t="s">
        <v>80</v>
      </c>
      <c r="F1655" s="11" t="n">
        <v>13</v>
      </c>
      <c r="G1655" s="13" t="s">
        <v>81</v>
      </c>
      <c r="H1655" s="11" t="n">
        <v>2110101</v>
      </c>
      <c r="I1655" s="13" t="s">
        <v>43</v>
      </c>
      <c r="J1655" s="11" t="n">
        <v>1581945</v>
      </c>
      <c r="L1655" s="11" t="n">
        <v>4532</v>
      </c>
      <c r="M1655" s="13" t="s">
        <v>44</v>
      </c>
      <c r="N1655" s="13" t="s">
        <v>69</v>
      </c>
      <c r="P1655" s="11" t="n">
        <v>167</v>
      </c>
      <c r="Q1655" s="13" t="s">
        <v>101</v>
      </c>
      <c r="R1655" s="13" t="s">
        <v>46</v>
      </c>
      <c r="S1655" s="11" t="n">
        <v>1130101</v>
      </c>
      <c r="T1655" s="13" t="s">
        <v>47</v>
      </c>
      <c r="U1655" s="14" t="n">
        <v>102</v>
      </c>
      <c r="W1655" s="14" t="n">
        <v>102</v>
      </c>
      <c r="X1655" s="13" t="s">
        <v>772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46255</v>
      </c>
      <c r="C1656" s="12" t="n">
        <v>46255</v>
      </c>
      <c r="D1656" s="11" t="n">
        <v>10035</v>
      </c>
      <c r="E1656" s="13" t="s">
        <v>227</v>
      </c>
      <c r="F1656" s="11" t="n">
        <v>13</v>
      </c>
      <c r="G1656" s="13" t="s">
        <v>81</v>
      </c>
      <c r="H1656" s="11" t="n">
        <v>2110101</v>
      </c>
      <c r="I1656" s="13" t="s">
        <v>43</v>
      </c>
      <c r="J1656" s="11" t="n">
        <v>1595501</v>
      </c>
      <c r="L1656" s="11" t="n">
        <v>409</v>
      </c>
      <c r="M1656" s="13" t="s">
        <v>44</v>
      </c>
      <c r="N1656" s="13" t="s">
        <v>69</v>
      </c>
      <c r="P1656" s="11" t="n">
        <v>167</v>
      </c>
      <c r="Q1656" s="13" t="s">
        <v>101</v>
      </c>
      <c r="R1656" s="13" t="s">
        <v>46</v>
      </c>
      <c r="S1656" s="11" t="n">
        <v>1130101</v>
      </c>
      <c r="T1656" s="13" t="s">
        <v>47</v>
      </c>
      <c r="U1656" s="14" t="n">
        <v>884</v>
      </c>
      <c r="W1656" s="14" t="n">
        <v>884</v>
      </c>
      <c r="X1656" s="13" t="s">
        <v>1128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46255</v>
      </c>
      <c r="C1657" s="12" t="n">
        <v>46255</v>
      </c>
      <c r="D1657" s="11" t="n">
        <v>10043</v>
      </c>
      <c r="E1657" s="13" t="s">
        <v>112</v>
      </c>
      <c r="F1657" s="11" t="n">
        <v>13</v>
      </c>
      <c r="G1657" s="13" t="s">
        <v>81</v>
      </c>
      <c r="H1657" s="11" t="n">
        <v>2110101</v>
      </c>
      <c r="I1657" s="13" t="s">
        <v>43</v>
      </c>
      <c r="J1657" s="11" t="n">
        <v>1595506</v>
      </c>
      <c r="L1657" s="11" t="n">
        <v>893</v>
      </c>
      <c r="M1657" s="13" t="s">
        <v>44</v>
      </c>
      <c r="N1657" s="13" t="s">
        <v>69</v>
      </c>
      <c r="P1657" s="11" t="n">
        <v>167</v>
      </c>
      <c r="Q1657" s="13" t="s">
        <v>101</v>
      </c>
      <c r="R1657" s="13" t="s">
        <v>46</v>
      </c>
      <c r="S1657" s="11" t="n">
        <v>1130101</v>
      </c>
      <c r="T1657" s="13" t="s">
        <v>47</v>
      </c>
      <c r="U1657" s="14" t="n">
        <v>180</v>
      </c>
      <c r="W1657" s="14" t="n">
        <v>180</v>
      </c>
      <c r="X1657" s="13" t="s">
        <v>1658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46255</v>
      </c>
      <c r="C1658" s="12" t="n">
        <v>46255</v>
      </c>
      <c r="D1658" s="11" t="n">
        <v>10027</v>
      </c>
      <c r="E1658" s="13" t="s">
        <v>1659</v>
      </c>
      <c r="F1658" s="11" t="n">
        <v>34</v>
      </c>
      <c r="G1658" s="13" t="s">
        <v>33</v>
      </c>
      <c r="H1658" s="11" t="n">
        <v>2110405</v>
      </c>
      <c r="I1658" s="13" t="s">
        <v>34</v>
      </c>
      <c r="J1658" s="11" t="n">
        <v>1600317</v>
      </c>
      <c r="L1658" s="11" t="n">
        <v>246877</v>
      </c>
      <c r="M1658" s="13" t="s">
        <v>44</v>
      </c>
      <c r="N1658" s="13" t="s">
        <v>36</v>
      </c>
      <c r="P1658" s="11" t="n">
        <v>167</v>
      </c>
      <c r="Q1658" s="13" t="s">
        <v>101</v>
      </c>
      <c r="R1658" s="13" t="s">
        <v>1660</v>
      </c>
      <c r="S1658" s="11" t="n">
        <v>1240103</v>
      </c>
      <c r="T1658" s="13" t="s">
        <v>1661</v>
      </c>
      <c r="U1658" s="14" t="n">
        <v>1000</v>
      </c>
      <c r="W1658" s="14" t="n">
        <v>1000</v>
      </c>
      <c r="X1658" s="13" t="s">
        <v>1662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46044</v>
      </c>
      <c r="C1659" s="12" t="n">
        <v>46256</v>
      </c>
      <c r="D1659" s="11" t="n">
        <v>514</v>
      </c>
      <c r="E1659" s="13" t="s">
        <v>32</v>
      </c>
      <c r="F1659" s="11" t="n">
        <v>34</v>
      </c>
      <c r="G1659" s="13" t="s">
        <v>33</v>
      </c>
      <c r="H1659" s="11" t="n">
        <v>2110405</v>
      </c>
      <c r="I1659" s="13" t="s">
        <v>34</v>
      </c>
      <c r="J1659" s="11" t="n">
        <v>1306220</v>
      </c>
      <c r="L1659" s="11" t="n">
        <v>203991</v>
      </c>
      <c r="M1659" s="13" t="s">
        <v>1147</v>
      </c>
      <c r="N1659" s="13" t="s">
        <v>36</v>
      </c>
      <c r="P1659" s="11" t="n">
        <v>101</v>
      </c>
      <c r="Q1659" s="13" t="s">
        <v>37</v>
      </c>
      <c r="R1659" s="13" t="s">
        <v>139</v>
      </c>
      <c r="S1659" s="11" t="n">
        <v>2110901</v>
      </c>
      <c r="T1659" s="13" t="s">
        <v>140</v>
      </c>
      <c r="U1659" s="14" t="n">
        <v>6601.19</v>
      </c>
      <c r="W1659" s="14" t="n">
        <v>6601.19</v>
      </c>
      <c r="X1659" s="13" t="s">
        <v>1663</v>
      </c>
      <c r="Z1659" s="1" t="str">
        <f aca="false">IF($T1659="","",IFERROR(INDEX('Resumo Grupos'!$AC$3:$AC$200,MATCH($T1659,'Resumo Grupos'!$AB$3:$AB$200,0)),"n/d"))</f>
        <v>Empréstimo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46212</v>
      </c>
      <c r="C1660" s="12" t="n">
        <v>46256</v>
      </c>
      <c r="D1660" s="11" t="n">
        <v>10037</v>
      </c>
      <c r="E1660" s="13" t="s">
        <v>359</v>
      </c>
      <c r="F1660" s="11" t="n">
        <v>24</v>
      </c>
      <c r="G1660" s="13" t="s">
        <v>42</v>
      </c>
      <c r="H1660" s="11" t="n">
        <v>2110405</v>
      </c>
      <c r="I1660" s="13" t="s">
        <v>34</v>
      </c>
      <c r="J1660" s="11" t="n">
        <v>1392538</v>
      </c>
      <c r="L1660" s="11" t="n">
        <v>27514</v>
      </c>
      <c r="M1660" s="13" t="s">
        <v>44</v>
      </c>
      <c r="N1660" s="13" t="s">
        <v>36</v>
      </c>
      <c r="P1660" s="11" t="n">
        <v>167</v>
      </c>
      <c r="Q1660" s="13" t="s">
        <v>101</v>
      </c>
      <c r="R1660" s="13" t="s">
        <v>46</v>
      </c>
      <c r="S1660" s="11" t="n">
        <v>1130101</v>
      </c>
      <c r="T1660" s="13" t="s">
        <v>47</v>
      </c>
      <c r="U1660" s="14" t="n">
        <v>565.02</v>
      </c>
      <c r="W1660" s="14" t="n">
        <v>565.02</v>
      </c>
      <c r="X1660" s="13" t="s">
        <v>1664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MOLHO BARBECÃO SABOR</v>
      </c>
      <c r="AC1660" s="1" t="n">
        <v>2751</v>
      </c>
    </row>
    <row r="1661" customFormat="false" ht="12.75" hidden="false" customHeight="true" outlineLevel="0" collapsed="false">
      <c r="A1661" s="11" t="n">
        <v>3</v>
      </c>
      <c r="B1661" s="12" t="n">
        <v>46224</v>
      </c>
      <c r="C1661" s="12" t="n">
        <v>46256</v>
      </c>
      <c r="D1661" s="11" t="n">
        <v>1929</v>
      </c>
      <c r="E1661" s="13" t="s">
        <v>1665</v>
      </c>
      <c r="F1661" s="11" t="n">
        <v>34</v>
      </c>
      <c r="G1661" s="13" t="s">
        <v>33</v>
      </c>
      <c r="H1661" s="11" t="n">
        <v>2110405</v>
      </c>
      <c r="I1661" s="13" t="s">
        <v>34</v>
      </c>
      <c r="J1661" s="11" t="n">
        <v>1428714</v>
      </c>
      <c r="L1661" s="11" t="n">
        <v>222992</v>
      </c>
      <c r="M1661" s="13" t="s">
        <v>44</v>
      </c>
      <c r="N1661" s="13" t="s">
        <v>36</v>
      </c>
      <c r="P1661" s="11" t="n">
        <v>101</v>
      </c>
      <c r="Q1661" s="13" t="s">
        <v>37</v>
      </c>
      <c r="R1661" s="13" t="s">
        <v>38</v>
      </c>
      <c r="S1661" s="11" t="n">
        <v>4210299</v>
      </c>
      <c r="T1661" s="13" t="s">
        <v>1079</v>
      </c>
      <c r="U1661" s="14" t="n">
        <v>95.43</v>
      </c>
      <c r="W1661" s="14" t="n">
        <v>0</v>
      </c>
      <c r="X1661" s="13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46224</v>
      </c>
      <c r="C1662" s="12" t="n">
        <v>46256</v>
      </c>
      <c r="D1662" s="11" t="n">
        <v>1929</v>
      </c>
      <c r="E1662" s="13" t="s">
        <v>1665</v>
      </c>
      <c r="F1662" s="11" t="n">
        <v>34</v>
      </c>
      <c r="G1662" s="13" t="s">
        <v>33</v>
      </c>
      <c r="H1662" s="11" t="n">
        <v>2110405</v>
      </c>
      <c r="I1662" s="13" t="s">
        <v>34</v>
      </c>
      <c r="J1662" s="11" t="n">
        <v>1428721</v>
      </c>
      <c r="L1662" s="11" t="n">
        <v>222993</v>
      </c>
      <c r="M1662" s="13" t="s">
        <v>44</v>
      </c>
      <c r="N1662" s="13" t="s">
        <v>36</v>
      </c>
      <c r="P1662" s="11" t="n">
        <v>101</v>
      </c>
      <c r="Q1662" s="13" t="s">
        <v>37</v>
      </c>
      <c r="R1662" s="13" t="s">
        <v>38</v>
      </c>
      <c r="S1662" s="11" t="n">
        <v>4210299</v>
      </c>
      <c r="T1662" s="13" t="s">
        <v>1079</v>
      </c>
      <c r="U1662" s="14" t="n">
        <v>102.37</v>
      </c>
      <c r="W1662" s="14" t="n">
        <v>0</v>
      </c>
      <c r="X1662" s="13" t="s">
        <v>1667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46224</v>
      </c>
      <c r="C1663" s="12" t="n">
        <v>46256</v>
      </c>
      <c r="D1663" s="11" t="n">
        <v>514</v>
      </c>
      <c r="E1663" s="13" t="s">
        <v>32</v>
      </c>
      <c r="F1663" s="11" t="n">
        <v>34</v>
      </c>
      <c r="G1663" s="13" t="s">
        <v>33</v>
      </c>
      <c r="H1663" s="11" t="n">
        <v>2110405</v>
      </c>
      <c r="I1663" s="13" t="s">
        <v>34</v>
      </c>
      <c r="J1663" s="11" t="n">
        <v>1428727</v>
      </c>
      <c r="L1663" s="11" t="n">
        <v>222994</v>
      </c>
      <c r="M1663" s="13" t="s">
        <v>44</v>
      </c>
      <c r="N1663" s="13" t="s">
        <v>36</v>
      </c>
      <c r="P1663" s="11" t="n">
        <v>101</v>
      </c>
      <c r="Q1663" s="13" t="s">
        <v>37</v>
      </c>
      <c r="R1663" s="13" t="s">
        <v>85</v>
      </c>
      <c r="S1663" s="11" t="n">
        <v>4210504</v>
      </c>
      <c r="T1663" s="13" t="s">
        <v>142</v>
      </c>
      <c r="U1663" s="14" t="n">
        <v>240</v>
      </c>
      <c r="W1663" s="14" t="n">
        <v>0</v>
      </c>
      <c r="X1663" s="13" t="s">
        <v>1668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46224</v>
      </c>
      <c r="C1664" s="12" t="n">
        <v>46256</v>
      </c>
      <c r="D1664" s="11" t="n">
        <v>1000036</v>
      </c>
      <c r="E1664" s="13" t="s">
        <v>1669</v>
      </c>
      <c r="F1664" s="11" t="n">
        <v>34</v>
      </c>
      <c r="G1664" s="13" t="s">
        <v>33</v>
      </c>
      <c r="H1664" s="11" t="n">
        <v>2110405</v>
      </c>
      <c r="I1664" s="13" t="s">
        <v>34</v>
      </c>
      <c r="J1664" s="11" t="n">
        <v>1428747</v>
      </c>
      <c r="L1664" s="11" t="n">
        <v>222995</v>
      </c>
      <c r="M1664" s="13" t="s">
        <v>44</v>
      </c>
      <c r="N1664" s="13" t="s">
        <v>36</v>
      </c>
      <c r="P1664" s="11" t="n">
        <v>101</v>
      </c>
      <c r="Q1664" s="13" t="s">
        <v>37</v>
      </c>
      <c r="R1664" s="13" t="s">
        <v>38</v>
      </c>
      <c r="S1664" s="11" t="n">
        <v>4210299</v>
      </c>
      <c r="T1664" s="13" t="s">
        <v>1079</v>
      </c>
      <c r="U1664" s="14" t="n">
        <v>2929.65</v>
      </c>
      <c r="W1664" s="14" t="n">
        <v>0</v>
      </c>
      <c r="X1664" s="13" t="s">
        <v>1670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46224</v>
      </c>
      <c r="C1665" s="12" t="n">
        <v>46256</v>
      </c>
      <c r="D1665" s="11" t="n">
        <v>1929</v>
      </c>
      <c r="E1665" s="13" t="s">
        <v>1665</v>
      </c>
      <c r="F1665" s="11" t="n">
        <v>34</v>
      </c>
      <c r="G1665" s="13" t="s">
        <v>33</v>
      </c>
      <c r="H1665" s="11" t="n">
        <v>2110405</v>
      </c>
      <c r="I1665" s="13" t="s">
        <v>34</v>
      </c>
      <c r="J1665" s="11" t="n">
        <v>1428753</v>
      </c>
      <c r="L1665" s="11" t="n">
        <v>222996</v>
      </c>
      <c r="M1665" s="13" t="s">
        <v>44</v>
      </c>
      <c r="N1665" s="13" t="s">
        <v>36</v>
      </c>
      <c r="P1665" s="11" t="n">
        <v>101</v>
      </c>
      <c r="Q1665" s="13" t="s">
        <v>37</v>
      </c>
      <c r="R1665" s="13" t="s">
        <v>85</v>
      </c>
      <c r="S1665" s="11" t="n">
        <v>4210504</v>
      </c>
      <c r="T1665" s="13" t="s">
        <v>142</v>
      </c>
      <c r="U1665" s="14" t="n">
        <v>420</v>
      </c>
      <c r="W1665" s="14" t="n">
        <v>0</v>
      </c>
      <c r="X1665" s="13" t="s">
        <v>1671</v>
      </c>
      <c r="Z1665" s="1" t="str">
        <f aca="false">IF($T1665="","",IFERROR(INDEX('Resumo Grupos'!$AC$3:$AC$200,MATCH($T1665,'Resumo Grupos'!$AB$3:$AB$200,0)),"n/d"))</f>
        <v>Despesa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46225</v>
      </c>
      <c r="C1666" s="12" t="n">
        <v>46256</v>
      </c>
      <c r="D1666" s="11" t="n">
        <v>1699</v>
      </c>
      <c r="E1666" s="13" t="s">
        <v>60</v>
      </c>
      <c r="F1666" s="11" t="n">
        <v>24</v>
      </c>
      <c r="G1666" s="13" t="s">
        <v>42</v>
      </c>
      <c r="H1666" s="11" t="n">
        <v>2110405</v>
      </c>
      <c r="I1666" s="13" t="s">
        <v>34</v>
      </c>
      <c r="J1666" s="11" t="n">
        <v>1439143</v>
      </c>
      <c r="L1666" s="11" t="n">
        <v>3087373</v>
      </c>
      <c r="M1666" s="13" t="s">
        <v>44</v>
      </c>
      <c r="N1666" s="13" t="s">
        <v>36</v>
      </c>
      <c r="P1666" s="11" t="n">
        <v>167</v>
      </c>
      <c r="Q1666" s="13" t="s">
        <v>101</v>
      </c>
      <c r="R1666" s="13" t="s">
        <v>46</v>
      </c>
      <c r="S1666" s="11" t="n">
        <v>1130101</v>
      </c>
      <c r="T1666" s="13" t="s">
        <v>47</v>
      </c>
      <c r="U1666" s="14" t="n">
        <v>894.34</v>
      </c>
      <c r="W1666" s="14" t="n">
        <v>894.34</v>
      </c>
      <c r="X1666" s="13" t="s">
        <v>1672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SUCO JANDAI CAJU500M</v>
      </c>
      <c r="AC1666" s="1" t="n">
        <v>308737</v>
      </c>
    </row>
    <row r="1667" customFormat="false" ht="12.75" hidden="false" customHeight="true" outlineLevel="0" collapsed="false">
      <c r="A1667" s="11" t="n">
        <v>3</v>
      </c>
      <c r="B1667" s="12" t="n">
        <v>46227</v>
      </c>
      <c r="C1667" s="12" t="n">
        <v>46256</v>
      </c>
      <c r="D1667" s="11" t="n">
        <v>1608</v>
      </c>
      <c r="E1667" s="13" t="s">
        <v>41</v>
      </c>
      <c r="F1667" s="11" t="n">
        <v>24</v>
      </c>
      <c r="G1667" s="13" t="s">
        <v>42</v>
      </c>
      <c r="H1667" s="11" t="n">
        <v>2110405</v>
      </c>
      <c r="I1667" s="13" t="s">
        <v>34</v>
      </c>
      <c r="J1667" s="11" t="n">
        <v>1443910</v>
      </c>
      <c r="L1667" s="11" t="n">
        <v>16991333</v>
      </c>
      <c r="M1667" s="13" t="s">
        <v>44</v>
      </c>
      <c r="N1667" s="13" t="s">
        <v>36</v>
      </c>
      <c r="P1667" s="11" t="n">
        <v>167</v>
      </c>
      <c r="Q1667" s="13" t="s">
        <v>101</v>
      </c>
      <c r="R1667" s="13" t="s">
        <v>46</v>
      </c>
      <c r="S1667" s="11" t="n">
        <v>1130101</v>
      </c>
      <c r="T1667" s="13" t="s">
        <v>47</v>
      </c>
      <c r="U1667" s="14" t="n">
        <v>832.25</v>
      </c>
      <c r="W1667" s="14" t="n">
        <v>832.25</v>
      </c>
      <c r="X1667" s="13" t="s">
        <v>1673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SAZON CALDO CARNE 32</v>
      </c>
      <c r="AC1667" s="1" t="n">
        <v>1699133</v>
      </c>
    </row>
    <row r="1668" customFormat="false" ht="12.75" hidden="false" customHeight="true" outlineLevel="0" collapsed="false">
      <c r="A1668" s="11" t="n">
        <v>3</v>
      </c>
      <c r="B1668" s="12" t="n">
        <v>46231</v>
      </c>
      <c r="C1668" s="12" t="n">
        <v>46256</v>
      </c>
      <c r="D1668" s="11" t="n">
        <v>33</v>
      </c>
      <c r="E1668" s="13" t="s">
        <v>71</v>
      </c>
      <c r="F1668" s="11" t="n">
        <v>34</v>
      </c>
      <c r="G1668" s="13" t="s">
        <v>33</v>
      </c>
      <c r="H1668" s="11" t="n">
        <v>2110405</v>
      </c>
      <c r="I1668" s="13" t="s">
        <v>34</v>
      </c>
      <c r="J1668" s="11" t="n">
        <v>1465032</v>
      </c>
      <c r="L1668" s="11" t="n">
        <v>227918</v>
      </c>
      <c r="M1668" s="13" t="s">
        <v>44</v>
      </c>
      <c r="N1668" s="13" t="s">
        <v>36</v>
      </c>
      <c r="P1668" s="11" t="n">
        <v>101</v>
      </c>
      <c r="Q1668" s="13" t="s">
        <v>37</v>
      </c>
      <c r="R1668" s="13" t="s">
        <v>109</v>
      </c>
      <c r="S1668" s="11" t="n">
        <v>1240203</v>
      </c>
      <c r="T1668" s="13" t="s">
        <v>110</v>
      </c>
      <c r="U1668" s="14" t="n">
        <v>2320.33</v>
      </c>
      <c r="W1668" s="14" t="n">
        <v>2320.33</v>
      </c>
      <c r="X1668" s="13" t="s">
        <v>1229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46232</v>
      </c>
      <c r="C1669" s="12" t="n">
        <v>46256</v>
      </c>
      <c r="D1669" s="11" t="n">
        <v>1699</v>
      </c>
      <c r="E1669" s="13" t="s">
        <v>60</v>
      </c>
      <c r="F1669" s="11" t="n">
        <v>24</v>
      </c>
      <c r="G1669" s="13" t="s">
        <v>42</v>
      </c>
      <c r="H1669" s="11" t="n">
        <v>2110405</v>
      </c>
      <c r="I1669" s="13" t="s">
        <v>34</v>
      </c>
      <c r="J1669" s="11" t="n">
        <v>1474070</v>
      </c>
      <c r="L1669" s="11" t="n">
        <v>3095422</v>
      </c>
      <c r="M1669" s="13" t="s">
        <v>44</v>
      </c>
      <c r="N1669" s="13" t="s">
        <v>36</v>
      </c>
      <c r="P1669" s="11" t="n">
        <v>167</v>
      </c>
      <c r="Q1669" s="13" t="s">
        <v>101</v>
      </c>
      <c r="R1669" s="13" t="s">
        <v>46</v>
      </c>
      <c r="S1669" s="11" t="n">
        <v>1130101</v>
      </c>
      <c r="T1669" s="13" t="s">
        <v>47</v>
      </c>
      <c r="U1669" s="14" t="n">
        <v>983.7</v>
      </c>
      <c r="W1669" s="14" t="n">
        <v>983.7</v>
      </c>
      <c r="X1669" s="13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CACHAÇA COROTE 500ML</v>
      </c>
      <c r="AC1669" s="1" t="n">
        <v>309542</v>
      </c>
    </row>
    <row r="1670" customFormat="false" ht="12.75" hidden="false" customHeight="true" outlineLevel="0" collapsed="false">
      <c r="A1670" s="11" t="n">
        <v>3</v>
      </c>
      <c r="B1670" s="12" t="n">
        <v>46232</v>
      </c>
      <c r="C1670" s="12" t="n">
        <v>46256</v>
      </c>
      <c r="D1670" s="11" t="n">
        <v>10017</v>
      </c>
      <c r="E1670" s="13" t="s">
        <v>335</v>
      </c>
      <c r="F1670" s="11" t="n">
        <v>24</v>
      </c>
      <c r="G1670" s="13" t="s">
        <v>42</v>
      </c>
      <c r="H1670" s="11" t="n">
        <v>2110405</v>
      </c>
      <c r="I1670" s="13" t="s">
        <v>34</v>
      </c>
      <c r="J1670" s="11" t="n">
        <v>1474081</v>
      </c>
      <c r="L1670" s="11" t="n">
        <v>1950892</v>
      </c>
      <c r="M1670" s="13" t="s">
        <v>44</v>
      </c>
      <c r="N1670" s="13" t="s">
        <v>36</v>
      </c>
      <c r="P1670" s="11" t="n">
        <v>167</v>
      </c>
      <c r="Q1670" s="13" t="s">
        <v>101</v>
      </c>
      <c r="R1670" s="13" t="s">
        <v>46</v>
      </c>
      <c r="S1670" s="11" t="n">
        <v>1130101</v>
      </c>
      <c r="T1670" s="13" t="s">
        <v>47</v>
      </c>
      <c r="U1670" s="14" t="n">
        <v>1191.81</v>
      </c>
      <c r="W1670" s="14" t="n">
        <v>1191.81</v>
      </c>
      <c r="X1670" s="13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 t="str">
        <f aca="false">IFERROR(INDEX('Mov Entradas (Rel 10497)'!$L:$L,MATCH(AC1670,'Mov Entradas (Rel 10497)'!$I:$I,0)),"nao encontrado")</f>
        <v>LEIT COC SOCOCO 200M</v>
      </c>
      <c r="AC1670" s="1" t="n">
        <v>195089</v>
      </c>
    </row>
    <row r="1671" customFormat="false" ht="12.75" hidden="false" customHeight="true" outlineLevel="0" collapsed="false">
      <c r="A1671" s="11" t="n">
        <v>3</v>
      </c>
      <c r="B1671" s="12" t="n">
        <v>46232</v>
      </c>
      <c r="C1671" s="12" t="n">
        <v>46256</v>
      </c>
      <c r="D1671" s="11" t="n">
        <v>1196</v>
      </c>
      <c r="E1671" s="13" t="s">
        <v>174</v>
      </c>
      <c r="F1671" s="11" t="n">
        <v>24</v>
      </c>
      <c r="G1671" s="13" t="s">
        <v>42</v>
      </c>
      <c r="H1671" s="11" t="n">
        <v>2110405</v>
      </c>
      <c r="I1671" s="13" t="s">
        <v>34</v>
      </c>
      <c r="J1671" s="11" t="n">
        <v>1478193</v>
      </c>
      <c r="L1671" s="11" t="n">
        <v>131712</v>
      </c>
      <c r="M1671" s="13" t="s">
        <v>44</v>
      </c>
      <c r="N1671" s="13" t="s">
        <v>36</v>
      </c>
      <c r="P1671" s="11" t="n">
        <v>167</v>
      </c>
      <c r="Q1671" s="13" t="s">
        <v>101</v>
      </c>
      <c r="R1671" s="13" t="s">
        <v>46</v>
      </c>
      <c r="S1671" s="11" t="n">
        <v>1130101</v>
      </c>
      <c r="T1671" s="13" t="s">
        <v>47</v>
      </c>
      <c r="U1671" s="14" t="n">
        <v>481.15</v>
      </c>
      <c r="W1671" s="14" t="n">
        <v>481.15</v>
      </c>
      <c r="X1671" s="13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LEITE EM PO PIRACANJUBA 400G</v>
      </c>
      <c r="AC1671" s="1" t="n">
        <v>12548</v>
      </c>
    </row>
    <row r="1672" customFormat="false" ht="12.75" hidden="false" customHeight="true" outlineLevel="0" collapsed="false">
      <c r="A1672" s="11" t="n">
        <v>3</v>
      </c>
      <c r="B1672" s="12" t="n">
        <v>46233</v>
      </c>
      <c r="C1672" s="12" t="n">
        <v>46256</v>
      </c>
      <c r="D1672" s="11" t="n">
        <v>1608</v>
      </c>
      <c r="E1672" s="13" t="s">
        <v>41</v>
      </c>
      <c r="F1672" s="11" t="n">
        <v>24</v>
      </c>
      <c r="G1672" s="13" t="s">
        <v>42</v>
      </c>
      <c r="H1672" s="11" t="n">
        <v>2110405</v>
      </c>
      <c r="I1672" s="13" t="s">
        <v>34</v>
      </c>
      <c r="J1672" s="11" t="n">
        <v>1482397</v>
      </c>
      <c r="L1672" s="11" t="n">
        <v>17031522</v>
      </c>
      <c r="M1672" s="13" t="s">
        <v>44</v>
      </c>
      <c r="N1672" s="13" t="s">
        <v>36</v>
      </c>
      <c r="P1672" s="11" t="n">
        <v>167</v>
      </c>
      <c r="Q1672" s="13" t="s">
        <v>101</v>
      </c>
      <c r="R1672" s="13" t="s">
        <v>46</v>
      </c>
      <c r="S1672" s="11" t="n">
        <v>1130101</v>
      </c>
      <c r="T1672" s="13" t="s">
        <v>47</v>
      </c>
      <c r="U1672" s="14" t="n">
        <v>362.68</v>
      </c>
      <c r="W1672" s="14" t="n">
        <v>362.68</v>
      </c>
      <c r="X1672" s="13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NISSIN LAMEN SUAVE TOMATE</v>
      </c>
      <c r="AC1672" s="1" t="n">
        <v>1703152</v>
      </c>
    </row>
    <row r="1673" customFormat="false" ht="12.75" hidden="false" customHeight="true" outlineLevel="0" collapsed="false">
      <c r="A1673" s="11" t="n">
        <v>3</v>
      </c>
      <c r="B1673" s="12" t="n">
        <v>46237</v>
      </c>
      <c r="C1673" s="12" t="n">
        <v>46256</v>
      </c>
      <c r="D1673" s="11" t="n">
        <v>1672</v>
      </c>
      <c r="E1673" s="13" t="s">
        <v>67</v>
      </c>
      <c r="F1673" s="11" t="n">
        <v>24</v>
      </c>
      <c r="G1673" s="13" t="s">
        <v>42</v>
      </c>
      <c r="H1673" s="11" t="n">
        <v>2110405</v>
      </c>
      <c r="I1673" s="13" t="s">
        <v>34</v>
      </c>
      <c r="J1673" s="11" t="n">
        <v>1504156</v>
      </c>
      <c r="L1673" s="11" t="n">
        <v>14134012</v>
      </c>
      <c r="M1673" s="13" t="s">
        <v>44</v>
      </c>
      <c r="N1673" s="13" t="s">
        <v>36</v>
      </c>
      <c r="P1673" s="11" t="n">
        <v>167</v>
      </c>
      <c r="Q1673" s="13" t="s">
        <v>101</v>
      </c>
      <c r="R1673" s="13" t="s">
        <v>46</v>
      </c>
      <c r="S1673" s="11" t="n">
        <v>1130101</v>
      </c>
      <c r="T1673" s="13" t="s">
        <v>47</v>
      </c>
      <c r="U1673" s="14" t="n">
        <v>725.05</v>
      </c>
      <c r="W1673" s="14" t="n">
        <v>725.05</v>
      </c>
      <c r="X1673" s="13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SUCO ALEGRIA FRUIT S</v>
      </c>
      <c r="AC1673" s="1" t="n">
        <v>1413401</v>
      </c>
    </row>
    <row r="1674" customFormat="false" ht="12.75" hidden="false" customHeight="true" outlineLevel="0" collapsed="false">
      <c r="A1674" s="11" t="n">
        <v>3</v>
      </c>
      <c r="B1674" s="12" t="n">
        <v>46239</v>
      </c>
      <c r="C1674" s="12" t="n">
        <v>46256</v>
      </c>
      <c r="D1674" s="11" t="n">
        <v>1699</v>
      </c>
      <c r="E1674" s="13" t="s">
        <v>60</v>
      </c>
      <c r="F1674" s="11" t="n">
        <v>24</v>
      </c>
      <c r="G1674" s="13" t="s">
        <v>42</v>
      </c>
      <c r="H1674" s="11" t="n">
        <v>2110405</v>
      </c>
      <c r="I1674" s="13" t="s">
        <v>34</v>
      </c>
      <c r="J1674" s="11" t="n">
        <v>1512612</v>
      </c>
      <c r="L1674" s="11" t="n">
        <v>3101541</v>
      </c>
      <c r="M1674" s="13" t="s">
        <v>44</v>
      </c>
      <c r="N1674" s="13" t="s">
        <v>36</v>
      </c>
      <c r="P1674" s="11" t="n">
        <v>167</v>
      </c>
      <c r="Q1674" s="13" t="s">
        <v>101</v>
      </c>
      <c r="R1674" s="13" t="s">
        <v>46</v>
      </c>
      <c r="S1674" s="11" t="n">
        <v>1130101</v>
      </c>
      <c r="T1674" s="13" t="s">
        <v>47</v>
      </c>
      <c r="U1674" s="14" t="n">
        <v>986.03</v>
      </c>
      <c r="W1674" s="14" t="n">
        <v>986.03</v>
      </c>
      <c r="X1674" s="13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CONS CARNE BO320G</v>
      </c>
      <c r="AC1674" s="1" t="n">
        <v>310154</v>
      </c>
    </row>
    <row r="1675" customFormat="false" ht="12.75" hidden="false" customHeight="true" outlineLevel="0" collapsed="false">
      <c r="A1675" s="11" t="n">
        <v>3</v>
      </c>
      <c r="B1675" s="12" t="n">
        <v>46240</v>
      </c>
      <c r="C1675" s="12" t="n">
        <v>46256</v>
      </c>
      <c r="D1675" s="11" t="n">
        <v>1136</v>
      </c>
      <c r="E1675" s="13" t="s">
        <v>693</v>
      </c>
      <c r="F1675" s="11" t="n">
        <v>24</v>
      </c>
      <c r="G1675" s="13" t="s">
        <v>42</v>
      </c>
      <c r="H1675" s="11" t="n">
        <v>2110405</v>
      </c>
      <c r="I1675" s="13" t="s">
        <v>34</v>
      </c>
      <c r="J1675" s="11" t="n">
        <v>1513131</v>
      </c>
      <c r="L1675" s="11" t="n">
        <v>53541</v>
      </c>
      <c r="M1675" s="13" t="s">
        <v>44</v>
      </c>
      <c r="N1675" s="13" t="s">
        <v>36</v>
      </c>
      <c r="P1675" s="11" t="n">
        <v>167</v>
      </c>
      <c r="Q1675" s="13" t="s">
        <v>101</v>
      </c>
      <c r="R1675" s="13" t="s">
        <v>46</v>
      </c>
      <c r="S1675" s="11" t="n">
        <v>1130101</v>
      </c>
      <c r="T1675" s="13" t="s">
        <v>47</v>
      </c>
      <c r="U1675" s="14" t="n">
        <v>500.78</v>
      </c>
      <c r="W1675" s="14" t="n">
        <v>500.78</v>
      </c>
      <c r="X1675" s="13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ESCOVA DENTAL WIT BA</v>
      </c>
      <c r="AC1675" s="1" t="n">
        <v>53548</v>
      </c>
    </row>
    <row r="1676" customFormat="false" ht="12.75" hidden="false" customHeight="true" outlineLevel="0" collapsed="false">
      <c r="A1676" s="11" t="n">
        <v>3</v>
      </c>
      <c r="B1676" s="12" t="n">
        <v>46241</v>
      </c>
      <c r="C1676" s="12" t="n">
        <v>46256</v>
      </c>
      <c r="D1676" s="11" t="n">
        <v>1723</v>
      </c>
      <c r="E1676" s="13" t="s">
        <v>76</v>
      </c>
      <c r="F1676" s="11" t="n">
        <v>24</v>
      </c>
      <c r="G1676" s="13" t="s">
        <v>42</v>
      </c>
      <c r="H1676" s="11" t="n">
        <v>2110405</v>
      </c>
      <c r="I1676" s="13" t="s">
        <v>34</v>
      </c>
      <c r="J1676" s="11" t="n">
        <v>1514500</v>
      </c>
      <c r="L1676" s="11" t="n">
        <v>589282</v>
      </c>
      <c r="M1676" s="13" t="s">
        <v>44</v>
      </c>
      <c r="N1676" s="13" t="s">
        <v>36</v>
      </c>
      <c r="P1676" s="11" t="n">
        <v>167</v>
      </c>
      <c r="Q1676" s="13" t="s">
        <v>101</v>
      </c>
      <c r="R1676" s="13" t="s">
        <v>46</v>
      </c>
      <c r="S1676" s="11" t="n">
        <v>1130101</v>
      </c>
      <c r="T1676" s="13" t="s">
        <v>47</v>
      </c>
      <c r="U1676" s="14" t="n">
        <v>1847.6</v>
      </c>
      <c r="W1676" s="14" t="n">
        <v>1847.6</v>
      </c>
      <c r="X1676" s="13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TRASEIRO DE BOI L1</v>
      </c>
      <c r="AC1676" s="1" t="n">
        <v>174518</v>
      </c>
    </row>
    <row r="1677" customFormat="false" ht="12.75" hidden="false" customHeight="true" outlineLevel="0" collapsed="false">
      <c r="A1677" s="11" t="n">
        <v>3</v>
      </c>
      <c r="B1677" s="12" t="n">
        <v>46244</v>
      </c>
      <c r="C1677" s="12" t="n">
        <v>46256</v>
      </c>
      <c r="D1677" s="11" t="n">
        <v>1625</v>
      </c>
      <c r="E1677" s="13" t="s">
        <v>320</v>
      </c>
      <c r="F1677" s="11" t="n">
        <v>24</v>
      </c>
      <c r="G1677" s="13" t="s">
        <v>42</v>
      </c>
      <c r="H1677" s="11" t="n">
        <v>2110405</v>
      </c>
      <c r="I1677" s="13" t="s">
        <v>34</v>
      </c>
      <c r="J1677" s="11" t="n">
        <v>1530143</v>
      </c>
      <c r="L1677" s="11" t="n">
        <v>149942</v>
      </c>
      <c r="M1677" s="13" t="s">
        <v>44</v>
      </c>
      <c r="N1677" s="13" t="s">
        <v>36</v>
      </c>
      <c r="P1677" s="11" t="n">
        <v>167</v>
      </c>
      <c r="Q1677" s="13" t="s">
        <v>101</v>
      </c>
      <c r="R1677" s="13" t="s">
        <v>46</v>
      </c>
      <c r="S1677" s="11" t="n">
        <v>1130101</v>
      </c>
      <c r="T1677" s="13" t="s">
        <v>47</v>
      </c>
      <c r="U1677" s="14" t="n">
        <v>3648.3</v>
      </c>
      <c r="W1677" s="14" t="n">
        <v>3648.3</v>
      </c>
      <c r="X1677" s="13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1" t="n">
        <v>3</v>
      </c>
      <c r="B1678" s="12" t="n">
        <v>46248</v>
      </c>
      <c r="C1678" s="12" t="n">
        <v>46256</v>
      </c>
      <c r="D1678" s="11" t="n">
        <v>1828</v>
      </c>
      <c r="E1678" s="13" t="s">
        <v>278</v>
      </c>
      <c r="F1678" s="11" t="n">
        <v>24</v>
      </c>
      <c r="G1678" s="13" t="s">
        <v>42</v>
      </c>
      <c r="H1678" s="11" t="n">
        <v>2110405</v>
      </c>
      <c r="I1678" s="13" t="s">
        <v>34</v>
      </c>
      <c r="J1678" s="11" t="n">
        <v>1545759</v>
      </c>
      <c r="L1678" s="11" t="n">
        <v>1431</v>
      </c>
      <c r="M1678" s="13" t="s">
        <v>44</v>
      </c>
      <c r="N1678" s="13" t="s">
        <v>36</v>
      </c>
      <c r="P1678" s="11" t="n">
        <v>167</v>
      </c>
      <c r="Q1678" s="13" t="s">
        <v>101</v>
      </c>
      <c r="R1678" s="13" t="s">
        <v>46</v>
      </c>
      <c r="S1678" s="11" t="n">
        <v>1130101</v>
      </c>
      <c r="T1678" s="13" t="s">
        <v>47</v>
      </c>
      <c r="U1678" s="14" t="n">
        <v>711.94</v>
      </c>
      <c r="W1678" s="14" t="n">
        <v>711.94</v>
      </c>
      <c r="X1678" s="13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PRESUNTO DE  PERU DF DISTRIBUIDORA DE FR</v>
      </c>
      <c r="AC1678" s="1" t="n">
        <v>1431</v>
      </c>
    </row>
    <row r="1679" customFormat="false" ht="12.75" hidden="false" customHeight="true" outlineLevel="0" collapsed="false">
      <c r="A1679" s="11" t="n">
        <v>3</v>
      </c>
      <c r="B1679" s="12" t="n">
        <v>46248</v>
      </c>
      <c r="C1679" s="12" t="n">
        <v>46256</v>
      </c>
      <c r="D1679" s="11" t="n">
        <v>42</v>
      </c>
      <c r="E1679" s="13" t="s">
        <v>80</v>
      </c>
      <c r="F1679" s="11" t="n">
        <v>34</v>
      </c>
      <c r="G1679" s="13" t="s">
        <v>33</v>
      </c>
      <c r="H1679" s="11" t="n">
        <v>2110101</v>
      </c>
      <c r="I1679" s="13" t="s">
        <v>43</v>
      </c>
      <c r="J1679" s="11" t="n">
        <v>1545836</v>
      </c>
      <c r="L1679" s="11" t="n">
        <v>4501</v>
      </c>
      <c r="M1679" s="13" t="s">
        <v>44</v>
      </c>
      <c r="N1679" s="13" t="s">
        <v>69</v>
      </c>
      <c r="P1679" s="11" t="n">
        <v>167</v>
      </c>
      <c r="Q1679" s="13" t="s">
        <v>101</v>
      </c>
      <c r="R1679" s="13" t="s">
        <v>46</v>
      </c>
      <c r="S1679" s="11" t="n">
        <v>1130101</v>
      </c>
      <c r="T1679" s="13" t="s">
        <v>47</v>
      </c>
      <c r="U1679" s="14" t="n">
        <v>450</v>
      </c>
      <c r="W1679" s="14" t="n">
        <v>450</v>
      </c>
      <c r="X1679" s="13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46248</v>
      </c>
      <c r="C1680" s="12" t="n">
        <v>46256</v>
      </c>
      <c r="D1680" s="11" t="n">
        <v>1378</v>
      </c>
      <c r="E1680" s="13" t="s">
        <v>120</v>
      </c>
      <c r="F1680" s="11" t="n">
        <v>24</v>
      </c>
      <c r="G1680" s="13" t="s">
        <v>42</v>
      </c>
      <c r="H1680" s="11" t="n">
        <v>2110405</v>
      </c>
      <c r="I1680" s="13" t="s">
        <v>34</v>
      </c>
      <c r="J1680" s="11" t="n">
        <v>1551601</v>
      </c>
      <c r="L1680" s="11" t="n">
        <v>18667</v>
      </c>
      <c r="M1680" s="13" t="s">
        <v>44</v>
      </c>
      <c r="N1680" s="13" t="s">
        <v>36</v>
      </c>
      <c r="P1680" s="11" t="n">
        <v>167</v>
      </c>
      <c r="Q1680" s="13" t="s">
        <v>101</v>
      </c>
      <c r="R1680" s="13" t="s">
        <v>46</v>
      </c>
      <c r="S1680" s="11" t="n">
        <v>1130101</v>
      </c>
      <c r="T1680" s="13" t="s">
        <v>47</v>
      </c>
      <c r="U1680" s="14" t="n">
        <v>192.3</v>
      </c>
      <c r="W1680" s="14" t="n">
        <v>192.3</v>
      </c>
      <c r="X1680" s="13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PAN. HAMBURGUER DORA</v>
      </c>
      <c r="AC1680" s="1" t="n">
        <v>18667</v>
      </c>
    </row>
    <row r="1681" customFormat="false" ht="12.75" hidden="false" customHeight="true" outlineLevel="0" collapsed="false">
      <c r="A1681" s="11" t="n">
        <v>3</v>
      </c>
      <c r="B1681" s="12" t="n">
        <v>46248</v>
      </c>
      <c r="C1681" s="12" t="n">
        <v>46256</v>
      </c>
      <c r="D1681" s="11" t="n">
        <v>1613</v>
      </c>
      <c r="E1681" s="13" t="s">
        <v>177</v>
      </c>
      <c r="F1681" s="11" t="n">
        <v>24</v>
      </c>
      <c r="G1681" s="13" t="s">
        <v>42</v>
      </c>
      <c r="H1681" s="11" t="n">
        <v>2110405</v>
      </c>
      <c r="I1681" s="13" t="s">
        <v>34</v>
      </c>
      <c r="J1681" s="11" t="n">
        <v>1552188</v>
      </c>
      <c r="L1681" s="11" t="n">
        <v>16193431</v>
      </c>
      <c r="M1681" s="13" t="s">
        <v>44</v>
      </c>
      <c r="N1681" s="13" t="s">
        <v>36</v>
      </c>
      <c r="P1681" s="11" t="n">
        <v>167</v>
      </c>
      <c r="Q1681" s="13" t="s">
        <v>101</v>
      </c>
      <c r="R1681" s="13" t="s">
        <v>46</v>
      </c>
      <c r="S1681" s="11" t="n">
        <v>1130101</v>
      </c>
      <c r="T1681" s="13" t="s">
        <v>47</v>
      </c>
      <c r="U1681" s="14" t="n">
        <v>1120.17</v>
      </c>
      <c r="W1681" s="14" t="n">
        <v>1120.17</v>
      </c>
      <c r="X1681" s="13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CARRE SUINO KG</v>
      </c>
      <c r="AC1681" s="1" t="n">
        <v>1619343</v>
      </c>
    </row>
    <row r="1682" customFormat="false" ht="12.75" hidden="false" customHeight="true" outlineLevel="0" collapsed="false">
      <c r="A1682" s="11" t="n">
        <v>3</v>
      </c>
      <c r="B1682" s="12" t="n">
        <v>46249</v>
      </c>
      <c r="C1682" s="12" t="n">
        <v>46256</v>
      </c>
      <c r="D1682" s="11" t="n">
        <v>1723</v>
      </c>
      <c r="E1682" s="13" t="s">
        <v>76</v>
      </c>
      <c r="F1682" s="11" t="n">
        <v>24</v>
      </c>
      <c r="G1682" s="13" t="s">
        <v>42</v>
      </c>
      <c r="H1682" s="11" t="n">
        <v>2110405</v>
      </c>
      <c r="I1682" s="13" t="s">
        <v>34</v>
      </c>
      <c r="J1682" s="11" t="n">
        <v>1560912</v>
      </c>
      <c r="L1682" s="11" t="n">
        <v>59769</v>
      </c>
      <c r="M1682" s="13" t="s">
        <v>44</v>
      </c>
      <c r="N1682" s="13" t="s">
        <v>36</v>
      </c>
      <c r="P1682" s="11" t="n">
        <v>167</v>
      </c>
      <c r="Q1682" s="13" t="s">
        <v>101</v>
      </c>
      <c r="R1682" s="13" t="s">
        <v>46</v>
      </c>
      <c r="S1682" s="11" t="n">
        <v>1130101</v>
      </c>
      <c r="T1682" s="13" t="s">
        <v>47</v>
      </c>
      <c r="U1682" s="14" t="n">
        <v>2998.2</v>
      </c>
      <c r="W1682" s="14" t="n">
        <v>2998.2</v>
      </c>
      <c r="X1682" s="13" t="s">
        <v>1687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TRASEIRO DE BOI L1</v>
      </c>
      <c r="AC1682" s="1" t="n">
        <v>174945</v>
      </c>
    </row>
    <row r="1683" customFormat="false" ht="12.75" hidden="false" customHeight="true" outlineLevel="0" collapsed="false">
      <c r="A1683" s="11" t="n">
        <v>3</v>
      </c>
      <c r="B1683" s="12" t="n">
        <v>46251</v>
      </c>
      <c r="C1683" s="12" t="n">
        <v>46256</v>
      </c>
      <c r="D1683" s="11" t="n">
        <v>10096</v>
      </c>
      <c r="E1683" s="13" t="s">
        <v>1232</v>
      </c>
      <c r="F1683" s="11" t="n">
        <v>34</v>
      </c>
      <c r="G1683" s="13" t="s">
        <v>33</v>
      </c>
      <c r="H1683" s="11" t="n">
        <v>2110405</v>
      </c>
      <c r="I1683" s="13" t="s">
        <v>34</v>
      </c>
      <c r="J1683" s="11" t="n">
        <v>1575684</v>
      </c>
      <c r="L1683" s="11" t="n">
        <v>183</v>
      </c>
      <c r="M1683" s="13" t="s">
        <v>44</v>
      </c>
      <c r="N1683" s="13" t="s">
        <v>36</v>
      </c>
      <c r="P1683" s="11" t="n">
        <v>167</v>
      </c>
      <c r="Q1683" s="13" t="s">
        <v>101</v>
      </c>
      <c r="R1683" s="13" t="s">
        <v>46</v>
      </c>
      <c r="S1683" s="11" t="n">
        <v>1130101</v>
      </c>
      <c r="T1683" s="13" t="s">
        <v>47</v>
      </c>
      <c r="U1683" s="14" t="n">
        <v>240</v>
      </c>
      <c r="W1683" s="14" t="n">
        <v>240</v>
      </c>
      <c r="X1683" s="13" t="s">
        <v>1688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BOLO MIYAZAKI GRANDE</v>
      </c>
      <c r="AC1683" s="1" t="n">
        <v>183</v>
      </c>
    </row>
    <row r="1684" customFormat="false" ht="12.75" hidden="false" customHeight="true" outlineLevel="0" collapsed="false">
      <c r="A1684" s="11" t="n">
        <v>3</v>
      </c>
      <c r="B1684" s="12" t="n">
        <v>46256</v>
      </c>
      <c r="C1684" s="12" t="n">
        <v>46256</v>
      </c>
      <c r="D1684" s="11" t="n">
        <v>42</v>
      </c>
      <c r="E1684" s="13" t="s">
        <v>80</v>
      </c>
      <c r="F1684" s="11" t="n">
        <v>13</v>
      </c>
      <c r="G1684" s="13" t="s">
        <v>81</v>
      </c>
      <c r="H1684" s="11" t="n">
        <v>2110101</v>
      </c>
      <c r="I1684" s="13" t="s">
        <v>43</v>
      </c>
      <c r="J1684" s="11" t="n">
        <v>1585565</v>
      </c>
      <c r="L1684" s="11" t="n">
        <v>4534</v>
      </c>
      <c r="M1684" s="13" t="s">
        <v>44</v>
      </c>
      <c r="N1684" s="13" t="s">
        <v>69</v>
      </c>
      <c r="P1684" s="11" t="n">
        <v>167</v>
      </c>
      <c r="Q1684" s="13" t="s">
        <v>101</v>
      </c>
      <c r="R1684" s="13" t="s">
        <v>46</v>
      </c>
      <c r="S1684" s="11" t="n">
        <v>1130101</v>
      </c>
      <c r="T1684" s="13" t="s">
        <v>47</v>
      </c>
      <c r="U1684" s="14" t="n">
        <v>261</v>
      </c>
      <c r="W1684" s="14" t="n">
        <v>261</v>
      </c>
      <c r="X1684" s="13" t="s">
        <v>772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46256</v>
      </c>
      <c r="C1685" s="12" t="n">
        <v>46256</v>
      </c>
      <c r="D1685" s="11" t="n">
        <v>42</v>
      </c>
      <c r="E1685" s="13" t="s">
        <v>80</v>
      </c>
      <c r="F1685" s="11" t="n">
        <v>13</v>
      </c>
      <c r="G1685" s="13" t="s">
        <v>81</v>
      </c>
      <c r="H1685" s="11" t="n">
        <v>2110101</v>
      </c>
      <c r="I1685" s="13" t="s">
        <v>43</v>
      </c>
      <c r="J1685" s="11" t="n">
        <v>1585702</v>
      </c>
      <c r="L1685" s="11" t="n">
        <v>4535</v>
      </c>
      <c r="M1685" s="13" t="s">
        <v>44</v>
      </c>
      <c r="N1685" s="13" t="s">
        <v>69</v>
      </c>
      <c r="P1685" s="11" t="n">
        <v>129</v>
      </c>
      <c r="Q1685" s="13" t="s">
        <v>102</v>
      </c>
      <c r="R1685" s="13" t="s">
        <v>46</v>
      </c>
      <c r="S1685" s="11" t="n">
        <v>1130101</v>
      </c>
      <c r="T1685" s="13" t="s">
        <v>47</v>
      </c>
      <c r="U1685" s="14" t="n">
        <v>125</v>
      </c>
      <c r="W1685" s="14" t="n">
        <v>125</v>
      </c>
      <c r="X1685" s="13" t="s">
        <v>668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46242</v>
      </c>
      <c r="C1686" s="12" t="n">
        <v>46257</v>
      </c>
      <c r="D1686" s="11" t="n">
        <v>957</v>
      </c>
      <c r="E1686" s="13" t="s">
        <v>720</v>
      </c>
      <c r="F1686" s="11" t="n">
        <v>24</v>
      </c>
      <c r="G1686" s="13" t="s">
        <v>42</v>
      </c>
      <c r="H1686" s="11" t="n">
        <v>2110405</v>
      </c>
      <c r="I1686" s="13" t="s">
        <v>34</v>
      </c>
      <c r="J1686" s="11" t="n">
        <v>1531986</v>
      </c>
      <c r="L1686" s="11" t="n">
        <v>216231</v>
      </c>
      <c r="M1686" s="13" t="s">
        <v>44</v>
      </c>
      <c r="N1686" s="13" t="s">
        <v>36</v>
      </c>
      <c r="P1686" s="11" t="n">
        <v>167</v>
      </c>
      <c r="Q1686" s="13" t="s">
        <v>101</v>
      </c>
      <c r="R1686" s="13" t="s">
        <v>46</v>
      </c>
      <c r="S1686" s="11" t="n">
        <v>1130101</v>
      </c>
      <c r="T1686" s="13" t="s">
        <v>47</v>
      </c>
      <c r="U1686" s="14" t="n">
        <v>1760.2</v>
      </c>
      <c r="W1686" s="14" t="n">
        <v>1760.2</v>
      </c>
      <c r="X1686" s="13" t="s">
        <v>1689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RAC WHISKAS CARNE KG</v>
      </c>
      <c r="AC1686" s="1" t="n">
        <v>21623</v>
      </c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46258</v>
      </c>
      <c r="D1687" s="11" t="n">
        <v>1398</v>
      </c>
      <c r="E1687" s="13" t="s">
        <v>1245</v>
      </c>
      <c r="F1687" s="11" t="n">
        <v>24</v>
      </c>
      <c r="G1687" s="13" t="s">
        <v>42</v>
      </c>
      <c r="H1687" s="11" t="n">
        <v>2110405</v>
      </c>
      <c r="I1687" s="13" t="s">
        <v>34</v>
      </c>
      <c r="J1687" s="11" t="n">
        <v>1397033</v>
      </c>
      <c r="L1687" s="11" t="n">
        <v>33333</v>
      </c>
      <c r="M1687" s="13" t="s">
        <v>44</v>
      </c>
      <c r="N1687" s="13" t="s">
        <v>36</v>
      </c>
      <c r="P1687" s="11" t="n">
        <v>167</v>
      </c>
      <c r="Q1687" s="13" t="s">
        <v>101</v>
      </c>
      <c r="R1687" s="13" t="s">
        <v>46</v>
      </c>
      <c r="S1687" s="11" t="n">
        <v>1130101</v>
      </c>
      <c r="T1687" s="13" t="s">
        <v>47</v>
      </c>
      <c r="U1687" s="14" t="n">
        <v>592.05</v>
      </c>
      <c r="W1687" s="14" t="n">
        <v>592.05</v>
      </c>
      <c r="X1687" s="13" t="s">
        <v>1690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CADERNO STIFF AMAREL</v>
      </c>
      <c r="AC1687" s="1" t="n">
        <v>1330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46258</v>
      </c>
      <c r="D1688" s="11" t="n">
        <v>1122</v>
      </c>
      <c r="E1688" s="13" t="s">
        <v>1242</v>
      </c>
      <c r="F1688" s="11" t="n">
        <v>24</v>
      </c>
      <c r="G1688" s="13" t="s">
        <v>42</v>
      </c>
      <c r="H1688" s="11" t="n">
        <v>2110405</v>
      </c>
      <c r="I1688" s="13" t="s">
        <v>34</v>
      </c>
      <c r="J1688" s="11" t="n">
        <v>1397080</v>
      </c>
      <c r="L1688" s="11" t="n">
        <v>66413</v>
      </c>
      <c r="M1688" s="13" t="s">
        <v>44</v>
      </c>
      <c r="N1688" s="13" t="s">
        <v>36</v>
      </c>
      <c r="P1688" s="11" t="n">
        <v>167</v>
      </c>
      <c r="Q1688" s="13" t="s">
        <v>101</v>
      </c>
      <c r="R1688" s="13" t="s">
        <v>46</v>
      </c>
      <c r="S1688" s="11" t="n">
        <v>1130101</v>
      </c>
      <c r="T1688" s="13" t="s">
        <v>47</v>
      </c>
      <c r="U1688" s="14" t="n">
        <v>614.98</v>
      </c>
      <c r="W1688" s="14" t="n">
        <v>614.98</v>
      </c>
      <c r="X1688" s="13" t="s">
        <v>1691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CAD CD 12X1 168FLS P</v>
      </c>
      <c r="AC1688" s="1" t="n">
        <v>12877</v>
      </c>
    </row>
    <row r="1689" customFormat="false" ht="12.75" hidden="false" customHeight="true" outlineLevel="0" collapsed="false">
      <c r="A1689" s="11" t="n">
        <v>3</v>
      </c>
      <c r="B1689" s="12" t="n">
        <v>46228</v>
      </c>
      <c r="C1689" s="12" t="n">
        <v>46258</v>
      </c>
      <c r="D1689" s="11" t="n">
        <v>1608</v>
      </c>
      <c r="E1689" s="13" t="s">
        <v>41</v>
      </c>
      <c r="F1689" s="11" t="n">
        <v>24</v>
      </c>
      <c r="G1689" s="13" t="s">
        <v>42</v>
      </c>
      <c r="H1689" s="11" t="n">
        <v>2110405</v>
      </c>
      <c r="I1689" s="13" t="s">
        <v>34</v>
      </c>
      <c r="J1689" s="11" t="n">
        <v>1458595</v>
      </c>
      <c r="L1689" s="11" t="n">
        <v>16998853</v>
      </c>
      <c r="M1689" s="13" t="s">
        <v>44</v>
      </c>
      <c r="N1689" s="13" t="s">
        <v>36</v>
      </c>
      <c r="P1689" s="11" t="n">
        <v>167</v>
      </c>
      <c r="Q1689" s="13" t="s">
        <v>101</v>
      </c>
      <c r="R1689" s="13" t="s">
        <v>46</v>
      </c>
      <c r="S1689" s="11" t="n">
        <v>1130101</v>
      </c>
      <c r="T1689" s="13" t="s">
        <v>47</v>
      </c>
      <c r="U1689" s="14" t="n">
        <v>418.68</v>
      </c>
      <c r="W1689" s="14" t="n">
        <v>418.68</v>
      </c>
      <c r="X1689" s="13" t="s">
        <v>1692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CHEETOS LUA PARMESAO 143G</v>
      </c>
      <c r="AC1689" s="1" t="n">
        <v>1699885</v>
      </c>
    </row>
    <row r="1690" customFormat="false" ht="12.75" hidden="false" customHeight="true" outlineLevel="0" collapsed="false">
      <c r="A1690" s="11" t="n">
        <v>3</v>
      </c>
      <c r="B1690" s="12" t="n">
        <v>46228</v>
      </c>
      <c r="C1690" s="12" t="n">
        <v>46258</v>
      </c>
      <c r="D1690" s="11" t="n">
        <v>1608</v>
      </c>
      <c r="E1690" s="13" t="s">
        <v>41</v>
      </c>
      <c r="F1690" s="11" t="n">
        <v>24</v>
      </c>
      <c r="G1690" s="13" t="s">
        <v>42</v>
      </c>
      <c r="H1690" s="11" t="n">
        <v>2110405</v>
      </c>
      <c r="I1690" s="13" t="s">
        <v>34</v>
      </c>
      <c r="J1690" s="11" t="n">
        <v>1468587</v>
      </c>
      <c r="L1690" s="11" t="n">
        <v>16995933</v>
      </c>
      <c r="M1690" s="13" t="s">
        <v>44</v>
      </c>
      <c r="N1690" s="13" t="s">
        <v>36</v>
      </c>
      <c r="P1690" s="11" t="n">
        <v>167</v>
      </c>
      <c r="Q1690" s="13" t="s">
        <v>101</v>
      </c>
      <c r="R1690" s="13" t="s">
        <v>46</v>
      </c>
      <c r="S1690" s="11" t="n">
        <v>1130101</v>
      </c>
      <c r="T1690" s="13" t="s">
        <v>47</v>
      </c>
      <c r="U1690" s="14" t="n">
        <v>903.47</v>
      </c>
      <c r="W1690" s="14" t="n">
        <v>903.47</v>
      </c>
      <c r="X1690" s="13" t="s">
        <v>1693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ACHOC TODDY 200G</v>
      </c>
      <c r="AC1690" s="1" t="n">
        <v>1699593</v>
      </c>
    </row>
    <row r="1691" customFormat="false" ht="12.75" hidden="false" customHeight="true" outlineLevel="0" collapsed="false">
      <c r="A1691" s="11" t="n">
        <v>3</v>
      </c>
      <c r="B1691" s="12" t="n">
        <v>46233</v>
      </c>
      <c r="C1691" s="12" t="n">
        <v>46258</v>
      </c>
      <c r="D1691" s="11" t="n">
        <v>1636</v>
      </c>
      <c r="E1691" s="13" t="s">
        <v>49</v>
      </c>
      <c r="F1691" s="11" t="n">
        <v>24</v>
      </c>
      <c r="G1691" s="13" t="s">
        <v>42</v>
      </c>
      <c r="H1691" s="11" t="n">
        <v>2110405</v>
      </c>
      <c r="I1691" s="13" t="s">
        <v>34</v>
      </c>
      <c r="J1691" s="11" t="n">
        <v>1495391</v>
      </c>
      <c r="L1691" s="11" t="n">
        <v>32292542</v>
      </c>
      <c r="M1691" s="13" t="s">
        <v>44</v>
      </c>
      <c r="N1691" s="13" t="s">
        <v>36</v>
      </c>
      <c r="P1691" s="11" t="n">
        <v>167</v>
      </c>
      <c r="Q1691" s="13" t="s">
        <v>101</v>
      </c>
      <c r="R1691" s="13" t="s">
        <v>46</v>
      </c>
      <c r="S1691" s="11" t="n">
        <v>1130101</v>
      </c>
      <c r="T1691" s="13" t="s">
        <v>47</v>
      </c>
      <c r="U1691" s="14" t="n">
        <v>949.63</v>
      </c>
      <c r="W1691" s="14" t="n">
        <v>949.63</v>
      </c>
      <c r="X1691" s="13" t="s">
        <v>1694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ADOC ADOCYL SACARINA 100ML</v>
      </c>
      <c r="AC1691" s="1" t="n">
        <v>3229254</v>
      </c>
    </row>
    <row r="1692" customFormat="false" ht="12.75" hidden="false" customHeight="true" outlineLevel="0" collapsed="false">
      <c r="A1692" s="11" t="n">
        <v>3</v>
      </c>
      <c r="B1692" s="12" t="n">
        <v>46237</v>
      </c>
      <c r="C1692" s="12" t="n">
        <v>46258</v>
      </c>
      <c r="D1692" s="11" t="n">
        <v>846</v>
      </c>
      <c r="E1692" s="13" t="s">
        <v>262</v>
      </c>
      <c r="F1692" s="11" t="n">
        <v>24</v>
      </c>
      <c r="G1692" s="13" t="s">
        <v>42</v>
      </c>
      <c r="H1692" s="11" t="n">
        <v>2110405</v>
      </c>
      <c r="I1692" s="13" t="s">
        <v>34</v>
      </c>
      <c r="J1692" s="11" t="n">
        <v>1498618</v>
      </c>
      <c r="L1692" s="11" t="n">
        <v>8462</v>
      </c>
      <c r="M1692" s="13" t="s">
        <v>44</v>
      </c>
      <c r="N1692" s="13" t="s">
        <v>36</v>
      </c>
      <c r="P1692" s="11" t="n">
        <v>167</v>
      </c>
      <c r="Q1692" s="13" t="s">
        <v>101</v>
      </c>
      <c r="R1692" s="13" t="s">
        <v>46</v>
      </c>
      <c r="S1692" s="11" t="n">
        <v>1130101</v>
      </c>
      <c r="T1692" s="13" t="s">
        <v>47</v>
      </c>
      <c r="U1692" s="14" t="n">
        <v>538.18</v>
      </c>
      <c r="W1692" s="14" t="n">
        <v>538.18</v>
      </c>
      <c r="X1692" s="13" t="s">
        <v>1695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PRENDEDOR DE ROUPA M</v>
      </c>
      <c r="AC1692" s="1" t="n">
        <v>846</v>
      </c>
    </row>
    <row r="1693" customFormat="false" ht="12.75" hidden="false" customHeight="true" outlineLevel="0" collapsed="false">
      <c r="A1693" s="11" t="n">
        <v>3</v>
      </c>
      <c r="B1693" s="12" t="n">
        <v>46239</v>
      </c>
      <c r="C1693" s="12" t="n">
        <v>46258</v>
      </c>
      <c r="D1693" s="11" t="n">
        <v>1613</v>
      </c>
      <c r="E1693" s="13" t="s">
        <v>177</v>
      </c>
      <c r="F1693" s="11" t="n">
        <v>24</v>
      </c>
      <c r="G1693" s="13" t="s">
        <v>42</v>
      </c>
      <c r="H1693" s="11" t="n">
        <v>2110405</v>
      </c>
      <c r="I1693" s="13" t="s">
        <v>34</v>
      </c>
      <c r="J1693" s="11" t="n">
        <v>1504637</v>
      </c>
      <c r="L1693" s="11" t="n">
        <v>16155703</v>
      </c>
      <c r="M1693" s="13" t="s">
        <v>44</v>
      </c>
      <c r="N1693" s="13" t="s">
        <v>36</v>
      </c>
      <c r="P1693" s="11" t="n">
        <v>167</v>
      </c>
      <c r="Q1693" s="13" t="s">
        <v>101</v>
      </c>
      <c r="R1693" s="13" t="s">
        <v>46</v>
      </c>
      <c r="S1693" s="11" t="n">
        <v>1130101</v>
      </c>
      <c r="T1693" s="13" t="s">
        <v>47</v>
      </c>
      <c r="U1693" s="14" t="n">
        <v>1173.86</v>
      </c>
      <c r="W1693" s="14" t="n">
        <v>1173.86</v>
      </c>
      <c r="X1693" s="13" t="s">
        <v>1696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FILE PEITOA GRANEL</v>
      </c>
      <c r="AC1693" s="1" t="n">
        <v>1615570</v>
      </c>
    </row>
    <row r="1694" customFormat="false" ht="12.75" hidden="false" customHeight="true" outlineLevel="0" collapsed="false">
      <c r="A1694" s="11" t="n">
        <v>3</v>
      </c>
      <c r="B1694" s="12" t="n">
        <v>46244</v>
      </c>
      <c r="C1694" s="12" t="n">
        <v>46258</v>
      </c>
      <c r="D1694" s="11" t="n">
        <v>1723</v>
      </c>
      <c r="E1694" s="13" t="s">
        <v>76</v>
      </c>
      <c r="F1694" s="11" t="n">
        <v>24</v>
      </c>
      <c r="G1694" s="13" t="s">
        <v>42</v>
      </c>
      <c r="H1694" s="11" t="n">
        <v>2110405</v>
      </c>
      <c r="I1694" s="13" t="s">
        <v>34</v>
      </c>
      <c r="J1694" s="11" t="n">
        <v>1530190</v>
      </c>
      <c r="L1694" s="11" t="n">
        <v>591832</v>
      </c>
      <c r="M1694" s="13" t="s">
        <v>44</v>
      </c>
      <c r="N1694" s="13" t="s">
        <v>36</v>
      </c>
      <c r="P1694" s="11" t="n">
        <v>167</v>
      </c>
      <c r="Q1694" s="13" t="s">
        <v>101</v>
      </c>
      <c r="R1694" s="13" t="s">
        <v>46</v>
      </c>
      <c r="S1694" s="11" t="n">
        <v>1130101</v>
      </c>
      <c r="T1694" s="13" t="s">
        <v>47</v>
      </c>
      <c r="U1694" s="14" t="n">
        <v>1642.3</v>
      </c>
      <c r="W1694" s="14" t="n">
        <v>1642.3</v>
      </c>
      <c r="X1694" s="13" t="s">
        <v>1697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TRASEIRO DE BOI L1</v>
      </c>
      <c r="AC1694" s="1" t="n">
        <v>174636</v>
      </c>
    </row>
    <row r="1695" customFormat="false" ht="12.75" hidden="false" customHeight="true" outlineLevel="0" collapsed="false">
      <c r="A1695" s="11" t="n">
        <v>3</v>
      </c>
      <c r="B1695" s="12" t="n">
        <v>46244</v>
      </c>
      <c r="C1695" s="12" t="n">
        <v>46258</v>
      </c>
      <c r="D1695" s="11" t="n">
        <v>1657</v>
      </c>
      <c r="E1695" s="13" t="s">
        <v>255</v>
      </c>
      <c r="F1695" s="11" t="n">
        <v>24</v>
      </c>
      <c r="G1695" s="13" t="s">
        <v>42</v>
      </c>
      <c r="H1695" s="11" t="n">
        <v>2110405</v>
      </c>
      <c r="I1695" s="13" t="s">
        <v>34</v>
      </c>
      <c r="J1695" s="11" t="n">
        <v>1543735</v>
      </c>
      <c r="L1695" s="11" t="n">
        <v>3783781</v>
      </c>
      <c r="M1695" s="13" t="s">
        <v>44</v>
      </c>
      <c r="N1695" s="13" t="s">
        <v>36</v>
      </c>
      <c r="P1695" s="11" t="n">
        <v>167</v>
      </c>
      <c r="Q1695" s="13" t="s">
        <v>101</v>
      </c>
      <c r="R1695" s="13" t="s">
        <v>46</v>
      </c>
      <c r="S1695" s="11" t="n">
        <v>1130101</v>
      </c>
      <c r="T1695" s="13" t="s">
        <v>47</v>
      </c>
      <c r="U1695" s="14" t="n">
        <v>1028.18</v>
      </c>
      <c r="W1695" s="14" t="n">
        <v>1028.18</v>
      </c>
      <c r="X1695" s="13" t="s">
        <v>1698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TALCO BARLA 140G</v>
      </c>
      <c r="AC1695" s="1" t="n">
        <v>297049</v>
      </c>
    </row>
    <row r="1696" customFormat="false" ht="12.75" hidden="false" customHeight="true" outlineLevel="0" collapsed="false">
      <c r="A1696" s="11" t="n">
        <v>3</v>
      </c>
      <c r="B1696" s="12" t="n">
        <v>46251</v>
      </c>
      <c r="C1696" s="12" t="n">
        <v>46258</v>
      </c>
      <c r="D1696" s="11" t="n">
        <v>1723</v>
      </c>
      <c r="E1696" s="13" t="s">
        <v>76</v>
      </c>
      <c r="F1696" s="11" t="n">
        <v>24</v>
      </c>
      <c r="G1696" s="13" t="s">
        <v>42</v>
      </c>
      <c r="H1696" s="11" t="n">
        <v>2110405</v>
      </c>
      <c r="I1696" s="13" t="s">
        <v>34</v>
      </c>
      <c r="J1696" s="11" t="n">
        <v>1560925</v>
      </c>
      <c r="L1696" s="11" t="n">
        <v>59879</v>
      </c>
      <c r="M1696" s="13" t="s">
        <v>44</v>
      </c>
      <c r="N1696" s="13" t="s">
        <v>36</v>
      </c>
      <c r="P1696" s="11" t="n">
        <v>167</v>
      </c>
      <c r="Q1696" s="13" t="s">
        <v>101</v>
      </c>
      <c r="R1696" s="13" t="s">
        <v>46</v>
      </c>
      <c r="S1696" s="11" t="n">
        <v>1130101</v>
      </c>
      <c r="T1696" s="13" t="s">
        <v>47</v>
      </c>
      <c r="U1696" s="14" t="n">
        <v>1138.5</v>
      </c>
      <c r="W1696" s="14" t="n">
        <v>1138.5</v>
      </c>
      <c r="X1696" s="13" t="s">
        <v>1699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DIANTEIRO DE BOI L</v>
      </c>
      <c r="AC1696" s="1" t="n">
        <v>174988</v>
      </c>
    </row>
    <row r="1697" customFormat="false" ht="12.75" hidden="false" customHeight="true" outlineLevel="0" collapsed="false">
      <c r="A1697" s="11" t="n">
        <v>3</v>
      </c>
      <c r="B1697" s="12" t="n">
        <v>46247</v>
      </c>
      <c r="C1697" s="12" t="n">
        <v>46258</v>
      </c>
      <c r="D1697" s="11" t="n">
        <v>560</v>
      </c>
      <c r="E1697" s="13" t="s">
        <v>220</v>
      </c>
      <c r="F1697" s="11" t="n">
        <v>24</v>
      </c>
      <c r="G1697" s="13" t="s">
        <v>42</v>
      </c>
      <c r="H1697" s="11" t="n">
        <v>2110405</v>
      </c>
      <c r="I1697" s="13" t="s">
        <v>34</v>
      </c>
      <c r="J1697" s="11" t="n">
        <v>1566042</v>
      </c>
      <c r="L1697" s="11" t="n">
        <v>2015</v>
      </c>
      <c r="M1697" s="13" t="s">
        <v>44</v>
      </c>
      <c r="N1697" s="13" t="s">
        <v>36</v>
      </c>
      <c r="P1697" s="11" t="n">
        <v>167</v>
      </c>
      <c r="Q1697" s="13" t="s">
        <v>101</v>
      </c>
      <c r="R1697" s="13" t="s">
        <v>46</v>
      </c>
      <c r="S1697" s="11" t="n">
        <v>1130101</v>
      </c>
      <c r="T1697" s="13" t="s">
        <v>47</v>
      </c>
      <c r="U1697" s="14" t="n">
        <v>250</v>
      </c>
      <c r="W1697" s="14" t="n">
        <v>250</v>
      </c>
      <c r="X1697" s="13" t="s">
        <v>1700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BISCOITOS DA MARIA S</v>
      </c>
      <c r="AC1697" s="1" t="n">
        <v>2015</v>
      </c>
    </row>
    <row r="1698" customFormat="false" ht="12.75" hidden="false" customHeight="true" outlineLevel="0" collapsed="false">
      <c r="A1698" s="11" t="n">
        <v>3</v>
      </c>
      <c r="B1698" s="12" t="n">
        <v>46251</v>
      </c>
      <c r="C1698" s="12" t="n">
        <v>46258</v>
      </c>
      <c r="D1698" s="11" t="n">
        <v>1432</v>
      </c>
      <c r="E1698" s="13" t="s">
        <v>953</v>
      </c>
      <c r="F1698" s="11" t="n">
        <v>24</v>
      </c>
      <c r="G1698" s="13" t="s">
        <v>42</v>
      </c>
      <c r="H1698" s="11" t="n">
        <v>2110405</v>
      </c>
      <c r="I1698" s="13" t="s">
        <v>34</v>
      </c>
      <c r="J1698" s="11" t="n">
        <v>1566539</v>
      </c>
      <c r="L1698" s="11" t="n">
        <v>9714</v>
      </c>
      <c r="M1698" s="13" t="s">
        <v>44</v>
      </c>
      <c r="N1698" s="13" t="s">
        <v>36</v>
      </c>
      <c r="P1698" s="11" t="n">
        <v>167</v>
      </c>
      <c r="Q1698" s="13" t="s">
        <v>101</v>
      </c>
      <c r="R1698" s="13" t="s">
        <v>46</v>
      </c>
      <c r="S1698" s="11" t="n">
        <v>1130101</v>
      </c>
      <c r="T1698" s="13" t="s">
        <v>47</v>
      </c>
      <c r="U1698" s="14" t="n">
        <v>205.87</v>
      </c>
      <c r="W1698" s="14" t="n">
        <v>205.87</v>
      </c>
      <c r="X1698" s="13" t="s">
        <v>1701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IOGURTE INTEGRAL COM</v>
      </c>
      <c r="AC1698" s="1" t="n">
        <v>3595</v>
      </c>
    </row>
    <row r="1699" customFormat="false" ht="12.75" hidden="false" customHeight="true" outlineLevel="0" collapsed="false">
      <c r="A1699" s="11" t="n">
        <v>3</v>
      </c>
      <c r="B1699" s="12" t="n">
        <v>46258</v>
      </c>
      <c r="C1699" s="12" t="n">
        <v>46258</v>
      </c>
      <c r="D1699" s="11" t="n">
        <v>42</v>
      </c>
      <c r="E1699" s="13" t="s">
        <v>80</v>
      </c>
      <c r="F1699" s="11" t="n">
        <v>13</v>
      </c>
      <c r="G1699" s="13" t="s">
        <v>81</v>
      </c>
      <c r="H1699" s="11" t="n">
        <v>2110101</v>
      </c>
      <c r="I1699" s="13" t="s">
        <v>43</v>
      </c>
      <c r="J1699" s="11" t="n">
        <v>1595520</v>
      </c>
      <c r="L1699" s="11" t="n">
        <v>4536</v>
      </c>
      <c r="M1699" s="13" t="s">
        <v>44</v>
      </c>
      <c r="N1699" s="13" t="s">
        <v>69</v>
      </c>
      <c r="P1699" s="11" t="n">
        <v>167</v>
      </c>
      <c r="Q1699" s="13" t="s">
        <v>101</v>
      </c>
      <c r="R1699" s="13" t="s">
        <v>46</v>
      </c>
      <c r="S1699" s="11" t="n">
        <v>1130101</v>
      </c>
      <c r="T1699" s="13" t="s">
        <v>47</v>
      </c>
      <c r="U1699" s="14" t="n">
        <v>67</v>
      </c>
      <c r="W1699" s="14" t="n">
        <v>67</v>
      </c>
      <c r="X1699" s="13" t="s">
        <v>1702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46257</v>
      </c>
      <c r="C1700" s="12" t="n">
        <v>46258</v>
      </c>
      <c r="D1700" s="11" t="n">
        <v>1936</v>
      </c>
      <c r="E1700" s="13" t="s">
        <v>78</v>
      </c>
      <c r="F1700" s="11" t="n">
        <v>24</v>
      </c>
      <c r="G1700" s="13" t="s">
        <v>42</v>
      </c>
      <c r="H1700" s="11" t="n">
        <v>2110405</v>
      </c>
      <c r="I1700" s="13" t="s">
        <v>34</v>
      </c>
      <c r="J1700" s="11" t="n">
        <v>1595741</v>
      </c>
      <c r="L1700" s="11" t="n">
        <v>50771142</v>
      </c>
      <c r="M1700" s="13" t="s">
        <v>44</v>
      </c>
      <c r="N1700" s="13" t="s">
        <v>36</v>
      </c>
      <c r="P1700" s="11" t="n">
        <v>167</v>
      </c>
      <c r="Q1700" s="13" t="s">
        <v>101</v>
      </c>
      <c r="R1700" s="13" t="s">
        <v>46</v>
      </c>
      <c r="S1700" s="11" t="n">
        <v>1130101</v>
      </c>
      <c r="T1700" s="13" t="s">
        <v>47</v>
      </c>
      <c r="U1700" s="14" t="n">
        <v>207.79</v>
      </c>
      <c r="W1700" s="14" t="n">
        <v>207.79</v>
      </c>
      <c r="X1700" s="13" t="s">
        <v>1578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46001</v>
      </c>
      <c r="C1701" s="12" t="n">
        <v>46259</v>
      </c>
      <c r="D1701" s="11" t="n">
        <v>1839</v>
      </c>
      <c r="E1701" s="13" t="s">
        <v>613</v>
      </c>
      <c r="F1701" s="11" t="n">
        <v>59</v>
      </c>
      <c r="G1701" s="13" t="s">
        <v>1252</v>
      </c>
      <c r="H1701" s="11" t="n">
        <v>2110102</v>
      </c>
      <c r="I1701" s="13" t="s">
        <v>614</v>
      </c>
      <c r="J1701" s="11" t="n">
        <v>315650</v>
      </c>
      <c r="L1701" s="11" t="n">
        <v>86749</v>
      </c>
      <c r="M1701" s="13" t="s">
        <v>1136</v>
      </c>
      <c r="N1701" s="13" t="s">
        <v>69</v>
      </c>
      <c r="P1701" s="11" t="n">
        <v>163</v>
      </c>
      <c r="Q1701" s="13" t="s">
        <v>102</v>
      </c>
      <c r="R1701" s="13" t="s">
        <v>38</v>
      </c>
      <c r="S1701" s="11" t="n">
        <v>4210204</v>
      </c>
      <c r="T1701" s="13" t="s">
        <v>615</v>
      </c>
      <c r="U1701" s="14" t="n">
        <v>47.99</v>
      </c>
      <c r="W1701" s="14" t="n">
        <v>47.99</v>
      </c>
      <c r="X1701" s="13" t="s">
        <v>1703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nao encontrado</v>
      </c>
      <c r="AC1701" s="1" t="n">
        <v>86749</v>
      </c>
    </row>
    <row r="1702" customFormat="false" ht="12.75" hidden="false" customHeight="true" outlineLevel="0" collapsed="false">
      <c r="A1702" s="11" t="n">
        <v>3</v>
      </c>
      <c r="B1702" s="12" t="n">
        <v>45991</v>
      </c>
      <c r="C1702" s="12" t="n">
        <v>46259</v>
      </c>
      <c r="D1702" s="11" t="n">
        <v>10054</v>
      </c>
      <c r="E1702" s="13" t="s">
        <v>617</v>
      </c>
      <c r="F1702" s="11" t="n">
        <v>2</v>
      </c>
      <c r="G1702" s="13" t="s">
        <v>482</v>
      </c>
      <c r="H1702" s="11" t="n">
        <v>2110405</v>
      </c>
      <c r="I1702" s="13" t="s">
        <v>34</v>
      </c>
      <c r="J1702" s="11" t="n">
        <v>777941</v>
      </c>
      <c r="L1702" s="11" t="n">
        <v>123778</v>
      </c>
      <c r="M1702" s="13" t="s">
        <v>1136</v>
      </c>
      <c r="N1702" s="13" t="s">
        <v>36</v>
      </c>
      <c r="P1702" s="11" t="n">
        <v>129</v>
      </c>
      <c r="Q1702" s="13" t="s">
        <v>102</v>
      </c>
      <c r="R1702" s="13" t="s">
        <v>38</v>
      </c>
      <c r="S1702" s="11" t="n">
        <v>4210227</v>
      </c>
      <c r="T1702" s="13" t="s">
        <v>196</v>
      </c>
      <c r="U1702" s="14" t="n">
        <v>55.2</v>
      </c>
      <c r="W1702" s="14" t="n">
        <v>55.2</v>
      </c>
      <c r="X1702" s="13" t="s">
        <v>618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nao encontrado</v>
      </c>
      <c r="AC1702" s="1" t="n">
        <v>1318</v>
      </c>
    </row>
    <row r="1703" customFormat="false" ht="12.75" hidden="false" customHeight="true" outlineLevel="0" collapsed="false">
      <c r="A1703" s="11" t="n">
        <v>3</v>
      </c>
      <c r="B1703" s="12" t="n">
        <v>46157</v>
      </c>
      <c r="C1703" s="12" t="n">
        <v>46259</v>
      </c>
      <c r="D1703" s="11" t="n">
        <v>663</v>
      </c>
      <c r="E1703" s="13" t="s">
        <v>611</v>
      </c>
      <c r="F1703" s="11" t="n">
        <v>2</v>
      </c>
      <c r="G1703" s="13" t="s">
        <v>482</v>
      </c>
      <c r="H1703" s="11" t="n">
        <v>2110405</v>
      </c>
      <c r="I1703" s="13" t="s">
        <v>34</v>
      </c>
      <c r="J1703" s="11" t="n">
        <v>1107240</v>
      </c>
      <c r="L1703" s="11" t="n">
        <v>174074</v>
      </c>
      <c r="M1703" s="13" t="s">
        <v>44</v>
      </c>
      <c r="N1703" s="13" t="s">
        <v>36</v>
      </c>
      <c r="P1703" s="11" t="n">
        <v>128</v>
      </c>
      <c r="Q1703" s="13" t="s">
        <v>45</v>
      </c>
      <c r="R1703" s="13" t="s">
        <v>38</v>
      </c>
      <c r="S1703" s="11" t="n">
        <v>4210227</v>
      </c>
      <c r="T1703" s="13" t="s">
        <v>196</v>
      </c>
      <c r="U1703" s="14" t="n">
        <v>711.75</v>
      </c>
      <c r="W1703" s="14" t="n">
        <v>711.75</v>
      </c>
      <c r="X1703" s="13" t="s">
        <v>612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nao encontrado</v>
      </c>
      <c r="AC1703" s="1" t="n">
        <v>12945</v>
      </c>
    </row>
    <row r="1704" customFormat="false" ht="12.75" hidden="false" customHeight="true" outlineLevel="0" collapsed="false">
      <c r="A1704" s="11" t="n">
        <v>3</v>
      </c>
      <c r="B1704" s="12" t="n">
        <v>46167</v>
      </c>
      <c r="C1704" s="12" t="n">
        <v>46259</v>
      </c>
      <c r="D1704" s="11" t="n">
        <v>974</v>
      </c>
      <c r="E1704" s="13" t="s">
        <v>626</v>
      </c>
      <c r="F1704" s="11" t="n">
        <v>2</v>
      </c>
      <c r="G1704" s="13" t="s">
        <v>482</v>
      </c>
      <c r="H1704" s="11" t="n">
        <v>2110405</v>
      </c>
      <c r="I1704" s="13" t="s">
        <v>34</v>
      </c>
      <c r="J1704" s="11" t="n">
        <v>1155863</v>
      </c>
      <c r="L1704" s="11" t="n">
        <v>181376</v>
      </c>
      <c r="M1704" s="13" t="s">
        <v>44</v>
      </c>
      <c r="N1704" s="13" t="s">
        <v>36</v>
      </c>
      <c r="P1704" s="11" t="n">
        <v>128</v>
      </c>
      <c r="Q1704" s="13" t="s">
        <v>45</v>
      </c>
      <c r="R1704" s="13" t="s">
        <v>46</v>
      </c>
      <c r="S1704" s="11" t="n">
        <v>1130101</v>
      </c>
      <c r="T1704" s="13" t="s">
        <v>47</v>
      </c>
      <c r="U1704" s="14" t="n">
        <v>309.75</v>
      </c>
      <c r="W1704" s="14" t="n">
        <v>309.75</v>
      </c>
      <c r="X1704" s="13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nao encontrado</v>
      </c>
      <c r="AC1704" s="1" t="n">
        <v>416</v>
      </c>
    </row>
    <row r="1705" customFormat="false" ht="12.75" hidden="false" customHeight="true" outlineLevel="0" collapsed="false">
      <c r="A1705" s="11" t="n">
        <v>3</v>
      </c>
      <c r="B1705" s="12" t="n">
        <v>46168</v>
      </c>
      <c r="C1705" s="12" t="n">
        <v>46259</v>
      </c>
      <c r="D1705" s="11" t="n">
        <v>875</v>
      </c>
      <c r="E1705" s="13" t="s">
        <v>630</v>
      </c>
      <c r="F1705" s="11" t="n">
        <v>2</v>
      </c>
      <c r="G1705" s="13" t="s">
        <v>482</v>
      </c>
      <c r="H1705" s="11" t="n">
        <v>2110405</v>
      </c>
      <c r="I1705" s="13" t="s">
        <v>34</v>
      </c>
      <c r="J1705" s="11" t="n">
        <v>1166142</v>
      </c>
      <c r="L1705" s="11" t="n">
        <v>182793</v>
      </c>
      <c r="M1705" s="13" t="s">
        <v>44</v>
      </c>
      <c r="N1705" s="13" t="s">
        <v>36</v>
      </c>
      <c r="P1705" s="11" t="n">
        <v>128</v>
      </c>
      <c r="Q1705" s="13" t="s">
        <v>45</v>
      </c>
      <c r="R1705" s="13" t="s">
        <v>46</v>
      </c>
      <c r="S1705" s="11" t="n">
        <v>1130101</v>
      </c>
      <c r="T1705" s="13" t="s">
        <v>47</v>
      </c>
      <c r="U1705" s="14" t="n">
        <v>1633.2</v>
      </c>
      <c r="W1705" s="14" t="n">
        <v>1633.2</v>
      </c>
      <c r="X1705" s="13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nao encontrado</v>
      </c>
      <c r="AC1705" s="1" t="n">
        <v>1820</v>
      </c>
    </row>
    <row r="1706" customFormat="false" ht="12.75" hidden="false" customHeight="true" outlineLevel="0" collapsed="false">
      <c r="A1706" s="11" t="n">
        <v>3</v>
      </c>
      <c r="B1706" s="12" t="n">
        <v>46203</v>
      </c>
      <c r="C1706" s="12" t="n">
        <v>46259</v>
      </c>
      <c r="D1706" s="11" t="n">
        <v>489</v>
      </c>
      <c r="E1706" s="13" t="s">
        <v>181</v>
      </c>
      <c r="F1706" s="11" t="n">
        <v>2</v>
      </c>
      <c r="G1706" s="13" t="s">
        <v>482</v>
      </c>
      <c r="H1706" s="11" t="n">
        <v>2110405</v>
      </c>
      <c r="I1706" s="13" t="s">
        <v>34</v>
      </c>
      <c r="J1706" s="11" t="n">
        <v>1334126</v>
      </c>
      <c r="L1706" s="11" t="n">
        <v>208374</v>
      </c>
      <c r="M1706" s="13" t="s">
        <v>44</v>
      </c>
      <c r="N1706" s="13" t="s">
        <v>36</v>
      </c>
      <c r="P1706" s="11" t="n">
        <v>167</v>
      </c>
      <c r="Q1706" s="13" t="s">
        <v>101</v>
      </c>
      <c r="R1706" s="13" t="s">
        <v>46</v>
      </c>
      <c r="S1706" s="11" t="n">
        <v>1130101</v>
      </c>
      <c r="T1706" s="13" t="s">
        <v>47</v>
      </c>
      <c r="U1706" s="14" t="n">
        <v>101.12</v>
      </c>
      <c r="W1706" s="14" t="n">
        <v>101.12</v>
      </c>
      <c r="X1706" s="13" t="s">
        <v>1706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46227</v>
      </c>
      <c r="C1707" s="12" t="n">
        <v>46259</v>
      </c>
      <c r="D1707" s="11" t="n">
        <v>1713</v>
      </c>
      <c r="E1707" s="13" t="s">
        <v>1707</v>
      </c>
      <c r="F1707" s="11" t="n">
        <v>59</v>
      </c>
      <c r="G1707" s="13" t="s">
        <v>1252</v>
      </c>
      <c r="H1707" s="11" t="n">
        <v>2110405</v>
      </c>
      <c r="I1707" s="13" t="s">
        <v>34</v>
      </c>
      <c r="J1707" s="11" t="n">
        <v>1448483</v>
      </c>
      <c r="L1707" s="11" t="n">
        <v>13720</v>
      </c>
      <c r="M1707" s="13" t="s">
        <v>44</v>
      </c>
      <c r="N1707" s="13" t="s">
        <v>36</v>
      </c>
      <c r="P1707" s="11" t="n">
        <v>167</v>
      </c>
      <c r="Q1707" s="13" t="s">
        <v>101</v>
      </c>
      <c r="R1707" s="13" t="s">
        <v>38</v>
      </c>
      <c r="S1707" s="11" t="n">
        <v>4210227</v>
      </c>
      <c r="T1707" s="13" t="s">
        <v>196</v>
      </c>
      <c r="U1707" s="14" t="n">
        <v>51</v>
      </c>
      <c r="W1707" s="14" t="n">
        <v>51</v>
      </c>
      <c r="X1707" s="13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CAIXA ROHDBOX 190X150X90MM CINZA T.OPACA</v>
      </c>
      <c r="AC1707" s="1" t="n">
        <v>13720</v>
      </c>
    </row>
    <row r="1708" customFormat="false" ht="12.75" hidden="false" customHeight="true" outlineLevel="0" collapsed="false">
      <c r="A1708" s="11" t="n">
        <v>3</v>
      </c>
      <c r="B1708" s="12" t="n">
        <v>46226</v>
      </c>
      <c r="C1708" s="12" t="n">
        <v>46259</v>
      </c>
      <c r="D1708" s="11" t="n">
        <v>1713</v>
      </c>
      <c r="E1708" s="13" t="s">
        <v>1707</v>
      </c>
      <c r="F1708" s="11" t="n">
        <v>59</v>
      </c>
      <c r="G1708" s="13" t="s">
        <v>1252</v>
      </c>
      <c r="H1708" s="11" t="n">
        <v>2110405</v>
      </c>
      <c r="I1708" s="13" t="s">
        <v>34</v>
      </c>
      <c r="J1708" s="11" t="n">
        <v>1448520</v>
      </c>
      <c r="L1708" s="11" t="n">
        <v>225450</v>
      </c>
      <c r="M1708" s="13" t="s">
        <v>44</v>
      </c>
      <c r="N1708" s="13" t="s">
        <v>36</v>
      </c>
      <c r="P1708" s="11" t="n">
        <v>167</v>
      </c>
      <c r="Q1708" s="13" t="s">
        <v>101</v>
      </c>
      <c r="R1708" s="13" t="s">
        <v>38</v>
      </c>
      <c r="S1708" s="11" t="n">
        <v>4210227</v>
      </c>
      <c r="T1708" s="13" t="s">
        <v>196</v>
      </c>
      <c r="U1708" s="14" t="n">
        <v>66</v>
      </c>
      <c r="W1708" s="14" t="n">
        <v>66</v>
      </c>
      <c r="X1708" s="13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46205</v>
      </c>
      <c r="C1709" s="12" t="n">
        <v>46259</v>
      </c>
      <c r="D1709" s="11" t="n">
        <v>663</v>
      </c>
      <c r="E1709" s="13" t="s">
        <v>611</v>
      </c>
      <c r="F1709" s="11" t="n">
        <v>59</v>
      </c>
      <c r="G1709" s="13" t="s">
        <v>1252</v>
      </c>
      <c r="H1709" s="11" t="n">
        <v>2110405</v>
      </c>
      <c r="I1709" s="13" t="s">
        <v>34</v>
      </c>
      <c r="J1709" s="11" t="n">
        <v>1465232</v>
      </c>
      <c r="L1709" s="11" t="n">
        <v>227948</v>
      </c>
      <c r="M1709" s="13" t="s">
        <v>44</v>
      </c>
      <c r="N1709" s="13" t="s">
        <v>36</v>
      </c>
      <c r="P1709" s="11" t="n">
        <v>167</v>
      </c>
      <c r="Q1709" s="13" t="s">
        <v>101</v>
      </c>
      <c r="R1709" s="13" t="s">
        <v>38</v>
      </c>
      <c r="S1709" s="11" t="n">
        <v>4210227</v>
      </c>
      <c r="T1709" s="13" t="s">
        <v>196</v>
      </c>
      <c r="U1709" s="14" t="n">
        <v>93.33</v>
      </c>
      <c r="W1709" s="14" t="n">
        <v>93.33</v>
      </c>
      <c r="X1709" s="13" t="s">
        <v>1710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46231</v>
      </c>
      <c r="C1710" s="12" t="n">
        <v>46259</v>
      </c>
      <c r="D1710" s="11" t="n">
        <v>1740</v>
      </c>
      <c r="E1710" s="13" t="s">
        <v>170</v>
      </c>
      <c r="F1710" s="11" t="n">
        <v>24</v>
      </c>
      <c r="G1710" s="13" t="s">
        <v>42</v>
      </c>
      <c r="H1710" s="11" t="n">
        <v>2110405</v>
      </c>
      <c r="I1710" s="13" t="s">
        <v>34</v>
      </c>
      <c r="J1710" s="11" t="n">
        <v>1468609</v>
      </c>
      <c r="L1710" s="11" t="n">
        <v>12522443</v>
      </c>
      <c r="M1710" s="13" t="s">
        <v>44</v>
      </c>
      <c r="N1710" s="13" t="s">
        <v>36</v>
      </c>
      <c r="P1710" s="11" t="n">
        <v>167</v>
      </c>
      <c r="Q1710" s="13" t="s">
        <v>101</v>
      </c>
      <c r="R1710" s="13" t="s">
        <v>46</v>
      </c>
      <c r="S1710" s="11" t="n">
        <v>1130101</v>
      </c>
      <c r="T1710" s="13" t="s">
        <v>47</v>
      </c>
      <c r="U1710" s="14" t="n">
        <v>676.45</v>
      </c>
      <c r="W1710" s="14" t="n">
        <v>676.45</v>
      </c>
      <c r="X1710" s="13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LINGUI DE FRANGO KG</v>
      </c>
      <c r="AC1710" s="1" t="n">
        <v>1252244</v>
      </c>
    </row>
    <row r="1711" customFormat="false" ht="12.75" hidden="false" customHeight="true" outlineLevel="0" collapsed="false">
      <c r="A1711" s="11" t="n">
        <v>3</v>
      </c>
      <c r="B1711" s="12" t="n">
        <v>46231</v>
      </c>
      <c r="C1711" s="12" t="n">
        <v>46259</v>
      </c>
      <c r="D1711" s="11" t="n">
        <v>875</v>
      </c>
      <c r="E1711" s="13" t="s">
        <v>630</v>
      </c>
      <c r="F1711" s="11" t="n">
        <v>59</v>
      </c>
      <c r="G1711" s="13" t="s">
        <v>1252</v>
      </c>
      <c r="H1711" s="11" t="n">
        <v>2110405</v>
      </c>
      <c r="I1711" s="13" t="s">
        <v>34</v>
      </c>
      <c r="J1711" s="11" t="n">
        <v>1472834</v>
      </c>
      <c r="L1711" s="11" t="n">
        <v>18871</v>
      </c>
      <c r="M1711" s="13" t="s">
        <v>44</v>
      </c>
      <c r="N1711" s="13" t="s">
        <v>36</v>
      </c>
      <c r="P1711" s="11" t="n">
        <v>167</v>
      </c>
      <c r="Q1711" s="13" t="s">
        <v>101</v>
      </c>
      <c r="R1711" s="13" t="s">
        <v>46</v>
      </c>
      <c r="S1711" s="11" t="n">
        <v>1130101</v>
      </c>
      <c r="T1711" s="13" t="s">
        <v>47</v>
      </c>
      <c r="U1711" s="14" t="n">
        <v>1615.17</v>
      </c>
      <c r="W1711" s="14" t="n">
        <v>1615.17</v>
      </c>
      <c r="X1711" s="13" t="s">
        <v>1712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FONE OUVIDO BASIKE F</v>
      </c>
      <c r="AC1711" s="1" t="n">
        <v>1887</v>
      </c>
    </row>
    <row r="1712" customFormat="false" ht="12.75" hidden="false" customHeight="true" outlineLevel="0" collapsed="false">
      <c r="A1712" s="11" t="n">
        <v>3</v>
      </c>
      <c r="B1712" s="12" t="n">
        <v>46237</v>
      </c>
      <c r="C1712" s="12" t="n">
        <v>46259</v>
      </c>
      <c r="D1712" s="11" t="n">
        <v>10101</v>
      </c>
      <c r="E1712" s="13" t="s">
        <v>1713</v>
      </c>
      <c r="F1712" s="11" t="n">
        <v>59</v>
      </c>
      <c r="G1712" s="13" t="s">
        <v>1252</v>
      </c>
      <c r="H1712" s="11" t="n">
        <v>2110405</v>
      </c>
      <c r="I1712" s="13" t="s">
        <v>34</v>
      </c>
      <c r="J1712" s="11" t="n">
        <v>1498488</v>
      </c>
      <c r="L1712" s="11" t="n">
        <v>232737</v>
      </c>
      <c r="M1712" s="13" t="s">
        <v>44</v>
      </c>
      <c r="N1712" s="13" t="s">
        <v>36</v>
      </c>
      <c r="P1712" s="11" t="n">
        <v>167</v>
      </c>
      <c r="Q1712" s="13" t="s">
        <v>101</v>
      </c>
      <c r="R1712" s="13" t="s">
        <v>38</v>
      </c>
      <c r="S1712" s="11" t="n">
        <v>4210227</v>
      </c>
      <c r="T1712" s="13" t="s">
        <v>196</v>
      </c>
      <c r="U1712" s="14" t="n">
        <v>256.8</v>
      </c>
      <c r="W1712" s="14" t="n">
        <v>256.8</v>
      </c>
      <c r="X1712" s="13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SMARTPHONE MOTOROLA G06 4/128GB AZ</v>
      </c>
      <c r="AC1712" s="1" t="n">
        <v>259616</v>
      </c>
    </row>
    <row r="1713" customFormat="false" ht="12.75" hidden="false" customHeight="true" outlineLevel="0" collapsed="false">
      <c r="A1713" s="11" t="n">
        <v>3</v>
      </c>
      <c r="B1713" s="12" t="n">
        <v>46238</v>
      </c>
      <c r="C1713" s="12" t="n">
        <v>46259</v>
      </c>
      <c r="D1713" s="11" t="n">
        <v>1656</v>
      </c>
      <c r="E1713" s="13" t="s">
        <v>260</v>
      </c>
      <c r="F1713" s="11" t="n">
        <v>24</v>
      </c>
      <c r="G1713" s="13" t="s">
        <v>42</v>
      </c>
      <c r="H1713" s="11" t="n">
        <v>2110405</v>
      </c>
      <c r="I1713" s="13" t="s">
        <v>34</v>
      </c>
      <c r="J1713" s="11" t="n">
        <v>1499223</v>
      </c>
      <c r="L1713" s="11" t="n">
        <v>2245512</v>
      </c>
      <c r="M1713" s="13" t="s">
        <v>44</v>
      </c>
      <c r="N1713" s="13" t="s">
        <v>36</v>
      </c>
      <c r="P1713" s="11" t="n">
        <v>167</v>
      </c>
      <c r="Q1713" s="13" t="s">
        <v>101</v>
      </c>
      <c r="R1713" s="13" t="s">
        <v>46</v>
      </c>
      <c r="S1713" s="11" t="n">
        <v>1130101</v>
      </c>
      <c r="T1713" s="13" t="s">
        <v>47</v>
      </c>
      <c r="U1713" s="14" t="n">
        <v>358.74</v>
      </c>
      <c r="W1713" s="14" t="n">
        <v>358.74</v>
      </c>
      <c r="X1713" s="13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-KETCHUP TRADICIONAL</v>
      </c>
      <c r="AC1713" s="1" t="n">
        <v>224551</v>
      </c>
    </row>
    <row r="1714" customFormat="false" ht="12.75" hidden="false" customHeight="true" outlineLevel="0" collapsed="false">
      <c r="A1714" s="11" t="n">
        <v>3</v>
      </c>
      <c r="B1714" s="12" t="n">
        <v>46238</v>
      </c>
      <c r="C1714" s="12" t="n">
        <v>46259</v>
      </c>
      <c r="D1714" s="11" t="n">
        <v>1185</v>
      </c>
      <c r="E1714" s="13" t="s">
        <v>167</v>
      </c>
      <c r="F1714" s="11" t="n">
        <v>24</v>
      </c>
      <c r="G1714" s="13" t="s">
        <v>42</v>
      </c>
      <c r="H1714" s="11" t="n">
        <v>2110405</v>
      </c>
      <c r="I1714" s="13" t="s">
        <v>34</v>
      </c>
      <c r="J1714" s="11" t="n">
        <v>1500196</v>
      </c>
      <c r="L1714" s="11" t="n">
        <v>3932</v>
      </c>
      <c r="M1714" s="13" t="s">
        <v>44</v>
      </c>
      <c r="N1714" s="13" t="s">
        <v>36</v>
      </c>
      <c r="P1714" s="11" t="n">
        <v>167</v>
      </c>
      <c r="Q1714" s="13" t="s">
        <v>101</v>
      </c>
      <c r="R1714" s="13" t="s">
        <v>46</v>
      </c>
      <c r="S1714" s="11" t="n">
        <v>1130101</v>
      </c>
      <c r="T1714" s="13" t="s">
        <v>47</v>
      </c>
      <c r="U1714" s="14" t="n">
        <v>768</v>
      </c>
      <c r="W1714" s="14" t="n">
        <v>768</v>
      </c>
      <c r="X1714" s="13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MILHO P/ PIPOCA 200G</v>
      </c>
      <c r="AC1714" s="1" t="n">
        <v>393</v>
      </c>
    </row>
    <row r="1715" customFormat="false" ht="12.75" hidden="false" customHeight="true" outlineLevel="0" collapsed="false">
      <c r="A1715" s="11" t="n">
        <v>3</v>
      </c>
      <c r="B1715" s="12" t="n">
        <v>46238</v>
      </c>
      <c r="C1715" s="12" t="n">
        <v>46259</v>
      </c>
      <c r="D1715" s="11" t="n">
        <v>1701</v>
      </c>
      <c r="E1715" s="13" t="s">
        <v>1263</v>
      </c>
      <c r="F1715" s="11" t="n">
        <v>24</v>
      </c>
      <c r="G1715" s="13" t="s">
        <v>42</v>
      </c>
      <c r="H1715" s="11" t="n">
        <v>2110405</v>
      </c>
      <c r="I1715" s="13" t="s">
        <v>34</v>
      </c>
      <c r="J1715" s="11" t="n">
        <v>1504092</v>
      </c>
      <c r="L1715" s="11" t="n">
        <v>143793</v>
      </c>
      <c r="M1715" s="13" t="s">
        <v>44</v>
      </c>
      <c r="N1715" s="13" t="s">
        <v>36</v>
      </c>
      <c r="P1715" s="11" t="n">
        <v>167</v>
      </c>
      <c r="Q1715" s="13" t="s">
        <v>101</v>
      </c>
      <c r="R1715" s="13" t="s">
        <v>46</v>
      </c>
      <c r="S1715" s="11" t="n">
        <v>1130101</v>
      </c>
      <c r="T1715" s="13" t="s">
        <v>47</v>
      </c>
      <c r="U1715" s="14" t="n">
        <v>432.97</v>
      </c>
      <c r="W1715" s="14" t="n">
        <v>432.97</v>
      </c>
      <c r="X1715" s="13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TRIGO D MARIA C/FERM 1KG</v>
      </c>
      <c r="AC1715" s="1" t="n">
        <v>143793</v>
      </c>
    </row>
    <row r="1716" customFormat="false" ht="12.75" hidden="false" customHeight="true" outlineLevel="0" collapsed="false">
      <c r="A1716" s="11" t="n">
        <v>3</v>
      </c>
      <c r="B1716" s="12" t="n">
        <v>46238</v>
      </c>
      <c r="C1716" s="12" t="n">
        <v>46259</v>
      </c>
      <c r="D1716" s="11" t="n">
        <v>1745</v>
      </c>
      <c r="E1716" s="13" t="s">
        <v>592</v>
      </c>
      <c r="F1716" s="11" t="n">
        <v>24</v>
      </c>
      <c r="G1716" s="13" t="s">
        <v>42</v>
      </c>
      <c r="H1716" s="11" t="n">
        <v>2110405</v>
      </c>
      <c r="I1716" s="13" t="s">
        <v>34</v>
      </c>
      <c r="J1716" s="11" t="n">
        <v>1504231</v>
      </c>
      <c r="L1716" s="11" t="n">
        <v>3560052</v>
      </c>
      <c r="M1716" s="13" t="s">
        <v>44</v>
      </c>
      <c r="N1716" s="13" t="s">
        <v>36</v>
      </c>
      <c r="P1716" s="11" t="n">
        <v>167</v>
      </c>
      <c r="Q1716" s="13" t="s">
        <v>101</v>
      </c>
      <c r="R1716" s="13" t="s">
        <v>46</v>
      </c>
      <c r="S1716" s="11" t="n">
        <v>1130101</v>
      </c>
      <c r="T1716" s="13" t="s">
        <v>47</v>
      </c>
      <c r="U1716" s="14" t="n">
        <v>590.43</v>
      </c>
      <c r="W1716" s="14" t="n">
        <v>590.43</v>
      </c>
      <c r="X1716" s="13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CAFE KIMINO 250G</v>
      </c>
      <c r="AC1716" s="1" t="n">
        <v>356005</v>
      </c>
    </row>
    <row r="1717" customFormat="false" ht="12.75" hidden="false" customHeight="true" outlineLevel="0" collapsed="false">
      <c r="A1717" s="11" t="n">
        <v>3</v>
      </c>
      <c r="B1717" s="12" t="n">
        <v>46238</v>
      </c>
      <c r="C1717" s="12" t="n">
        <v>46259</v>
      </c>
      <c r="D1717" s="11" t="n">
        <v>1668</v>
      </c>
      <c r="E1717" s="13" t="s">
        <v>159</v>
      </c>
      <c r="F1717" s="11" t="n">
        <v>24</v>
      </c>
      <c r="G1717" s="13" t="s">
        <v>42</v>
      </c>
      <c r="H1717" s="11" t="n">
        <v>2110405</v>
      </c>
      <c r="I1717" s="13" t="s">
        <v>34</v>
      </c>
      <c r="J1717" s="11" t="n">
        <v>1504245</v>
      </c>
      <c r="L1717" s="11" t="n">
        <v>7455922</v>
      </c>
      <c r="M1717" s="13" t="s">
        <v>44</v>
      </c>
      <c r="N1717" s="13" t="s">
        <v>36</v>
      </c>
      <c r="P1717" s="11" t="n">
        <v>167</v>
      </c>
      <c r="Q1717" s="13" t="s">
        <v>101</v>
      </c>
      <c r="R1717" s="13" t="s">
        <v>46</v>
      </c>
      <c r="S1717" s="11" t="n">
        <v>1130101</v>
      </c>
      <c r="T1717" s="13" t="s">
        <v>47</v>
      </c>
      <c r="U1717" s="14" t="n">
        <v>1242.27</v>
      </c>
      <c r="W1717" s="14" t="n">
        <v>1242.27</v>
      </c>
      <c r="X1717" s="13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nao encontrado</v>
      </c>
      <c r="AC1717" s="1" t="n">
        <v>7455920</v>
      </c>
    </row>
    <row r="1718" customFormat="false" ht="12.75" hidden="false" customHeight="true" outlineLevel="0" collapsed="false">
      <c r="A1718" s="11" t="n">
        <v>3</v>
      </c>
      <c r="B1718" s="12" t="n">
        <v>46238</v>
      </c>
      <c r="C1718" s="12" t="n">
        <v>46259</v>
      </c>
      <c r="D1718" s="11" t="n">
        <v>1734</v>
      </c>
      <c r="E1718" s="13" t="s">
        <v>125</v>
      </c>
      <c r="F1718" s="11" t="n">
        <v>24</v>
      </c>
      <c r="G1718" s="13" t="s">
        <v>42</v>
      </c>
      <c r="H1718" s="11" t="n">
        <v>2110405</v>
      </c>
      <c r="I1718" s="13" t="s">
        <v>34</v>
      </c>
      <c r="J1718" s="11" t="n">
        <v>1504823</v>
      </c>
      <c r="L1718" s="11" t="n">
        <v>2570042</v>
      </c>
      <c r="M1718" s="13" t="s">
        <v>44</v>
      </c>
      <c r="N1718" s="13" t="s">
        <v>36</v>
      </c>
      <c r="P1718" s="11" t="n">
        <v>167</v>
      </c>
      <c r="Q1718" s="13" t="s">
        <v>101</v>
      </c>
      <c r="R1718" s="13" t="s">
        <v>46</v>
      </c>
      <c r="S1718" s="11" t="n">
        <v>1130101</v>
      </c>
      <c r="T1718" s="13" t="s">
        <v>47</v>
      </c>
      <c r="U1718" s="14" t="n">
        <v>497.23</v>
      </c>
      <c r="W1718" s="14" t="n">
        <v>497.23</v>
      </c>
      <c r="X1718" s="13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PICOLE BRIGAD TOYA</v>
      </c>
      <c r="AC1718" s="1" t="n">
        <v>257004</v>
      </c>
    </row>
    <row r="1719" customFormat="false" ht="12.75" hidden="false" customHeight="true" outlineLevel="0" collapsed="false">
      <c r="A1719" s="11" t="n">
        <v>3</v>
      </c>
      <c r="B1719" s="12" t="n">
        <v>46245</v>
      </c>
      <c r="C1719" s="12" t="n">
        <v>46259</v>
      </c>
      <c r="D1719" s="11" t="n">
        <v>1804</v>
      </c>
      <c r="E1719" s="13" t="s">
        <v>699</v>
      </c>
      <c r="F1719" s="11" t="n">
        <v>24</v>
      </c>
      <c r="G1719" s="13" t="s">
        <v>42</v>
      </c>
      <c r="H1719" s="11" t="n">
        <v>2110405</v>
      </c>
      <c r="I1719" s="13" t="s">
        <v>34</v>
      </c>
      <c r="J1719" s="11" t="n">
        <v>1531960</v>
      </c>
      <c r="L1719" s="11" t="n">
        <v>337571</v>
      </c>
      <c r="M1719" s="13" t="s">
        <v>44</v>
      </c>
      <c r="N1719" s="13" t="s">
        <v>36</v>
      </c>
      <c r="P1719" s="11" t="n">
        <v>167</v>
      </c>
      <c r="Q1719" s="13" t="s">
        <v>101</v>
      </c>
      <c r="R1719" s="13" t="s">
        <v>46</v>
      </c>
      <c r="S1719" s="11" t="n">
        <v>1130101</v>
      </c>
      <c r="T1719" s="13" t="s">
        <v>47</v>
      </c>
      <c r="U1719" s="14" t="n">
        <v>879.73</v>
      </c>
      <c r="W1719" s="14" t="n">
        <v>879.73</v>
      </c>
      <c r="X1719" s="13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FRALDA PANDA G 07UN</v>
      </c>
      <c r="AC1719" s="1" t="n">
        <v>26350</v>
      </c>
    </row>
    <row r="1720" customFormat="false" ht="12.75" hidden="false" customHeight="true" outlineLevel="0" collapsed="false">
      <c r="A1720" s="11" t="n">
        <v>3</v>
      </c>
      <c r="B1720" s="12" t="n">
        <v>46244</v>
      </c>
      <c r="C1720" s="12" t="n">
        <v>46259</v>
      </c>
      <c r="D1720" s="11" t="n">
        <v>1616</v>
      </c>
      <c r="E1720" s="13" t="s">
        <v>697</v>
      </c>
      <c r="F1720" s="11" t="n">
        <v>24</v>
      </c>
      <c r="G1720" s="13" t="s">
        <v>42</v>
      </c>
      <c r="H1720" s="11" t="n">
        <v>2110405</v>
      </c>
      <c r="I1720" s="13" t="s">
        <v>34</v>
      </c>
      <c r="J1720" s="11" t="n">
        <v>1536928</v>
      </c>
      <c r="L1720" s="11" t="n">
        <v>6540771</v>
      </c>
      <c r="M1720" s="13" t="s">
        <v>44</v>
      </c>
      <c r="N1720" s="13" t="s">
        <v>36</v>
      </c>
      <c r="P1720" s="11" t="n">
        <v>167</v>
      </c>
      <c r="Q1720" s="13" t="s">
        <v>101</v>
      </c>
      <c r="R1720" s="13" t="s">
        <v>46</v>
      </c>
      <c r="S1720" s="11" t="n">
        <v>1130101</v>
      </c>
      <c r="T1720" s="13" t="s">
        <v>47</v>
      </c>
      <c r="U1720" s="14" t="n">
        <v>311.49</v>
      </c>
      <c r="W1720" s="14" t="n">
        <v>311.49</v>
      </c>
      <c r="X1720" s="13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CONF ROCKLETS 40G</v>
      </c>
      <c r="AC1720" s="1" t="n">
        <v>654077</v>
      </c>
    </row>
    <row r="1721" customFormat="false" ht="12.75" hidden="false" customHeight="true" outlineLevel="0" collapsed="false">
      <c r="A1721" s="11" t="n">
        <v>3</v>
      </c>
      <c r="B1721" s="12" t="n">
        <v>46245</v>
      </c>
      <c r="C1721" s="12" t="n">
        <v>46259</v>
      </c>
      <c r="D1721" s="11" t="n">
        <v>1723</v>
      </c>
      <c r="E1721" s="13" t="s">
        <v>76</v>
      </c>
      <c r="F1721" s="11" t="n">
        <v>24</v>
      </c>
      <c r="G1721" s="13" t="s">
        <v>42</v>
      </c>
      <c r="H1721" s="11" t="n">
        <v>2110405</v>
      </c>
      <c r="I1721" s="13" t="s">
        <v>34</v>
      </c>
      <c r="J1721" s="11" t="n">
        <v>1536996</v>
      </c>
      <c r="L1721" s="11" t="n">
        <v>592462</v>
      </c>
      <c r="M1721" s="13" t="s">
        <v>44</v>
      </c>
      <c r="N1721" s="13" t="s">
        <v>36</v>
      </c>
      <c r="P1721" s="11" t="n">
        <v>167</v>
      </c>
      <c r="Q1721" s="13" t="s">
        <v>101</v>
      </c>
      <c r="R1721" s="13" t="s">
        <v>46</v>
      </c>
      <c r="S1721" s="11" t="n">
        <v>1130101</v>
      </c>
      <c r="T1721" s="13" t="s">
        <v>47</v>
      </c>
      <c r="U1721" s="14" t="n">
        <v>981.6</v>
      </c>
      <c r="W1721" s="14" t="n">
        <v>981.6</v>
      </c>
      <c r="X1721" s="13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TRASEIRO DE BOI L1</v>
      </c>
      <c r="AC1721" s="1" t="n">
        <v>174666</v>
      </c>
    </row>
    <row r="1722" customFormat="false" ht="12.75" hidden="false" customHeight="true" outlineLevel="0" collapsed="false">
      <c r="A1722" s="11" t="n">
        <v>3</v>
      </c>
      <c r="B1722" s="12" t="n">
        <v>46245</v>
      </c>
      <c r="C1722" s="12" t="n">
        <v>46259</v>
      </c>
      <c r="D1722" s="11" t="n">
        <v>1734</v>
      </c>
      <c r="E1722" s="13" t="s">
        <v>125</v>
      </c>
      <c r="F1722" s="11" t="n">
        <v>24</v>
      </c>
      <c r="G1722" s="13" t="s">
        <v>42</v>
      </c>
      <c r="H1722" s="11" t="n">
        <v>2110405</v>
      </c>
      <c r="I1722" s="13" t="s">
        <v>34</v>
      </c>
      <c r="J1722" s="11" t="n">
        <v>1537294</v>
      </c>
      <c r="L1722" s="11" t="n">
        <v>2575212</v>
      </c>
      <c r="M1722" s="13" t="s">
        <v>44</v>
      </c>
      <c r="N1722" s="13" t="s">
        <v>36</v>
      </c>
      <c r="P1722" s="11" t="n">
        <v>167</v>
      </c>
      <c r="Q1722" s="13" t="s">
        <v>101</v>
      </c>
      <c r="R1722" s="13" t="s">
        <v>46</v>
      </c>
      <c r="S1722" s="11" t="n">
        <v>1130101</v>
      </c>
      <c r="T1722" s="13" t="s">
        <v>47</v>
      </c>
      <c r="U1722" s="14" t="n">
        <v>449.9</v>
      </c>
      <c r="W1722" s="14" t="n">
        <v>449.9</v>
      </c>
      <c r="X1722" s="13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SORVETE 2 LTS ACAI E</v>
      </c>
      <c r="AC1722" s="1" t="n">
        <v>257521</v>
      </c>
    </row>
    <row r="1723" customFormat="false" ht="12.75" hidden="false" customHeight="true" outlineLevel="0" collapsed="false">
      <c r="A1723" s="11" t="n">
        <v>3</v>
      </c>
      <c r="B1723" s="12" t="n">
        <v>46244</v>
      </c>
      <c r="C1723" s="12" t="n">
        <v>46259</v>
      </c>
      <c r="D1723" s="11" t="n">
        <v>1636</v>
      </c>
      <c r="E1723" s="13" t="s">
        <v>49</v>
      </c>
      <c r="F1723" s="11" t="n">
        <v>24</v>
      </c>
      <c r="G1723" s="13" t="s">
        <v>42</v>
      </c>
      <c r="H1723" s="11" t="n">
        <v>2110405</v>
      </c>
      <c r="I1723" s="13" t="s">
        <v>34</v>
      </c>
      <c r="J1723" s="11" t="n">
        <v>1540558</v>
      </c>
      <c r="L1723" s="11" t="n">
        <v>32349331</v>
      </c>
      <c r="M1723" s="13" t="s">
        <v>44</v>
      </c>
      <c r="N1723" s="13" t="s">
        <v>36</v>
      </c>
      <c r="P1723" s="11" t="n">
        <v>167</v>
      </c>
      <c r="Q1723" s="13" t="s">
        <v>101</v>
      </c>
      <c r="R1723" s="13" t="s">
        <v>46</v>
      </c>
      <c r="S1723" s="11" t="n">
        <v>1130101</v>
      </c>
      <c r="T1723" s="13" t="s">
        <v>47</v>
      </c>
      <c r="U1723" s="14" t="n">
        <v>419.94</v>
      </c>
      <c r="W1723" s="14" t="n">
        <v>419.94</v>
      </c>
      <c r="X1723" s="13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AZEITE MARIA TRAD. 5</v>
      </c>
      <c r="AC1723" s="1" t="n">
        <v>3234933</v>
      </c>
    </row>
    <row r="1724" customFormat="false" ht="12.75" hidden="false" customHeight="true" outlineLevel="0" collapsed="false">
      <c r="A1724" s="11" t="n">
        <v>3</v>
      </c>
      <c r="B1724" s="12" t="n">
        <v>46244</v>
      </c>
      <c r="C1724" s="12" t="n">
        <v>46259</v>
      </c>
      <c r="D1724" s="11" t="n">
        <v>1636</v>
      </c>
      <c r="E1724" s="13" t="s">
        <v>49</v>
      </c>
      <c r="F1724" s="11" t="n">
        <v>24</v>
      </c>
      <c r="G1724" s="13" t="s">
        <v>42</v>
      </c>
      <c r="H1724" s="11" t="n">
        <v>2110405</v>
      </c>
      <c r="I1724" s="13" t="s">
        <v>34</v>
      </c>
      <c r="J1724" s="11" t="n">
        <v>1540564</v>
      </c>
      <c r="L1724" s="11" t="n">
        <v>32349321</v>
      </c>
      <c r="M1724" s="13" t="s">
        <v>44</v>
      </c>
      <c r="N1724" s="13" t="s">
        <v>36</v>
      </c>
      <c r="P1724" s="11" t="n">
        <v>167</v>
      </c>
      <c r="Q1724" s="13" t="s">
        <v>101</v>
      </c>
      <c r="R1724" s="13" t="s">
        <v>46</v>
      </c>
      <c r="S1724" s="11" t="n">
        <v>1130101</v>
      </c>
      <c r="T1724" s="13" t="s">
        <v>47</v>
      </c>
      <c r="U1724" s="14" t="n">
        <v>191.26</v>
      </c>
      <c r="W1724" s="14" t="n">
        <v>191.26</v>
      </c>
      <c r="X1724" s="13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DETE.LOUCA MINUANO M</v>
      </c>
      <c r="AC1724" s="1" t="n">
        <v>3234932</v>
      </c>
    </row>
    <row r="1725" customFormat="false" ht="12.75" hidden="false" customHeight="true" outlineLevel="0" collapsed="false">
      <c r="A1725" s="11" t="n">
        <v>3</v>
      </c>
      <c r="B1725" s="12" t="n">
        <v>46247</v>
      </c>
      <c r="C1725" s="12" t="n">
        <v>46259</v>
      </c>
      <c r="D1725" s="11" t="n">
        <v>42</v>
      </c>
      <c r="E1725" s="13" t="s">
        <v>80</v>
      </c>
      <c r="F1725" s="11" t="n">
        <v>34</v>
      </c>
      <c r="G1725" s="13" t="s">
        <v>33</v>
      </c>
      <c r="H1725" s="11" t="n">
        <v>2110101</v>
      </c>
      <c r="I1725" s="13" t="s">
        <v>43</v>
      </c>
      <c r="J1725" s="11" t="n">
        <v>1540694</v>
      </c>
      <c r="L1725" s="11" t="n">
        <v>4494</v>
      </c>
      <c r="M1725" s="13" t="s">
        <v>150</v>
      </c>
      <c r="N1725" s="13" t="s">
        <v>69</v>
      </c>
      <c r="P1725" s="11" t="n">
        <v>167</v>
      </c>
      <c r="Q1725" s="13" t="s">
        <v>101</v>
      </c>
      <c r="R1725" s="13" t="s">
        <v>46</v>
      </c>
      <c r="S1725" s="11" t="n">
        <v>1130101</v>
      </c>
      <c r="T1725" s="13" t="s">
        <v>47</v>
      </c>
      <c r="U1725" s="14" t="n">
        <v>940</v>
      </c>
      <c r="W1725" s="14" t="n">
        <v>940</v>
      </c>
      <c r="X1725" s="13" t="s">
        <v>1322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46251</v>
      </c>
      <c r="C1726" s="12" t="n">
        <v>46259</v>
      </c>
      <c r="D1726" s="11" t="n">
        <v>489</v>
      </c>
      <c r="E1726" s="13" t="s">
        <v>181</v>
      </c>
      <c r="F1726" s="11" t="n">
        <v>34</v>
      </c>
      <c r="G1726" s="13" t="s">
        <v>33</v>
      </c>
      <c r="H1726" s="11" t="n">
        <v>2110405</v>
      </c>
      <c r="I1726" s="13" t="s">
        <v>34</v>
      </c>
      <c r="J1726" s="11" t="n">
        <v>1562189</v>
      </c>
      <c r="L1726" s="11" t="n">
        <v>241900</v>
      </c>
      <c r="M1726" s="13" t="s">
        <v>44</v>
      </c>
      <c r="N1726" s="13" t="s">
        <v>36</v>
      </c>
      <c r="P1726" s="11" t="n">
        <v>167</v>
      </c>
      <c r="Q1726" s="13" t="s">
        <v>101</v>
      </c>
      <c r="R1726" s="13" t="s">
        <v>46</v>
      </c>
      <c r="S1726" s="11" t="n">
        <v>1130101</v>
      </c>
      <c r="T1726" s="13" t="s">
        <v>47</v>
      </c>
      <c r="U1726" s="14" t="n">
        <v>735</v>
      </c>
      <c r="W1726" s="14" t="n">
        <v>735</v>
      </c>
      <c r="X1726" s="13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46252</v>
      </c>
      <c r="C1727" s="12" t="n">
        <v>46259</v>
      </c>
      <c r="D1727" s="11" t="n">
        <v>1625</v>
      </c>
      <c r="E1727" s="13" t="s">
        <v>320</v>
      </c>
      <c r="F1727" s="11" t="n">
        <v>24</v>
      </c>
      <c r="G1727" s="13" t="s">
        <v>42</v>
      </c>
      <c r="H1727" s="11" t="n">
        <v>2110405</v>
      </c>
      <c r="I1727" s="13" t="s">
        <v>34</v>
      </c>
      <c r="J1727" s="11" t="n">
        <v>1572672</v>
      </c>
      <c r="L1727" s="11" t="n">
        <v>15086</v>
      </c>
      <c r="M1727" s="13" t="s">
        <v>44</v>
      </c>
      <c r="N1727" s="13" t="s">
        <v>36</v>
      </c>
      <c r="P1727" s="11" t="n">
        <v>167</v>
      </c>
      <c r="Q1727" s="13" t="s">
        <v>101</v>
      </c>
      <c r="R1727" s="13" t="s">
        <v>46</v>
      </c>
      <c r="S1727" s="11" t="n">
        <v>1130101</v>
      </c>
      <c r="T1727" s="13" t="s">
        <v>47</v>
      </c>
      <c r="U1727" s="14" t="n">
        <v>4624.25</v>
      </c>
      <c r="W1727" s="14" t="n">
        <v>4624.25</v>
      </c>
      <c r="X1727" s="13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TRASEIRO DE BOI L1</v>
      </c>
      <c r="AC1727" s="1" t="n">
        <v>15086</v>
      </c>
    </row>
    <row r="1728" customFormat="false" ht="12.75" hidden="false" customHeight="true" outlineLevel="0" collapsed="false">
      <c r="A1728" s="11" t="n">
        <v>3</v>
      </c>
      <c r="B1728" s="12" t="n">
        <v>46252</v>
      </c>
      <c r="C1728" s="12" t="n">
        <v>46259</v>
      </c>
      <c r="D1728" s="11" t="n">
        <v>1734</v>
      </c>
      <c r="E1728" s="13" t="s">
        <v>125</v>
      </c>
      <c r="F1728" s="11" t="n">
        <v>24</v>
      </c>
      <c r="G1728" s="13" t="s">
        <v>42</v>
      </c>
      <c r="H1728" s="11" t="n">
        <v>2110405</v>
      </c>
      <c r="I1728" s="13" t="s">
        <v>34</v>
      </c>
      <c r="J1728" s="11" t="n">
        <v>1572841</v>
      </c>
      <c r="L1728" s="11" t="n">
        <v>258044</v>
      </c>
      <c r="M1728" s="13" t="s">
        <v>44</v>
      </c>
      <c r="N1728" s="13" t="s">
        <v>36</v>
      </c>
      <c r="P1728" s="11" t="n">
        <v>167</v>
      </c>
      <c r="Q1728" s="13" t="s">
        <v>101</v>
      </c>
      <c r="R1728" s="13" t="s">
        <v>46</v>
      </c>
      <c r="S1728" s="11" t="n">
        <v>1130101</v>
      </c>
      <c r="T1728" s="13" t="s">
        <v>47</v>
      </c>
      <c r="U1728" s="14" t="n">
        <v>472.03</v>
      </c>
      <c r="W1728" s="14" t="n">
        <v>472.03</v>
      </c>
      <c r="X1728" s="13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SORVETE 1 LT CHOCOLA</v>
      </c>
      <c r="AC1728" s="1" t="n">
        <v>258044</v>
      </c>
    </row>
    <row r="1729" customFormat="false" ht="12.75" hidden="false" customHeight="true" outlineLevel="0" collapsed="false">
      <c r="A1729" s="11" t="n">
        <v>3</v>
      </c>
      <c r="B1729" s="12" t="n">
        <v>46255</v>
      </c>
      <c r="C1729" s="12" t="n">
        <v>46259</v>
      </c>
      <c r="D1729" s="11" t="n">
        <v>1615</v>
      </c>
      <c r="E1729" s="13" t="s">
        <v>130</v>
      </c>
      <c r="F1729" s="11" t="n">
        <v>34</v>
      </c>
      <c r="G1729" s="13" t="s">
        <v>33</v>
      </c>
      <c r="H1729" s="11" t="n">
        <v>2110405</v>
      </c>
      <c r="I1729" s="13" t="s">
        <v>34</v>
      </c>
      <c r="J1729" s="11" t="n">
        <v>1581815</v>
      </c>
      <c r="L1729" s="11" t="n">
        <v>151591</v>
      </c>
      <c r="M1729" s="13" t="s">
        <v>44</v>
      </c>
      <c r="N1729" s="13" t="s">
        <v>36</v>
      </c>
      <c r="P1729" s="11" t="n">
        <v>167</v>
      </c>
      <c r="Q1729" s="13" t="s">
        <v>101</v>
      </c>
      <c r="R1729" s="13" t="s">
        <v>46</v>
      </c>
      <c r="S1729" s="11" t="n">
        <v>1130101</v>
      </c>
      <c r="T1729" s="13" t="s">
        <v>47</v>
      </c>
      <c r="U1729" s="14" t="n">
        <v>140</v>
      </c>
      <c r="W1729" s="14" t="n">
        <v>140</v>
      </c>
      <c r="X1729" s="13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UVA VITORIA 250G</v>
      </c>
      <c r="AC1729" s="1" t="n">
        <v>15159</v>
      </c>
    </row>
    <row r="1730" customFormat="false" ht="12.75" hidden="false" customHeight="true" outlineLevel="0" collapsed="false">
      <c r="A1730" s="11" t="n">
        <v>3</v>
      </c>
      <c r="B1730" s="12" t="n">
        <v>46255</v>
      </c>
      <c r="C1730" s="12" t="n">
        <v>46259</v>
      </c>
      <c r="D1730" s="11" t="n">
        <v>1615</v>
      </c>
      <c r="E1730" s="13" t="s">
        <v>130</v>
      </c>
      <c r="F1730" s="11" t="n">
        <v>34</v>
      </c>
      <c r="G1730" s="13" t="s">
        <v>33</v>
      </c>
      <c r="H1730" s="11" t="n">
        <v>2110405</v>
      </c>
      <c r="I1730" s="13" t="s">
        <v>34</v>
      </c>
      <c r="J1730" s="11" t="n">
        <v>1581824</v>
      </c>
      <c r="L1730" s="11" t="n">
        <v>244244</v>
      </c>
      <c r="M1730" s="13" t="s">
        <v>44</v>
      </c>
      <c r="N1730" s="13" t="s">
        <v>36</v>
      </c>
      <c r="P1730" s="11" t="n">
        <v>167</v>
      </c>
      <c r="Q1730" s="13" t="s">
        <v>101</v>
      </c>
      <c r="R1730" s="13" t="s">
        <v>46</v>
      </c>
      <c r="S1730" s="11" t="n">
        <v>1130101</v>
      </c>
      <c r="T1730" s="13" t="s">
        <v>47</v>
      </c>
      <c r="U1730" s="14" t="n">
        <v>35</v>
      </c>
      <c r="W1730" s="14" t="n">
        <v>35</v>
      </c>
      <c r="X1730" s="13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46255</v>
      </c>
      <c r="C1731" s="12" t="n">
        <v>46259</v>
      </c>
      <c r="D1731" s="11" t="n">
        <v>42</v>
      </c>
      <c r="E1731" s="13" t="s">
        <v>80</v>
      </c>
      <c r="F1731" s="11" t="n">
        <v>34</v>
      </c>
      <c r="G1731" s="13" t="s">
        <v>33</v>
      </c>
      <c r="H1731" s="11" t="n">
        <v>2110101</v>
      </c>
      <c r="I1731" s="13" t="s">
        <v>43</v>
      </c>
      <c r="J1731" s="11" t="n">
        <v>1581858</v>
      </c>
      <c r="L1731" s="11" t="n">
        <v>4529</v>
      </c>
      <c r="M1731" s="13" t="s">
        <v>44</v>
      </c>
      <c r="N1731" s="13" t="s">
        <v>69</v>
      </c>
      <c r="P1731" s="11" t="n">
        <v>167</v>
      </c>
      <c r="Q1731" s="13" t="s">
        <v>101</v>
      </c>
      <c r="R1731" s="13" t="s">
        <v>46</v>
      </c>
      <c r="S1731" s="11" t="n">
        <v>1130101</v>
      </c>
      <c r="T1731" s="13" t="s">
        <v>47</v>
      </c>
      <c r="U1731" s="14" t="n">
        <v>1678.5</v>
      </c>
      <c r="W1731" s="14" t="n">
        <v>1678.5</v>
      </c>
      <c r="X1731" s="13" t="s">
        <v>1029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46252</v>
      </c>
      <c r="C1732" s="12" t="n">
        <v>46259</v>
      </c>
      <c r="D1732" s="11" t="n">
        <v>1705</v>
      </c>
      <c r="E1732" s="13" t="s">
        <v>122</v>
      </c>
      <c r="F1732" s="11" t="n">
        <v>24</v>
      </c>
      <c r="G1732" s="13" t="s">
        <v>42</v>
      </c>
      <c r="H1732" s="11" t="n">
        <v>2110405</v>
      </c>
      <c r="I1732" s="13" t="s">
        <v>34</v>
      </c>
      <c r="J1732" s="11" t="n">
        <v>1585351</v>
      </c>
      <c r="L1732" s="11" t="n">
        <v>19958625</v>
      </c>
      <c r="M1732" s="13" t="s">
        <v>44</v>
      </c>
      <c r="N1732" s="13" t="s">
        <v>36</v>
      </c>
      <c r="P1732" s="11" t="n">
        <v>167</v>
      </c>
      <c r="Q1732" s="13" t="s">
        <v>101</v>
      </c>
      <c r="R1732" s="13" t="s">
        <v>46</v>
      </c>
      <c r="S1732" s="11" t="n">
        <v>1130101</v>
      </c>
      <c r="T1732" s="13" t="s">
        <v>47</v>
      </c>
      <c r="U1732" s="14" t="n">
        <v>6656.34</v>
      </c>
      <c r="W1732" s="14" t="n">
        <v>6656.34</v>
      </c>
      <c r="X1732" s="13" t="s">
        <v>1732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REFR FANTA UVA 200ML</v>
      </c>
      <c r="AC1732" s="1" t="n">
        <v>1995862</v>
      </c>
    </row>
    <row r="1733" customFormat="false" ht="12.75" hidden="false" customHeight="true" outlineLevel="0" collapsed="false">
      <c r="A1733" s="11" t="n">
        <v>3</v>
      </c>
      <c r="B1733" s="12" t="n">
        <v>46252</v>
      </c>
      <c r="C1733" s="12" t="n">
        <v>46259</v>
      </c>
      <c r="D1733" s="11" t="n">
        <v>1705</v>
      </c>
      <c r="E1733" s="13" t="s">
        <v>122</v>
      </c>
      <c r="F1733" s="11" t="n">
        <v>24</v>
      </c>
      <c r="G1733" s="13" t="s">
        <v>42</v>
      </c>
      <c r="H1733" s="11" t="n">
        <v>2110405</v>
      </c>
      <c r="I1733" s="13" t="s">
        <v>34</v>
      </c>
      <c r="J1733" s="11" t="n">
        <v>1585383</v>
      </c>
      <c r="L1733" s="11" t="n">
        <v>12546127</v>
      </c>
      <c r="M1733" s="13" t="s">
        <v>44</v>
      </c>
      <c r="N1733" s="13" t="s">
        <v>36</v>
      </c>
      <c r="P1733" s="11" t="n">
        <v>167</v>
      </c>
      <c r="Q1733" s="13" t="s">
        <v>101</v>
      </c>
      <c r="R1733" s="13" t="s">
        <v>46</v>
      </c>
      <c r="S1733" s="11" t="n">
        <v>1130101</v>
      </c>
      <c r="T1733" s="13" t="s">
        <v>47</v>
      </c>
      <c r="U1733" s="14" t="n">
        <v>1345.94</v>
      </c>
      <c r="W1733" s="14" t="n">
        <v>1345.94</v>
      </c>
      <c r="X1733" s="13" t="s">
        <v>1733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KAPO UVA 200ML</v>
      </c>
      <c r="AC1733" s="1" t="n">
        <v>1254612</v>
      </c>
    </row>
    <row r="1734" customFormat="false" ht="12.75" hidden="false" customHeight="true" outlineLevel="0" collapsed="false">
      <c r="A1734" s="11" t="n">
        <v>3</v>
      </c>
      <c r="B1734" s="12" t="n">
        <v>46256</v>
      </c>
      <c r="C1734" s="12" t="n">
        <v>46259</v>
      </c>
      <c r="D1734" s="11" t="n">
        <v>642</v>
      </c>
      <c r="E1734" s="13" t="s">
        <v>135</v>
      </c>
      <c r="F1734" s="11" t="n">
        <v>24</v>
      </c>
      <c r="G1734" s="13" t="s">
        <v>42</v>
      </c>
      <c r="H1734" s="11" t="n">
        <v>2110405</v>
      </c>
      <c r="I1734" s="13" t="s">
        <v>34</v>
      </c>
      <c r="J1734" s="11" t="n">
        <v>1595562</v>
      </c>
      <c r="L1734" s="11" t="n">
        <v>614</v>
      </c>
      <c r="M1734" s="13" t="s">
        <v>44</v>
      </c>
      <c r="N1734" s="13" t="s">
        <v>36</v>
      </c>
      <c r="P1734" s="11" t="n">
        <v>167</v>
      </c>
      <c r="Q1734" s="13" t="s">
        <v>101</v>
      </c>
      <c r="R1734" s="13" t="s">
        <v>46</v>
      </c>
      <c r="S1734" s="11" t="n">
        <v>1130101</v>
      </c>
      <c r="T1734" s="13" t="s">
        <v>47</v>
      </c>
      <c r="U1734" s="14" t="n">
        <v>240</v>
      </c>
      <c r="W1734" s="14" t="n">
        <v>240</v>
      </c>
      <c r="X1734" s="13" t="s">
        <v>1734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BOLO BLOOM 600G</v>
      </c>
      <c r="AC1734" s="1" t="n">
        <v>614</v>
      </c>
    </row>
    <row r="1735" customFormat="false" ht="12.75" hidden="false" customHeight="true" outlineLevel="0" collapsed="false">
      <c r="A1735" s="11" t="n">
        <v>3</v>
      </c>
      <c r="B1735" s="12" t="n">
        <v>46259</v>
      </c>
      <c r="C1735" s="12" t="n">
        <v>46259</v>
      </c>
      <c r="D1735" s="11" t="n">
        <v>42</v>
      </c>
      <c r="E1735" s="13" t="s">
        <v>80</v>
      </c>
      <c r="F1735" s="11" t="n">
        <v>13</v>
      </c>
      <c r="G1735" s="13" t="s">
        <v>81</v>
      </c>
      <c r="H1735" s="11" t="n">
        <v>2110101</v>
      </c>
      <c r="I1735" s="13" t="s">
        <v>43</v>
      </c>
      <c r="J1735" s="11" t="n">
        <v>1598903</v>
      </c>
      <c r="L1735" s="11" t="n">
        <v>4542</v>
      </c>
      <c r="M1735" s="13" t="s">
        <v>44</v>
      </c>
      <c r="N1735" s="13" t="s">
        <v>69</v>
      </c>
      <c r="P1735" s="11" t="n">
        <v>167</v>
      </c>
      <c r="Q1735" s="13" t="s">
        <v>101</v>
      </c>
      <c r="R1735" s="13" t="s">
        <v>46</v>
      </c>
      <c r="S1735" s="11" t="n">
        <v>1130101</v>
      </c>
      <c r="T1735" s="13" t="s">
        <v>47</v>
      </c>
      <c r="U1735" s="14" t="n">
        <v>125</v>
      </c>
      <c r="W1735" s="14" t="n">
        <v>125</v>
      </c>
      <c r="X1735" s="13" t="s">
        <v>1432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46259</v>
      </c>
      <c r="C1736" s="12" t="n">
        <v>46259</v>
      </c>
      <c r="D1736" s="11" t="n">
        <v>42</v>
      </c>
      <c r="E1736" s="13" t="s">
        <v>80</v>
      </c>
      <c r="F1736" s="11" t="n">
        <v>13</v>
      </c>
      <c r="G1736" s="13" t="s">
        <v>81</v>
      </c>
      <c r="H1736" s="11" t="n">
        <v>2110101</v>
      </c>
      <c r="I1736" s="13" t="s">
        <v>43</v>
      </c>
      <c r="J1736" s="11" t="n">
        <v>1598955</v>
      </c>
      <c r="L1736" s="11" t="n">
        <v>4543</v>
      </c>
      <c r="M1736" s="13" t="s">
        <v>44</v>
      </c>
      <c r="N1736" s="13" t="s">
        <v>69</v>
      </c>
      <c r="P1736" s="11" t="n">
        <v>167</v>
      </c>
      <c r="Q1736" s="13" t="s">
        <v>101</v>
      </c>
      <c r="R1736" s="13" t="s">
        <v>46</v>
      </c>
      <c r="S1736" s="11" t="n">
        <v>1130101</v>
      </c>
      <c r="T1736" s="13" t="s">
        <v>47</v>
      </c>
      <c r="U1736" s="14" t="n">
        <v>100</v>
      </c>
      <c r="W1736" s="14" t="n">
        <v>100</v>
      </c>
      <c r="X1736" s="13" t="s">
        <v>772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46259</v>
      </c>
      <c r="C1737" s="12" t="n">
        <v>46259</v>
      </c>
      <c r="D1737" s="11" t="n">
        <v>33</v>
      </c>
      <c r="E1737" s="13" t="s">
        <v>71</v>
      </c>
      <c r="F1737" s="11" t="n">
        <v>34</v>
      </c>
      <c r="G1737" s="13" t="s">
        <v>33</v>
      </c>
      <c r="H1737" s="11" t="n">
        <v>2110405</v>
      </c>
      <c r="I1737" s="13" t="s">
        <v>34</v>
      </c>
      <c r="J1737" s="11" t="n">
        <v>1458638</v>
      </c>
      <c r="L1737" s="11" t="n">
        <v>227015</v>
      </c>
      <c r="M1737" s="13" t="s">
        <v>150</v>
      </c>
      <c r="N1737" s="13" t="s">
        <v>36</v>
      </c>
      <c r="P1737" s="11" t="n">
        <v>102</v>
      </c>
      <c r="Q1737" s="13" t="s">
        <v>186</v>
      </c>
      <c r="R1737" s="13" t="s">
        <v>38</v>
      </c>
      <c r="S1737" s="11" t="n">
        <v>4210218</v>
      </c>
      <c r="T1737" s="13" t="s">
        <v>1274</v>
      </c>
      <c r="U1737" s="14" t="n">
        <v>125</v>
      </c>
      <c r="W1737" s="14" t="n">
        <v>125</v>
      </c>
      <c r="X1737" s="13" t="s">
        <v>1735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46259</v>
      </c>
      <c r="C1738" s="12" t="n">
        <v>46259</v>
      </c>
      <c r="D1738" s="11" t="n">
        <v>955</v>
      </c>
      <c r="E1738" s="13" t="s">
        <v>1736</v>
      </c>
      <c r="F1738" s="11" t="n">
        <v>59</v>
      </c>
      <c r="G1738" s="13" t="s">
        <v>1252</v>
      </c>
      <c r="H1738" s="11" t="n">
        <v>2110405</v>
      </c>
      <c r="I1738" s="13" t="s">
        <v>34</v>
      </c>
      <c r="J1738" s="11" t="n">
        <v>1599409</v>
      </c>
      <c r="L1738" s="11" t="n">
        <v>246753</v>
      </c>
      <c r="M1738" s="13" t="s">
        <v>44</v>
      </c>
      <c r="N1738" s="13" t="s">
        <v>36</v>
      </c>
      <c r="P1738" s="11" t="n">
        <v>102</v>
      </c>
      <c r="Q1738" s="13" t="s">
        <v>186</v>
      </c>
      <c r="R1738" s="13" t="s">
        <v>38</v>
      </c>
      <c r="S1738" s="11" t="n">
        <v>4210209</v>
      </c>
      <c r="T1738" s="13" t="s">
        <v>1737</v>
      </c>
      <c r="U1738" s="14" t="n">
        <v>500.06</v>
      </c>
      <c r="W1738" s="14" t="n">
        <v>500.06</v>
      </c>
      <c r="X1738" s="13" t="s">
        <v>1738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46231</v>
      </c>
      <c r="C1739" s="12" t="n">
        <v>46260</v>
      </c>
      <c r="D1739" s="11" t="n">
        <v>928</v>
      </c>
      <c r="E1739" s="13" t="s">
        <v>663</v>
      </c>
      <c r="F1739" s="11" t="n">
        <v>24</v>
      </c>
      <c r="G1739" s="13" t="s">
        <v>42</v>
      </c>
      <c r="H1739" s="11" t="n">
        <v>2110405</v>
      </c>
      <c r="I1739" s="13" t="s">
        <v>34</v>
      </c>
      <c r="J1739" s="11" t="n">
        <v>1464994</v>
      </c>
      <c r="L1739" s="11" t="n">
        <v>227912</v>
      </c>
      <c r="M1739" s="13" t="s">
        <v>44</v>
      </c>
      <c r="N1739" s="13" t="s">
        <v>36</v>
      </c>
      <c r="P1739" s="11" t="n">
        <v>101</v>
      </c>
      <c r="Q1739" s="13" t="s">
        <v>37</v>
      </c>
      <c r="R1739" s="13" t="s">
        <v>72</v>
      </c>
      <c r="S1739" s="11" t="n">
        <v>421033</v>
      </c>
      <c r="T1739" s="13" t="s">
        <v>664</v>
      </c>
      <c r="U1739" s="14" t="n">
        <v>299.9</v>
      </c>
      <c r="W1739" s="14" t="n">
        <v>299.9</v>
      </c>
      <c r="X1739" s="13" t="s">
        <v>665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46232</v>
      </c>
      <c r="C1740" s="12" t="n">
        <v>46260</v>
      </c>
      <c r="D1740" s="11" t="n">
        <v>794</v>
      </c>
      <c r="E1740" s="13" t="s">
        <v>152</v>
      </c>
      <c r="F1740" s="11" t="n">
        <v>24</v>
      </c>
      <c r="G1740" s="13" t="s">
        <v>42</v>
      </c>
      <c r="H1740" s="11" t="n">
        <v>2110405</v>
      </c>
      <c r="I1740" s="13" t="s">
        <v>34</v>
      </c>
      <c r="J1740" s="11" t="n">
        <v>1473092</v>
      </c>
      <c r="L1740" s="11" t="n">
        <v>55993</v>
      </c>
      <c r="M1740" s="13" t="s">
        <v>44</v>
      </c>
      <c r="N1740" s="13" t="s">
        <v>36</v>
      </c>
      <c r="P1740" s="11" t="n">
        <v>167</v>
      </c>
      <c r="Q1740" s="13" t="s">
        <v>101</v>
      </c>
      <c r="R1740" s="13" t="s">
        <v>38</v>
      </c>
      <c r="S1740" s="11" t="n">
        <v>4210299</v>
      </c>
      <c r="T1740" s="13" t="s">
        <v>1079</v>
      </c>
      <c r="U1740" s="14" t="n">
        <v>648.14</v>
      </c>
      <c r="W1740" s="14" t="n">
        <v>648.14</v>
      </c>
      <c r="X1740" s="13" t="s">
        <v>1739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SACOLA DE 3KG</v>
      </c>
      <c r="AC1740" s="1" t="n">
        <v>8514</v>
      </c>
    </row>
    <row r="1741" customFormat="false" ht="12.75" hidden="false" customHeight="true" outlineLevel="0" collapsed="false">
      <c r="A1741" s="11" t="n">
        <v>3</v>
      </c>
      <c r="B1741" s="12" t="n">
        <v>46237</v>
      </c>
      <c r="C1741" s="12" t="n">
        <v>46260</v>
      </c>
      <c r="D1741" s="11" t="n">
        <v>1708</v>
      </c>
      <c r="E1741" s="13" t="s">
        <v>1613</v>
      </c>
      <c r="F1741" s="11" t="n">
        <v>24</v>
      </c>
      <c r="G1741" s="13" t="s">
        <v>42</v>
      </c>
      <c r="H1741" s="11" t="n">
        <v>2110405</v>
      </c>
      <c r="I1741" s="13" t="s">
        <v>34</v>
      </c>
      <c r="J1741" s="11" t="n">
        <v>1500068</v>
      </c>
      <c r="L1741" s="11" t="n">
        <v>2646962</v>
      </c>
      <c r="M1741" s="13" t="s">
        <v>44</v>
      </c>
      <c r="N1741" s="13" t="s">
        <v>36</v>
      </c>
      <c r="P1741" s="11" t="n">
        <v>167</v>
      </c>
      <c r="Q1741" s="13" t="s">
        <v>101</v>
      </c>
      <c r="R1741" s="13" t="s">
        <v>46</v>
      </c>
      <c r="S1741" s="11" t="n">
        <v>1130101</v>
      </c>
      <c r="T1741" s="13" t="s">
        <v>47</v>
      </c>
      <c r="U1741" s="14" t="n">
        <v>260.45</v>
      </c>
      <c r="W1741" s="14" t="n">
        <v>260.45</v>
      </c>
      <c r="X1741" s="13" t="s">
        <v>1740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FINI BEIJOS MORANGO 90G</v>
      </c>
      <c r="AC1741" s="1" t="n">
        <v>264696</v>
      </c>
    </row>
    <row r="1742" customFormat="false" ht="12.75" hidden="false" customHeight="true" outlineLevel="0" collapsed="false">
      <c r="A1742" s="11" t="n">
        <v>3</v>
      </c>
      <c r="B1742" s="12" t="n">
        <v>46239</v>
      </c>
      <c r="C1742" s="12" t="n">
        <v>46260</v>
      </c>
      <c r="D1742" s="11" t="n">
        <v>1740</v>
      </c>
      <c r="E1742" s="13" t="s">
        <v>170</v>
      </c>
      <c r="F1742" s="11" t="n">
        <v>24</v>
      </c>
      <c r="G1742" s="13" t="s">
        <v>42</v>
      </c>
      <c r="H1742" s="11" t="n">
        <v>2110405</v>
      </c>
      <c r="I1742" s="13" t="s">
        <v>34</v>
      </c>
      <c r="J1742" s="11" t="n">
        <v>1504741</v>
      </c>
      <c r="L1742" s="11" t="n">
        <v>12556062</v>
      </c>
      <c r="M1742" s="13" t="s">
        <v>44</v>
      </c>
      <c r="N1742" s="13" t="s">
        <v>36</v>
      </c>
      <c r="P1742" s="11" t="n">
        <v>167</v>
      </c>
      <c r="Q1742" s="13" t="s">
        <v>101</v>
      </c>
      <c r="R1742" s="13" t="s">
        <v>46</v>
      </c>
      <c r="S1742" s="11" t="n">
        <v>1130101</v>
      </c>
      <c r="T1742" s="13" t="s">
        <v>47</v>
      </c>
      <c r="U1742" s="14" t="n">
        <v>771.86</v>
      </c>
      <c r="W1742" s="14" t="n">
        <v>771.86</v>
      </c>
      <c r="X1742" s="13" t="s">
        <v>1741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nao encontrado</v>
      </c>
      <c r="AC1742" s="1" t="n">
        <v>12556061</v>
      </c>
    </row>
    <row r="1743" customFormat="false" ht="12.75" hidden="false" customHeight="true" outlineLevel="0" collapsed="false">
      <c r="A1743" s="11" t="n">
        <v>3</v>
      </c>
      <c r="B1743" s="12" t="n">
        <v>46245</v>
      </c>
      <c r="C1743" s="12" t="n">
        <v>46260</v>
      </c>
      <c r="D1743" s="11" t="n">
        <v>1024</v>
      </c>
      <c r="E1743" s="13" t="s">
        <v>161</v>
      </c>
      <c r="F1743" s="11" t="n">
        <v>24</v>
      </c>
      <c r="G1743" s="13" t="s">
        <v>42</v>
      </c>
      <c r="H1743" s="11" t="n">
        <v>2110405</v>
      </c>
      <c r="I1743" s="13" t="s">
        <v>34</v>
      </c>
      <c r="J1743" s="11" t="n">
        <v>1537094</v>
      </c>
      <c r="L1743" s="11" t="n">
        <v>6205702</v>
      </c>
      <c r="M1743" s="13" t="s">
        <v>44</v>
      </c>
      <c r="N1743" s="13" t="s">
        <v>36</v>
      </c>
      <c r="P1743" s="11" t="n">
        <v>167</v>
      </c>
      <c r="Q1743" s="13" t="s">
        <v>101</v>
      </c>
      <c r="R1743" s="13" t="s">
        <v>46</v>
      </c>
      <c r="S1743" s="11" t="n">
        <v>1130101</v>
      </c>
      <c r="T1743" s="13" t="s">
        <v>47</v>
      </c>
      <c r="U1743" s="14" t="n">
        <v>222</v>
      </c>
      <c r="W1743" s="14" t="n">
        <v>222</v>
      </c>
      <c r="X1743" s="13" t="s">
        <v>1742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REAL CLASSICO 2L PET</v>
      </c>
      <c r="AC1743" s="1" t="n">
        <v>620570</v>
      </c>
    </row>
    <row r="1744" customFormat="false" ht="12.75" hidden="false" customHeight="true" outlineLevel="0" collapsed="false">
      <c r="A1744" s="11" t="n">
        <v>3</v>
      </c>
      <c r="B1744" s="12" t="n">
        <v>46246</v>
      </c>
      <c r="C1744" s="12" t="n">
        <v>46260</v>
      </c>
      <c r="D1744" s="11" t="n">
        <v>1678</v>
      </c>
      <c r="E1744" s="13" t="s">
        <v>190</v>
      </c>
      <c r="F1744" s="11" t="n">
        <v>24</v>
      </c>
      <c r="G1744" s="13" t="s">
        <v>42</v>
      </c>
      <c r="H1744" s="11" t="n">
        <v>2110405</v>
      </c>
      <c r="I1744" s="13" t="s">
        <v>34</v>
      </c>
      <c r="J1744" s="11" t="n">
        <v>1542835</v>
      </c>
      <c r="L1744" s="11" t="n">
        <v>2594221</v>
      </c>
      <c r="M1744" s="13" t="s">
        <v>44</v>
      </c>
      <c r="N1744" s="13" t="s">
        <v>36</v>
      </c>
      <c r="P1744" s="11" t="n">
        <v>167</v>
      </c>
      <c r="Q1744" s="13" t="s">
        <v>101</v>
      </c>
      <c r="R1744" s="13" t="s">
        <v>46</v>
      </c>
      <c r="S1744" s="11" t="n">
        <v>1130101</v>
      </c>
      <c r="T1744" s="13" t="s">
        <v>47</v>
      </c>
      <c r="U1744" s="14" t="n">
        <v>545.13</v>
      </c>
      <c r="W1744" s="14" t="n">
        <v>545.13</v>
      </c>
      <c r="X1744" s="13" t="s">
        <v>1743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DES CREM EX-SET FLOR</v>
      </c>
      <c r="AC1744" s="1" t="n">
        <v>163841</v>
      </c>
    </row>
    <row r="1745" customFormat="false" ht="12.75" hidden="false" customHeight="true" outlineLevel="0" collapsed="false">
      <c r="A1745" s="11" t="n">
        <v>3</v>
      </c>
      <c r="B1745" s="12" t="n">
        <v>46240</v>
      </c>
      <c r="C1745" s="12" t="n">
        <v>46260</v>
      </c>
      <c r="D1745" s="11" t="n">
        <v>1672</v>
      </c>
      <c r="E1745" s="13" t="s">
        <v>67</v>
      </c>
      <c r="F1745" s="11" t="n">
        <v>24</v>
      </c>
      <c r="G1745" s="13" t="s">
        <v>42</v>
      </c>
      <c r="H1745" s="11" t="n">
        <v>2110405</v>
      </c>
      <c r="I1745" s="13" t="s">
        <v>34</v>
      </c>
      <c r="J1745" s="11" t="n">
        <v>1542915</v>
      </c>
      <c r="L1745" s="11" t="n">
        <v>14173192</v>
      </c>
      <c r="M1745" s="13" t="s">
        <v>44</v>
      </c>
      <c r="N1745" s="13" t="s">
        <v>36</v>
      </c>
      <c r="P1745" s="11" t="n">
        <v>167</v>
      </c>
      <c r="Q1745" s="13" t="s">
        <v>101</v>
      </c>
      <c r="R1745" s="13" t="s">
        <v>46</v>
      </c>
      <c r="S1745" s="11" t="n">
        <v>1130101</v>
      </c>
      <c r="T1745" s="13" t="s">
        <v>47</v>
      </c>
      <c r="U1745" s="14" t="n">
        <v>362.5</v>
      </c>
      <c r="W1745" s="14" t="n">
        <v>362.5</v>
      </c>
      <c r="X1745" s="13" t="s">
        <v>1744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AGUAYARA GALAO 20L</v>
      </c>
      <c r="AC1745" s="1" t="n">
        <v>1417319</v>
      </c>
    </row>
    <row r="1746" customFormat="false" ht="12.75" hidden="false" customHeight="true" outlineLevel="0" collapsed="false">
      <c r="A1746" s="11" t="n">
        <v>3</v>
      </c>
      <c r="B1746" s="12" t="n">
        <v>46246</v>
      </c>
      <c r="C1746" s="12" t="n">
        <v>46260</v>
      </c>
      <c r="D1746" s="11" t="n">
        <v>10048</v>
      </c>
      <c r="E1746" s="13" t="s">
        <v>1623</v>
      </c>
      <c r="F1746" s="11" t="n">
        <v>24</v>
      </c>
      <c r="G1746" s="13" t="s">
        <v>42</v>
      </c>
      <c r="H1746" s="11" t="n">
        <v>2110405</v>
      </c>
      <c r="I1746" s="13" t="s">
        <v>34</v>
      </c>
      <c r="J1746" s="11" t="n">
        <v>1543798</v>
      </c>
      <c r="L1746" s="11" t="n">
        <v>30322</v>
      </c>
      <c r="M1746" s="13" t="s">
        <v>44</v>
      </c>
      <c r="N1746" s="13" t="s">
        <v>36</v>
      </c>
      <c r="P1746" s="11" t="n">
        <v>167</v>
      </c>
      <c r="Q1746" s="13" t="s">
        <v>101</v>
      </c>
      <c r="R1746" s="13" t="s">
        <v>46</v>
      </c>
      <c r="S1746" s="11" t="n">
        <v>1130101</v>
      </c>
      <c r="T1746" s="13" t="s">
        <v>47</v>
      </c>
      <c r="U1746" s="14" t="n">
        <v>401.8</v>
      </c>
      <c r="W1746" s="14" t="n">
        <v>401.8</v>
      </c>
      <c r="X1746" s="13" t="s">
        <v>1745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LEITE ITALAC DESN 1L</v>
      </c>
      <c r="AC1746" s="1" t="n">
        <v>3032</v>
      </c>
    </row>
    <row r="1747" customFormat="false" ht="12.75" hidden="false" customHeight="true" outlineLevel="0" collapsed="false">
      <c r="A1747" s="11" t="n">
        <v>3</v>
      </c>
      <c r="B1747" s="12" t="n">
        <v>46248</v>
      </c>
      <c r="C1747" s="12" t="n">
        <v>46260</v>
      </c>
      <c r="D1747" s="11" t="n">
        <v>1613</v>
      </c>
      <c r="E1747" s="13" t="s">
        <v>177</v>
      </c>
      <c r="F1747" s="11" t="n">
        <v>24</v>
      </c>
      <c r="G1747" s="13" t="s">
        <v>42</v>
      </c>
      <c r="H1747" s="11" t="n">
        <v>2110405</v>
      </c>
      <c r="I1747" s="13" t="s">
        <v>34</v>
      </c>
      <c r="J1747" s="11" t="n">
        <v>1552196</v>
      </c>
      <c r="L1747" s="11" t="n">
        <v>16193432</v>
      </c>
      <c r="M1747" s="13" t="s">
        <v>44</v>
      </c>
      <c r="N1747" s="13" t="s">
        <v>36</v>
      </c>
      <c r="P1747" s="11" t="n">
        <v>167</v>
      </c>
      <c r="Q1747" s="13" t="s">
        <v>101</v>
      </c>
      <c r="R1747" s="13" t="s">
        <v>46</v>
      </c>
      <c r="S1747" s="11" t="n">
        <v>1130101</v>
      </c>
      <c r="T1747" s="13" t="s">
        <v>47</v>
      </c>
      <c r="U1747" s="14" t="n">
        <v>1120.17</v>
      </c>
      <c r="W1747" s="14" t="n">
        <v>1120.17</v>
      </c>
      <c r="X1747" s="13" t="s">
        <v>1746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CARRE SUINO KG</v>
      </c>
      <c r="AC1747" s="1" t="n">
        <v>1619343</v>
      </c>
    </row>
    <row r="1748" customFormat="false" ht="12.75" hidden="false" customHeight="true" outlineLevel="0" collapsed="false">
      <c r="A1748" s="11" t="n">
        <v>3</v>
      </c>
      <c r="B1748" s="12" t="n">
        <v>46246</v>
      </c>
      <c r="C1748" s="12" t="n">
        <v>46260</v>
      </c>
      <c r="D1748" s="11" t="n">
        <v>10048</v>
      </c>
      <c r="E1748" s="13" t="s">
        <v>1623</v>
      </c>
      <c r="F1748" s="11" t="n">
        <v>24</v>
      </c>
      <c r="G1748" s="13" t="s">
        <v>42</v>
      </c>
      <c r="H1748" s="11" t="n">
        <v>2110405</v>
      </c>
      <c r="I1748" s="13" t="s">
        <v>34</v>
      </c>
      <c r="J1748" s="11" t="n">
        <v>1566330</v>
      </c>
      <c r="L1748" s="11" t="n">
        <v>30172</v>
      </c>
      <c r="M1748" s="13" t="s">
        <v>44</v>
      </c>
      <c r="N1748" s="13" t="s">
        <v>36</v>
      </c>
      <c r="P1748" s="11" t="n">
        <v>167</v>
      </c>
      <c r="Q1748" s="13" t="s">
        <v>101</v>
      </c>
      <c r="R1748" s="13" t="s">
        <v>46</v>
      </c>
      <c r="S1748" s="11" t="n">
        <v>1130101</v>
      </c>
      <c r="T1748" s="13" t="s">
        <v>47</v>
      </c>
      <c r="U1748" s="14" t="n">
        <v>482.73</v>
      </c>
      <c r="W1748" s="14" t="n">
        <v>482.73</v>
      </c>
      <c r="X1748" s="13" t="s">
        <v>1747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NESCAU 200G</v>
      </c>
      <c r="AC1748" s="1" t="n">
        <v>3017</v>
      </c>
    </row>
    <row r="1749" customFormat="false" ht="12.75" hidden="false" customHeight="true" outlineLevel="0" collapsed="false">
      <c r="A1749" s="11" t="n">
        <v>3</v>
      </c>
      <c r="B1749" s="12" t="n">
        <v>46252</v>
      </c>
      <c r="C1749" s="12" t="n">
        <v>46260</v>
      </c>
      <c r="D1749" s="11" t="n">
        <v>1457</v>
      </c>
      <c r="E1749" s="13" t="s">
        <v>179</v>
      </c>
      <c r="F1749" s="11" t="n">
        <v>24</v>
      </c>
      <c r="G1749" s="13" t="s">
        <v>42</v>
      </c>
      <c r="H1749" s="11" t="n">
        <v>2110405</v>
      </c>
      <c r="I1749" s="13" t="s">
        <v>34</v>
      </c>
      <c r="J1749" s="11" t="n">
        <v>1572779</v>
      </c>
      <c r="L1749" s="11" t="n">
        <v>197858236</v>
      </c>
      <c r="M1749" s="13" t="s">
        <v>44</v>
      </c>
      <c r="N1749" s="13" t="s">
        <v>36</v>
      </c>
      <c r="P1749" s="11" t="n">
        <v>167</v>
      </c>
      <c r="Q1749" s="13" t="s">
        <v>101</v>
      </c>
      <c r="R1749" s="13" t="s">
        <v>46</v>
      </c>
      <c r="S1749" s="11" t="n">
        <v>1130101</v>
      </c>
      <c r="T1749" s="13" t="s">
        <v>47</v>
      </c>
      <c r="U1749" s="14" t="n">
        <v>229.68</v>
      </c>
      <c r="W1749" s="14" t="n">
        <v>229.68</v>
      </c>
      <c r="X1749" s="13" t="s">
        <v>1748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FRUTAP IOG MOR C/CER</v>
      </c>
      <c r="AC1749" s="1" t="n">
        <v>14498</v>
      </c>
    </row>
    <row r="1750" customFormat="false" ht="12.75" hidden="false" customHeight="true" outlineLevel="0" collapsed="false">
      <c r="A1750" s="11" t="n">
        <v>3</v>
      </c>
      <c r="B1750" s="12" t="n">
        <v>46252</v>
      </c>
      <c r="C1750" s="12" t="n">
        <v>46260</v>
      </c>
      <c r="D1750" s="11" t="n">
        <v>1645</v>
      </c>
      <c r="E1750" s="13" t="s">
        <v>1749</v>
      </c>
      <c r="F1750" s="11" t="n">
        <v>24</v>
      </c>
      <c r="G1750" s="13" t="s">
        <v>42</v>
      </c>
      <c r="H1750" s="11" t="n">
        <v>2110405</v>
      </c>
      <c r="I1750" s="13" t="s">
        <v>34</v>
      </c>
      <c r="J1750" s="11" t="n">
        <v>1572872</v>
      </c>
      <c r="L1750" s="11" t="n">
        <v>142650</v>
      </c>
      <c r="M1750" s="13" t="s">
        <v>44</v>
      </c>
      <c r="N1750" s="13" t="s">
        <v>36</v>
      </c>
      <c r="P1750" s="11" t="n">
        <v>167</v>
      </c>
      <c r="Q1750" s="13" t="s">
        <v>101</v>
      </c>
      <c r="R1750" s="13" t="s">
        <v>46</v>
      </c>
      <c r="S1750" s="11" t="n">
        <v>1130101</v>
      </c>
      <c r="T1750" s="13" t="s">
        <v>47</v>
      </c>
      <c r="U1750" s="14" t="n">
        <v>1030.5</v>
      </c>
      <c r="W1750" s="14" t="n">
        <v>1030.5</v>
      </c>
      <c r="X1750" s="13" t="s">
        <v>1750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BISC AGUA E SAL RAINHA  400G</v>
      </c>
      <c r="AC1750" s="1" t="n">
        <v>142650</v>
      </c>
    </row>
    <row r="1751" customFormat="false" ht="12.75" hidden="false" customHeight="true" outlineLevel="0" collapsed="false">
      <c r="A1751" s="11" t="n">
        <v>3</v>
      </c>
      <c r="B1751" s="12" t="n">
        <v>46253</v>
      </c>
      <c r="C1751" s="12" t="n">
        <v>46260</v>
      </c>
      <c r="D1751" s="11" t="n">
        <v>1681</v>
      </c>
      <c r="E1751" s="13" t="s">
        <v>1345</v>
      </c>
      <c r="F1751" s="11" t="n">
        <v>24</v>
      </c>
      <c r="G1751" s="13" t="s">
        <v>42</v>
      </c>
      <c r="H1751" s="11" t="n">
        <v>2110405</v>
      </c>
      <c r="I1751" s="13" t="s">
        <v>34</v>
      </c>
      <c r="J1751" s="11" t="n">
        <v>1572969</v>
      </c>
      <c r="L1751" s="11" t="n">
        <v>395041</v>
      </c>
      <c r="M1751" s="13" t="s">
        <v>44</v>
      </c>
      <c r="N1751" s="13" t="s">
        <v>36</v>
      </c>
      <c r="P1751" s="11" t="n">
        <v>167</v>
      </c>
      <c r="Q1751" s="13" t="s">
        <v>101</v>
      </c>
      <c r="R1751" s="13" t="s">
        <v>46</v>
      </c>
      <c r="S1751" s="11" t="n">
        <v>1130101</v>
      </c>
      <c r="T1751" s="13" t="s">
        <v>47</v>
      </c>
      <c r="U1751" s="14" t="n">
        <v>2333.04</v>
      </c>
      <c r="W1751" s="14" t="n">
        <v>2333.04</v>
      </c>
      <c r="X1751" s="13" t="s">
        <v>1751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46253</v>
      </c>
      <c r="C1752" s="12" t="n">
        <v>46260</v>
      </c>
      <c r="D1752" s="11" t="n">
        <v>10095</v>
      </c>
      <c r="E1752" s="13" t="s">
        <v>1114</v>
      </c>
      <c r="F1752" s="11" t="n">
        <v>24</v>
      </c>
      <c r="G1752" s="13" t="s">
        <v>42</v>
      </c>
      <c r="H1752" s="11" t="n">
        <v>2110405</v>
      </c>
      <c r="I1752" s="13" t="s">
        <v>34</v>
      </c>
      <c r="J1752" s="11" t="n">
        <v>1573193</v>
      </c>
      <c r="L1752" s="11" t="n">
        <v>940</v>
      </c>
      <c r="M1752" s="13" t="s">
        <v>44</v>
      </c>
      <c r="N1752" s="13" t="s">
        <v>36</v>
      </c>
      <c r="P1752" s="11" t="n">
        <v>167</v>
      </c>
      <c r="Q1752" s="13" t="s">
        <v>101</v>
      </c>
      <c r="R1752" s="13" t="s">
        <v>46</v>
      </c>
      <c r="S1752" s="11" t="n">
        <v>1130101</v>
      </c>
      <c r="T1752" s="13" t="s">
        <v>47</v>
      </c>
      <c r="U1752" s="14" t="n">
        <v>320</v>
      </c>
      <c r="W1752" s="14" t="n">
        <v>320</v>
      </c>
      <c r="X1752" s="13" t="s">
        <v>1752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GELEIA DE FRUTAS FRONTEIRA POTAO 30 UND</v>
      </c>
      <c r="AC1752" s="1" t="n">
        <v>940</v>
      </c>
    </row>
    <row r="1753" customFormat="false" ht="12.75" hidden="false" customHeight="true" outlineLevel="0" collapsed="false">
      <c r="A1753" s="11" t="n">
        <v>3</v>
      </c>
      <c r="B1753" s="12" t="n">
        <v>46258</v>
      </c>
      <c r="C1753" s="12" t="n">
        <v>46260</v>
      </c>
      <c r="D1753" s="11" t="n">
        <v>10096</v>
      </c>
      <c r="E1753" s="13" t="s">
        <v>1232</v>
      </c>
      <c r="F1753" s="11" t="n">
        <v>34</v>
      </c>
      <c r="G1753" s="13" t="s">
        <v>33</v>
      </c>
      <c r="H1753" s="11" t="n">
        <v>2110101</v>
      </c>
      <c r="I1753" s="13" t="s">
        <v>43</v>
      </c>
      <c r="J1753" s="11" t="n">
        <v>1598608</v>
      </c>
      <c r="L1753" s="11" t="n">
        <v>208</v>
      </c>
      <c r="M1753" s="13" t="s">
        <v>44</v>
      </c>
      <c r="N1753" s="13" t="s">
        <v>36</v>
      </c>
      <c r="P1753" s="11" t="n">
        <v>167</v>
      </c>
      <c r="Q1753" s="13" t="s">
        <v>101</v>
      </c>
      <c r="R1753" s="13" t="s">
        <v>46</v>
      </c>
      <c r="S1753" s="11" t="n">
        <v>1130101</v>
      </c>
      <c r="T1753" s="13" t="s">
        <v>47</v>
      </c>
      <c r="U1753" s="14" t="n">
        <v>180</v>
      </c>
      <c r="W1753" s="14" t="n">
        <v>180</v>
      </c>
      <c r="X1753" s="13" t="s">
        <v>1753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BOLO MIYAZAKI GRANDE</v>
      </c>
      <c r="AC1753" s="1" t="n">
        <v>208</v>
      </c>
    </row>
    <row r="1754" customFormat="false" ht="12.75" hidden="false" customHeight="true" outlineLevel="0" collapsed="false">
      <c r="A1754" s="11" t="n">
        <v>3</v>
      </c>
      <c r="B1754" s="12" t="n">
        <v>46260</v>
      </c>
      <c r="C1754" s="12" t="n">
        <v>46260</v>
      </c>
      <c r="D1754" s="11" t="n">
        <v>42</v>
      </c>
      <c r="E1754" s="13" t="s">
        <v>80</v>
      </c>
      <c r="F1754" s="11" t="n">
        <v>13</v>
      </c>
      <c r="G1754" s="13" t="s">
        <v>81</v>
      </c>
      <c r="H1754" s="11" t="n">
        <v>2110101</v>
      </c>
      <c r="I1754" s="13" t="s">
        <v>43</v>
      </c>
      <c r="J1754" s="11" t="n">
        <v>1603764</v>
      </c>
      <c r="L1754" s="11" t="n">
        <v>4546</v>
      </c>
      <c r="M1754" s="13" t="s">
        <v>44</v>
      </c>
      <c r="N1754" s="13" t="s">
        <v>69</v>
      </c>
      <c r="P1754" s="11" t="n">
        <v>167</v>
      </c>
      <c r="Q1754" s="13" t="s">
        <v>101</v>
      </c>
      <c r="R1754" s="13" t="s">
        <v>46</v>
      </c>
      <c r="S1754" s="11" t="n">
        <v>1130101</v>
      </c>
      <c r="T1754" s="13" t="s">
        <v>47</v>
      </c>
      <c r="U1754" s="14" t="n">
        <v>250</v>
      </c>
      <c r="W1754" s="14" t="n">
        <v>250</v>
      </c>
      <c r="X1754" s="13" t="s">
        <v>1123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46260</v>
      </c>
      <c r="C1755" s="12" t="n">
        <v>46260</v>
      </c>
      <c r="D1755" s="11" t="n">
        <v>42</v>
      </c>
      <c r="E1755" s="13" t="s">
        <v>80</v>
      </c>
      <c r="F1755" s="11" t="n">
        <v>13</v>
      </c>
      <c r="G1755" s="13" t="s">
        <v>81</v>
      </c>
      <c r="H1755" s="11" t="n">
        <v>2110101</v>
      </c>
      <c r="I1755" s="13" t="s">
        <v>43</v>
      </c>
      <c r="J1755" s="11" t="n">
        <v>1605564</v>
      </c>
      <c r="L1755" s="11" t="n">
        <v>4547</v>
      </c>
      <c r="M1755" s="13" t="s">
        <v>44</v>
      </c>
      <c r="N1755" s="13" t="s">
        <v>69</v>
      </c>
      <c r="P1755" s="11" t="n">
        <v>167</v>
      </c>
      <c r="Q1755" s="13" t="s">
        <v>101</v>
      </c>
      <c r="R1755" s="13" t="s">
        <v>46</v>
      </c>
      <c r="S1755" s="11" t="n">
        <v>1130101</v>
      </c>
      <c r="T1755" s="13" t="s">
        <v>47</v>
      </c>
      <c r="U1755" s="14" t="n">
        <v>100</v>
      </c>
      <c r="W1755" s="14" t="n">
        <v>100</v>
      </c>
      <c r="X1755" s="13" t="s">
        <v>1754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46260</v>
      </c>
      <c r="C1756" s="12" t="n">
        <v>46260</v>
      </c>
      <c r="D1756" s="11" t="n">
        <v>10107</v>
      </c>
      <c r="E1756" s="13" t="s">
        <v>1755</v>
      </c>
      <c r="F1756" s="11" t="n">
        <v>34</v>
      </c>
      <c r="G1756" s="13" t="s">
        <v>33</v>
      </c>
      <c r="H1756" s="11" t="n">
        <v>2110405</v>
      </c>
      <c r="I1756" s="13" t="s">
        <v>34</v>
      </c>
      <c r="J1756" s="11" t="n">
        <v>1618503</v>
      </c>
      <c r="L1756" s="11" t="n">
        <v>249243</v>
      </c>
      <c r="M1756" s="13" t="s">
        <v>44</v>
      </c>
      <c r="N1756" s="13" t="s">
        <v>36</v>
      </c>
      <c r="P1756" s="11" t="n">
        <v>167</v>
      </c>
      <c r="Q1756" s="13" t="s">
        <v>101</v>
      </c>
      <c r="R1756" s="13" t="s">
        <v>72</v>
      </c>
      <c r="S1756" s="11" t="n">
        <v>4210310</v>
      </c>
      <c r="T1756" s="13" t="s">
        <v>88</v>
      </c>
      <c r="U1756" s="14" t="n">
        <v>195</v>
      </c>
      <c r="W1756" s="14" t="n">
        <v>195</v>
      </c>
      <c r="X1756" s="13" t="s">
        <v>1756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46260</v>
      </c>
      <c r="C1757" s="12" t="n">
        <v>46260</v>
      </c>
      <c r="D1757" s="11" t="n">
        <v>10108</v>
      </c>
      <c r="E1757" s="13" t="s">
        <v>1757</v>
      </c>
      <c r="F1757" s="11" t="n">
        <v>34</v>
      </c>
      <c r="G1757" s="13" t="s">
        <v>33</v>
      </c>
      <c r="H1757" s="11" t="n">
        <v>2110405</v>
      </c>
      <c r="I1757" s="13" t="s">
        <v>34</v>
      </c>
      <c r="J1757" s="11" t="n">
        <v>1618508</v>
      </c>
      <c r="L1757" s="11" t="n">
        <v>1</v>
      </c>
      <c r="M1757" s="13" t="s">
        <v>44</v>
      </c>
      <c r="N1757" s="13" t="s">
        <v>36</v>
      </c>
      <c r="P1757" s="11" t="n">
        <v>167</v>
      </c>
      <c r="Q1757" s="13" t="s">
        <v>101</v>
      </c>
      <c r="R1757" s="13" t="s">
        <v>72</v>
      </c>
      <c r="S1757" s="11" t="n">
        <v>4210310</v>
      </c>
      <c r="T1757" s="13" t="s">
        <v>88</v>
      </c>
      <c r="U1757" s="14" t="n">
        <v>180</v>
      </c>
      <c r="W1757" s="14" t="n">
        <v>180</v>
      </c>
      <c r="X1757" s="13" t="s">
        <v>1756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46230</v>
      </c>
      <c r="C1758" s="12" t="n">
        <v>46261</v>
      </c>
      <c r="D1758" s="11" t="n">
        <v>1715</v>
      </c>
      <c r="E1758" s="13" t="s">
        <v>497</v>
      </c>
      <c r="F1758" s="11" t="n">
        <v>24</v>
      </c>
      <c r="G1758" s="13" t="s">
        <v>42</v>
      </c>
      <c r="H1758" s="11" t="n">
        <v>2110405</v>
      </c>
      <c r="I1758" s="13" t="s">
        <v>34</v>
      </c>
      <c r="J1758" s="11" t="n">
        <v>1458654</v>
      </c>
      <c r="L1758" s="11" t="n">
        <v>1934022</v>
      </c>
      <c r="M1758" s="13" t="s">
        <v>44</v>
      </c>
      <c r="N1758" s="13" t="s">
        <v>36</v>
      </c>
      <c r="P1758" s="11" t="n">
        <v>167</v>
      </c>
      <c r="Q1758" s="13" t="s">
        <v>101</v>
      </c>
      <c r="R1758" s="13" t="s">
        <v>46</v>
      </c>
      <c r="S1758" s="11" t="n">
        <v>1130101</v>
      </c>
      <c r="T1758" s="13" t="s">
        <v>47</v>
      </c>
      <c r="U1758" s="14" t="n">
        <v>172.25</v>
      </c>
      <c r="W1758" s="14" t="n">
        <v>172.25</v>
      </c>
      <c r="X1758" s="13" t="s">
        <v>1758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RACAO FRANGO CORTE ABATE - SC 25 KG</v>
      </c>
      <c r="AC1758" s="1" t="n">
        <v>193402</v>
      </c>
    </row>
    <row r="1759" customFormat="false" ht="12.75" hidden="false" customHeight="true" outlineLevel="0" collapsed="false">
      <c r="A1759" s="11" t="n">
        <v>3</v>
      </c>
      <c r="B1759" s="12" t="n">
        <v>46232</v>
      </c>
      <c r="C1759" s="12" t="n">
        <v>46261</v>
      </c>
      <c r="D1759" s="11" t="n">
        <v>1718</v>
      </c>
      <c r="E1759" s="13" t="s">
        <v>408</v>
      </c>
      <c r="F1759" s="11" t="n">
        <v>24</v>
      </c>
      <c r="G1759" s="13" t="s">
        <v>42</v>
      </c>
      <c r="H1759" s="11" t="n">
        <v>2110405</v>
      </c>
      <c r="I1759" s="13" t="s">
        <v>34</v>
      </c>
      <c r="J1759" s="11" t="n">
        <v>1473787</v>
      </c>
      <c r="L1759" s="11" t="n">
        <v>8101043</v>
      </c>
      <c r="M1759" s="13" t="s">
        <v>44</v>
      </c>
      <c r="N1759" s="13" t="s">
        <v>36</v>
      </c>
      <c r="P1759" s="11" t="n">
        <v>167</v>
      </c>
      <c r="Q1759" s="13" t="s">
        <v>101</v>
      </c>
      <c r="R1759" s="13" t="s">
        <v>46</v>
      </c>
      <c r="S1759" s="11" t="n">
        <v>1130101</v>
      </c>
      <c r="T1759" s="13" t="s">
        <v>47</v>
      </c>
      <c r="U1759" s="14" t="n">
        <v>1000.46</v>
      </c>
      <c r="W1759" s="14" t="n">
        <v>1000.46</v>
      </c>
      <c r="X1759" s="13" t="s">
        <v>1759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TRIDENT MORANGO</v>
      </c>
      <c r="AC1759" s="1" t="n">
        <v>685877</v>
      </c>
    </row>
    <row r="1760" customFormat="false" ht="12.75" hidden="false" customHeight="true" outlineLevel="0" collapsed="false">
      <c r="A1760" s="11" t="n">
        <v>3</v>
      </c>
      <c r="B1760" s="12" t="n">
        <v>46239</v>
      </c>
      <c r="C1760" s="12" t="n">
        <v>46261</v>
      </c>
      <c r="D1760" s="11" t="n">
        <v>1612</v>
      </c>
      <c r="E1760" s="13" t="s">
        <v>264</v>
      </c>
      <c r="F1760" s="11" t="n">
        <v>24</v>
      </c>
      <c r="G1760" s="13" t="s">
        <v>42</v>
      </c>
      <c r="H1760" s="11" t="n">
        <v>2110405</v>
      </c>
      <c r="I1760" s="13" t="s">
        <v>34</v>
      </c>
      <c r="J1760" s="11" t="n">
        <v>1504111</v>
      </c>
      <c r="L1760" s="11" t="n">
        <v>23076072</v>
      </c>
      <c r="M1760" s="13" t="s">
        <v>44</v>
      </c>
      <c r="N1760" s="13" t="s">
        <v>36</v>
      </c>
      <c r="P1760" s="11" t="n">
        <v>167</v>
      </c>
      <c r="Q1760" s="13" t="s">
        <v>101</v>
      </c>
      <c r="R1760" s="13" t="s">
        <v>46</v>
      </c>
      <c r="S1760" s="11" t="n">
        <v>1130101</v>
      </c>
      <c r="T1760" s="13" t="s">
        <v>47</v>
      </c>
      <c r="U1760" s="14" t="n">
        <v>496.59</v>
      </c>
      <c r="W1760" s="14" t="n">
        <v>496.59</v>
      </c>
      <c r="X1760" s="13" t="s">
        <v>1760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AMENDOIM JAPONES DORI 30G</v>
      </c>
      <c r="AC1760" s="1" t="n">
        <v>2307607</v>
      </c>
    </row>
    <row r="1761" customFormat="false" ht="12.75" hidden="false" customHeight="true" outlineLevel="0" collapsed="false">
      <c r="A1761" s="11" t="n">
        <v>3</v>
      </c>
      <c r="B1761" s="12" t="n">
        <v>46239</v>
      </c>
      <c r="C1761" s="12" t="n">
        <v>46261</v>
      </c>
      <c r="D1761" s="11" t="n">
        <v>1612</v>
      </c>
      <c r="E1761" s="13" t="s">
        <v>264</v>
      </c>
      <c r="F1761" s="11" t="n">
        <v>24</v>
      </c>
      <c r="G1761" s="13" t="s">
        <v>42</v>
      </c>
      <c r="H1761" s="11" t="n">
        <v>2110405</v>
      </c>
      <c r="I1761" s="13" t="s">
        <v>34</v>
      </c>
      <c r="J1761" s="11" t="n">
        <v>1504132</v>
      </c>
      <c r="L1761" s="11" t="n">
        <v>23076082</v>
      </c>
      <c r="M1761" s="13" t="s">
        <v>44</v>
      </c>
      <c r="N1761" s="13" t="s">
        <v>36</v>
      </c>
      <c r="P1761" s="11" t="n">
        <v>167</v>
      </c>
      <c r="Q1761" s="13" t="s">
        <v>101</v>
      </c>
      <c r="R1761" s="13" t="s">
        <v>46</v>
      </c>
      <c r="S1761" s="11" t="n">
        <v>1130101</v>
      </c>
      <c r="T1761" s="13" t="s">
        <v>47</v>
      </c>
      <c r="U1761" s="14" t="n">
        <v>368.38</v>
      </c>
      <c r="W1761" s="14" t="n">
        <v>368.38</v>
      </c>
      <c r="X1761" s="13" t="s">
        <v>1761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OVO KINDER JOY 20G</v>
      </c>
      <c r="AC1761" s="1" t="n">
        <v>2307608</v>
      </c>
    </row>
    <row r="1762" customFormat="false" ht="12.75" hidden="false" customHeight="true" outlineLevel="0" collapsed="false">
      <c r="A1762" s="11" t="n">
        <v>3</v>
      </c>
      <c r="B1762" s="12" t="n">
        <v>46239</v>
      </c>
      <c r="C1762" s="12" t="n">
        <v>46261</v>
      </c>
      <c r="D1762" s="11" t="n">
        <v>1601</v>
      </c>
      <c r="E1762" s="13" t="s">
        <v>155</v>
      </c>
      <c r="F1762" s="11" t="n">
        <v>24</v>
      </c>
      <c r="G1762" s="13" t="s">
        <v>42</v>
      </c>
      <c r="H1762" s="11" t="n">
        <v>2110405</v>
      </c>
      <c r="I1762" s="13" t="s">
        <v>34</v>
      </c>
      <c r="J1762" s="11" t="n">
        <v>1508055</v>
      </c>
      <c r="L1762" s="11" t="n">
        <v>9610982</v>
      </c>
      <c r="M1762" s="13" t="s">
        <v>44</v>
      </c>
      <c r="N1762" s="13" t="s">
        <v>36</v>
      </c>
      <c r="P1762" s="11" t="n">
        <v>167</v>
      </c>
      <c r="Q1762" s="13" t="s">
        <v>101</v>
      </c>
      <c r="R1762" s="13" t="s">
        <v>46</v>
      </c>
      <c r="S1762" s="11" t="n">
        <v>1130101</v>
      </c>
      <c r="T1762" s="13" t="s">
        <v>47</v>
      </c>
      <c r="U1762" s="14" t="n">
        <v>477.88</v>
      </c>
      <c r="W1762" s="14" t="n">
        <v>477.88</v>
      </c>
      <c r="X1762" s="13" t="s">
        <v>1762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TRIGO TRIGOLAR C/F1K</v>
      </c>
      <c r="AC1762" s="1" t="n">
        <v>860572</v>
      </c>
    </row>
    <row r="1763" customFormat="false" ht="12.75" hidden="false" customHeight="true" outlineLevel="0" collapsed="false">
      <c r="A1763" s="11" t="n">
        <v>3</v>
      </c>
      <c r="B1763" s="12" t="n">
        <v>46240</v>
      </c>
      <c r="C1763" s="12" t="n">
        <v>46261</v>
      </c>
      <c r="D1763" s="11" t="n">
        <v>1107</v>
      </c>
      <c r="E1763" s="13" t="s">
        <v>165</v>
      </c>
      <c r="F1763" s="11" t="n">
        <v>24</v>
      </c>
      <c r="G1763" s="13" t="s">
        <v>42</v>
      </c>
      <c r="H1763" s="11" t="n">
        <v>2110405</v>
      </c>
      <c r="I1763" s="13" t="s">
        <v>34</v>
      </c>
      <c r="J1763" s="11" t="n">
        <v>1509631</v>
      </c>
      <c r="L1763" s="11" t="n">
        <v>4383352</v>
      </c>
      <c r="M1763" s="13" t="s">
        <v>44</v>
      </c>
      <c r="N1763" s="13" t="s">
        <v>36</v>
      </c>
      <c r="P1763" s="11" t="n">
        <v>167</v>
      </c>
      <c r="Q1763" s="13" t="s">
        <v>101</v>
      </c>
      <c r="R1763" s="13" t="s">
        <v>46</v>
      </c>
      <c r="S1763" s="11" t="n">
        <v>1130101</v>
      </c>
      <c r="T1763" s="13" t="s">
        <v>47</v>
      </c>
      <c r="U1763" s="14" t="n">
        <v>984.44</v>
      </c>
      <c r="W1763" s="14" t="n">
        <v>984.44</v>
      </c>
      <c r="X1763" s="13" t="s">
        <v>1763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BOLINHO MORANGO 7308</v>
      </c>
      <c r="AC1763" s="1" t="n">
        <v>438335</v>
      </c>
    </row>
    <row r="1764" customFormat="false" ht="12.75" hidden="false" customHeight="true" outlineLevel="0" collapsed="false">
      <c r="A1764" s="11" t="n">
        <v>3</v>
      </c>
      <c r="B1764" s="12" t="n">
        <v>46239</v>
      </c>
      <c r="C1764" s="12" t="n">
        <v>46261</v>
      </c>
      <c r="D1764" s="11" t="n">
        <v>1667</v>
      </c>
      <c r="E1764" s="13" t="s">
        <v>807</v>
      </c>
      <c r="F1764" s="11" t="n">
        <v>24</v>
      </c>
      <c r="G1764" s="13" t="s">
        <v>42</v>
      </c>
      <c r="H1764" s="11" t="n">
        <v>2110405</v>
      </c>
      <c r="I1764" s="13" t="s">
        <v>34</v>
      </c>
      <c r="J1764" s="11" t="n">
        <v>1509702</v>
      </c>
      <c r="L1764" s="11" t="n">
        <v>3978883</v>
      </c>
      <c r="M1764" s="13" t="s">
        <v>44</v>
      </c>
      <c r="N1764" s="13" t="s">
        <v>36</v>
      </c>
      <c r="P1764" s="11" t="n">
        <v>167</v>
      </c>
      <c r="Q1764" s="13" t="s">
        <v>101</v>
      </c>
      <c r="R1764" s="13" t="s">
        <v>46</v>
      </c>
      <c r="S1764" s="11" t="n">
        <v>1130101</v>
      </c>
      <c r="T1764" s="13" t="s">
        <v>47</v>
      </c>
      <c r="U1764" s="14" t="n">
        <v>610.15</v>
      </c>
      <c r="W1764" s="14" t="n">
        <v>610.15</v>
      </c>
      <c r="X1764" s="13" t="s">
        <v>1764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MILHO PRA PIPOCA DON</v>
      </c>
      <c r="AC1764" s="1" t="n">
        <v>397888</v>
      </c>
    </row>
    <row r="1765" customFormat="false" ht="12.75" hidden="false" customHeight="true" outlineLevel="0" collapsed="false">
      <c r="A1765" s="11" t="n">
        <v>3</v>
      </c>
      <c r="B1765" s="12" t="n">
        <v>46247</v>
      </c>
      <c r="C1765" s="12" t="n">
        <v>46261</v>
      </c>
      <c r="D1765" s="11" t="n">
        <v>1723</v>
      </c>
      <c r="E1765" s="13" t="s">
        <v>76</v>
      </c>
      <c r="F1765" s="11" t="n">
        <v>24</v>
      </c>
      <c r="G1765" s="13" t="s">
        <v>42</v>
      </c>
      <c r="H1765" s="11" t="n">
        <v>2110405</v>
      </c>
      <c r="I1765" s="13" t="s">
        <v>34</v>
      </c>
      <c r="J1765" s="11" t="n">
        <v>1545626</v>
      </c>
      <c r="L1765" s="11" t="n">
        <v>595072</v>
      </c>
      <c r="M1765" s="13" t="s">
        <v>44</v>
      </c>
      <c r="N1765" s="13" t="s">
        <v>36</v>
      </c>
      <c r="P1765" s="11" t="n">
        <v>167</v>
      </c>
      <c r="Q1765" s="13" t="s">
        <v>101</v>
      </c>
      <c r="R1765" s="13" t="s">
        <v>46</v>
      </c>
      <c r="S1765" s="11" t="n">
        <v>1130101</v>
      </c>
      <c r="T1765" s="13" t="s">
        <v>47</v>
      </c>
      <c r="U1765" s="14" t="n">
        <v>2260.32</v>
      </c>
      <c r="W1765" s="14" t="n">
        <v>2260.32</v>
      </c>
      <c r="X1765" s="13" t="s">
        <v>1765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DIANTEIRO DE BOI L</v>
      </c>
      <c r="AC1765" s="1" t="n">
        <v>174810</v>
      </c>
    </row>
    <row r="1766" customFormat="false" ht="12.75" hidden="false" customHeight="true" outlineLevel="0" collapsed="false">
      <c r="A1766" s="11" t="n">
        <v>3</v>
      </c>
      <c r="B1766" s="12" t="n">
        <v>46245</v>
      </c>
      <c r="C1766" s="12" t="n">
        <v>46261</v>
      </c>
      <c r="D1766" s="11" t="n">
        <v>1699</v>
      </c>
      <c r="E1766" s="13" t="s">
        <v>60</v>
      </c>
      <c r="F1766" s="11" t="n">
        <v>24</v>
      </c>
      <c r="G1766" s="13" t="s">
        <v>42</v>
      </c>
      <c r="H1766" s="11" t="n">
        <v>2110405</v>
      </c>
      <c r="I1766" s="13" t="s">
        <v>34</v>
      </c>
      <c r="J1766" s="11" t="n">
        <v>1537032</v>
      </c>
      <c r="L1766" s="11" t="n">
        <v>3107411</v>
      </c>
      <c r="M1766" s="13" t="s">
        <v>44</v>
      </c>
      <c r="N1766" s="13" t="s">
        <v>36</v>
      </c>
      <c r="P1766" s="11" t="n">
        <v>167</v>
      </c>
      <c r="Q1766" s="13" t="s">
        <v>101</v>
      </c>
      <c r="R1766" s="13" t="s">
        <v>46</v>
      </c>
      <c r="S1766" s="11" t="n">
        <v>1130101</v>
      </c>
      <c r="T1766" s="13" t="s">
        <v>47</v>
      </c>
      <c r="U1766" s="14" t="n">
        <v>1384</v>
      </c>
      <c r="W1766" s="14" t="n">
        <v>1384</v>
      </c>
      <c r="X1766" s="13" t="s">
        <v>1766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LING CALABRESA PERD</v>
      </c>
      <c r="AC1766" s="1" t="n">
        <v>310741</v>
      </c>
    </row>
    <row r="1767" customFormat="false" ht="12.75" hidden="false" customHeight="true" outlineLevel="0" collapsed="false">
      <c r="A1767" s="11" t="n">
        <v>3</v>
      </c>
      <c r="B1767" s="12" t="n">
        <v>46247</v>
      </c>
      <c r="C1767" s="12" t="n">
        <v>46261</v>
      </c>
      <c r="D1767" s="11" t="n">
        <v>1740</v>
      </c>
      <c r="E1767" s="13" t="s">
        <v>170</v>
      </c>
      <c r="F1767" s="11" t="n">
        <v>24</v>
      </c>
      <c r="G1767" s="13" t="s">
        <v>42</v>
      </c>
      <c r="H1767" s="11" t="n">
        <v>2110405</v>
      </c>
      <c r="I1767" s="13" t="s">
        <v>34</v>
      </c>
      <c r="J1767" s="11" t="n">
        <v>1542809</v>
      </c>
      <c r="L1767" s="11" t="n">
        <v>12589881</v>
      </c>
      <c r="M1767" s="13" t="s">
        <v>44</v>
      </c>
      <c r="N1767" s="13" t="s">
        <v>36</v>
      </c>
      <c r="P1767" s="11" t="n">
        <v>167</v>
      </c>
      <c r="Q1767" s="13" t="s">
        <v>101</v>
      </c>
      <c r="R1767" s="13" t="s">
        <v>46</v>
      </c>
      <c r="S1767" s="11" t="n">
        <v>1130101</v>
      </c>
      <c r="T1767" s="13" t="s">
        <v>47</v>
      </c>
      <c r="U1767" s="14" t="n">
        <v>354.2</v>
      </c>
      <c r="W1767" s="14" t="n">
        <v>354.2</v>
      </c>
      <c r="X1767" s="13" t="s">
        <v>1767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IOG BI-CAMADA MGO CO</v>
      </c>
      <c r="AC1767" s="1" t="n">
        <v>1258988</v>
      </c>
    </row>
    <row r="1768" customFormat="false" ht="12.75" hidden="false" customHeight="true" outlineLevel="0" collapsed="false">
      <c r="A1768" s="11" t="n">
        <v>3</v>
      </c>
      <c r="B1768" s="12" t="n">
        <v>46247</v>
      </c>
      <c r="C1768" s="12" t="n">
        <v>46261</v>
      </c>
      <c r="D1768" s="11" t="n">
        <v>1921</v>
      </c>
      <c r="E1768" s="13" t="s">
        <v>247</v>
      </c>
      <c r="F1768" s="11" t="n">
        <v>24</v>
      </c>
      <c r="G1768" s="13" t="s">
        <v>42</v>
      </c>
      <c r="H1768" s="11" t="n">
        <v>2110405</v>
      </c>
      <c r="I1768" s="13" t="s">
        <v>34</v>
      </c>
      <c r="J1768" s="11" t="n">
        <v>1543017</v>
      </c>
      <c r="L1768" s="11" t="n">
        <v>137021</v>
      </c>
      <c r="M1768" s="13" t="s">
        <v>44</v>
      </c>
      <c r="N1768" s="13" t="s">
        <v>36</v>
      </c>
      <c r="P1768" s="11" t="n">
        <v>167</v>
      </c>
      <c r="Q1768" s="13" t="s">
        <v>101</v>
      </c>
      <c r="R1768" s="13" t="s">
        <v>46</v>
      </c>
      <c r="S1768" s="11" t="n">
        <v>1130101</v>
      </c>
      <c r="T1768" s="13" t="s">
        <v>47</v>
      </c>
      <c r="U1768" s="14" t="n">
        <v>355.96</v>
      </c>
      <c r="W1768" s="14" t="n">
        <v>355.96</v>
      </c>
      <c r="X1768" s="13" t="s">
        <v>1768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CANJICA MILHO BRANCO 400G</v>
      </c>
      <c r="AC1768" s="1" t="n">
        <v>21254</v>
      </c>
    </row>
    <row r="1769" customFormat="false" ht="12.75" hidden="false" customHeight="true" outlineLevel="0" collapsed="false">
      <c r="A1769" s="11" t="n">
        <v>3</v>
      </c>
      <c r="B1769" s="12" t="n">
        <v>46246</v>
      </c>
      <c r="C1769" s="12" t="n">
        <v>46261</v>
      </c>
      <c r="D1769" s="11" t="n">
        <v>1605</v>
      </c>
      <c r="E1769" s="13" t="s">
        <v>113</v>
      </c>
      <c r="F1769" s="11" t="n">
        <v>24</v>
      </c>
      <c r="G1769" s="13" t="s">
        <v>42</v>
      </c>
      <c r="H1769" s="11" t="n">
        <v>2110405</v>
      </c>
      <c r="I1769" s="13" t="s">
        <v>34</v>
      </c>
      <c r="J1769" s="11" t="n">
        <v>1543778</v>
      </c>
      <c r="L1769" s="11" t="n">
        <v>222948</v>
      </c>
      <c r="M1769" s="13" t="s">
        <v>44</v>
      </c>
      <c r="N1769" s="13" t="s">
        <v>36</v>
      </c>
      <c r="P1769" s="11" t="n">
        <v>167</v>
      </c>
      <c r="Q1769" s="13" t="s">
        <v>101</v>
      </c>
      <c r="R1769" s="13" t="s">
        <v>46</v>
      </c>
      <c r="S1769" s="11" t="n">
        <v>1130101</v>
      </c>
      <c r="T1769" s="13" t="s">
        <v>47</v>
      </c>
      <c r="U1769" s="14" t="n">
        <v>515.16</v>
      </c>
      <c r="W1769" s="14" t="n">
        <v>515.16</v>
      </c>
      <c r="X1769" s="13" t="s">
        <v>1769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CREM LEIT ITALAC200G</v>
      </c>
      <c r="AC1769" s="1" t="n">
        <v>222948</v>
      </c>
    </row>
    <row r="1770" customFormat="false" ht="12.75" hidden="false" customHeight="true" outlineLevel="0" collapsed="false">
      <c r="A1770" s="11" t="n">
        <v>3</v>
      </c>
      <c r="B1770" s="12" t="n">
        <v>46247</v>
      </c>
      <c r="C1770" s="12" t="n">
        <v>46261</v>
      </c>
      <c r="D1770" s="11" t="n">
        <v>10009</v>
      </c>
      <c r="E1770" s="13" t="s">
        <v>373</v>
      </c>
      <c r="F1770" s="11" t="n">
        <v>24</v>
      </c>
      <c r="G1770" s="13" t="s">
        <v>42</v>
      </c>
      <c r="H1770" s="11" t="n">
        <v>2110405</v>
      </c>
      <c r="I1770" s="13" t="s">
        <v>34</v>
      </c>
      <c r="J1770" s="11" t="n">
        <v>1551895</v>
      </c>
      <c r="L1770" s="11" t="n">
        <v>1438570</v>
      </c>
      <c r="M1770" s="13" t="s">
        <v>44</v>
      </c>
      <c r="N1770" s="13" t="s">
        <v>36</v>
      </c>
      <c r="P1770" s="11" t="n">
        <v>167</v>
      </c>
      <c r="Q1770" s="13" t="s">
        <v>101</v>
      </c>
      <c r="R1770" s="13" t="s">
        <v>46</v>
      </c>
      <c r="S1770" s="11" t="n">
        <v>1130101</v>
      </c>
      <c r="T1770" s="13" t="s">
        <v>47</v>
      </c>
      <c r="U1770" s="14" t="n">
        <v>1239.76</v>
      </c>
      <c r="W1770" s="14" t="n">
        <v>1239.76</v>
      </c>
      <c r="X1770" s="13" t="s">
        <v>1770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SOPAO MAGGI CARN 200</v>
      </c>
      <c r="AC1770" s="1" t="n">
        <v>1438570</v>
      </c>
    </row>
    <row r="1771" customFormat="false" ht="12.75" hidden="false" customHeight="true" outlineLevel="0" collapsed="false">
      <c r="A1771" s="11" t="n">
        <v>3</v>
      </c>
      <c r="B1771" s="12" t="n">
        <v>46254</v>
      </c>
      <c r="C1771" s="12" t="n">
        <v>46261</v>
      </c>
      <c r="D1771" s="11" t="n">
        <v>42</v>
      </c>
      <c r="E1771" s="13" t="s">
        <v>80</v>
      </c>
      <c r="F1771" s="11" t="n">
        <v>34</v>
      </c>
      <c r="G1771" s="13" t="s">
        <v>33</v>
      </c>
      <c r="H1771" s="11" t="n">
        <v>2110101</v>
      </c>
      <c r="I1771" s="13" t="s">
        <v>43</v>
      </c>
      <c r="J1771" s="11" t="n">
        <v>1575807</v>
      </c>
      <c r="L1771" s="11" t="n">
        <v>4525</v>
      </c>
      <c r="M1771" s="13" t="s">
        <v>44</v>
      </c>
      <c r="N1771" s="13" t="s">
        <v>69</v>
      </c>
      <c r="P1771" s="11" t="n">
        <v>167</v>
      </c>
      <c r="Q1771" s="13" t="s">
        <v>101</v>
      </c>
      <c r="R1771" s="13" t="s">
        <v>46</v>
      </c>
      <c r="S1771" s="11" t="n">
        <v>1130101</v>
      </c>
      <c r="T1771" s="13" t="s">
        <v>47</v>
      </c>
      <c r="U1771" s="14" t="n">
        <v>650</v>
      </c>
      <c r="W1771" s="14" t="n">
        <v>650</v>
      </c>
      <c r="X1771" s="13" t="s">
        <v>1771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46253</v>
      </c>
      <c r="C1772" s="12" t="n">
        <v>46261</v>
      </c>
      <c r="D1772" s="11" t="n">
        <v>1642</v>
      </c>
      <c r="E1772" s="13" t="s">
        <v>274</v>
      </c>
      <c r="F1772" s="11" t="n">
        <v>24</v>
      </c>
      <c r="G1772" s="13" t="s">
        <v>42</v>
      </c>
      <c r="H1772" s="11" t="n">
        <v>2110405</v>
      </c>
      <c r="I1772" s="13" t="s">
        <v>34</v>
      </c>
      <c r="J1772" s="11" t="n">
        <v>1575826</v>
      </c>
      <c r="L1772" s="11" t="n">
        <v>1037761</v>
      </c>
      <c r="M1772" s="13" t="s">
        <v>44</v>
      </c>
      <c r="N1772" s="13" t="s">
        <v>36</v>
      </c>
      <c r="P1772" s="11" t="n">
        <v>167</v>
      </c>
      <c r="Q1772" s="13" t="s">
        <v>101</v>
      </c>
      <c r="R1772" s="13" t="s">
        <v>46</v>
      </c>
      <c r="S1772" s="11" t="n">
        <v>1130101</v>
      </c>
      <c r="T1772" s="13" t="s">
        <v>47</v>
      </c>
      <c r="U1772" s="14" t="n">
        <v>502.41</v>
      </c>
      <c r="W1772" s="14" t="n">
        <v>502.41</v>
      </c>
      <c r="X1772" s="13" t="s">
        <v>1772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PAO TORRADO BROTHERS</v>
      </c>
      <c r="AC1772" s="1" t="n">
        <v>1037767</v>
      </c>
    </row>
    <row r="1773" customFormat="false" ht="12.75" hidden="false" customHeight="true" outlineLevel="0" collapsed="false">
      <c r="A1773" s="11" t="n">
        <v>3</v>
      </c>
      <c r="B1773" s="12" t="n">
        <v>46254</v>
      </c>
      <c r="C1773" s="12" t="n">
        <v>46261</v>
      </c>
      <c r="D1773" s="11" t="n">
        <v>1723</v>
      </c>
      <c r="E1773" s="13" t="s">
        <v>76</v>
      </c>
      <c r="F1773" s="11" t="n">
        <v>24</v>
      </c>
      <c r="G1773" s="13" t="s">
        <v>42</v>
      </c>
      <c r="H1773" s="11" t="n">
        <v>2110405</v>
      </c>
      <c r="I1773" s="13" t="s">
        <v>34</v>
      </c>
      <c r="J1773" s="11" t="n">
        <v>1580435</v>
      </c>
      <c r="L1773" s="11" t="n">
        <v>60237</v>
      </c>
      <c r="M1773" s="13" t="s">
        <v>44</v>
      </c>
      <c r="N1773" s="13" t="s">
        <v>36</v>
      </c>
      <c r="P1773" s="11" t="n">
        <v>167</v>
      </c>
      <c r="Q1773" s="13" t="s">
        <v>101</v>
      </c>
      <c r="R1773" s="13" t="s">
        <v>46</v>
      </c>
      <c r="S1773" s="11" t="n">
        <v>1130101</v>
      </c>
      <c r="T1773" s="13" t="s">
        <v>47</v>
      </c>
      <c r="U1773" s="14" t="n">
        <v>1841.2</v>
      </c>
      <c r="W1773" s="14" t="n">
        <v>1841.2</v>
      </c>
      <c r="X1773" s="13" t="s">
        <v>1773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TRASEIRO DE BOI L1</v>
      </c>
      <c r="AC1773" s="1" t="n">
        <v>175182</v>
      </c>
    </row>
    <row r="1774" customFormat="false" ht="12.75" hidden="false" customHeight="true" outlineLevel="0" collapsed="false">
      <c r="A1774" s="11" t="n">
        <v>3</v>
      </c>
      <c r="B1774" s="12" t="n">
        <v>46261</v>
      </c>
      <c r="C1774" s="12" t="n">
        <v>46261</v>
      </c>
      <c r="D1774" s="11" t="n">
        <v>42</v>
      </c>
      <c r="E1774" s="13" t="s">
        <v>80</v>
      </c>
      <c r="F1774" s="11" t="n">
        <v>13</v>
      </c>
      <c r="G1774" s="13" t="s">
        <v>81</v>
      </c>
      <c r="H1774" s="11" t="n">
        <v>2110101</v>
      </c>
      <c r="I1774" s="13" t="s">
        <v>43</v>
      </c>
      <c r="J1774" s="11" t="n">
        <v>1608589</v>
      </c>
      <c r="L1774" s="11" t="n">
        <v>4548</v>
      </c>
      <c r="M1774" s="13" t="s">
        <v>44</v>
      </c>
      <c r="N1774" s="13" t="s">
        <v>69</v>
      </c>
      <c r="P1774" s="11" t="n">
        <v>167</v>
      </c>
      <c r="Q1774" s="13" t="s">
        <v>101</v>
      </c>
      <c r="R1774" s="13" t="s">
        <v>46</v>
      </c>
      <c r="S1774" s="11" t="n">
        <v>1130101</v>
      </c>
      <c r="T1774" s="13" t="s">
        <v>47</v>
      </c>
      <c r="U1774" s="14" t="n">
        <v>148</v>
      </c>
      <c r="W1774" s="14" t="n">
        <v>148</v>
      </c>
      <c r="X1774" s="13" t="s">
        <v>772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46261</v>
      </c>
      <c r="C1775" s="12" t="n">
        <v>46261</v>
      </c>
      <c r="D1775" s="11" t="n">
        <v>978</v>
      </c>
      <c r="E1775" s="13" t="s">
        <v>183</v>
      </c>
      <c r="F1775" s="11" t="n">
        <v>34</v>
      </c>
      <c r="G1775" s="13" t="s">
        <v>33</v>
      </c>
      <c r="H1775" s="11" t="n">
        <v>2110405</v>
      </c>
      <c r="I1775" s="13" t="s">
        <v>34</v>
      </c>
      <c r="J1775" s="11" t="n">
        <v>1609318</v>
      </c>
      <c r="L1775" s="11" t="n">
        <v>533</v>
      </c>
      <c r="M1775" s="13" t="s">
        <v>44</v>
      </c>
      <c r="N1775" s="13" t="s">
        <v>36</v>
      </c>
      <c r="P1775" s="11" t="n">
        <v>167</v>
      </c>
      <c r="Q1775" s="13" t="s">
        <v>101</v>
      </c>
      <c r="R1775" s="13" t="s">
        <v>46</v>
      </c>
      <c r="S1775" s="11" t="n">
        <v>1130101</v>
      </c>
      <c r="T1775" s="13" t="s">
        <v>47</v>
      </c>
      <c r="U1775" s="14" t="n">
        <v>459.3</v>
      </c>
      <c r="W1775" s="14" t="n">
        <v>459.3</v>
      </c>
      <c r="X1775" s="13" t="s">
        <v>1774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DAN GELO CUBO 5 KG</v>
      </c>
      <c r="AC1775" s="1" t="n">
        <v>533</v>
      </c>
    </row>
    <row r="1776" customFormat="false" ht="12.75" hidden="false" customHeight="true" outlineLevel="0" collapsed="false">
      <c r="A1776" s="11" t="n">
        <v>3</v>
      </c>
      <c r="B1776" s="12" t="n">
        <v>46231</v>
      </c>
      <c r="C1776" s="12" t="n">
        <v>46262</v>
      </c>
      <c r="D1776" s="11" t="n">
        <v>33</v>
      </c>
      <c r="E1776" s="13" t="s">
        <v>71</v>
      </c>
      <c r="F1776" s="11" t="n">
        <v>34</v>
      </c>
      <c r="G1776" s="13" t="s">
        <v>33</v>
      </c>
      <c r="H1776" s="11" t="n">
        <v>2110405</v>
      </c>
      <c r="I1776" s="13" t="s">
        <v>34</v>
      </c>
      <c r="J1776" s="11" t="n">
        <v>1465032</v>
      </c>
      <c r="L1776" s="11" t="n">
        <v>227918</v>
      </c>
      <c r="M1776" s="13" t="s">
        <v>150</v>
      </c>
      <c r="N1776" s="13" t="s">
        <v>36</v>
      </c>
      <c r="P1776" s="11" t="n">
        <v>101</v>
      </c>
      <c r="Q1776" s="13" t="s">
        <v>37</v>
      </c>
      <c r="R1776" s="13" t="s">
        <v>109</v>
      </c>
      <c r="S1776" s="11" t="n">
        <v>1240203</v>
      </c>
      <c r="T1776" s="13" t="s">
        <v>110</v>
      </c>
      <c r="U1776" s="14" t="n">
        <v>2320.33</v>
      </c>
      <c r="W1776" s="14" t="n">
        <v>2320.33</v>
      </c>
      <c r="X1776" s="13" t="s">
        <v>1775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46232</v>
      </c>
      <c r="C1777" s="12" t="n">
        <v>46262</v>
      </c>
      <c r="D1777" s="11" t="n">
        <v>1699</v>
      </c>
      <c r="E1777" s="13" t="s">
        <v>60</v>
      </c>
      <c r="F1777" s="11" t="n">
        <v>24</v>
      </c>
      <c r="G1777" s="13" t="s">
        <v>42</v>
      </c>
      <c r="H1777" s="11" t="n">
        <v>2110405</v>
      </c>
      <c r="I1777" s="13" t="s">
        <v>34</v>
      </c>
      <c r="J1777" s="11" t="n">
        <v>1474071</v>
      </c>
      <c r="L1777" s="11" t="n">
        <v>3095423</v>
      </c>
      <c r="M1777" s="13" t="s">
        <v>44</v>
      </c>
      <c r="N1777" s="13" t="s">
        <v>36</v>
      </c>
      <c r="P1777" s="11" t="n">
        <v>167</v>
      </c>
      <c r="Q1777" s="13" t="s">
        <v>101</v>
      </c>
      <c r="R1777" s="13" t="s">
        <v>46</v>
      </c>
      <c r="S1777" s="11" t="n">
        <v>1130101</v>
      </c>
      <c r="T1777" s="13" t="s">
        <v>47</v>
      </c>
      <c r="U1777" s="14" t="n">
        <v>983.7</v>
      </c>
      <c r="W1777" s="14" t="n">
        <v>983.7</v>
      </c>
      <c r="X1777" s="13" t="s">
        <v>1776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CACHAÇA COROTE 500ML</v>
      </c>
      <c r="AC1777" s="1" t="n">
        <v>309542</v>
      </c>
    </row>
    <row r="1778" customFormat="false" ht="12.75" hidden="false" customHeight="true" outlineLevel="0" collapsed="false">
      <c r="A1778" s="11" t="n">
        <v>3</v>
      </c>
      <c r="B1778" s="12" t="n">
        <v>46232</v>
      </c>
      <c r="C1778" s="12" t="n">
        <v>46262</v>
      </c>
      <c r="D1778" s="11" t="n">
        <v>10017</v>
      </c>
      <c r="E1778" s="13" t="s">
        <v>335</v>
      </c>
      <c r="F1778" s="11" t="n">
        <v>24</v>
      </c>
      <c r="G1778" s="13" t="s">
        <v>42</v>
      </c>
      <c r="H1778" s="11" t="n">
        <v>2110405</v>
      </c>
      <c r="I1778" s="13" t="s">
        <v>34</v>
      </c>
      <c r="J1778" s="11" t="n">
        <v>1474082</v>
      </c>
      <c r="L1778" s="11" t="n">
        <v>1950893</v>
      </c>
      <c r="M1778" s="13" t="s">
        <v>44</v>
      </c>
      <c r="N1778" s="13" t="s">
        <v>36</v>
      </c>
      <c r="P1778" s="11" t="n">
        <v>167</v>
      </c>
      <c r="Q1778" s="13" t="s">
        <v>101</v>
      </c>
      <c r="R1778" s="13" t="s">
        <v>46</v>
      </c>
      <c r="S1778" s="11" t="n">
        <v>1130101</v>
      </c>
      <c r="T1778" s="13" t="s">
        <v>47</v>
      </c>
      <c r="U1778" s="14" t="n">
        <v>1191.81</v>
      </c>
      <c r="W1778" s="14" t="n">
        <v>1191.81</v>
      </c>
      <c r="X1778" s="13" t="s">
        <v>1777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LEIT COC SOCOCO 200M</v>
      </c>
      <c r="AC1778" s="1" t="n">
        <v>195089</v>
      </c>
    </row>
    <row r="1779" customFormat="false" ht="12.75" hidden="false" customHeight="true" outlineLevel="0" collapsed="false">
      <c r="A1779" s="11" t="n">
        <v>3</v>
      </c>
      <c r="B1779" s="12" t="n">
        <v>46232</v>
      </c>
      <c r="C1779" s="12" t="n">
        <v>46262</v>
      </c>
      <c r="D1779" s="11" t="n">
        <v>1196</v>
      </c>
      <c r="E1779" s="13" t="s">
        <v>174</v>
      </c>
      <c r="F1779" s="11" t="n">
        <v>24</v>
      </c>
      <c r="G1779" s="13" t="s">
        <v>42</v>
      </c>
      <c r="H1779" s="11" t="n">
        <v>2110405</v>
      </c>
      <c r="I1779" s="13" t="s">
        <v>34</v>
      </c>
      <c r="J1779" s="11" t="n">
        <v>1478195</v>
      </c>
      <c r="L1779" s="11" t="n">
        <v>131713</v>
      </c>
      <c r="M1779" s="13" t="s">
        <v>44</v>
      </c>
      <c r="N1779" s="13" t="s">
        <v>36</v>
      </c>
      <c r="P1779" s="11" t="n">
        <v>167</v>
      </c>
      <c r="Q1779" s="13" t="s">
        <v>101</v>
      </c>
      <c r="R1779" s="13" t="s">
        <v>46</v>
      </c>
      <c r="S1779" s="11" t="n">
        <v>1130101</v>
      </c>
      <c r="T1779" s="13" t="s">
        <v>47</v>
      </c>
      <c r="U1779" s="14" t="n">
        <v>481.16</v>
      </c>
      <c r="W1779" s="14" t="n">
        <v>481.16</v>
      </c>
      <c r="X1779" s="13" t="s">
        <v>1778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LEITE EM PO PIRACANJUBA 400G</v>
      </c>
      <c r="AC1779" s="1" t="n">
        <v>12548</v>
      </c>
    </row>
    <row r="1780" customFormat="false" ht="12.75" hidden="false" customHeight="true" outlineLevel="0" collapsed="false">
      <c r="A1780" s="11" t="n">
        <v>3</v>
      </c>
      <c r="B1780" s="12" t="n">
        <v>46233</v>
      </c>
      <c r="C1780" s="12" t="n">
        <v>46262</v>
      </c>
      <c r="D1780" s="11" t="n">
        <v>1608</v>
      </c>
      <c r="E1780" s="13" t="s">
        <v>41</v>
      </c>
      <c r="F1780" s="11" t="n">
        <v>24</v>
      </c>
      <c r="G1780" s="13" t="s">
        <v>42</v>
      </c>
      <c r="H1780" s="11" t="n">
        <v>2110405</v>
      </c>
      <c r="I1780" s="13" t="s">
        <v>34</v>
      </c>
      <c r="J1780" s="11" t="n">
        <v>1482411</v>
      </c>
      <c r="L1780" s="11" t="n">
        <v>17031523</v>
      </c>
      <c r="M1780" s="13" t="s">
        <v>44</v>
      </c>
      <c r="N1780" s="13" t="s">
        <v>36</v>
      </c>
      <c r="P1780" s="11" t="n">
        <v>167</v>
      </c>
      <c r="Q1780" s="13" t="s">
        <v>101</v>
      </c>
      <c r="R1780" s="13" t="s">
        <v>46</v>
      </c>
      <c r="S1780" s="11" t="n">
        <v>1130101</v>
      </c>
      <c r="T1780" s="13" t="s">
        <v>47</v>
      </c>
      <c r="U1780" s="14" t="n">
        <v>362.68</v>
      </c>
      <c r="W1780" s="14" t="n">
        <v>362.68</v>
      </c>
      <c r="X1780" s="13" t="s">
        <v>1779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NISSIN LAMEN SUAVE TOMATE</v>
      </c>
      <c r="AC1780" s="1" t="n">
        <v>1703152</v>
      </c>
    </row>
    <row r="1781" customFormat="false" ht="12.75" hidden="false" customHeight="true" outlineLevel="0" collapsed="false">
      <c r="A1781" s="11" t="n">
        <v>3</v>
      </c>
      <c r="B1781" s="12" t="n">
        <v>46234</v>
      </c>
      <c r="C1781" s="12" t="n">
        <v>46262</v>
      </c>
      <c r="D1781" s="11" t="n">
        <v>1675</v>
      </c>
      <c r="E1781" s="13" t="s">
        <v>163</v>
      </c>
      <c r="F1781" s="11" t="n">
        <v>24</v>
      </c>
      <c r="G1781" s="13" t="s">
        <v>42</v>
      </c>
      <c r="H1781" s="11" t="n">
        <v>2110405</v>
      </c>
      <c r="I1781" s="13" t="s">
        <v>34</v>
      </c>
      <c r="J1781" s="11" t="n">
        <v>1517548</v>
      </c>
      <c r="L1781" s="11" t="n">
        <v>5068381</v>
      </c>
      <c r="M1781" s="13" t="s">
        <v>44</v>
      </c>
      <c r="N1781" s="13" t="s">
        <v>36</v>
      </c>
      <c r="P1781" s="11" t="n">
        <v>167</v>
      </c>
      <c r="Q1781" s="13" t="s">
        <v>101</v>
      </c>
      <c r="R1781" s="13" t="s">
        <v>46</v>
      </c>
      <c r="S1781" s="11" t="n">
        <v>1130101</v>
      </c>
      <c r="T1781" s="13" t="s">
        <v>47</v>
      </c>
      <c r="U1781" s="14" t="n">
        <v>300.54</v>
      </c>
      <c r="W1781" s="14" t="n">
        <v>300.54</v>
      </c>
      <c r="X1781" s="13" t="s">
        <v>1780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TALCO BARLA 80G</v>
      </c>
      <c r="AC1781" s="1" t="n">
        <v>506838</v>
      </c>
    </row>
    <row r="1782" customFormat="false" ht="12.75" hidden="false" customHeight="true" outlineLevel="0" collapsed="false">
      <c r="A1782" s="11" t="n">
        <v>3</v>
      </c>
      <c r="B1782" s="12" t="n">
        <v>46248</v>
      </c>
      <c r="C1782" s="12" t="n">
        <v>46262</v>
      </c>
      <c r="D1782" s="11" t="n">
        <v>1723</v>
      </c>
      <c r="E1782" s="13" t="s">
        <v>76</v>
      </c>
      <c r="F1782" s="11" t="n">
        <v>24</v>
      </c>
      <c r="G1782" s="13" t="s">
        <v>42</v>
      </c>
      <c r="H1782" s="11" t="n">
        <v>2110405</v>
      </c>
      <c r="I1782" s="13" t="s">
        <v>34</v>
      </c>
      <c r="J1782" s="11" t="n">
        <v>1545597</v>
      </c>
      <c r="L1782" s="11" t="n">
        <v>59645</v>
      </c>
      <c r="M1782" s="13" t="s">
        <v>44</v>
      </c>
      <c r="N1782" s="13" t="s">
        <v>36</v>
      </c>
      <c r="P1782" s="11" t="n">
        <v>129</v>
      </c>
      <c r="Q1782" s="13" t="s">
        <v>102</v>
      </c>
      <c r="R1782" s="13" t="s">
        <v>46</v>
      </c>
      <c r="S1782" s="11" t="n">
        <v>1130101</v>
      </c>
      <c r="T1782" s="13" t="s">
        <v>47</v>
      </c>
      <c r="U1782" s="14" t="n">
        <v>1314.45</v>
      </c>
      <c r="W1782" s="14" t="n">
        <v>1314.45</v>
      </c>
      <c r="X1782" s="13" t="s">
        <v>1781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DIANTEIRO DE BOI L</v>
      </c>
      <c r="AC1782" s="1" t="n">
        <v>174894</v>
      </c>
    </row>
    <row r="1783" customFormat="false" ht="12.75" hidden="false" customHeight="true" outlineLevel="0" collapsed="false">
      <c r="A1783" s="11" t="n">
        <v>3</v>
      </c>
      <c r="B1783" s="12" t="n">
        <v>46239</v>
      </c>
      <c r="C1783" s="12" t="n">
        <v>46262</v>
      </c>
      <c r="D1783" s="11" t="n">
        <v>1699</v>
      </c>
      <c r="E1783" s="13" t="s">
        <v>60</v>
      </c>
      <c r="F1783" s="11" t="n">
        <v>24</v>
      </c>
      <c r="G1783" s="13" t="s">
        <v>42</v>
      </c>
      <c r="H1783" s="11" t="n">
        <v>2110405</v>
      </c>
      <c r="I1783" s="13" t="s">
        <v>34</v>
      </c>
      <c r="J1783" s="11" t="n">
        <v>1512617</v>
      </c>
      <c r="L1783" s="11" t="n">
        <v>3101542</v>
      </c>
      <c r="M1783" s="13" t="s">
        <v>44</v>
      </c>
      <c r="N1783" s="13" t="s">
        <v>36</v>
      </c>
      <c r="P1783" s="11" t="n">
        <v>167</v>
      </c>
      <c r="Q1783" s="13" t="s">
        <v>101</v>
      </c>
      <c r="R1783" s="13" t="s">
        <v>46</v>
      </c>
      <c r="S1783" s="11" t="n">
        <v>1130101</v>
      </c>
      <c r="T1783" s="13" t="s">
        <v>47</v>
      </c>
      <c r="U1783" s="14" t="n">
        <v>986.03</v>
      </c>
      <c r="W1783" s="14" t="n">
        <v>986.03</v>
      </c>
      <c r="X1783" s="13" t="s">
        <v>1782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CONS CARNE BO320G</v>
      </c>
      <c r="AC1783" s="1" t="n">
        <v>310154</v>
      </c>
    </row>
    <row r="1784" customFormat="false" ht="12.75" hidden="false" customHeight="true" outlineLevel="0" collapsed="false">
      <c r="A1784" s="11" t="n">
        <v>3</v>
      </c>
      <c r="B1784" s="12" t="n">
        <v>46240</v>
      </c>
      <c r="C1784" s="12" t="n">
        <v>46262</v>
      </c>
      <c r="D1784" s="11" t="n">
        <v>1136</v>
      </c>
      <c r="E1784" s="13" t="s">
        <v>693</v>
      </c>
      <c r="F1784" s="11" t="n">
        <v>24</v>
      </c>
      <c r="G1784" s="13" t="s">
        <v>42</v>
      </c>
      <c r="H1784" s="11" t="n">
        <v>2110405</v>
      </c>
      <c r="I1784" s="13" t="s">
        <v>34</v>
      </c>
      <c r="J1784" s="11" t="n">
        <v>1513138</v>
      </c>
      <c r="L1784" s="11" t="n">
        <v>535482</v>
      </c>
      <c r="M1784" s="13" t="s">
        <v>44</v>
      </c>
      <c r="N1784" s="13" t="s">
        <v>36</v>
      </c>
      <c r="P1784" s="11" t="n">
        <v>167</v>
      </c>
      <c r="Q1784" s="13" t="s">
        <v>101</v>
      </c>
      <c r="R1784" s="13" t="s">
        <v>46</v>
      </c>
      <c r="S1784" s="11" t="n">
        <v>1130101</v>
      </c>
      <c r="T1784" s="13" t="s">
        <v>47</v>
      </c>
      <c r="U1784" s="14" t="n">
        <v>500.78</v>
      </c>
      <c r="W1784" s="14" t="n">
        <v>500.78</v>
      </c>
      <c r="X1784" s="13" t="s">
        <v>1783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ESCOVA DENTAL WIT BA</v>
      </c>
      <c r="AC1784" s="1" t="n">
        <v>53548</v>
      </c>
    </row>
    <row r="1785" customFormat="false" ht="12.75" hidden="false" customHeight="true" outlineLevel="0" collapsed="false">
      <c r="A1785" s="11" t="n">
        <v>3</v>
      </c>
      <c r="B1785" s="12" t="n">
        <v>46247</v>
      </c>
      <c r="C1785" s="12" t="n">
        <v>46262</v>
      </c>
      <c r="D1785" s="11" t="n">
        <v>1916</v>
      </c>
      <c r="E1785" s="13" t="s">
        <v>351</v>
      </c>
      <c r="F1785" s="11" t="n">
        <v>24</v>
      </c>
      <c r="G1785" s="13" t="s">
        <v>42</v>
      </c>
      <c r="H1785" s="11" t="n">
        <v>2110405</v>
      </c>
      <c r="I1785" s="13" t="s">
        <v>34</v>
      </c>
      <c r="J1785" s="11" t="n">
        <v>1542928</v>
      </c>
      <c r="L1785" s="11" t="n">
        <v>111</v>
      </c>
      <c r="M1785" s="13" t="s">
        <v>44</v>
      </c>
      <c r="N1785" s="13" t="s">
        <v>36</v>
      </c>
      <c r="P1785" s="11" t="n">
        <v>167</v>
      </c>
      <c r="Q1785" s="13" t="s">
        <v>101</v>
      </c>
      <c r="R1785" s="13" t="s">
        <v>46</v>
      </c>
      <c r="S1785" s="11" t="n">
        <v>1130101</v>
      </c>
      <c r="T1785" s="13" t="s">
        <v>47</v>
      </c>
      <c r="U1785" s="14" t="n">
        <v>249.5</v>
      </c>
      <c r="W1785" s="14" t="n">
        <v>249.5</v>
      </c>
      <c r="X1785" s="13" t="s">
        <v>1784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GOMA DE MANDIOCA 500</v>
      </c>
      <c r="AC1785" s="1" t="n">
        <v>111</v>
      </c>
    </row>
    <row r="1786" customFormat="false" ht="12.75" hidden="false" customHeight="true" outlineLevel="0" collapsed="false">
      <c r="A1786" s="11" t="n">
        <v>3</v>
      </c>
      <c r="B1786" s="12" t="n">
        <v>46246</v>
      </c>
      <c r="C1786" s="12" t="n">
        <v>46262</v>
      </c>
      <c r="D1786" s="11" t="n">
        <v>1814</v>
      </c>
      <c r="E1786" s="13" t="s">
        <v>339</v>
      </c>
      <c r="F1786" s="11" t="n">
        <v>24</v>
      </c>
      <c r="G1786" s="13" t="s">
        <v>42</v>
      </c>
      <c r="H1786" s="11" t="n">
        <v>2110405</v>
      </c>
      <c r="I1786" s="13" t="s">
        <v>34</v>
      </c>
      <c r="J1786" s="11" t="n">
        <v>1542972</v>
      </c>
      <c r="L1786" s="11" t="n">
        <v>283532</v>
      </c>
      <c r="M1786" s="13" t="s">
        <v>44</v>
      </c>
      <c r="N1786" s="13" t="s">
        <v>36</v>
      </c>
      <c r="P1786" s="11" t="n">
        <v>167</v>
      </c>
      <c r="Q1786" s="13" t="s">
        <v>101</v>
      </c>
      <c r="R1786" s="13" t="s">
        <v>46</v>
      </c>
      <c r="S1786" s="11" t="n">
        <v>1130101</v>
      </c>
      <c r="T1786" s="13" t="s">
        <v>47</v>
      </c>
      <c r="U1786" s="14" t="n">
        <v>730.71</v>
      </c>
      <c r="W1786" s="14" t="n">
        <v>730.71</v>
      </c>
      <c r="X1786" s="13" t="s">
        <v>1785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POLPA GRAVIOLA 100G</v>
      </c>
      <c r="AC1786" s="1" t="n">
        <v>28353</v>
      </c>
    </row>
    <row r="1787" customFormat="false" ht="12.75" hidden="false" customHeight="true" outlineLevel="0" collapsed="false">
      <c r="A1787" s="11" t="n">
        <v>3</v>
      </c>
      <c r="B1787" s="12" t="n">
        <v>46255</v>
      </c>
      <c r="C1787" s="12" t="n">
        <v>46262</v>
      </c>
      <c r="D1787" s="11" t="n">
        <v>42</v>
      </c>
      <c r="E1787" s="13" t="s">
        <v>80</v>
      </c>
      <c r="F1787" s="11" t="n">
        <v>34</v>
      </c>
      <c r="G1787" s="13" t="s">
        <v>33</v>
      </c>
      <c r="H1787" s="11" t="n">
        <v>2110101</v>
      </c>
      <c r="I1787" s="13" t="s">
        <v>43</v>
      </c>
      <c r="J1787" s="11" t="n">
        <v>1582020</v>
      </c>
      <c r="L1787" s="11" t="n">
        <v>4533</v>
      </c>
      <c r="M1787" s="13" t="s">
        <v>44</v>
      </c>
      <c r="N1787" s="13" t="s">
        <v>69</v>
      </c>
      <c r="P1787" s="11" t="n">
        <v>167</v>
      </c>
      <c r="Q1787" s="13" t="s">
        <v>101</v>
      </c>
      <c r="R1787" s="13" t="s">
        <v>46</v>
      </c>
      <c r="S1787" s="11" t="n">
        <v>1130101</v>
      </c>
      <c r="T1787" s="13" t="s">
        <v>47</v>
      </c>
      <c r="U1787" s="14" t="n">
        <v>300</v>
      </c>
      <c r="W1787" s="14" t="n">
        <v>300</v>
      </c>
      <c r="X1787" s="13" t="s">
        <v>1786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46255</v>
      </c>
      <c r="C1788" s="12" t="n">
        <v>46262</v>
      </c>
      <c r="D1788" s="11" t="n">
        <v>1828</v>
      </c>
      <c r="E1788" s="13" t="s">
        <v>278</v>
      </c>
      <c r="F1788" s="11" t="n">
        <v>24</v>
      </c>
      <c r="G1788" s="13" t="s">
        <v>42</v>
      </c>
      <c r="H1788" s="11" t="n">
        <v>2110405</v>
      </c>
      <c r="I1788" s="13" t="s">
        <v>34</v>
      </c>
      <c r="J1788" s="11" t="n">
        <v>1582145</v>
      </c>
      <c r="L1788" s="11" t="n">
        <v>59354</v>
      </c>
      <c r="M1788" s="13" t="s">
        <v>44</v>
      </c>
      <c r="N1788" s="13" t="s">
        <v>36</v>
      </c>
      <c r="P1788" s="11" t="n">
        <v>167</v>
      </c>
      <c r="Q1788" s="13" t="s">
        <v>101</v>
      </c>
      <c r="R1788" s="13" t="s">
        <v>46</v>
      </c>
      <c r="S1788" s="11" t="n">
        <v>1130101</v>
      </c>
      <c r="T1788" s="13" t="s">
        <v>47</v>
      </c>
      <c r="U1788" s="14" t="n">
        <v>885.96</v>
      </c>
      <c r="W1788" s="14" t="n">
        <v>885.96</v>
      </c>
      <c r="X1788" s="13" t="s">
        <v>1787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PRESUNTO DE  PERU DF DISTRIBUIDORA DE FR</v>
      </c>
      <c r="AC1788" s="1" t="n">
        <v>1441</v>
      </c>
    </row>
    <row r="1789" customFormat="false" ht="12.75" hidden="false" customHeight="true" outlineLevel="0" collapsed="false">
      <c r="A1789" s="11" t="n">
        <v>3</v>
      </c>
      <c r="B1789" s="12" t="n">
        <v>46255</v>
      </c>
      <c r="C1789" s="12" t="n">
        <v>46262</v>
      </c>
      <c r="D1789" s="11" t="n">
        <v>1723</v>
      </c>
      <c r="E1789" s="13" t="s">
        <v>76</v>
      </c>
      <c r="F1789" s="11" t="n">
        <v>24</v>
      </c>
      <c r="G1789" s="13" t="s">
        <v>42</v>
      </c>
      <c r="H1789" s="11" t="n">
        <v>2110405</v>
      </c>
      <c r="I1789" s="13" t="s">
        <v>34</v>
      </c>
      <c r="J1789" s="11" t="n">
        <v>1582250</v>
      </c>
      <c r="L1789" s="11" t="n">
        <v>60324</v>
      </c>
      <c r="M1789" s="13" t="s">
        <v>44</v>
      </c>
      <c r="N1789" s="13" t="s">
        <v>36</v>
      </c>
      <c r="P1789" s="11" t="n">
        <v>167</v>
      </c>
      <c r="Q1789" s="13" t="s">
        <v>101</v>
      </c>
      <c r="R1789" s="13" t="s">
        <v>46</v>
      </c>
      <c r="S1789" s="11" t="n">
        <v>1130101</v>
      </c>
      <c r="T1789" s="13" t="s">
        <v>47</v>
      </c>
      <c r="U1789" s="14" t="n">
        <v>680</v>
      </c>
      <c r="W1789" s="14" t="n">
        <v>680</v>
      </c>
      <c r="X1789" s="13" t="s">
        <v>1788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FRANGO MARINGA KG</v>
      </c>
      <c r="AC1789" s="1" t="n">
        <v>175219</v>
      </c>
    </row>
    <row r="1790" customFormat="false" ht="12.75" hidden="false" customHeight="true" outlineLevel="0" collapsed="false">
      <c r="A1790" s="11" t="n">
        <v>3</v>
      </c>
      <c r="B1790" s="12" t="n">
        <v>46255</v>
      </c>
      <c r="C1790" s="12" t="n">
        <v>46262</v>
      </c>
      <c r="D1790" s="11" t="n">
        <v>1695</v>
      </c>
      <c r="E1790" s="13" t="s">
        <v>269</v>
      </c>
      <c r="F1790" s="11" t="n">
        <v>24</v>
      </c>
      <c r="G1790" s="13" t="s">
        <v>42</v>
      </c>
      <c r="H1790" s="11" t="n">
        <v>2110405</v>
      </c>
      <c r="I1790" s="13" t="s">
        <v>34</v>
      </c>
      <c r="J1790" s="11" t="n">
        <v>1582325</v>
      </c>
      <c r="L1790" s="11" t="n">
        <v>199861</v>
      </c>
      <c r="M1790" s="13" t="s">
        <v>44</v>
      </c>
      <c r="N1790" s="13" t="s">
        <v>36</v>
      </c>
      <c r="P1790" s="11" t="n">
        <v>167</v>
      </c>
      <c r="Q1790" s="13" t="s">
        <v>101</v>
      </c>
      <c r="R1790" s="13" t="s">
        <v>46</v>
      </c>
      <c r="S1790" s="11" t="n">
        <v>1130101</v>
      </c>
      <c r="T1790" s="13" t="s">
        <v>47</v>
      </c>
      <c r="U1790" s="14" t="n">
        <v>1924.08</v>
      </c>
      <c r="W1790" s="14" t="n">
        <v>1924.08</v>
      </c>
      <c r="X1790" s="13" t="s">
        <v>1789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SUCO JANDAI CAJU500M</v>
      </c>
      <c r="AC1790" s="1" t="n">
        <v>19986</v>
      </c>
    </row>
    <row r="1791" customFormat="false" ht="12.75" hidden="false" customHeight="true" outlineLevel="0" collapsed="false">
      <c r="A1791" s="11" t="n">
        <v>3</v>
      </c>
      <c r="B1791" s="12" t="n">
        <v>46255</v>
      </c>
      <c r="C1791" s="12" t="n">
        <v>46262</v>
      </c>
      <c r="D1791" s="11" t="n">
        <v>1695</v>
      </c>
      <c r="E1791" s="13" t="s">
        <v>269</v>
      </c>
      <c r="F1791" s="11" t="n">
        <v>34</v>
      </c>
      <c r="G1791" s="13" t="s">
        <v>33</v>
      </c>
      <c r="H1791" s="11" t="n">
        <v>2110405</v>
      </c>
      <c r="I1791" s="13" t="s">
        <v>34</v>
      </c>
      <c r="J1791" s="11" t="n">
        <v>1582352</v>
      </c>
      <c r="L1791" s="11" t="n">
        <v>244295</v>
      </c>
      <c r="M1791" s="13" t="s">
        <v>44</v>
      </c>
      <c r="N1791" s="13" t="s">
        <v>36</v>
      </c>
      <c r="P1791" s="11" t="n">
        <v>167</v>
      </c>
      <c r="Q1791" s="13" t="s">
        <v>101</v>
      </c>
      <c r="R1791" s="13" t="s">
        <v>46</v>
      </c>
      <c r="S1791" s="11" t="n">
        <v>1130101</v>
      </c>
      <c r="T1791" s="13" t="s">
        <v>47</v>
      </c>
      <c r="U1791" s="14" t="n">
        <v>616.07</v>
      </c>
      <c r="W1791" s="14" t="n">
        <v>616.07</v>
      </c>
      <c r="X1791" s="13" t="s">
        <v>1790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46254</v>
      </c>
      <c r="C1792" s="12" t="n">
        <v>46262</v>
      </c>
      <c r="D1792" s="11" t="n">
        <v>1666</v>
      </c>
      <c r="E1792" s="13" t="s">
        <v>212</v>
      </c>
      <c r="F1792" s="11" t="n">
        <v>24</v>
      </c>
      <c r="G1792" s="13" t="s">
        <v>42</v>
      </c>
      <c r="H1792" s="11" t="n">
        <v>2110405</v>
      </c>
      <c r="I1792" s="13" t="s">
        <v>34</v>
      </c>
      <c r="J1792" s="11" t="n">
        <v>1584823</v>
      </c>
      <c r="L1792" s="11" t="n">
        <v>5708731</v>
      </c>
      <c r="M1792" s="13" t="s">
        <v>44</v>
      </c>
      <c r="N1792" s="13" t="s">
        <v>36</v>
      </c>
      <c r="P1792" s="11" t="n">
        <v>167</v>
      </c>
      <c r="Q1792" s="13" t="s">
        <v>101</v>
      </c>
      <c r="R1792" s="13" t="s">
        <v>46</v>
      </c>
      <c r="S1792" s="11" t="n">
        <v>1130101</v>
      </c>
      <c r="T1792" s="13" t="s">
        <v>47</v>
      </c>
      <c r="U1792" s="14" t="n">
        <v>2253.67</v>
      </c>
      <c r="W1792" s="14" t="n">
        <v>2253.67</v>
      </c>
      <c r="X1792" s="13" t="s">
        <v>1791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DUNHILL CARLTON BLEN</v>
      </c>
      <c r="AC1792" s="1" t="n">
        <v>570873</v>
      </c>
    </row>
    <row r="1793" customFormat="false" ht="12.75" hidden="false" customHeight="true" outlineLevel="0" collapsed="false">
      <c r="A1793" s="11" t="n">
        <v>3</v>
      </c>
      <c r="B1793" s="12" t="n">
        <v>46255</v>
      </c>
      <c r="C1793" s="12" t="n">
        <v>46262</v>
      </c>
      <c r="D1793" s="11" t="n">
        <v>1613</v>
      </c>
      <c r="E1793" s="13" t="s">
        <v>177</v>
      </c>
      <c r="F1793" s="11" t="n">
        <v>24</v>
      </c>
      <c r="G1793" s="13" t="s">
        <v>42</v>
      </c>
      <c r="H1793" s="11" t="n">
        <v>2110405</v>
      </c>
      <c r="I1793" s="13" t="s">
        <v>34</v>
      </c>
      <c r="J1793" s="11" t="n">
        <v>1585491</v>
      </c>
      <c r="L1793" s="11" t="n">
        <v>16220081</v>
      </c>
      <c r="M1793" s="13" t="s">
        <v>44</v>
      </c>
      <c r="N1793" s="13" t="s">
        <v>36</v>
      </c>
      <c r="P1793" s="11" t="n">
        <v>167</v>
      </c>
      <c r="Q1793" s="13" t="s">
        <v>101</v>
      </c>
      <c r="R1793" s="13" t="s">
        <v>46</v>
      </c>
      <c r="S1793" s="11" t="n">
        <v>1130101</v>
      </c>
      <c r="T1793" s="13" t="s">
        <v>47</v>
      </c>
      <c r="U1793" s="14" t="n">
        <v>1332.64</v>
      </c>
      <c r="W1793" s="14" t="n">
        <v>1332.64</v>
      </c>
      <c r="X1793" s="13" t="s">
        <v>1792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FILE PEITOA GRANEL</v>
      </c>
      <c r="AC1793" s="1" t="n">
        <v>1622008</v>
      </c>
    </row>
    <row r="1794" customFormat="false" ht="12.75" hidden="false" customHeight="true" outlineLevel="0" collapsed="false">
      <c r="A1794" s="11" t="n">
        <v>3</v>
      </c>
      <c r="B1794" s="12" t="n">
        <v>46256</v>
      </c>
      <c r="C1794" s="12" t="n">
        <v>46262</v>
      </c>
      <c r="D1794" s="11" t="n">
        <v>1722</v>
      </c>
      <c r="E1794" s="13" t="s">
        <v>417</v>
      </c>
      <c r="F1794" s="11" t="n">
        <v>24</v>
      </c>
      <c r="G1794" s="13" t="s">
        <v>42</v>
      </c>
      <c r="H1794" s="11" t="n">
        <v>2110405</v>
      </c>
      <c r="I1794" s="13" t="s">
        <v>34</v>
      </c>
      <c r="J1794" s="11" t="n">
        <v>1595568</v>
      </c>
      <c r="L1794" s="11" t="n">
        <v>7109</v>
      </c>
      <c r="M1794" s="13" t="s">
        <v>44</v>
      </c>
      <c r="N1794" s="13" t="s">
        <v>36</v>
      </c>
      <c r="P1794" s="11" t="n">
        <v>167</v>
      </c>
      <c r="Q1794" s="13" t="s">
        <v>101</v>
      </c>
      <c r="R1794" s="13" t="s">
        <v>46</v>
      </c>
      <c r="S1794" s="11" t="n">
        <v>1130101</v>
      </c>
      <c r="T1794" s="13" t="s">
        <v>47</v>
      </c>
      <c r="U1794" s="14" t="n">
        <v>140</v>
      </c>
      <c r="W1794" s="14" t="n">
        <v>140</v>
      </c>
      <c r="X1794" s="13" t="s">
        <v>1793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PAO DE FORMA DE LEIT</v>
      </c>
      <c r="AC1794" s="1" t="n">
        <v>7109</v>
      </c>
    </row>
    <row r="1795" customFormat="false" ht="12.75" hidden="false" customHeight="true" outlineLevel="0" collapsed="false">
      <c r="A1795" s="11" t="n">
        <v>3</v>
      </c>
      <c r="B1795" s="12" t="n">
        <v>46259</v>
      </c>
      <c r="C1795" s="12" t="n">
        <v>46262</v>
      </c>
      <c r="D1795" s="11" t="n">
        <v>42</v>
      </c>
      <c r="E1795" s="13" t="s">
        <v>80</v>
      </c>
      <c r="F1795" s="11" t="n">
        <v>34</v>
      </c>
      <c r="G1795" s="13" t="s">
        <v>33</v>
      </c>
      <c r="H1795" s="11" t="n">
        <v>2110101</v>
      </c>
      <c r="I1795" s="13" t="s">
        <v>43</v>
      </c>
      <c r="J1795" s="11" t="n">
        <v>1600171</v>
      </c>
      <c r="L1795" s="11" t="n">
        <v>4545</v>
      </c>
      <c r="M1795" s="13" t="s">
        <v>44</v>
      </c>
      <c r="N1795" s="13" t="s">
        <v>69</v>
      </c>
      <c r="P1795" s="11" t="n">
        <v>167</v>
      </c>
      <c r="Q1795" s="13" t="s">
        <v>101</v>
      </c>
      <c r="R1795" s="13" t="s">
        <v>46</v>
      </c>
      <c r="S1795" s="11" t="n">
        <v>1130101</v>
      </c>
      <c r="T1795" s="13" t="s">
        <v>47</v>
      </c>
      <c r="U1795" s="14" t="n">
        <v>1640.5</v>
      </c>
      <c r="W1795" s="14" t="n">
        <v>1640.5</v>
      </c>
      <c r="X1795" s="13" t="s">
        <v>1029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46259</v>
      </c>
      <c r="C1796" s="12" t="n">
        <v>46262</v>
      </c>
      <c r="D1796" s="11" t="n">
        <v>1615</v>
      </c>
      <c r="E1796" s="13" t="s">
        <v>130</v>
      </c>
      <c r="F1796" s="11" t="n">
        <v>34</v>
      </c>
      <c r="G1796" s="13" t="s">
        <v>33</v>
      </c>
      <c r="H1796" s="11" t="n">
        <v>2110405</v>
      </c>
      <c r="I1796" s="13" t="s">
        <v>34</v>
      </c>
      <c r="J1796" s="11" t="n">
        <v>1600191</v>
      </c>
      <c r="L1796" s="11" t="n">
        <v>15174</v>
      </c>
      <c r="M1796" s="13" t="s">
        <v>44</v>
      </c>
      <c r="N1796" s="13" t="s">
        <v>36</v>
      </c>
      <c r="P1796" s="11" t="n">
        <v>167</v>
      </c>
      <c r="Q1796" s="13" t="s">
        <v>101</v>
      </c>
      <c r="R1796" s="13" t="s">
        <v>46</v>
      </c>
      <c r="S1796" s="11" t="n">
        <v>1130101</v>
      </c>
      <c r="T1796" s="13" t="s">
        <v>47</v>
      </c>
      <c r="U1796" s="14" t="n">
        <v>320</v>
      </c>
      <c r="W1796" s="14" t="n">
        <v>320</v>
      </c>
      <c r="X1796" s="13" t="s">
        <v>1794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MACA FUJI KG</v>
      </c>
      <c r="AC1796" s="1" t="n">
        <v>15174</v>
      </c>
    </row>
    <row r="1797" customFormat="false" ht="12.75" hidden="false" customHeight="true" outlineLevel="0" collapsed="false">
      <c r="A1797" s="11" t="n">
        <v>3</v>
      </c>
      <c r="B1797" s="12" t="n">
        <v>46259</v>
      </c>
      <c r="C1797" s="12" t="n">
        <v>46262</v>
      </c>
      <c r="D1797" s="11" t="n">
        <v>1615</v>
      </c>
      <c r="E1797" s="13" t="s">
        <v>130</v>
      </c>
      <c r="F1797" s="11" t="n">
        <v>34</v>
      </c>
      <c r="G1797" s="13" t="s">
        <v>33</v>
      </c>
      <c r="H1797" s="11" t="n">
        <v>2110405</v>
      </c>
      <c r="I1797" s="13" t="s">
        <v>34</v>
      </c>
      <c r="J1797" s="11" t="n">
        <v>1600193</v>
      </c>
      <c r="L1797" s="11" t="n">
        <v>246867</v>
      </c>
      <c r="M1797" s="13" t="s">
        <v>44</v>
      </c>
      <c r="N1797" s="13" t="s">
        <v>36</v>
      </c>
      <c r="P1797" s="11" t="n">
        <v>167</v>
      </c>
      <c r="Q1797" s="13" t="s">
        <v>101</v>
      </c>
      <c r="R1797" s="13" t="s">
        <v>46</v>
      </c>
      <c r="S1797" s="11" t="n">
        <v>1130101</v>
      </c>
      <c r="T1797" s="13" t="s">
        <v>47</v>
      </c>
      <c r="U1797" s="14" t="n">
        <v>300</v>
      </c>
      <c r="W1797" s="14" t="n">
        <v>300</v>
      </c>
      <c r="X1797" s="13" t="s">
        <v>1795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46255</v>
      </c>
      <c r="C1798" s="12" t="n">
        <v>46262</v>
      </c>
      <c r="D1798" s="11" t="n">
        <v>10027</v>
      </c>
      <c r="E1798" s="13" t="s">
        <v>1659</v>
      </c>
      <c r="F1798" s="11" t="n">
        <v>34</v>
      </c>
      <c r="G1798" s="13" t="s">
        <v>33</v>
      </c>
      <c r="H1798" s="11" t="n">
        <v>2110405</v>
      </c>
      <c r="I1798" s="13" t="s">
        <v>34</v>
      </c>
      <c r="J1798" s="11" t="n">
        <v>1600348</v>
      </c>
      <c r="L1798" s="11" t="n">
        <v>246881</v>
      </c>
      <c r="M1798" s="13" t="s">
        <v>44</v>
      </c>
      <c r="N1798" s="13" t="s">
        <v>36</v>
      </c>
      <c r="P1798" s="11" t="n">
        <v>167</v>
      </c>
      <c r="Q1798" s="13" t="s">
        <v>101</v>
      </c>
      <c r="R1798" s="13" t="s">
        <v>1660</v>
      </c>
      <c r="S1798" s="11" t="n">
        <v>1240103</v>
      </c>
      <c r="T1798" s="13" t="s">
        <v>1661</v>
      </c>
      <c r="U1798" s="14" t="n">
        <v>1000</v>
      </c>
      <c r="W1798" s="14" t="n">
        <v>1000</v>
      </c>
      <c r="X1798" s="13" t="s">
        <v>1796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46261</v>
      </c>
      <c r="C1799" s="12" t="n">
        <v>46262</v>
      </c>
      <c r="D1799" s="11" t="n">
        <v>10096</v>
      </c>
      <c r="E1799" s="13" t="s">
        <v>1232</v>
      </c>
      <c r="F1799" s="11" t="n">
        <v>34</v>
      </c>
      <c r="G1799" s="13" t="s">
        <v>33</v>
      </c>
      <c r="H1799" s="11" t="n">
        <v>2110405</v>
      </c>
      <c r="I1799" s="13" t="s">
        <v>34</v>
      </c>
      <c r="J1799" s="11" t="n">
        <v>1610106</v>
      </c>
      <c r="L1799" s="11" t="n">
        <v>219</v>
      </c>
      <c r="M1799" s="13" t="s">
        <v>44</v>
      </c>
      <c r="N1799" s="13" t="s">
        <v>36</v>
      </c>
      <c r="P1799" s="11" t="n">
        <v>167</v>
      </c>
      <c r="Q1799" s="13" t="s">
        <v>101</v>
      </c>
      <c r="R1799" s="13" t="s">
        <v>46</v>
      </c>
      <c r="S1799" s="11" t="n">
        <v>1130101</v>
      </c>
      <c r="T1799" s="13" t="s">
        <v>47</v>
      </c>
      <c r="U1799" s="14" t="n">
        <v>180</v>
      </c>
      <c r="W1799" s="14" t="n">
        <v>180</v>
      </c>
      <c r="X1799" s="13" t="s">
        <v>1797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BOLO MIYAZAKI GRANDE</v>
      </c>
      <c r="AC1799" s="1" t="n">
        <v>219</v>
      </c>
    </row>
    <row r="1800" customFormat="false" ht="12.75" hidden="false" customHeight="true" outlineLevel="0" collapsed="false">
      <c r="A1800" s="11" t="n">
        <v>3</v>
      </c>
      <c r="B1800" s="12" t="n">
        <v>46262</v>
      </c>
      <c r="C1800" s="12" t="n">
        <v>46262</v>
      </c>
      <c r="D1800" s="11" t="n">
        <v>42</v>
      </c>
      <c r="E1800" s="13" t="s">
        <v>80</v>
      </c>
      <c r="F1800" s="11" t="n">
        <v>13</v>
      </c>
      <c r="G1800" s="13" t="s">
        <v>81</v>
      </c>
      <c r="H1800" s="11" t="n">
        <v>2110101</v>
      </c>
      <c r="I1800" s="13" t="s">
        <v>43</v>
      </c>
      <c r="J1800" s="11" t="n">
        <v>1613433</v>
      </c>
      <c r="L1800" s="11" t="n">
        <v>4551</v>
      </c>
      <c r="M1800" s="13" t="s">
        <v>44</v>
      </c>
      <c r="N1800" s="13" t="s">
        <v>69</v>
      </c>
      <c r="P1800" s="11" t="n">
        <v>167</v>
      </c>
      <c r="Q1800" s="13" t="s">
        <v>101</v>
      </c>
      <c r="R1800" s="13" t="s">
        <v>46</v>
      </c>
      <c r="S1800" s="11" t="n">
        <v>1130101</v>
      </c>
      <c r="T1800" s="13" t="s">
        <v>47</v>
      </c>
      <c r="U1800" s="14" t="n">
        <v>250</v>
      </c>
      <c r="W1800" s="14" t="n">
        <v>250</v>
      </c>
      <c r="X1800" s="13" t="s">
        <v>1123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46262</v>
      </c>
      <c r="C1801" s="12" t="n">
        <v>46262</v>
      </c>
      <c r="D1801" s="11" t="n">
        <v>42</v>
      </c>
      <c r="E1801" s="13" t="s">
        <v>80</v>
      </c>
      <c r="F1801" s="11" t="n">
        <v>13</v>
      </c>
      <c r="G1801" s="13" t="s">
        <v>81</v>
      </c>
      <c r="H1801" s="11" t="n">
        <v>2110101</v>
      </c>
      <c r="I1801" s="13" t="s">
        <v>43</v>
      </c>
      <c r="J1801" s="11" t="n">
        <v>1613449</v>
      </c>
      <c r="L1801" s="11" t="n">
        <v>4552</v>
      </c>
      <c r="M1801" s="13" t="s">
        <v>44</v>
      </c>
      <c r="N1801" s="13" t="s">
        <v>69</v>
      </c>
      <c r="P1801" s="11" t="n">
        <v>167</v>
      </c>
      <c r="Q1801" s="13" t="s">
        <v>101</v>
      </c>
      <c r="R1801" s="13" t="s">
        <v>46</v>
      </c>
      <c r="S1801" s="11" t="n">
        <v>1130101</v>
      </c>
      <c r="T1801" s="13" t="s">
        <v>47</v>
      </c>
      <c r="U1801" s="14" t="n">
        <v>75</v>
      </c>
      <c r="W1801" s="14" t="n">
        <v>75</v>
      </c>
      <c r="X1801" s="13" t="s">
        <v>772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46262</v>
      </c>
      <c r="C1802" s="12" t="n">
        <v>46262</v>
      </c>
      <c r="D1802" s="11" t="n">
        <v>10035</v>
      </c>
      <c r="E1802" s="13" t="s">
        <v>227</v>
      </c>
      <c r="F1802" s="11" t="n">
        <v>13</v>
      </c>
      <c r="G1802" s="13" t="s">
        <v>81</v>
      </c>
      <c r="H1802" s="11" t="n">
        <v>2110101</v>
      </c>
      <c r="I1802" s="13" t="s">
        <v>43</v>
      </c>
      <c r="J1802" s="11" t="n">
        <v>1618414</v>
      </c>
      <c r="L1802" s="11" t="n">
        <v>419</v>
      </c>
      <c r="M1802" s="13" t="s">
        <v>44</v>
      </c>
      <c r="N1802" s="13" t="s">
        <v>69</v>
      </c>
      <c r="P1802" s="11" t="n">
        <v>167</v>
      </c>
      <c r="Q1802" s="13" t="s">
        <v>101</v>
      </c>
      <c r="R1802" s="13" t="s">
        <v>46</v>
      </c>
      <c r="S1802" s="11" t="n">
        <v>1130101</v>
      </c>
      <c r="T1802" s="13" t="s">
        <v>47</v>
      </c>
      <c r="U1802" s="14" t="n">
        <v>672.5</v>
      </c>
      <c r="W1802" s="14" t="n">
        <v>672.5</v>
      </c>
      <c r="X1802" s="13" t="s">
        <v>1798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CARVAO VEGETAL 3KG</v>
      </c>
      <c r="AC1802" s="1" t="n">
        <v>419</v>
      </c>
    </row>
    <row r="1803" customFormat="false" ht="12.75" hidden="false" customHeight="true" outlineLevel="0" collapsed="false">
      <c r="A1803" s="11" t="n">
        <v>3</v>
      </c>
      <c r="B1803" s="12" t="n">
        <v>46262</v>
      </c>
      <c r="C1803" s="12" t="n">
        <v>46262</v>
      </c>
      <c r="D1803" s="11" t="n">
        <v>10043</v>
      </c>
      <c r="E1803" s="13" t="s">
        <v>112</v>
      </c>
      <c r="F1803" s="11" t="n">
        <v>13</v>
      </c>
      <c r="G1803" s="13" t="s">
        <v>81</v>
      </c>
      <c r="H1803" s="11" t="n">
        <v>2110101</v>
      </c>
      <c r="I1803" s="13" t="s">
        <v>43</v>
      </c>
      <c r="J1803" s="11" t="n">
        <v>1618712</v>
      </c>
      <c r="L1803" s="11" t="n">
        <v>906</v>
      </c>
      <c r="M1803" s="13" t="s">
        <v>44</v>
      </c>
      <c r="N1803" s="13" t="s">
        <v>69</v>
      </c>
      <c r="P1803" s="11" t="n">
        <v>167</v>
      </c>
      <c r="Q1803" s="13" t="s">
        <v>101</v>
      </c>
      <c r="R1803" s="13" t="s">
        <v>46</v>
      </c>
      <c r="S1803" s="11" t="n">
        <v>1130101</v>
      </c>
      <c r="T1803" s="13" t="s">
        <v>47</v>
      </c>
      <c r="U1803" s="14" t="n">
        <v>270</v>
      </c>
      <c r="W1803" s="14" t="n">
        <v>270</v>
      </c>
      <c r="X1803" s="13" t="s">
        <v>1799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BRIGADEIRO</v>
      </c>
      <c r="AC1803" s="1" t="n">
        <v>906</v>
      </c>
    </row>
    <row r="1804" customFormat="false" ht="12.75" hidden="false" customHeight="true" outlineLevel="0" collapsed="false">
      <c r="A1804" s="11" t="n">
        <v>3</v>
      </c>
      <c r="B1804" s="12" t="n">
        <v>46262</v>
      </c>
      <c r="C1804" s="12" t="n">
        <v>46262</v>
      </c>
      <c r="D1804" s="11" t="n">
        <v>332</v>
      </c>
      <c r="E1804" s="13" t="s">
        <v>91</v>
      </c>
      <c r="F1804" s="11" t="n">
        <v>34</v>
      </c>
      <c r="G1804" s="13" t="s">
        <v>33</v>
      </c>
      <c r="H1804" s="11" t="n">
        <v>2110405</v>
      </c>
      <c r="I1804" s="13" t="s">
        <v>34</v>
      </c>
      <c r="J1804" s="11" t="n">
        <v>1619082</v>
      </c>
      <c r="L1804" s="11" t="n">
        <v>249303</v>
      </c>
      <c r="M1804" s="13" t="s">
        <v>44</v>
      </c>
      <c r="N1804" s="13" t="s">
        <v>36</v>
      </c>
      <c r="P1804" s="11" t="n">
        <v>167</v>
      </c>
      <c r="Q1804" s="13" t="s">
        <v>101</v>
      </c>
      <c r="R1804" s="13" t="s">
        <v>72</v>
      </c>
      <c r="S1804" s="11" t="n">
        <v>4210304</v>
      </c>
      <c r="T1804" s="13" t="s">
        <v>726</v>
      </c>
      <c r="U1804" s="14" t="n">
        <v>1956.55</v>
      </c>
      <c r="W1804" s="14" t="n">
        <v>1956.55</v>
      </c>
      <c r="X1804" s="13" t="s">
        <v>1800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46249</v>
      </c>
      <c r="C1805" s="12" t="n">
        <v>46263</v>
      </c>
      <c r="D1805" s="11" t="n">
        <v>1815</v>
      </c>
      <c r="E1805" s="13" t="s">
        <v>53</v>
      </c>
      <c r="F1805" s="11" t="n">
        <v>24</v>
      </c>
      <c r="G1805" s="13" t="s">
        <v>42</v>
      </c>
      <c r="H1805" s="11" t="n">
        <v>2110405</v>
      </c>
      <c r="I1805" s="13" t="s">
        <v>34</v>
      </c>
      <c r="J1805" s="11" t="n">
        <v>1551633</v>
      </c>
      <c r="L1805" s="11" t="n">
        <v>4625881</v>
      </c>
      <c r="M1805" s="13" t="s">
        <v>44</v>
      </c>
      <c r="N1805" s="13" t="s">
        <v>36</v>
      </c>
      <c r="P1805" s="11" t="n">
        <v>167</v>
      </c>
      <c r="Q1805" s="13" t="s">
        <v>101</v>
      </c>
      <c r="R1805" s="13" t="s">
        <v>46</v>
      </c>
      <c r="S1805" s="11" t="n">
        <v>1130101</v>
      </c>
      <c r="T1805" s="13" t="s">
        <v>47</v>
      </c>
      <c r="U1805" s="14" t="n">
        <v>655.61</v>
      </c>
      <c r="W1805" s="14" t="n">
        <v>0</v>
      </c>
      <c r="X1805" s="13" t="s">
        <v>1801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FIGADO BOVINO KG</v>
      </c>
      <c r="AC1805" s="1" t="n">
        <v>398009</v>
      </c>
    </row>
    <row r="1806" customFormat="false" ht="12.75" hidden="false" customHeight="true" outlineLevel="0" collapsed="false">
      <c r="A1806" s="11" t="n">
        <v>3</v>
      </c>
      <c r="B1806" s="12" t="n">
        <v>46249</v>
      </c>
      <c r="C1806" s="12" t="n">
        <v>46263</v>
      </c>
      <c r="D1806" s="11" t="n">
        <v>1723</v>
      </c>
      <c r="E1806" s="13" t="s">
        <v>76</v>
      </c>
      <c r="F1806" s="11" t="n">
        <v>24</v>
      </c>
      <c r="G1806" s="13" t="s">
        <v>42</v>
      </c>
      <c r="H1806" s="11" t="n">
        <v>2110405</v>
      </c>
      <c r="I1806" s="13" t="s">
        <v>34</v>
      </c>
      <c r="J1806" s="11" t="n">
        <v>1560916</v>
      </c>
      <c r="L1806" s="11" t="n">
        <v>59771</v>
      </c>
      <c r="M1806" s="13" t="s">
        <v>44</v>
      </c>
      <c r="N1806" s="13" t="s">
        <v>36</v>
      </c>
      <c r="P1806" s="11" t="n">
        <v>167</v>
      </c>
      <c r="Q1806" s="13" t="s">
        <v>101</v>
      </c>
      <c r="R1806" s="13" t="s">
        <v>46</v>
      </c>
      <c r="S1806" s="11" t="n">
        <v>1130101</v>
      </c>
      <c r="T1806" s="13" t="s">
        <v>47</v>
      </c>
      <c r="U1806" s="14" t="n">
        <v>3375.6</v>
      </c>
      <c r="W1806" s="14" t="n">
        <v>0</v>
      </c>
      <c r="X1806" s="13" t="s">
        <v>1802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TRASEIRO DE BOI L1</v>
      </c>
      <c r="AC1806" s="1" t="n">
        <v>174946</v>
      </c>
    </row>
    <row r="1807" customFormat="false" ht="12.75" hidden="false" customHeight="true" outlineLevel="0" collapsed="false">
      <c r="A1807" s="11" t="n">
        <v>3</v>
      </c>
      <c r="B1807" s="12" t="n">
        <v>46251</v>
      </c>
      <c r="C1807" s="12" t="n">
        <v>46263</v>
      </c>
      <c r="D1807" s="11" t="n">
        <v>1672</v>
      </c>
      <c r="E1807" s="13" t="s">
        <v>67</v>
      </c>
      <c r="F1807" s="11" t="n">
        <v>24</v>
      </c>
      <c r="G1807" s="13" t="s">
        <v>42</v>
      </c>
      <c r="H1807" s="11" t="n">
        <v>2110405</v>
      </c>
      <c r="I1807" s="13" t="s">
        <v>34</v>
      </c>
      <c r="J1807" s="11" t="n">
        <v>1582201</v>
      </c>
      <c r="L1807" s="11" t="n">
        <v>81711911</v>
      </c>
      <c r="M1807" s="13" t="s">
        <v>44</v>
      </c>
      <c r="N1807" s="13" t="s">
        <v>36</v>
      </c>
      <c r="P1807" s="11" t="n">
        <v>167</v>
      </c>
      <c r="Q1807" s="13" t="s">
        <v>101</v>
      </c>
      <c r="R1807" s="13" t="s">
        <v>46</v>
      </c>
      <c r="S1807" s="11" t="n">
        <v>1130101</v>
      </c>
      <c r="T1807" s="13" t="s">
        <v>47</v>
      </c>
      <c r="U1807" s="14" t="n">
        <v>960</v>
      </c>
      <c r="W1807" s="14" t="n">
        <v>0</v>
      </c>
      <c r="X1807" s="13" t="s">
        <v>1803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nao encontrado</v>
      </c>
      <c r="AC1807" s="1" t="n">
        <v>8171191</v>
      </c>
    </row>
    <row r="1808" customFormat="false" ht="12.75" hidden="false" customHeight="true" outlineLevel="0" collapsed="false">
      <c r="A1808" s="11" t="n">
        <v>3</v>
      </c>
      <c r="B1808" s="12" t="n">
        <v>46256</v>
      </c>
      <c r="C1808" s="12" t="n">
        <v>46263</v>
      </c>
      <c r="D1808" s="11" t="n">
        <v>1609</v>
      </c>
      <c r="E1808" s="13" t="s">
        <v>410</v>
      </c>
      <c r="F1808" s="11" t="n">
        <v>24</v>
      </c>
      <c r="G1808" s="13" t="s">
        <v>42</v>
      </c>
      <c r="H1808" s="11" t="n">
        <v>2110405</v>
      </c>
      <c r="I1808" s="13" t="s">
        <v>34</v>
      </c>
      <c r="J1808" s="11" t="n">
        <v>1585427</v>
      </c>
      <c r="L1808" s="11" t="n">
        <v>6022</v>
      </c>
      <c r="M1808" s="13" t="s">
        <v>44</v>
      </c>
      <c r="N1808" s="13" t="s">
        <v>36</v>
      </c>
      <c r="P1808" s="11" t="n">
        <v>167</v>
      </c>
      <c r="Q1808" s="13" t="s">
        <v>101</v>
      </c>
      <c r="R1808" s="13" t="s">
        <v>46</v>
      </c>
      <c r="S1808" s="11" t="n">
        <v>1130101</v>
      </c>
      <c r="T1808" s="13" t="s">
        <v>47</v>
      </c>
      <c r="U1808" s="14" t="n">
        <v>711.3</v>
      </c>
      <c r="W1808" s="14" t="n">
        <v>0</v>
      </c>
      <c r="X1808" s="13" t="s">
        <v>1804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SUCO FAZENDINHA CITR</v>
      </c>
      <c r="AC1808" s="1" t="n">
        <v>6022</v>
      </c>
    </row>
    <row r="1809" customFormat="false" ht="12.75" hidden="false" customHeight="true" outlineLevel="0" collapsed="false">
      <c r="A1809" s="11" t="n">
        <v>3</v>
      </c>
      <c r="B1809" s="12" t="n">
        <v>46241</v>
      </c>
      <c r="C1809" s="12" t="n">
        <v>46263</v>
      </c>
      <c r="D1809" s="11" t="n">
        <v>1672</v>
      </c>
      <c r="E1809" s="13" t="s">
        <v>67</v>
      </c>
      <c r="F1809" s="11" t="n">
        <v>24</v>
      </c>
      <c r="G1809" s="13" t="s">
        <v>42</v>
      </c>
      <c r="H1809" s="11" t="n">
        <v>2110405</v>
      </c>
      <c r="I1809" s="13" t="s">
        <v>34</v>
      </c>
      <c r="J1809" s="11" t="n">
        <v>1595550</v>
      </c>
      <c r="L1809" s="11" t="n">
        <v>81711921</v>
      </c>
      <c r="M1809" s="13" t="s">
        <v>44</v>
      </c>
      <c r="N1809" s="13" t="s">
        <v>36</v>
      </c>
      <c r="P1809" s="11" t="n">
        <v>167</v>
      </c>
      <c r="Q1809" s="13" t="s">
        <v>101</v>
      </c>
      <c r="R1809" s="13" t="s">
        <v>46</v>
      </c>
      <c r="S1809" s="11" t="n">
        <v>1130101</v>
      </c>
      <c r="T1809" s="13" t="s">
        <v>47</v>
      </c>
      <c r="U1809" s="14" t="n">
        <v>638.75</v>
      </c>
      <c r="W1809" s="14" t="n">
        <v>0</v>
      </c>
      <c r="X1809" s="13" t="s">
        <v>1805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nao encontrado</v>
      </c>
      <c r="AC1809" s="1" t="n">
        <v>8171192</v>
      </c>
    </row>
    <row r="1810" customFormat="false" ht="12.75" hidden="false" customHeight="true" outlineLevel="0" collapsed="false">
      <c r="A1810" s="11" t="n">
        <v>3</v>
      </c>
      <c r="B1810" s="12" t="n">
        <v>46263</v>
      </c>
      <c r="C1810" s="12" t="n">
        <v>46263</v>
      </c>
      <c r="D1810" s="11" t="n">
        <v>42</v>
      </c>
      <c r="E1810" s="13" t="s">
        <v>80</v>
      </c>
      <c r="F1810" s="11" t="n">
        <v>13</v>
      </c>
      <c r="G1810" s="13" t="s">
        <v>81</v>
      </c>
      <c r="H1810" s="11" t="n">
        <v>2110101</v>
      </c>
      <c r="I1810" s="13" t="s">
        <v>43</v>
      </c>
      <c r="J1810" s="11" t="n">
        <v>1618598</v>
      </c>
      <c r="L1810" s="11" t="n">
        <v>4554</v>
      </c>
      <c r="M1810" s="13" t="s">
        <v>44</v>
      </c>
      <c r="N1810" s="13" t="s">
        <v>69</v>
      </c>
      <c r="P1810" s="11" t="n">
        <v>167</v>
      </c>
      <c r="Q1810" s="13" t="s">
        <v>101</v>
      </c>
      <c r="R1810" s="13" t="s">
        <v>46</v>
      </c>
      <c r="S1810" s="11" t="n">
        <v>1130101</v>
      </c>
      <c r="T1810" s="13" t="s">
        <v>47</v>
      </c>
      <c r="U1810" s="14" t="n">
        <v>125</v>
      </c>
      <c r="W1810" s="14" t="n">
        <v>0</v>
      </c>
      <c r="X1810" s="13" t="s">
        <v>1323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46263</v>
      </c>
      <c r="C1811" s="12" t="n">
        <v>46263</v>
      </c>
      <c r="D1811" s="11" t="n">
        <v>42</v>
      </c>
      <c r="E1811" s="13" t="s">
        <v>80</v>
      </c>
      <c r="F1811" s="11" t="n">
        <v>13</v>
      </c>
      <c r="G1811" s="13" t="s">
        <v>81</v>
      </c>
      <c r="H1811" s="11" t="n">
        <v>2110101</v>
      </c>
      <c r="I1811" s="13" t="s">
        <v>43</v>
      </c>
      <c r="J1811" s="11" t="n">
        <v>1618642</v>
      </c>
      <c r="L1811" s="11" t="n">
        <v>4556</v>
      </c>
      <c r="M1811" s="13" t="s">
        <v>44</v>
      </c>
      <c r="N1811" s="13" t="s">
        <v>69</v>
      </c>
      <c r="P1811" s="11" t="n">
        <v>167</v>
      </c>
      <c r="Q1811" s="13" t="s">
        <v>101</v>
      </c>
      <c r="R1811" s="13" t="s">
        <v>46</v>
      </c>
      <c r="S1811" s="11" t="n">
        <v>1130101</v>
      </c>
      <c r="T1811" s="13" t="s">
        <v>47</v>
      </c>
      <c r="U1811" s="14" t="n">
        <v>321</v>
      </c>
      <c r="W1811" s="14" t="n">
        <v>0</v>
      </c>
      <c r="X1811" s="13" t="s">
        <v>772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46263</v>
      </c>
      <c r="C1812" s="12" t="n">
        <v>46263</v>
      </c>
      <c r="D1812" s="11" t="n">
        <v>42</v>
      </c>
      <c r="E1812" s="13" t="s">
        <v>80</v>
      </c>
      <c r="F1812" s="11" t="n">
        <v>13</v>
      </c>
      <c r="G1812" s="13" t="s">
        <v>81</v>
      </c>
      <c r="H1812" s="11" t="n">
        <v>2110101</v>
      </c>
      <c r="I1812" s="13" t="s">
        <v>43</v>
      </c>
      <c r="J1812" s="11" t="n">
        <v>1619056</v>
      </c>
      <c r="L1812" s="11" t="n">
        <v>4561</v>
      </c>
      <c r="M1812" s="13" t="s">
        <v>44</v>
      </c>
      <c r="N1812" s="13" t="s">
        <v>69</v>
      </c>
      <c r="P1812" s="11" t="n">
        <v>167</v>
      </c>
      <c r="Q1812" s="13" t="s">
        <v>101</v>
      </c>
      <c r="R1812" s="13" t="s">
        <v>46</v>
      </c>
      <c r="S1812" s="11" t="n">
        <v>1130101</v>
      </c>
      <c r="T1812" s="13" t="s">
        <v>47</v>
      </c>
      <c r="U1812" s="14" t="n">
        <v>109.28</v>
      </c>
      <c r="W1812" s="14" t="n">
        <v>0</v>
      </c>
      <c r="X1812" s="13" t="s">
        <v>1806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46196</v>
      </c>
      <c r="C1813" s="12" t="n">
        <v>46265</v>
      </c>
      <c r="D1813" s="11" t="n">
        <v>560</v>
      </c>
      <c r="E1813" s="13" t="s">
        <v>220</v>
      </c>
      <c r="F1813" s="11" t="n">
        <v>24</v>
      </c>
      <c r="G1813" s="13" t="s">
        <v>42</v>
      </c>
      <c r="H1813" s="11" t="n">
        <v>2110101</v>
      </c>
      <c r="I1813" s="13" t="s">
        <v>43</v>
      </c>
      <c r="J1813" s="11" t="n">
        <v>1293646</v>
      </c>
      <c r="L1813" s="11" t="n">
        <v>1716</v>
      </c>
      <c r="M1813" s="13" t="s">
        <v>44</v>
      </c>
      <c r="N1813" s="13" t="s">
        <v>69</v>
      </c>
      <c r="P1813" s="11" t="n">
        <v>128</v>
      </c>
      <c r="Q1813" s="13" t="s">
        <v>45</v>
      </c>
      <c r="R1813" s="13" t="s">
        <v>46</v>
      </c>
      <c r="S1813" s="11" t="n">
        <v>1130101</v>
      </c>
      <c r="T1813" s="13" t="s">
        <v>47</v>
      </c>
      <c r="U1813" s="14" t="n">
        <v>250</v>
      </c>
      <c r="W1813" s="14" t="n">
        <v>0</v>
      </c>
      <c r="X1813" s="13" t="s">
        <v>1807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BISCOITOS DA MARIA S</v>
      </c>
      <c r="AC1813" s="1" t="n">
        <v>1716</v>
      </c>
    </row>
    <row r="1814" customFormat="false" ht="12.75" hidden="false" customHeight="true" outlineLevel="0" collapsed="false">
      <c r="A1814" s="11" t="n">
        <v>3</v>
      </c>
      <c r="B1814" s="12" t="n">
        <v>46233</v>
      </c>
      <c r="C1814" s="12" t="n">
        <v>46265</v>
      </c>
      <c r="D1814" s="11" t="n">
        <v>1636</v>
      </c>
      <c r="E1814" s="13" t="s">
        <v>49</v>
      </c>
      <c r="F1814" s="11" t="n">
        <v>24</v>
      </c>
      <c r="G1814" s="13" t="s">
        <v>42</v>
      </c>
      <c r="H1814" s="11" t="n">
        <v>2110405</v>
      </c>
      <c r="I1814" s="13" t="s">
        <v>34</v>
      </c>
      <c r="J1814" s="11" t="n">
        <v>1495402</v>
      </c>
      <c r="L1814" s="11" t="n">
        <v>32292543</v>
      </c>
      <c r="M1814" s="13" t="s">
        <v>44</v>
      </c>
      <c r="N1814" s="13" t="s">
        <v>36</v>
      </c>
      <c r="P1814" s="11" t="n">
        <v>167</v>
      </c>
      <c r="Q1814" s="13" t="s">
        <v>101</v>
      </c>
      <c r="R1814" s="13" t="s">
        <v>46</v>
      </c>
      <c r="S1814" s="11" t="n">
        <v>1130101</v>
      </c>
      <c r="T1814" s="13" t="s">
        <v>47</v>
      </c>
      <c r="U1814" s="14" t="n">
        <v>949.63</v>
      </c>
      <c r="W1814" s="14" t="n">
        <v>0</v>
      </c>
      <c r="X1814" s="13" t="s">
        <v>1808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ADOC ADOCYL SACARINA 100ML</v>
      </c>
      <c r="AC1814" s="1" t="n">
        <v>3229254</v>
      </c>
    </row>
    <row r="1815" customFormat="false" ht="12.75" hidden="false" customHeight="true" outlineLevel="0" collapsed="false">
      <c r="A1815" s="11" t="n">
        <v>3</v>
      </c>
      <c r="B1815" s="12" t="n">
        <v>46237</v>
      </c>
      <c r="C1815" s="12" t="n">
        <v>46265</v>
      </c>
      <c r="D1815" s="11" t="n">
        <v>846</v>
      </c>
      <c r="E1815" s="13" t="s">
        <v>262</v>
      </c>
      <c r="F1815" s="11" t="n">
        <v>24</v>
      </c>
      <c r="G1815" s="13" t="s">
        <v>42</v>
      </c>
      <c r="H1815" s="11" t="n">
        <v>4210227</v>
      </c>
      <c r="I1815" s="13" t="s">
        <v>196</v>
      </c>
      <c r="J1815" s="11" t="n">
        <v>1498623</v>
      </c>
      <c r="L1815" s="11" t="n">
        <v>8463</v>
      </c>
      <c r="M1815" s="13" t="s">
        <v>44</v>
      </c>
      <c r="N1815" s="13" t="s">
        <v>36</v>
      </c>
      <c r="P1815" s="11" t="n">
        <v>167</v>
      </c>
      <c r="Q1815" s="13" t="s">
        <v>101</v>
      </c>
      <c r="R1815" s="13" t="s">
        <v>46</v>
      </c>
      <c r="S1815" s="11" t="n">
        <v>1130101</v>
      </c>
      <c r="T1815" s="13" t="s">
        <v>47</v>
      </c>
      <c r="U1815" s="14" t="n">
        <v>538.18</v>
      </c>
      <c r="W1815" s="14" t="n">
        <v>0</v>
      </c>
      <c r="X1815" s="13" t="s">
        <v>1809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PRENDEDOR DE ROUPA M</v>
      </c>
      <c r="AC1815" s="1" t="n">
        <v>846</v>
      </c>
    </row>
    <row r="1816" customFormat="false" ht="12.75" hidden="false" customHeight="true" outlineLevel="0" collapsed="false">
      <c r="A1816" s="11" t="n">
        <v>3</v>
      </c>
      <c r="B1816" s="12" t="n">
        <v>46248</v>
      </c>
      <c r="C1816" s="12" t="n">
        <v>46265</v>
      </c>
      <c r="D1816" s="11" t="n">
        <v>1107</v>
      </c>
      <c r="E1816" s="13" t="s">
        <v>165</v>
      </c>
      <c r="F1816" s="11" t="n">
        <v>24</v>
      </c>
      <c r="G1816" s="13" t="s">
        <v>42</v>
      </c>
      <c r="H1816" s="11" t="n">
        <v>2110405</v>
      </c>
      <c r="I1816" s="13" t="s">
        <v>34</v>
      </c>
      <c r="J1816" s="11" t="n">
        <v>1566503</v>
      </c>
      <c r="L1816" s="11" t="n">
        <v>4437841</v>
      </c>
      <c r="M1816" s="13" t="s">
        <v>44</v>
      </c>
      <c r="N1816" s="13" t="s">
        <v>36</v>
      </c>
      <c r="P1816" s="11" t="n">
        <v>167</v>
      </c>
      <c r="Q1816" s="13" t="s">
        <v>101</v>
      </c>
      <c r="R1816" s="13" t="s">
        <v>46</v>
      </c>
      <c r="S1816" s="11" t="n">
        <v>1130101</v>
      </c>
      <c r="T1816" s="13" t="s">
        <v>47</v>
      </c>
      <c r="U1816" s="14" t="n">
        <v>273.53</v>
      </c>
      <c r="W1816" s="14" t="n">
        <v>0</v>
      </c>
      <c r="X1816" s="13" t="s">
        <v>1810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SCH DOG PEDIGR FIL</v>
      </c>
      <c r="AC1816" s="1" t="n">
        <v>443784</v>
      </c>
    </row>
    <row r="1817" customFormat="false" ht="12.75" hidden="false" customHeight="true" outlineLevel="0" collapsed="false">
      <c r="A1817" s="11" t="n">
        <v>3</v>
      </c>
      <c r="B1817" s="12" t="n">
        <v>46244</v>
      </c>
      <c r="C1817" s="12" t="n">
        <v>46265</v>
      </c>
      <c r="D1817" s="11" t="n">
        <v>1657</v>
      </c>
      <c r="E1817" s="13" t="s">
        <v>255</v>
      </c>
      <c r="F1817" s="11" t="n">
        <v>24</v>
      </c>
      <c r="G1817" s="13" t="s">
        <v>42</v>
      </c>
      <c r="H1817" s="11" t="n">
        <v>2110405</v>
      </c>
      <c r="I1817" s="13" t="s">
        <v>34</v>
      </c>
      <c r="J1817" s="11" t="n">
        <v>1543742</v>
      </c>
      <c r="L1817" s="11" t="n">
        <v>3783782</v>
      </c>
      <c r="M1817" s="13" t="s">
        <v>44</v>
      </c>
      <c r="N1817" s="13" t="s">
        <v>36</v>
      </c>
      <c r="P1817" s="11" t="n">
        <v>167</v>
      </c>
      <c r="Q1817" s="13" t="s">
        <v>101</v>
      </c>
      <c r="R1817" s="13" t="s">
        <v>46</v>
      </c>
      <c r="S1817" s="11" t="n">
        <v>1130101</v>
      </c>
      <c r="T1817" s="13" t="s">
        <v>47</v>
      </c>
      <c r="U1817" s="14" t="n">
        <v>1028.18</v>
      </c>
      <c r="W1817" s="14" t="n">
        <v>0</v>
      </c>
      <c r="X1817" s="13" t="s">
        <v>1811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TALCO BARLA 140G</v>
      </c>
      <c r="AC1817" s="1" t="n">
        <v>297049</v>
      </c>
    </row>
    <row r="1818" customFormat="false" ht="12.75" hidden="false" customHeight="true" outlineLevel="0" collapsed="false">
      <c r="A1818" s="11" t="n">
        <v>3</v>
      </c>
      <c r="B1818" s="12" t="n">
        <v>46247</v>
      </c>
      <c r="C1818" s="12" t="n">
        <v>46265</v>
      </c>
      <c r="D1818" s="11" t="n">
        <v>1659</v>
      </c>
      <c r="E1818" s="13" t="s">
        <v>251</v>
      </c>
      <c r="F1818" s="11" t="n">
        <v>24</v>
      </c>
      <c r="G1818" s="13" t="s">
        <v>42</v>
      </c>
      <c r="H1818" s="11" t="n">
        <v>2110405</v>
      </c>
      <c r="I1818" s="13" t="s">
        <v>34</v>
      </c>
      <c r="J1818" s="11" t="n">
        <v>1551742</v>
      </c>
      <c r="L1818" s="11" t="n">
        <v>8908271</v>
      </c>
      <c r="M1818" s="13" t="s">
        <v>44</v>
      </c>
      <c r="N1818" s="13" t="s">
        <v>36</v>
      </c>
      <c r="P1818" s="11" t="n">
        <v>167</v>
      </c>
      <c r="Q1818" s="13" t="s">
        <v>101</v>
      </c>
      <c r="R1818" s="13" t="s">
        <v>46</v>
      </c>
      <c r="S1818" s="11" t="n">
        <v>1130101</v>
      </c>
      <c r="T1818" s="13" t="s">
        <v>47</v>
      </c>
      <c r="U1818" s="14" t="n">
        <v>1265.75</v>
      </c>
      <c r="W1818" s="14" t="n">
        <v>0</v>
      </c>
      <c r="X1818" s="13" t="s">
        <v>1812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MOCOQUINHA 200ML</v>
      </c>
      <c r="AC1818" s="1" t="n">
        <v>890827</v>
      </c>
    </row>
    <row r="1819" customFormat="false" ht="12.75" hidden="false" customHeight="true" outlineLevel="0" collapsed="false">
      <c r="A1819" s="11" t="n">
        <v>3</v>
      </c>
      <c r="B1819" s="12" t="n">
        <v>46251</v>
      </c>
      <c r="C1819" s="12" t="n">
        <v>46265</v>
      </c>
      <c r="D1819" s="11" t="n">
        <v>1676</v>
      </c>
      <c r="E1819" s="13" t="s">
        <v>253</v>
      </c>
      <c r="F1819" s="11" t="n">
        <v>24</v>
      </c>
      <c r="G1819" s="13" t="s">
        <v>42</v>
      </c>
      <c r="H1819" s="11" t="n">
        <v>2110405</v>
      </c>
      <c r="I1819" s="13" t="s">
        <v>34</v>
      </c>
      <c r="J1819" s="11" t="n">
        <v>1566060</v>
      </c>
      <c r="L1819" s="11" t="n">
        <v>1097421</v>
      </c>
      <c r="M1819" s="13" t="s">
        <v>44</v>
      </c>
      <c r="N1819" s="13" t="s">
        <v>36</v>
      </c>
      <c r="P1819" s="11" t="n">
        <v>167</v>
      </c>
      <c r="Q1819" s="13" t="s">
        <v>101</v>
      </c>
      <c r="R1819" s="13" t="s">
        <v>46</v>
      </c>
      <c r="S1819" s="11" t="n">
        <v>1130101</v>
      </c>
      <c r="T1819" s="13" t="s">
        <v>47</v>
      </c>
      <c r="U1819" s="14" t="n">
        <v>427.28</v>
      </c>
      <c r="W1819" s="14" t="n">
        <v>0</v>
      </c>
      <c r="X1819" s="13" t="s">
        <v>1813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ERVILHA EMILHO OLE V</v>
      </c>
      <c r="AC1819" s="1" t="n">
        <v>11361</v>
      </c>
    </row>
    <row r="1820" customFormat="false" ht="12.75" hidden="false" customHeight="true" outlineLevel="0" collapsed="false">
      <c r="A1820" s="11" t="n">
        <v>3</v>
      </c>
      <c r="B1820" s="12" t="n">
        <v>46248</v>
      </c>
      <c r="C1820" s="12" t="n">
        <v>46265</v>
      </c>
      <c r="D1820" s="11" t="n">
        <v>1608</v>
      </c>
      <c r="E1820" s="13" t="s">
        <v>41</v>
      </c>
      <c r="F1820" s="11" t="n">
        <v>24</v>
      </c>
      <c r="G1820" s="13" t="s">
        <v>42</v>
      </c>
      <c r="H1820" s="11" t="n">
        <v>2110405</v>
      </c>
      <c r="I1820" s="13" t="s">
        <v>34</v>
      </c>
      <c r="J1820" s="11" t="n">
        <v>1566478</v>
      </c>
      <c r="L1820" s="11" t="n">
        <v>1712626</v>
      </c>
      <c r="M1820" s="13" t="s">
        <v>44</v>
      </c>
      <c r="N1820" s="13" t="s">
        <v>36</v>
      </c>
      <c r="P1820" s="11" t="n">
        <v>167</v>
      </c>
      <c r="Q1820" s="13" t="s">
        <v>101</v>
      </c>
      <c r="R1820" s="13" t="s">
        <v>46</v>
      </c>
      <c r="S1820" s="11" t="n">
        <v>1130101</v>
      </c>
      <c r="T1820" s="13" t="s">
        <v>47</v>
      </c>
      <c r="U1820" s="14" t="n">
        <v>629.96</v>
      </c>
      <c r="W1820" s="14" t="n">
        <v>0</v>
      </c>
      <c r="X1820" s="13" t="s">
        <v>1814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nao encontrado</v>
      </c>
      <c r="AC1820" s="1" t="n">
        <v>172626</v>
      </c>
    </row>
    <row r="1821" customFormat="false" ht="12.75" hidden="false" customHeight="true" outlineLevel="0" collapsed="false">
      <c r="A1821" s="11" t="n">
        <v>3</v>
      </c>
      <c r="B1821" s="12" t="n">
        <v>46256</v>
      </c>
      <c r="C1821" s="12" t="n">
        <v>46265</v>
      </c>
      <c r="D1821" s="11" t="n">
        <v>1621</v>
      </c>
      <c r="E1821" s="13" t="s">
        <v>306</v>
      </c>
      <c r="F1821" s="11" t="n">
        <v>24</v>
      </c>
      <c r="G1821" s="13" t="s">
        <v>42</v>
      </c>
      <c r="H1821" s="11" t="n">
        <v>2110405</v>
      </c>
      <c r="I1821" s="13" t="s">
        <v>34</v>
      </c>
      <c r="J1821" s="11" t="n">
        <v>1595613</v>
      </c>
      <c r="L1821" s="11" t="n">
        <v>974216</v>
      </c>
      <c r="M1821" s="13" t="s">
        <v>44</v>
      </c>
      <c r="N1821" s="13" t="s">
        <v>36</v>
      </c>
      <c r="P1821" s="11" t="n">
        <v>167</v>
      </c>
      <c r="Q1821" s="13" t="s">
        <v>101</v>
      </c>
      <c r="R1821" s="13" t="s">
        <v>46</v>
      </c>
      <c r="S1821" s="11" t="n">
        <v>1130101</v>
      </c>
      <c r="T1821" s="13" t="s">
        <v>47</v>
      </c>
      <c r="U1821" s="14" t="n">
        <v>832.18</v>
      </c>
      <c r="W1821" s="14" t="n">
        <v>0</v>
      </c>
      <c r="X1821" s="13" t="s">
        <v>1815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REFR PEPSI 2L</v>
      </c>
      <c r="AC1821" s="1" t="n">
        <v>974216</v>
      </c>
    </row>
    <row r="1822" customFormat="false" ht="12.75" hidden="false" customHeight="true" outlineLevel="0" collapsed="false">
      <c r="A1822" s="11" t="n">
        <v>3</v>
      </c>
      <c r="B1822" s="12" t="n">
        <v>46258</v>
      </c>
      <c r="C1822" s="12" t="n">
        <v>46265</v>
      </c>
      <c r="D1822" s="11" t="n">
        <v>42</v>
      </c>
      <c r="E1822" s="13" t="s">
        <v>80</v>
      </c>
      <c r="F1822" s="11" t="n">
        <v>34</v>
      </c>
      <c r="G1822" s="13" t="s">
        <v>33</v>
      </c>
      <c r="H1822" s="11" t="n">
        <v>2110101</v>
      </c>
      <c r="I1822" s="13" t="s">
        <v>43</v>
      </c>
      <c r="J1822" s="11" t="n">
        <v>1595694</v>
      </c>
      <c r="L1822" s="11" t="n">
        <v>4537</v>
      </c>
      <c r="M1822" s="13" t="s">
        <v>44</v>
      </c>
      <c r="N1822" s="13" t="s">
        <v>69</v>
      </c>
      <c r="P1822" s="11" t="n">
        <v>167</v>
      </c>
      <c r="Q1822" s="13" t="s">
        <v>101</v>
      </c>
      <c r="R1822" s="13" t="s">
        <v>46</v>
      </c>
      <c r="S1822" s="11" t="n">
        <v>1130101</v>
      </c>
      <c r="T1822" s="13" t="s">
        <v>47</v>
      </c>
      <c r="U1822" s="14" t="n">
        <v>855</v>
      </c>
      <c r="W1822" s="14" t="n">
        <v>0</v>
      </c>
      <c r="X1822" s="13" t="s">
        <v>1771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1" t="n">
        <v>3</v>
      </c>
      <c r="B1823" s="12" t="n">
        <v>46258</v>
      </c>
      <c r="C1823" s="12" t="n">
        <v>46265</v>
      </c>
      <c r="D1823" s="11" t="n">
        <v>1625</v>
      </c>
      <c r="E1823" s="13" t="s">
        <v>320</v>
      </c>
      <c r="F1823" s="11" t="n">
        <v>24</v>
      </c>
      <c r="G1823" s="13" t="s">
        <v>42</v>
      </c>
      <c r="H1823" s="11" t="n">
        <v>2110405</v>
      </c>
      <c r="I1823" s="13" t="s">
        <v>34</v>
      </c>
      <c r="J1823" s="11" t="n">
        <v>1595727</v>
      </c>
      <c r="L1823" s="11" t="n">
        <v>151251</v>
      </c>
      <c r="M1823" s="13" t="s">
        <v>44</v>
      </c>
      <c r="N1823" s="13" t="s">
        <v>36</v>
      </c>
      <c r="P1823" s="11" t="n">
        <v>167</v>
      </c>
      <c r="Q1823" s="13" t="s">
        <v>101</v>
      </c>
      <c r="R1823" s="13" t="s">
        <v>46</v>
      </c>
      <c r="S1823" s="11" t="n">
        <v>1130101</v>
      </c>
      <c r="T1823" s="13" t="s">
        <v>47</v>
      </c>
      <c r="U1823" s="14" t="n">
        <v>3695.25</v>
      </c>
      <c r="W1823" s="14" t="n">
        <v>0</v>
      </c>
      <c r="X1823" s="13" t="s">
        <v>1816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TRASEIRO DE BOI L1</v>
      </c>
      <c r="AC1823" s="1" t="n">
        <v>15125</v>
      </c>
    </row>
    <row r="1824" customFormat="false" ht="12.75" hidden="false" customHeight="true" outlineLevel="0" collapsed="false">
      <c r="A1824" s="11" t="n">
        <v>3</v>
      </c>
      <c r="B1824" s="12" t="n">
        <v>46258</v>
      </c>
      <c r="C1824" s="12" t="n">
        <v>46265</v>
      </c>
      <c r="D1824" s="11" t="n">
        <v>1723</v>
      </c>
      <c r="E1824" s="13" t="s">
        <v>76</v>
      </c>
      <c r="F1824" s="11" t="n">
        <v>24</v>
      </c>
      <c r="G1824" s="13" t="s">
        <v>42</v>
      </c>
      <c r="H1824" s="11" t="n">
        <v>2110405</v>
      </c>
      <c r="I1824" s="13" t="s">
        <v>34</v>
      </c>
      <c r="J1824" s="11" t="n">
        <v>1598835</v>
      </c>
      <c r="L1824" s="11" t="n">
        <v>606171</v>
      </c>
      <c r="M1824" s="13" t="s">
        <v>44</v>
      </c>
      <c r="N1824" s="13" t="s">
        <v>36</v>
      </c>
      <c r="P1824" s="11" t="n">
        <v>167</v>
      </c>
      <c r="Q1824" s="13" t="s">
        <v>101</v>
      </c>
      <c r="R1824" s="13" t="s">
        <v>46</v>
      </c>
      <c r="S1824" s="11" t="n">
        <v>1130101</v>
      </c>
      <c r="T1824" s="13" t="s">
        <v>47</v>
      </c>
      <c r="U1824" s="14" t="n">
        <v>742.9</v>
      </c>
      <c r="W1824" s="14" t="n">
        <v>0</v>
      </c>
      <c r="X1824" s="13" t="s">
        <v>1817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DIANTEIRO DE BOI L</v>
      </c>
      <c r="AC1824" s="1" t="n">
        <v>175357</v>
      </c>
    </row>
    <row r="1825" customFormat="false" ht="12.75" hidden="false" customHeight="true" outlineLevel="0" collapsed="false">
      <c r="A1825" s="11" t="n">
        <v>3</v>
      </c>
      <c r="B1825" s="12" t="n">
        <v>46255</v>
      </c>
      <c r="C1825" s="12" t="n">
        <v>46265</v>
      </c>
      <c r="D1825" s="11" t="n">
        <v>1705</v>
      </c>
      <c r="E1825" s="13" t="s">
        <v>122</v>
      </c>
      <c r="F1825" s="11" t="n">
        <v>24</v>
      </c>
      <c r="G1825" s="13" t="s">
        <v>42</v>
      </c>
      <c r="H1825" s="11" t="n">
        <v>2110405</v>
      </c>
      <c r="I1825" s="13" t="s">
        <v>34</v>
      </c>
      <c r="J1825" s="11" t="n">
        <v>1600426</v>
      </c>
      <c r="L1825" s="11" t="n">
        <v>20059055</v>
      </c>
      <c r="M1825" s="13" t="s">
        <v>44</v>
      </c>
      <c r="N1825" s="13" t="s">
        <v>36</v>
      </c>
      <c r="P1825" s="11" t="n">
        <v>167</v>
      </c>
      <c r="Q1825" s="13" t="s">
        <v>101</v>
      </c>
      <c r="R1825" s="13" t="s">
        <v>46</v>
      </c>
      <c r="S1825" s="11" t="n">
        <v>1130101</v>
      </c>
      <c r="T1825" s="13" t="s">
        <v>47</v>
      </c>
      <c r="U1825" s="14" t="n">
        <v>4351.96</v>
      </c>
      <c r="W1825" s="14" t="n">
        <v>0</v>
      </c>
      <c r="X1825" s="13" t="s">
        <v>1818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REFRI. FANTA UVA 1,5</v>
      </c>
      <c r="AC1825" s="1" t="n">
        <v>2005905</v>
      </c>
    </row>
    <row r="1826" customFormat="false" ht="12.75" hidden="false" customHeight="true" outlineLevel="0" collapsed="false">
      <c r="A1826" s="11" t="n">
        <v>3</v>
      </c>
      <c r="B1826" s="12" t="n">
        <v>46255</v>
      </c>
      <c r="C1826" s="12" t="n">
        <v>46265</v>
      </c>
      <c r="D1826" s="11" t="n">
        <v>1705</v>
      </c>
      <c r="E1826" s="13" t="s">
        <v>122</v>
      </c>
      <c r="F1826" s="11" t="n">
        <v>24</v>
      </c>
      <c r="G1826" s="13" t="s">
        <v>42</v>
      </c>
      <c r="H1826" s="11" t="n">
        <v>2110405</v>
      </c>
      <c r="I1826" s="13" t="s">
        <v>34</v>
      </c>
      <c r="J1826" s="11" t="n">
        <v>1600434</v>
      </c>
      <c r="L1826" s="11" t="n">
        <v>12624477</v>
      </c>
      <c r="M1826" s="13" t="s">
        <v>44</v>
      </c>
      <c r="N1826" s="13" t="s">
        <v>36</v>
      </c>
      <c r="P1826" s="11" t="n">
        <v>167</v>
      </c>
      <c r="Q1826" s="13" t="s">
        <v>101</v>
      </c>
      <c r="R1826" s="13" t="s">
        <v>46</v>
      </c>
      <c r="S1826" s="11" t="n">
        <v>1130101</v>
      </c>
      <c r="T1826" s="13" t="s">
        <v>47</v>
      </c>
      <c r="U1826" s="14" t="n">
        <v>1976.08</v>
      </c>
      <c r="W1826" s="14" t="n">
        <v>0</v>
      </c>
      <c r="X1826" s="13" t="s">
        <v>1819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SUC DEL VALLE UVA 1L</v>
      </c>
      <c r="AC1826" s="1" t="n">
        <v>1262447</v>
      </c>
    </row>
    <row r="1827" customFormat="false" ht="12.75" hidden="false" customHeight="true" outlineLevel="0" collapsed="false">
      <c r="A1827" s="11" t="n">
        <v>3</v>
      </c>
      <c r="B1827" s="12" t="n">
        <v>46255</v>
      </c>
      <c r="C1827" s="12" t="n">
        <v>46265</v>
      </c>
      <c r="D1827" s="11" t="n">
        <v>1705</v>
      </c>
      <c r="E1827" s="13" t="s">
        <v>122</v>
      </c>
      <c r="F1827" s="11" t="n">
        <v>24</v>
      </c>
      <c r="G1827" s="13" t="s">
        <v>42</v>
      </c>
      <c r="H1827" s="11" t="n">
        <v>2110405</v>
      </c>
      <c r="I1827" s="13" t="s">
        <v>34</v>
      </c>
      <c r="J1827" s="11" t="n">
        <v>1600446</v>
      </c>
      <c r="L1827" s="11" t="n">
        <v>12624467</v>
      </c>
      <c r="M1827" s="13" t="s">
        <v>44</v>
      </c>
      <c r="N1827" s="13" t="s">
        <v>36</v>
      </c>
      <c r="P1827" s="11" t="n">
        <v>167</v>
      </c>
      <c r="Q1827" s="13" t="s">
        <v>101</v>
      </c>
      <c r="R1827" s="13" t="s">
        <v>46</v>
      </c>
      <c r="S1827" s="11" t="n">
        <v>1130101</v>
      </c>
      <c r="T1827" s="13" t="s">
        <v>47</v>
      </c>
      <c r="U1827" s="14" t="n">
        <v>653.29</v>
      </c>
      <c r="W1827" s="14" t="n">
        <v>0</v>
      </c>
      <c r="X1827" s="13" t="s">
        <v>1820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CERVEJA KAISER LATA</v>
      </c>
      <c r="AC1827" s="1" t="n">
        <v>1262446</v>
      </c>
    </row>
    <row r="1828" customFormat="false" ht="12.75" hidden="false" customHeight="true" outlineLevel="0" collapsed="false">
      <c r="A1828" s="11" t="n">
        <v>3</v>
      </c>
      <c r="B1828" s="12" t="n">
        <v>46255</v>
      </c>
      <c r="C1828" s="12" t="n">
        <v>46265</v>
      </c>
      <c r="D1828" s="11" t="n">
        <v>1705</v>
      </c>
      <c r="E1828" s="13" t="s">
        <v>122</v>
      </c>
      <c r="F1828" s="11" t="n">
        <v>24</v>
      </c>
      <c r="G1828" s="13" t="s">
        <v>42</v>
      </c>
      <c r="H1828" s="11" t="n">
        <v>2110405</v>
      </c>
      <c r="I1828" s="13" t="s">
        <v>34</v>
      </c>
      <c r="J1828" s="11" t="n">
        <v>1600455</v>
      </c>
      <c r="L1828" s="11" t="n">
        <v>20062025</v>
      </c>
      <c r="M1828" s="13" t="s">
        <v>44</v>
      </c>
      <c r="N1828" s="13" t="s">
        <v>36</v>
      </c>
      <c r="P1828" s="11" t="n">
        <v>167</v>
      </c>
      <c r="Q1828" s="13" t="s">
        <v>101</v>
      </c>
      <c r="R1828" s="13" t="s">
        <v>46</v>
      </c>
      <c r="S1828" s="11" t="n">
        <v>1130101</v>
      </c>
      <c r="T1828" s="13" t="s">
        <v>47</v>
      </c>
      <c r="U1828" s="14" t="n">
        <v>567.1</v>
      </c>
      <c r="W1828" s="14" t="n">
        <v>0</v>
      </c>
      <c r="X1828" s="13" t="s">
        <v>1821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REFRI. COCA COLA ORI</v>
      </c>
      <c r="AC1828" s="1" t="n">
        <v>2006202</v>
      </c>
    </row>
    <row r="1829" customFormat="false" ht="12.75" hidden="false" customHeight="true" outlineLevel="0" collapsed="false">
      <c r="A1829" s="11" t="n">
        <v>3</v>
      </c>
      <c r="B1829" s="12" t="n">
        <v>46256</v>
      </c>
      <c r="C1829" s="12" t="n">
        <v>46265</v>
      </c>
      <c r="D1829" s="11" t="n">
        <v>1457</v>
      </c>
      <c r="E1829" s="13" t="s">
        <v>179</v>
      </c>
      <c r="F1829" s="11" t="n">
        <v>24</v>
      </c>
      <c r="G1829" s="13" t="s">
        <v>42</v>
      </c>
      <c r="H1829" s="11" t="n">
        <v>2110405</v>
      </c>
      <c r="I1829" s="13" t="s">
        <v>34</v>
      </c>
      <c r="J1829" s="11" t="n">
        <v>1600812</v>
      </c>
      <c r="L1829" s="11" t="n">
        <v>246921</v>
      </c>
      <c r="M1829" s="13" t="s">
        <v>44</v>
      </c>
      <c r="N1829" s="13" t="s">
        <v>36</v>
      </c>
      <c r="P1829" s="11" t="n">
        <v>167</v>
      </c>
      <c r="Q1829" s="13" t="s">
        <v>101</v>
      </c>
      <c r="R1829" s="13" t="s">
        <v>46</v>
      </c>
      <c r="S1829" s="11" t="n">
        <v>1130101</v>
      </c>
      <c r="T1829" s="13" t="s">
        <v>47</v>
      </c>
      <c r="U1829" s="14" t="n">
        <v>120.85</v>
      </c>
      <c r="W1829" s="14" t="n">
        <v>0</v>
      </c>
      <c r="X1829" s="13" t="s">
        <v>1822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FRUTAP IOG MOR C CER</v>
      </c>
      <c r="AC1829" s="1" t="n">
        <v>14605</v>
      </c>
    </row>
    <row r="1830" customFormat="false" ht="12.75" hidden="false" customHeight="true" outlineLevel="0" collapsed="false">
      <c r="A1830" s="11" t="n">
        <v>3</v>
      </c>
      <c r="B1830" s="12" t="n">
        <v>46255</v>
      </c>
      <c r="C1830" s="12" t="n">
        <v>46265</v>
      </c>
      <c r="D1830" s="11" t="n">
        <v>10063</v>
      </c>
      <c r="E1830" s="13" t="s">
        <v>218</v>
      </c>
      <c r="F1830" s="11" t="n">
        <v>24</v>
      </c>
      <c r="G1830" s="13" t="s">
        <v>42</v>
      </c>
      <c r="H1830" s="11" t="n">
        <v>2110405</v>
      </c>
      <c r="I1830" s="13" t="s">
        <v>34</v>
      </c>
      <c r="J1830" s="11" t="n">
        <v>1613256</v>
      </c>
      <c r="L1830" s="11" t="n">
        <v>2754</v>
      </c>
      <c r="M1830" s="13" t="s">
        <v>44</v>
      </c>
      <c r="N1830" s="13" t="s">
        <v>36</v>
      </c>
      <c r="P1830" s="11" t="n">
        <v>167</v>
      </c>
      <c r="Q1830" s="13" t="s">
        <v>101</v>
      </c>
      <c r="R1830" s="13" t="s">
        <v>46</v>
      </c>
      <c r="S1830" s="11" t="n">
        <v>1130101</v>
      </c>
      <c r="T1830" s="13" t="s">
        <v>47</v>
      </c>
      <c r="U1830" s="14" t="n">
        <v>925</v>
      </c>
      <c r="W1830" s="14" t="n">
        <v>0</v>
      </c>
      <c r="X1830" s="13" t="s">
        <v>1823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OVOS BRANCO UNID</v>
      </c>
      <c r="AC1830" s="1" t="n">
        <v>2754</v>
      </c>
    </row>
    <row r="1831" customFormat="false" ht="12.75" hidden="false" customHeight="true" outlineLevel="0" collapsed="false">
      <c r="A1831" s="11" t="n">
        <v>3</v>
      </c>
      <c r="B1831" s="12" t="n">
        <v>46254</v>
      </c>
      <c r="C1831" s="12" t="n">
        <v>46265</v>
      </c>
      <c r="D1831" s="11" t="n">
        <v>1836</v>
      </c>
      <c r="E1831" s="13" t="s">
        <v>745</v>
      </c>
      <c r="F1831" s="11" t="n">
        <v>24</v>
      </c>
      <c r="G1831" s="13" t="s">
        <v>42</v>
      </c>
      <c r="H1831" s="11" t="n">
        <v>2110405</v>
      </c>
      <c r="I1831" s="13" t="s">
        <v>34</v>
      </c>
      <c r="J1831" s="11" t="n">
        <v>1613333</v>
      </c>
      <c r="L1831" s="11" t="n">
        <v>248600</v>
      </c>
      <c r="M1831" s="13" t="s">
        <v>44</v>
      </c>
      <c r="N1831" s="13" t="s">
        <v>36</v>
      </c>
      <c r="P1831" s="11" t="n">
        <v>167</v>
      </c>
      <c r="Q1831" s="13" t="s">
        <v>101</v>
      </c>
      <c r="R1831" s="13" t="s">
        <v>72</v>
      </c>
      <c r="S1831" s="11" t="n">
        <v>4210315</v>
      </c>
      <c r="T1831" s="13" t="s">
        <v>438</v>
      </c>
      <c r="U1831" s="14" t="n">
        <v>43.47</v>
      </c>
      <c r="W1831" s="14" t="n">
        <v>0</v>
      </c>
      <c r="X1831" s="13" t="s">
        <v>1824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46244</v>
      </c>
      <c r="C1832" s="12" t="n">
        <v>46265</v>
      </c>
      <c r="D1832" s="11" t="n">
        <v>1836</v>
      </c>
      <c r="E1832" s="13" t="s">
        <v>745</v>
      </c>
      <c r="F1832" s="11" t="n">
        <v>24</v>
      </c>
      <c r="G1832" s="13" t="s">
        <v>42</v>
      </c>
      <c r="H1832" s="11" t="n">
        <v>2110405</v>
      </c>
      <c r="I1832" s="13" t="s">
        <v>34</v>
      </c>
      <c r="J1832" s="11" t="n">
        <v>1613342</v>
      </c>
      <c r="L1832" s="11" t="n">
        <v>248603</v>
      </c>
      <c r="M1832" s="13" t="s">
        <v>44</v>
      </c>
      <c r="N1832" s="13" t="s">
        <v>36</v>
      </c>
      <c r="P1832" s="11" t="n">
        <v>167</v>
      </c>
      <c r="Q1832" s="13" t="s">
        <v>101</v>
      </c>
      <c r="R1832" s="13" t="s">
        <v>72</v>
      </c>
      <c r="S1832" s="11" t="n">
        <v>4210315</v>
      </c>
      <c r="T1832" s="13" t="s">
        <v>438</v>
      </c>
      <c r="U1832" s="14" t="n">
        <v>163.16</v>
      </c>
      <c r="W1832" s="14" t="n">
        <v>0</v>
      </c>
      <c r="X1832" s="13" t="s">
        <v>1825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46244</v>
      </c>
      <c r="C1833" s="12" t="n">
        <v>46265</v>
      </c>
      <c r="D1833" s="11" t="n">
        <v>1836</v>
      </c>
      <c r="E1833" s="13" t="s">
        <v>745</v>
      </c>
      <c r="F1833" s="11" t="n">
        <v>24</v>
      </c>
      <c r="G1833" s="13" t="s">
        <v>42</v>
      </c>
      <c r="H1833" s="11" t="n">
        <v>2110405</v>
      </c>
      <c r="I1833" s="13" t="s">
        <v>34</v>
      </c>
      <c r="J1833" s="11" t="n">
        <v>1613346</v>
      </c>
      <c r="L1833" s="11" t="n">
        <v>248605</v>
      </c>
      <c r="M1833" s="13" t="s">
        <v>44</v>
      </c>
      <c r="N1833" s="13" t="s">
        <v>36</v>
      </c>
      <c r="P1833" s="11" t="n">
        <v>167</v>
      </c>
      <c r="Q1833" s="13" t="s">
        <v>101</v>
      </c>
      <c r="R1833" s="13" t="s">
        <v>72</v>
      </c>
      <c r="S1833" s="11" t="n">
        <v>4210315</v>
      </c>
      <c r="T1833" s="13" t="s">
        <v>438</v>
      </c>
      <c r="U1833" s="14" t="n">
        <v>166.52</v>
      </c>
      <c r="W1833" s="14" t="n">
        <v>0</v>
      </c>
      <c r="X1833" s="13" t="s">
        <v>1825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46264</v>
      </c>
      <c r="C1834" s="12" t="n">
        <v>46265</v>
      </c>
      <c r="D1834" s="11" t="n">
        <v>1936</v>
      </c>
      <c r="E1834" s="13" t="s">
        <v>78</v>
      </c>
      <c r="F1834" s="11" t="n">
        <v>24</v>
      </c>
      <c r="G1834" s="13" t="s">
        <v>42</v>
      </c>
      <c r="H1834" s="11" t="n">
        <v>2110405</v>
      </c>
      <c r="I1834" s="13" t="s">
        <v>34</v>
      </c>
      <c r="J1834" s="11" t="n">
        <v>1628593</v>
      </c>
      <c r="L1834" s="11" t="n">
        <v>50806960</v>
      </c>
      <c r="M1834" s="13" t="s">
        <v>44</v>
      </c>
      <c r="N1834" s="13" t="s">
        <v>36</v>
      </c>
      <c r="P1834" s="11" t="n">
        <v>167</v>
      </c>
      <c r="Q1834" s="13" t="s">
        <v>101</v>
      </c>
      <c r="R1834" s="13" t="s">
        <v>46</v>
      </c>
      <c r="S1834" s="11" t="n">
        <v>1130101</v>
      </c>
      <c r="T1834" s="13" t="s">
        <v>47</v>
      </c>
      <c r="U1834" s="14" t="n">
        <v>311.46</v>
      </c>
      <c r="W1834" s="14" t="n">
        <v>0</v>
      </c>
      <c r="X1834" s="13" t="s">
        <v>1578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46265</v>
      </c>
      <c r="C1835" s="12" t="n">
        <v>46265</v>
      </c>
      <c r="D1835" s="11" t="n">
        <v>42</v>
      </c>
      <c r="E1835" s="13" t="s">
        <v>80</v>
      </c>
      <c r="F1835" s="11" t="n">
        <v>13</v>
      </c>
      <c r="G1835" s="13" t="s">
        <v>81</v>
      </c>
      <c r="H1835" s="11" t="n">
        <v>2110101</v>
      </c>
      <c r="I1835" s="13" t="s">
        <v>43</v>
      </c>
      <c r="J1835" s="11" t="n">
        <v>1628790</v>
      </c>
      <c r="L1835" s="11" t="n">
        <v>4562</v>
      </c>
      <c r="M1835" s="13" t="s">
        <v>44</v>
      </c>
      <c r="N1835" s="13" t="s">
        <v>69</v>
      </c>
      <c r="P1835" s="11" t="n">
        <v>167</v>
      </c>
      <c r="Q1835" s="13" t="s">
        <v>101</v>
      </c>
      <c r="R1835" s="13" t="s">
        <v>46</v>
      </c>
      <c r="S1835" s="11" t="n">
        <v>1130101</v>
      </c>
      <c r="T1835" s="13" t="s">
        <v>47</v>
      </c>
      <c r="U1835" s="14" t="n">
        <v>132</v>
      </c>
      <c r="W1835" s="14" t="n">
        <v>0</v>
      </c>
      <c r="X1835" s="13" t="s">
        <v>772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46265</v>
      </c>
      <c r="C1836" s="12" t="n">
        <v>46265</v>
      </c>
      <c r="D1836" s="11" t="n">
        <v>42</v>
      </c>
      <c r="E1836" s="13" t="s">
        <v>80</v>
      </c>
      <c r="F1836" s="11" t="n">
        <v>13</v>
      </c>
      <c r="G1836" s="13" t="s">
        <v>81</v>
      </c>
      <c r="H1836" s="11" t="n">
        <v>2110101</v>
      </c>
      <c r="I1836" s="13" t="s">
        <v>43</v>
      </c>
      <c r="J1836" s="11" t="n">
        <v>1629037</v>
      </c>
      <c r="L1836" s="11" t="n">
        <v>4564</v>
      </c>
      <c r="M1836" s="13" t="s">
        <v>44</v>
      </c>
      <c r="N1836" s="13" t="s">
        <v>69</v>
      </c>
      <c r="P1836" s="11" t="n">
        <v>167</v>
      </c>
      <c r="Q1836" s="13" t="s">
        <v>101</v>
      </c>
      <c r="R1836" s="13" t="s">
        <v>46</v>
      </c>
      <c r="S1836" s="11" t="n">
        <v>1130101</v>
      </c>
      <c r="T1836" s="13" t="s">
        <v>47</v>
      </c>
      <c r="U1836" s="14" t="n">
        <v>125</v>
      </c>
      <c r="W1836" s="14" t="n">
        <v>0</v>
      </c>
      <c r="X1836" s="13" t="s">
        <v>1192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46235</v>
      </c>
      <c r="C1837" s="12" t="n">
        <v>46266</v>
      </c>
      <c r="D1837" s="11" t="n">
        <v>42</v>
      </c>
      <c r="E1837" s="13" t="s">
        <v>80</v>
      </c>
      <c r="F1837" s="11" t="n">
        <v>13</v>
      </c>
      <c r="G1837" s="13" t="s">
        <v>81</v>
      </c>
      <c r="H1837" s="11" t="n">
        <v>2110101</v>
      </c>
      <c r="I1837" s="13" t="s">
        <v>43</v>
      </c>
      <c r="J1837" s="11" t="n">
        <v>1482195</v>
      </c>
      <c r="L1837" s="11" t="n">
        <v>4449</v>
      </c>
      <c r="M1837" s="13" t="s">
        <v>44</v>
      </c>
      <c r="N1837" s="13" t="s">
        <v>69</v>
      </c>
      <c r="P1837" s="11" t="n">
        <v>167</v>
      </c>
      <c r="Q1837" s="13" t="s">
        <v>101</v>
      </c>
      <c r="R1837" s="13" t="s">
        <v>46</v>
      </c>
      <c r="S1837" s="11" t="n">
        <v>1130101</v>
      </c>
      <c r="T1837" s="13" t="s">
        <v>47</v>
      </c>
      <c r="U1837" s="14" t="n">
        <v>250</v>
      </c>
      <c r="W1837" s="14" t="n">
        <v>250</v>
      </c>
      <c r="X1837" s="13" t="s">
        <v>1293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46238</v>
      </c>
      <c r="C1838" s="12" t="n">
        <v>46266</v>
      </c>
      <c r="D1838" s="11" t="n">
        <v>1656</v>
      </c>
      <c r="E1838" s="13" t="s">
        <v>260</v>
      </c>
      <c r="F1838" s="11" t="n">
        <v>24</v>
      </c>
      <c r="G1838" s="13" t="s">
        <v>42</v>
      </c>
      <c r="H1838" s="11" t="n">
        <v>2110405</v>
      </c>
      <c r="I1838" s="13" t="s">
        <v>34</v>
      </c>
      <c r="J1838" s="11" t="n">
        <v>1499232</v>
      </c>
      <c r="L1838" s="11" t="n">
        <v>2245513</v>
      </c>
      <c r="M1838" s="13" t="s">
        <v>44</v>
      </c>
      <c r="N1838" s="13" t="s">
        <v>36</v>
      </c>
      <c r="P1838" s="11" t="n">
        <v>167</v>
      </c>
      <c r="Q1838" s="13" t="s">
        <v>101</v>
      </c>
      <c r="R1838" s="13" t="s">
        <v>46</v>
      </c>
      <c r="S1838" s="11" t="n">
        <v>1130101</v>
      </c>
      <c r="T1838" s="13" t="s">
        <v>47</v>
      </c>
      <c r="U1838" s="14" t="n">
        <v>358.74</v>
      </c>
      <c r="W1838" s="14" t="n">
        <v>0</v>
      </c>
      <c r="X1838" s="13" t="s">
        <v>1826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-KETCHUP TRADICIONAL</v>
      </c>
      <c r="AC1838" s="1" t="n">
        <v>224551</v>
      </c>
    </row>
    <row r="1839" customFormat="false" ht="12.75" hidden="false" customHeight="true" outlineLevel="0" collapsed="false">
      <c r="A1839" s="11" t="n">
        <v>3</v>
      </c>
      <c r="B1839" s="12" t="n">
        <v>46238</v>
      </c>
      <c r="C1839" s="12" t="n">
        <v>46266</v>
      </c>
      <c r="D1839" s="11" t="n">
        <v>1745</v>
      </c>
      <c r="E1839" s="13" t="s">
        <v>592</v>
      </c>
      <c r="F1839" s="11" t="n">
        <v>24</v>
      </c>
      <c r="G1839" s="13" t="s">
        <v>42</v>
      </c>
      <c r="H1839" s="11" t="n">
        <v>2110405</v>
      </c>
      <c r="I1839" s="13" t="s">
        <v>34</v>
      </c>
      <c r="J1839" s="11" t="n">
        <v>1504235</v>
      </c>
      <c r="L1839" s="11" t="n">
        <v>3560053</v>
      </c>
      <c r="M1839" s="13" t="s">
        <v>44</v>
      </c>
      <c r="N1839" s="13" t="s">
        <v>36</v>
      </c>
      <c r="P1839" s="11" t="n">
        <v>167</v>
      </c>
      <c r="Q1839" s="13" t="s">
        <v>101</v>
      </c>
      <c r="R1839" s="13" t="s">
        <v>46</v>
      </c>
      <c r="S1839" s="11" t="n">
        <v>1130101</v>
      </c>
      <c r="T1839" s="13" t="s">
        <v>47</v>
      </c>
      <c r="U1839" s="14" t="n">
        <v>590.45</v>
      </c>
      <c r="W1839" s="14" t="n">
        <v>0</v>
      </c>
      <c r="X1839" s="13" t="s">
        <v>1827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CAFE KIMINO 250G</v>
      </c>
      <c r="AC1839" s="1" t="n">
        <v>356005</v>
      </c>
    </row>
    <row r="1840" customFormat="false" ht="12.75" hidden="false" customHeight="true" outlineLevel="0" collapsed="false">
      <c r="A1840" s="11" t="n">
        <v>3</v>
      </c>
      <c r="B1840" s="12" t="n">
        <v>46245</v>
      </c>
      <c r="C1840" s="12" t="n">
        <v>46266</v>
      </c>
      <c r="D1840" s="11" t="n">
        <v>1804</v>
      </c>
      <c r="E1840" s="13" t="s">
        <v>699</v>
      </c>
      <c r="F1840" s="11" t="n">
        <v>24</v>
      </c>
      <c r="G1840" s="13" t="s">
        <v>42</v>
      </c>
      <c r="H1840" s="11" t="n">
        <v>2110405</v>
      </c>
      <c r="I1840" s="13" t="s">
        <v>34</v>
      </c>
      <c r="J1840" s="11" t="n">
        <v>1531968</v>
      </c>
      <c r="L1840" s="11" t="n">
        <v>337572</v>
      </c>
      <c r="M1840" s="13" t="s">
        <v>44</v>
      </c>
      <c r="N1840" s="13" t="s">
        <v>36</v>
      </c>
      <c r="P1840" s="11" t="n">
        <v>167</v>
      </c>
      <c r="Q1840" s="13" t="s">
        <v>101</v>
      </c>
      <c r="R1840" s="13" t="s">
        <v>46</v>
      </c>
      <c r="S1840" s="11" t="n">
        <v>1130101</v>
      </c>
      <c r="T1840" s="13" t="s">
        <v>47</v>
      </c>
      <c r="U1840" s="14" t="n">
        <v>879.73</v>
      </c>
      <c r="W1840" s="14" t="n">
        <v>0</v>
      </c>
      <c r="X1840" s="13" t="s">
        <v>1828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FRALDA PANDA G 07UN</v>
      </c>
      <c r="AC1840" s="1" t="n">
        <v>26350</v>
      </c>
    </row>
    <row r="1841" customFormat="false" ht="12.75" hidden="false" customHeight="true" outlineLevel="0" collapsed="false">
      <c r="A1841" s="11" t="n">
        <v>3</v>
      </c>
      <c r="B1841" s="12" t="n">
        <v>46244</v>
      </c>
      <c r="C1841" s="12" t="n">
        <v>46266</v>
      </c>
      <c r="D1841" s="11" t="n">
        <v>1616</v>
      </c>
      <c r="E1841" s="13" t="s">
        <v>697</v>
      </c>
      <c r="F1841" s="11" t="n">
        <v>24</v>
      </c>
      <c r="G1841" s="13" t="s">
        <v>42</v>
      </c>
      <c r="H1841" s="11" t="n">
        <v>2110405</v>
      </c>
      <c r="I1841" s="13" t="s">
        <v>34</v>
      </c>
      <c r="J1841" s="11" t="n">
        <v>1536939</v>
      </c>
      <c r="L1841" s="11" t="n">
        <v>238615</v>
      </c>
      <c r="M1841" s="13" t="s">
        <v>44</v>
      </c>
      <c r="N1841" s="13" t="s">
        <v>36</v>
      </c>
      <c r="P1841" s="11" t="n">
        <v>167</v>
      </c>
      <c r="Q1841" s="13" t="s">
        <v>101</v>
      </c>
      <c r="R1841" s="13" t="s">
        <v>46</v>
      </c>
      <c r="S1841" s="11" t="n">
        <v>1130101</v>
      </c>
      <c r="T1841" s="13" t="s">
        <v>47</v>
      </c>
      <c r="U1841" s="14" t="n">
        <v>311.49</v>
      </c>
      <c r="W1841" s="14" t="n">
        <v>0</v>
      </c>
      <c r="X1841" s="13" t="s">
        <v>1829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CONF ROCKLETS 40G</v>
      </c>
      <c r="AC1841" s="1" t="n">
        <v>654077</v>
      </c>
    </row>
    <row r="1842" customFormat="false" ht="12.75" hidden="false" customHeight="true" outlineLevel="0" collapsed="false">
      <c r="A1842" s="11" t="n">
        <v>3</v>
      </c>
      <c r="B1842" s="12" t="n">
        <v>46244</v>
      </c>
      <c r="C1842" s="12" t="n">
        <v>46266</v>
      </c>
      <c r="D1842" s="11" t="n">
        <v>1636</v>
      </c>
      <c r="E1842" s="13" t="s">
        <v>49</v>
      </c>
      <c r="F1842" s="11" t="n">
        <v>24</v>
      </c>
      <c r="G1842" s="13" t="s">
        <v>42</v>
      </c>
      <c r="H1842" s="11" t="n">
        <v>2110405</v>
      </c>
      <c r="I1842" s="13" t="s">
        <v>34</v>
      </c>
      <c r="J1842" s="11" t="n">
        <v>1540560</v>
      </c>
      <c r="L1842" s="11" t="n">
        <v>32349332</v>
      </c>
      <c r="M1842" s="13" t="s">
        <v>44</v>
      </c>
      <c r="N1842" s="13" t="s">
        <v>36</v>
      </c>
      <c r="P1842" s="11" t="n">
        <v>167</v>
      </c>
      <c r="Q1842" s="13" t="s">
        <v>101</v>
      </c>
      <c r="R1842" s="13" t="s">
        <v>46</v>
      </c>
      <c r="S1842" s="11" t="n">
        <v>1130101</v>
      </c>
      <c r="T1842" s="13" t="s">
        <v>47</v>
      </c>
      <c r="U1842" s="14" t="n">
        <v>421.85</v>
      </c>
      <c r="W1842" s="14" t="n">
        <v>0</v>
      </c>
      <c r="X1842" s="13" t="s">
        <v>1830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AZEITE MARIA TRAD. 5</v>
      </c>
      <c r="AC1842" s="1" t="n">
        <v>3234933</v>
      </c>
    </row>
    <row r="1843" customFormat="false" ht="12.75" hidden="false" customHeight="true" outlineLevel="0" collapsed="false">
      <c r="A1843" s="11" t="n">
        <v>3</v>
      </c>
      <c r="B1843" s="12" t="n">
        <v>46244</v>
      </c>
      <c r="C1843" s="12" t="n">
        <v>46266</v>
      </c>
      <c r="D1843" s="11" t="n">
        <v>1636</v>
      </c>
      <c r="E1843" s="13" t="s">
        <v>49</v>
      </c>
      <c r="F1843" s="11" t="n">
        <v>24</v>
      </c>
      <c r="G1843" s="13" t="s">
        <v>42</v>
      </c>
      <c r="H1843" s="11" t="n">
        <v>2110405</v>
      </c>
      <c r="I1843" s="13" t="s">
        <v>34</v>
      </c>
      <c r="J1843" s="11" t="n">
        <v>1540568</v>
      </c>
      <c r="L1843" s="11" t="n">
        <v>32349322</v>
      </c>
      <c r="M1843" s="13" t="s">
        <v>44</v>
      </c>
      <c r="N1843" s="13" t="s">
        <v>36</v>
      </c>
      <c r="P1843" s="11" t="n">
        <v>167</v>
      </c>
      <c r="Q1843" s="13" t="s">
        <v>101</v>
      </c>
      <c r="R1843" s="13" t="s">
        <v>46</v>
      </c>
      <c r="S1843" s="11" t="n">
        <v>1130101</v>
      </c>
      <c r="T1843" s="13" t="s">
        <v>47</v>
      </c>
      <c r="U1843" s="14" t="n">
        <v>193.16</v>
      </c>
      <c r="W1843" s="14" t="n">
        <v>0</v>
      </c>
      <c r="X1843" s="13" t="s">
        <v>1831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DETE.LOUCA MINUANO M</v>
      </c>
      <c r="AC1843" s="1" t="n">
        <v>3234932</v>
      </c>
    </row>
    <row r="1844" customFormat="false" ht="12.75" hidden="false" customHeight="true" outlineLevel="0" collapsed="false">
      <c r="A1844" s="11" t="n">
        <v>3</v>
      </c>
      <c r="B1844" s="12" t="n">
        <v>46248</v>
      </c>
      <c r="C1844" s="12" t="n">
        <v>46266</v>
      </c>
      <c r="D1844" s="11" t="n">
        <v>1789</v>
      </c>
      <c r="E1844" s="13" t="s">
        <v>62</v>
      </c>
      <c r="F1844" s="11" t="n">
        <v>24</v>
      </c>
      <c r="G1844" s="13" t="s">
        <v>42</v>
      </c>
      <c r="H1844" s="11" t="n">
        <v>2110405</v>
      </c>
      <c r="I1844" s="13" t="s">
        <v>34</v>
      </c>
      <c r="J1844" s="11" t="n">
        <v>1566598</v>
      </c>
      <c r="L1844" s="11" t="n">
        <v>119942501</v>
      </c>
      <c r="M1844" s="13" t="s">
        <v>44</v>
      </c>
      <c r="N1844" s="13" t="s">
        <v>36</v>
      </c>
      <c r="P1844" s="11" t="n">
        <v>167</v>
      </c>
      <c r="Q1844" s="13" t="s">
        <v>101</v>
      </c>
      <c r="R1844" s="13" t="s">
        <v>63</v>
      </c>
      <c r="S1844" s="11" t="n">
        <v>4210112</v>
      </c>
      <c r="T1844" s="13" t="s">
        <v>64</v>
      </c>
      <c r="U1844" s="14" t="n">
        <v>268.07</v>
      </c>
      <c r="W1844" s="14" t="n">
        <v>0</v>
      </c>
      <c r="X1844" s="13" t="s">
        <v>65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46252</v>
      </c>
      <c r="C1845" s="12" t="n">
        <v>46266</v>
      </c>
      <c r="D1845" s="11" t="n">
        <v>1740</v>
      </c>
      <c r="E1845" s="13" t="s">
        <v>170</v>
      </c>
      <c r="F1845" s="11" t="n">
        <v>24</v>
      </c>
      <c r="G1845" s="13" t="s">
        <v>42</v>
      </c>
      <c r="H1845" s="11" t="n">
        <v>2110405</v>
      </c>
      <c r="I1845" s="13" t="s">
        <v>34</v>
      </c>
      <c r="J1845" s="11" t="n">
        <v>1567958</v>
      </c>
      <c r="L1845" s="11" t="n">
        <v>12600911</v>
      </c>
      <c r="M1845" s="13" t="s">
        <v>44</v>
      </c>
      <c r="N1845" s="13" t="s">
        <v>36</v>
      </c>
      <c r="P1845" s="11" t="n">
        <v>167</v>
      </c>
      <c r="Q1845" s="13" t="s">
        <v>101</v>
      </c>
      <c r="R1845" s="13" t="s">
        <v>46</v>
      </c>
      <c r="S1845" s="11" t="n">
        <v>1130101</v>
      </c>
      <c r="T1845" s="13" t="s">
        <v>47</v>
      </c>
      <c r="U1845" s="14" t="n">
        <v>888.75</v>
      </c>
      <c r="W1845" s="14" t="n">
        <v>0</v>
      </c>
      <c r="X1845" s="13" t="s">
        <v>1832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LINGUI DE FRANGO KG</v>
      </c>
      <c r="AC1845" s="1" t="n">
        <v>1260091</v>
      </c>
    </row>
    <row r="1846" customFormat="false" ht="12.75" hidden="false" customHeight="true" outlineLevel="0" collapsed="false">
      <c r="A1846" s="11" t="n">
        <v>3</v>
      </c>
      <c r="B1846" s="12" t="n">
        <v>46252</v>
      </c>
      <c r="C1846" s="12" t="n">
        <v>46266</v>
      </c>
      <c r="D1846" s="11" t="n">
        <v>1734</v>
      </c>
      <c r="E1846" s="13" t="s">
        <v>125</v>
      </c>
      <c r="F1846" s="11" t="n">
        <v>24</v>
      </c>
      <c r="G1846" s="13" t="s">
        <v>42</v>
      </c>
      <c r="H1846" s="11" t="n">
        <v>2110405</v>
      </c>
      <c r="I1846" s="13" t="s">
        <v>34</v>
      </c>
      <c r="J1846" s="11" t="n">
        <v>1572833</v>
      </c>
      <c r="L1846" s="11" t="n">
        <v>258045</v>
      </c>
      <c r="M1846" s="13" t="s">
        <v>44</v>
      </c>
      <c r="N1846" s="13" t="s">
        <v>36</v>
      </c>
      <c r="P1846" s="11" t="n">
        <v>167</v>
      </c>
      <c r="Q1846" s="13" t="s">
        <v>101</v>
      </c>
      <c r="R1846" s="13" t="s">
        <v>46</v>
      </c>
      <c r="S1846" s="11" t="n">
        <v>1130101</v>
      </c>
      <c r="T1846" s="13" t="s">
        <v>47</v>
      </c>
      <c r="U1846" s="14" t="n">
        <v>866.49</v>
      </c>
      <c r="W1846" s="14" t="n">
        <v>0</v>
      </c>
      <c r="X1846" s="13" t="s">
        <v>1833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PICOLE PREMIUM LEITI</v>
      </c>
      <c r="AC1846" s="1" t="n">
        <v>258045</v>
      </c>
    </row>
    <row r="1847" customFormat="false" ht="12.75" hidden="false" customHeight="true" outlineLevel="0" collapsed="false">
      <c r="A1847" s="11" t="n">
        <v>3</v>
      </c>
      <c r="B1847" s="12" t="n">
        <v>46251</v>
      </c>
      <c r="C1847" s="12" t="n">
        <v>46266</v>
      </c>
      <c r="D1847" s="11" t="n">
        <v>1636</v>
      </c>
      <c r="E1847" s="13" t="s">
        <v>49</v>
      </c>
      <c r="F1847" s="11" t="n">
        <v>24</v>
      </c>
      <c r="G1847" s="13" t="s">
        <v>42</v>
      </c>
      <c r="H1847" s="11" t="n">
        <v>2110405</v>
      </c>
      <c r="I1847" s="13" t="s">
        <v>34</v>
      </c>
      <c r="J1847" s="11" t="n">
        <v>1573118</v>
      </c>
      <c r="L1847" s="11" t="n">
        <v>32386861</v>
      </c>
      <c r="M1847" s="13" t="s">
        <v>44</v>
      </c>
      <c r="N1847" s="13" t="s">
        <v>36</v>
      </c>
      <c r="P1847" s="11" t="n">
        <v>167</v>
      </c>
      <c r="Q1847" s="13" t="s">
        <v>101</v>
      </c>
      <c r="R1847" s="13" t="s">
        <v>46</v>
      </c>
      <c r="S1847" s="11" t="n">
        <v>1130101</v>
      </c>
      <c r="T1847" s="13" t="s">
        <v>47</v>
      </c>
      <c r="U1847" s="14" t="n">
        <v>922.22</v>
      </c>
      <c r="W1847" s="14" t="n">
        <v>0</v>
      </c>
      <c r="X1847" s="13" t="s">
        <v>1834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ABS SEMPERLIVRE SUAVE C/ABA -16UN</v>
      </c>
      <c r="AC1847" s="1" t="n">
        <v>3238686</v>
      </c>
    </row>
    <row r="1848" customFormat="false" ht="12.75" hidden="false" customHeight="true" outlineLevel="0" collapsed="false">
      <c r="A1848" s="11" t="n">
        <v>3</v>
      </c>
      <c r="B1848" s="12" t="n">
        <v>46238</v>
      </c>
      <c r="C1848" s="12" t="n">
        <v>46266</v>
      </c>
      <c r="D1848" s="11" t="n">
        <v>1668</v>
      </c>
      <c r="E1848" s="13" t="s">
        <v>159</v>
      </c>
      <c r="F1848" s="11" t="n">
        <v>24</v>
      </c>
      <c r="G1848" s="13" t="s">
        <v>42</v>
      </c>
      <c r="H1848" s="11" t="n">
        <v>2110405</v>
      </c>
      <c r="I1848" s="13" t="s">
        <v>34</v>
      </c>
      <c r="J1848" s="11" t="n">
        <v>1576025</v>
      </c>
      <c r="L1848" s="11" t="n">
        <v>74559233</v>
      </c>
      <c r="M1848" s="13" t="s">
        <v>44</v>
      </c>
      <c r="N1848" s="13" t="s">
        <v>36</v>
      </c>
      <c r="P1848" s="11" t="n">
        <v>167</v>
      </c>
      <c r="Q1848" s="13" t="s">
        <v>101</v>
      </c>
      <c r="R1848" s="13" t="s">
        <v>46</v>
      </c>
      <c r="S1848" s="11" t="n">
        <v>1130101</v>
      </c>
      <c r="T1848" s="13" t="s">
        <v>47</v>
      </c>
      <c r="U1848" s="14" t="n">
        <v>1242.26</v>
      </c>
      <c r="W1848" s="14" t="n">
        <v>0</v>
      </c>
      <c r="X1848" s="13" t="s">
        <v>1835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nao encontrado</v>
      </c>
      <c r="AC1848" s="1" t="n">
        <v>7455923</v>
      </c>
    </row>
    <row r="1849" customFormat="false" ht="12.75" hidden="false" customHeight="true" outlineLevel="0" collapsed="false">
      <c r="A1849" s="11" t="n">
        <v>3</v>
      </c>
      <c r="B1849" s="12" t="n">
        <v>46248</v>
      </c>
      <c r="C1849" s="12" t="n">
        <v>46266</v>
      </c>
      <c r="D1849" s="11" t="n">
        <v>1789</v>
      </c>
      <c r="E1849" s="13" t="s">
        <v>62</v>
      </c>
      <c r="F1849" s="11" t="n">
        <v>24</v>
      </c>
      <c r="G1849" s="13" t="s">
        <v>42</v>
      </c>
      <c r="H1849" s="11" t="n">
        <v>2110405</v>
      </c>
      <c r="I1849" s="13" t="s">
        <v>34</v>
      </c>
      <c r="J1849" s="11" t="n">
        <v>1595513</v>
      </c>
      <c r="L1849" s="11" t="n">
        <v>119942500</v>
      </c>
      <c r="M1849" s="13" t="s">
        <v>44</v>
      </c>
      <c r="N1849" s="13" t="s">
        <v>36</v>
      </c>
      <c r="P1849" s="11" t="n">
        <v>167</v>
      </c>
      <c r="Q1849" s="13" t="s">
        <v>101</v>
      </c>
      <c r="R1849" s="13" t="s">
        <v>63</v>
      </c>
      <c r="S1849" s="11" t="n">
        <v>4210112</v>
      </c>
      <c r="T1849" s="13" t="s">
        <v>64</v>
      </c>
      <c r="U1849" s="14" t="n">
        <v>2638.18</v>
      </c>
      <c r="W1849" s="14" t="n">
        <v>0</v>
      </c>
      <c r="X1849" s="13" t="s">
        <v>65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46256</v>
      </c>
      <c r="C1850" s="12" t="n">
        <v>46266</v>
      </c>
      <c r="D1850" s="11" t="n">
        <v>1805</v>
      </c>
      <c r="E1850" s="13" t="s">
        <v>1836</v>
      </c>
      <c r="F1850" s="11" t="n">
        <v>24</v>
      </c>
      <c r="G1850" s="13" t="s">
        <v>42</v>
      </c>
      <c r="H1850" s="11" t="n">
        <v>2110405</v>
      </c>
      <c r="I1850" s="13" t="s">
        <v>34</v>
      </c>
      <c r="J1850" s="11" t="n">
        <v>1595647</v>
      </c>
      <c r="L1850" s="11" t="n">
        <v>1814871</v>
      </c>
      <c r="M1850" s="13" t="s">
        <v>44</v>
      </c>
      <c r="N1850" s="13" t="s">
        <v>36</v>
      </c>
      <c r="P1850" s="11" t="n">
        <v>167</v>
      </c>
      <c r="Q1850" s="13" t="s">
        <v>101</v>
      </c>
      <c r="R1850" s="13" t="s">
        <v>46</v>
      </c>
      <c r="S1850" s="11" t="n">
        <v>1130101</v>
      </c>
      <c r="T1850" s="13" t="s">
        <v>47</v>
      </c>
      <c r="U1850" s="14" t="n">
        <v>107.96</v>
      </c>
      <c r="W1850" s="14" t="n">
        <v>0</v>
      </c>
      <c r="X1850" s="13" t="s">
        <v>1837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PRESUNTO DE  PERU DF DISTRIBUIDORA DE FR</v>
      </c>
      <c r="AC1850" s="1" t="n">
        <v>7744</v>
      </c>
    </row>
    <row r="1851" customFormat="false" ht="12.75" hidden="false" customHeight="true" outlineLevel="0" collapsed="false">
      <c r="A1851" s="11" t="n">
        <v>3</v>
      </c>
      <c r="B1851" s="12" t="n">
        <v>46259</v>
      </c>
      <c r="C1851" s="12" t="n">
        <v>46266</v>
      </c>
      <c r="D1851" s="11" t="n">
        <v>42</v>
      </c>
      <c r="E1851" s="13" t="s">
        <v>80</v>
      </c>
      <c r="F1851" s="11" t="n">
        <v>34</v>
      </c>
      <c r="G1851" s="13" t="s">
        <v>33</v>
      </c>
      <c r="H1851" s="11" t="n">
        <v>2110101</v>
      </c>
      <c r="I1851" s="13" t="s">
        <v>43</v>
      </c>
      <c r="J1851" s="11" t="n">
        <v>1600128</v>
      </c>
      <c r="L1851" s="11" t="n">
        <v>4544</v>
      </c>
      <c r="M1851" s="13" t="s">
        <v>44</v>
      </c>
      <c r="N1851" s="13" t="s">
        <v>69</v>
      </c>
      <c r="P1851" s="11" t="n">
        <v>167</v>
      </c>
      <c r="Q1851" s="13" t="s">
        <v>101</v>
      </c>
      <c r="R1851" s="13" t="s">
        <v>46</v>
      </c>
      <c r="S1851" s="11" t="n">
        <v>1130101</v>
      </c>
      <c r="T1851" s="13" t="s">
        <v>47</v>
      </c>
      <c r="U1851" s="14" t="n">
        <v>300</v>
      </c>
      <c r="W1851" s="14" t="n">
        <v>0</v>
      </c>
      <c r="X1851" s="13" t="s">
        <v>1838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46259</v>
      </c>
      <c r="C1852" s="12" t="n">
        <v>46266</v>
      </c>
      <c r="D1852" s="11" t="n">
        <v>489</v>
      </c>
      <c r="E1852" s="13" t="s">
        <v>181</v>
      </c>
      <c r="F1852" s="11" t="n">
        <v>34</v>
      </c>
      <c r="G1852" s="13" t="s">
        <v>33</v>
      </c>
      <c r="H1852" s="11" t="n">
        <v>2110405</v>
      </c>
      <c r="I1852" s="13" t="s">
        <v>34</v>
      </c>
      <c r="J1852" s="11" t="n">
        <v>1600598</v>
      </c>
      <c r="L1852" s="11" t="n">
        <v>246902</v>
      </c>
      <c r="M1852" s="13" t="s">
        <v>44</v>
      </c>
      <c r="N1852" s="13" t="s">
        <v>36</v>
      </c>
      <c r="P1852" s="11" t="n">
        <v>167</v>
      </c>
      <c r="Q1852" s="13" t="s">
        <v>101</v>
      </c>
      <c r="R1852" s="13" t="s">
        <v>46</v>
      </c>
      <c r="S1852" s="11" t="n">
        <v>1130101</v>
      </c>
      <c r="T1852" s="13" t="s">
        <v>47</v>
      </c>
      <c r="U1852" s="14" t="n">
        <v>245</v>
      </c>
      <c r="W1852" s="14" t="n">
        <v>0</v>
      </c>
      <c r="X1852" s="13" t="s">
        <v>1839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46259</v>
      </c>
      <c r="C1853" s="12" t="n">
        <v>46266</v>
      </c>
      <c r="D1853" s="11" t="n">
        <v>1723</v>
      </c>
      <c r="E1853" s="13" t="s">
        <v>76</v>
      </c>
      <c r="F1853" s="11" t="n">
        <v>24</v>
      </c>
      <c r="G1853" s="13" t="s">
        <v>42</v>
      </c>
      <c r="H1853" s="11" t="n">
        <v>2110405</v>
      </c>
      <c r="I1853" s="13" t="s">
        <v>34</v>
      </c>
      <c r="J1853" s="11" t="n">
        <v>1603799</v>
      </c>
      <c r="L1853" s="11" t="n">
        <v>607161</v>
      </c>
      <c r="M1853" s="13" t="s">
        <v>44</v>
      </c>
      <c r="N1853" s="13" t="s">
        <v>36</v>
      </c>
      <c r="P1853" s="11" t="n">
        <v>167</v>
      </c>
      <c r="Q1853" s="13" t="s">
        <v>101</v>
      </c>
      <c r="R1853" s="13" t="s">
        <v>46</v>
      </c>
      <c r="S1853" s="11" t="n">
        <v>1130101</v>
      </c>
      <c r="T1853" s="13" t="s">
        <v>47</v>
      </c>
      <c r="U1853" s="14" t="n">
        <v>2644.2</v>
      </c>
      <c r="W1853" s="14" t="n">
        <v>0</v>
      </c>
      <c r="X1853" s="13" t="s">
        <v>1840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TRASEIRO DE BOI L1</v>
      </c>
      <c r="AC1853" s="1" t="n">
        <v>175417</v>
      </c>
    </row>
    <row r="1854" customFormat="false" ht="12.75" hidden="false" customHeight="true" outlineLevel="0" collapsed="false">
      <c r="A1854" s="11" t="n">
        <v>3</v>
      </c>
      <c r="B1854" s="12" t="n">
        <v>46259</v>
      </c>
      <c r="C1854" s="12" t="n">
        <v>46266</v>
      </c>
      <c r="D1854" s="11" t="n">
        <v>10038</v>
      </c>
      <c r="E1854" s="13" t="s">
        <v>312</v>
      </c>
      <c r="F1854" s="11" t="n">
        <v>24</v>
      </c>
      <c r="G1854" s="13" t="s">
        <v>42</v>
      </c>
      <c r="H1854" s="11" t="n">
        <v>2110405</v>
      </c>
      <c r="I1854" s="13" t="s">
        <v>34</v>
      </c>
      <c r="J1854" s="11" t="n">
        <v>1603899</v>
      </c>
      <c r="L1854" s="11" t="n">
        <v>198654019</v>
      </c>
      <c r="M1854" s="13" t="s">
        <v>44</v>
      </c>
      <c r="N1854" s="13" t="s">
        <v>36</v>
      </c>
      <c r="P1854" s="11" t="n">
        <v>167</v>
      </c>
      <c r="Q1854" s="13" t="s">
        <v>101</v>
      </c>
      <c r="R1854" s="13" t="s">
        <v>46</v>
      </c>
      <c r="S1854" s="11" t="n">
        <v>1130101</v>
      </c>
      <c r="T1854" s="13" t="s">
        <v>47</v>
      </c>
      <c r="U1854" s="14" t="n">
        <v>344</v>
      </c>
      <c r="W1854" s="14" t="n">
        <v>0</v>
      </c>
      <c r="X1854" s="13" t="s">
        <v>1841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46259</v>
      </c>
      <c r="C1855" s="12" t="n">
        <v>46266</v>
      </c>
      <c r="D1855" s="11" t="n">
        <v>1734</v>
      </c>
      <c r="E1855" s="13" t="s">
        <v>125</v>
      </c>
      <c r="F1855" s="11" t="n">
        <v>24</v>
      </c>
      <c r="G1855" s="13" t="s">
        <v>42</v>
      </c>
      <c r="H1855" s="11" t="n">
        <v>2110405</v>
      </c>
      <c r="I1855" s="13" t="s">
        <v>34</v>
      </c>
      <c r="J1855" s="11" t="n">
        <v>1608655</v>
      </c>
      <c r="L1855" s="11" t="n">
        <v>2586311</v>
      </c>
      <c r="M1855" s="13" t="s">
        <v>44</v>
      </c>
      <c r="N1855" s="13" t="s">
        <v>36</v>
      </c>
      <c r="P1855" s="11" t="n">
        <v>167</v>
      </c>
      <c r="Q1855" s="13" t="s">
        <v>101</v>
      </c>
      <c r="R1855" s="13" t="s">
        <v>46</v>
      </c>
      <c r="S1855" s="11" t="n">
        <v>1130101</v>
      </c>
      <c r="T1855" s="13" t="s">
        <v>47</v>
      </c>
      <c r="U1855" s="14" t="n">
        <v>309</v>
      </c>
      <c r="W1855" s="14" t="n">
        <v>0</v>
      </c>
      <c r="X1855" s="13" t="s">
        <v>1842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SORVETE 2 LTS FLOCOS</v>
      </c>
      <c r="AC1855" s="1" t="n">
        <v>258631</v>
      </c>
    </row>
    <row r="1856" customFormat="false" ht="12.75" hidden="false" customHeight="true" outlineLevel="0" collapsed="false">
      <c r="A1856" s="11" t="n">
        <v>3</v>
      </c>
      <c r="B1856" s="12" t="n">
        <v>46262</v>
      </c>
      <c r="C1856" s="12" t="n">
        <v>46266</v>
      </c>
      <c r="D1856" s="11" t="n">
        <v>42</v>
      </c>
      <c r="E1856" s="13" t="s">
        <v>80</v>
      </c>
      <c r="F1856" s="11" t="n">
        <v>34</v>
      </c>
      <c r="G1856" s="13" t="s">
        <v>33</v>
      </c>
      <c r="H1856" s="11" t="n">
        <v>2110101</v>
      </c>
      <c r="I1856" s="13" t="s">
        <v>43</v>
      </c>
      <c r="J1856" s="11" t="n">
        <v>1614834</v>
      </c>
      <c r="L1856" s="11" t="n">
        <v>4553</v>
      </c>
      <c r="M1856" s="13" t="s">
        <v>44</v>
      </c>
      <c r="N1856" s="13" t="s">
        <v>69</v>
      </c>
      <c r="P1856" s="11" t="n">
        <v>167</v>
      </c>
      <c r="Q1856" s="13" t="s">
        <v>101</v>
      </c>
      <c r="R1856" s="13" t="s">
        <v>46</v>
      </c>
      <c r="S1856" s="11" t="n">
        <v>1130101</v>
      </c>
      <c r="T1856" s="13" t="s">
        <v>47</v>
      </c>
      <c r="U1856" s="14" t="n">
        <v>2094.5</v>
      </c>
      <c r="W1856" s="14" t="n">
        <v>0</v>
      </c>
      <c r="X1856" s="13" t="s">
        <v>1029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46262</v>
      </c>
      <c r="C1857" s="12" t="n">
        <v>46266</v>
      </c>
      <c r="D1857" s="11" t="n">
        <v>1615</v>
      </c>
      <c r="E1857" s="13" t="s">
        <v>130</v>
      </c>
      <c r="F1857" s="11" t="n">
        <v>34</v>
      </c>
      <c r="G1857" s="13" t="s">
        <v>33</v>
      </c>
      <c r="H1857" s="11" t="n">
        <v>2110405</v>
      </c>
      <c r="I1857" s="13" t="s">
        <v>34</v>
      </c>
      <c r="J1857" s="11" t="n">
        <v>1614848</v>
      </c>
      <c r="L1857" s="11" t="n">
        <v>248804</v>
      </c>
      <c r="M1857" s="13" t="s">
        <v>44</v>
      </c>
      <c r="N1857" s="13" t="s">
        <v>36</v>
      </c>
      <c r="P1857" s="11" t="n">
        <v>167</v>
      </c>
      <c r="Q1857" s="13" t="s">
        <v>101</v>
      </c>
      <c r="R1857" s="13" t="s">
        <v>46</v>
      </c>
      <c r="S1857" s="11" t="n">
        <v>1130101</v>
      </c>
      <c r="T1857" s="13" t="s">
        <v>47</v>
      </c>
      <c r="U1857" s="14" t="n">
        <v>140</v>
      </c>
      <c r="W1857" s="14" t="n">
        <v>0</v>
      </c>
      <c r="X1857" s="13" t="s">
        <v>1843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UVA VITORIA 250G</v>
      </c>
      <c r="AC1857" s="1" t="n">
        <v>15198</v>
      </c>
    </row>
    <row r="1858" customFormat="false" ht="12.75" hidden="false" customHeight="true" outlineLevel="0" collapsed="false">
      <c r="A1858" s="11" t="n">
        <v>3</v>
      </c>
      <c r="B1858" s="12" t="n">
        <v>46262</v>
      </c>
      <c r="C1858" s="12" t="n">
        <v>46266</v>
      </c>
      <c r="D1858" s="11" t="n">
        <v>1615</v>
      </c>
      <c r="E1858" s="13" t="s">
        <v>130</v>
      </c>
      <c r="F1858" s="11" t="n">
        <v>34</v>
      </c>
      <c r="G1858" s="13" t="s">
        <v>33</v>
      </c>
      <c r="H1858" s="11" t="n">
        <v>2110405</v>
      </c>
      <c r="I1858" s="13" t="s">
        <v>34</v>
      </c>
      <c r="J1858" s="11" t="n">
        <v>1614866</v>
      </c>
      <c r="L1858" s="11" t="n">
        <v>248805</v>
      </c>
      <c r="M1858" s="13" t="s">
        <v>44</v>
      </c>
      <c r="N1858" s="13" t="s">
        <v>36</v>
      </c>
      <c r="P1858" s="11" t="n">
        <v>167</v>
      </c>
      <c r="Q1858" s="13" t="s">
        <v>101</v>
      </c>
      <c r="R1858" s="13" t="s">
        <v>46</v>
      </c>
      <c r="S1858" s="11" t="n">
        <v>1130101</v>
      </c>
      <c r="T1858" s="13" t="s">
        <v>47</v>
      </c>
      <c r="U1858" s="14" t="n">
        <v>200</v>
      </c>
      <c r="W1858" s="14" t="n">
        <v>0</v>
      </c>
      <c r="X1858" s="13" t="s">
        <v>1844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46262</v>
      </c>
      <c r="C1859" s="12" t="n">
        <v>46266</v>
      </c>
      <c r="D1859" s="11" t="n">
        <v>642</v>
      </c>
      <c r="E1859" s="13" t="s">
        <v>135</v>
      </c>
      <c r="F1859" s="11" t="n">
        <v>24</v>
      </c>
      <c r="G1859" s="13" t="s">
        <v>42</v>
      </c>
      <c r="H1859" s="11" t="n">
        <v>2110405</v>
      </c>
      <c r="I1859" s="13" t="s">
        <v>34</v>
      </c>
      <c r="J1859" s="11" t="n">
        <v>1628687</v>
      </c>
      <c r="L1859" s="11" t="n">
        <v>917876</v>
      </c>
      <c r="M1859" s="13" t="s">
        <v>44</v>
      </c>
      <c r="N1859" s="13" t="s">
        <v>36</v>
      </c>
      <c r="P1859" s="11" t="n">
        <v>167</v>
      </c>
      <c r="Q1859" s="13" t="s">
        <v>101</v>
      </c>
      <c r="R1859" s="13" t="s">
        <v>46</v>
      </c>
      <c r="S1859" s="11" t="n">
        <v>1130101</v>
      </c>
      <c r="T1859" s="13" t="s">
        <v>47</v>
      </c>
      <c r="U1859" s="14" t="n">
        <v>240</v>
      </c>
      <c r="W1859" s="14" t="n">
        <v>0</v>
      </c>
      <c r="X1859" s="13" t="s">
        <v>1845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BOLO BLOOM 600G</v>
      </c>
      <c r="AC1859" s="1" t="n">
        <v>628</v>
      </c>
    </row>
    <row r="1860" customFormat="false" ht="12.75" hidden="false" customHeight="true" outlineLevel="0" collapsed="false">
      <c r="A1860" s="11" t="n">
        <v>3</v>
      </c>
      <c r="B1860" s="12" t="n">
        <v>46231</v>
      </c>
      <c r="C1860" s="12" t="n">
        <v>46267</v>
      </c>
      <c r="D1860" s="11" t="n">
        <v>1778</v>
      </c>
      <c r="E1860" s="13" t="s">
        <v>116</v>
      </c>
      <c r="F1860" s="11" t="n">
        <v>24</v>
      </c>
      <c r="G1860" s="13" t="s">
        <v>42</v>
      </c>
      <c r="H1860" s="11" t="n">
        <v>2110405</v>
      </c>
      <c r="I1860" s="13" t="s">
        <v>34</v>
      </c>
      <c r="J1860" s="11" t="n">
        <v>1464589</v>
      </c>
      <c r="L1860" s="11" t="n">
        <v>227862</v>
      </c>
      <c r="M1860" s="13" t="s">
        <v>44</v>
      </c>
      <c r="N1860" s="13" t="s">
        <v>36</v>
      </c>
      <c r="P1860" s="11" t="n">
        <v>101</v>
      </c>
      <c r="Q1860" s="13" t="s">
        <v>37</v>
      </c>
      <c r="R1860" s="13" t="s">
        <v>38</v>
      </c>
      <c r="S1860" s="11" t="n">
        <v>4210207</v>
      </c>
      <c r="T1860" s="13" t="s">
        <v>117</v>
      </c>
      <c r="U1860" s="14" t="n">
        <v>337.29</v>
      </c>
      <c r="W1860" s="14" t="n">
        <v>0</v>
      </c>
      <c r="X1860" s="13" t="s">
        <v>1846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46205</v>
      </c>
      <c r="C1861" s="12" t="n">
        <v>46267</v>
      </c>
      <c r="D1861" s="11" t="n">
        <v>1789</v>
      </c>
      <c r="E1861" s="13" t="s">
        <v>62</v>
      </c>
      <c r="F1861" s="11" t="n">
        <v>24</v>
      </c>
      <c r="G1861" s="13" t="s">
        <v>42</v>
      </c>
      <c r="H1861" s="11" t="n">
        <v>2110405</v>
      </c>
      <c r="I1861" s="13" t="s">
        <v>34</v>
      </c>
      <c r="J1861" s="11" t="n">
        <v>1464602</v>
      </c>
      <c r="L1861" s="11" t="n">
        <v>227866</v>
      </c>
      <c r="M1861" s="13" t="s">
        <v>44</v>
      </c>
      <c r="N1861" s="13" t="s">
        <v>36</v>
      </c>
      <c r="P1861" s="11" t="n">
        <v>101</v>
      </c>
      <c r="Q1861" s="13" t="s">
        <v>37</v>
      </c>
      <c r="R1861" s="13" t="s">
        <v>63</v>
      </c>
      <c r="S1861" s="11" t="n">
        <v>4210112</v>
      </c>
      <c r="T1861" s="13" t="s">
        <v>64</v>
      </c>
      <c r="U1861" s="14" t="n">
        <v>5500</v>
      </c>
      <c r="W1861" s="14" t="n">
        <v>0</v>
      </c>
      <c r="X1861" s="13" t="s">
        <v>1847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46231</v>
      </c>
      <c r="C1862" s="12" t="n">
        <v>46267</v>
      </c>
      <c r="D1862" s="11" t="n">
        <v>49</v>
      </c>
      <c r="E1862" s="13" t="s">
        <v>138</v>
      </c>
      <c r="F1862" s="11" t="n">
        <v>34</v>
      </c>
      <c r="G1862" s="13" t="s">
        <v>33</v>
      </c>
      <c r="H1862" s="11" t="n">
        <v>2110405</v>
      </c>
      <c r="I1862" s="13" t="s">
        <v>34</v>
      </c>
      <c r="J1862" s="11" t="n">
        <v>1464754</v>
      </c>
      <c r="L1862" s="11" t="n">
        <v>227889</v>
      </c>
      <c r="M1862" s="13" t="s">
        <v>150</v>
      </c>
      <c r="N1862" s="13" t="s">
        <v>36</v>
      </c>
      <c r="P1862" s="11" t="n">
        <v>101</v>
      </c>
      <c r="Q1862" s="13" t="s">
        <v>37</v>
      </c>
      <c r="R1862" s="13" t="s">
        <v>139</v>
      </c>
      <c r="S1862" s="11" t="n">
        <v>2110901</v>
      </c>
      <c r="T1862" s="13" t="s">
        <v>140</v>
      </c>
      <c r="U1862" s="14" t="n">
        <v>4000</v>
      </c>
      <c r="W1862" s="14" t="n">
        <v>0</v>
      </c>
      <c r="X1862" s="13" t="s">
        <v>1848</v>
      </c>
      <c r="Z1862" s="1" t="str">
        <f aca="false">IF($T1862="","",IFERROR(INDEX('Resumo Grupos'!$AC$3:$AC$200,MATCH($T1862,'Resumo Grupos'!$AB$3:$AB$200,0)),"n/d"))</f>
        <v>Empréstimo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46237</v>
      </c>
      <c r="C1863" s="12" t="n">
        <v>46267</v>
      </c>
      <c r="D1863" s="11" t="n">
        <v>1708</v>
      </c>
      <c r="E1863" s="13" t="s">
        <v>1613</v>
      </c>
      <c r="F1863" s="11" t="n">
        <v>24</v>
      </c>
      <c r="G1863" s="13" t="s">
        <v>42</v>
      </c>
      <c r="H1863" s="11" t="n">
        <v>2110405</v>
      </c>
      <c r="I1863" s="13" t="s">
        <v>34</v>
      </c>
      <c r="J1863" s="11" t="n">
        <v>1500073</v>
      </c>
      <c r="L1863" s="11" t="n">
        <v>2646963</v>
      </c>
      <c r="M1863" s="13" t="s">
        <v>44</v>
      </c>
      <c r="N1863" s="13" t="s">
        <v>36</v>
      </c>
      <c r="P1863" s="11" t="n">
        <v>167</v>
      </c>
      <c r="Q1863" s="13" t="s">
        <v>101</v>
      </c>
      <c r="R1863" s="13" t="s">
        <v>46</v>
      </c>
      <c r="S1863" s="11" t="n">
        <v>1130101</v>
      </c>
      <c r="T1863" s="13" t="s">
        <v>47</v>
      </c>
      <c r="U1863" s="14" t="n">
        <v>260.45</v>
      </c>
      <c r="W1863" s="14" t="n">
        <v>0</v>
      </c>
      <c r="X1863" s="13" t="s">
        <v>1849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FINI BEIJOS MORANGO 90G</v>
      </c>
      <c r="AC1863" s="1" t="n">
        <v>264696</v>
      </c>
    </row>
    <row r="1864" customFormat="false" ht="45.75" hidden="false" customHeight="true" outlineLevel="0" collapsed="false">
      <c r="A1864" s="11" t="n">
        <v>3</v>
      </c>
      <c r="B1864" s="12" t="n">
        <v>46239</v>
      </c>
      <c r="C1864" s="12" t="n">
        <v>46267</v>
      </c>
      <c r="D1864" s="11" t="n">
        <v>1740</v>
      </c>
      <c r="E1864" s="13" t="s">
        <v>170</v>
      </c>
      <c r="F1864" s="11" t="n">
        <v>24</v>
      </c>
      <c r="G1864" s="13" t="s">
        <v>42</v>
      </c>
      <c r="H1864" s="11" t="n">
        <v>2110405</v>
      </c>
      <c r="I1864" s="13" t="s">
        <v>34</v>
      </c>
      <c r="J1864" s="11" t="n">
        <v>1504743</v>
      </c>
      <c r="L1864" s="11" t="n">
        <v>12556063</v>
      </c>
      <c r="M1864" s="13" t="s">
        <v>44</v>
      </c>
      <c r="N1864" s="13" t="s">
        <v>36</v>
      </c>
      <c r="P1864" s="11" t="n">
        <v>167</v>
      </c>
      <c r="Q1864" s="13" t="s">
        <v>101</v>
      </c>
      <c r="R1864" s="13" t="s">
        <v>46</v>
      </c>
      <c r="S1864" s="11" t="n">
        <v>1130101</v>
      </c>
      <c r="T1864" s="13" t="s">
        <v>47</v>
      </c>
      <c r="U1864" s="14" t="n">
        <v>771.86</v>
      </c>
      <c r="W1864" s="14" t="n">
        <v>0</v>
      </c>
      <c r="X1864" s="13" t="s">
        <v>1850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nao encontrado</v>
      </c>
      <c r="AC1864" s="1" t="n">
        <v>12556061</v>
      </c>
    </row>
    <row r="1865" customFormat="false" ht="54.75" hidden="false" customHeight="true" outlineLevel="0" collapsed="false">
      <c r="A1865" s="11" t="n">
        <v>3</v>
      </c>
      <c r="B1865" s="12" t="n">
        <v>46239</v>
      </c>
      <c r="C1865" s="12" t="n">
        <v>46267</v>
      </c>
      <c r="D1865" s="11" t="n">
        <v>1668</v>
      </c>
      <c r="E1865" s="13" t="s">
        <v>159</v>
      </c>
      <c r="F1865" s="11" t="n">
        <v>24</v>
      </c>
      <c r="G1865" s="13" t="s">
        <v>42</v>
      </c>
      <c r="H1865" s="11" t="n">
        <v>2110405</v>
      </c>
      <c r="I1865" s="13" t="s">
        <v>34</v>
      </c>
      <c r="J1865" s="11" t="n">
        <v>1508023</v>
      </c>
      <c r="L1865" s="11" t="n">
        <v>746264</v>
      </c>
      <c r="M1865" s="13" t="s">
        <v>44</v>
      </c>
      <c r="N1865" s="13" t="s">
        <v>36</v>
      </c>
      <c r="P1865" s="11" t="n">
        <v>167</v>
      </c>
      <c r="Q1865" s="13" t="s">
        <v>101</v>
      </c>
      <c r="R1865" s="13" t="s">
        <v>46</v>
      </c>
      <c r="S1865" s="11" t="n">
        <v>1130101</v>
      </c>
      <c r="T1865" s="13" t="s">
        <v>47</v>
      </c>
      <c r="U1865" s="14" t="n">
        <v>274.14</v>
      </c>
      <c r="W1865" s="14" t="n">
        <v>0</v>
      </c>
      <c r="X1865" s="13" t="s">
        <v>1851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FORMA GALVANOTEK G40</v>
      </c>
      <c r="AC1865" s="1" t="n">
        <v>746264</v>
      </c>
    </row>
    <row r="1866" customFormat="false" ht="54.75" hidden="false" customHeight="true" outlineLevel="0" collapsed="false">
      <c r="A1866" s="11" t="n">
        <v>3</v>
      </c>
      <c r="B1866" s="12" t="n">
        <v>46242</v>
      </c>
      <c r="C1866" s="12" t="n">
        <v>46267</v>
      </c>
      <c r="D1866" s="11" t="n">
        <v>957</v>
      </c>
      <c r="E1866" s="13" t="s">
        <v>720</v>
      </c>
      <c r="F1866" s="11" t="n">
        <v>24</v>
      </c>
      <c r="G1866" s="13" t="s">
        <v>42</v>
      </c>
      <c r="H1866" s="11" t="n">
        <v>2110405</v>
      </c>
      <c r="I1866" s="13" t="s">
        <v>34</v>
      </c>
      <c r="J1866" s="11" t="n">
        <v>1531987</v>
      </c>
      <c r="L1866" s="11" t="n">
        <v>216232</v>
      </c>
      <c r="M1866" s="13" t="s">
        <v>44</v>
      </c>
      <c r="N1866" s="13" t="s">
        <v>36</v>
      </c>
      <c r="P1866" s="11" t="n">
        <v>167</v>
      </c>
      <c r="Q1866" s="13" t="s">
        <v>101</v>
      </c>
      <c r="R1866" s="13" t="s">
        <v>46</v>
      </c>
      <c r="S1866" s="11" t="n">
        <v>1130101</v>
      </c>
      <c r="T1866" s="13" t="s">
        <v>47</v>
      </c>
      <c r="U1866" s="14" t="n">
        <v>1760.2</v>
      </c>
      <c r="W1866" s="14" t="n">
        <v>0</v>
      </c>
      <c r="X1866" s="13" t="s">
        <v>1852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RAC WHISKAS CARNE KG</v>
      </c>
      <c r="AC1866" s="1" t="n">
        <v>21623</v>
      </c>
    </row>
    <row r="1867" customFormat="false" ht="54.75" hidden="false" customHeight="true" outlineLevel="0" collapsed="false">
      <c r="A1867" s="11" t="n">
        <v>3</v>
      </c>
      <c r="B1867" s="12" t="n">
        <v>46245</v>
      </c>
      <c r="C1867" s="12" t="n">
        <v>46267</v>
      </c>
      <c r="D1867" s="11" t="n">
        <v>1734</v>
      </c>
      <c r="E1867" s="13" t="s">
        <v>125</v>
      </c>
      <c r="F1867" s="11" t="n">
        <v>24</v>
      </c>
      <c r="G1867" s="13" t="s">
        <v>42</v>
      </c>
      <c r="H1867" s="11" t="n">
        <v>2110405</v>
      </c>
      <c r="I1867" s="13" t="s">
        <v>34</v>
      </c>
      <c r="J1867" s="11" t="n">
        <v>1537295</v>
      </c>
      <c r="L1867" s="11" t="n">
        <v>257522</v>
      </c>
      <c r="M1867" s="13" t="s">
        <v>44</v>
      </c>
      <c r="N1867" s="13" t="s">
        <v>36</v>
      </c>
      <c r="P1867" s="11" t="n">
        <v>167</v>
      </c>
      <c r="Q1867" s="13" t="s">
        <v>101</v>
      </c>
      <c r="R1867" s="13" t="s">
        <v>46</v>
      </c>
      <c r="S1867" s="11" t="n">
        <v>1130101</v>
      </c>
      <c r="T1867" s="13" t="s">
        <v>47</v>
      </c>
      <c r="U1867" s="14" t="n">
        <v>656.69</v>
      </c>
      <c r="W1867" s="14" t="n">
        <v>0</v>
      </c>
      <c r="X1867" s="13" t="s">
        <v>1853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SORVETE TOYA TOYETTO</v>
      </c>
      <c r="AC1867" s="1" t="n">
        <v>257522</v>
      </c>
    </row>
    <row r="1868" customFormat="false" ht="45.75" hidden="false" customHeight="true" outlineLevel="0" collapsed="false">
      <c r="A1868" s="11" t="n">
        <v>3</v>
      </c>
      <c r="B1868" s="12" t="n">
        <v>46246</v>
      </c>
      <c r="C1868" s="12" t="n">
        <v>46267</v>
      </c>
      <c r="D1868" s="11" t="n">
        <v>1678</v>
      </c>
      <c r="E1868" s="13" t="s">
        <v>190</v>
      </c>
      <c r="F1868" s="11" t="n">
        <v>24</v>
      </c>
      <c r="G1868" s="13" t="s">
        <v>42</v>
      </c>
      <c r="H1868" s="11" t="n">
        <v>2110405</v>
      </c>
      <c r="I1868" s="13" t="s">
        <v>34</v>
      </c>
      <c r="J1868" s="11" t="n">
        <v>1542842</v>
      </c>
      <c r="L1868" s="11" t="n">
        <v>2594222</v>
      </c>
      <c r="M1868" s="13" t="s">
        <v>44</v>
      </c>
      <c r="N1868" s="13" t="s">
        <v>36</v>
      </c>
      <c r="P1868" s="11" t="n">
        <v>167</v>
      </c>
      <c r="Q1868" s="13" t="s">
        <v>101</v>
      </c>
      <c r="R1868" s="13" t="s">
        <v>46</v>
      </c>
      <c r="S1868" s="11" t="n">
        <v>1130101</v>
      </c>
      <c r="T1868" s="13" t="s">
        <v>47</v>
      </c>
      <c r="U1868" s="14" t="n">
        <v>545.13</v>
      </c>
      <c r="W1868" s="14" t="n">
        <v>0</v>
      </c>
      <c r="X1868" s="13" t="s">
        <v>1854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DES CREM EX-SET FLOR</v>
      </c>
      <c r="AC1868" s="1" t="n">
        <v>163841</v>
      </c>
    </row>
    <row r="1869" customFormat="false" ht="36.75" hidden="false" customHeight="true" outlineLevel="0" collapsed="false">
      <c r="A1869" s="11" t="n">
        <v>3</v>
      </c>
      <c r="B1869" s="12" t="n">
        <v>46248</v>
      </c>
      <c r="C1869" s="12" t="n">
        <v>46267</v>
      </c>
      <c r="D1869" s="11" t="n">
        <v>1613</v>
      </c>
      <c r="E1869" s="13" t="s">
        <v>177</v>
      </c>
      <c r="F1869" s="11" t="n">
        <v>24</v>
      </c>
      <c r="G1869" s="13" t="s">
        <v>42</v>
      </c>
      <c r="H1869" s="11" t="n">
        <v>2110405</v>
      </c>
      <c r="I1869" s="13" t="s">
        <v>34</v>
      </c>
      <c r="J1869" s="11" t="n">
        <v>1552204</v>
      </c>
      <c r="L1869" s="11" t="n">
        <v>16193433</v>
      </c>
      <c r="M1869" s="13" t="s">
        <v>44</v>
      </c>
      <c r="N1869" s="13" t="s">
        <v>36</v>
      </c>
      <c r="P1869" s="11" t="n">
        <v>167</v>
      </c>
      <c r="Q1869" s="13" t="s">
        <v>101</v>
      </c>
      <c r="R1869" s="13" t="s">
        <v>46</v>
      </c>
      <c r="S1869" s="11" t="n">
        <v>1130101</v>
      </c>
      <c r="T1869" s="13" t="s">
        <v>47</v>
      </c>
      <c r="U1869" s="14" t="n">
        <v>1120.52</v>
      </c>
      <c r="W1869" s="14" t="n">
        <v>0</v>
      </c>
      <c r="X1869" s="13" t="s">
        <v>1855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CARRE SUINO KG</v>
      </c>
      <c r="AC1869" s="1" t="n">
        <v>1619343</v>
      </c>
    </row>
    <row r="1870" customFormat="false" ht="45.75" hidden="false" customHeight="true" outlineLevel="0" collapsed="false">
      <c r="A1870" s="11" t="n">
        <v>3</v>
      </c>
      <c r="B1870" s="12" t="n">
        <v>46252</v>
      </c>
      <c r="C1870" s="12" t="n">
        <v>46267</v>
      </c>
      <c r="D1870" s="11" t="n">
        <v>1778</v>
      </c>
      <c r="E1870" s="13" t="s">
        <v>116</v>
      </c>
      <c r="F1870" s="11" t="n">
        <v>24</v>
      </c>
      <c r="G1870" s="13" t="s">
        <v>42</v>
      </c>
      <c r="H1870" s="11" t="n">
        <v>2110405</v>
      </c>
      <c r="I1870" s="13" t="s">
        <v>34</v>
      </c>
      <c r="J1870" s="11" t="n">
        <v>1566597</v>
      </c>
      <c r="L1870" s="11" t="n">
        <v>281831</v>
      </c>
      <c r="M1870" s="13" t="s">
        <v>44</v>
      </c>
      <c r="N1870" s="13" t="s">
        <v>36</v>
      </c>
      <c r="P1870" s="11" t="n">
        <v>167</v>
      </c>
      <c r="Q1870" s="13" t="s">
        <v>101</v>
      </c>
      <c r="R1870" s="13" t="s">
        <v>38</v>
      </c>
      <c r="S1870" s="11" t="n">
        <v>4210207</v>
      </c>
      <c r="T1870" s="13" t="s">
        <v>117</v>
      </c>
      <c r="U1870" s="14" t="n">
        <v>337.29</v>
      </c>
      <c r="W1870" s="14" t="n">
        <v>0</v>
      </c>
      <c r="X1870" s="13" t="s">
        <v>1856</v>
      </c>
      <c r="Z1870" s="1" t="str">
        <f aca="false">IF($T1870="","",IFERROR(INDEX('Resumo Grupos'!$AC$3:$AC$200,MATCH($T1870,'Resumo Grupos'!$AB$3:$AB$200,0)),"n/d"))</f>
        <v>Despesa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46253</v>
      </c>
      <c r="C1871" s="12" t="n">
        <v>46267</v>
      </c>
      <c r="D1871" s="11" t="n">
        <v>1681</v>
      </c>
      <c r="E1871" s="13" t="s">
        <v>1345</v>
      </c>
      <c r="F1871" s="11" t="n">
        <v>24</v>
      </c>
      <c r="G1871" s="13" t="s">
        <v>42</v>
      </c>
      <c r="H1871" s="11" t="n">
        <v>2110405</v>
      </c>
      <c r="I1871" s="13" t="s">
        <v>34</v>
      </c>
      <c r="J1871" s="11" t="n">
        <v>1572973</v>
      </c>
      <c r="L1871" s="11" t="n">
        <v>395042</v>
      </c>
      <c r="M1871" s="13" t="s">
        <v>44</v>
      </c>
      <c r="N1871" s="13" t="s">
        <v>36</v>
      </c>
      <c r="P1871" s="11" t="n">
        <v>167</v>
      </c>
      <c r="Q1871" s="13" t="s">
        <v>101</v>
      </c>
      <c r="R1871" s="13" t="s">
        <v>46</v>
      </c>
      <c r="S1871" s="11" t="n">
        <v>1130101</v>
      </c>
      <c r="T1871" s="13" t="s">
        <v>47</v>
      </c>
      <c r="U1871" s="14" t="n">
        <v>2333.04</v>
      </c>
      <c r="W1871" s="14" t="n">
        <v>0</v>
      </c>
      <c r="X1871" s="13" t="s">
        <v>1857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46253</v>
      </c>
      <c r="C1872" s="12" t="n">
        <v>46267</v>
      </c>
      <c r="D1872" s="11" t="n">
        <v>1740</v>
      </c>
      <c r="E1872" s="13" t="s">
        <v>170</v>
      </c>
      <c r="F1872" s="11" t="n">
        <v>24</v>
      </c>
      <c r="G1872" s="13" t="s">
        <v>42</v>
      </c>
      <c r="H1872" s="11" t="n">
        <v>2110405</v>
      </c>
      <c r="I1872" s="13" t="s">
        <v>34</v>
      </c>
      <c r="J1872" s="11" t="n">
        <v>1573172</v>
      </c>
      <c r="L1872" s="11" t="n">
        <v>12609001</v>
      </c>
      <c r="M1872" s="13" t="s">
        <v>44</v>
      </c>
      <c r="N1872" s="13" t="s">
        <v>36</v>
      </c>
      <c r="P1872" s="11" t="n">
        <v>167</v>
      </c>
      <c r="Q1872" s="13" t="s">
        <v>101</v>
      </c>
      <c r="R1872" s="13" t="s">
        <v>46</v>
      </c>
      <c r="S1872" s="11" t="n">
        <v>1130101</v>
      </c>
      <c r="T1872" s="13" t="s">
        <v>47</v>
      </c>
      <c r="U1872" s="14" t="n">
        <v>871.13</v>
      </c>
      <c r="W1872" s="14" t="n">
        <v>0</v>
      </c>
      <c r="X1872" s="13" t="s">
        <v>1858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ASACOMP.FRAG1K</v>
      </c>
      <c r="AC1872" s="1" t="n">
        <v>1260900</v>
      </c>
    </row>
    <row r="1873" customFormat="false" ht="63.75" hidden="false" customHeight="true" outlineLevel="0" collapsed="false">
      <c r="A1873" s="11" t="n">
        <v>3</v>
      </c>
      <c r="B1873" s="12" t="n">
        <v>46253</v>
      </c>
      <c r="C1873" s="12" t="n">
        <v>46267</v>
      </c>
      <c r="D1873" s="11" t="n">
        <v>1456</v>
      </c>
      <c r="E1873" s="13" t="s">
        <v>1859</v>
      </c>
      <c r="F1873" s="11" t="n">
        <v>24</v>
      </c>
      <c r="G1873" s="13" t="s">
        <v>42</v>
      </c>
      <c r="H1873" s="11" t="n">
        <v>2110405</v>
      </c>
      <c r="I1873" s="13" t="s">
        <v>34</v>
      </c>
      <c r="J1873" s="11" t="n">
        <v>1585306</v>
      </c>
      <c r="L1873" s="11" t="n">
        <v>703511</v>
      </c>
      <c r="M1873" s="13" t="s">
        <v>44</v>
      </c>
      <c r="N1873" s="13" t="s">
        <v>36</v>
      </c>
      <c r="P1873" s="11" t="n">
        <v>167</v>
      </c>
      <c r="Q1873" s="13" t="s">
        <v>101</v>
      </c>
      <c r="R1873" s="13" t="s">
        <v>46</v>
      </c>
      <c r="S1873" s="11" t="n">
        <v>1130101</v>
      </c>
      <c r="T1873" s="13" t="s">
        <v>47</v>
      </c>
      <c r="U1873" s="14" t="n">
        <v>226.44</v>
      </c>
      <c r="W1873" s="14" t="n">
        <v>0</v>
      </c>
      <c r="X1873" s="13" t="s">
        <v>1860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SODA CAUSTICA TOP CLEAN 300G</v>
      </c>
      <c r="AC1873" s="1" t="n">
        <v>70351</v>
      </c>
    </row>
    <row r="1874" customFormat="false" ht="45.75" hidden="false" customHeight="true" outlineLevel="0" collapsed="false">
      <c r="A1874" s="11" t="n">
        <v>3</v>
      </c>
      <c r="B1874" s="12" t="n">
        <v>46255</v>
      </c>
      <c r="C1874" s="12" t="n">
        <v>46267</v>
      </c>
      <c r="D1874" s="11" t="n">
        <v>1613</v>
      </c>
      <c r="E1874" s="13" t="s">
        <v>177</v>
      </c>
      <c r="F1874" s="11" t="n">
        <v>24</v>
      </c>
      <c r="G1874" s="13" t="s">
        <v>42</v>
      </c>
      <c r="H1874" s="11" t="n">
        <v>2110405</v>
      </c>
      <c r="I1874" s="13" t="s">
        <v>34</v>
      </c>
      <c r="J1874" s="11" t="n">
        <v>1585495</v>
      </c>
      <c r="L1874" s="11" t="n">
        <v>16220082</v>
      </c>
      <c r="M1874" s="13" t="s">
        <v>44</v>
      </c>
      <c r="N1874" s="13" t="s">
        <v>36</v>
      </c>
      <c r="P1874" s="11" t="n">
        <v>167</v>
      </c>
      <c r="Q1874" s="13" t="s">
        <v>101</v>
      </c>
      <c r="R1874" s="13" t="s">
        <v>46</v>
      </c>
      <c r="S1874" s="11" t="n">
        <v>1130101</v>
      </c>
      <c r="T1874" s="13" t="s">
        <v>47</v>
      </c>
      <c r="U1874" s="14" t="n">
        <v>1332.64</v>
      </c>
      <c r="W1874" s="14" t="n">
        <v>0</v>
      </c>
      <c r="X1874" s="13" t="s">
        <v>1861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FILE PEITOA GRANEL</v>
      </c>
      <c r="AC1874" s="1" t="n">
        <v>1622008</v>
      </c>
    </row>
    <row r="1875" customFormat="false" ht="72.75" hidden="false" customHeight="true" outlineLevel="0" collapsed="false">
      <c r="A1875" s="11" t="n">
        <v>3</v>
      </c>
      <c r="B1875" s="12" t="n">
        <v>46259</v>
      </c>
      <c r="C1875" s="12" t="n">
        <v>46267</v>
      </c>
      <c r="D1875" s="11" t="n">
        <v>1024</v>
      </c>
      <c r="E1875" s="13" t="s">
        <v>161</v>
      </c>
      <c r="F1875" s="11" t="n">
        <v>24</v>
      </c>
      <c r="G1875" s="13" t="s">
        <v>42</v>
      </c>
      <c r="H1875" s="11" t="n">
        <v>2110405</v>
      </c>
      <c r="I1875" s="13" t="s">
        <v>34</v>
      </c>
      <c r="J1875" s="11" t="n">
        <v>1603743</v>
      </c>
      <c r="L1875" s="11" t="n">
        <v>6288891</v>
      </c>
      <c r="M1875" s="13" t="s">
        <v>44</v>
      </c>
      <c r="N1875" s="13" t="s">
        <v>36</v>
      </c>
      <c r="P1875" s="11" t="n">
        <v>167</v>
      </c>
      <c r="Q1875" s="13" t="s">
        <v>101</v>
      </c>
      <c r="R1875" s="13" t="s">
        <v>46</v>
      </c>
      <c r="S1875" s="11" t="n">
        <v>1130101</v>
      </c>
      <c r="T1875" s="13" t="s">
        <v>47</v>
      </c>
      <c r="U1875" s="14" t="n">
        <v>327</v>
      </c>
      <c r="W1875" s="14" t="n">
        <v>0</v>
      </c>
      <c r="X1875" s="13" t="s">
        <v>1862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REAL GOLD 250ML PET</v>
      </c>
      <c r="AC1875" s="1" t="n">
        <v>628889</v>
      </c>
    </row>
    <row r="1876" customFormat="false" ht="36.75" hidden="false" customHeight="true" outlineLevel="0" collapsed="false">
      <c r="A1876" s="11" t="n">
        <v>3</v>
      </c>
      <c r="B1876" s="12" t="n">
        <v>46239</v>
      </c>
      <c r="C1876" s="12" t="n">
        <v>46268</v>
      </c>
      <c r="D1876" s="11" t="n">
        <v>1612</v>
      </c>
      <c r="E1876" s="13" t="s">
        <v>264</v>
      </c>
      <c r="F1876" s="11" t="n">
        <v>24</v>
      </c>
      <c r="G1876" s="13" t="s">
        <v>42</v>
      </c>
      <c r="H1876" s="11" t="n">
        <v>2110405</v>
      </c>
      <c r="I1876" s="13" t="s">
        <v>34</v>
      </c>
      <c r="J1876" s="11" t="n">
        <v>1504117</v>
      </c>
      <c r="L1876" s="11" t="n">
        <v>23076073</v>
      </c>
      <c r="M1876" s="13" t="s">
        <v>44</v>
      </c>
      <c r="N1876" s="13" t="s">
        <v>36</v>
      </c>
      <c r="P1876" s="11" t="n">
        <v>167</v>
      </c>
      <c r="Q1876" s="13" t="s">
        <v>101</v>
      </c>
      <c r="R1876" s="13" t="s">
        <v>46</v>
      </c>
      <c r="S1876" s="11" t="n">
        <v>1130101</v>
      </c>
      <c r="T1876" s="13" t="s">
        <v>47</v>
      </c>
      <c r="U1876" s="14" t="n">
        <v>496.59</v>
      </c>
      <c r="W1876" s="14" t="n">
        <v>0</v>
      </c>
      <c r="X1876" s="13" t="s">
        <v>1863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AMENDOIM JAPONES DORI 30G</v>
      </c>
      <c r="AC1876" s="1" t="n">
        <v>2307607</v>
      </c>
    </row>
    <row r="1877" customFormat="false" ht="45.75" hidden="false" customHeight="true" outlineLevel="0" collapsed="false">
      <c r="A1877" s="11" t="n">
        <v>3</v>
      </c>
      <c r="B1877" s="12" t="n">
        <v>46239</v>
      </c>
      <c r="C1877" s="12" t="n">
        <v>46268</v>
      </c>
      <c r="D1877" s="11" t="n">
        <v>1612</v>
      </c>
      <c r="E1877" s="13" t="s">
        <v>264</v>
      </c>
      <c r="F1877" s="11" t="n">
        <v>24</v>
      </c>
      <c r="G1877" s="13" t="s">
        <v>42</v>
      </c>
      <c r="H1877" s="11" t="n">
        <v>2110405</v>
      </c>
      <c r="I1877" s="13" t="s">
        <v>34</v>
      </c>
      <c r="J1877" s="11" t="n">
        <v>1504139</v>
      </c>
      <c r="L1877" s="11" t="n">
        <v>23076083</v>
      </c>
      <c r="M1877" s="13" t="s">
        <v>44</v>
      </c>
      <c r="N1877" s="13" t="s">
        <v>36</v>
      </c>
      <c r="P1877" s="11" t="n">
        <v>167</v>
      </c>
      <c r="Q1877" s="13" t="s">
        <v>101</v>
      </c>
      <c r="R1877" s="13" t="s">
        <v>46</v>
      </c>
      <c r="S1877" s="11" t="n">
        <v>1130101</v>
      </c>
      <c r="T1877" s="13" t="s">
        <v>47</v>
      </c>
      <c r="U1877" s="14" t="n">
        <v>368.38</v>
      </c>
      <c r="W1877" s="14" t="n">
        <v>0</v>
      </c>
      <c r="X1877" s="13" t="s">
        <v>1864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OVO KINDER JOY 20G</v>
      </c>
      <c r="AC1877" s="1" t="n">
        <v>2307608</v>
      </c>
    </row>
    <row r="1878" customFormat="false" ht="63.75" hidden="false" customHeight="true" outlineLevel="0" collapsed="false">
      <c r="A1878" s="11" t="n">
        <v>3</v>
      </c>
      <c r="B1878" s="12" t="n">
        <v>46239</v>
      </c>
      <c r="C1878" s="12" t="n">
        <v>46268</v>
      </c>
      <c r="D1878" s="11" t="n">
        <v>1601</v>
      </c>
      <c r="E1878" s="13" t="s">
        <v>155</v>
      </c>
      <c r="F1878" s="11" t="n">
        <v>24</v>
      </c>
      <c r="G1878" s="13" t="s">
        <v>42</v>
      </c>
      <c r="H1878" s="11" t="n">
        <v>2110405</v>
      </c>
      <c r="I1878" s="13" t="s">
        <v>34</v>
      </c>
      <c r="J1878" s="11" t="n">
        <v>1508061</v>
      </c>
      <c r="L1878" s="11" t="n">
        <v>9610983</v>
      </c>
      <c r="M1878" s="13" t="s">
        <v>44</v>
      </c>
      <c r="N1878" s="13" t="s">
        <v>36</v>
      </c>
      <c r="P1878" s="11" t="n">
        <v>167</v>
      </c>
      <c r="Q1878" s="13" t="s">
        <v>101</v>
      </c>
      <c r="R1878" s="13" t="s">
        <v>46</v>
      </c>
      <c r="S1878" s="11" t="n">
        <v>1130101</v>
      </c>
      <c r="T1878" s="13" t="s">
        <v>47</v>
      </c>
      <c r="U1878" s="14" t="n">
        <v>477.87</v>
      </c>
      <c r="W1878" s="14" t="n">
        <v>0</v>
      </c>
      <c r="X1878" s="13" t="s">
        <v>1865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TRIGO TRIGOLAR C/F1K</v>
      </c>
      <c r="AC1878" s="1" t="n">
        <v>860572</v>
      </c>
    </row>
    <row r="1879" customFormat="false" ht="36.75" hidden="false" customHeight="true" outlineLevel="0" collapsed="false">
      <c r="A1879" s="11" t="n">
        <v>3</v>
      </c>
      <c r="B1879" s="12" t="n">
        <v>46239</v>
      </c>
      <c r="C1879" s="12" t="n">
        <v>46268</v>
      </c>
      <c r="D1879" s="11" t="n">
        <v>1107</v>
      </c>
      <c r="E1879" s="13" t="s">
        <v>165</v>
      </c>
      <c r="F1879" s="11" t="n">
        <v>24</v>
      </c>
      <c r="G1879" s="13" t="s">
        <v>42</v>
      </c>
      <c r="H1879" s="11" t="n">
        <v>2110405</v>
      </c>
      <c r="I1879" s="13" t="s">
        <v>34</v>
      </c>
      <c r="J1879" s="11" t="n">
        <v>1509650</v>
      </c>
      <c r="L1879" s="11" t="n">
        <v>4383353</v>
      </c>
      <c r="M1879" s="13" t="s">
        <v>44</v>
      </c>
      <c r="N1879" s="13" t="s">
        <v>36</v>
      </c>
      <c r="P1879" s="11" t="n">
        <v>167</v>
      </c>
      <c r="Q1879" s="13" t="s">
        <v>101</v>
      </c>
      <c r="R1879" s="13" t="s">
        <v>46</v>
      </c>
      <c r="S1879" s="11" t="n">
        <v>1130101</v>
      </c>
      <c r="T1879" s="13" t="s">
        <v>47</v>
      </c>
      <c r="U1879" s="14" t="n">
        <v>984.44</v>
      </c>
      <c r="W1879" s="14" t="n">
        <v>0</v>
      </c>
      <c r="X1879" s="13" t="s">
        <v>1866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BOLINHO MORANGO 7308</v>
      </c>
      <c r="AC1879" s="1" t="n">
        <v>438335</v>
      </c>
    </row>
    <row r="1880" customFormat="false" ht="63.75" hidden="false" customHeight="true" outlineLevel="0" collapsed="false">
      <c r="A1880" s="11" t="n">
        <v>3</v>
      </c>
      <c r="B1880" s="12" t="n">
        <v>46245</v>
      </c>
      <c r="C1880" s="12" t="n">
        <v>46268</v>
      </c>
      <c r="D1880" s="11" t="n">
        <v>1699</v>
      </c>
      <c r="E1880" s="13" t="s">
        <v>60</v>
      </c>
      <c r="F1880" s="11" t="n">
        <v>24</v>
      </c>
      <c r="G1880" s="13" t="s">
        <v>42</v>
      </c>
      <c r="H1880" s="11" t="n">
        <v>2110405</v>
      </c>
      <c r="I1880" s="13" t="s">
        <v>34</v>
      </c>
      <c r="J1880" s="11" t="n">
        <v>1537045</v>
      </c>
      <c r="L1880" s="11" t="n">
        <v>3107412</v>
      </c>
      <c r="M1880" s="13" t="s">
        <v>44</v>
      </c>
      <c r="N1880" s="13" t="s">
        <v>36</v>
      </c>
      <c r="P1880" s="11" t="n">
        <v>167</v>
      </c>
      <c r="Q1880" s="13" t="s">
        <v>101</v>
      </c>
      <c r="R1880" s="13" t="s">
        <v>46</v>
      </c>
      <c r="S1880" s="11" t="n">
        <v>1130101</v>
      </c>
      <c r="T1880" s="13" t="s">
        <v>47</v>
      </c>
      <c r="U1880" s="14" t="n">
        <v>1384</v>
      </c>
      <c r="W1880" s="14" t="n">
        <v>0</v>
      </c>
      <c r="X1880" s="13" t="s">
        <v>1867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LING CALABRESA PERD</v>
      </c>
      <c r="AC1880" s="1" t="n">
        <v>310741</v>
      </c>
    </row>
    <row r="1881" customFormat="false" ht="45.75" hidden="false" customHeight="true" outlineLevel="0" collapsed="false">
      <c r="A1881" s="11" t="n">
        <v>3</v>
      </c>
      <c r="B1881" s="12" t="n">
        <v>46247</v>
      </c>
      <c r="C1881" s="12" t="n">
        <v>46268</v>
      </c>
      <c r="D1881" s="11" t="n">
        <v>1740</v>
      </c>
      <c r="E1881" s="13" t="s">
        <v>170</v>
      </c>
      <c r="F1881" s="11" t="n">
        <v>24</v>
      </c>
      <c r="G1881" s="13" t="s">
        <v>42</v>
      </c>
      <c r="H1881" s="11" t="n">
        <v>2110405</v>
      </c>
      <c r="I1881" s="13" t="s">
        <v>34</v>
      </c>
      <c r="J1881" s="11" t="n">
        <v>1542816</v>
      </c>
      <c r="L1881" s="11" t="n">
        <v>12589882</v>
      </c>
      <c r="M1881" s="13" t="s">
        <v>44</v>
      </c>
      <c r="N1881" s="13" t="s">
        <v>36</v>
      </c>
      <c r="P1881" s="11" t="n">
        <v>167</v>
      </c>
      <c r="Q1881" s="13" t="s">
        <v>101</v>
      </c>
      <c r="R1881" s="13" t="s">
        <v>46</v>
      </c>
      <c r="S1881" s="11" t="n">
        <v>1130101</v>
      </c>
      <c r="T1881" s="13" t="s">
        <v>47</v>
      </c>
      <c r="U1881" s="14" t="n">
        <v>354.21</v>
      </c>
      <c r="W1881" s="14" t="n">
        <v>0</v>
      </c>
      <c r="X1881" s="13" t="s">
        <v>1868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IOG BI-CAMADA MGO CO</v>
      </c>
      <c r="AC1881" s="1" t="n">
        <v>1258988</v>
      </c>
    </row>
    <row r="1882" customFormat="false" ht="36.75" hidden="false" customHeight="true" outlineLevel="0" collapsed="false">
      <c r="A1882" s="11" t="n">
        <v>3</v>
      </c>
      <c r="B1882" s="12" t="n">
        <v>46247</v>
      </c>
      <c r="C1882" s="12" t="n">
        <v>46268</v>
      </c>
      <c r="D1882" s="11" t="n">
        <v>1921</v>
      </c>
      <c r="E1882" s="13" t="s">
        <v>247</v>
      </c>
      <c r="F1882" s="11" t="n">
        <v>24</v>
      </c>
      <c r="G1882" s="13" t="s">
        <v>42</v>
      </c>
      <c r="H1882" s="11" t="n">
        <v>2110405</v>
      </c>
      <c r="I1882" s="13" t="s">
        <v>34</v>
      </c>
      <c r="J1882" s="11" t="n">
        <v>1543026</v>
      </c>
      <c r="L1882" s="11" t="n">
        <v>137022</v>
      </c>
      <c r="M1882" s="13" t="s">
        <v>44</v>
      </c>
      <c r="N1882" s="13" t="s">
        <v>36</v>
      </c>
      <c r="P1882" s="11" t="n">
        <v>167</v>
      </c>
      <c r="Q1882" s="13" t="s">
        <v>101</v>
      </c>
      <c r="R1882" s="13" t="s">
        <v>46</v>
      </c>
      <c r="S1882" s="11" t="n">
        <v>1130101</v>
      </c>
      <c r="T1882" s="13" t="s">
        <v>47</v>
      </c>
      <c r="U1882" s="14" t="n">
        <v>355.96</v>
      </c>
      <c r="W1882" s="14" t="n">
        <v>0</v>
      </c>
      <c r="X1882" s="13" t="s">
        <v>1869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CANJICA MILHO BRANCO 400G</v>
      </c>
      <c r="AC1882" s="1" t="n">
        <v>21254</v>
      </c>
    </row>
    <row r="1883" customFormat="false" ht="27.75" hidden="false" customHeight="true" outlineLevel="0" collapsed="false">
      <c r="A1883" s="11" t="n">
        <v>3</v>
      </c>
      <c r="B1883" s="12" t="n">
        <v>46253</v>
      </c>
      <c r="C1883" s="12" t="n">
        <v>46268</v>
      </c>
      <c r="D1883" s="11" t="n">
        <v>1601</v>
      </c>
      <c r="E1883" s="13" t="s">
        <v>155</v>
      </c>
      <c r="F1883" s="11" t="n">
        <v>24</v>
      </c>
      <c r="G1883" s="13" t="s">
        <v>42</v>
      </c>
      <c r="H1883" s="11" t="n">
        <v>2110405</v>
      </c>
      <c r="I1883" s="13" t="s">
        <v>34</v>
      </c>
      <c r="J1883" s="11" t="n">
        <v>1576463</v>
      </c>
      <c r="L1883" s="11" t="n">
        <v>9663141</v>
      </c>
      <c r="M1883" s="13" t="s">
        <v>44</v>
      </c>
      <c r="N1883" s="13" t="s">
        <v>36</v>
      </c>
      <c r="P1883" s="11" t="n">
        <v>167</v>
      </c>
      <c r="Q1883" s="13" t="s">
        <v>101</v>
      </c>
      <c r="R1883" s="13" t="s">
        <v>46</v>
      </c>
      <c r="S1883" s="11" t="n">
        <v>1130101</v>
      </c>
      <c r="T1883" s="13" t="s">
        <v>47</v>
      </c>
      <c r="U1883" s="14" t="n">
        <v>603.25</v>
      </c>
      <c r="W1883" s="14" t="n">
        <v>0</v>
      </c>
      <c r="X1883" s="13" t="s">
        <v>1870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KETCH TOMAT HEIN397G</v>
      </c>
      <c r="AC1883" s="1" t="n">
        <v>865043</v>
      </c>
    </row>
    <row r="1884" customFormat="false" ht="54.75" hidden="false" customHeight="true" outlineLevel="0" collapsed="false">
      <c r="A1884" s="11" t="n">
        <v>3</v>
      </c>
      <c r="B1884" s="12" t="n">
        <v>46253</v>
      </c>
      <c r="C1884" s="12" t="n">
        <v>46268</v>
      </c>
      <c r="D1884" s="11" t="n">
        <v>1608</v>
      </c>
      <c r="E1884" s="13" t="s">
        <v>41</v>
      </c>
      <c r="F1884" s="11" t="n">
        <v>24</v>
      </c>
      <c r="G1884" s="13" t="s">
        <v>42</v>
      </c>
      <c r="H1884" s="11" t="n">
        <v>2110405</v>
      </c>
      <c r="I1884" s="13" t="s">
        <v>34</v>
      </c>
      <c r="J1884" s="11" t="n">
        <v>1576488</v>
      </c>
      <c r="L1884" s="11" t="n">
        <v>17150321</v>
      </c>
      <c r="M1884" s="13" t="s">
        <v>44</v>
      </c>
      <c r="N1884" s="13" t="s">
        <v>36</v>
      </c>
      <c r="P1884" s="11" t="n">
        <v>167</v>
      </c>
      <c r="Q1884" s="13" t="s">
        <v>101</v>
      </c>
      <c r="R1884" s="13" t="s">
        <v>46</v>
      </c>
      <c r="S1884" s="11" t="n">
        <v>1130101</v>
      </c>
      <c r="T1884" s="13" t="s">
        <v>47</v>
      </c>
      <c r="U1884" s="14" t="n">
        <v>789.29</v>
      </c>
      <c r="W1884" s="14" t="n">
        <v>0</v>
      </c>
      <c r="X1884" s="13" t="s">
        <v>1871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TODDYNHO CHOCOLATE</v>
      </c>
      <c r="AC1884" s="1" t="n">
        <v>1715032</v>
      </c>
    </row>
    <row r="1885" customFormat="false" ht="45.75" hidden="false" customHeight="true" outlineLevel="0" collapsed="false">
      <c r="A1885" s="11" t="n">
        <v>3</v>
      </c>
      <c r="B1885" s="12" t="n">
        <v>46253</v>
      </c>
      <c r="C1885" s="12" t="n">
        <v>46268</v>
      </c>
      <c r="D1885" s="11" t="n">
        <v>1605</v>
      </c>
      <c r="E1885" s="13" t="s">
        <v>113</v>
      </c>
      <c r="F1885" s="11" t="n">
        <v>24</v>
      </c>
      <c r="G1885" s="13" t="s">
        <v>42</v>
      </c>
      <c r="H1885" s="11" t="n">
        <v>2110405</v>
      </c>
      <c r="I1885" s="13" t="s">
        <v>34</v>
      </c>
      <c r="J1885" s="11" t="n">
        <v>1580430</v>
      </c>
      <c r="L1885" s="11" t="n">
        <v>223956</v>
      </c>
      <c r="M1885" s="13" t="s">
        <v>44</v>
      </c>
      <c r="N1885" s="13" t="s">
        <v>36</v>
      </c>
      <c r="P1885" s="11" t="n">
        <v>167</v>
      </c>
      <c r="Q1885" s="13" t="s">
        <v>101</v>
      </c>
      <c r="R1885" s="13" t="s">
        <v>46</v>
      </c>
      <c r="S1885" s="11" t="n">
        <v>1130101</v>
      </c>
      <c r="T1885" s="13" t="s">
        <v>47</v>
      </c>
      <c r="U1885" s="14" t="n">
        <v>511.86</v>
      </c>
      <c r="W1885" s="14" t="n">
        <v>0</v>
      </c>
      <c r="X1885" s="13" t="s">
        <v>1872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SUCO DE LARANJA VIGOR 200ML</v>
      </c>
      <c r="AC1885" s="1" t="n">
        <v>223956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46268</v>
      </c>
      <c r="D1886" s="11" t="n">
        <v>1723</v>
      </c>
      <c r="E1886" s="13" t="s">
        <v>76</v>
      </c>
      <c r="F1886" s="11" t="n">
        <v>24</v>
      </c>
      <c r="G1886" s="13" t="s">
        <v>42</v>
      </c>
      <c r="H1886" s="11" t="n">
        <v>2110405</v>
      </c>
      <c r="I1886" s="13" t="s">
        <v>34</v>
      </c>
      <c r="J1886" s="11" t="n">
        <v>1580442</v>
      </c>
      <c r="L1886" s="11" t="n">
        <v>602371</v>
      </c>
      <c r="M1886" s="13" t="s">
        <v>44</v>
      </c>
      <c r="N1886" s="13" t="s">
        <v>36</v>
      </c>
      <c r="P1886" s="11" t="n">
        <v>167</v>
      </c>
      <c r="Q1886" s="13" t="s">
        <v>101</v>
      </c>
      <c r="R1886" s="13" t="s">
        <v>46</v>
      </c>
      <c r="S1886" s="11" t="n">
        <v>1130101</v>
      </c>
      <c r="T1886" s="13" t="s">
        <v>47</v>
      </c>
      <c r="U1886" s="14" t="n">
        <v>1841.2</v>
      </c>
      <c r="W1886" s="14" t="n">
        <v>0</v>
      </c>
      <c r="X1886" s="13" t="s">
        <v>1873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TRASEIRO DE BOI L1</v>
      </c>
      <c r="AC1886" s="1" t="n">
        <v>175182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46268</v>
      </c>
      <c r="D1887" s="11" t="n">
        <v>1621</v>
      </c>
      <c r="E1887" s="13" t="s">
        <v>306</v>
      </c>
      <c r="F1887" s="11" t="n">
        <v>24</v>
      </c>
      <c r="G1887" s="13" t="s">
        <v>42</v>
      </c>
      <c r="H1887" s="11" t="n">
        <v>2110405</v>
      </c>
      <c r="I1887" s="13" t="s">
        <v>34</v>
      </c>
      <c r="J1887" s="11" t="n">
        <v>1595605</v>
      </c>
      <c r="L1887" s="11" t="n">
        <v>974217</v>
      </c>
      <c r="M1887" s="13" t="s">
        <v>44</v>
      </c>
      <c r="N1887" s="13" t="s">
        <v>36</v>
      </c>
      <c r="P1887" s="11" t="n">
        <v>167</v>
      </c>
      <c r="Q1887" s="13" t="s">
        <v>101</v>
      </c>
      <c r="R1887" s="13" t="s">
        <v>46</v>
      </c>
      <c r="S1887" s="11" t="n">
        <v>1130101</v>
      </c>
      <c r="T1887" s="13" t="s">
        <v>47</v>
      </c>
      <c r="U1887" s="14" t="n">
        <v>972.06</v>
      </c>
      <c r="W1887" s="14" t="n">
        <v>0</v>
      </c>
      <c r="X1887" s="13" t="s">
        <v>1874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REFR. ANTAR DIET 350ML</v>
      </c>
      <c r="AC1887" s="1" t="n">
        <v>974217</v>
      </c>
    </row>
    <row r="1888" customFormat="false" ht="45.75" hidden="false" customHeight="true" outlineLevel="0" collapsed="false">
      <c r="A1888" s="11" t="n">
        <v>3</v>
      </c>
      <c r="B1888" s="12" t="n">
        <v>46256</v>
      </c>
      <c r="C1888" s="12" t="n">
        <v>46268</v>
      </c>
      <c r="D1888" s="11" t="n">
        <v>1621</v>
      </c>
      <c r="E1888" s="13" t="s">
        <v>306</v>
      </c>
      <c r="F1888" s="11" t="n">
        <v>24</v>
      </c>
      <c r="G1888" s="13" t="s">
        <v>42</v>
      </c>
      <c r="H1888" s="11" t="n">
        <v>2110405</v>
      </c>
      <c r="I1888" s="13" t="s">
        <v>34</v>
      </c>
      <c r="J1888" s="11" t="n">
        <v>1595624</v>
      </c>
      <c r="L1888" s="11" t="n">
        <v>974218</v>
      </c>
      <c r="M1888" s="13" t="s">
        <v>44</v>
      </c>
      <c r="N1888" s="13" t="s">
        <v>36</v>
      </c>
      <c r="P1888" s="11" t="n">
        <v>167</v>
      </c>
      <c r="Q1888" s="13" t="s">
        <v>101</v>
      </c>
      <c r="R1888" s="13" t="s">
        <v>46</v>
      </c>
      <c r="S1888" s="11" t="n">
        <v>1130101</v>
      </c>
      <c r="T1888" s="13" t="s">
        <v>47</v>
      </c>
      <c r="U1888" s="14" t="n">
        <v>671.58</v>
      </c>
      <c r="W1888" s="14" t="n">
        <v>0</v>
      </c>
      <c r="X1888" s="13" t="s">
        <v>1875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REFRI. GUARANA BARE 2L</v>
      </c>
      <c r="AC1888" s="1" t="n">
        <v>974218</v>
      </c>
    </row>
    <row r="1889" customFormat="false" ht="45.75" hidden="false" customHeight="true" outlineLevel="0" collapsed="false">
      <c r="A1889" s="11" t="n">
        <v>3</v>
      </c>
      <c r="B1889" s="12" t="n">
        <v>46260</v>
      </c>
      <c r="C1889" s="12" t="n">
        <v>46268</v>
      </c>
      <c r="D1889" s="11" t="n">
        <v>1814</v>
      </c>
      <c r="E1889" s="13" t="s">
        <v>339</v>
      </c>
      <c r="F1889" s="11" t="n">
        <v>24</v>
      </c>
      <c r="G1889" s="13" t="s">
        <v>42</v>
      </c>
      <c r="H1889" s="11" t="n">
        <v>2110405</v>
      </c>
      <c r="I1889" s="13" t="s">
        <v>34</v>
      </c>
      <c r="J1889" s="11" t="n">
        <v>1608692</v>
      </c>
      <c r="L1889" s="11" t="n">
        <v>287601</v>
      </c>
      <c r="M1889" s="13" t="s">
        <v>44</v>
      </c>
      <c r="N1889" s="13" t="s">
        <v>36</v>
      </c>
      <c r="P1889" s="11" t="n">
        <v>167</v>
      </c>
      <c r="Q1889" s="13" t="s">
        <v>101</v>
      </c>
      <c r="R1889" s="13" t="s">
        <v>46</v>
      </c>
      <c r="S1889" s="11" t="n">
        <v>1130101</v>
      </c>
      <c r="T1889" s="13" t="s">
        <v>47</v>
      </c>
      <c r="U1889" s="14" t="n">
        <v>673.16</v>
      </c>
      <c r="W1889" s="14" t="n">
        <v>0</v>
      </c>
      <c r="X1889" s="13" t="s">
        <v>1876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POLPA GRAVIOLA 100G</v>
      </c>
      <c r="AC1889" s="1" t="n">
        <v>28760</v>
      </c>
    </row>
    <row r="1890" customFormat="false" ht="45.75" hidden="false" customHeight="true" outlineLevel="0" collapsed="false">
      <c r="A1890" s="11" t="n">
        <v>3</v>
      </c>
      <c r="B1890" s="12" t="n">
        <v>46260</v>
      </c>
      <c r="C1890" s="12" t="n">
        <v>46268</v>
      </c>
      <c r="D1890" s="11" t="n">
        <v>1642</v>
      </c>
      <c r="E1890" s="13" t="s">
        <v>274</v>
      </c>
      <c r="F1890" s="11" t="n">
        <v>24</v>
      </c>
      <c r="G1890" s="13" t="s">
        <v>42</v>
      </c>
      <c r="H1890" s="11" t="n">
        <v>2110405</v>
      </c>
      <c r="I1890" s="13" t="s">
        <v>34</v>
      </c>
      <c r="J1890" s="11" t="n">
        <v>1608717</v>
      </c>
      <c r="L1890" s="11" t="n">
        <v>1038851</v>
      </c>
      <c r="M1890" s="13" t="s">
        <v>44</v>
      </c>
      <c r="N1890" s="13" t="s">
        <v>36</v>
      </c>
      <c r="P1890" s="11" t="n">
        <v>167</v>
      </c>
      <c r="Q1890" s="13" t="s">
        <v>101</v>
      </c>
      <c r="R1890" s="13" t="s">
        <v>46</v>
      </c>
      <c r="S1890" s="11" t="n">
        <v>1130101</v>
      </c>
      <c r="T1890" s="13" t="s">
        <v>47</v>
      </c>
      <c r="U1890" s="14" t="n">
        <v>718.72</v>
      </c>
      <c r="W1890" s="14" t="n">
        <v>0</v>
      </c>
      <c r="X1890" s="13" t="s">
        <v>1877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PAO DE FORMA BROTHER</v>
      </c>
      <c r="AC1890" s="1" t="n">
        <v>1038859</v>
      </c>
    </row>
    <row r="1891" customFormat="false" ht="36.75" hidden="false" customHeight="true" outlineLevel="0" collapsed="false">
      <c r="A1891" s="11" t="n">
        <v>3</v>
      </c>
      <c r="B1891" s="12" t="n">
        <v>46260</v>
      </c>
      <c r="C1891" s="12" t="n">
        <v>46268</v>
      </c>
      <c r="D1891" s="11" t="n">
        <v>1705</v>
      </c>
      <c r="E1891" s="13" t="s">
        <v>122</v>
      </c>
      <c r="F1891" s="11" t="n">
        <v>24</v>
      </c>
      <c r="G1891" s="13" t="s">
        <v>42</v>
      </c>
      <c r="H1891" s="11" t="n">
        <v>2110405</v>
      </c>
      <c r="I1891" s="13" t="s">
        <v>34</v>
      </c>
      <c r="J1891" s="11" t="n">
        <v>1609170</v>
      </c>
      <c r="L1891" s="11" t="n">
        <v>12689187</v>
      </c>
      <c r="M1891" s="13" t="s">
        <v>44</v>
      </c>
      <c r="N1891" s="13" t="s">
        <v>36</v>
      </c>
      <c r="P1891" s="11" t="n">
        <v>167</v>
      </c>
      <c r="Q1891" s="13" t="s">
        <v>101</v>
      </c>
      <c r="R1891" s="13" t="s">
        <v>46</v>
      </c>
      <c r="S1891" s="11" t="n">
        <v>1130101</v>
      </c>
      <c r="T1891" s="13" t="s">
        <v>47</v>
      </c>
      <c r="U1891" s="14" t="n">
        <v>50.39</v>
      </c>
      <c r="W1891" s="14" t="n">
        <v>0</v>
      </c>
      <c r="X1891" s="13" t="s">
        <v>1878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ENERG.MONSTER ABSOLU</v>
      </c>
      <c r="AC1891" s="1" t="n">
        <v>1268918</v>
      </c>
    </row>
    <row r="1892" customFormat="false" ht="54.75" hidden="false" customHeight="true" outlineLevel="0" collapsed="false">
      <c r="A1892" s="11" t="n">
        <v>3</v>
      </c>
      <c r="B1892" s="12" t="n">
        <v>46260</v>
      </c>
      <c r="C1892" s="12" t="n">
        <v>46268</v>
      </c>
      <c r="D1892" s="11" t="n">
        <v>1705</v>
      </c>
      <c r="E1892" s="13" t="s">
        <v>122</v>
      </c>
      <c r="F1892" s="11" t="n">
        <v>24</v>
      </c>
      <c r="G1892" s="13" t="s">
        <v>42</v>
      </c>
      <c r="H1892" s="11" t="n">
        <v>2110405</v>
      </c>
      <c r="I1892" s="13" t="s">
        <v>34</v>
      </c>
      <c r="J1892" s="11" t="n">
        <v>1609181</v>
      </c>
      <c r="L1892" s="11" t="n">
        <v>12689207</v>
      </c>
      <c r="M1892" s="13" t="s">
        <v>44</v>
      </c>
      <c r="N1892" s="13" t="s">
        <v>36</v>
      </c>
      <c r="P1892" s="11" t="n">
        <v>167</v>
      </c>
      <c r="Q1892" s="13" t="s">
        <v>101</v>
      </c>
      <c r="R1892" s="13" t="s">
        <v>46</v>
      </c>
      <c r="S1892" s="11" t="n">
        <v>1130101</v>
      </c>
      <c r="T1892" s="13" t="s">
        <v>47</v>
      </c>
      <c r="U1892" s="14" t="n">
        <v>2473.12</v>
      </c>
      <c r="W1892" s="14" t="n">
        <v>0</v>
      </c>
      <c r="X1892" s="13" t="s">
        <v>1879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KAPO UVA 200ML</v>
      </c>
      <c r="AC1892" s="1" t="n">
        <v>1268920</v>
      </c>
    </row>
    <row r="1893" customFormat="false" ht="54.75" hidden="false" customHeight="true" outlineLevel="0" collapsed="false">
      <c r="A1893" s="11" t="n">
        <v>3</v>
      </c>
      <c r="B1893" s="12" t="n">
        <v>46260</v>
      </c>
      <c r="C1893" s="12" t="n">
        <v>46268</v>
      </c>
      <c r="D1893" s="11" t="n">
        <v>1705</v>
      </c>
      <c r="E1893" s="13" t="s">
        <v>122</v>
      </c>
      <c r="F1893" s="11" t="n">
        <v>24</v>
      </c>
      <c r="G1893" s="13" t="s">
        <v>42</v>
      </c>
      <c r="H1893" s="11" t="n">
        <v>2110405</v>
      </c>
      <c r="I1893" s="13" t="s">
        <v>34</v>
      </c>
      <c r="J1893" s="11" t="n">
        <v>1609185</v>
      </c>
      <c r="L1893" s="11" t="n">
        <v>20135145</v>
      </c>
      <c r="M1893" s="13" t="s">
        <v>44</v>
      </c>
      <c r="N1893" s="13" t="s">
        <v>36</v>
      </c>
      <c r="P1893" s="11" t="n">
        <v>167</v>
      </c>
      <c r="Q1893" s="13" t="s">
        <v>101</v>
      </c>
      <c r="R1893" s="13" t="s">
        <v>46</v>
      </c>
      <c r="S1893" s="11" t="n">
        <v>1130101</v>
      </c>
      <c r="T1893" s="13" t="s">
        <v>47</v>
      </c>
      <c r="U1893" s="14" t="n">
        <v>3474.87</v>
      </c>
      <c r="W1893" s="14" t="n">
        <v>0</v>
      </c>
      <c r="X1893" s="13" t="s">
        <v>1880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REFR FANTA UVA 200ML</v>
      </c>
      <c r="AC1893" s="1" t="n">
        <v>2013514</v>
      </c>
    </row>
    <row r="1894" customFormat="false" ht="27.75" hidden="false" customHeight="true" outlineLevel="0" collapsed="false">
      <c r="A1894" s="11" t="n">
        <v>3</v>
      </c>
      <c r="B1894" s="12" t="n">
        <v>46261</v>
      </c>
      <c r="C1894" s="12" t="n">
        <v>46268</v>
      </c>
      <c r="D1894" s="11" t="n">
        <v>1625</v>
      </c>
      <c r="E1894" s="13" t="s">
        <v>320</v>
      </c>
      <c r="F1894" s="11" t="n">
        <v>24</v>
      </c>
      <c r="G1894" s="13" t="s">
        <v>42</v>
      </c>
      <c r="H1894" s="11" t="n">
        <v>2110405</v>
      </c>
      <c r="I1894" s="13" t="s">
        <v>34</v>
      </c>
      <c r="J1894" s="11" t="n">
        <v>1610122</v>
      </c>
      <c r="L1894" s="11" t="n">
        <v>151781</v>
      </c>
      <c r="M1894" s="13" t="s">
        <v>44</v>
      </c>
      <c r="N1894" s="13" t="s">
        <v>36</v>
      </c>
      <c r="P1894" s="11" t="n">
        <v>167</v>
      </c>
      <c r="Q1894" s="13" t="s">
        <v>101</v>
      </c>
      <c r="R1894" s="13" t="s">
        <v>46</v>
      </c>
      <c r="S1894" s="11" t="n">
        <v>1130101</v>
      </c>
      <c r="T1894" s="13" t="s">
        <v>47</v>
      </c>
      <c r="U1894" s="14" t="n">
        <v>4394.4</v>
      </c>
      <c r="W1894" s="14" t="n">
        <v>0</v>
      </c>
      <c r="X1894" s="13" t="s">
        <v>1881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TRASEIRO DE BOI L1</v>
      </c>
      <c r="AC1894" s="1" t="n">
        <v>15178</v>
      </c>
    </row>
    <row r="1895" customFormat="false" ht="45.75" hidden="false" customHeight="true" outlineLevel="0" collapsed="false">
      <c r="A1895" s="11" t="n">
        <v>3</v>
      </c>
      <c r="B1895" s="12" t="n">
        <v>46231</v>
      </c>
      <c r="C1895" s="12" t="n">
        <v>46269</v>
      </c>
      <c r="D1895" s="11" t="n">
        <v>33</v>
      </c>
      <c r="E1895" s="13" t="s">
        <v>71</v>
      </c>
      <c r="F1895" s="11" t="n">
        <v>34</v>
      </c>
      <c r="G1895" s="13" t="s">
        <v>33</v>
      </c>
      <c r="H1895" s="11" t="n">
        <v>2110405</v>
      </c>
      <c r="I1895" s="13" t="s">
        <v>34</v>
      </c>
      <c r="J1895" s="11" t="n">
        <v>1464721</v>
      </c>
      <c r="L1895" s="11" t="n">
        <v>227878</v>
      </c>
      <c r="M1895" s="13" t="s">
        <v>44</v>
      </c>
      <c r="N1895" s="13" t="s">
        <v>36</v>
      </c>
      <c r="P1895" s="11" t="n">
        <v>101</v>
      </c>
      <c r="Q1895" s="13" t="s">
        <v>37</v>
      </c>
      <c r="R1895" s="13" t="s">
        <v>245</v>
      </c>
      <c r="S1895" s="11" t="n">
        <v>2210202</v>
      </c>
      <c r="T1895" s="13" t="s">
        <v>245</v>
      </c>
      <c r="U1895" s="14" t="n">
        <v>1000</v>
      </c>
      <c r="W1895" s="14" t="n">
        <v>0</v>
      </c>
      <c r="X1895" s="13" t="s">
        <v>246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46234</v>
      </c>
      <c r="C1896" s="12" t="n">
        <v>46269</v>
      </c>
      <c r="D1896" s="11" t="n">
        <v>519</v>
      </c>
      <c r="E1896" s="13" t="s">
        <v>242</v>
      </c>
      <c r="F1896" s="11" t="n">
        <v>34</v>
      </c>
      <c r="G1896" s="13" t="s">
        <v>33</v>
      </c>
      <c r="H1896" s="11" t="n">
        <v>2110405</v>
      </c>
      <c r="I1896" s="13" t="s">
        <v>34</v>
      </c>
      <c r="J1896" s="11" t="n">
        <v>1477410</v>
      </c>
      <c r="L1896" s="11" t="n">
        <v>229713</v>
      </c>
      <c r="M1896" s="13" t="s">
        <v>150</v>
      </c>
      <c r="N1896" s="13" t="s">
        <v>36</v>
      </c>
      <c r="P1896" s="11" t="n">
        <v>101</v>
      </c>
      <c r="Q1896" s="13" t="s">
        <v>37</v>
      </c>
      <c r="R1896" s="13" t="s">
        <v>245</v>
      </c>
      <c r="S1896" s="11" t="n">
        <v>2210203</v>
      </c>
      <c r="T1896" s="13" t="s">
        <v>1532</v>
      </c>
      <c r="U1896" s="14" t="n">
        <v>50000</v>
      </c>
      <c r="W1896" s="14" t="n">
        <v>0</v>
      </c>
      <c r="X1896" s="13" t="s">
        <v>1533</v>
      </c>
      <c r="Z1896" s="1" t="str">
        <f aca="false">IF($T1896="","",IFERROR(INDEX('Resumo Grupos'!$AC$3:$AC$200,MATCH($T1896,'Resumo Grupos'!$AB$3:$AB$200,0)),"n/d"))</f>
        <v>Empréstimo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46239</v>
      </c>
      <c r="C1897" s="12" t="n">
        <v>46269</v>
      </c>
      <c r="D1897" s="11" t="n">
        <v>1699</v>
      </c>
      <c r="E1897" s="13" t="s">
        <v>60</v>
      </c>
      <c r="F1897" s="11" t="n">
        <v>24</v>
      </c>
      <c r="G1897" s="13" t="s">
        <v>42</v>
      </c>
      <c r="H1897" s="11" t="n">
        <v>2110405</v>
      </c>
      <c r="I1897" s="13" t="s">
        <v>34</v>
      </c>
      <c r="J1897" s="11" t="n">
        <v>1512621</v>
      </c>
      <c r="L1897" s="11" t="n">
        <v>3101543</v>
      </c>
      <c r="M1897" s="13" t="s">
        <v>44</v>
      </c>
      <c r="N1897" s="13" t="s">
        <v>36</v>
      </c>
      <c r="P1897" s="11" t="n">
        <v>167</v>
      </c>
      <c r="Q1897" s="13" t="s">
        <v>101</v>
      </c>
      <c r="R1897" s="13" t="s">
        <v>46</v>
      </c>
      <c r="S1897" s="11" t="n">
        <v>1130101</v>
      </c>
      <c r="T1897" s="13" t="s">
        <v>47</v>
      </c>
      <c r="U1897" s="14" t="n">
        <v>986.04</v>
      </c>
      <c r="W1897" s="14" t="n">
        <v>0</v>
      </c>
      <c r="X1897" s="13" t="s">
        <v>1882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CONS CARNE BO320G</v>
      </c>
      <c r="AC1897" s="1" t="n">
        <v>310154</v>
      </c>
    </row>
    <row r="1898" customFormat="false" ht="27.75" hidden="false" customHeight="true" outlineLevel="0" collapsed="false">
      <c r="A1898" s="11" t="n">
        <v>3</v>
      </c>
      <c r="B1898" s="12" t="n">
        <v>46240</v>
      </c>
      <c r="C1898" s="12" t="n">
        <v>46269</v>
      </c>
      <c r="D1898" s="11" t="n">
        <v>1136</v>
      </c>
      <c r="E1898" s="13" t="s">
        <v>693</v>
      </c>
      <c r="F1898" s="11" t="n">
        <v>24</v>
      </c>
      <c r="G1898" s="13" t="s">
        <v>42</v>
      </c>
      <c r="H1898" s="11" t="n">
        <v>2110405</v>
      </c>
      <c r="I1898" s="13" t="s">
        <v>34</v>
      </c>
      <c r="J1898" s="11" t="n">
        <v>1513145</v>
      </c>
      <c r="L1898" s="11" t="n">
        <v>535483</v>
      </c>
      <c r="M1898" s="13" t="s">
        <v>44</v>
      </c>
      <c r="N1898" s="13" t="s">
        <v>36</v>
      </c>
      <c r="P1898" s="11" t="n">
        <v>167</v>
      </c>
      <c r="Q1898" s="13" t="s">
        <v>101</v>
      </c>
      <c r="R1898" s="13" t="s">
        <v>46</v>
      </c>
      <c r="S1898" s="11" t="n">
        <v>1130101</v>
      </c>
      <c r="T1898" s="13" t="s">
        <v>47</v>
      </c>
      <c r="U1898" s="14" t="n">
        <v>500.78</v>
      </c>
      <c r="W1898" s="14" t="n">
        <v>0</v>
      </c>
      <c r="X1898" s="13" t="s">
        <v>1883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ESCOVA DENTAL WIT BA</v>
      </c>
      <c r="AC1898" s="1" t="n">
        <v>53548</v>
      </c>
    </row>
    <row r="1899" customFormat="false" ht="54.75" hidden="false" customHeight="true" outlineLevel="0" collapsed="false">
      <c r="A1899" s="11" t="n">
        <v>3</v>
      </c>
      <c r="B1899" s="12" t="n">
        <v>46234</v>
      </c>
      <c r="C1899" s="12" t="n">
        <v>46269</v>
      </c>
      <c r="D1899" s="11" t="n">
        <v>1675</v>
      </c>
      <c r="E1899" s="13" t="s">
        <v>163</v>
      </c>
      <c r="F1899" s="11" t="n">
        <v>24</v>
      </c>
      <c r="G1899" s="13" t="s">
        <v>42</v>
      </c>
      <c r="H1899" s="11" t="n">
        <v>2110405</v>
      </c>
      <c r="I1899" s="13" t="s">
        <v>34</v>
      </c>
      <c r="J1899" s="11" t="n">
        <v>1517556</v>
      </c>
      <c r="L1899" s="11" t="n">
        <v>5068382</v>
      </c>
      <c r="M1899" s="13" t="s">
        <v>44</v>
      </c>
      <c r="N1899" s="13" t="s">
        <v>36</v>
      </c>
      <c r="P1899" s="11" t="n">
        <v>167</v>
      </c>
      <c r="Q1899" s="13" t="s">
        <v>101</v>
      </c>
      <c r="R1899" s="13" t="s">
        <v>46</v>
      </c>
      <c r="S1899" s="11" t="n">
        <v>1130101</v>
      </c>
      <c r="T1899" s="13" t="s">
        <v>47</v>
      </c>
      <c r="U1899" s="14" t="n">
        <v>300.54</v>
      </c>
      <c r="W1899" s="14" t="n">
        <v>0</v>
      </c>
      <c r="X1899" s="13" t="s">
        <v>1884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5068382</v>
      </c>
    </row>
    <row r="1900" customFormat="false" ht="63.75" hidden="false" customHeight="true" outlineLevel="0" collapsed="false">
      <c r="A1900" s="11" t="n">
        <v>3</v>
      </c>
      <c r="B1900" s="12" t="n">
        <v>46249</v>
      </c>
      <c r="C1900" s="12" t="n">
        <v>46269</v>
      </c>
      <c r="D1900" s="11" t="n">
        <v>1815</v>
      </c>
      <c r="E1900" s="13" t="s">
        <v>53</v>
      </c>
      <c r="F1900" s="11" t="n">
        <v>24</v>
      </c>
      <c r="G1900" s="13" t="s">
        <v>42</v>
      </c>
      <c r="H1900" s="11" t="n">
        <v>2110405</v>
      </c>
      <c r="I1900" s="13" t="s">
        <v>34</v>
      </c>
      <c r="J1900" s="11" t="n">
        <v>1551639</v>
      </c>
      <c r="L1900" s="11" t="n">
        <v>4625882</v>
      </c>
      <c r="M1900" s="13" t="s">
        <v>44</v>
      </c>
      <c r="N1900" s="13" t="s">
        <v>36</v>
      </c>
      <c r="P1900" s="11" t="n">
        <v>167</v>
      </c>
      <c r="Q1900" s="13" t="s">
        <v>101</v>
      </c>
      <c r="R1900" s="13" t="s">
        <v>46</v>
      </c>
      <c r="S1900" s="11" t="n">
        <v>1130101</v>
      </c>
      <c r="T1900" s="13" t="s">
        <v>47</v>
      </c>
      <c r="U1900" s="14" t="n">
        <v>655.61</v>
      </c>
      <c r="W1900" s="14" t="n">
        <v>0</v>
      </c>
      <c r="X1900" s="13" t="s">
        <v>1885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FIGADO BOVINO KG</v>
      </c>
      <c r="AC1900" s="1" t="n">
        <v>398009</v>
      </c>
    </row>
    <row r="1901" customFormat="false" ht="54.75" hidden="false" customHeight="true" outlineLevel="0" collapsed="false">
      <c r="A1901" s="11" t="n">
        <v>3</v>
      </c>
      <c r="B1901" s="12" t="n">
        <v>46247</v>
      </c>
      <c r="C1901" s="12" t="n">
        <v>46269</v>
      </c>
      <c r="D1901" s="11" t="n">
        <v>1720</v>
      </c>
      <c r="E1901" s="13" t="s">
        <v>985</v>
      </c>
      <c r="F1901" s="11" t="n">
        <v>24</v>
      </c>
      <c r="G1901" s="13" t="s">
        <v>42</v>
      </c>
      <c r="H1901" s="11" t="n">
        <v>2110405</v>
      </c>
      <c r="I1901" s="13" t="s">
        <v>34</v>
      </c>
      <c r="J1901" s="11" t="n">
        <v>1551686</v>
      </c>
      <c r="L1901" s="11" t="n">
        <v>613791</v>
      </c>
      <c r="M1901" s="13" t="s">
        <v>44</v>
      </c>
      <c r="N1901" s="13" t="s">
        <v>36</v>
      </c>
      <c r="P1901" s="11" t="n">
        <v>167</v>
      </c>
      <c r="Q1901" s="13" t="s">
        <v>101</v>
      </c>
      <c r="R1901" s="13" t="s">
        <v>46</v>
      </c>
      <c r="S1901" s="11" t="n">
        <v>1130101</v>
      </c>
      <c r="T1901" s="13" t="s">
        <v>47</v>
      </c>
      <c r="U1901" s="14" t="n">
        <v>625.75</v>
      </c>
      <c r="W1901" s="14" t="n">
        <v>0</v>
      </c>
      <c r="X1901" s="13" t="s">
        <v>1886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VELAS D'LUZ 8UN</v>
      </c>
      <c r="AC1901" s="1" t="n">
        <v>48211</v>
      </c>
    </row>
    <row r="1902" customFormat="false" ht="27.75" hidden="false" customHeight="true" outlineLevel="0" collapsed="false">
      <c r="A1902" s="11" t="n">
        <v>3</v>
      </c>
      <c r="B1902" s="12" t="n">
        <v>46255</v>
      </c>
      <c r="C1902" s="12" t="n">
        <v>46269</v>
      </c>
      <c r="D1902" s="11" t="n">
        <v>1643</v>
      </c>
      <c r="E1902" s="13" t="s">
        <v>198</v>
      </c>
      <c r="F1902" s="11" t="n">
        <v>24</v>
      </c>
      <c r="G1902" s="13" t="s">
        <v>42</v>
      </c>
      <c r="H1902" s="11" t="n">
        <v>2110405</v>
      </c>
      <c r="I1902" s="13" t="s">
        <v>34</v>
      </c>
      <c r="J1902" s="11" t="n">
        <v>1582181</v>
      </c>
      <c r="L1902" s="11" t="n">
        <v>10923</v>
      </c>
      <c r="M1902" s="13" t="s">
        <v>44</v>
      </c>
      <c r="N1902" s="13" t="s">
        <v>36</v>
      </c>
      <c r="P1902" s="11" t="n">
        <v>167</v>
      </c>
      <c r="Q1902" s="13" t="s">
        <v>101</v>
      </c>
      <c r="R1902" s="13" t="s">
        <v>46</v>
      </c>
      <c r="S1902" s="11" t="n">
        <v>1130101</v>
      </c>
      <c r="T1902" s="13" t="s">
        <v>47</v>
      </c>
      <c r="U1902" s="14" t="n">
        <v>228</v>
      </c>
      <c r="W1902" s="14" t="n">
        <v>0</v>
      </c>
      <c r="X1902" s="13" t="s">
        <v>1887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COCADA CASMORENINH</v>
      </c>
      <c r="AC1902" s="1" t="n">
        <v>10923</v>
      </c>
    </row>
    <row r="1903" customFormat="false" ht="63.75" hidden="false" customHeight="true" outlineLevel="0" collapsed="false">
      <c r="A1903" s="11" t="n">
        <v>3</v>
      </c>
      <c r="B1903" s="12" t="n">
        <v>46255</v>
      </c>
      <c r="C1903" s="12" t="n">
        <v>46269</v>
      </c>
      <c r="D1903" s="11" t="n">
        <v>1695</v>
      </c>
      <c r="E1903" s="13" t="s">
        <v>269</v>
      </c>
      <c r="F1903" s="11" t="n">
        <v>24</v>
      </c>
      <c r="G1903" s="13" t="s">
        <v>42</v>
      </c>
      <c r="H1903" s="11" t="n">
        <v>2110405</v>
      </c>
      <c r="I1903" s="13" t="s">
        <v>34</v>
      </c>
      <c r="J1903" s="11" t="n">
        <v>1582328</v>
      </c>
      <c r="L1903" s="11" t="n">
        <v>1998602</v>
      </c>
      <c r="M1903" s="13" t="s">
        <v>44</v>
      </c>
      <c r="N1903" s="13" t="s">
        <v>36</v>
      </c>
      <c r="P1903" s="11" t="n">
        <v>167</v>
      </c>
      <c r="Q1903" s="13" t="s">
        <v>101</v>
      </c>
      <c r="R1903" s="13" t="s">
        <v>46</v>
      </c>
      <c r="S1903" s="11" t="n">
        <v>1130101</v>
      </c>
      <c r="T1903" s="13" t="s">
        <v>47</v>
      </c>
      <c r="U1903" s="14" t="n">
        <v>1924.08</v>
      </c>
      <c r="W1903" s="14" t="n">
        <v>0</v>
      </c>
      <c r="X1903" s="13" t="s">
        <v>1888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SUCO JANDAI CAJU500M</v>
      </c>
      <c r="AC1903" s="1" t="n">
        <v>19986</v>
      </c>
    </row>
    <row r="1904" customFormat="false" ht="36.75" hidden="false" customHeight="true" outlineLevel="0" collapsed="false">
      <c r="A1904" s="11" t="n">
        <v>3</v>
      </c>
      <c r="B1904" s="12" t="n">
        <v>46254</v>
      </c>
      <c r="C1904" s="12" t="n">
        <v>46269</v>
      </c>
      <c r="D1904" s="11" t="n">
        <v>1666</v>
      </c>
      <c r="E1904" s="13" t="s">
        <v>212</v>
      </c>
      <c r="F1904" s="11" t="n">
        <v>24</v>
      </c>
      <c r="G1904" s="13" t="s">
        <v>42</v>
      </c>
      <c r="H1904" s="11" t="n">
        <v>2110405</v>
      </c>
      <c r="I1904" s="13" t="s">
        <v>34</v>
      </c>
      <c r="J1904" s="11" t="n">
        <v>1584828</v>
      </c>
      <c r="L1904" s="11" t="n">
        <v>5708732</v>
      </c>
      <c r="M1904" s="13" t="s">
        <v>44</v>
      </c>
      <c r="N1904" s="13" t="s">
        <v>36</v>
      </c>
      <c r="P1904" s="11" t="n">
        <v>167</v>
      </c>
      <c r="Q1904" s="13" t="s">
        <v>101</v>
      </c>
      <c r="R1904" s="13" t="s">
        <v>46</v>
      </c>
      <c r="S1904" s="11" t="n">
        <v>1130101</v>
      </c>
      <c r="T1904" s="13" t="s">
        <v>47</v>
      </c>
      <c r="U1904" s="14" t="n">
        <v>2253.66</v>
      </c>
      <c r="W1904" s="14" t="n">
        <v>0</v>
      </c>
      <c r="X1904" s="13" t="s">
        <v>1889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DUNHILL CARLTON BLEN</v>
      </c>
      <c r="AC1904" s="1" t="n">
        <v>570873</v>
      </c>
    </row>
    <row r="1905" customFormat="false" ht="36.75" hidden="false" customHeight="true" outlineLevel="0" collapsed="false">
      <c r="A1905" s="11" t="n">
        <v>3</v>
      </c>
      <c r="B1905" s="12" t="n">
        <v>46254</v>
      </c>
      <c r="C1905" s="12" t="n">
        <v>46269</v>
      </c>
      <c r="D1905" s="11" t="n">
        <v>1122</v>
      </c>
      <c r="E1905" s="13" t="s">
        <v>1242</v>
      </c>
      <c r="F1905" s="11" t="n">
        <v>24</v>
      </c>
      <c r="G1905" s="13" t="s">
        <v>42</v>
      </c>
      <c r="H1905" s="11" t="n">
        <v>2110405</v>
      </c>
      <c r="I1905" s="13" t="s">
        <v>34</v>
      </c>
      <c r="J1905" s="11" t="n">
        <v>1585055</v>
      </c>
      <c r="L1905" s="11" t="n">
        <v>694811</v>
      </c>
      <c r="M1905" s="13" t="s">
        <v>44</v>
      </c>
      <c r="N1905" s="13" t="s">
        <v>36</v>
      </c>
      <c r="P1905" s="11" t="n">
        <v>167</v>
      </c>
      <c r="Q1905" s="13" t="s">
        <v>101</v>
      </c>
      <c r="R1905" s="13" t="s">
        <v>46</v>
      </c>
      <c r="S1905" s="11" t="n">
        <v>1130101</v>
      </c>
      <c r="T1905" s="13" t="s">
        <v>47</v>
      </c>
      <c r="U1905" s="14" t="n">
        <v>226.8</v>
      </c>
      <c r="W1905" s="14" t="n">
        <v>0</v>
      </c>
      <c r="X1905" s="13" t="s">
        <v>1890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VELA VULCAO DOURADO</v>
      </c>
      <c r="AC1905" s="1" t="n">
        <v>12955</v>
      </c>
    </row>
    <row r="1906" customFormat="false" ht="45.75" hidden="false" customHeight="true" outlineLevel="0" collapsed="false">
      <c r="A1906" s="11" t="n">
        <v>3</v>
      </c>
      <c r="B1906" s="12" t="n">
        <v>46254</v>
      </c>
      <c r="C1906" s="12" t="n">
        <v>46269</v>
      </c>
      <c r="D1906" s="11" t="n">
        <v>1398</v>
      </c>
      <c r="E1906" s="13" t="s">
        <v>1245</v>
      </c>
      <c r="F1906" s="11" t="n">
        <v>24</v>
      </c>
      <c r="G1906" s="13" t="s">
        <v>42</v>
      </c>
      <c r="H1906" s="11" t="n">
        <v>2110405</v>
      </c>
      <c r="I1906" s="13" t="s">
        <v>34</v>
      </c>
      <c r="J1906" s="11" t="n">
        <v>1585250</v>
      </c>
      <c r="L1906" s="11" t="n">
        <v>35501</v>
      </c>
      <c r="M1906" s="13" t="s">
        <v>44</v>
      </c>
      <c r="N1906" s="13" t="s">
        <v>36</v>
      </c>
      <c r="P1906" s="11" t="n">
        <v>167</v>
      </c>
      <c r="Q1906" s="13" t="s">
        <v>101</v>
      </c>
      <c r="R1906" s="13" t="s">
        <v>46</v>
      </c>
      <c r="S1906" s="11" t="n">
        <v>1130101</v>
      </c>
      <c r="T1906" s="13" t="s">
        <v>47</v>
      </c>
      <c r="U1906" s="14" t="n">
        <v>153.33</v>
      </c>
      <c r="W1906" s="14" t="n">
        <v>0</v>
      </c>
      <c r="X1906" s="13" t="s">
        <v>1891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TORNEIRA PLASTICA P/</v>
      </c>
      <c r="AC1906" s="1" t="n">
        <v>1358</v>
      </c>
    </row>
    <row r="1907" customFormat="false" ht="54.75" hidden="false" customHeight="true" outlineLevel="0" collapsed="false">
      <c r="A1907" s="11" t="n">
        <v>3</v>
      </c>
      <c r="B1907" s="12" t="n">
        <v>46255</v>
      </c>
      <c r="C1907" s="12" t="n">
        <v>46269</v>
      </c>
      <c r="D1907" s="11" t="n">
        <v>10027</v>
      </c>
      <c r="E1907" s="13" t="s">
        <v>1659</v>
      </c>
      <c r="F1907" s="11" t="n">
        <v>34</v>
      </c>
      <c r="G1907" s="13" t="s">
        <v>33</v>
      </c>
      <c r="H1907" s="11" t="n">
        <v>2110405</v>
      </c>
      <c r="I1907" s="13" t="s">
        <v>34</v>
      </c>
      <c r="J1907" s="11" t="n">
        <v>1600365</v>
      </c>
      <c r="L1907" s="11" t="n">
        <v>246885</v>
      </c>
      <c r="M1907" s="13" t="s">
        <v>44</v>
      </c>
      <c r="N1907" s="13" t="s">
        <v>36</v>
      </c>
      <c r="P1907" s="11" t="n">
        <v>167</v>
      </c>
      <c r="Q1907" s="13" t="s">
        <v>101</v>
      </c>
      <c r="R1907" s="13" t="s">
        <v>1660</v>
      </c>
      <c r="S1907" s="11" t="n">
        <v>1240103</v>
      </c>
      <c r="T1907" s="13" t="s">
        <v>1661</v>
      </c>
      <c r="U1907" s="14" t="n">
        <v>1000</v>
      </c>
      <c r="W1907" s="14" t="n">
        <v>0</v>
      </c>
      <c r="X1907" s="13" t="s">
        <v>1892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46261</v>
      </c>
      <c r="C1908" s="12" t="n">
        <v>46269</v>
      </c>
      <c r="D1908" s="11" t="n">
        <v>10063</v>
      </c>
      <c r="E1908" s="13" t="s">
        <v>218</v>
      </c>
      <c r="F1908" s="11" t="n">
        <v>24</v>
      </c>
      <c r="G1908" s="13" t="s">
        <v>42</v>
      </c>
      <c r="H1908" s="11" t="n">
        <v>2110405</v>
      </c>
      <c r="I1908" s="13" t="s">
        <v>34</v>
      </c>
      <c r="J1908" s="11" t="n">
        <v>1613272</v>
      </c>
      <c r="L1908" s="11" t="n">
        <v>2781</v>
      </c>
      <c r="M1908" s="13" t="s">
        <v>44</v>
      </c>
      <c r="N1908" s="13" t="s">
        <v>36</v>
      </c>
      <c r="P1908" s="11" t="n">
        <v>167</v>
      </c>
      <c r="Q1908" s="13" t="s">
        <v>101</v>
      </c>
      <c r="R1908" s="13" t="s">
        <v>46</v>
      </c>
      <c r="S1908" s="11" t="n">
        <v>1130101</v>
      </c>
      <c r="T1908" s="13" t="s">
        <v>47</v>
      </c>
      <c r="U1908" s="14" t="n">
        <v>1455</v>
      </c>
      <c r="W1908" s="14" t="n">
        <v>0</v>
      </c>
      <c r="X1908" s="13" t="s">
        <v>1893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OVOS MARROM UNID</v>
      </c>
      <c r="AC1908" s="1" t="n">
        <v>2781</v>
      </c>
    </row>
    <row r="1909" customFormat="false" ht="54.75" hidden="false" customHeight="true" outlineLevel="0" collapsed="false">
      <c r="A1909" s="11" t="n">
        <v>3</v>
      </c>
      <c r="B1909" s="12" t="n">
        <v>46262</v>
      </c>
      <c r="C1909" s="12" t="n">
        <v>46269</v>
      </c>
      <c r="D1909" s="11" t="n">
        <v>1613</v>
      </c>
      <c r="E1909" s="13" t="s">
        <v>177</v>
      </c>
      <c r="F1909" s="11" t="n">
        <v>24</v>
      </c>
      <c r="G1909" s="13" t="s">
        <v>42</v>
      </c>
      <c r="H1909" s="11" t="n">
        <v>2110405</v>
      </c>
      <c r="I1909" s="13" t="s">
        <v>34</v>
      </c>
      <c r="J1909" s="11" t="n">
        <v>1613491</v>
      </c>
      <c r="L1909" s="11" t="n">
        <v>16248381</v>
      </c>
      <c r="M1909" s="13" t="s">
        <v>44</v>
      </c>
      <c r="N1909" s="13" t="s">
        <v>36</v>
      </c>
      <c r="P1909" s="11" t="n">
        <v>167</v>
      </c>
      <c r="Q1909" s="13" t="s">
        <v>101</v>
      </c>
      <c r="R1909" s="13" t="s">
        <v>46</v>
      </c>
      <c r="S1909" s="11" t="n">
        <v>1130101</v>
      </c>
      <c r="T1909" s="13" t="s">
        <v>47</v>
      </c>
      <c r="U1909" s="14" t="n">
        <v>1100.04</v>
      </c>
      <c r="W1909" s="14" t="n">
        <v>0</v>
      </c>
      <c r="X1909" s="13" t="s">
        <v>1894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FILE PEITOA GRANEL</v>
      </c>
      <c r="AC1909" s="1" t="n">
        <v>1624838</v>
      </c>
    </row>
    <row r="1910" customFormat="false" ht="54.75" hidden="false" customHeight="true" outlineLevel="0" collapsed="false">
      <c r="A1910" s="11" t="n">
        <v>3</v>
      </c>
      <c r="B1910" s="12" t="n">
        <v>46263</v>
      </c>
      <c r="C1910" s="12" t="n">
        <v>46269</v>
      </c>
      <c r="D1910" s="11" t="n">
        <v>1722</v>
      </c>
      <c r="E1910" s="13" t="s">
        <v>417</v>
      </c>
      <c r="F1910" s="11" t="n">
        <v>24</v>
      </c>
      <c r="G1910" s="13" t="s">
        <v>42</v>
      </c>
      <c r="H1910" s="11" t="n">
        <v>2110405</v>
      </c>
      <c r="I1910" s="13" t="s">
        <v>34</v>
      </c>
      <c r="J1910" s="11" t="n">
        <v>1629265</v>
      </c>
      <c r="L1910" s="11" t="n">
        <v>250833</v>
      </c>
      <c r="M1910" s="13" t="s">
        <v>44</v>
      </c>
      <c r="N1910" s="13" t="s">
        <v>36</v>
      </c>
      <c r="P1910" s="11" t="n">
        <v>167</v>
      </c>
      <c r="Q1910" s="13" t="s">
        <v>101</v>
      </c>
      <c r="R1910" s="13" t="s">
        <v>46</v>
      </c>
      <c r="S1910" s="11" t="n">
        <v>1130101</v>
      </c>
      <c r="T1910" s="13" t="s">
        <v>47</v>
      </c>
      <c r="U1910" s="14" t="n">
        <v>310</v>
      </c>
      <c r="W1910" s="14" t="n">
        <v>0</v>
      </c>
      <c r="X1910" s="13" t="s">
        <v>1895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PAO INTEGRAL 400G</v>
      </c>
      <c r="AC1910" s="1" t="n">
        <v>7164</v>
      </c>
    </row>
    <row r="1911" customFormat="false" ht="54.75" hidden="false" customHeight="true" outlineLevel="0" collapsed="false">
      <c r="A1911" s="11" t="n">
        <v>3</v>
      </c>
      <c r="B1911" s="12" t="n">
        <v>46147</v>
      </c>
      <c r="C1911" s="12" t="n">
        <v>46270</v>
      </c>
      <c r="D1911" s="11" t="n">
        <v>515</v>
      </c>
      <c r="E1911" s="13" t="s">
        <v>105</v>
      </c>
      <c r="F1911" s="11" t="n">
        <v>34</v>
      </c>
      <c r="G1911" s="13" t="s">
        <v>33</v>
      </c>
      <c r="H1911" s="11" t="n">
        <v>2110405</v>
      </c>
      <c r="I1911" s="13" t="s">
        <v>34</v>
      </c>
      <c r="J1911" s="11" t="n">
        <v>1157461</v>
      </c>
      <c r="L1911" s="11" t="n">
        <v>181615</v>
      </c>
      <c r="M1911" s="13" t="s">
        <v>380</v>
      </c>
      <c r="N1911" s="13" t="s">
        <v>36</v>
      </c>
      <c r="P1911" s="11" t="n">
        <v>101</v>
      </c>
      <c r="Q1911" s="13" t="s">
        <v>37</v>
      </c>
      <c r="R1911" s="13" t="s">
        <v>85</v>
      </c>
      <c r="S1911" s="11" t="n">
        <v>4210508</v>
      </c>
      <c r="T1911" s="13" t="s">
        <v>106</v>
      </c>
      <c r="U1911" s="14" t="n">
        <v>151.61</v>
      </c>
      <c r="W1911" s="14" t="n">
        <v>0</v>
      </c>
      <c r="X1911" s="13" t="s">
        <v>1896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46231</v>
      </c>
      <c r="C1912" s="12" t="n">
        <v>46270</v>
      </c>
      <c r="D1912" s="11" t="n">
        <v>1040</v>
      </c>
      <c r="E1912" s="13" t="s">
        <v>215</v>
      </c>
      <c r="F1912" s="11" t="n">
        <v>24</v>
      </c>
      <c r="G1912" s="13" t="s">
        <v>42</v>
      </c>
      <c r="H1912" s="11" t="n">
        <v>2110405</v>
      </c>
      <c r="I1912" s="13" t="s">
        <v>34</v>
      </c>
      <c r="J1912" s="11" t="n">
        <v>1464735</v>
      </c>
      <c r="L1912" s="11" t="n">
        <v>227881</v>
      </c>
      <c r="M1912" s="13" t="s">
        <v>44</v>
      </c>
      <c r="N1912" s="13" t="s">
        <v>36</v>
      </c>
      <c r="P1912" s="11" t="n">
        <v>101</v>
      </c>
      <c r="Q1912" s="13" t="s">
        <v>37</v>
      </c>
      <c r="R1912" s="13" t="s">
        <v>38</v>
      </c>
      <c r="S1912" s="11" t="n">
        <v>4210201</v>
      </c>
      <c r="T1912" s="13" t="s">
        <v>216</v>
      </c>
      <c r="U1912" s="14" t="n">
        <v>286</v>
      </c>
      <c r="W1912" s="14" t="n">
        <v>0</v>
      </c>
      <c r="X1912" s="13" t="s">
        <v>1400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46270</v>
      </c>
      <c r="D1913" s="11" t="n">
        <v>1815</v>
      </c>
      <c r="E1913" s="13" t="s">
        <v>53</v>
      </c>
      <c r="F1913" s="11" t="n">
        <v>24</v>
      </c>
      <c r="G1913" s="13" t="s">
        <v>42</v>
      </c>
      <c r="H1913" s="11" t="n">
        <v>2110405</v>
      </c>
      <c r="I1913" s="13" t="s">
        <v>34</v>
      </c>
      <c r="J1913" s="11" t="n">
        <v>1585139</v>
      </c>
      <c r="L1913" s="11" t="n">
        <v>4638561</v>
      </c>
      <c r="M1913" s="13" t="s">
        <v>44</v>
      </c>
      <c r="N1913" s="13" t="s">
        <v>36</v>
      </c>
      <c r="P1913" s="11" t="n">
        <v>167</v>
      </c>
      <c r="Q1913" s="13" t="s">
        <v>101</v>
      </c>
      <c r="R1913" s="13" t="s">
        <v>46</v>
      </c>
      <c r="S1913" s="11" t="n">
        <v>1130101</v>
      </c>
      <c r="T1913" s="13" t="s">
        <v>47</v>
      </c>
      <c r="U1913" s="14" t="n">
        <v>1010.95</v>
      </c>
      <c r="W1913" s="14" t="n">
        <v>0</v>
      </c>
      <c r="X1913" s="13" t="s">
        <v>1897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FIGADO BOVINO KG</v>
      </c>
      <c r="AC1913" s="1" t="n">
        <v>399135</v>
      </c>
    </row>
    <row r="1914" customFormat="false" ht="36.75" hidden="false" customHeight="true" outlineLevel="0" collapsed="false">
      <c r="A1914" s="11" t="n">
        <v>3</v>
      </c>
      <c r="B1914" s="12" t="n">
        <v>46256</v>
      </c>
      <c r="C1914" s="12" t="n">
        <v>46270</v>
      </c>
      <c r="D1914" s="11" t="n">
        <v>1266</v>
      </c>
      <c r="E1914" s="13" t="s">
        <v>195</v>
      </c>
      <c r="F1914" s="11" t="n">
        <v>24</v>
      </c>
      <c r="G1914" s="13" t="s">
        <v>42</v>
      </c>
      <c r="H1914" s="11" t="n">
        <v>2110405</v>
      </c>
      <c r="I1914" s="13" t="s">
        <v>34</v>
      </c>
      <c r="J1914" s="11" t="n">
        <v>1585196</v>
      </c>
      <c r="L1914" s="11" t="n">
        <v>32871</v>
      </c>
      <c r="M1914" s="13" t="s">
        <v>44</v>
      </c>
      <c r="N1914" s="13" t="s">
        <v>36</v>
      </c>
      <c r="P1914" s="11" t="n">
        <v>167</v>
      </c>
      <c r="Q1914" s="13" t="s">
        <v>101</v>
      </c>
      <c r="R1914" s="13" t="s">
        <v>38</v>
      </c>
      <c r="S1914" s="11" t="n">
        <v>4210299</v>
      </c>
      <c r="T1914" s="13" t="s">
        <v>1079</v>
      </c>
      <c r="U1914" s="14" t="n">
        <v>538.03</v>
      </c>
      <c r="W1914" s="14" t="n">
        <v>0</v>
      </c>
      <c r="X1914" s="13" t="s">
        <v>1898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BOBINA ESTRELA UNISO</v>
      </c>
      <c r="AC1914" s="1" t="n">
        <v>2670</v>
      </c>
    </row>
    <row r="1915" customFormat="false" ht="63.75" hidden="false" customHeight="true" outlineLevel="0" collapsed="false">
      <c r="A1915" s="11" t="n">
        <v>3</v>
      </c>
      <c r="B1915" s="12" t="n">
        <v>46254</v>
      </c>
      <c r="C1915" s="12" t="n">
        <v>46270</v>
      </c>
      <c r="D1915" s="11" t="n">
        <v>1122</v>
      </c>
      <c r="E1915" s="13" t="s">
        <v>1242</v>
      </c>
      <c r="F1915" s="11" t="n">
        <v>24</v>
      </c>
      <c r="G1915" s="13" t="s">
        <v>42</v>
      </c>
      <c r="H1915" s="11" t="n">
        <v>2110405</v>
      </c>
      <c r="I1915" s="13" t="s">
        <v>34</v>
      </c>
      <c r="J1915" s="11" t="n">
        <v>1585275</v>
      </c>
      <c r="L1915" s="11" t="n">
        <v>694711</v>
      </c>
      <c r="M1915" s="13" t="s">
        <v>44</v>
      </c>
      <c r="N1915" s="13" t="s">
        <v>36</v>
      </c>
      <c r="P1915" s="11" t="n">
        <v>167</v>
      </c>
      <c r="Q1915" s="13" t="s">
        <v>101</v>
      </c>
      <c r="R1915" s="13" t="s">
        <v>46</v>
      </c>
      <c r="S1915" s="11" t="n">
        <v>1130101</v>
      </c>
      <c r="T1915" s="13" t="s">
        <v>47</v>
      </c>
      <c r="U1915" s="14" t="n">
        <v>203.79</v>
      </c>
      <c r="W1915" s="14" t="n">
        <v>0</v>
      </c>
      <c r="X1915" s="13" t="s">
        <v>1899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nao encontrado</v>
      </c>
      <c r="AC1915" s="1" t="n">
        <v>12956</v>
      </c>
    </row>
    <row r="1916" customFormat="false" ht="12.75" hidden="false" customHeight="true" outlineLevel="0" collapsed="false">
      <c r="A1916" s="11" t="n">
        <v>3</v>
      </c>
      <c r="B1916" s="12" t="n">
        <v>46263</v>
      </c>
      <c r="C1916" s="12" t="n">
        <v>46270</v>
      </c>
      <c r="D1916" s="11" t="n">
        <v>1828</v>
      </c>
      <c r="E1916" s="13" t="s">
        <v>278</v>
      </c>
      <c r="F1916" s="11" t="n">
        <v>24</v>
      </c>
      <c r="G1916" s="13" t="s">
        <v>42</v>
      </c>
      <c r="H1916" s="11" t="n">
        <v>2110405</v>
      </c>
      <c r="I1916" s="13" t="s">
        <v>34</v>
      </c>
      <c r="J1916" s="11" t="n">
        <v>1628681</v>
      </c>
      <c r="L1916" s="11" t="n">
        <v>29507</v>
      </c>
      <c r="M1916" s="13" t="s">
        <v>44</v>
      </c>
      <c r="N1916" s="13" t="s">
        <v>36</v>
      </c>
      <c r="P1916" s="11" t="n">
        <v>167</v>
      </c>
      <c r="Q1916" s="13" t="s">
        <v>101</v>
      </c>
      <c r="R1916" s="13" t="s">
        <v>46</v>
      </c>
      <c r="S1916" s="11" t="n">
        <v>1130101</v>
      </c>
      <c r="T1916" s="13" t="s">
        <v>47</v>
      </c>
      <c r="U1916" s="14" t="n">
        <v>734.25</v>
      </c>
      <c r="W1916" s="14" t="n">
        <v>0</v>
      </c>
      <c r="X1916" s="13" t="s">
        <v>1900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MORTADELA DEFUMADA DF DISTRIBUIDORA DE F</v>
      </c>
      <c r="AC1916" s="1" t="n">
        <v>1452</v>
      </c>
    </row>
    <row r="1917" customFormat="false" ht="12.75" hidden="false" customHeight="true" outlineLevel="0" collapsed="false">
      <c r="A1917" s="11" t="n">
        <v>3</v>
      </c>
      <c r="B1917" s="12" t="n">
        <v>46263</v>
      </c>
      <c r="C1917" s="12" t="n">
        <v>46270</v>
      </c>
      <c r="D1917" s="11" t="n">
        <v>1625</v>
      </c>
      <c r="E1917" s="13" t="s">
        <v>320</v>
      </c>
      <c r="F1917" s="11" t="n">
        <v>24</v>
      </c>
      <c r="G1917" s="13" t="s">
        <v>42</v>
      </c>
      <c r="H1917" s="11" t="n">
        <v>2110405</v>
      </c>
      <c r="I1917" s="13" t="s">
        <v>34</v>
      </c>
      <c r="J1917" s="11" t="n">
        <v>1629553</v>
      </c>
      <c r="L1917" s="11" t="n">
        <v>152101</v>
      </c>
      <c r="M1917" s="13" t="s">
        <v>44</v>
      </c>
      <c r="N1917" s="13" t="s">
        <v>36</v>
      </c>
      <c r="P1917" s="11" t="n">
        <v>167</v>
      </c>
      <c r="Q1917" s="13" t="s">
        <v>101</v>
      </c>
      <c r="R1917" s="13" t="s">
        <v>46</v>
      </c>
      <c r="S1917" s="11" t="n">
        <v>1130101</v>
      </c>
      <c r="T1917" s="13" t="s">
        <v>47</v>
      </c>
      <c r="U1917" s="14" t="n">
        <v>3682.8</v>
      </c>
      <c r="W1917" s="14" t="n">
        <v>0</v>
      </c>
      <c r="X1917" s="13" t="s">
        <v>1901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nao encontrado</v>
      </c>
      <c r="AC1917" s="1" t="n">
        <v>15210</v>
      </c>
    </row>
    <row r="1918" customFormat="false" ht="12.75" hidden="false" customHeight="true" outlineLevel="0" collapsed="false">
      <c r="A1918" s="11" t="n">
        <v>3</v>
      </c>
      <c r="B1918" s="12" t="n">
        <v>46256</v>
      </c>
      <c r="C1918" s="12" t="n">
        <v>46271</v>
      </c>
      <c r="D1918" s="11" t="n">
        <v>1665</v>
      </c>
      <c r="E1918" s="13" t="s">
        <v>937</v>
      </c>
      <c r="F1918" s="11" t="n">
        <v>24</v>
      </c>
      <c r="G1918" s="13" t="s">
        <v>42</v>
      </c>
      <c r="H1918" s="11" t="n">
        <v>2110405</v>
      </c>
      <c r="I1918" s="13" t="s">
        <v>34</v>
      </c>
      <c r="J1918" s="11" t="n">
        <v>1585470</v>
      </c>
      <c r="L1918" s="11" t="n">
        <v>136969</v>
      </c>
      <c r="M1918" s="13" t="s">
        <v>44</v>
      </c>
      <c r="N1918" s="13" t="s">
        <v>36</v>
      </c>
      <c r="P1918" s="11" t="n">
        <v>167</v>
      </c>
      <c r="Q1918" s="13" t="s">
        <v>101</v>
      </c>
      <c r="R1918" s="13" t="s">
        <v>46</v>
      </c>
      <c r="S1918" s="11" t="n">
        <v>1130101</v>
      </c>
      <c r="T1918" s="13" t="s">
        <v>47</v>
      </c>
      <c r="U1918" s="14" t="n">
        <v>320.4</v>
      </c>
      <c r="W1918" s="14" t="n">
        <v>0</v>
      </c>
      <c r="X1918" s="13" t="s">
        <v>1902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REQUEIJÃO CATUPIRY C</v>
      </c>
      <c r="AC1918" s="1" t="n">
        <v>136969</v>
      </c>
    </row>
    <row r="1919" customFormat="false" ht="12.75" hidden="false" customHeight="true" outlineLevel="0" collapsed="false">
      <c r="A1919" s="11" t="n">
        <v>3</v>
      </c>
      <c r="B1919" s="12" t="n">
        <v>46264</v>
      </c>
      <c r="C1919" s="12" t="n">
        <v>46271</v>
      </c>
      <c r="D1919" s="11" t="n">
        <v>1613</v>
      </c>
      <c r="E1919" s="13" t="s">
        <v>177</v>
      </c>
      <c r="F1919" s="11" t="n">
        <v>24</v>
      </c>
      <c r="G1919" s="13" t="s">
        <v>42</v>
      </c>
      <c r="H1919" s="11" t="n">
        <v>2110405</v>
      </c>
      <c r="I1919" s="13" t="s">
        <v>34</v>
      </c>
      <c r="J1919" s="11" t="n">
        <v>1628598</v>
      </c>
      <c r="L1919" s="11" t="n">
        <v>16250961</v>
      </c>
      <c r="M1919" s="13" t="s">
        <v>44</v>
      </c>
      <c r="N1919" s="13" t="s">
        <v>36</v>
      </c>
      <c r="P1919" s="11" t="n">
        <v>167</v>
      </c>
      <c r="Q1919" s="13" t="s">
        <v>101</v>
      </c>
      <c r="R1919" s="13" t="s">
        <v>46</v>
      </c>
      <c r="S1919" s="11" t="n">
        <v>1130101</v>
      </c>
      <c r="T1919" s="13" t="s">
        <v>47</v>
      </c>
      <c r="U1919" s="14" t="n">
        <v>166.92</v>
      </c>
      <c r="W1919" s="14" t="n">
        <v>0</v>
      </c>
      <c r="X1919" s="13" t="s">
        <v>1903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BACON KG</v>
      </c>
      <c r="AC1919" s="1" t="n">
        <v>1625096</v>
      </c>
    </row>
    <row r="1920" customFormat="false" ht="12.75" hidden="false" customHeight="true" outlineLevel="0" collapsed="false">
      <c r="A1920" s="11" t="n">
        <v>3</v>
      </c>
      <c r="B1920" s="12" t="n">
        <v>46233</v>
      </c>
      <c r="C1920" s="12" t="n">
        <v>46272</v>
      </c>
      <c r="D1920" s="11" t="n">
        <v>1636</v>
      </c>
      <c r="E1920" s="13" t="s">
        <v>49</v>
      </c>
      <c r="F1920" s="11" t="n">
        <v>24</v>
      </c>
      <c r="G1920" s="13" t="s">
        <v>42</v>
      </c>
      <c r="H1920" s="11" t="n">
        <v>2110405</v>
      </c>
      <c r="I1920" s="13" t="s">
        <v>34</v>
      </c>
      <c r="J1920" s="11" t="n">
        <v>1495417</v>
      </c>
      <c r="L1920" s="11" t="n">
        <v>232254</v>
      </c>
      <c r="M1920" s="13" t="s">
        <v>44</v>
      </c>
      <c r="N1920" s="13" t="s">
        <v>36</v>
      </c>
      <c r="P1920" s="11" t="n">
        <v>167</v>
      </c>
      <c r="Q1920" s="13" t="s">
        <v>101</v>
      </c>
      <c r="R1920" s="13" t="s">
        <v>46</v>
      </c>
      <c r="S1920" s="11" t="n">
        <v>1130101</v>
      </c>
      <c r="T1920" s="13" t="s">
        <v>47</v>
      </c>
      <c r="U1920" s="14" t="n">
        <v>949.63</v>
      </c>
      <c r="W1920" s="14" t="n">
        <v>0</v>
      </c>
      <c r="X1920" s="13" t="s">
        <v>1904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ADOC ADOCYL SACARINA 100ML</v>
      </c>
      <c r="AC1920" s="1" t="n">
        <v>3229254</v>
      </c>
    </row>
    <row r="1921" customFormat="false" ht="12.75" hidden="false" customHeight="true" outlineLevel="0" collapsed="false">
      <c r="A1921" s="11" t="n">
        <v>3</v>
      </c>
      <c r="B1921" s="12" t="n">
        <v>46237</v>
      </c>
      <c r="C1921" s="12" t="n">
        <v>46272</v>
      </c>
      <c r="D1921" s="11" t="n">
        <v>846</v>
      </c>
      <c r="E1921" s="13" t="s">
        <v>262</v>
      </c>
      <c r="F1921" s="11" t="n">
        <v>24</v>
      </c>
      <c r="G1921" s="13" t="s">
        <v>42</v>
      </c>
      <c r="H1921" s="11" t="n">
        <v>2110405</v>
      </c>
      <c r="I1921" s="13" t="s">
        <v>34</v>
      </c>
      <c r="J1921" s="11" t="n">
        <v>1498628</v>
      </c>
      <c r="L1921" s="11" t="n">
        <v>8464</v>
      </c>
      <c r="M1921" s="13" t="s">
        <v>44</v>
      </c>
      <c r="N1921" s="13" t="s">
        <v>36</v>
      </c>
      <c r="P1921" s="11" t="n">
        <v>167</v>
      </c>
      <c r="Q1921" s="13" t="s">
        <v>101</v>
      </c>
      <c r="R1921" s="13" t="s">
        <v>46</v>
      </c>
      <c r="S1921" s="11" t="n">
        <v>1130101</v>
      </c>
      <c r="T1921" s="13" t="s">
        <v>47</v>
      </c>
      <c r="U1921" s="14" t="n">
        <v>538.18</v>
      </c>
      <c r="W1921" s="14" t="n">
        <v>0</v>
      </c>
      <c r="X1921" s="13" t="s">
        <v>1905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PRENDEDOR DE ROUPA M</v>
      </c>
      <c r="AC1921" s="1" t="n">
        <v>846</v>
      </c>
    </row>
    <row r="1922" customFormat="false" ht="12.75" hidden="false" customHeight="true" outlineLevel="0" collapsed="false">
      <c r="A1922" s="11" t="n">
        <v>3</v>
      </c>
      <c r="B1922" s="12" t="n">
        <v>46239</v>
      </c>
      <c r="C1922" s="12" t="n">
        <v>46272</v>
      </c>
      <c r="D1922" s="11" t="n">
        <v>1659</v>
      </c>
      <c r="E1922" s="13" t="s">
        <v>251</v>
      </c>
      <c r="F1922" s="11" t="n">
        <v>24</v>
      </c>
      <c r="G1922" s="13" t="s">
        <v>42</v>
      </c>
      <c r="H1922" s="11" t="n">
        <v>2110405</v>
      </c>
      <c r="I1922" s="13" t="s">
        <v>34</v>
      </c>
      <c r="J1922" s="11" t="n">
        <v>1509248</v>
      </c>
      <c r="L1922" s="11" t="n">
        <v>8893821</v>
      </c>
      <c r="M1922" s="13" t="s">
        <v>44</v>
      </c>
      <c r="N1922" s="13" t="s">
        <v>36</v>
      </c>
      <c r="P1922" s="11" t="n">
        <v>167</v>
      </c>
      <c r="Q1922" s="13" t="s">
        <v>101</v>
      </c>
      <c r="R1922" s="13" t="s">
        <v>46</v>
      </c>
      <c r="S1922" s="11" t="n">
        <v>1130101</v>
      </c>
      <c r="T1922" s="13" t="s">
        <v>47</v>
      </c>
      <c r="U1922" s="14" t="n">
        <v>710.92</v>
      </c>
      <c r="W1922" s="14" t="n">
        <v>0</v>
      </c>
      <c r="X1922" s="13" t="s">
        <v>1906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SAND IPAN CL AZUL MASC 21307</v>
      </c>
      <c r="AC1922" s="1" t="n">
        <v>889382</v>
      </c>
    </row>
    <row r="1923" customFormat="false" ht="12.75" hidden="false" customHeight="true" outlineLevel="0" collapsed="false">
      <c r="A1923" s="11" t="n">
        <v>3</v>
      </c>
      <c r="B1923" s="12" t="n">
        <v>46244</v>
      </c>
      <c r="C1923" s="12" t="n">
        <v>46272</v>
      </c>
      <c r="D1923" s="11" t="n">
        <v>1657</v>
      </c>
      <c r="E1923" s="13" t="s">
        <v>255</v>
      </c>
      <c r="F1923" s="11" t="n">
        <v>24</v>
      </c>
      <c r="G1923" s="13" t="s">
        <v>42</v>
      </c>
      <c r="H1923" s="11" t="n">
        <v>2110405</v>
      </c>
      <c r="I1923" s="13" t="s">
        <v>34</v>
      </c>
      <c r="J1923" s="11" t="n">
        <v>1543751</v>
      </c>
      <c r="L1923" s="11" t="n">
        <v>3783783</v>
      </c>
      <c r="M1923" s="13" t="s">
        <v>44</v>
      </c>
      <c r="N1923" s="13" t="s">
        <v>36</v>
      </c>
      <c r="P1923" s="11" t="n">
        <v>167</v>
      </c>
      <c r="Q1923" s="13" t="s">
        <v>101</v>
      </c>
      <c r="R1923" s="13" t="s">
        <v>46</v>
      </c>
      <c r="S1923" s="11" t="n">
        <v>1130101</v>
      </c>
      <c r="T1923" s="13" t="s">
        <v>47</v>
      </c>
      <c r="U1923" s="14" t="n">
        <v>1028.18</v>
      </c>
      <c r="W1923" s="14" t="n">
        <v>0</v>
      </c>
      <c r="X1923" s="13" t="s">
        <v>1907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TALCO BARLA 140G</v>
      </c>
      <c r="AC1923" s="1" t="n">
        <v>297049</v>
      </c>
    </row>
    <row r="1924" customFormat="false" ht="12.75" hidden="false" customHeight="true" outlineLevel="0" collapsed="false">
      <c r="A1924" s="11" t="n">
        <v>3</v>
      </c>
      <c r="B1924" s="12" t="n">
        <v>46247</v>
      </c>
      <c r="C1924" s="12" t="n">
        <v>46272</v>
      </c>
      <c r="D1924" s="11" t="n">
        <v>1659</v>
      </c>
      <c r="E1924" s="13" t="s">
        <v>251</v>
      </c>
      <c r="F1924" s="11" t="n">
        <v>24</v>
      </c>
      <c r="G1924" s="13" t="s">
        <v>42</v>
      </c>
      <c r="H1924" s="11" t="n">
        <v>2110405</v>
      </c>
      <c r="I1924" s="13" t="s">
        <v>34</v>
      </c>
      <c r="J1924" s="11" t="n">
        <v>1551747</v>
      </c>
      <c r="L1924" s="11" t="n">
        <v>8908272</v>
      </c>
      <c r="M1924" s="13" t="s">
        <v>44</v>
      </c>
      <c r="N1924" s="13" t="s">
        <v>36</v>
      </c>
      <c r="P1924" s="11" t="n">
        <v>167</v>
      </c>
      <c r="Q1924" s="13" t="s">
        <v>101</v>
      </c>
      <c r="R1924" s="13" t="s">
        <v>46</v>
      </c>
      <c r="S1924" s="11" t="n">
        <v>1130101</v>
      </c>
      <c r="T1924" s="13" t="s">
        <v>47</v>
      </c>
      <c r="U1924" s="14" t="n">
        <v>1265.74</v>
      </c>
      <c r="W1924" s="14" t="n">
        <v>0</v>
      </c>
      <c r="X1924" s="13" t="s">
        <v>1908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MOCOQUINHA 200ML</v>
      </c>
      <c r="AC1924" s="1" t="n">
        <v>890827</v>
      </c>
    </row>
    <row r="1925" customFormat="false" ht="12.75" hidden="false" customHeight="true" outlineLevel="0" collapsed="false">
      <c r="A1925" s="11" t="n">
        <v>3</v>
      </c>
      <c r="B1925" s="12" t="n">
        <v>46251</v>
      </c>
      <c r="C1925" s="12" t="n">
        <v>46272</v>
      </c>
      <c r="D1925" s="11" t="n">
        <v>1676</v>
      </c>
      <c r="E1925" s="13" t="s">
        <v>253</v>
      </c>
      <c r="F1925" s="11" t="n">
        <v>24</v>
      </c>
      <c r="G1925" s="13" t="s">
        <v>42</v>
      </c>
      <c r="H1925" s="11" t="n">
        <v>2110405</v>
      </c>
      <c r="I1925" s="13" t="s">
        <v>34</v>
      </c>
      <c r="J1925" s="11" t="n">
        <v>1566065</v>
      </c>
      <c r="L1925" s="11" t="n">
        <v>1097422</v>
      </c>
      <c r="M1925" s="13" t="s">
        <v>44</v>
      </c>
      <c r="N1925" s="13" t="s">
        <v>36</v>
      </c>
      <c r="P1925" s="11" t="n">
        <v>167</v>
      </c>
      <c r="Q1925" s="13" t="s">
        <v>101</v>
      </c>
      <c r="R1925" s="13" t="s">
        <v>46</v>
      </c>
      <c r="S1925" s="11" t="n">
        <v>1130101</v>
      </c>
      <c r="T1925" s="13" t="s">
        <v>47</v>
      </c>
      <c r="U1925" s="14" t="n">
        <v>427.28</v>
      </c>
      <c r="W1925" s="14" t="n">
        <v>0</v>
      </c>
      <c r="X1925" s="13" t="s">
        <v>1909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ERVILHA EMILHO OLE V</v>
      </c>
      <c r="AC1925" s="1" t="n">
        <v>11361</v>
      </c>
    </row>
    <row r="1926" customFormat="false" ht="12.75" hidden="false" customHeight="true" outlineLevel="0" collapsed="false">
      <c r="A1926" s="11" t="n">
        <v>3</v>
      </c>
      <c r="B1926" s="12" t="n">
        <v>46258</v>
      </c>
      <c r="C1926" s="12" t="n">
        <v>46272</v>
      </c>
      <c r="D1926" s="11" t="n">
        <v>1723</v>
      </c>
      <c r="E1926" s="13" t="s">
        <v>76</v>
      </c>
      <c r="F1926" s="11" t="n">
        <v>24</v>
      </c>
      <c r="G1926" s="13" t="s">
        <v>42</v>
      </c>
      <c r="H1926" s="11" t="n">
        <v>2110405</v>
      </c>
      <c r="I1926" s="13" t="s">
        <v>34</v>
      </c>
      <c r="J1926" s="11" t="n">
        <v>1598840</v>
      </c>
      <c r="L1926" s="11" t="n">
        <v>606172</v>
      </c>
      <c r="M1926" s="13" t="s">
        <v>44</v>
      </c>
      <c r="N1926" s="13" t="s">
        <v>36</v>
      </c>
      <c r="P1926" s="11" t="n">
        <v>167</v>
      </c>
      <c r="Q1926" s="13" t="s">
        <v>101</v>
      </c>
      <c r="R1926" s="13" t="s">
        <v>46</v>
      </c>
      <c r="S1926" s="11" t="n">
        <v>1130101</v>
      </c>
      <c r="T1926" s="13" t="s">
        <v>47</v>
      </c>
      <c r="U1926" s="14" t="n">
        <v>742.9</v>
      </c>
      <c r="W1926" s="14" t="n">
        <v>0</v>
      </c>
      <c r="X1926" s="13" t="s">
        <v>1910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DIANTEIRO DE BOI L</v>
      </c>
      <c r="AC1926" s="1" t="n">
        <v>175357</v>
      </c>
    </row>
    <row r="1927" customFormat="false" ht="12.75" hidden="false" customHeight="true" outlineLevel="0" collapsed="false">
      <c r="A1927" s="11" t="n">
        <v>3</v>
      </c>
      <c r="B1927" s="12" t="n">
        <v>46248</v>
      </c>
      <c r="C1927" s="12" t="n">
        <v>46272</v>
      </c>
      <c r="D1927" s="11" t="n">
        <v>1107</v>
      </c>
      <c r="E1927" s="13" t="s">
        <v>165</v>
      </c>
      <c r="F1927" s="11" t="n">
        <v>24</v>
      </c>
      <c r="G1927" s="13" t="s">
        <v>42</v>
      </c>
      <c r="H1927" s="11" t="n">
        <v>2110405</v>
      </c>
      <c r="I1927" s="13" t="s">
        <v>34</v>
      </c>
      <c r="J1927" s="11" t="n">
        <v>1566509</v>
      </c>
      <c r="L1927" s="11" t="n">
        <v>4437342</v>
      </c>
      <c r="M1927" s="13" t="s">
        <v>44</v>
      </c>
      <c r="N1927" s="13" t="s">
        <v>36</v>
      </c>
      <c r="P1927" s="11" t="n">
        <v>167</v>
      </c>
      <c r="Q1927" s="13" t="s">
        <v>101</v>
      </c>
      <c r="R1927" s="13" t="s">
        <v>46</v>
      </c>
      <c r="S1927" s="11" t="n">
        <v>1130101</v>
      </c>
      <c r="T1927" s="13" t="s">
        <v>47</v>
      </c>
      <c r="U1927" s="14" t="n">
        <v>273.52</v>
      </c>
      <c r="W1927" s="14" t="n">
        <v>0</v>
      </c>
      <c r="X1927" s="13" t="s">
        <v>1911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SCH DOG PEDIGR FIL</v>
      </c>
      <c r="AC1927" s="1" t="n">
        <v>443784</v>
      </c>
    </row>
    <row r="1928" customFormat="false" ht="12.75" hidden="false" customHeight="true" outlineLevel="0" collapsed="false">
      <c r="A1928" s="11" t="n">
        <v>3</v>
      </c>
      <c r="B1928" s="12" t="n">
        <v>46258</v>
      </c>
      <c r="C1928" s="12" t="n">
        <v>46272</v>
      </c>
      <c r="D1928" s="11" t="n">
        <v>42</v>
      </c>
      <c r="E1928" s="13" t="s">
        <v>80</v>
      </c>
      <c r="F1928" s="11" t="n">
        <v>34</v>
      </c>
      <c r="G1928" s="13" t="s">
        <v>33</v>
      </c>
      <c r="H1928" s="11" t="n">
        <v>2110101</v>
      </c>
      <c r="I1928" s="13" t="s">
        <v>43</v>
      </c>
      <c r="J1928" s="11" t="n">
        <v>1595694</v>
      </c>
      <c r="L1928" s="11" t="n">
        <v>4537</v>
      </c>
      <c r="M1928" s="13" t="s">
        <v>150</v>
      </c>
      <c r="N1928" s="13" t="s">
        <v>69</v>
      </c>
      <c r="P1928" s="11" t="n">
        <v>167</v>
      </c>
      <c r="Q1928" s="13" t="s">
        <v>101</v>
      </c>
      <c r="R1928" s="13" t="s">
        <v>46</v>
      </c>
      <c r="S1928" s="11" t="n">
        <v>1130101</v>
      </c>
      <c r="T1928" s="13" t="s">
        <v>47</v>
      </c>
      <c r="U1928" s="14" t="n">
        <v>855</v>
      </c>
      <c r="W1928" s="14" t="n">
        <v>0</v>
      </c>
      <c r="X1928" s="13" t="s">
        <v>1771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46258</v>
      </c>
      <c r="C1929" s="12" t="n">
        <v>46272</v>
      </c>
      <c r="D1929" s="11" t="n">
        <v>1625</v>
      </c>
      <c r="E1929" s="13" t="s">
        <v>320</v>
      </c>
      <c r="F1929" s="11" t="n">
        <v>24</v>
      </c>
      <c r="G1929" s="13" t="s">
        <v>42</v>
      </c>
      <c r="H1929" s="11" t="n">
        <v>2110405</v>
      </c>
      <c r="I1929" s="13" t="s">
        <v>34</v>
      </c>
      <c r="J1929" s="11" t="n">
        <v>1595733</v>
      </c>
      <c r="L1929" s="11" t="n">
        <v>151252</v>
      </c>
      <c r="M1929" s="13" t="s">
        <v>44</v>
      </c>
      <c r="N1929" s="13" t="s">
        <v>36</v>
      </c>
      <c r="P1929" s="11" t="n">
        <v>167</v>
      </c>
      <c r="Q1929" s="13" t="s">
        <v>101</v>
      </c>
      <c r="R1929" s="13" t="s">
        <v>46</v>
      </c>
      <c r="S1929" s="11" t="n">
        <v>1130101</v>
      </c>
      <c r="T1929" s="13" t="s">
        <v>47</v>
      </c>
      <c r="U1929" s="14" t="n">
        <v>3695.25</v>
      </c>
      <c r="W1929" s="14" t="n">
        <v>0</v>
      </c>
      <c r="X1929" s="13" t="s">
        <v>1912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TRASEIRO DE BOI L1</v>
      </c>
      <c r="AC1929" s="1" t="n">
        <v>15125</v>
      </c>
    </row>
    <row r="1930" customFormat="false" ht="12.75" hidden="false" customHeight="true" outlineLevel="0" collapsed="false">
      <c r="A1930" s="11" t="n">
        <v>3</v>
      </c>
      <c r="B1930" s="12" t="n">
        <v>46265</v>
      </c>
      <c r="C1930" s="12" t="n">
        <v>46272</v>
      </c>
      <c r="D1930" s="11" t="n">
        <v>42</v>
      </c>
      <c r="E1930" s="13" t="s">
        <v>80</v>
      </c>
      <c r="F1930" s="11" t="n">
        <v>34</v>
      </c>
      <c r="G1930" s="13" t="s">
        <v>33</v>
      </c>
      <c r="H1930" s="11" t="n">
        <v>2110101</v>
      </c>
      <c r="I1930" s="13" t="s">
        <v>43</v>
      </c>
      <c r="J1930" s="11" t="n">
        <v>1628933</v>
      </c>
      <c r="L1930" s="11" t="n">
        <v>4563</v>
      </c>
      <c r="M1930" s="13" t="s">
        <v>44</v>
      </c>
      <c r="N1930" s="13" t="s">
        <v>69</v>
      </c>
      <c r="P1930" s="11" t="n">
        <v>167</v>
      </c>
      <c r="Q1930" s="13" t="s">
        <v>101</v>
      </c>
      <c r="R1930" s="13" t="s">
        <v>46</v>
      </c>
      <c r="S1930" s="11" t="n">
        <v>1130101</v>
      </c>
      <c r="T1930" s="13" t="s">
        <v>47</v>
      </c>
      <c r="U1930" s="14" t="n">
        <v>300</v>
      </c>
      <c r="W1930" s="14" t="n">
        <v>0</v>
      </c>
      <c r="X1930" s="13" t="s">
        <v>1913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46211</v>
      </c>
      <c r="C1931" s="12" t="n">
        <v>46273</v>
      </c>
      <c r="D1931" s="11" t="n">
        <v>1398</v>
      </c>
      <c r="E1931" s="13" t="s">
        <v>1245</v>
      </c>
      <c r="F1931" s="11" t="n">
        <v>24</v>
      </c>
      <c r="G1931" s="13" t="s">
        <v>42</v>
      </c>
      <c r="H1931" s="11" t="n">
        <v>2110405</v>
      </c>
      <c r="I1931" s="13" t="s">
        <v>34</v>
      </c>
      <c r="J1931" s="11" t="n">
        <v>1397037</v>
      </c>
      <c r="L1931" s="11" t="n">
        <v>33334</v>
      </c>
      <c r="M1931" s="13" t="s">
        <v>44</v>
      </c>
      <c r="N1931" s="13" t="s">
        <v>36</v>
      </c>
      <c r="P1931" s="11" t="n">
        <v>167</v>
      </c>
      <c r="Q1931" s="13" t="s">
        <v>101</v>
      </c>
      <c r="R1931" s="13" t="s">
        <v>46</v>
      </c>
      <c r="S1931" s="11" t="n">
        <v>1130101</v>
      </c>
      <c r="T1931" s="13" t="s">
        <v>47</v>
      </c>
      <c r="U1931" s="14" t="n">
        <v>592.05</v>
      </c>
      <c r="W1931" s="14" t="n">
        <v>0</v>
      </c>
      <c r="X1931" s="13" t="s">
        <v>1914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CADERNO STIFF AMAREL</v>
      </c>
      <c r="AC1931" s="1" t="n">
        <v>1330</v>
      </c>
    </row>
    <row r="1932" customFormat="false" ht="12.75" hidden="false" customHeight="true" outlineLevel="0" collapsed="false">
      <c r="A1932" s="11" t="n">
        <v>3</v>
      </c>
      <c r="B1932" s="12" t="n">
        <v>46237</v>
      </c>
      <c r="C1932" s="12" t="n">
        <v>46273</v>
      </c>
      <c r="D1932" s="11" t="n">
        <v>16</v>
      </c>
      <c r="E1932" s="13" t="s">
        <v>242</v>
      </c>
      <c r="F1932" s="11" t="n">
        <v>34</v>
      </c>
      <c r="G1932" s="13" t="s">
        <v>33</v>
      </c>
      <c r="H1932" s="11" t="n">
        <v>2110405</v>
      </c>
      <c r="I1932" s="13" t="s">
        <v>34</v>
      </c>
      <c r="J1932" s="11" t="n">
        <v>1493536</v>
      </c>
      <c r="L1932" s="11" t="n">
        <v>232110</v>
      </c>
      <c r="M1932" s="13" t="s">
        <v>44</v>
      </c>
      <c r="N1932" s="13" t="s">
        <v>36</v>
      </c>
      <c r="P1932" s="11" t="n">
        <v>101</v>
      </c>
      <c r="Q1932" s="13" t="s">
        <v>37</v>
      </c>
      <c r="R1932" s="13" t="s">
        <v>245</v>
      </c>
      <c r="S1932" s="11" t="n">
        <v>2210203</v>
      </c>
      <c r="T1932" s="13" t="s">
        <v>1532</v>
      </c>
      <c r="U1932" s="14" t="n">
        <v>100000</v>
      </c>
      <c r="W1932" s="14" t="n">
        <v>0</v>
      </c>
      <c r="X1932" s="13" t="s">
        <v>1915</v>
      </c>
      <c r="Z1932" s="1" t="str">
        <f aca="false">IF($T1932="","",IFERROR(INDEX('Resumo Grupos'!$AC$3:$AC$200,MATCH($T1932,'Resumo Grupos'!$AB$3:$AB$200,0)),"n/d"))</f>
        <v>Empréstimo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46245</v>
      </c>
      <c r="C1933" s="12" t="n">
        <v>46273</v>
      </c>
      <c r="D1933" s="11" t="n">
        <v>1804</v>
      </c>
      <c r="E1933" s="13" t="s">
        <v>699</v>
      </c>
      <c r="F1933" s="11" t="n">
        <v>24</v>
      </c>
      <c r="G1933" s="13" t="s">
        <v>42</v>
      </c>
      <c r="H1933" s="11" t="n">
        <v>2110405</v>
      </c>
      <c r="I1933" s="13" t="s">
        <v>34</v>
      </c>
      <c r="J1933" s="11" t="n">
        <v>1531970</v>
      </c>
      <c r="L1933" s="11" t="n">
        <v>337573</v>
      </c>
      <c r="M1933" s="13" t="s">
        <v>44</v>
      </c>
      <c r="N1933" s="13" t="s">
        <v>36</v>
      </c>
      <c r="P1933" s="11" t="n">
        <v>167</v>
      </c>
      <c r="Q1933" s="13" t="s">
        <v>101</v>
      </c>
      <c r="R1933" s="13" t="s">
        <v>46</v>
      </c>
      <c r="S1933" s="11" t="n">
        <v>1130101</v>
      </c>
      <c r="T1933" s="13" t="s">
        <v>47</v>
      </c>
      <c r="U1933" s="14" t="n">
        <v>879.72</v>
      </c>
      <c r="W1933" s="14" t="n">
        <v>0</v>
      </c>
      <c r="X1933" s="13" t="s">
        <v>1916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FRALDA PANDA G 07UN</v>
      </c>
      <c r="AC1933" s="1" t="n">
        <v>26350</v>
      </c>
    </row>
    <row r="1934" customFormat="false" ht="12.75" hidden="false" customHeight="true" outlineLevel="0" collapsed="false">
      <c r="A1934" s="11" t="n">
        <v>3</v>
      </c>
      <c r="B1934" s="12" t="n">
        <v>46244</v>
      </c>
      <c r="C1934" s="12" t="n">
        <v>46273</v>
      </c>
      <c r="D1934" s="11" t="n">
        <v>1636</v>
      </c>
      <c r="E1934" s="13" t="s">
        <v>49</v>
      </c>
      <c r="F1934" s="11" t="n">
        <v>24</v>
      </c>
      <c r="G1934" s="13" t="s">
        <v>42</v>
      </c>
      <c r="H1934" s="11" t="n">
        <v>2110405</v>
      </c>
      <c r="I1934" s="13" t="s">
        <v>34</v>
      </c>
      <c r="J1934" s="11" t="n">
        <v>1540562</v>
      </c>
      <c r="L1934" s="11" t="n">
        <v>32349333</v>
      </c>
      <c r="M1934" s="13" t="s">
        <v>44</v>
      </c>
      <c r="N1934" s="13" t="s">
        <v>36</v>
      </c>
      <c r="P1934" s="11" t="n">
        <v>167</v>
      </c>
      <c r="Q1934" s="13" t="s">
        <v>101</v>
      </c>
      <c r="R1934" s="13" t="s">
        <v>46</v>
      </c>
      <c r="S1934" s="11" t="n">
        <v>1130101</v>
      </c>
      <c r="T1934" s="13" t="s">
        <v>47</v>
      </c>
      <c r="U1934" s="14" t="n">
        <v>421.85</v>
      </c>
      <c r="W1934" s="14" t="n">
        <v>0</v>
      </c>
      <c r="X1934" s="13" t="s">
        <v>1917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AZEITE MARIA TRAD. 5</v>
      </c>
      <c r="AC1934" s="1" t="n">
        <v>3234933</v>
      </c>
    </row>
    <row r="1935" customFormat="false" ht="12.75" hidden="false" customHeight="true" outlineLevel="0" collapsed="false">
      <c r="A1935" s="11" t="n">
        <v>3</v>
      </c>
      <c r="B1935" s="12" t="n">
        <v>46251</v>
      </c>
      <c r="C1935" s="12" t="n">
        <v>46273</v>
      </c>
      <c r="D1935" s="11" t="n">
        <v>10009</v>
      </c>
      <c r="E1935" s="13" t="s">
        <v>373</v>
      </c>
      <c r="F1935" s="11" t="n">
        <v>24</v>
      </c>
      <c r="G1935" s="13" t="s">
        <v>42</v>
      </c>
      <c r="H1935" s="11" t="n">
        <v>2110405</v>
      </c>
      <c r="I1935" s="13" t="s">
        <v>34</v>
      </c>
      <c r="J1935" s="11" t="n">
        <v>1566458</v>
      </c>
      <c r="L1935" s="11" t="n">
        <v>1439013</v>
      </c>
      <c r="M1935" s="13" t="s">
        <v>44</v>
      </c>
      <c r="N1935" s="13" t="s">
        <v>36</v>
      </c>
      <c r="P1935" s="11" t="n">
        <v>167</v>
      </c>
      <c r="Q1935" s="13" t="s">
        <v>101</v>
      </c>
      <c r="R1935" s="13" t="s">
        <v>46</v>
      </c>
      <c r="S1935" s="11" t="n">
        <v>1130101</v>
      </c>
      <c r="T1935" s="13" t="s">
        <v>47</v>
      </c>
      <c r="U1935" s="14" t="n">
        <v>1060.48</v>
      </c>
      <c r="W1935" s="14" t="n">
        <v>0</v>
      </c>
      <c r="X1935" s="13" t="s">
        <v>1918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NESQUIK 380G</v>
      </c>
      <c r="AC1935" s="1" t="n">
        <v>1439013</v>
      </c>
    </row>
    <row r="1936" customFormat="false" ht="12.75" hidden="false" customHeight="true" outlineLevel="0" collapsed="false">
      <c r="A1936" s="11" t="n">
        <v>3</v>
      </c>
      <c r="B1936" s="12" t="n">
        <v>46248</v>
      </c>
      <c r="C1936" s="12" t="n">
        <v>46273</v>
      </c>
      <c r="D1936" s="11" t="n">
        <v>1739</v>
      </c>
      <c r="E1936" s="13" t="s">
        <v>1919</v>
      </c>
      <c r="F1936" s="11" t="n">
        <v>24</v>
      </c>
      <c r="G1936" s="13" t="s">
        <v>42</v>
      </c>
      <c r="H1936" s="11" t="n">
        <v>2110405</v>
      </c>
      <c r="I1936" s="13" t="s">
        <v>34</v>
      </c>
      <c r="J1936" s="11" t="n">
        <v>1566609</v>
      </c>
      <c r="L1936" s="11" t="n">
        <v>2551471</v>
      </c>
      <c r="M1936" s="13" t="s">
        <v>44</v>
      </c>
      <c r="N1936" s="13" t="s">
        <v>36</v>
      </c>
      <c r="P1936" s="11" t="n">
        <v>167</v>
      </c>
      <c r="Q1936" s="13" t="s">
        <v>101</v>
      </c>
      <c r="R1936" s="13" t="s">
        <v>46</v>
      </c>
      <c r="S1936" s="11" t="n">
        <v>1130101</v>
      </c>
      <c r="T1936" s="13" t="s">
        <v>47</v>
      </c>
      <c r="U1936" s="14" t="n">
        <v>842.3</v>
      </c>
      <c r="W1936" s="14" t="n">
        <v>0</v>
      </c>
      <c r="X1936" s="13" t="s">
        <v>1920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PRESERVATIVO LV8 PG6</v>
      </c>
      <c r="AC1936" s="1" t="n">
        <v>255147</v>
      </c>
    </row>
    <row r="1937" customFormat="false" ht="12.75" hidden="false" customHeight="true" outlineLevel="0" collapsed="false">
      <c r="A1937" s="11" t="n">
        <v>3</v>
      </c>
      <c r="B1937" s="12" t="n">
        <v>46251</v>
      </c>
      <c r="C1937" s="12" t="n">
        <v>46273</v>
      </c>
      <c r="D1937" s="11" t="n">
        <v>10009</v>
      </c>
      <c r="E1937" s="13" t="s">
        <v>373</v>
      </c>
      <c r="F1937" s="11" t="n">
        <v>24</v>
      </c>
      <c r="G1937" s="13" t="s">
        <v>42</v>
      </c>
      <c r="H1937" s="11" t="n">
        <v>2110405</v>
      </c>
      <c r="I1937" s="13" t="s">
        <v>34</v>
      </c>
      <c r="J1937" s="11" t="n">
        <v>1566801</v>
      </c>
      <c r="L1937" s="11" t="n">
        <v>1439755</v>
      </c>
      <c r="M1937" s="13" t="s">
        <v>44</v>
      </c>
      <c r="N1937" s="13" t="s">
        <v>36</v>
      </c>
      <c r="P1937" s="11" t="n">
        <v>167</v>
      </c>
      <c r="Q1937" s="13" t="s">
        <v>101</v>
      </c>
      <c r="R1937" s="13" t="s">
        <v>46</v>
      </c>
      <c r="S1937" s="11" t="n">
        <v>1130101</v>
      </c>
      <c r="T1937" s="13" t="s">
        <v>47</v>
      </c>
      <c r="U1937" s="14" t="n">
        <v>1052.36</v>
      </c>
      <c r="W1937" s="14" t="n">
        <v>0</v>
      </c>
      <c r="X1937" s="13" t="s">
        <v>1921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AVEIA NESTL FLOC170G</v>
      </c>
      <c r="AC1937" s="1" t="n">
        <v>1439755</v>
      </c>
    </row>
    <row r="1938" customFormat="false" ht="12.75" hidden="false" customHeight="true" outlineLevel="0" collapsed="false">
      <c r="A1938" s="11" t="n">
        <v>3</v>
      </c>
      <c r="B1938" s="12" t="n">
        <v>46252</v>
      </c>
      <c r="C1938" s="12" t="n">
        <v>46273</v>
      </c>
      <c r="D1938" s="11" t="n">
        <v>1740</v>
      </c>
      <c r="E1938" s="13" t="s">
        <v>170</v>
      </c>
      <c r="F1938" s="11" t="n">
        <v>24</v>
      </c>
      <c r="G1938" s="13" t="s">
        <v>42</v>
      </c>
      <c r="H1938" s="11" t="n">
        <v>2110405</v>
      </c>
      <c r="I1938" s="13" t="s">
        <v>34</v>
      </c>
      <c r="J1938" s="11" t="n">
        <v>1567962</v>
      </c>
      <c r="L1938" s="11" t="n">
        <v>12600912</v>
      </c>
      <c r="M1938" s="13" t="s">
        <v>44</v>
      </c>
      <c r="N1938" s="13" t="s">
        <v>36</v>
      </c>
      <c r="P1938" s="11" t="n">
        <v>167</v>
      </c>
      <c r="Q1938" s="13" t="s">
        <v>101</v>
      </c>
      <c r="R1938" s="13" t="s">
        <v>46</v>
      </c>
      <c r="S1938" s="11" t="n">
        <v>1130101</v>
      </c>
      <c r="T1938" s="13" t="s">
        <v>47</v>
      </c>
      <c r="U1938" s="14" t="n">
        <v>888.75</v>
      </c>
      <c r="W1938" s="14" t="n">
        <v>0</v>
      </c>
      <c r="X1938" s="13" t="s">
        <v>1922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LINGUI DE FRANGO KG</v>
      </c>
      <c r="AC1938" s="1" t="n">
        <v>1260091</v>
      </c>
    </row>
    <row r="1939" customFormat="false" ht="12.75" hidden="false" customHeight="true" outlineLevel="0" collapsed="false">
      <c r="A1939" s="11" t="n">
        <v>3</v>
      </c>
      <c r="B1939" s="12" t="n">
        <v>46252</v>
      </c>
      <c r="C1939" s="12" t="n">
        <v>46273</v>
      </c>
      <c r="D1939" s="11" t="n">
        <v>10009</v>
      </c>
      <c r="E1939" s="13" t="s">
        <v>373</v>
      </c>
      <c r="F1939" s="11" t="n">
        <v>24</v>
      </c>
      <c r="G1939" s="13" t="s">
        <v>42</v>
      </c>
      <c r="H1939" s="11" t="n">
        <v>2110405</v>
      </c>
      <c r="I1939" s="13" t="s">
        <v>34</v>
      </c>
      <c r="J1939" s="11" t="n">
        <v>1572814</v>
      </c>
      <c r="L1939" s="11" t="n">
        <v>1440073</v>
      </c>
      <c r="M1939" s="13" t="s">
        <v>44</v>
      </c>
      <c r="N1939" s="13" t="s">
        <v>36</v>
      </c>
      <c r="P1939" s="11" t="n">
        <v>167</v>
      </c>
      <c r="Q1939" s="13" t="s">
        <v>101</v>
      </c>
      <c r="R1939" s="13" t="s">
        <v>46</v>
      </c>
      <c r="S1939" s="11" t="n">
        <v>1130101</v>
      </c>
      <c r="T1939" s="13" t="s">
        <v>47</v>
      </c>
      <c r="U1939" s="14" t="n">
        <v>437.25</v>
      </c>
      <c r="W1939" s="14" t="n">
        <v>0</v>
      </c>
      <c r="X1939" s="13" t="s">
        <v>1923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TALENTO CSTN 85G</v>
      </c>
      <c r="AC1939" s="1" t="n">
        <v>1440073</v>
      </c>
    </row>
    <row r="1940" customFormat="false" ht="12.75" hidden="false" customHeight="true" outlineLevel="0" collapsed="false">
      <c r="A1940" s="11" t="n">
        <v>3</v>
      </c>
      <c r="B1940" s="12" t="n">
        <v>46251</v>
      </c>
      <c r="C1940" s="12" t="n">
        <v>46273</v>
      </c>
      <c r="D1940" s="11" t="n">
        <v>1636</v>
      </c>
      <c r="E1940" s="13" t="s">
        <v>49</v>
      </c>
      <c r="F1940" s="11" t="n">
        <v>24</v>
      </c>
      <c r="G1940" s="13" t="s">
        <v>42</v>
      </c>
      <c r="H1940" s="11" t="n">
        <v>2110405</v>
      </c>
      <c r="I1940" s="13" t="s">
        <v>34</v>
      </c>
      <c r="J1940" s="11" t="n">
        <v>1573124</v>
      </c>
      <c r="L1940" s="11" t="n">
        <v>32386862</v>
      </c>
      <c r="M1940" s="13" t="s">
        <v>44</v>
      </c>
      <c r="N1940" s="13" t="s">
        <v>36</v>
      </c>
      <c r="P1940" s="11" t="n">
        <v>167</v>
      </c>
      <c r="Q1940" s="13" t="s">
        <v>101</v>
      </c>
      <c r="R1940" s="13" t="s">
        <v>46</v>
      </c>
      <c r="S1940" s="11" t="n">
        <v>1130101</v>
      </c>
      <c r="T1940" s="13" t="s">
        <v>47</v>
      </c>
      <c r="U1940" s="14" t="n">
        <v>924.11</v>
      </c>
      <c r="W1940" s="14" t="n">
        <v>0</v>
      </c>
      <c r="X1940" s="13" t="s">
        <v>1924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ABS SEMPERLIVRE SUAVE C/ABA -16UN</v>
      </c>
      <c r="AC1940" s="1" t="n">
        <v>3238686</v>
      </c>
    </row>
    <row r="1941" customFormat="false" ht="12.75" hidden="false" customHeight="true" outlineLevel="0" collapsed="false">
      <c r="A1941" s="11" t="n">
        <v>3</v>
      </c>
      <c r="B1941" s="12" t="n">
        <v>46251</v>
      </c>
      <c r="C1941" s="12" t="n">
        <v>46273</v>
      </c>
      <c r="D1941" s="11" t="n">
        <v>1672</v>
      </c>
      <c r="E1941" s="13" t="s">
        <v>67</v>
      </c>
      <c r="F1941" s="11" t="n">
        <v>24</v>
      </c>
      <c r="G1941" s="13" t="s">
        <v>42</v>
      </c>
      <c r="H1941" s="11" t="n">
        <v>2110405</v>
      </c>
      <c r="I1941" s="13" t="s">
        <v>34</v>
      </c>
      <c r="J1941" s="11" t="n">
        <v>1582209</v>
      </c>
      <c r="L1941" s="11" t="n">
        <v>81711912</v>
      </c>
      <c r="M1941" s="13" t="s">
        <v>44</v>
      </c>
      <c r="N1941" s="13" t="s">
        <v>36</v>
      </c>
      <c r="P1941" s="11" t="n">
        <v>167</v>
      </c>
      <c r="Q1941" s="13" t="s">
        <v>101</v>
      </c>
      <c r="R1941" s="13" t="s">
        <v>46</v>
      </c>
      <c r="S1941" s="11" t="n">
        <v>1130101</v>
      </c>
      <c r="T1941" s="13" t="s">
        <v>47</v>
      </c>
      <c r="U1941" s="14" t="n">
        <v>960</v>
      </c>
      <c r="W1941" s="14" t="n">
        <v>0</v>
      </c>
      <c r="X1941" s="13" t="s">
        <v>1925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nao encontrado</v>
      </c>
      <c r="AC1941" s="1" t="n">
        <v>8171191</v>
      </c>
    </row>
    <row r="1942" customFormat="false" ht="12.75" hidden="false" customHeight="true" outlineLevel="0" collapsed="false">
      <c r="A1942" s="11" t="n">
        <v>3</v>
      </c>
      <c r="B1942" s="12" t="n">
        <v>46251</v>
      </c>
      <c r="C1942" s="12" t="n">
        <v>46273</v>
      </c>
      <c r="D1942" s="11" t="n">
        <v>1672</v>
      </c>
      <c r="E1942" s="13" t="s">
        <v>67</v>
      </c>
      <c r="F1942" s="11" t="n">
        <v>24</v>
      </c>
      <c r="G1942" s="13" t="s">
        <v>42</v>
      </c>
      <c r="H1942" s="11" t="n">
        <v>2110405</v>
      </c>
      <c r="I1942" s="13" t="s">
        <v>34</v>
      </c>
      <c r="J1942" s="11" t="n">
        <v>1595555</v>
      </c>
      <c r="L1942" s="11" t="n">
        <v>81711922</v>
      </c>
      <c r="M1942" s="13" t="s">
        <v>44</v>
      </c>
      <c r="N1942" s="13" t="s">
        <v>36</v>
      </c>
      <c r="P1942" s="11" t="n">
        <v>167</v>
      </c>
      <c r="Q1942" s="13" t="s">
        <v>101</v>
      </c>
      <c r="R1942" s="13" t="s">
        <v>46</v>
      </c>
      <c r="S1942" s="11" t="n">
        <v>1130101</v>
      </c>
      <c r="T1942" s="13" t="s">
        <v>47</v>
      </c>
      <c r="U1942" s="14" t="n">
        <v>638.75</v>
      </c>
      <c r="W1942" s="14" t="n">
        <v>0</v>
      </c>
      <c r="X1942" s="13" t="s">
        <v>1926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nao encontrado</v>
      </c>
      <c r="AC1942" s="1" t="n">
        <v>8171192</v>
      </c>
    </row>
    <row r="1943" customFormat="false" ht="12.75" hidden="false" customHeight="true" outlineLevel="0" collapsed="false">
      <c r="A1943" s="11" t="n">
        <v>3</v>
      </c>
      <c r="B1943" s="12" t="n">
        <v>46259</v>
      </c>
      <c r="C1943" s="12" t="n">
        <v>46273</v>
      </c>
      <c r="D1943" s="11" t="n">
        <v>911</v>
      </c>
      <c r="E1943" s="13" t="s">
        <v>587</v>
      </c>
      <c r="F1943" s="11" t="n">
        <v>24</v>
      </c>
      <c r="G1943" s="13" t="s">
        <v>42</v>
      </c>
      <c r="H1943" s="11" t="n">
        <v>2110405</v>
      </c>
      <c r="I1943" s="13" t="s">
        <v>34</v>
      </c>
      <c r="J1943" s="11" t="n">
        <v>1603709</v>
      </c>
      <c r="L1943" s="11" t="n">
        <v>573061</v>
      </c>
      <c r="M1943" s="13" t="s">
        <v>44</v>
      </c>
      <c r="N1943" s="13" t="s">
        <v>36</v>
      </c>
      <c r="P1943" s="11" t="n">
        <v>167</v>
      </c>
      <c r="Q1943" s="13" t="s">
        <v>101</v>
      </c>
      <c r="R1943" s="13" t="s">
        <v>46</v>
      </c>
      <c r="S1943" s="11" t="n">
        <v>1130101</v>
      </c>
      <c r="T1943" s="13" t="s">
        <v>47</v>
      </c>
      <c r="U1943" s="14" t="n">
        <v>342.12</v>
      </c>
      <c r="W1943" s="14" t="n">
        <v>0</v>
      </c>
      <c r="X1943" s="13" t="s">
        <v>1927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SUCO TAMPICO 1L</v>
      </c>
      <c r="AC1943" s="1" t="n">
        <v>57306</v>
      </c>
    </row>
    <row r="1944" customFormat="false" ht="12.75" hidden="false" customHeight="true" outlineLevel="0" collapsed="false">
      <c r="A1944" s="11" t="n">
        <v>3</v>
      </c>
      <c r="B1944" s="12" t="n">
        <v>46259</v>
      </c>
      <c r="C1944" s="12" t="n">
        <v>46273</v>
      </c>
      <c r="D1944" s="11" t="n">
        <v>1723</v>
      </c>
      <c r="E1944" s="13" t="s">
        <v>76</v>
      </c>
      <c r="F1944" s="11" t="n">
        <v>24</v>
      </c>
      <c r="G1944" s="13" t="s">
        <v>42</v>
      </c>
      <c r="H1944" s="11" t="n">
        <v>2110405</v>
      </c>
      <c r="I1944" s="13" t="s">
        <v>34</v>
      </c>
      <c r="J1944" s="11" t="n">
        <v>1603804</v>
      </c>
      <c r="L1944" s="11" t="n">
        <v>607162</v>
      </c>
      <c r="M1944" s="13" t="s">
        <v>44</v>
      </c>
      <c r="N1944" s="13" t="s">
        <v>36</v>
      </c>
      <c r="P1944" s="11" t="n">
        <v>167</v>
      </c>
      <c r="Q1944" s="13" t="s">
        <v>101</v>
      </c>
      <c r="R1944" s="13" t="s">
        <v>46</v>
      </c>
      <c r="S1944" s="11" t="n">
        <v>1130101</v>
      </c>
      <c r="T1944" s="13" t="s">
        <v>47</v>
      </c>
      <c r="U1944" s="14" t="n">
        <v>2644.2</v>
      </c>
      <c r="W1944" s="14" t="n">
        <v>0</v>
      </c>
      <c r="X1944" s="13" t="s">
        <v>1928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TRASEIRO DE BOI L1</v>
      </c>
      <c r="AC1944" s="1" t="n">
        <v>175417</v>
      </c>
    </row>
    <row r="1945" customFormat="false" ht="12.75" hidden="false" customHeight="true" outlineLevel="0" collapsed="false">
      <c r="A1945" s="11" t="n">
        <v>3</v>
      </c>
      <c r="B1945" s="12" t="n">
        <v>46259</v>
      </c>
      <c r="C1945" s="12" t="n">
        <v>46273</v>
      </c>
      <c r="D1945" s="11" t="n">
        <v>1734</v>
      </c>
      <c r="E1945" s="13" t="s">
        <v>125</v>
      </c>
      <c r="F1945" s="11" t="n">
        <v>24</v>
      </c>
      <c r="G1945" s="13" t="s">
        <v>42</v>
      </c>
      <c r="H1945" s="11" t="n">
        <v>2110405</v>
      </c>
      <c r="I1945" s="13" t="s">
        <v>34</v>
      </c>
      <c r="J1945" s="11" t="n">
        <v>1608661</v>
      </c>
      <c r="L1945" s="11" t="n">
        <v>2586312</v>
      </c>
      <c r="M1945" s="13" t="s">
        <v>44</v>
      </c>
      <c r="N1945" s="13" t="s">
        <v>36</v>
      </c>
      <c r="P1945" s="11" t="n">
        <v>167</v>
      </c>
      <c r="Q1945" s="13" t="s">
        <v>101</v>
      </c>
      <c r="R1945" s="13" t="s">
        <v>46</v>
      </c>
      <c r="S1945" s="11" t="n">
        <v>1130101</v>
      </c>
      <c r="T1945" s="13" t="s">
        <v>47</v>
      </c>
      <c r="U1945" s="14" t="n">
        <v>309.88</v>
      </c>
      <c r="W1945" s="14" t="n">
        <v>0</v>
      </c>
      <c r="X1945" s="13" t="s">
        <v>1929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SORVETE 2 LTS FLOCOS</v>
      </c>
      <c r="AC1945" s="1" t="n">
        <v>258631</v>
      </c>
    </row>
    <row r="1946" customFormat="false" ht="12.75" hidden="false" customHeight="true" outlineLevel="0" collapsed="false">
      <c r="A1946" s="11" t="n">
        <v>3</v>
      </c>
      <c r="B1946" s="12" t="n">
        <v>46258</v>
      </c>
      <c r="C1946" s="12" t="n">
        <v>46273</v>
      </c>
      <c r="D1946" s="11" t="n">
        <v>1672</v>
      </c>
      <c r="E1946" s="13" t="s">
        <v>67</v>
      </c>
      <c r="F1946" s="11" t="n">
        <v>24</v>
      </c>
      <c r="G1946" s="13" t="s">
        <v>42</v>
      </c>
      <c r="H1946" s="11" t="n">
        <v>2110405</v>
      </c>
      <c r="I1946" s="13" t="s">
        <v>34</v>
      </c>
      <c r="J1946" s="11" t="n">
        <v>1618329</v>
      </c>
      <c r="L1946" s="11" t="n">
        <v>1432810</v>
      </c>
      <c r="M1946" s="13" t="s">
        <v>44</v>
      </c>
      <c r="N1946" s="13" t="s">
        <v>36</v>
      </c>
      <c r="P1946" s="11" t="n">
        <v>167</v>
      </c>
      <c r="Q1946" s="13" t="s">
        <v>101</v>
      </c>
      <c r="R1946" s="13" t="s">
        <v>46</v>
      </c>
      <c r="S1946" s="11" t="n">
        <v>1130101</v>
      </c>
      <c r="T1946" s="13" t="s">
        <v>47</v>
      </c>
      <c r="U1946" s="14" t="n">
        <v>195</v>
      </c>
      <c r="W1946" s="14" t="n">
        <v>0</v>
      </c>
      <c r="X1946" s="13" t="s">
        <v>1930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AGUAYARA GALAO 20L</v>
      </c>
      <c r="AC1946" s="1" t="n">
        <v>1432810</v>
      </c>
    </row>
    <row r="1947" customFormat="false" ht="12.75" hidden="false" customHeight="true" outlineLevel="0" collapsed="false">
      <c r="A1947" s="11" t="n">
        <v>3</v>
      </c>
      <c r="B1947" s="12" t="n">
        <v>46258</v>
      </c>
      <c r="C1947" s="12" t="n">
        <v>46273</v>
      </c>
      <c r="D1947" s="11" t="n">
        <v>1672</v>
      </c>
      <c r="E1947" s="13" t="s">
        <v>67</v>
      </c>
      <c r="F1947" s="11" t="n">
        <v>24</v>
      </c>
      <c r="G1947" s="13" t="s">
        <v>42</v>
      </c>
      <c r="H1947" s="11" t="n">
        <v>2110405</v>
      </c>
      <c r="I1947" s="13" t="s">
        <v>34</v>
      </c>
      <c r="J1947" s="11" t="n">
        <v>1618339</v>
      </c>
      <c r="L1947" s="11" t="n">
        <v>14328081</v>
      </c>
      <c r="M1947" s="13" t="s">
        <v>44</v>
      </c>
      <c r="N1947" s="13" t="s">
        <v>36</v>
      </c>
      <c r="P1947" s="11" t="n">
        <v>167</v>
      </c>
      <c r="Q1947" s="13" t="s">
        <v>101</v>
      </c>
      <c r="R1947" s="13" t="s">
        <v>46</v>
      </c>
      <c r="S1947" s="11" t="n">
        <v>1130101</v>
      </c>
      <c r="T1947" s="13" t="s">
        <v>47</v>
      </c>
      <c r="U1947" s="14" t="n">
        <v>643.4</v>
      </c>
      <c r="W1947" s="14" t="n">
        <v>0</v>
      </c>
      <c r="X1947" s="13" t="s">
        <v>1931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REFRIG MAGISTRAL 2L</v>
      </c>
      <c r="AC1947" s="1" t="n">
        <v>1432808</v>
      </c>
    </row>
    <row r="1948" customFormat="false" ht="12.75" hidden="false" customHeight="true" outlineLevel="0" collapsed="false">
      <c r="A1948" s="11" t="n">
        <v>3</v>
      </c>
      <c r="B1948" s="12" t="n">
        <v>46263</v>
      </c>
      <c r="C1948" s="12" t="n">
        <v>46273</v>
      </c>
      <c r="D1948" s="11" t="n">
        <v>1805</v>
      </c>
      <c r="E1948" s="13" t="s">
        <v>1836</v>
      </c>
      <c r="F1948" s="11" t="n">
        <v>24</v>
      </c>
      <c r="G1948" s="13" t="s">
        <v>42</v>
      </c>
      <c r="H1948" s="11" t="n">
        <v>2110405</v>
      </c>
      <c r="I1948" s="13" t="s">
        <v>34</v>
      </c>
      <c r="J1948" s="11" t="n">
        <v>1619071</v>
      </c>
      <c r="L1948" s="11" t="n">
        <v>182909</v>
      </c>
      <c r="M1948" s="13" t="s">
        <v>44</v>
      </c>
      <c r="N1948" s="13" t="s">
        <v>36</v>
      </c>
      <c r="P1948" s="11" t="n">
        <v>167</v>
      </c>
      <c r="Q1948" s="13" t="s">
        <v>101</v>
      </c>
      <c r="R1948" s="13" t="s">
        <v>46</v>
      </c>
      <c r="S1948" s="11" t="n">
        <v>1130101</v>
      </c>
      <c r="T1948" s="13" t="s">
        <v>47</v>
      </c>
      <c r="U1948" s="14" t="n">
        <v>209.94</v>
      </c>
      <c r="W1948" s="14" t="n">
        <v>0</v>
      </c>
      <c r="X1948" s="13" t="s">
        <v>1932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PRESUNTO DE PERU FATIADO VACO MAB FRIOS</v>
      </c>
      <c r="AC1948" s="1" t="n">
        <v>7845</v>
      </c>
    </row>
    <row r="1949" customFormat="false" ht="12.75" hidden="false" customHeight="true" outlineLevel="0" collapsed="false">
      <c r="A1949" s="11" t="n">
        <v>3</v>
      </c>
      <c r="B1949" s="12" t="n">
        <v>46184</v>
      </c>
      <c r="C1949" s="12" t="n">
        <v>46274</v>
      </c>
      <c r="D1949" s="11" t="n">
        <v>1611</v>
      </c>
      <c r="E1949" s="13" t="s">
        <v>445</v>
      </c>
      <c r="F1949" s="11" t="n">
        <v>24</v>
      </c>
      <c r="G1949" s="13" t="s">
        <v>42</v>
      </c>
      <c r="H1949" s="11" t="n">
        <v>2110101</v>
      </c>
      <c r="I1949" s="13" t="s">
        <v>43</v>
      </c>
      <c r="J1949" s="11" t="n">
        <v>1239689</v>
      </c>
      <c r="L1949" s="11" t="n">
        <v>180736293</v>
      </c>
      <c r="M1949" s="13" t="s">
        <v>44</v>
      </c>
      <c r="N1949" s="13" t="s">
        <v>36</v>
      </c>
      <c r="P1949" s="11" t="n">
        <v>128</v>
      </c>
      <c r="Q1949" s="13" t="s">
        <v>45</v>
      </c>
      <c r="R1949" s="13" t="s">
        <v>46</v>
      </c>
      <c r="S1949" s="11" t="n">
        <v>1130101</v>
      </c>
      <c r="T1949" s="13" t="s">
        <v>47</v>
      </c>
      <c r="U1949" s="14" t="n">
        <v>1718.76</v>
      </c>
      <c r="W1949" s="14" t="n">
        <v>0</v>
      </c>
      <c r="X1949" s="13" t="s">
        <v>1933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SAND H COL PRT 43/44</v>
      </c>
      <c r="AC1949" s="1" t="n">
        <v>1771475</v>
      </c>
    </row>
    <row r="1950" customFormat="false" ht="12.75" hidden="false" customHeight="true" outlineLevel="0" collapsed="false">
      <c r="A1950" s="11" t="n">
        <v>3</v>
      </c>
      <c r="B1950" s="12" t="n">
        <v>46246</v>
      </c>
      <c r="C1950" s="12" t="n">
        <v>46274</v>
      </c>
      <c r="D1950" s="11" t="n">
        <v>1678</v>
      </c>
      <c r="E1950" s="13" t="s">
        <v>190</v>
      </c>
      <c r="F1950" s="11" t="n">
        <v>24</v>
      </c>
      <c r="G1950" s="13" t="s">
        <v>42</v>
      </c>
      <c r="H1950" s="11" t="n">
        <v>2110405</v>
      </c>
      <c r="I1950" s="13" t="s">
        <v>34</v>
      </c>
      <c r="J1950" s="11" t="n">
        <v>1542864</v>
      </c>
      <c r="L1950" s="11" t="n">
        <v>2594223</v>
      </c>
      <c r="M1950" s="13" t="s">
        <v>44</v>
      </c>
      <c r="N1950" s="13" t="s">
        <v>36</v>
      </c>
      <c r="P1950" s="11" t="n">
        <v>167</v>
      </c>
      <c r="Q1950" s="13" t="s">
        <v>101</v>
      </c>
      <c r="R1950" s="13" t="s">
        <v>46</v>
      </c>
      <c r="S1950" s="11" t="n">
        <v>1130101</v>
      </c>
      <c r="T1950" s="13" t="s">
        <v>47</v>
      </c>
      <c r="U1950" s="14" t="n">
        <v>545.13</v>
      </c>
      <c r="W1950" s="14" t="n">
        <v>0</v>
      </c>
      <c r="X1950" s="13" t="s">
        <v>1934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DES CREM EX-SET FLOR</v>
      </c>
      <c r="AC1950" s="1" t="n">
        <v>163841</v>
      </c>
    </row>
    <row r="1951" customFormat="false" ht="12.75" hidden="false" customHeight="true" outlineLevel="0" collapsed="false">
      <c r="A1951" s="11" t="n">
        <v>3</v>
      </c>
      <c r="B1951" s="12" t="n">
        <v>46253</v>
      </c>
      <c r="C1951" s="12" t="n">
        <v>46274</v>
      </c>
      <c r="D1951" s="11" t="n">
        <v>1740</v>
      </c>
      <c r="E1951" s="13" t="s">
        <v>170</v>
      </c>
      <c r="F1951" s="11" t="n">
        <v>24</v>
      </c>
      <c r="G1951" s="13" t="s">
        <v>42</v>
      </c>
      <c r="H1951" s="11" t="n">
        <v>2110405</v>
      </c>
      <c r="I1951" s="13" t="s">
        <v>34</v>
      </c>
      <c r="J1951" s="11" t="n">
        <v>1573186</v>
      </c>
      <c r="L1951" s="11" t="n">
        <v>12609002</v>
      </c>
      <c r="M1951" s="13" t="s">
        <v>44</v>
      </c>
      <c r="N1951" s="13" t="s">
        <v>36</v>
      </c>
      <c r="P1951" s="11" t="n">
        <v>167</v>
      </c>
      <c r="Q1951" s="13" t="s">
        <v>101</v>
      </c>
      <c r="R1951" s="13" t="s">
        <v>46</v>
      </c>
      <c r="S1951" s="11" t="n">
        <v>1130101</v>
      </c>
      <c r="T1951" s="13" t="s">
        <v>47</v>
      </c>
      <c r="U1951" s="14" t="n">
        <v>871.13</v>
      </c>
      <c r="W1951" s="14" t="n">
        <v>0</v>
      </c>
      <c r="X1951" s="13" t="s">
        <v>1935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ASACOMP.FRAG1K</v>
      </c>
      <c r="AC1951" s="1" t="n">
        <v>1260900</v>
      </c>
    </row>
    <row r="1952" customFormat="false" ht="12.75" hidden="false" customHeight="true" outlineLevel="0" collapsed="false">
      <c r="A1952" s="11" t="n">
        <v>3</v>
      </c>
      <c r="B1952" s="12" t="n">
        <v>46253</v>
      </c>
      <c r="C1952" s="12" t="n">
        <v>46274</v>
      </c>
      <c r="D1952" s="11" t="n">
        <v>1456</v>
      </c>
      <c r="E1952" s="13" t="s">
        <v>1859</v>
      </c>
      <c r="F1952" s="11" t="n">
        <v>24</v>
      </c>
      <c r="G1952" s="13" t="s">
        <v>42</v>
      </c>
      <c r="H1952" s="11" t="n">
        <v>2110405</v>
      </c>
      <c r="I1952" s="13" t="s">
        <v>34</v>
      </c>
      <c r="J1952" s="11" t="n">
        <v>1585320</v>
      </c>
      <c r="L1952" s="11" t="n">
        <v>703512</v>
      </c>
      <c r="M1952" s="13" t="s">
        <v>44</v>
      </c>
      <c r="N1952" s="13" t="s">
        <v>36</v>
      </c>
      <c r="P1952" s="11" t="n">
        <v>167</v>
      </c>
      <c r="Q1952" s="13" t="s">
        <v>101</v>
      </c>
      <c r="R1952" s="13" t="s">
        <v>46</v>
      </c>
      <c r="S1952" s="11" t="n">
        <v>1130101</v>
      </c>
      <c r="T1952" s="13" t="s">
        <v>47</v>
      </c>
      <c r="U1952" s="14" t="n">
        <v>226.44</v>
      </c>
      <c r="W1952" s="14" t="n">
        <v>0</v>
      </c>
      <c r="X1952" s="13" t="s">
        <v>1936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SODA CAUSTICA TOP CLEAN 300G</v>
      </c>
      <c r="AC1952" s="1" t="n">
        <v>70351</v>
      </c>
    </row>
    <row r="1953" customFormat="false" ht="12.75" hidden="false" customHeight="true" outlineLevel="0" collapsed="false">
      <c r="A1953" s="11" t="n">
        <v>3</v>
      </c>
      <c r="B1953" s="12" t="n">
        <v>46255</v>
      </c>
      <c r="C1953" s="12" t="n">
        <v>46274</v>
      </c>
      <c r="D1953" s="11" t="n">
        <v>1613</v>
      </c>
      <c r="E1953" s="13" t="s">
        <v>177</v>
      </c>
      <c r="F1953" s="11" t="n">
        <v>24</v>
      </c>
      <c r="G1953" s="13" t="s">
        <v>42</v>
      </c>
      <c r="H1953" s="11" t="n">
        <v>2110405</v>
      </c>
      <c r="I1953" s="13" t="s">
        <v>34</v>
      </c>
      <c r="J1953" s="11" t="n">
        <v>1585503</v>
      </c>
      <c r="L1953" s="11" t="n">
        <v>16220083</v>
      </c>
      <c r="M1953" s="13" t="s">
        <v>44</v>
      </c>
      <c r="N1953" s="13" t="s">
        <v>36</v>
      </c>
      <c r="P1953" s="11" t="n">
        <v>167</v>
      </c>
      <c r="Q1953" s="13" t="s">
        <v>101</v>
      </c>
      <c r="R1953" s="13" t="s">
        <v>46</v>
      </c>
      <c r="S1953" s="11" t="n">
        <v>1130101</v>
      </c>
      <c r="T1953" s="13" t="s">
        <v>47</v>
      </c>
      <c r="U1953" s="14" t="n">
        <v>1333.03</v>
      </c>
      <c r="W1953" s="14" t="n">
        <v>0</v>
      </c>
      <c r="X1953" s="13" t="s">
        <v>1937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FILE PEITOA GRANEL</v>
      </c>
      <c r="AC1953" s="1" t="n">
        <v>1622008</v>
      </c>
    </row>
    <row r="1954" customFormat="false" ht="12.75" hidden="false" customHeight="true" outlineLevel="0" collapsed="false">
      <c r="A1954" s="11" t="n">
        <v>3</v>
      </c>
      <c r="B1954" s="12" t="n">
        <v>46259</v>
      </c>
      <c r="C1954" s="12" t="n">
        <v>46274</v>
      </c>
      <c r="D1954" s="11" t="n">
        <v>1024</v>
      </c>
      <c r="E1954" s="13" t="s">
        <v>161</v>
      </c>
      <c r="F1954" s="11" t="n">
        <v>24</v>
      </c>
      <c r="G1954" s="13" t="s">
        <v>42</v>
      </c>
      <c r="H1954" s="11" t="n">
        <v>2110405</v>
      </c>
      <c r="I1954" s="13" t="s">
        <v>34</v>
      </c>
      <c r="J1954" s="11" t="n">
        <v>1603758</v>
      </c>
      <c r="L1954" s="11" t="n">
        <v>6288892</v>
      </c>
      <c r="M1954" s="13" t="s">
        <v>44</v>
      </c>
      <c r="N1954" s="13" t="s">
        <v>36</v>
      </c>
      <c r="P1954" s="11" t="n">
        <v>167</v>
      </c>
      <c r="Q1954" s="13" t="s">
        <v>101</v>
      </c>
      <c r="R1954" s="13" t="s">
        <v>46</v>
      </c>
      <c r="S1954" s="11" t="n">
        <v>1130101</v>
      </c>
      <c r="T1954" s="13" t="s">
        <v>47</v>
      </c>
      <c r="U1954" s="14" t="n">
        <v>327</v>
      </c>
      <c r="W1954" s="14" t="n">
        <v>0</v>
      </c>
      <c r="X1954" s="13" t="s">
        <v>1938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REAL GOLD 250ML PET</v>
      </c>
      <c r="AC1954" s="1" t="n">
        <v>628889</v>
      </c>
    </row>
    <row r="1955" customFormat="false" ht="12.75" hidden="false" customHeight="true" outlineLevel="0" collapsed="false">
      <c r="A1955" s="11" t="n">
        <v>3</v>
      </c>
      <c r="B1955" s="12" t="n">
        <v>46260</v>
      </c>
      <c r="C1955" s="12" t="n">
        <v>46274</v>
      </c>
      <c r="D1955" s="11" t="n">
        <v>794</v>
      </c>
      <c r="E1955" s="13" t="s">
        <v>152</v>
      </c>
      <c r="F1955" s="11" t="n">
        <v>24</v>
      </c>
      <c r="G1955" s="13" t="s">
        <v>42</v>
      </c>
      <c r="H1955" s="11" t="n">
        <v>2110405</v>
      </c>
      <c r="I1955" s="13" t="s">
        <v>34</v>
      </c>
      <c r="J1955" s="11" t="n">
        <v>1608535</v>
      </c>
      <c r="L1955" s="11" t="n">
        <v>59751</v>
      </c>
      <c r="M1955" s="13" t="s">
        <v>44</v>
      </c>
      <c r="N1955" s="13" t="s">
        <v>36</v>
      </c>
      <c r="P1955" s="11" t="n">
        <v>167</v>
      </c>
      <c r="Q1955" s="13" t="s">
        <v>101</v>
      </c>
      <c r="R1955" s="13" t="s">
        <v>46</v>
      </c>
      <c r="S1955" s="11" t="n">
        <v>1130101</v>
      </c>
      <c r="T1955" s="13" t="s">
        <v>47</v>
      </c>
      <c r="U1955" s="14" t="n">
        <v>1460.03</v>
      </c>
      <c r="W1955" s="14" t="n">
        <v>0</v>
      </c>
      <c r="X1955" s="13" t="s">
        <v>1939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SACOLA DE 3KG</v>
      </c>
      <c r="AC1955" s="1" t="n">
        <v>8770</v>
      </c>
    </row>
    <row r="1956" customFormat="false" ht="12.75" hidden="false" customHeight="true" outlineLevel="0" collapsed="false">
      <c r="A1956" s="11" t="n">
        <v>3</v>
      </c>
      <c r="B1956" s="12" t="n">
        <v>46260</v>
      </c>
      <c r="C1956" s="12" t="n">
        <v>46274</v>
      </c>
      <c r="D1956" s="11" t="n">
        <v>794</v>
      </c>
      <c r="E1956" s="13" t="s">
        <v>152</v>
      </c>
      <c r="F1956" s="11" t="n">
        <v>24</v>
      </c>
      <c r="G1956" s="13" t="s">
        <v>42</v>
      </c>
      <c r="H1956" s="11" t="n">
        <v>2110405</v>
      </c>
      <c r="I1956" s="13" t="s">
        <v>34</v>
      </c>
      <c r="J1956" s="11" t="n">
        <v>1608612</v>
      </c>
      <c r="L1956" s="11" t="n">
        <v>59741</v>
      </c>
      <c r="M1956" s="13" t="s">
        <v>44</v>
      </c>
      <c r="N1956" s="13" t="s">
        <v>36</v>
      </c>
      <c r="P1956" s="11" t="n">
        <v>167</v>
      </c>
      <c r="Q1956" s="13" t="s">
        <v>101</v>
      </c>
      <c r="R1956" s="13" t="s">
        <v>38</v>
      </c>
      <c r="S1956" s="11" t="n">
        <v>4210299</v>
      </c>
      <c r="T1956" s="13" t="s">
        <v>1079</v>
      </c>
      <c r="U1956" s="14" t="n">
        <v>1115.87</v>
      </c>
      <c r="W1956" s="14" t="n">
        <v>0</v>
      </c>
      <c r="X1956" s="13" t="s">
        <v>1940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SACOLA DE 3KG</v>
      </c>
      <c r="AC1956" s="1" t="n">
        <v>8769</v>
      </c>
    </row>
    <row r="1957" customFormat="false" ht="12.75" hidden="false" customHeight="true" outlineLevel="0" collapsed="false">
      <c r="A1957" s="11" t="n">
        <v>3</v>
      </c>
      <c r="B1957" s="12" t="n">
        <v>46262</v>
      </c>
      <c r="C1957" s="12" t="n">
        <v>46274</v>
      </c>
      <c r="D1957" s="11" t="n">
        <v>1613</v>
      </c>
      <c r="E1957" s="13" t="s">
        <v>177</v>
      </c>
      <c r="F1957" s="11" t="n">
        <v>24</v>
      </c>
      <c r="G1957" s="13" t="s">
        <v>42</v>
      </c>
      <c r="H1957" s="11" t="n">
        <v>2110405</v>
      </c>
      <c r="I1957" s="13" t="s">
        <v>34</v>
      </c>
      <c r="J1957" s="11" t="n">
        <v>1613501</v>
      </c>
      <c r="L1957" s="11" t="n">
        <v>16248382</v>
      </c>
      <c r="M1957" s="13" t="s">
        <v>44</v>
      </c>
      <c r="N1957" s="13" t="s">
        <v>36</v>
      </c>
      <c r="P1957" s="11" t="n">
        <v>167</v>
      </c>
      <c r="Q1957" s="13" t="s">
        <v>101</v>
      </c>
      <c r="R1957" s="13" t="s">
        <v>46</v>
      </c>
      <c r="S1957" s="11" t="n">
        <v>1130101</v>
      </c>
      <c r="T1957" s="13" t="s">
        <v>47</v>
      </c>
      <c r="U1957" s="14" t="n">
        <v>1100.04</v>
      </c>
      <c r="W1957" s="14" t="n">
        <v>0</v>
      </c>
      <c r="X1957" s="13" t="s">
        <v>1941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FILE PEITOA GRANEL</v>
      </c>
      <c r="AC1957" s="1" t="n">
        <v>1624838</v>
      </c>
    </row>
    <row r="1958" customFormat="false" ht="12.75" hidden="false" customHeight="true" outlineLevel="0" collapsed="false">
      <c r="A1958" s="11" t="n">
        <v>3</v>
      </c>
      <c r="B1958" s="12" t="n">
        <v>46122</v>
      </c>
      <c r="C1958" s="12" t="n">
        <v>46275</v>
      </c>
      <c r="D1958" s="11" t="n">
        <v>815</v>
      </c>
      <c r="E1958" s="13" t="s">
        <v>327</v>
      </c>
      <c r="F1958" s="11" t="n">
        <v>34</v>
      </c>
      <c r="G1958" s="13" t="s">
        <v>33</v>
      </c>
      <c r="H1958" s="11" t="n">
        <v>2110405</v>
      </c>
      <c r="I1958" s="13" t="s">
        <v>34</v>
      </c>
      <c r="J1958" s="11" t="n">
        <v>793794</v>
      </c>
      <c r="L1958" s="11" t="n">
        <v>100326</v>
      </c>
      <c r="M1958" s="13" t="s">
        <v>35</v>
      </c>
      <c r="N1958" s="13" t="s">
        <v>36</v>
      </c>
      <c r="P1958" s="11" t="n">
        <v>101</v>
      </c>
      <c r="Q1958" s="13" t="s">
        <v>37</v>
      </c>
      <c r="R1958" s="13" t="s">
        <v>139</v>
      </c>
      <c r="S1958" s="11" t="n">
        <v>2110901</v>
      </c>
      <c r="T1958" s="13" t="s">
        <v>140</v>
      </c>
      <c r="U1958" s="14" t="n">
        <v>1500</v>
      </c>
      <c r="W1958" s="14" t="n">
        <v>0</v>
      </c>
      <c r="X1958" s="13" t="s">
        <v>328</v>
      </c>
      <c r="Z1958" s="1" t="str">
        <f aca="false">IF($T1958="","",IFERROR(INDEX('Resumo Grupos'!$AC$3:$AC$200,MATCH($T1958,'Resumo Grupos'!$AB$3:$AB$200,0)),"n/d"))</f>
        <v>Empréstimo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46211</v>
      </c>
      <c r="C1959" s="12" t="n">
        <v>46275</v>
      </c>
      <c r="D1959" s="11" t="n">
        <v>33</v>
      </c>
      <c r="E1959" s="13" t="s">
        <v>71</v>
      </c>
      <c r="F1959" s="11" t="n">
        <v>34</v>
      </c>
      <c r="G1959" s="13" t="s">
        <v>33</v>
      </c>
      <c r="H1959" s="11" t="n">
        <v>2110405</v>
      </c>
      <c r="I1959" s="13" t="s">
        <v>34</v>
      </c>
      <c r="J1959" s="11" t="n">
        <v>1370731</v>
      </c>
      <c r="L1959" s="11" t="n">
        <v>213889</v>
      </c>
      <c r="M1959" s="13" t="s">
        <v>244</v>
      </c>
      <c r="N1959" s="13" t="s">
        <v>36</v>
      </c>
      <c r="P1959" s="11" t="n">
        <v>101</v>
      </c>
      <c r="Q1959" s="13" t="s">
        <v>37</v>
      </c>
      <c r="R1959" s="13" t="s">
        <v>38</v>
      </c>
      <c r="S1959" s="11" t="n">
        <v>4210222</v>
      </c>
      <c r="T1959" s="13" t="s">
        <v>1094</v>
      </c>
      <c r="U1959" s="14" t="n">
        <v>666.67</v>
      </c>
      <c r="W1959" s="14" t="n">
        <v>0</v>
      </c>
      <c r="X1959" s="13" t="s">
        <v>1095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46214</v>
      </c>
      <c r="C1960" s="12" t="n">
        <v>46275</v>
      </c>
      <c r="D1960" s="11" t="n">
        <v>1028</v>
      </c>
      <c r="E1960" s="13" t="s">
        <v>329</v>
      </c>
      <c r="F1960" s="11" t="n">
        <v>34</v>
      </c>
      <c r="G1960" s="13" t="s">
        <v>33</v>
      </c>
      <c r="H1960" s="11" t="n">
        <v>2110405</v>
      </c>
      <c r="I1960" s="13" t="s">
        <v>34</v>
      </c>
      <c r="J1960" s="11" t="n">
        <v>1382524</v>
      </c>
      <c r="L1960" s="11" t="n">
        <v>215701</v>
      </c>
      <c r="M1960" s="13" t="s">
        <v>244</v>
      </c>
      <c r="N1960" s="13" t="s">
        <v>36</v>
      </c>
      <c r="P1960" s="11" t="n">
        <v>101</v>
      </c>
      <c r="Q1960" s="13" t="s">
        <v>37</v>
      </c>
      <c r="R1960" s="13" t="s">
        <v>63</v>
      </c>
      <c r="S1960" s="11" t="n">
        <v>4210111</v>
      </c>
      <c r="T1960" s="13" t="s">
        <v>330</v>
      </c>
      <c r="U1960" s="14" t="n">
        <v>5500</v>
      </c>
      <c r="W1960" s="14" t="n">
        <v>0</v>
      </c>
      <c r="X1960" s="13" t="s">
        <v>964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46234</v>
      </c>
      <c r="C1961" s="12" t="n">
        <v>46275</v>
      </c>
      <c r="D1961" s="11" t="n">
        <v>815</v>
      </c>
      <c r="E1961" s="13" t="s">
        <v>327</v>
      </c>
      <c r="F1961" s="11" t="n">
        <v>34</v>
      </c>
      <c r="G1961" s="13" t="s">
        <v>33</v>
      </c>
      <c r="H1961" s="11" t="n">
        <v>2110405</v>
      </c>
      <c r="I1961" s="13" t="s">
        <v>34</v>
      </c>
      <c r="J1961" s="11" t="n">
        <v>1477448</v>
      </c>
      <c r="L1961" s="11" t="n">
        <v>229731</v>
      </c>
      <c r="M1961" s="13" t="s">
        <v>150</v>
      </c>
      <c r="N1961" s="13" t="s">
        <v>36</v>
      </c>
      <c r="P1961" s="11" t="n">
        <v>101</v>
      </c>
      <c r="Q1961" s="13" t="s">
        <v>37</v>
      </c>
      <c r="R1961" s="13" t="s">
        <v>245</v>
      </c>
      <c r="S1961" s="11" t="n">
        <v>2210203</v>
      </c>
      <c r="T1961" s="13" t="s">
        <v>1532</v>
      </c>
      <c r="U1961" s="14" t="n">
        <v>75000</v>
      </c>
      <c r="W1961" s="14" t="n">
        <v>0</v>
      </c>
      <c r="X1961" s="13" t="s">
        <v>1534</v>
      </c>
      <c r="Z1961" s="1" t="str">
        <f aca="false">IF($T1961="","",IFERROR(INDEX('Resumo Grupos'!$AC$3:$AC$200,MATCH($T1961,'Resumo Grupos'!$AB$3:$AB$200,0)),"n/d"))</f>
        <v>Empréstimo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46244</v>
      </c>
      <c r="C1962" s="12" t="n">
        <v>46275</v>
      </c>
      <c r="D1962" s="11" t="n">
        <v>33</v>
      </c>
      <c r="E1962" s="13" t="s">
        <v>71</v>
      </c>
      <c r="F1962" s="11" t="n">
        <v>34</v>
      </c>
      <c r="G1962" s="13" t="s">
        <v>33</v>
      </c>
      <c r="H1962" s="11" t="n">
        <v>2110405</v>
      </c>
      <c r="I1962" s="13" t="s">
        <v>34</v>
      </c>
      <c r="J1962" s="11" t="n">
        <v>1530150</v>
      </c>
      <c r="L1962" s="11" t="n">
        <v>237338</v>
      </c>
      <c r="M1962" s="13" t="s">
        <v>44</v>
      </c>
      <c r="N1962" s="13" t="s">
        <v>36</v>
      </c>
      <c r="P1962" s="11" t="n">
        <v>101</v>
      </c>
      <c r="Q1962" s="13" t="s">
        <v>37</v>
      </c>
      <c r="R1962" s="13" t="s">
        <v>72</v>
      </c>
      <c r="S1962" s="11" t="n">
        <v>4210301</v>
      </c>
      <c r="T1962" s="13" t="s">
        <v>230</v>
      </c>
      <c r="U1962" s="14" t="n">
        <v>329.09</v>
      </c>
      <c r="W1962" s="14" t="n">
        <v>0</v>
      </c>
      <c r="X1962" s="13" t="s">
        <v>317</v>
      </c>
      <c r="Z1962" s="1" t="str">
        <f aca="false">IF($T1962="","",IFERROR(INDEX('Resumo Grupos'!$AC$3:$AC$200,MATCH($T1962,'Resumo Grupos'!$AB$3:$AB$200,0)),"n/d"))</f>
        <v>Salários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46245</v>
      </c>
      <c r="C1963" s="12" t="n">
        <v>46275</v>
      </c>
      <c r="D1963" s="11" t="n">
        <v>1699</v>
      </c>
      <c r="E1963" s="13" t="s">
        <v>60</v>
      </c>
      <c r="F1963" s="11" t="n">
        <v>24</v>
      </c>
      <c r="G1963" s="13" t="s">
        <v>42</v>
      </c>
      <c r="H1963" s="11" t="n">
        <v>2110405</v>
      </c>
      <c r="I1963" s="13" t="s">
        <v>34</v>
      </c>
      <c r="J1963" s="11" t="n">
        <v>1537079</v>
      </c>
      <c r="L1963" s="11" t="n">
        <v>3107413</v>
      </c>
      <c r="M1963" s="13" t="s">
        <v>44</v>
      </c>
      <c r="N1963" s="13" t="s">
        <v>36</v>
      </c>
      <c r="P1963" s="11" t="n">
        <v>167</v>
      </c>
      <c r="Q1963" s="13" t="s">
        <v>101</v>
      </c>
      <c r="R1963" s="13" t="s">
        <v>46</v>
      </c>
      <c r="S1963" s="11" t="n">
        <v>1130101</v>
      </c>
      <c r="T1963" s="13" t="s">
        <v>47</v>
      </c>
      <c r="U1963" s="14" t="n">
        <v>1384</v>
      </c>
      <c r="W1963" s="14" t="n">
        <v>0</v>
      </c>
      <c r="X1963" s="13" t="s">
        <v>1942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LING CALABRESA PERD</v>
      </c>
      <c r="AC1963" s="1" t="n">
        <v>310741</v>
      </c>
    </row>
    <row r="1964" customFormat="false" ht="12.75" hidden="false" customHeight="true" outlineLevel="0" collapsed="false">
      <c r="A1964" s="11" t="n">
        <v>3</v>
      </c>
      <c r="B1964" s="12" t="n">
        <v>46247</v>
      </c>
      <c r="C1964" s="12" t="n">
        <v>46275</v>
      </c>
      <c r="D1964" s="11" t="n">
        <v>1921</v>
      </c>
      <c r="E1964" s="13" t="s">
        <v>247</v>
      </c>
      <c r="F1964" s="11" t="n">
        <v>24</v>
      </c>
      <c r="G1964" s="13" t="s">
        <v>42</v>
      </c>
      <c r="H1964" s="11" t="n">
        <v>2110405</v>
      </c>
      <c r="I1964" s="13" t="s">
        <v>34</v>
      </c>
      <c r="J1964" s="11" t="n">
        <v>1543028</v>
      </c>
      <c r="L1964" s="11" t="n">
        <v>137023</v>
      </c>
      <c r="M1964" s="13" t="s">
        <v>44</v>
      </c>
      <c r="N1964" s="13" t="s">
        <v>36</v>
      </c>
      <c r="P1964" s="11" t="n">
        <v>167</v>
      </c>
      <c r="Q1964" s="13" t="s">
        <v>101</v>
      </c>
      <c r="R1964" s="13" t="s">
        <v>46</v>
      </c>
      <c r="S1964" s="11" t="n">
        <v>1130101</v>
      </c>
      <c r="T1964" s="13" t="s">
        <v>47</v>
      </c>
      <c r="U1964" s="14" t="n">
        <v>355.95</v>
      </c>
      <c r="W1964" s="14" t="n">
        <v>0</v>
      </c>
      <c r="X1964" s="13" t="s">
        <v>1943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CANJICA MILHO BRANCO 400G</v>
      </c>
      <c r="AC1964" s="1" t="n">
        <v>21254</v>
      </c>
    </row>
    <row r="1965" customFormat="false" ht="12.75" hidden="false" customHeight="true" outlineLevel="0" collapsed="false">
      <c r="A1965" s="11" t="n">
        <v>3</v>
      </c>
      <c r="B1965" s="12" t="n">
        <v>46249</v>
      </c>
      <c r="C1965" s="12" t="n">
        <v>46275</v>
      </c>
      <c r="D1965" s="11" t="n">
        <v>1815</v>
      </c>
      <c r="E1965" s="13" t="s">
        <v>53</v>
      </c>
      <c r="F1965" s="11" t="n">
        <v>24</v>
      </c>
      <c r="G1965" s="13" t="s">
        <v>42</v>
      </c>
      <c r="H1965" s="11" t="n">
        <v>2110405</v>
      </c>
      <c r="I1965" s="13" t="s">
        <v>34</v>
      </c>
      <c r="J1965" s="11" t="n">
        <v>1551647</v>
      </c>
      <c r="L1965" s="11" t="n">
        <v>4625883</v>
      </c>
      <c r="M1965" s="13" t="s">
        <v>44</v>
      </c>
      <c r="N1965" s="13" t="s">
        <v>36</v>
      </c>
      <c r="P1965" s="11" t="n">
        <v>167</v>
      </c>
      <c r="Q1965" s="13" t="s">
        <v>101</v>
      </c>
      <c r="R1965" s="13" t="s">
        <v>46</v>
      </c>
      <c r="S1965" s="11" t="n">
        <v>1130101</v>
      </c>
      <c r="T1965" s="13" t="s">
        <v>47</v>
      </c>
      <c r="U1965" s="14" t="n">
        <v>655.61</v>
      </c>
      <c r="W1965" s="14" t="n">
        <v>0</v>
      </c>
      <c r="X1965" s="13" t="s">
        <v>1944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FIGADO BOVINO KG</v>
      </c>
      <c r="AC1965" s="1" t="n">
        <v>398009</v>
      </c>
    </row>
    <row r="1966" customFormat="false" ht="12.75" hidden="false" customHeight="true" outlineLevel="0" collapsed="false">
      <c r="A1966" s="11" t="n">
        <v>3</v>
      </c>
      <c r="B1966" s="12" t="n">
        <v>46252</v>
      </c>
      <c r="C1966" s="12" t="n">
        <v>46275</v>
      </c>
      <c r="D1966" s="11" t="n">
        <v>1778</v>
      </c>
      <c r="E1966" s="13" t="s">
        <v>116</v>
      </c>
      <c r="F1966" s="11" t="n">
        <v>24</v>
      </c>
      <c r="G1966" s="13" t="s">
        <v>42</v>
      </c>
      <c r="H1966" s="11" t="n">
        <v>2110405</v>
      </c>
      <c r="I1966" s="13" t="s">
        <v>34</v>
      </c>
      <c r="J1966" s="11" t="n">
        <v>1566592</v>
      </c>
      <c r="L1966" s="11" t="n">
        <v>281096</v>
      </c>
      <c r="M1966" s="13" t="s">
        <v>44</v>
      </c>
      <c r="N1966" s="13" t="s">
        <v>36</v>
      </c>
      <c r="P1966" s="11" t="n">
        <v>167</v>
      </c>
      <c r="Q1966" s="13" t="s">
        <v>101</v>
      </c>
      <c r="R1966" s="13" t="s">
        <v>38</v>
      </c>
      <c r="S1966" s="11" t="n">
        <v>4210207</v>
      </c>
      <c r="T1966" s="13" t="s">
        <v>117</v>
      </c>
      <c r="U1966" s="14" t="n">
        <v>64.16</v>
      </c>
      <c r="W1966" s="14" t="n">
        <v>0</v>
      </c>
      <c r="X1966" s="13" t="s">
        <v>1856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46253</v>
      </c>
      <c r="C1967" s="12" t="n">
        <v>46275</v>
      </c>
      <c r="D1967" s="11" t="n">
        <v>1601</v>
      </c>
      <c r="E1967" s="13" t="s">
        <v>155</v>
      </c>
      <c r="F1967" s="11" t="n">
        <v>24</v>
      </c>
      <c r="G1967" s="13" t="s">
        <v>42</v>
      </c>
      <c r="H1967" s="11" t="n">
        <v>2110405</v>
      </c>
      <c r="I1967" s="13" t="s">
        <v>34</v>
      </c>
      <c r="J1967" s="11" t="n">
        <v>1576470</v>
      </c>
      <c r="L1967" s="11" t="n">
        <v>9663142</v>
      </c>
      <c r="M1967" s="13" t="s">
        <v>44</v>
      </c>
      <c r="N1967" s="13" t="s">
        <v>36</v>
      </c>
      <c r="P1967" s="11" t="n">
        <v>167</v>
      </c>
      <c r="Q1967" s="13" t="s">
        <v>101</v>
      </c>
      <c r="R1967" s="13" t="s">
        <v>46</v>
      </c>
      <c r="S1967" s="11" t="n">
        <v>1130101</v>
      </c>
      <c r="T1967" s="13" t="s">
        <v>47</v>
      </c>
      <c r="U1967" s="14" t="n">
        <v>603.25</v>
      </c>
      <c r="W1967" s="14" t="n">
        <v>0</v>
      </c>
      <c r="X1967" s="13" t="s">
        <v>1945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KETCH TOMAT HEIN397G</v>
      </c>
      <c r="AC1967" s="1" t="n">
        <v>865043</v>
      </c>
    </row>
    <row r="1968" customFormat="false" ht="12.75" hidden="false" customHeight="true" outlineLevel="0" collapsed="false">
      <c r="A1968" s="11" t="n">
        <v>3</v>
      </c>
      <c r="B1968" s="12" t="n">
        <v>46253</v>
      </c>
      <c r="C1968" s="12" t="n">
        <v>46275</v>
      </c>
      <c r="D1968" s="11" t="n">
        <v>1608</v>
      </c>
      <c r="E1968" s="13" t="s">
        <v>41</v>
      </c>
      <c r="F1968" s="11" t="n">
        <v>24</v>
      </c>
      <c r="G1968" s="13" t="s">
        <v>42</v>
      </c>
      <c r="H1968" s="11" t="n">
        <v>2110405</v>
      </c>
      <c r="I1968" s="13" t="s">
        <v>34</v>
      </c>
      <c r="J1968" s="11" t="n">
        <v>1576496</v>
      </c>
      <c r="L1968" s="11" t="n">
        <v>17150322</v>
      </c>
      <c r="M1968" s="13" t="s">
        <v>44</v>
      </c>
      <c r="N1968" s="13" t="s">
        <v>36</v>
      </c>
      <c r="P1968" s="11" t="n">
        <v>167</v>
      </c>
      <c r="Q1968" s="13" t="s">
        <v>101</v>
      </c>
      <c r="R1968" s="13" t="s">
        <v>46</v>
      </c>
      <c r="S1968" s="11" t="n">
        <v>1130101</v>
      </c>
      <c r="T1968" s="13" t="s">
        <v>47</v>
      </c>
      <c r="U1968" s="14" t="n">
        <v>789.29</v>
      </c>
      <c r="W1968" s="14" t="n">
        <v>0</v>
      </c>
      <c r="X1968" s="13" t="s">
        <v>1946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TODDYNHO CHOCOLATE</v>
      </c>
      <c r="AC1968" s="1" t="n">
        <v>1715032</v>
      </c>
    </row>
    <row r="1969" customFormat="false" ht="12.75" hidden="false" customHeight="true" outlineLevel="0" collapsed="false">
      <c r="A1969" s="11" t="n">
        <v>3</v>
      </c>
      <c r="B1969" s="12" t="n">
        <v>46260</v>
      </c>
      <c r="C1969" s="12" t="n">
        <v>46275</v>
      </c>
      <c r="D1969" s="11" t="n">
        <v>1672</v>
      </c>
      <c r="E1969" s="13" t="s">
        <v>67</v>
      </c>
      <c r="F1969" s="11" t="n">
        <v>24</v>
      </c>
      <c r="G1969" s="13" t="s">
        <v>42</v>
      </c>
      <c r="H1969" s="11" t="n">
        <v>2110405</v>
      </c>
      <c r="I1969" s="13" t="s">
        <v>34</v>
      </c>
      <c r="J1969" s="11" t="n">
        <v>1628639</v>
      </c>
      <c r="L1969" s="11" t="n">
        <v>14353161</v>
      </c>
      <c r="M1969" s="13" t="s">
        <v>44</v>
      </c>
      <c r="N1969" s="13" t="s">
        <v>36</v>
      </c>
      <c r="P1969" s="11" t="n">
        <v>167</v>
      </c>
      <c r="Q1969" s="13" t="s">
        <v>101</v>
      </c>
      <c r="R1969" s="13" t="s">
        <v>46</v>
      </c>
      <c r="S1969" s="11" t="n">
        <v>1130101</v>
      </c>
      <c r="T1969" s="13" t="s">
        <v>47</v>
      </c>
      <c r="U1969" s="14" t="n">
        <v>365</v>
      </c>
      <c r="W1969" s="14" t="n">
        <v>0</v>
      </c>
      <c r="X1969" s="13" t="s">
        <v>1947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AGUACRIM 20L</v>
      </c>
      <c r="AC1969" s="1" t="n">
        <v>1435316</v>
      </c>
    </row>
    <row r="1970" customFormat="false" ht="12.75" hidden="false" customHeight="true" outlineLevel="0" collapsed="false">
      <c r="A1970" s="11" t="n">
        <v>3</v>
      </c>
      <c r="B1970" s="12" t="n">
        <v>46186</v>
      </c>
      <c r="C1970" s="12" t="n">
        <v>46276</v>
      </c>
      <c r="D1970" s="11" t="n">
        <v>957</v>
      </c>
      <c r="E1970" s="13" t="s">
        <v>720</v>
      </c>
      <c r="F1970" s="11" t="n">
        <v>24</v>
      </c>
      <c r="G1970" s="13" t="s">
        <v>42</v>
      </c>
      <c r="H1970" s="11" t="n">
        <v>2110101</v>
      </c>
      <c r="I1970" s="13" t="s">
        <v>43</v>
      </c>
      <c r="J1970" s="11" t="n">
        <v>1270024</v>
      </c>
      <c r="L1970" s="11" t="n">
        <v>204691</v>
      </c>
      <c r="M1970" s="13" t="s">
        <v>44</v>
      </c>
      <c r="N1970" s="13" t="s">
        <v>36</v>
      </c>
      <c r="P1970" s="11" t="n">
        <v>128</v>
      </c>
      <c r="Q1970" s="13" t="s">
        <v>45</v>
      </c>
      <c r="R1970" s="13" t="s">
        <v>46</v>
      </c>
      <c r="S1970" s="11" t="n">
        <v>1130101</v>
      </c>
      <c r="T1970" s="13" t="s">
        <v>47</v>
      </c>
      <c r="U1970" s="14" t="n">
        <v>245.49</v>
      </c>
      <c r="W1970" s="14" t="n">
        <v>0</v>
      </c>
      <c r="X1970" s="13" t="s">
        <v>1948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DEENTASTIX</v>
      </c>
      <c r="AC1970" s="1" t="n">
        <v>20469</v>
      </c>
    </row>
    <row r="1971" customFormat="false" ht="12.75" hidden="false" customHeight="true" outlineLevel="0" collapsed="false">
      <c r="A1971" s="11" t="n">
        <v>3</v>
      </c>
      <c r="B1971" s="12" t="n">
        <v>46234</v>
      </c>
      <c r="C1971" s="12" t="n">
        <v>46276</v>
      </c>
      <c r="D1971" s="11" t="n">
        <v>1675</v>
      </c>
      <c r="E1971" s="13" t="s">
        <v>163</v>
      </c>
      <c r="F1971" s="11" t="n">
        <v>24</v>
      </c>
      <c r="G1971" s="13" t="s">
        <v>42</v>
      </c>
      <c r="H1971" s="11" t="n">
        <v>2110405</v>
      </c>
      <c r="I1971" s="13" t="s">
        <v>34</v>
      </c>
      <c r="J1971" s="11" t="n">
        <v>1517561</v>
      </c>
      <c r="L1971" s="11" t="n">
        <v>5068383</v>
      </c>
      <c r="M1971" s="13" t="s">
        <v>44</v>
      </c>
      <c r="N1971" s="13" t="s">
        <v>36</v>
      </c>
      <c r="P1971" s="11" t="n">
        <v>167</v>
      </c>
      <c r="Q1971" s="13" t="s">
        <v>101</v>
      </c>
      <c r="R1971" s="13" t="s">
        <v>46</v>
      </c>
      <c r="S1971" s="11" t="n">
        <v>1130101</v>
      </c>
      <c r="T1971" s="13" t="s">
        <v>47</v>
      </c>
      <c r="U1971" s="14" t="n">
        <v>300.54</v>
      </c>
      <c r="W1971" s="14" t="n">
        <v>0</v>
      </c>
      <c r="X1971" s="13" t="s">
        <v>1949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TALCO BARLA 80G</v>
      </c>
      <c r="AC1971" s="1" t="n">
        <v>506838</v>
      </c>
    </row>
    <row r="1972" customFormat="false" ht="12.75" hidden="false" customHeight="true" outlineLevel="0" collapsed="false">
      <c r="A1972" s="11" t="n">
        <v>3</v>
      </c>
      <c r="B1972" s="12" t="n">
        <v>46248</v>
      </c>
      <c r="C1972" s="12" t="n">
        <v>46276</v>
      </c>
      <c r="D1972" s="11" t="n">
        <v>1720</v>
      </c>
      <c r="E1972" s="13" t="s">
        <v>985</v>
      </c>
      <c r="F1972" s="11" t="n">
        <v>24</v>
      </c>
      <c r="G1972" s="13" t="s">
        <v>42</v>
      </c>
      <c r="H1972" s="11" t="n">
        <v>2110405</v>
      </c>
      <c r="I1972" s="13" t="s">
        <v>34</v>
      </c>
      <c r="J1972" s="11" t="n">
        <v>1551691</v>
      </c>
      <c r="L1972" s="11" t="n">
        <v>613792</v>
      </c>
      <c r="M1972" s="13" t="s">
        <v>44</v>
      </c>
      <c r="N1972" s="13" t="s">
        <v>36</v>
      </c>
      <c r="P1972" s="11" t="n">
        <v>167</v>
      </c>
      <c r="Q1972" s="13" t="s">
        <v>101</v>
      </c>
      <c r="R1972" s="13" t="s">
        <v>46</v>
      </c>
      <c r="S1972" s="11" t="n">
        <v>1130101</v>
      </c>
      <c r="T1972" s="13" t="s">
        <v>47</v>
      </c>
      <c r="U1972" s="14" t="n">
        <v>625.75</v>
      </c>
      <c r="W1972" s="14" t="n">
        <v>0</v>
      </c>
      <c r="X1972" s="13" t="s">
        <v>1950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VELAS D'LUZ 8UN</v>
      </c>
      <c r="AC1972" s="1" t="n">
        <v>48211</v>
      </c>
    </row>
    <row r="1973" customFormat="false" ht="12.75" hidden="false" customHeight="true" outlineLevel="0" collapsed="false">
      <c r="A1973" s="11" t="n">
        <v>3</v>
      </c>
      <c r="B1973" s="12" t="n">
        <v>46251</v>
      </c>
      <c r="C1973" s="12" t="n">
        <v>46276</v>
      </c>
      <c r="D1973" s="11" t="n">
        <v>10010</v>
      </c>
      <c r="E1973" s="13" t="s">
        <v>1951</v>
      </c>
      <c r="F1973" s="11" t="n">
        <v>24</v>
      </c>
      <c r="G1973" s="13" t="s">
        <v>42</v>
      </c>
      <c r="H1973" s="11" t="n">
        <v>2110405</v>
      </c>
      <c r="I1973" s="13" t="s">
        <v>34</v>
      </c>
      <c r="J1973" s="11" t="n">
        <v>1582131</v>
      </c>
      <c r="L1973" s="11" t="n">
        <v>445011</v>
      </c>
      <c r="M1973" s="13" t="s">
        <v>44</v>
      </c>
      <c r="N1973" s="13" t="s">
        <v>36</v>
      </c>
      <c r="P1973" s="11" t="n">
        <v>167</v>
      </c>
      <c r="Q1973" s="13" t="s">
        <v>101</v>
      </c>
      <c r="R1973" s="13" t="s">
        <v>46</v>
      </c>
      <c r="S1973" s="11" t="n">
        <v>1130101</v>
      </c>
      <c r="T1973" s="13" t="s">
        <v>47</v>
      </c>
      <c r="U1973" s="14" t="n">
        <v>794.96</v>
      </c>
      <c r="W1973" s="14" t="n">
        <v>0</v>
      </c>
      <c r="X1973" s="13" t="s">
        <v>1952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LAVA ROUPAS LIQUIDO</v>
      </c>
      <c r="AC1973" s="1" t="n">
        <v>44501</v>
      </c>
    </row>
    <row r="1974" customFormat="false" ht="12.75" hidden="false" customHeight="true" outlineLevel="0" collapsed="false">
      <c r="A1974" s="11" t="n">
        <v>3</v>
      </c>
      <c r="B1974" s="12" t="n">
        <v>46255</v>
      </c>
      <c r="C1974" s="12" t="n">
        <v>46276</v>
      </c>
      <c r="D1974" s="11" t="n">
        <v>1695</v>
      </c>
      <c r="E1974" s="13" t="s">
        <v>269</v>
      </c>
      <c r="F1974" s="11" t="n">
        <v>24</v>
      </c>
      <c r="G1974" s="13" t="s">
        <v>42</v>
      </c>
      <c r="H1974" s="11" t="n">
        <v>2110405</v>
      </c>
      <c r="I1974" s="13" t="s">
        <v>34</v>
      </c>
      <c r="J1974" s="11" t="n">
        <v>1582343</v>
      </c>
      <c r="L1974" s="11" t="n">
        <v>199863</v>
      </c>
      <c r="M1974" s="13" t="s">
        <v>44</v>
      </c>
      <c r="N1974" s="13" t="s">
        <v>36</v>
      </c>
      <c r="P1974" s="11" t="n">
        <v>167</v>
      </c>
      <c r="Q1974" s="13" t="s">
        <v>101</v>
      </c>
      <c r="R1974" s="13" t="s">
        <v>46</v>
      </c>
      <c r="S1974" s="11" t="n">
        <v>1130101</v>
      </c>
      <c r="T1974" s="13" t="s">
        <v>47</v>
      </c>
      <c r="U1974" s="14" t="n">
        <v>1924.08</v>
      </c>
      <c r="W1974" s="14" t="n">
        <v>0</v>
      </c>
      <c r="X1974" s="13" t="s">
        <v>1953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SUCO JANDAI CAJU500M</v>
      </c>
      <c r="AC1974" s="1" t="n">
        <v>19986</v>
      </c>
    </row>
    <row r="1975" customFormat="false" ht="12.75" hidden="false" customHeight="true" outlineLevel="0" collapsed="false">
      <c r="A1975" s="11" t="n">
        <v>3</v>
      </c>
      <c r="B1975" s="12" t="n">
        <v>46254</v>
      </c>
      <c r="C1975" s="12" t="n">
        <v>46276</v>
      </c>
      <c r="D1975" s="11" t="n">
        <v>1122</v>
      </c>
      <c r="E1975" s="13" t="s">
        <v>1242</v>
      </c>
      <c r="F1975" s="11" t="n">
        <v>24</v>
      </c>
      <c r="G1975" s="13" t="s">
        <v>42</v>
      </c>
      <c r="H1975" s="11" t="n">
        <v>2110405</v>
      </c>
      <c r="I1975" s="13" t="s">
        <v>34</v>
      </c>
      <c r="J1975" s="11" t="n">
        <v>1585060</v>
      </c>
      <c r="L1975" s="11" t="n">
        <v>694822</v>
      </c>
      <c r="M1975" s="13" t="s">
        <v>44</v>
      </c>
      <c r="N1975" s="13" t="s">
        <v>36</v>
      </c>
      <c r="P1975" s="11" t="n">
        <v>167</v>
      </c>
      <c r="Q1975" s="13" t="s">
        <v>101</v>
      </c>
      <c r="R1975" s="13" t="s">
        <v>46</v>
      </c>
      <c r="S1975" s="11" t="n">
        <v>1130101</v>
      </c>
      <c r="T1975" s="13" t="s">
        <v>47</v>
      </c>
      <c r="U1975" s="14" t="n">
        <v>226.8</v>
      </c>
      <c r="W1975" s="14" t="n">
        <v>0</v>
      </c>
      <c r="X1975" s="13" t="s">
        <v>1954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VELA VULCAO DOURADO</v>
      </c>
      <c r="AC1975" s="1" t="n">
        <v>12955</v>
      </c>
    </row>
    <row r="1976" customFormat="false" ht="12.75" hidden="false" customHeight="true" outlineLevel="0" collapsed="false">
      <c r="A1976" s="11" t="n">
        <v>3</v>
      </c>
      <c r="B1976" s="12" t="n">
        <v>46256</v>
      </c>
      <c r="C1976" s="12" t="n">
        <v>46276</v>
      </c>
      <c r="D1976" s="11" t="n">
        <v>1815</v>
      </c>
      <c r="E1976" s="13" t="s">
        <v>53</v>
      </c>
      <c r="F1976" s="11" t="n">
        <v>24</v>
      </c>
      <c r="G1976" s="13" t="s">
        <v>42</v>
      </c>
      <c r="H1976" s="11" t="n">
        <v>2110405</v>
      </c>
      <c r="I1976" s="13" t="s">
        <v>34</v>
      </c>
      <c r="J1976" s="11" t="n">
        <v>1585144</v>
      </c>
      <c r="L1976" s="11" t="n">
        <v>4638562</v>
      </c>
      <c r="M1976" s="13" t="s">
        <v>44</v>
      </c>
      <c r="N1976" s="13" t="s">
        <v>36</v>
      </c>
      <c r="P1976" s="11" t="n">
        <v>167</v>
      </c>
      <c r="Q1976" s="13" t="s">
        <v>101</v>
      </c>
      <c r="R1976" s="13" t="s">
        <v>46</v>
      </c>
      <c r="S1976" s="11" t="n">
        <v>1130101</v>
      </c>
      <c r="T1976" s="13" t="s">
        <v>47</v>
      </c>
      <c r="U1976" s="14" t="n">
        <v>1010.95</v>
      </c>
      <c r="W1976" s="14" t="n">
        <v>0</v>
      </c>
      <c r="X1976" s="13" t="s">
        <v>1955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FIGADO BOVINO KG</v>
      </c>
      <c r="AC1976" s="1" t="n">
        <v>399135</v>
      </c>
    </row>
    <row r="1977" customFormat="false" ht="12.75" hidden="false" customHeight="true" outlineLevel="0" collapsed="false">
      <c r="A1977" s="11" t="n">
        <v>3</v>
      </c>
      <c r="B1977" s="12" t="n">
        <v>46254</v>
      </c>
      <c r="C1977" s="12" t="n">
        <v>46276</v>
      </c>
      <c r="D1977" s="11" t="n">
        <v>1027</v>
      </c>
      <c r="E1977" s="13" t="s">
        <v>1328</v>
      </c>
      <c r="F1977" s="11" t="n">
        <v>24</v>
      </c>
      <c r="G1977" s="13" t="s">
        <v>42</v>
      </c>
      <c r="H1977" s="11" t="n">
        <v>2110405</v>
      </c>
      <c r="I1977" s="13" t="s">
        <v>34</v>
      </c>
      <c r="J1977" s="11" t="n">
        <v>1585178</v>
      </c>
      <c r="L1977" s="11" t="n">
        <v>11550</v>
      </c>
      <c r="M1977" s="13" t="s">
        <v>44</v>
      </c>
      <c r="N1977" s="13" t="s">
        <v>36</v>
      </c>
      <c r="P1977" s="11" t="n">
        <v>167</v>
      </c>
      <c r="Q1977" s="13" t="s">
        <v>101</v>
      </c>
      <c r="R1977" s="13" t="s">
        <v>46</v>
      </c>
      <c r="S1977" s="11" t="n">
        <v>1130101</v>
      </c>
      <c r="T1977" s="13" t="s">
        <v>47</v>
      </c>
      <c r="U1977" s="14" t="n">
        <v>253.92</v>
      </c>
      <c r="W1977" s="14" t="n">
        <v>0</v>
      </c>
      <c r="X1977" s="13" t="s">
        <v>1956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VELA ESTRELINHA C/4</v>
      </c>
      <c r="AC1977" s="1" t="n">
        <v>2561</v>
      </c>
    </row>
    <row r="1978" customFormat="false" ht="12.75" hidden="false" customHeight="true" outlineLevel="0" collapsed="false">
      <c r="A1978" s="11" t="n">
        <v>3</v>
      </c>
      <c r="B1978" s="12" t="n">
        <v>46255</v>
      </c>
      <c r="C1978" s="12" t="n">
        <v>46276</v>
      </c>
      <c r="D1978" s="11" t="n">
        <v>10027</v>
      </c>
      <c r="E1978" s="13" t="s">
        <v>1659</v>
      </c>
      <c r="F1978" s="11" t="n">
        <v>34</v>
      </c>
      <c r="G1978" s="13" t="s">
        <v>33</v>
      </c>
      <c r="H1978" s="11" t="n">
        <v>2110405</v>
      </c>
      <c r="I1978" s="13" t="s">
        <v>34</v>
      </c>
      <c r="J1978" s="11" t="n">
        <v>1600382</v>
      </c>
      <c r="L1978" s="11" t="n">
        <v>246887</v>
      </c>
      <c r="M1978" s="13" t="s">
        <v>44</v>
      </c>
      <c r="N1978" s="13" t="s">
        <v>36</v>
      </c>
      <c r="P1978" s="11" t="n">
        <v>167</v>
      </c>
      <c r="Q1978" s="13" t="s">
        <v>101</v>
      </c>
      <c r="R1978" s="13" t="s">
        <v>1660</v>
      </c>
      <c r="S1978" s="11" t="n">
        <v>1240103</v>
      </c>
      <c r="T1978" s="13" t="s">
        <v>1661</v>
      </c>
      <c r="U1978" s="14" t="n">
        <v>1000</v>
      </c>
      <c r="W1978" s="14" t="n">
        <v>0</v>
      </c>
      <c r="X1978" s="13" t="s">
        <v>1957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1" t="n">
        <v>3</v>
      </c>
      <c r="B1979" s="12" t="n">
        <v>46260</v>
      </c>
      <c r="C1979" s="12" t="n">
        <v>46276</v>
      </c>
      <c r="D1979" s="11" t="n">
        <v>1814</v>
      </c>
      <c r="E1979" s="13" t="s">
        <v>339</v>
      </c>
      <c r="F1979" s="11" t="n">
        <v>24</v>
      </c>
      <c r="G1979" s="13" t="s">
        <v>42</v>
      </c>
      <c r="H1979" s="11" t="n">
        <v>2110405</v>
      </c>
      <c r="I1979" s="13" t="s">
        <v>34</v>
      </c>
      <c r="J1979" s="11" t="n">
        <v>1608697</v>
      </c>
      <c r="L1979" s="11" t="n">
        <v>287602</v>
      </c>
      <c r="M1979" s="13" t="s">
        <v>44</v>
      </c>
      <c r="N1979" s="13" t="s">
        <v>36</v>
      </c>
      <c r="P1979" s="11" t="n">
        <v>167</v>
      </c>
      <c r="Q1979" s="13" t="s">
        <v>101</v>
      </c>
      <c r="R1979" s="13" t="s">
        <v>46</v>
      </c>
      <c r="S1979" s="11" t="n">
        <v>1130101</v>
      </c>
      <c r="T1979" s="13" t="s">
        <v>47</v>
      </c>
      <c r="U1979" s="14" t="n">
        <v>673.16</v>
      </c>
      <c r="W1979" s="14" t="n">
        <v>0</v>
      </c>
      <c r="X1979" s="13" t="s">
        <v>1958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POLPA GRAVIOLA 100G</v>
      </c>
      <c r="AC1979" s="1" t="n">
        <v>28760</v>
      </c>
    </row>
    <row r="1980" customFormat="false" ht="12.75" hidden="false" customHeight="true" outlineLevel="0" collapsed="false">
      <c r="A1980" s="11" t="n">
        <v>3</v>
      </c>
      <c r="B1980" s="12" t="n">
        <v>46261</v>
      </c>
      <c r="C1980" s="12" t="n">
        <v>46276</v>
      </c>
      <c r="D1980" s="11" t="n">
        <v>1608</v>
      </c>
      <c r="E1980" s="13" t="s">
        <v>41</v>
      </c>
      <c r="F1980" s="11" t="n">
        <v>24</v>
      </c>
      <c r="G1980" s="13" t="s">
        <v>42</v>
      </c>
      <c r="H1980" s="11" t="n">
        <v>2110405</v>
      </c>
      <c r="I1980" s="13" t="s">
        <v>34</v>
      </c>
      <c r="J1980" s="11" t="n">
        <v>1614749</v>
      </c>
      <c r="L1980" s="11" t="n">
        <v>17216251</v>
      </c>
      <c r="M1980" s="13" t="s">
        <v>44</v>
      </c>
      <c r="N1980" s="13" t="s">
        <v>36</v>
      </c>
      <c r="P1980" s="11" t="n">
        <v>167</v>
      </c>
      <c r="Q1980" s="13" t="s">
        <v>101</v>
      </c>
      <c r="R1980" s="13" t="s">
        <v>46</v>
      </c>
      <c r="S1980" s="11" t="n">
        <v>1130101</v>
      </c>
      <c r="T1980" s="13" t="s">
        <v>47</v>
      </c>
      <c r="U1980" s="14" t="n">
        <v>203.74</v>
      </c>
      <c r="W1980" s="14" t="n">
        <v>0</v>
      </c>
      <c r="X1980" s="13" t="s">
        <v>1959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MANTE CABE TO 200G</v>
      </c>
      <c r="AC1980" s="1" t="n">
        <v>1721626</v>
      </c>
    </row>
    <row r="1981" customFormat="false" ht="12.75" hidden="false" customHeight="true" outlineLevel="0" collapsed="false">
      <c r="A1981" s="11" t="n">
        <v>3</v>
      </c>
      <c r="B1981" s="12" t="n">
        <v>46262</v>
      </c>
      <c r="C1981" s="12" t="n">
        <v>46276</v>
      </c>
      <c r="D1981" s="11" t="n">
        <v>1740</v>
      </c>
      <c r="E1981" s="13" t="s">
        <v>170</v>
      </c>
      <c r="F1981" s="11" t="n">
        <v>24</v>
      </c>
      <c r="G1981" s="13" t="s">
        <v>42</v>
      </c>
      <c r="H1981" s="11" t="n">
        <v>2110405</v>
      </c>
      <c r="I1981" s="13" t="s">
        <v>34</v>
      </c>
      <c r="J1981" s="11" t="n">
        <v>1618402</v>
      </c>
      <c r="L1981" s="11" t="n">
        <v>12646371</v>
      </c>
      <c r="M1981" s="13" t="s">
        <v>44</v>
      </c>
      <c r="N1981" s="13" t="s">
        <v>36</v>
      </c>
      <c r="P1981" s="11" t="n">
        <v>167</v>
      </c>
      <c r="Q1981" s="13" t="s">
        <v>101</v>
      </c>
      <c r="R1981" s="13" t="s">
        <v>46</v>
      </c>
      <c r="S1981" s="11" t="n">
        <v>1130101</v>
      </c>
      <c r="T1981" s="13" t="s">
        <v>47</v>
      </c>
      <c r="U1981" s="14" t="n">
        <v>903.6</v>
      </c>
      <c r="W1981" s="14" t="n">
        <v>0</v>
      </c>
      <c r="X1981" s="13" t="s">
        <v>1960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LINGUI DE FRANGO KG</v>
      </c>
      <c r="AC1981" s="1" t="n">
        <v>1264637</v>
      </c>
    </row>
    <row r="1982" customFormat="false" ht="12.75" hidden="false" customHeight="true" outlineLevel="0" collapsed="false">
      <c r="A1982" s="11" t="n">
        <v>3</v>
      </c>
      <c r="B1982" s="12" t="n">
        <v>46264</v>
      </c>
      <c r="C1982" s="12" t="n">
        <v>46276</v>
      </c>
      <c r="D1982" s="11" t="n">
        <v>1613</v>
      </c>
      <c r="E1982" s="13" t="s">
        <v>177</v>
      </c>
      <c r="F1982" s="11" t="n">
        <v>24</v>
      </c>
      <c r="G1982" s="13" t="s">
        <v>42</v>
      </c>
      <c r="H1982" s="11" t="n">
        <v>2110405</v>
      </c>
      <c r="I1982" s="13" t="s">
        <v>34</v>
      </c>
      <c r="J1982" s="11" t="n">
        <v>1628618</v>
      </c>
      <c r="L1982" s="11" t="n">
        <v>16250962</v>
      </c>
      <c r="M1982" s="13" t="s">
        <v>44</v>
      </c>
      <c r="N1982" s="13" t="s">
        <v>36</v>
      </c>
      <c r="P1982" s="11" t="n">
        <v>167</v>
      </c>
      <c r="Q1982" s="13" t="s">
        <v>101</v>
      </c>
      <c r="R1982" s="13" t="s">
        <v>46</v>
      </c>
      <c r="S1982" s="11" t="n">
        <v>1130101</v>
      </c>
      <c r="T1982" s="13" t="s">
        <v>47</v>
      </c>
      <c r="U1982" s="14" t="n">
        <v>166.92</v>
      </c>
      <c r="W1982" s="14" t="n">
        <v>0</v>
      </c>
      <c r="X1982" s="13" t="s">
        <v>1961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BACON KG</v>
      </c>
      <c r="AC1982" s="1" t="n">
        <v>1625096</v>
      </c>
    </row>
    <row r="1983" customFormat="false" ht="12.75" hidden="false" customHeight="true" outlineLevel="0" collapsed="false">
      <c r="A1983" s="11" t="n">
        <v>3</v>
      </c>
      <c r="B1983" s="12" t="n">
        <v>46242</v>
      </c>
      <c r="C1983" s="12" t="n">
        <v>46277</v>
      </c>
      <c r="D1983" s="11" t="n">
        <v>957</v>
      </c>
      <c r="E1983" s="13" t="s">
        <v>720</v>
      </c>
      <c r="F1983" s="11" t="n">
        <v>24</v>
      </c>
      <c r="G1983" s="13" t="s">
        <v>42</v>
      </c>
      <c r="H1983" s="11" t="n">
        <v>2110405</v>
      </c>
      <c r="I1983" s="13" t="s">
        <v>34</v>
      </c>
      <c r="J1983" s="11" t="n">
        <v>1531990</v>
      </c>
      <c r="L1983" s="11" t="n">
        <v>216233</v>
      </c>
      <c r="M1983" s="13" t="s">
        <v>44</v>
      </c>
      <c r="N1983" s="13" t="s">
        <v>36</v>
      </c>
      <c r="P1983" s="11" t="n">
        <v>167</v>
      </c>
      <c r="Q1983" s="13" t="s">
        <v>101</v>
      </c>
      <c r="R1983" s="13" t="s">
        <v>46</v>
      </c>
      <c r="S1983" s="11" t="n">
        <v>1130101</v>
      </c>
      <c r="T1983" s="13" t="s">
        <v>47</v>
      </c>
      <c r="U1983" s="14" t="n">
        <v>1760.2</v>
      </c>
      <c r="W1983" s="14" t="n">
        <v>0</v>
      </c>
      <c r="X1983" s="13" t="s">
        <v>1962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RAC WHISKAS CARNE KG</v>
      </c>
      <c r="AC1983" s="1" t="n">
        <v>21623</v>
      </c>
    </row>
    <row r="1984" customFormat="false" ht="12.75" hidden="false" customHeight="true" outlineLevel="0" collapsed="false">
      <c r="A1984" s="11" t="n">
        <v>3</v>
      </c>
      <c r="B1984" s="12" t="n">
        <v>46256</v>
      </c>
      <c r="C1984" s="12" t="n">
        <v>46277</v>
      </c>
      <c r="D1984" s="11" t="n">
        <v>1266</v>
      </c>
      <c r="E1984" s="13" t="s">
        <v>195</v>
      </c>
      <c r="F1984" s="11" t="n">
        <v>24</v>
      </c>
      <c r="G1984" s="13" t="s">
        <v>42</v>
      </c>
      <c r="H1984" s="11" t="n">
        <v>2110405</v>
      </c>
      <c r="I1984" s="13" t="s">
        <v>34</v>
      </c>
      <c r="J1984" s="11" t="n">
        <v>1585201</v>
      </c>
      <c r="L1984" s="11" t="n">
        <v>32872</v>
      </c>
      <c r="M1984" s="13" t="s">
        <v>44</v>
      </c>
      <c r="N1984" s="13" t="s">
        <v>36</v>
      </c>
      <c r="P1984" s="11" t="n">
        <v>167</v>
      </c>
      <c r="Q1984" s="13" t="s">
        <v>101</v>
      </c>
      <c r="R1984" s="13" t="s">
        <v>38</v>
      </c>
      <c r="S1984" s="11" t="n">
        <v>4210299</v>
      </c>
      <c r="T1984" s="13" t="s">
        <v>1079</v>
      </c>
      <c r="U1984" s="14" t="n">
        <v>538.03</v>
      </c>
      <c r="W1984" s="14" t="n">
        <v>0</v>
      </c>
      <c r="X1984" s="13" t="s">
        <v>1963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BOBINA ESTRELA UNISO</v>
      </c>
      <c r="AC1984" s="1" t="n">
        <v>2670</v>
      </c>
    </row>
    <row r="1985" customFormat="false" ht="12.75" hidden="false" customHeight="true" outlineLevel="0" collapsed="false">
      <c r="A1985" s="11" t="n">
        <v>3</v>
      </c>
      <c r="B1985" s="12" t="n">
        <v>46263</v>
      </c>
      <c r="C1985" s="12" t="n">
        <v>46277</v>
      </c>
      <c r="D1985" s="11" t="n">
        <v>1625</v>
      </c>
      <c r="E1985" s="13" t="s">
        <v>320</v>
      </c>
      <c r="F1985" s="11" t="n">
        <v>24</v>
      </c>
      <c r="G1985" s="13" t="s">
        <v>42</v>
      </c>
      <c r="H1985" s="11" t="n">
        <v>2110405</v>
      </c>
      <c r="I1985" s="13" t="s">
        <v>34</v>
      </c>
      <c r="J1985" s="11" t="n">
        <v>1629559</v>
      </c>
      <c r="L1985" s="11" t="n">
        <v>152102</v>
      </c>
      <c r="M1985" s="13" t="s">
        <v>44</v>
      </c>
      <c r="N1985" s="13" t="s">
        <v>36</v>
      </c>
      <c r="P1985" s="11" t="n">
        <v>167</v>
      </c>
      <c r="Q1985" s="13" t="s">
        <v>101</v>
      </c>
      <c r="R1985" s="13" t="s">
        <v>46</v>
      </c>
      <c r="S1985" s="11" t="n">
        <v>1130101</v>
      </c>
      <c r="T1985" s="13" t="s">
        <v>47</v>
      </c>
      <c r="U1985" s="14" t="n">
        <v>3682.8</v>
      </c>
      <c r="W1985" s="14" t="n">
        <v>0</v>
      </c>
      <c r="X1985" s="13" t="s">
        <v>1964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nao encontrado</v>
      </c>
      <c r="AC1985" s="1" t="n">
        <v>15210</v>
      </c>
    </row>
    <row r="1986" customFormat="false" ht="12.75" hidden="false" customHeight="true" outlineLevel="0" collapsed="false">
      <c r="A1986" s="11" t="n">
        <v>3</v>
      </c>
      <c r="B1986" s="12" t="n">
        <v>46247</v>
      </c>
      <c r="C1986" s="12" t="n">
        <v>46279</v>
      </c>
      <c r="D1986" s="11" t="n">
        <v>1659</v>
      </c>
      <c r="E1986" s="13" t="s">
        <v>251</v>
      </c>
      <c r="F1986" s="11" t="n">
        <v>24</v>
      </c>
      <c r="G1986" s="13" t="s">
        <v>42</v>
      </c>
      <c r="H1986" s="11" t="n">
        <v>2110405</v>
      </c>
      <c r="I1986" s="13" t="s">
        <v>34</v>
      </c>
      <c r="J1986" s="11" t="n">
        <v>1551778</v>
      </c>
      <c r="L1986" s="11" t="n">
        <v>8908273</v>
      </c>
      <c r="M1986" s="13" t="s">
        <v>44</v>
      </c>
      <c r="N1986" s="13" t="s">
        <v>36</v>
      </c>
      <c r="P1986" s="11" t="n">
        <v>167</v>
      </c>
      <c r="Q1986" s="13" t="s">
        <v>101</v>
      </c>
      <c r="R1986" s="13" t="s">
        <v>46</v>
      </c>
      <c r="S1986" s="11" t="n">
        <v>1130101</v>
      </c>
      <c r="T1986" s="13" t="s">
        <v>47</v>
      </c>
      <c r="U1986" s="14" t="n">
        <v>1265.74</v>
      </c>
      <c r="W1986" s="14" t="n">
        <v>0</v>
      </c>
      <c r="X1986" s="13" t="s">
        <v>1965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MOCOQUINHA 200ML</v>
      </c>
      <c r="AC1986" s="1" t="n">
        <v>890827</v>
      </c>
    </row>
    <row r="1987" customFormat="false" ht="12.75" hidden="false" customHeight="true" outlineLevel="0" collapsed="false">
      <c r="A1987" s="11" t="n">
        <v>3</v>
      </c>
      <c r="B1987" s="12" t="n">
        <v>46248</v>
      </c>
      <c r="C1987" s="12" t="n">
        <v>46279</v>
      </c>
      <c r="D1987" s="11" t="n">
        <v>1107</v>
      </c>
      <c r="E1987" s="13" t="s">
        <v>165</v>
      </c>
      <c r="F1987" s="11" t="n">
        <v>24</v>
      </c>
      <c r="G1987" s="13" t="s">
        <v>42</v>
      </c>
      <c r="H1987" s="11" t="n">
        <v>2110405</v>
      </c>
      <c r="I1987" s="13" t="s">
        <v>34</v>
      </c>
      <c r="J1987" s="11" t="n">
        <v>1566520</v>
      </c>
      <c r="L1987" s="11" t="n">
        <v>4437343</v>
      </c>
      <c r="M1987" s="13" t="s">
        <v>44</v>
      </c>
      <c r="N1987" s="13" t="s">
        <v>36</v>
      </c>
      <c r="P1987" s="11" t="n">
        <v>167</v>
      </c>
      <c r="Q1987" s="13" t="s">
        <v>101</v>
      </c>
      <c r="R1987" s="13" t="s">
        <v>46</v>
      </c>
      <c r="S1987" s="11" t="n">
        <v>1130101</v>
      </c>
      <c r="T1987" s="13" t="s">
        <v>47</v>
      </c>
      <c r="U1987" s="14" t="n">
        <v>273.52</v>
      </c>
      <c r="W1987" s="14" t="n">
        <v>0</v>
      </c>
      <c r="X1987" s="13" t="s">
        <v>1966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SCH DOG PEDIGR FIL</v>
      </c>
      <c r="AC1987" s="1" t="n">
        <v>443784</v>
      </c>
    </row>
    <row r="1988" customFormat="false" ht="12.75" hidden="false" customHeight="true" outlineLevel="0" collapsed="false">
      <c r="A1988" s="11" t="n">
        <v>3</v>
      </c>
      <c r="B1988" s="12" t="n">
        <v>46258</v>
      </c>
      <c r="C1988" s="12" t="n">
        <v>46279</v>
      </c>
      <c r="D1988" s="11" t="n">
        <v>10012</v>
      </c>
      <c r="E1988" s="13" t="s">
        <v>393</v>
      </c>
      <c r="F1988" s="11" t="n">
        <v>24</v>
      </c>
      <c r="G1988" s="13" t="s">
        <v>42</v>
      </c>
      <c r="H1988" s="11" t="n">
        <v>2110405</v>
      </c>
      <c r="I1988" s="13" t="s">
        <v>34</v>
      </c>
      <c r="J1988" s="11" t="n">
        <v>1608841</v>
      </c>
      <c r="L1988" s="11" t="n">
        <v>19672741</v>
      </c>
      <c r="M1988" s="13" t="s">
        <v>44</v>
      </c>
      <c r="N1988" s="13" t="s">
        <v>36</v>
      </c>
      <c r="P1988" s="11" t="n">
        <v>167</v>
      </c>
      <c r="Q1988" s="13" t="s">
        <v>101</v>
      </c>
      <c r="R1988" s="13" t="s">
        <v>46</v>
      </c>
      <c r="S1988" s="11" t="n">
        <v>1130101</v>
      </c>
      <c r="T1988" s="13" t="s">
        <v>47</v>
      </c>
      <c r="U1988" s="14" t="n">
        <v>524.88</v>
      </c>
      <c r="W1988" s="14" t="n">
        <v>0</v>
      </c>
      <c r="X1988" s="13" t="s">
        <v>1967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SAB PHEBO ODOR90G</v>
      </c>
      <c r="AC1988" s="1" t="n">
        <v>1967274</v>
      </c>
    </row>
    <row r="1989" customFormat="false" ht="12.75" hidden="false" customHeight="true" outlineLevel="0" collapsed="false">
      <c r="A1989" s="11" t="n">
        <v>3</v>
      </c>
      <c r="B1989" s="12" t="n">
        <v>46261</v>
      </c>
      <c r="C1989" s="12" t="n">
        <v>46279</v>
      </c>
      <c r="D1989" s="11" t="n">
        <v>1699</v>
      </c>
      <c r="E1989" s="13" t="s">
        <v>60</v>
      </c>
      <c r="F1989" s="11" t="n">
        <v>24</v>
      </c>
      <c r="G1989" s="13" t="s">
        <v>42</v>
      </c>
      <c r="H1989" s="11" t="n">
        <v>2110405</v>
      </c>
      <c r="I1989" s="13" t="s">
        <v>34</v>
      </c>
      <c r="J1989" s="11" t="n">
        <v>1613364</v>
      </c>
      <c r="L1989" s="11" t="n">
        <v>3125771</v>
      </c>
      <c r="M1989" s="13" t="s">
        <v>44</v>
      </c>
      <c r="N1989" s="13" t="s">
        <v>36</v>
      </c>
      <c r="P1989" s="11" t="n">
        <v>167</v>
      </c>
      <c r="Q1989" s="13" t="s">
        <v>101</v>
      </c>
      <c r="R1989" s="13" t="s">
        <v>46</v>
      </c>
      <c r="S1989" s="11" t="n">
        <v>1130101</v>
      </c>
      <c r="T1989" s="13" t="s">
        <v>47</v>
      </c>
      <c r="U1989" s="14" t="n">
        <v>1065.1</v>
      </c>
      <c r="W1989" s="14" t="n">
        <v>0</v>
      </c>
      <c r="X1989" s="13" t="s">
        <v>1968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ARROZ BRA. FACCIO 1K</v>
      </c>
      <c r="AC1989" s="1" t="n">
        <v>312577</v>
      </c>
    </row>
    <row r="1990" customFormat="false" ht="45.75" hidden="false" customHeight="true" outlineLevel="0" collapsed="false">
      <c r="A1990" s="11" t="n">
        <v>3</v>
      </c>
      <c r="B1990" s="12" t="n">
        <v>46261</v>
      </c>
      <c r="C1990" s="12" t="n">
        <v>46279</v>
      </c>
      <c r="D1990" s="11" t="n">
        <v>1916</v>
      </c>
      <c r="E1990" s="13" t="s">
        <v>351</v>
      </c>
      <c r="F1990" s="11" t="n">
        <v>24</v>
      </c>
      <c r="G1990" s="13" t="s">
        <v>42</v>
      </c>
      <c r="H1990" s="11" t="n">
        <v>2110405</v>
      </c>
      <c r="I1990" s="13" t="s">
        <v>34</v>
      </c>
      <c r="J1990" s="11" t="n">
        <v>1614716</v>
      </c>
      <c r="L1990" s="11" t="n">
        <v>233</v>
      </c>
      <c r="M1990" s="13" t="s">
        <v>44</v>
      </c>
      <c r="N1990" s="13" t="s">
        <v>36</v>
      </c>
      <c r="P1990" s="11" t="n">
        <v>167</v>
      </c>
      <c r="Q1990" s="13" t="s">
        <v>101</v>
      </c>
      <c r="R1990" s="13" t="s">
        <v>46</v>
      </c>
      <c r="S1990" s="11" t="n">
        <v>1130101</v>
      </c>
      <c r="T1990" s="13" t="s">
        <v>47</v>
      </c>
      <c r="U1990" s="14" t="n">
        <v>249.5</v>
      </c>
      <c r="W1990" s="14" t="n">
        <v>0</v>
      </c>
      <c r="X1990" s="13" t="s">
        <v>1969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GOMA DE MANDIOCA 500</v>
      </c>
      <c r="AC1990" s="1" t="n">
        <v>233</v>
      </c>
    </row>
    <row r="1991" customFormat="false" ht="45.75" hidden="false" customHeight="true" outlineLevel="0" collapsed="false">
      <c r="A1991" s="11" t="n">
        <v>3</v>
      </c>
      <c r="B1991" s="12" t="n">
        <v>46097</v>
      </c>
      <c r="C1991" s="12" t="n">
        <v>46280</v>
      </c>
      <c r="D1991" s="11" t="n">
        <v>1867</v>
      </c>
      <c r="E1991" s="13" t="s">
        <v>425</v>
      </c>
      <c r="F1991" s="11" t="n">
        <v>24</v>
      </c>
      <c r="G1991" s="13" t="s">
        <v>42</v>
      </c>
      <c r="H1991" s="11" t="n">
        <v>2110405</v>
      </c>
      <c r="I1991" s="13" t="s">
        <v>34</v>
      </c>
      <c r="J1991" s="11" t="n">
        <v>809440</v>
      </c>
      <c r="L1991" s="11" t="n">
        <v>777006512</v>
      </c>
      <c r="M1991" s="13" t="s">
        <v>525</v>
      </c>
      <c r="N1991" s="13" t="s">
        <v>36</v>
      </c>
      <c r="P1991" s="11" t="n">
        <v>101</v>
      </c>
      <c r="Q1991" s="13" t="s">
        <v>37</v>
      </c>
      <c r="R1991" s="13" t="s">
        <v>426</v>
      </c>
      <c r="S1991" s="11" t="n">
        <v>4210401</v>
      </c>
      <c r="T1991" s="13" t="s">
        <v>427</v>
      </c>
      <c r="U1991" s="14" t="n">
        <v>225.2</v>
      </c>
      <c r="W1991" s="14" t="n">
        <v>0</v>
      </c>
      <c r="X1991" s="13" t="s">
        <v>1970</v>
      </c>
      <c r="Z1991" s="1" t="str">
        <f aca="false">IF($T1991="","",IFERROR(INDEX('Resumo Grupos'!$AC$3:$AC$200,MATCH($T1991,'Resumo Grupos'!$AB$3:$AB$200,0)),"n/d"))</f>
        <v>Impostos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46280</v>
      </c>
      <c r="D1992" s="11" t="n">
        <v>1893</v>
      </c>
      <c r="E1992" s="13" t="s">
        <v>442</v>
      </c>
      <c r="F1992" s="11" t="n">
        <v>34</v>
      </c>
      <c r="G1992" s="13" t="s">
        <v>33</v>
      </c>
      <c r="H1992" s="11" t="n">
        <v>2110405</v>
      </c>
      <c r="I1992" s="13" t="s">
        <v>34</v>
      </c>
      <c r="J1992" s="11" t="n">
        <v>1464910</v>
      </c>
      <c r="L1992" s="11" t="n">
        <v>227905</v>
      </c>
      <c r="M1992" s="13" t="s">
        <v>150</v>
      </c>
      <c r="N1992" s="13" t="s">
        <v>36</v>
      </c>
      <c r="P1992" s="11" t="n">
        <v>101</v>
      </c>
      <c r="Q1992" s="13" t="s">
        <v>37</v>
      </c>
      <c r="R1992" s="13" t="s">
        <v>72</v>
      </c>
      <c r="S1992" s="11" t="n">
        <v>4210315</v>
      </c>
      <c r="T1992" s="13" t="s">
        <v>438</v>
      </c>
      <c r="U1992" s="14" t="n">
        <v>177.65</v>
      </c>
      <c r="W1992" s="14" t="n">
        <v>0</v>
      </c>
      <c r="X1992" s="13" t="s">
        <v>1551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46248</v>
      </c>
      <c r="C1993" s="12" t="n">
        <v>46280</v>
      </c>
      <c r="D1993" s="11" t="n">
        <v>1739</v>
      </c>
      <c r="E1993" s="13" t="s">
        <v>1919</v>
      </c>
      <c r="F1993" s="11" t="n">
        <v>24</v>
      </c>
      <c r="G1993" s="13" t="s">
        <v>42</v>
      </c>
      <c r="H1993" s="11" t="n">
        <v>2110405</v>
      </c>
      <c r="I1993" s="13" t="s">
        <v>34</v>
      </c>
      <c r="J1993" s="11" t="n">
        <v>1566612</v>
      </c>
      <c r="L1993" s="11" t="n">
        <v>2551472</v>
      </c>
      <c r="M1993" s="13" t="s">
        <v>44</v>
      </c>
      <c r="N1993" s="13" t="s">
        <v>36</v>
      </c>
      <c r="P1993" s="11" t="n">
        <v>167</v>
      </c>
      <c r="Q1993" s="13" t="s">
        <v>101</v>
      </c>
      <c r="R1993" s="13" t="s">
        <v>46</v>
      </c>
      <c r="S1993" s="11" t="n">
        <v>1130101</v>
      </c>
      <c r="T1993" s="13" t="s">
        <v>47</v>
      </c>
      <c r="U1993" s="14" t="n">
        <v>842.29</v>
      </c>
      <c r="W1993" s="14" t="n">
        <v>0</v>
      </c>
      <c r="X1993" s="13" t="s">
        <v>1971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PRESERVATIVO LV8 PG6</v>
      </c>
      <c r="AC1993" s="1" t="n">
        <v>255147</v>
      </c>
    </row>
    <row r="1994" customFormat="false" ht="45.75" hidden="false" customHeight="true" outlineLevel="0" collapsed="false">
      <c r="A1994" s="11" t="n">
        <v>3</v>
      </c>
      <c r="B1994" s="12" t="n">
        <v>46251</v>
      </c>
      <c r="C1994" s="12" t="n">
        <v>46280</v>
      </c>
      <c r="D1994" s="11" t="n">
        <v>1636</v>
      </c>
      <c r="E1994" s="13" t="s">
        <v>49</v>
      </c>
      <c r="F1994" s="11" t="n">
        <v>24</v>
      </c>
      <c r="G1994" s="13" t="s">
        <v>42</v>
      </c>
      <c r="H1994" s="11" t="n">
        <v>2110405</v>
      </c>
      <c r="I1994" s="13" t="s">
        <v>34</v>
      </c>
      <c r="J1994" s="11" t="n">
        <v>1573136</v>
      </c>
      <c r="L1994" s="11" t="n">
        <v>32386863</v>
      </c>
      <c r="M1994" s="13" t="s">
        <v>44</v>
      </c>
      <c r="N1994" s="13" t="s">
        <v>36</v>
      </c>
      <c r="P1994" s="11" t="n">
        <v>167</v>
      </c>
      <c r="Q1994" s="13" t="s">
        <v>101</v>
      </c>
      <c r="R1994" s="13" t="s">
        <v>46</v>
      </c>
      <c r="S1994" s="11" t="n">
        <v>1130101</v>
      </c>
      <c r="T1994" s="13" t="s">
        <v>47</v>
      </c>
      <c r="U1994" s="14" t="n">
        <v>924.11</v>
      </c>
      <c r="W1994" s="14" t="n">
        <v>0</v>
      </c>
      <c r="X1994" s="13" t="s">
        <v>1972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ABS SEMPERLIVRE SUAVE C/ABA -16UN</v>
      </c>
      <c r="AC1994" s="1" t="n">
        <v>3238686</v>
      </c>
    </row>
    <row r="1995" customFormat="false" ht="45.75" hidden="false" customHeight="true" outlineLevel="0" collapsed="false">
      <c r="A1995" s="11" t="n">
        <v>3</v>
      </c>
      <c r="B1995" s="12" t="n">
        <v>46252</v>
      </c>
      <c r="C1995" s="12" t="n">
        <v>46280</v>
      </c>
      <c r="D1995" s="11" t="n">
        <v>1705</v>
      </c>
      <c r="E1995" s="13" t="s">
        <v>122</v>
      </c>
      <c r="F1995" s="11" t="n">
        <v>24</v>
      </c>
      <c r="G1995" s="13" t="s">
        <v>42</v>
      </c>
      <c r="H1995" s="11" t="n">
        <v>2110405</v>
      </c>
      <c r="I1995" s="13" t="s">
        <v>34</v>
      </c>
      <c r="J1995" s="11" t="n">
        <v>1582080</v>
      </c>
      <c r="L1995" s="11" t="n">
        <v>12546137</v>
      </c>
      <c r="M1995" s="13" t="s">
        <v>44</v>
      </c>
      <c r="N1995" s="13" t="s">
        <v>36</v>
      </c>
      <c r="P1995" s="11" t="n">
        <v>167</v>
      </c>
      <c r="Q1995" s="13" t="s">
        <v>101</v>
      </c>
      <c r="R1995" s="13" t="s">
        <v>46</v>
      </c>
      <c r="S1995" s="11" t="n">
        <v>1130101</v>
      </c>
      <c r="T1995" s="13" t="s">
        <v>47</v>
      </c>
      <c r="U1995" s="14" t="n">
        <v>229.21</v>
      </c>
      <c r="W1995" s="14" t="n">
        <v>0</v>
      </c>
      <c r="X1995" s="13" t="s">
        <v>1973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APER CAMPARI VD 998M</v>
      </c>
      <c r="AC1995" s="1" t="n">
        <v>1254613</v>
      </c>
    </row>
    <row r="1996" customFormat="false" ht="45.75" hidden="false" customHeight="true" outlineLevel="0" collapsed="false">
      <c r="A1996" s="11" t="n">
        <v>3</v>
      </c>
      <c r="B1996" s="12" t="n">
        <v>46258</v>
      </c>
      <c r="C1996" s="12" t="n">
        <v>46280</v>
      </c>
      <c r="D1996" s="11" t="n">
        <v>1672</v>
      </c>
      <c r="E1996" s="13" t="s">
        <v>67</v>
      </c>
      <c r="F1996" s="11" t="n">
        <v>24</v>
      </c>
      <c r="G1996" s="13" t="s">
        <v>42</v>
      </c>
      <c r="H1996" s="11" t="n">
        <v>2110405</v>
      </c>
      <c r="I1996" s="13" t="s">
        <v>34</v>
      </c>
      <c r="J1996" s="11" t="n">
        <v>1618334</v>
      </c>
      <c r="L1996" s="11" t="n">
        <v>14328102</v>
      </c>
      <c r="M1996" s="13" t="s">
        <v>44</v>
      </c>
      <c r="N1996" s="13" t="s">
        <v>36</v>
      </c>
      <c r="P1996" s="11" t="n">
        <v>167</v>
      </c>
      <c r="Q1996" s="13" t="s">
        <v>101</v>
      </c>
      <c r="R1996" s="13" t="s">
        <v>46</v>
      </c>
      <c r="S1996" s="11" t="n">
        <v>1130101</v>
      </c>
      <c r="T1996" s="13" t="s">
        <v>47</v>
      </c>
      <c r="U1996" s="14" t="n">
        <v>195</v>
      </c>
      <c r="W1996" s="14" t="n">
        <v>0</v>
      </c>
      <c r="X1996" s="13" t="s">
        <v>1974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AGUAYARA GALAO 20L</v>
      </c>
      <c r="AC1996" s="1" t="n">
        <v>1432810</v>
      </c>
    </row>
    <row r="1997" customFormat="false" ht="36.75" hidden="false" customHeight="true" outlineLevel="0" collapsed="false">
      <c r="A1997" s="11" t="n">
        <v>3</v>
      </c>
      <c r="B1997" s="12" t="n">
        <v>46258</v>
      </c>
      <c r="C1997" s="12" t="n">
        <v>46280</v>
      </c>
      <c r="D1997" s="11" t="n">
        <v>1672</v>
      </c>
      <c r="E1997" s="13" t="s">
        <v>67</v>
      </c>
      <c r="F1997" s="11" t="n">
        <v>24</v>
      </c>
      <c r="G1997" s="13" t="s">
        <v>42</v>
      </c>
      <c r="H1997" s="11" t="n">
        <v>2110405</v>
      </c>
      <c r="I1997" s="13" t="s">
        <v>34</v>
      </c>
      <c r="J1997" s="11" t="n">
        <v>1618341</v>
      </c>
      <c r="L1997" s="11" t="n">
        <v>14328082</v>
      </c>
      <c r="M1997" s="13" t="s">
        <v>44</v>
      </c>
      <c r="N1997" s="13" t="s">
        <v>36</v>
      </c>
      <c r="P1997" s="11" t="n">
        <v>167</v>
      </c>
      <c r="Q1997" s="13" t="s">
        <v>101</v>
      </c>
      <c r="R1997" s="13" t="s">
        <v>46</v>
      </c>
      <c r="S1997" s="11" t="n">
        <v>1130101</v>
      </c>
      <c r="T1997" s="13" t="s">
        <v>47</v>
      </c>
      <c r="U1997" s="14" t="n">
        <v>643.4</v>
      </c>
      <c r="W1997" s="14" t="n">
        <v>0</v>
      </c>
      <c r="X1997" s="13" t="s">
        <v>1975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REFRIG MAGISTRAL 2L</v>
      </c>
      <c r="AC1997" s="1" t="n">
        <v>1432808</v>
      </c>
    </row>
    <row r="1998" customFormat="false" ht="63.75" hidden="false" customHeight="true" outlineLevel="0" collapsed="false">
      <c r="A1998" s="11" t="n">
        <v>3</v>
      </c>
      <c r="B1998" s="12" t="n">
        <v>46246</v>
      </c>
      <c r="C1998" s="12" t="n">
        <v>46281</v>
      </c>
      <c r="D1998" s="11" t="n">
        <v>1678</v>
      </c>
      <c r="E1998" s="13" t="s">
        <v>190</v>
      </c>
      <c r="F1998" s="11" t="n">
        <v>24</v>
      </c>
      <c r="G1998" s="13" t="s">
        <v>42</v>
      </c>
      <c r="H1998" s="11" t="n">
        <v>2110405</v>
      </c>
      <c r="I1998" s="13" t="s">
        <v>34</v>
      </c>
      <c r="J1998" s="11" t="n">
        <v>1542871</v>
      </c>
      <c r="L1998" s="11" t="n">
        <v>2594224</v>
      </c>
      <c r="M1998" s="13" t="s">
        <v>44</v>
      </c>
      <c r="N1998" s="13" t="s">
        <v>36</v>
      </c>
      <c r="P1998" s="11" t="n">
        <v>167</v>
      </c>
      <c r="Q1998" s="13" t="s">
        <v>101</v>
      </c>
      <c r="R1998" s="13" t="s">
        <v>46</v>
      </c>
      <c r="S1998" s="11" t="n">
        <v>1130101</v>
      </c>
      <c r="T1998" s="13" t="s">
        <v>47</v>
      </c>
      <c r="U1998" s="14" t="n">
        <v>545.11</v>
      </c>
      <c r="W1998" s="14" t="n">
        <v>0</v>
      </c>
      <c r="X1998" s="13" t="s">
        <v>1976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DES CREM EX-SET FLOR</v>
      </c>
      <c r="AC1998" s="1" t="n">
        <v>163841</v>
      </c>
    </row>
    <row r="1999" customFormat="false" ht="36.75" hidden="false" customHeight="true" outlineLevel="0" collapsed="false">
      <c r="A1999" s="11" t="n">
        <v>3</v>
      </c>
      <c r="B1999" s="12" t="n">
        <v>46253</v>
      </c>
      <c r="C1999" s="12" t="n">
        <v>46281</v>
      </c>
      <c r="D1999" s="11" t="n">
        <v>1830</v>
      </c>
      <c r="E1999" s="13" t="s">
        <v>1525</v>
      </c>
      <c r="F1999" s="11" t="n">
        <v>24</v>
      </c>
      <c r="G1999" s="13" t="s">
        <v>42</v>
      </c>
      <c r="H1999" s="11" t="n">
        <v>2110405</v>
      </c>
      <c r="I1999" s="13" t="s">
        <v>34</v>
      </c>
      <c r="J1999" s="11" t="n">
        <v>1573272</v>
      </c>
      <c r="L1999" s="11" t="n">
        <v>1306</v>
      </c>
      <c r="M1999" s="13" t="s">
        <v>44</v>
      </c>
      <c r="N1999" s="13" t="s">
        <v>36</v>
      </c>
      <c r="P1999" s="11" t="n">
        <v>101</v>
      </c>
      <c r="Q1999" s="13" t="s">
        <v>37</v>
      </c>
      <c r="R1999" s="13" t="s">
        <v>72</v>
      </c>
      <c r="S1999" s="11" t="n">
        <v>4210319</v>
      </c>
      <c r="T1999" s="13" t="s">
        <v>73</v>
      </c>
      <c r="U1999" s="14" t="n">
        <v>78</v>
      </c>
      <c r="W1999" s="14" t="n">
        <v>0</v>
      </c>
      <c r="X1999" s="13" t="s">
        <v>1977</v>
      </c>
      <c r="Z1999" s="1" t="str">
        <f aca="false">IF($T1999="","",IFERROR(INDEX('Resumo Grupos'!$AC$3:$AC$200,MATCH($T1999,'Resumo Grupos'!$AB$3:$AB$200,0)),"n/d"))</f>
        <v>Salários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46253</v>
      </c>
      <c r="C2000" s="12" t="n">
        <v>46281</v>
      </c>
      <c r="D2000" s="11" t="n">
        <v>1456</v>
      </c>
      <c r="E2000" s="13" t="s">
        <v>1859</v>
      </c>
      <c r="F2000" s="11" t="n">
        <v>24</v>
      </c>
      <c r="G2000" s="13" t="s">
        <v>42</v>
      </c>
      <c r="H2000" s="11" t="n">
        <v>2110405</v>
      </c>
      <c r="I2000" s="13" t="s">
        <v>34</v>
      </c>
      <c r="J2000" s="11" t="n">
        <v>1585323</v>
      </c>
      <c r="L2000" s="11" t="n">
        <v>703513</v>
      </c>
      <c r="M2000" s="13" t="s">
        <v>44</v>
      </c>
      <c r="N2000" s="13" t="s">
        <v>36</v>
      </c>
      <c r="P2000" s="11" t="n">
        <v>167</v>
      </c>
      <c r="Q2000" s="13" t="s">
        <v>101</v>
      </c>
      <c r="R2000" s="13" t="s">
        <v>46</v>
      </c>
      <c r="S2000" s="11" t="n">
        <v>1130101</v>
      </c>
      <c r="T2000" s="13" t="s">
        <v>47</v>
      </c>
      <c r="U2000" s="14" t="n">
        <v>226.44</v>
      </c>
      <c r="W2000" s="14" t="n">
        <v>0</v>
      </c>
      <c r="X2000" s="13" t="s">
        <v>1978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SODA CAUSTICA TOP CLEAN 300G</v>
      </c>
      <c r="AC2000" s="1" t="n">
        <v>70351</v>
      </c>
    </row>
    <row r="2001" customFormat="false" ht="72.75" hidden="false" customHeight="true" outlineLevel="0" collapsed="false">
      <c r="A2001" s="11" t="n">
        <v>3</v>
      </c>
      <c r="B2001" s="12" t="n">
        <v>46260</v>
      </c>
      <c r="C2001" s="12" t="n">
        <v>46281</v>
      </c>
      <c r="D2001" s="11" t="n">
        <v>794</v>
      </c>
      <c r="E2001" s="13" t="s">
        <v>152</v>
      </c>
      <c r="F2001" s="11" t="n">
        <v>24</v>
      </c>
      <c r="G2001" s="13" t="s">
        <v>42</v>
      </c>
      <c r="H2001" s="11" t="n">
        <v>2110405</v>
      </c>
      <c r="I2001" s="13" t="s">
        <v>34</v>
      </c>
      <c r="J2001" s="11" t="n">
        <v>1608541</v>
      </c>
      <c r="L2001" s="11" t="n">
        <v>59752</v>
      </c>
      <c r="M2001" s="13" t="s">
        <v>44</v>
      </c>
      <c r="N2001" s="13" t="s">
        <v>36</v>
      </c>
      <c r="P2001" s="11" t="n">
        <v>167</v>
      </c>
      <c r="Q2001" s="13" t="s">
        <v>101</v>
      </c>
      <c r="R2001" s="13" t="s">
        <v>46</v>
      </c>
      <c r="S2001" s="11" t="n">
        <v>1130101</v>
      </c>
      <c r="T2001" s="13" t="s">
        <v>47</v>
      </c>
      <c r="U2001" s="14" t="n">
        <v>1460.03</v>
      </c>
      <c r="W2001" s="14" t="n">
        <v>0</v>
      </c>
      <c r="X2001" s="13" t="s">
        <v>1979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SACOLA DE 3KG</v>
      </c>
      <c r="AC2001" s="1" t="n">
        <v>8770</v>
      </c>
    </row>
    <row r="2002" customFormat="false" ht="45.75" hidden="false" customHeight="true" outlineLevel="0" collapsed="false">
      <c r="A2002" s="11" t="n">
        <v>3</v>
      </c>
      <c r="B2002" s="12" t="n">
        <v>46260</v>
      </c>
      <c r="C2002" s="12" t="n">
        <v>46281</v>
      </c>
      <c r="D2002" s="11" t="n">
        <v>794</v>
      </c>
      <c r="E2002" s="13" t="s">
        <v>152</v>
      </c>
      <c r="F2002" s="11" t="n">
        <v>24</v>
      </c>
      <c r="G2002" s="13" t="s">
        <v>42</v>
      </c>
      <c r="H2002" s="11" t="n">
        <v>2110405</v>
      </c>
      <c r="I2002" s="13" t="s">
        <v>34</v>
      </c>
      <c r="J2002" s="11" t="n">
        <v>1608616</v>
      </c>
      <c r="L2002" s="11" t="n">
        <v>59742</v>
      </c>
      <c r="M2002" s="13" t="s">
        <v>44</v>
      </c>
      <c r="N2002" s="13" t="s">
        <v>36</v>
      </c>
      <c r="P2002" s="11" t="n">
        <v>167</v>
      </c>
      <c r="Q2002" s="13" t="s">
        <v>101</v>
      </c>
      <c r="R2002" s="13" t="s">
        <v>38</v>
      </c>
      <c r="S2002" s="11" t="n">
        <v>4210299</v>
      </c>
      <c r="T2002" s="13" t="s">
        <v>1079</v>
      </c>
      <c r="U2002" s="14" t="n">
        <v>1115.87</v>
      </c>
      <c r="W2002" s="14" t="n">
        <v>0</v>
      </c>
      <c r="X2002" s="13" t="s">
        <v>1980</v>
      </c>
      <c r="Z2002" s="1" t="str">
        <f aca="false">IF($T2002="","",IFERROR(INDEX('Resumo Grupos'!$AC$3:$AC$200,MATCH($T2002,'Resumo Grupos'!$AB$3:$AB$200,0)),"n/d"))</f>
        <v>Despesa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SACOLA DE 3KG</v>
      </c>
      <c r="AC2002" s="1" t="n">
        <v>8769</v>
      </c>
    </row>
    <row r="2003" customFormat="false" ht="45.75" hidden="false" customHeight="true" outlineLevel="0" collapsed="false">
      <c r="A2003" s="11" t="n">
        <v>3</v>
      </c>
      <c r="B2003" s="12" t="n">
        <v>46262</v>
      </c>
      <c r="C2003" s="12" t="n">
        <v>46281</v>
      </c>
      <c r="D2003" s="11" t="n">
        <v>1613</v>
      </c>
      <c r="E2003" s="13" t="s">
        <v>177</v>
      </c>
      <c r="F2003" s="11" t="n">
        <v>24</v>
      </c>
      <c r="G2003" s="13" t="s">
        <v>42</v>
      </c>
      <c r="H2003" s="11" t="n">
        <v>2110405</v>
      </c>
      <c r="I2003" s="13" t="s">
        <v>34</v>
      </c>
      <c r="J2003" s="11" t="n">
        <v>1613507</v>
      </c>
      <c r="L2003" s="11" t="n">
        <v>16248383</v>
      </c>
      <c r="M2003" s="13" t="s">
        <v>44</v>
      </c>
      <c r="N2003" s="13" t="s">
        <v>36</v>
      </c>
      <c r="P2003" s="11" t="n">
        <v>167</v>
      </c>
      <c r="Q2003" s="13" t="s">
        <v>101</v>
      </c>
      <c r="R2003" s="13" t="s">
        <v>46</v>
      </c>
      <c r="S2003" s="11" t="n">
        <v>1130101</v>
      </c>
      <c r="T2003" s="13" t="s">
        <v>47</v>
      </c>
      <c r="U2003" s="14" t="n">
        <v>1100.38</v>
      </c>
      <c r="W2003" s="14" t="n">
        <v>0</v>
      </c>
      <c r="X2003" s="13" t="s">
        <v>1981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FILE PEITOA GRANEL</v>
      </c>
      <c r="AC2003" s="1" t="n">
        <v>1624838</v>
      </c>
    </row>
    <row r="2004" customFormat="false" ht="45.75" hidden="false" customHeight="true" outlineLevel="0" collapsed="false">
      <c r="A2004" s="11" t="n">
        <v>3</v>
      </c>
      <c r="B2004" s="12" t="n">
        <v>46220</v>
      </c>
      <c r="C2004" s="12" t="n">
        <v>46282</v>
      </c>
      <c r="D2004" s="11" t="n">
        <v>16</v>
      </c>
      <c r="E2004" s="13" t="s">
        <v>242</v>
      </c>
      <c r="F2004" s="11" t="n">
        <v>34</v>
      </c>
      <c r="G2004" s="13" t="s">
        <v>33</v>
      </c>
      <c r="H2004" s="11" t="n">
        <v>2110405</v>
      </c>
      <c r="I2004" s="13" t="s">
        <v>34</v>
      </c>
      <c r="J2004" s="11" t="n">
        <v>1415325</v>
      </c>
      <c r="L2004" s="11" t="n">
        <v>220522</v>
      </c>
      <c r="M2004" s="13" t="s">
        <v>150</v>
      </c>
      <c r="N2004" s="13" t="s">
        <v>36</v>
      </c>
      <c r="P2004" s="11" t="n">
        <v>101</v>
      </c>
      <c r="Q2004" s="13" t="s">
        <v>37</v>
      </c>
      <c r="R2004" s="13" t="s">
        <v>245</v>
      </c>
      <c r="S2004" s="11" t="n">
        <v>2210202</v>
      </c>
      <c r="T2004" s="13" t="s">
        <v>245</v>
      </c>
      <c r="U2004" s="14" t="n">
        <v>1000</v>
      </c>
      <c r="W2004" s="14" t="n">
        <v>0</v>
      </c>
      <c r="X2004" s="13" t="s">
        <v>1558</v>
      </c>
      <c r="Z2004" s="1" t="str">
        <f aca="false">IF($T2004="","",IFERROR(INDEX('Resumo Grupos'!$AC$3:$AC$200,MATCH($T2004,'Resumo Grupos'!$AB$3:$AB$200,0)),"n/d"))</f>
        <v>Empréstimo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46224</v>
      </c>
      <c r="C2005" s="12" t="n">
        <v>46282</v>
      </c>
      <c r="D2005" s="11" t="n">
        <v>16</v>
      </c>
      <c r="E2005" s="13" t="s">
        <v>242</v>
      </c>
      <c r="F2005" s="11" t="n">
        <v>34</v>
      </c>
      <c r="G2005" s="13" t="s">
        <v>33</v>
      </c>
      <c r="H2005" s="11" t="n">
        <v>2110405</v>
      </c>
      <c r="I2005" s="13" t="s">
        <v>34</v>
      </c>
      <c r="J2005" s="11" t="n">
        <v>1428695</v>
      </c>
      <c r="L2005" s="11" t="n">
        <v>222991</v>
      </c>
      <c r="M2005" s="13" t="s">
        <v>150</v>
      </c>
      <c r="N2005" s="13" t="s">
        <v>36</v>
      </c>
      <c r="P2005" s="11" t="n">
        <v>101</v>
      </c>
      <c r="Q2005" s="13" t="s">
        <v>37</v>
      </c>
      <c r="R2005" s="13" t="s">
        <v>245</v>
      </c>
      <c r="S2005" s="11" t="n">
        <v>2210202</v>
      </c>
      <c r="T2005" s="13" t="s">
        <v>245</v>
      </c>
      <c r="U2005" s="14" t="n">
        <v>3000</v>
      </c>
      <c r="W2005" s="14" t="n">
        <v>0</v>
      </c>
      <c r="X2005" s="13" t="s">
        <v>1982</v>
      </c>
      <c r="Z2005" s="1" t="str">
        <f aca="false">IF($T2005="","",IFERROR(INDEX('Resumo Grupos'!$AC$3:$AC$200,MATCH($T2005,'Resumo Grupos'!$AB$3:$AB$200,0)),"n/d"))</f>
        <v>Empréstimo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46231</v>
      </c>
      <c r="C2006" s="12" t="n">
        <v>46282</v>
      </c>
      <c r="D2006" s="11" t="n">
        <v>1354</v>
      </c>
      <c r="E2006" s="13" t="s">
        <v>1563</v>
      </c>
      <c r="F2006" s="11" t="n">
        <v>60</v>
      </c>
      <c r="G2006" s="13" t="s">
        <v>1564</v>
      </c>
      <c r="H2006" s="11" t="n">
        <v>2110405</v>
      </c>
      <c r="I2006" s="13" t="s">
        <v>34</v>
      </c>
      <c r="J2006" s="11" t="n">
        <v>1468184</v>
      </c>
      <c r="L2006" s="11" t="n">
        <v>13392</v>
      </c>
      <c r="M2006" s="13" t="s">
        <v>44</v>
      </c>
      <c r="N2006" s="13" t="s">
        <v>36</v>
      </c>
      <c r="P2006" s="11" t="n">
        <v>167</v>
      </c>
      <c r="Q2006" s="13" t="s">
        <v>101</v>
      </c>
      <c r="R2006" s="13" t="s">
        <v>38</v>
      </c>
      <c r="S2006" s="11" t="n">
        <v>4210227</v>
      </c>
      <c r="T2006" s="13" t="s">
        <v>196</v>
      </c>
      <c r="U2006" s="14" t="n">
        <v>121.66</v>
      </c>
      <c r="W2006" s="14" t="n">
        <v>0</v>
      </c>
      <c r="X2006" s="13" t="s">
        <v>1983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ADUELA ANGELIM 13CM</v>
      </c>
      <c r="AC2006" s="1" t="n">
        <v>1339</v>
      </c>
    </row>
    <row r="2007" customFormat="false" ht="45.75" hidden="false" customHeight="true" outlineLevel="0" collapsed="false">
      <c r="A2007" s="11" t="n">
        <v>3</v>
      </c>
      <c r="B2007" s="12" t="n">
        <v>46253</v>
      </c>
      <c r="C2007" s="12" t="n">
        <v>46282</v>
      </c>
      <c r="D2007" s="11" t="n">
        <v>1601</v>
      </c>
      <c r="E2007" s="13" t="s">
        <v>155</v>
      </c>
      <c r="F2007" s="11" t="n">
        <v>24</v>
      </c>
      <c r="G2007" s="13" t="s">
        <v>42</v>
      </c>
      <c r="H2007" s="11" t="n">
        <v>2110405</v>
      </c>
      <c r="I2007" s="13" t="s">
        <v>34</v>
      </c>
      <c r="J2007" s="11" t="n">
        <v>1576478</v>
      </c>
      <c r="L2007" s="11" t="n">
        <v>9663143</v>
      </c>
      <c r="M2007" s="13" t="s">
        <v>44</v>
      </c>
      <c r="N2007" s="13" t="s">
        <v>36</v>
      </c>
      <c r="P2007" s="11" t="n">
        <v>167</v>
      </c>
      <c r="Q2007" s="13" t="s">
        <v>101</v>
      </c>
      <c r="R2007" s="13" t="s">
        <v>46</v>
      </c>
      <c r="S2007" s="11" t="n">
        <v>1130101</v>
      </c>
      <c r="T2007" s="13" t="s">
        <v>47</v>
      </c>
      <c r="U2007" s="14" t="n">
        <v>603.26</v>
      </c>
      <c r="W2007" s="14" t="n">
        <v>0</v>
      </c>
      <c r="X2007" s="13" t="s">
        <v>1984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KETCH TOMAT HEIN397G</v>
      </c>
      <c r="AC2007" s="1" t="n">
        <v>865043</v>
      </c>
    </row>
    <row r="2008" customFormat="false" ht="27.75" hidden="false" customHeight="true" outlineLevel="0" collapsed="false">
      <c r="A2008" s="11" t="n">
        <v>3</v>
      </c>
      <c r="B2008" s="12" t="n">
        <v>46253</v>
      </c>
      <c r="C2008" s="12" t="n">
        <v>46282</v>
      </c>
      <c r="D2008" s="11" t="n">
        <v>1608</v>
      </c>
      <c r="E2008" s="13" t="s">
        <v>41</v>
      </c>
      <c r="F2008" s="11" t="n">
        <v>24</v>
      </c>
      <c r="G2008" s="13" t="s">
        <v>42</v>
      </c>
      <c r="H2008" s="11" t="n">
        <v>2110405</v>
      </c>
      <c r="I2008" s="13" t="s">
        <v>34</v>
      </c>
      <c r="J2008" s="11" t="n">
        <v>1576500</v>
      </c>
      <c r="L2008" s="11" t="n">
        <v>17150323</v>
      </c>
      <c r="M2008" s="13" t="s">
        <v>44</v>
      </c>
      <c r="N2008" s="13" t="s">
        <v>36</v>
      </c>
      <c r="P2008" s="11" t="n">
        <v>167</v>
      </c>
      <c r="Q2008" s="13" t="s">
        <v>101</v>
      </c>
      <c r="R2008" s="13" t="s">
        <v>46</v>
      </c>
      <c r="S2008" s="11" t="n">
        <v>1130101</v>
      </c>
      <c r="T2008" s="13" t="s">
        <v>47</v>
      </c>
      <c r="U2008" s="14" t="n">
        <v>789.29</v>
      </c>
      <c r="W2008" s="14" t="n">
        <v>0</v>
      </c>
      <c r="X2008" s="13" t="s">
        <v>1985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TODDYNHO CHOCOLATE</v>
      </c>
      <c r="AC2008" s="1" t="n">
        <v>1715032</v>
      </c>
    </row>
    <row r="2009" customFormat="false" ht="54.75" hidden="false" customHeight="true" outlineLevel="0" collapsed="false">
      <c r="A2009" s="11" t="n">
        <v>3</v>
      </c>
      <c r="B2009" s="12" t="n">
        <v>46256</v>
      </c>
      <c r="C2009" s="12" t="n">
        <v>46282</v>
      </c>
      <c r="D2009" s="11" t="n">
        <v>1815</v>
      </c>
      <c r="E2009" s="13" t="s">
        <v>53</v>
      </c>
      <c r="F2009" s="11" t="n">
        <v>24</v>
      </c>
      <c r="G2009" s="13" t="s">
        <v>42</v>
      </c>
      <c r="H2009" s="11" t="n">
        <v>2110405</v>
      </c>
      <c r="I2009" s="13" t="s">
        <v>34</v>
      </c>
      <c r="J2009" s="11" t="n">
        <v>1585147</v>
      </c>
      <c r="L2009" s="11" t="n">
        <v>4638563</v>
      </c>
      <c r="M2009" s="13" t="s">
        <v>44</v>
      </c>
      <c r="N2009" s="13" t="s">
        <v>36</v>
      </c>
      <c r="P2009" s="11" t="n">
        <v>167</v>
      </c>
      <c r="Q2009" s="13" t="s">
        <v>101</v>
      </c>
      <c r="R2009" s="13" t="s">
        <v>46</v>
      </c>
      <c r="S2009" s="11" t="n">
        <v>1130101</v>
      </c>
      <c r="T2009" s="13" t="s">
        <v>47</v>
      </c>
      <c r="U2009" s="14" t="n">
        <v>1010.96</v>
      </c>
      <c r="W2009" s="14" t="n">
        <v>0</v>
      </c>
      <c r="X2009" s="13" t="s">
        <v>1986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FIGADO BOVINO KG</v>
      </c>
      <c r="AC2009" s="1" t="n">
        <v>399135</v>
      </c>
    </row>
    <row r="2010" customFormat="false" ht="36.75" hidden="false" customHeight="true" outlineLevel="0" collapsed="false">
      <c r="A2010" s="11" t="n">
        <v>3</v>
      </c>
      <c r="B2010" s="12" t="n">
        <v>46258</v>
      </c>
      <c r="C2010" s="12" t="n">
        <v>46282</v>
      </c>
      <c r="D2010" s="11" t="n">
        <v>1895</v>
      </c>
      <c r="E2010" s="13" t="s">
        <v>159</v>
      </c>
      <c r="F2010" s="11" t="n">
        <v>60</v>
      </c>
      <c r="G2010" s="13" t="s">
        <v>1564</v>
      </c>
      <c r="H2010" s="11" t="n">
        <v>2110405</v>
      </c>
      <c r="I2010" s="13" t="s">
        <v>34</v>
      </c>
      <c r="J2010" s="11" t="n">
        <v>1595657</v>
      </c>
      <c r="L2010" s="11" t="n">
        <v>246241</v>
      </c>
      <c r="M2010" s="13" t="s">
        <v>44</v>
      </c>
      <c r="N2010" s="13" t="s">
        <v>36</v>
      </c>
      <c r="P2010" s="11" t="n">
        <v>167</v>
      </c>
      <c r="Q2010" s="13" t="s">
        <v>101</v>
      </c>
      <c r="R2010" s="13" t="s">
        <v>46</v>
      </c>
      <c r="S2010" s="11" t="n">
        <v>1130101</v>
      </c>
      <c r="T2010" s="13" t="s">
        <v>47</v>
      </c>
      <c r="U2010" s="14" t="n">
        <v>271.81</v>
      </c>
      <c r="W2010" s="14" t="n">
        <v>0</v>
      </c>
      <c r="X2010" s="13" t="s">
        <v>1987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FITA ISOLANTE IMPERI</v>
      </c>
      <c r="AC2010" s="1" t="n">
        <v>46431</v>
      </c>
    </row>
    <row r="2011" customFormat="false" ht="45.75" hidden="false" customHeight="true" outlineLevel="0" collapsed="false">
      <c r="A2011" s="11" t="n">
        <v>3</v>
      </c>
      <c r="B2011" s="12" t="n">
        <v>46258</v>
      </c>
      <c r="C2011" s="12" t="n">
        <v>46282</v>
      </c>
      <c r="D2011" s="11" t="n">
        <v>1895</v>
      </c>
      <c r="E2011" s="13" t="s">
        <v>159</v>
      </c>
      <c r="F2011" s="11" t="n">
        <v>60</v>
      </c>
      <c r="G2011" s="13" t="s">
        <v>1564</v>
      </c>
      <c r="H2011" s="11" t="n">
        <v>2110405</v>
      </c>
      <c r="I2011" s="13" t="s">
        <v>34</v>
      </c>
      <c r="J2011" s="11" t="n">
        <v>1595665</v>
      </c>
      <c r="L2011" s="11" t="n">
        <v>46430</v>
      </c>
      <c r="M2011" s="13" t="s">
        <v>44</v>
      </c>
      <c r="N2011" s="13" t="s">
        <v>36</v>
      </c>
      <c r="P2011" s="11" t="n">
        <v>167</v>
      </c>
      <c r="Q2011" s="13" t="s">
        <v>101</v>
      </c>
      <c r="R2011" s="13" t="s">
        <v>38</v>
      </c>
      <c r="S2011" s="11" t="n">
        <v>4210299</v>
      </c>
      <c r="T2011" s="13" t="s">
        <v>1079</v>
      </c>
      <c r="U2011" s="14" t="n">
        <v>229.86</v>
      </c>
      <c r="W2011" s="14" t="n">
        <v>0</v>
      </c>
      <c r="X2011" s="13" t="s">
        <v>1988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LUVA DE VINIL TAM G</v>
      </c>
      <c r="AC2011" s="1" t="n">
        <v>46430</v>
      </c>
    </row>
    <row r="2012" customFormat="false" ht="54.75" hidden="false" customHeight="true" outlineLevel="0" collapsed="false">
      <c r="A2012" s="11" t="n">
        <v>3</v>
      </c>
      <c r="B2012" s="12" t="n">
        <v>46260</v>
      </c>
      <c r="C2012" s="12" t="n">
        <v>46282</v>
      </c>
      <c r="D2012" s="11" t="n">
        <v>1672</v>
      </c>
      <c r="E2012" s="13" t="s">
        <v>67</v>
      </c>
      <c r="F2012" s="11" t="n">
        <v>24</v>
      </c>
      <c r="G2012" s="13" t="s">
        <v>42</v>
      </c>
      <c r="H2012" s="11" t="n">
        <v>2110405</v>
      </c>
      <c r="I2012" s="13" t="s">
        <v>34</v>
      </c>
      <c r="J2012" s="11" t="n">
        <v>1628641</v>
      </c>
      <c r="L2012" s="11" t="n">
        <v>14353162</v>
      </c>
      <c r="M2012" s="13" t="s">
        <v>44</v>
      </c>
      <c r="N2012" s="13" t="s">
        <v>36</v>
      </c>
      <c r="P2012" s="11" t="n">
        <v>167</v>
      </c>
      <c r="Q2012" s="13" t="s">
        <v>101</v>
      </c>
      <c r="R2012" s="13" t="s">
        <v>46</v>
      </c>
      <c r="S2012" s="11" t="n">
        <v>1130101</v>
      </c>
      <c r="T2012" s="13" t="s">
        <v>47</v>
      </c>
      <c r="U2012" s="14" t="n">
        <v>365</v>
      </c>
      <c r="W2012" s="14" t="n">
        <v>0</v>
      </c>
      <c r="X2012" s="13" t="s">
        <v>1989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AGUACRIM 20L</v>
      </c>
      <c r="AC2012" s="1" t="n">
        <v>1435316</v>
      </c>
    </row>
    <row r="2013" customFormat="false" ht="36.75" hidden="false" customHeight="true" outlineLevel="0" collapsed="false">
      <c r="A2013" s="11" t="n">
        <v>3</v>
      </c>
      <c r="B2013" s="12" t="n">
        <v>45950</v>
      </c>
      <c r="C2013" s="12" t="n">
        <v>46283</v>
      </c>
      <c r="D2013" s="11" t="n">
        <v>515</v>
      </c>
      <c r="E2013" s="13" t="s">
        <v>105</v>
      </c>
      <c r="F2013" s="11" t="n">
        <v>34</v>
      </c>
      <c r="G2013" s="13" t="s">
        <v>33</v>
      </c>
      <c r="H2013" s="11" t="n">
        <v>2110405</v>
      </c>
      <c r="I2013" s="13" t="s">
        <v>34</v>
      </c>
      <c r="J2013" s="11" t="n">
        <v>546000</v>
      </c>
      <c r="L2013" s="11" t="n">
        <v>85577</v>
      </c>
      <c r="M2013" s="13" t="s">
        <v>1990</v>
      </c>
      <c r="N2013" s="13" t="s">
        <v>36</v>
      </c>
      <c r="P2013" s="11" t="n">
        <v>101</v>
      </c>
      <c r="Q2013" s="13" t="s">
        <v>37</v>
      </c>
      <c r="R2013" s="13" t="s">
        <v>38</v>
      </c>
      <c r="S2013" s="11" t="n">
        <v>4210210</v>
      </c>
      <c r="T2013" s="13" t="s">
        <v>39</v>
      </c>
      <c r="U2013" s="14" t="n">
        <v>45.73</v>
      </c>
      <c r="W2013" s="14" t="n">
        <v>0</v>
      </c>
      <c r="X2013" s="13" t="s">
        <v>1991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</row>
    <row r="2014" customFormat="false" ht="45.75" hidden="false" customHeight="true" outlineLevel="0" collapsed="false">
      <c r="A2014" s="11" t="n">
        <v>3</v>
      </c>
      <c r="B2014" s="12" t="n">
        <v>46009</v>
      </c>
      <c r="C2014" s="12" t="n">
        <v>46283</v>
      </c>
      <c r="D2014" s="11" t="n">
        <v>515</v>
      </c>
      <c r="E2014" s="13" t="s">
        <v>105</v>
      </c>
      <c r="F2014" s="11" t="n">
        <v>34</v>
      </c>
      <c r="G2014" s="13" t="s">
        <v>33</v>
      </c>
      <c r="H2014" s="11" t="n">
        <v>2110405</v>
      </c>
      <c r="I2014" s="13" t="s">
        <v>34</v>
      </c>
      <c r="J2014" s="11" t="n">
        <v>818253</v>
      </c>
      <c r="L2014" s="11" t="n">
        <v>129421</v>
      </c>
      <c r="M2014" s="13" t="s">
        <v>1136</v>
      </c>
      <c r="N2014" s="13" t="s">
        <v>36</v>
      </c>
      <c r="P2014" s="11" t="n">
        <v>102</v>
      </c>
      <c r="Q2014" s="13" t="s">
        <v>186</v>
      </c>
      <c r="R2014" s="13" t="s">
        <v>139</v>
      </c>
      <c r="S2014" s="11" t="n">
        <v>2110901</v>
      </c>
      <c r="T2014" s="13" t="s">
        <v>140</v>
      </c>
      <c r="U2014" s="14" t="n">
        <v>2090.82</v>
      </c>
      <c r="W2014" s="14" t="n">
        <v>0</v>
      </c>
      <c r="X2014" s="13" t="s">
        <v>1992</v>
      </c>
      <c r="Z2014" s="1" t="str">
        <f aca="false">IF($T2014="","",IFERROR(INDEX('Resumo Grupos'!$AC$3:$AC$200,MATCH($T2014,'Resumo Grupos'!$AB$3:$AB$200,0)),"n/d"))</f>
        <v>Empréstimo</v>
      </c>
      <c r="AA2014" s="1" t="str">
        <f aca="false">IF($T2014="","",IF(COUNTIF('Resumo Grupos'!$AE$3:$AE$40,$T2014)&gt;0,"NAO","SIM"))</f>
        <v>SIM</v>
      </c>
    </row>
    <row r="2015" customFormat="false" ht="36.75" hidden="false" customHeight="true" outlineLevel="0" collapsed="false">
      <c r="A2015" s="11" t="n">
        <v>3</v>
      </c>
      <c r="B2015" s="12" t="n">
        <v>46206</v>
      </c>
      <c r="C2015" s="12" t="n">
        <v>46283</v>
      </c>
      <c r="D2015" s="11" t="n">
        <v>33</v>
      </c>
      <c r="E2015" s="13" t="s">
        <v>71</v>
      </c>
      <c r="F2015" s="11" t="n">
        <v>34</v>
      </c>
      <c r="G2015" s="13" t="s">
        <v>33</v>
      </c>
      <c r="H2015" s="11" t="n">
        <v>2110405</v>
      </c>
      <c r="I2015" s="13" t="s">
        <v>34</v>
      </c>
      <c r="J2015" s="11" t="n">
        <v>1345342</v>
      </c>
      <c r="L2015" s="11" t="n">
        <v>210000</v>
      </c>
      <c r="M2015" s="13" t="s">
        <v>244</v>
      </c>
      <c r="N2015" s="13" t="s">
        <v>36</v>
      </c>
      <c r="P2015" s="11" t="n">
        <v>101</v>
      </c>
      <c r="Q2015" s="13" t="s">
        <v>37</v>
      </c>
      <c r="R2015" s="13" t="s">
        <v>38</v>
      </c>
      <c r="S2015" s="11" t="n">
        <v>4210203</v>
      </c>
      <c r="T2015" s="13" t="s">
        <v>817</v>
      </c>
      <c r="U2015" s="14" t="n">
        <v>373.79</v>
      </c>
      <c r="W2015" s="14" t="n">
        <v>0</v>
      </c>
      <c r="X2015" s="13" t="s">
        <v>1140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46248</v>
      </c>
      <c r="C2016" s="12" t="n">
        <v>46283</v>
      </c>
      <c r="D2016" s="11" t="n">
        <v>1720</v>
      </c>
      <c r="E2016" s="13" t="s">
        <v>985</v>
      </c>
      <c r="F2016" s="11" t="n">
        <v>24</v>
      </c>
      <c r="G2016" s="13" t="s">
        <v>42</v>
      </c>
      <c r="H2016" s="11" t="n">
        <v>2110405</v>
      </c>
      <c r="I2016" s="13" t="s">
        <v>34</v>
      </c>
      <c r="J2016" s="11" t="n">
        <v>1551695</v>
      </c>
      <c r="L2016" s="11" t="n">
        <v>613793</v>
      </c>
      <c r="M2016" s="13" t="s">
        <v>44</v>
      </c>
      <c r="N2016" s="13" t="s">
        <v>36</v>
      </c>
      <c r="P2016" s="11" t="n">
        <v>167</v>
      </c>
      <c r="Q2016" s="13" t="s">
        <v>101</v>
      </c>
      <c r="R2016" s="13" t="s">
        <v>46</v>
      </c>
      <c r="S2016" s="11" t="n">
        <v>1130101</v>
      </c>
      <c r="T2016" s="13" t="s">
        <v>47</v>
      </c>
      <c r="U2016" s="14" t="n">
        <v>625.75</v>
      </c>
      <c r="W2016" s="14" t="n">
        <v>0</v>
      </c>
      <c r="X2016" s="13" t="s">
        <v>1993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VELAS D'LUZ 8UN</v>
      </c>
      <c r="AC2016" s="1" t="n">
        <v>48211</v>
      </c>
    </row>
    <row r="2017" customFormat="false" ht="45.75" hidden="false" customHeight="true" outlineLevel="0" collapsed="false">
      <c r="A2017" s="11" t="n">
        <v>3</v>
      </c>
      <c r="B2017" s="12" t="n">
        <v>46251</v>
      </c>
      <c r="C2017" s="12" t="n">
        <v>46283</v>
      </c>
      <c r="D2017" s="11" t="n">
        <v>10010</v>
      </c>
      <c r="E2017" s="13" t="s">
        <v>1951</v>
      </c>
      <c r="F2017" s="11" t="n">
        <v>24</v>
      </c>
      <c r="G2017" s="13" t="s">
        <v>42</v>
      </c>
      <c r="H2017" s="11" t="n">
        <v>2110405</v>
      </c>
      <c r="I2017" s="13" t="s">
        <v>34</v>
      </c>
      <c r="J2017" s="11" t="n">
        <v>1582140</v>
      </c>
      <c r="L2017" s="11" t="n">
        <v>445012</v>
      </c>
      <c r="M2017" s="13" t="s">
        <v>44</v>
      </c>
      <c r="N2017" s="13" t="s">
        <v>36</v>
      </c>
      <c r="P2017" s="11" t="n">
        <v>167</v>
      </c>
      <c r="Q2017" s="13" t="s">
        <v>101</v>
      </c>
      <c r="R2017" s="13" t="s">
        <v>46</v>
      </c>
      <c r="S2017" s="11" t="n">
        <v>1130101</v>
      </c>
      <c r="T2017" s="13" t="s">
        <v>47</v>
      </c>
      <c r="U2017" s="14" t="n">
        <v>794.97</v>
      </c>
      <c r="W2017" s="14" t="n">
        <v>0</v>
      </c>
      <c r="X2017" s="13" t="s">
        <v>1994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LAVA ROUPAS LIQUIDO</v>
      </c>
      <c r="AC2017" s="1" t="n">
        <v>44501</v>
      </c>
    </row>
    <row r="2018" customFormat="false" ht="45.75" hidden="false" customHeight="true" outlineLevel="0" collapsed="false">
      <c r="A2018" s="11" t="n">
        <v>3</v>
      </c>
      <c r="B2018" s="12" t="n">
        <v>46254</v>
      </c>
      <c r="C2018" s="12" t="n">
        <v>46283</v>
      </c>
      <c r="D2018" s="11" t="n">
        <v>1398</v>
      </c>
      <c r="E2018" s="13" t="s">
        <v>1245</v>
      </c>
      <c r="F2018" s="11" t="n">
        <v>24</v>
      </c>
      <c r="G2018" s="13" t="s">
        <v>42</v>
      </c>
      <c r="H2018" s="11" t="n">
        <v>2110405</v>
      </c>
      <c r="I2018" s="13" t="s">
        <v>34</v>
      </c>
      <c r="J2018" s="11" t="n">
        <v>1585260</v>
      </c>
      <c r="L2018" s="11" t="n">
        <v>35502</v>
      </c>
      <c r="M2018" s="13" t="s">
        <v>44</v>
      </c>
      <c r="N2018" s="13" t="s">
        <v>36</v>
      </c>
      <c r="P2018" s="11" t="n">
        <v>167</v>
      </c>
      <c r="Q2018" s="13" t="s">
        <v>101</v>
      </c>
      <c r="R2018" s="13" t="s">
        <v>46</v>
      </c>
      <c r="S2018" s="11" t="n">
        <v>1130101</v>
      </c>
      <c r="T2018" s="13" t="s">
        <v>47</v>
      </c>
      <c r="U2018" s="14" t="n">
        <v>153.34</v>
      </c>
      <c r="W2018" s="14" t="n">
        <v>0</v>
      </c>
      <c r="X2018" s="13" t="s">
        <v>1995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TORNEIRA PLASTICA P/</v>
      </c>
      <c r="AC2018" s="1" t="n">
        <v>1358</v>
      </c>
    </row>
    <row r="2019" customFormat="false" ht="36.75" hidden="false" customHeight="true" outlineLevel="0" collapsed="false">
      <c r="A2019" s="11" t="n">
        <v>3</v>
      </c>
      <c r="B2019" s="12" t="n">
        <v>46255</v>
      </c>
      <c r="C2019" s="12" t="n">
        <v>46283</v>
      </c>
      <c r="D2019" s="11" t="n">
        <v>10027</v>
      </c>
      <c r="E2019" s="13" t="s">
        <v>1659</v>
      </c>
      <c r="F2019" s="11" t="n">
        <v>34</v>
      </c>
      <c r="G2019" s="13" t="s">
        <v>33</v>
      </c>
      <c r="H2019" s="11" t="n">
        <v>2110405</v>
      </c>
      <c r="I2019" s="13" t="s">
        <v>34</v>
      </c>
      <c r="J2019" s="11" t="n">
        <v>1600388</v>
      </c>
      <c r="L2019" s="11" t="n">
        <v>246890</v>
      </c>
      <c r="M2019" s="13" t="s">
        <v>44</v>
      </c>
      <c r="N2019" s="13" t="s">
        <v>36</v>
      </c>
      <c r="P2019" s="11" t="n">
        <v>167</v>
      </c>
      <c r="Q2019" s="13" t="s">
        <v>101</v>
      </c>
      <c r="R2019" s="13" t="s">
        <v>1660</v>
      </c>
      <c r="S2019" s="11" t="n">
        <v>1240103</v>
      </c>
      <c r="T2019" s="13" t="s">
        <v>1661</v>
      </c>
      <c r="U2019" s="14" t="n">
        <v>1000</v>
      </c>
      <c r="W2019" s="14" t="n">
        <v>0</v>
      </c>
      <c r="X2019" s="13" t="s">
        <v>1996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46262</v>
      </c>
      <c r="C2020" s="12" t="n">
        <v>46283</v>
      </c>
      <c r="D2020" s="11" t="n">
        <v>1740</v>
      </c>
      <c r="E2020" s="13" t="s">
        <v>170</v>
      </c>
      <c r="F2020" s="11" t="n">
        <v>24</v>
      </c>
      <c r="G2020" s="13" t="s">
        <v>42</v>
      </c>
      <c r="H2020" s="11" t="n">
        <v>2110405</v>
      </c>
      <c r="I2020" s="13" t="s">
        <v>34</v>
      </c>
      <c r="J2020" s="11" t="n">
        <v>1618406</v>
      </c>
      <c r="L2020" s="11" t="n">
        <v>12646372</v>
      </c>
      <c r="M2020" s="13" t="s">
        <v>44</v>
      </c>
      <c r="N2020" s="13" t="s">
        <v>36</v>
      </c>
      <c r="P2020" s="11" t="n">
        <v>167</v>
      </c>
      <c r="Q2020" s="13" t="s">
        <v>101</v>
      </c>
      <c r="R2020" s="13" t="s">
        <v>46</v>
      </c>
      <c r="S2020" s="11" t="n">
        <v>1130101</v>
      </c>
      <c r="T2020" s="13" t="s">
        <v>47</v>
      </c>
      <c r="U2020" s="14" t="n">
        <v>903.6</v>
      </c>
      <c r="W2020" s="14" t="n">
        <v>0</v>
      </c>
      <c r="X2020" s="13" t="s">
        <v>1997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LINGUI DE FRANGO KG</v>
      </c>
      <c r="AC2020" s="1" t="n">
        <v>1264637</v>
      </c>
    </row>
    <row r="2021" customFormat="false" ht="36.75" hidden="false" customHeight="true" outlineLevel="0" collapsed="false">
      <c r="A2021" s="11" t="n">
        <v>3</v>
      </c>
      <c r="B2021" s="12" t="n">
        <v>46261</v>
      </c>
      <c r="C2021" s="12" t="n">
        <v>46283</v>
      </c>
      <c r="D2021" s="11" t="n">
        <v>10037</v>
      </c>
      <c r="E2021" s="13" t="s">
        <v>359</v>
      </c>
      <c r="F2021" s="11" t="n">
        <v>24</v>
      </c>
      <c r="G2021" s="13" t="s">
        <v>42</v>
      </c>
      <c r="H2021" s="11" t="n">
        <v>2110405</v>
      </c>
      <c r="I2021" s="13" t="s">
        <v>34</v>
      </c>
      <c r="J2021" s="11" t="n">
        <v>1618420</v>
      </c>
      <c r="L2021" s="11" t="n">
        <v>33571</v>
      </c>
      <c r="M2021" s="13" t="s">
        <v>44</v>
      </c>
      <c r="N2021" s="13" t="s">
        <v>36</v>
      </c>
      <c r="P2021" s="11" t="n">
        <v>167</v>
      </c>
      <c r="Q2021" s="13" t="s">
        <v>101</v>
      </c>
      <c r="R2021" s="13" t="s">
        <v>46</v>
      </c>
      <c r="S2021" s="11" t="n">
        <v>1130101</v>
      </c>
      <c r="T2021" s="13" t="s">
        <v>47</v>
      </c>
      <c r="U2021" s="14" t="n">
        <v>457.88</v>
      </c>
      <c r="W2021" s="14" t="n">
        <v>0</v>
      </c>
      <c r="X2021" s="13" t="s">
        <v>1998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RACAO BOLT CAES KG</v>
      </c>
      <c r="AC2021" s="1" t="n">
        <v>3357</v>
      </c>
    </row>
    <row r="2022" customFormat="false" ht="54.75" hidden="false" customHeight="true" outlineLevel="0" collapsed="false">
      <c r="A2022" s="11" t="n">
        <v>3</v>
      </c>
      <c r="B2022" s="12" t="n">
        <v>46264</v>
      </c>
      <c r="C2022" s="12" t="n">
        <v>46283</v>
      </c>
      <c r="D2022" s="11" t="n">
        <v>1613</v>
      </c>
      <c r="E2022" s="13" t="s">
        <v>177</v>
      </c>
      <c r="F2022" s="11" t="n">
        <v>24</v>
      </c>
      <c r="G2022" s="13" t="s">
        <v>42</v>
      </c>
      <c r="H2022" s="11" t="n">
        <v>2110405</v>
      </c>
      <c r="I2022" s="13" t="s">
        <v>34</v>
      </c>
      <c r="J2022" s="11" t="n">
        <v>1628619</v>
      </c>
      <c r="L2022" s="11" t="n">
        <v>16250963</v>
      </c>
      <c r="M2022" s="13" t="s">
        <v>44</v>
      </c>
      <c r="N2022" s="13" t="s">
        <v>36</v>
      </c>
      <c r="P2022" s="11" t="n">
        <v>167</v>
      </c>
      <c r="Q2022" s="13" t="s">
        <v>101</v>
      </c>
      <c r="R2022" s="13" t="s">
        <v>46</v>
      </c>
      <c r="S2022" s="11" t="n">
        <v>1130101</v>
      </c>
      <c r="T2022" s="13" t="s">
        <v>47</v>
      </c>
      <c r="U2022" s="14" t="n">
        <v>166.96</v>
      </c>
      <c r="W2022" s="14" t="n">
        <v>0</v>
      </c>
      <c r="X2022" s="13" t="s">
        <v>1999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BACON KG</v>
      </c>
      <c r="AC2022" s="1" t="n">
        <v>1625096</v>
      </c>
    </row>
    <row r="2023" customFormat="false" ht="54.75" hidden="false" customHeight="true" outlineLevel="0" collapsed="false">
      <c r="A2023" s="11" t="n">
        <v>3</v>
      </c>
      <c r="B2023" s="12" t="n">
        <v>46256</v>
      </c>
      <c r="C2023" s="12" t="n">
        <v>46284</v>
      </c>
      <c r="D2023" s="11" t="n">
        <v>1266</v>
      </c>
      <c r="E2023" s="13" t="s">
        <v>195</v>
      </c>
      <c r="F2023" s="11" t="n">
        <v>24</v>
      </c>
      <c r="G2023" s="13" t="s">
        <v>42</v>
      </c>
      <c r="H2023" s="11" t="n">
        <v>2110405</v>
      </c>
      <c r="I2023" s="13" t="s">
        <v>34</v>
      </c>
      <c r="J2023" s="11" t="n">
        <v>1585202</v>
      </c>
      <c r="L2023" s="11" t="n">
        <v>32873</v>
      </c>
      <c r="M2023" s="13" t="s">
        <v>44</v>
      </c>
      <c r="N2023" s="13" t="s">
        <v>36</v>
      </c>
      <c r="P2023" s="11" t="n">
        <v>167</v>
      </c>
      <c r="Q2023" s="13" t="s">
        <v>101</v>
      </c>
      <c r="R2023" s="13" t="s">
        <v>38</v>
      </c>
      <c r="S2023" s="11" t="n">
        <v>4210299</v>
      </c>
      <c r="T2023" s="13" t="s">
        <v>1079</v>
      </c>
      <c r="U2023" s="14" t="n">
        <v>538.02</v>
      </c>
      <c r="W2023" s="14" t="n">
        <v>0</v>
      </c>
      <c r="X2023" s="13" t="s">
        <v>2000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BOBINA ESTRELA UNISO</v>
      </c>
      <c r="AC2023" s="1" t="n">
        <v>2670</v>
      </c>
    </row>
    <row r="2024" customFormat="false" ht="45.75" hidden="false" customHeight="true" outlineLevel="0" collapsed="false">
      <c r="A2024" s="11" t="n">
        <v>3</v>
      </c>
      <c r="B2024" s="12" t="n">
        <v>46011</v>
      </c>
      <c r="C2024" s="12" t="n">
        <v>46285</v>
      </c>
      <c r="D2024" s="11" t="n">
        <v>514</v>
      </c>
      <c r="E2024" s="13" t="s">
        <v>32</v>
      </c>
      <c r="F2024" s="11" t="n">
        <v>34</v>
      </c>
      <c r="G2024" s="13" t="s">
        <v>33</v>
      </c>
      <c r="H2024" s="11" t="n">
        <v>2110405</v>
      </c>
      <c r="I2024" s="13" t="s">
        <v>34</v>
      </c>
      <c r="J2024" s="11" t="n">
        <v>695960</v>
      </c>
      <c r="L2024" s="11" t="n">
        <v>3</v>
      </c>
      <c r="M2024" s="13" t="s">
        <v>1582</v>
      </c>
      <c r="N2024" s="13" t="s">
        <v>36</v>
      </c>
      <c r="P2024" s="11" t="n">
        <v>101</v>
      </c>
      <c r="Q2024" s="13" t="s">
        <v>37</v>
      </c>
      <c r="R2024" s="13" t="s">
        <v>38</v>
      </c>
      <c r="S2024" s="11" t="n">
        <v>4210210</v>
      </c>
      <c r="T2024" s="13" t="s">
        <v>39</v>
      </c>
      <c r="U2024" s="14" t="n">
        <v>807.37</v>
      </c>
      <c r="W2024" s="14" t="n">
        <v>0</v>
      </c>
      <c r="X2024" s="13" t="s">
        <v>2001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46223</v>
      </c>
      <c r="C2025" s="12" t="n">
        <v>46285</v>
      </c>
      <c r="D2025" s="11" t="n">
        <v>33</v>
      </c>
      <c r="E2025" s="13" t="s">
        <v>71</v>
      </c>
      <c r="F2025" s="11" t="n">
        <v>34</v>
      </c>
      <c r="G2025" s="13" t="s">
        <v>33</v>
      </c>
      <c r="H2025" s="11" t="n">
        <v>2110405</v>
      </c>
      <c r="I2025" s="13" t="s">
        <v>34</v>
      </c>
      <c r="J2025" s="11" t="n">
        <v>1424252</v>
      </c>
      <c r="L2025" s="11" t="n">
        <v>222229</v>
      </c>
      <c r="M2025" s="13" t="s">
        <v>244</v>
      </c>
      <c r="N2025" s="13" t="s">
        <v>36</v>
      </c>
      <c r="P2025" s="11" t="n">
        <v>101</v>
      </c>
      <c r="Q2025" s="13" t="s">
        <v>37</v>
      </c>
      <c r="R2025" s="13" t="s">
        <v>63</v>
      </c>
      <c r="S2025" s="11" t="n">
        <v>4210107</v>
      </c>
      <c r="T2025" s="13" t="s">
        <v>530</v>
      </c>
      <c r="U2025" s="14" t="n">
        <v>224.99</v>
      </c>
      <c r="W2025" s="14" t="n">
        <v>0</v>
      </c>
      <c r="X2025" s="13" t="s">
        <v>2002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46223</v>
      </c>
      <c r="C2026" s="12" t="n">
        <v>46285</v>
      </c>
      <c r="D2026" s="11" t="n">
        <v>17</v>
      </c>
      <c r="E2026" s="13" t="s">
        <v>1291</v>
      </c>
      <c r="F2026" s="11" t="n">
        <v>34</v>
      </c>
      <c r="G2026" s="13" t="s">
        <v>33</v>
      </c>
      <c r="H2026" s="11" t="n">
        <v>2110405</v>
      </c>
      <c r="I2026" s="13" t="s">
        <v>34</v>
      </c>
      <c r="J2026" s="11" t="n">
        <v>1464473</v>
      </c>
      <c r="L2026" s="11" t="n">
        <v>227845</v>
      </c>
      <c r="M2026" s="13" t="s">
        <v>244</v>
      </c>
      <c r="N2026" s="13" t="s">
        <v>36</v>
      </c>
      <c r="P2026" s="11" t="n">
        <v>101</v>
      </c>
      <c r="Q2026" s="13" t="s">
        <v>37</v>
      </c>
      <c r="R2026" s="13" t="s">
        <v>203</v>
      </c>
      <c r="S2026" s="11" t="n">
        <v>4220199</v>
      </c>
      <c r="T2026" s="13" t="s">
        <v>204</v>
      </c>
      <c r="U2026" s="14" t="n">
        <v>2600</v>
      </c>
      <c r="W2026" s="14" t="n">
        <v>0</v>
      </c>
      <c r="X2026" s="13" t="s">
        <v>1292</v>
      </c>
      <c r="Z2026" s="1" t="str">
        <f aca="false">IF($T2026="","",IFERROR(INDEX('Resumo Grupos'!$AC$3:$AC$200,MATCH($T2026,'Resumo Grupos'!$AB$3:$AB$200,0)),"n/d"))</f>
        <v>Pagamentos outros não operacionais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46231</v>
      </c>
      <c r="C2027" s="12" t="n">
        <v>46285</v>
      </c>
      <c r="D2027" s="11" t="n">
        <v>10028</v>
      </c>
      <c r="E2027" s="13" t="s">
        <v>590</v>
      </c>
      <c r="F2027" s="11" t="n">
        <v>24</v>
      </c>
      <c r="G2027" s="13" t="s">
        <v>42</v>
      </c>
      <c r="H2027" s="11" t="n">
        <v>2110405</v>
      </c>
      <c r="I2027" s="13" t="s">
        <v>34</v>
      </c>
      <c r="J2027" s="11" t="n">
        <v>1464619</v>
      </c>
      <c r="L2027" s="11" t="n">
        <v>227869</v>
      </c>
      <c r="M2027" s="13" t="s">
        <v>150</v>
      </c>
      <c r="N2027" s="13" t="s">
        <v>36</v>
      </c>
      <c r="P2027" s="11" t="n">
        <v>101</v>
      </c>
      <c r="Q2027" s="13" t="s">
        <v>37</v>
      </c>
      <c r="R2027" s="13" t="s">
        <v>72</v>
      </c>
      <c r="S2027" s="11" t="n">
        <v>4210315</v>
      </c>
      <c r="T2027" s="13" t="s">
        <v>438</v>
      </c>
      <c r="U2027" s="14" t="n">
        <v>595.9</v>
      </c>
      <c r="W2027" s="14" t="n">
        <v>0</v>
      </c>
      <c r="X2027" s="13" t="s">
        <v>591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46254</v>
      </c>
      <c r="C2028" s="12" t="n">
        <v>46285</v>
      </c>
      <c r="D2028" s="11" t="n">
        <v>1122</v>
      </c>
      <c r="E2028" s="13" t="s">
        <v>1242</v>
      </c>
      <c r="F2028" s="11" t="n">
        <v>24</v>
      </c>
      <c r="G2028" s="13" t="s">
        <v>42</v>
      </c>
      <c r="H2028" s="11" t="n">
        <v>2110405</v>
      </c>
      <c r="I2028" s="13" t="s">
        <v>34</v>
      </c>
      <c r="J2028" s="11" t="n">
        <v>1585287</v>
      </c>
      <c r="L2028" s="11" t="n">
        <v>694722</v>
      </c>
      <c r="M2028" s="13" t="s">
        <v>44</v>
      </c>
      <c r="N2028" s="13" t="s">
        <v>36</v>
      </c>
      <c r="P2028" s="11" t="n">
        <v>167</v>
      </c>
      <c r="Q2028" s="13" t="s">
        <v>101</v>
      </c>
      <c r="R2028" s="13" t="s">
        <v>46</v>
      </c>
      <c r="S2028" s="11" t="n">
        <v>1130101</v>
      </c>
      <c r="T2028" s="13" t="s">
        <v>47</v>
      </c>
      <c r="U2028" s="14" t="n">
        <v>203.79</v>
      </c>
      <c r="W2028" s="14" t="n">
        <v>0</v>
      </c>
      <c r="X2028" s="13" t="s">
        <v>2003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nao encontrado</v>
      </c>
      <c r="AC2028" s="1" t="n">
        <v>12956</v>
      </c>
    </row>
    <row r="2029" customFormat="false" ht="54.75" hidden="false" customHeight="true" outlineLevel="0" collapsed="false">
      <c r="A2029" s="11" t="n">
        <v>3</v>
      </c>
      <c r="B2029" s="12" t="n">
        <v>46258</v>
      </c>
      <c r="C2029" s="12" t="n">
        <v>46286</v>
      </c>
      <c r="D2029" s="11" t="n">
        <v>1637</v>
      </c>
      <c r="E2029" s="13" t="s">
        <v>295</v>
      </c>
      <c r="F2029" s="11" t="n">
        <v>24</v>
      </c>
      <c r="G2029" s="13" t="s">
        <v>42</v>
      </c>
      <c r="H2029" s="11" t="n">
        <v>2110405</v>
      </c>
      <c r="I2029" s="13" t="s">
        <v>34</v>
      </c>
      <c r="J2029" s="11" t="n">
        <v>1600271</v>
      </c>
      <c r="L2029" s="11" t="n">
        <v>880974</v>
      </c>
      <c r="M2029" s="13" t="s">
        <v>44</v>
      </c>
      <c r="N2029" s="13" t="s">
        <v>36</v>
      </c>
      <c r="P2029" s="11" t="n">
        <v>167</v>
      </c>
      <c r="Q2029" s="13" t="s">
        <v>101</v>
      </c>
      <c r="R2029" s="13" t="s">
        <v>46</v>
      </c>
      <c r="S2029" s="11" t="n">
        <v>1130101</v>
      </c>
      <c r="T2029" s="13" t="s">
        <v>47</v>
      </c>
      <c r="U2029" s="14" t="n">
        <v>942.69</v>
      </c>
      <c r="W2029" s="14" t="n">
        <v>0</v>
      </c>
      <c r="X2029" s="13" t="s">
        <v>2004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LEITE NINHO INTEGRAL380G LT</v>
      </c>
      <c r="AC2029" s="1" t="n">
        <v>1925262</v>
      </c>
    </row>
    <row r="2030" customFormat="false" ht="63.75" hidden="false" customHeight="true" outlineLevel="0" collapsed="false">
      <c r="A2030" s="11" t="n">
        <v>3</v>
      </c>
      <c r="B2030" s="12" t="n">
        <v>46258</v>
      </c>
      <c r="C2030" s="12" t="n">
        <v>46286</v>
      </c>
      <c r="D2030" s="11" t="n">
        <v>10012</v>
      </c>
      <c r="E2030" s="13" t="s">
        <v>393</v>
      </c>
      <c r="F2030" s="11" t="n">
        <v>24</v>
      </c>
      <c r="G2030" s="13" t="s">
        <v>42</v>
      </c>
      <c r="H2030" s="11" t="n">
        <v>2110405</v>
      </c>
      <c r="I2030" s="13" t="s">
        <v>34</v>
      </c>
      <c r="J2030" s="11" t="n">
        <v>1608851</v>
      </c>
      <c r="L2030" s="11" t="n">
        <v>19672742</v>
      </c>
      <c r="M2030" s="13" t="s">
        <v>44</v>
      </c>
      <c r="N2030" s="13" t="s">
        <v>36</v>
      </c>
      <c r="P2030" s="11" t="n">
        <v>167</v>
      </c>
      <c r="Q2030" s="13" t="s">
        <v>101</v>
      </c>
      <c r="R2030" s="13" t="s">
        <v>46</v>
      </c>
      <c r="S2030" s="11" t="n">
        <v>1130101</v>
      </c>
      <c r="T2030" s="13" t="s">
        <v>47</v>
      </c>
      <c r="U2030" s="14" t="n">
        <v>524.88</v>
      </c>
      <c r="W2030" s="14" t="n">
        <v>0</v>
      </c>
      <c r="X2030" s="13" t="s">
        <v>2005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SAB PHEBO ODOR90G</v>
      </c>
      <c r="AC2030" s="1" t="n">
        <v>1967274</v>
      </c>
    </row>
    <row r="2031" customFormat="false" ht="63.75" hidden="false" customHeight="true" outlineLevel="0" collapsed="false">
      <c r="A2031" s="11" t="n">
        <v>3</v>
      </c>
      <c r="B2031" s="12" t="n">
        <v>46261</v>
      </c>
      <c r="C2031" s="12" t="n">
        <v>46286</v>
      </c>
      <c r="D2031" s="11" t="n">
        <v>1699</v>
      </c>
      <c r="E2031" s="13" t="s">
        <v>60</v>
      </c>
      <c r="F2031" s="11" t="n">
        <v>24</v>
      </c>
      <c r="G2031" s="13" t="s">
        <v>42</v>
      </c>
      <c r="H2031" s="11" t="n">
        <v>2110405</v>
      </c>
      <c r="I2031" s="13" t="s">
        <v>34</v>
      </c>
      <c r="J2031" s="11" t="n">
        <v>1613372</v>
      </c>
      <c r="L2031" s="11" t="n">
        <v>3125772</v>
      </c>
      <c r="M2031" s="13" t="s">
        <v>44</v>
      </c>
      <c r="N2031" s="13" t="s">
        <v>36</v>
      </c>
      <c r="P2031" s="11" t="n">
        <v>167</v>
      </c>
      <c r="Q2031" s="13" t="s">
        <v>101</v>
      </c>
      <c r="R2031" s="13" t="s">
        <v>46</v>
      </c>
      <c r="S2031" s="11" t="n">
        <v>1130101</v>
      </c>
      <c r="T2031" s="13" t="s">
        <v>47</v>
      </c>
      <c r="U2031" s="14" t="n">
        <v>1065.1</v>
      </c>
      <c r="W2031" s="14" t="n">
        <v>0</v>
      </c>
      <c r="X2031" s="13" t="s">
        <v>2006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ARROZ BRA. FACCIO 1K</v>
      </c>
      <c r="AC2031" s="1" t="n">
        <v>312577</v>
      </c>
    </row>
    <row r="2032" customFormat="false" ht="27.75" hidden="false" customHeight="true" outlineLevel="0" collapsed="false">
      <c r="A2032" s="11" t="n">
        <v>3</v>
      </c>
      <c r="B2032" s="12" t="n">
        <v>46044</v>
      </c>
      <c r="C2032" s="12" t="n">
        <v>46287</v>
      </c>
      <c r="D2032" s="11" t="n">
        <v>514</v>
      </c>
      <c r="E2032" s="13" t="s">
        <v>32</v>
      </c>
      <c r="F2032" s="11" t="n">
        <v>34</v>
      </c>
      <c r="G2032" s="13" t="s">
        <v>33</v>
      </c>
      <c r="H2032" s="11" t="n">
        <v>2110405</v>
      </c>
      <c r="I2032" s="13" t="s">
        <v>34</v>
      </c>
      <c r="J2032" s="11" t="n">
        <v>1306220</v>
      </c>
      <c r="L2032" s="11" t="n">
        <v>203991</v>
      </c>
      <c r="M2032" s="13" t="s">
        <v>1136</v>
      </c>
      <c r="N2032" s="13" t="s">
        <v>36</v>
      </c>
      <c r="P2032" s="11" t="n">
        <v>101</v>
      </c>
      <c r="Q2032" s="13" t="s">
        <v>37</v>
      </c>
      <c r="R2032" s="13" t="s">
        <v>139</v>
      </c>
      <c r="S2032" s="11" t="n">
        <v>2110901</v>
      </c>
      <c r="T2032" s="13" t="s">
        <v>140</v>
      </c>
      <c r="U2032" s="14" t="n">
        <v>6601.19</v>
      </c>
      <c r="W2032" s="14" t="n">
        <v>0</v>
      </c>
      <c r="X2032" s="13" t="s">
        <v>2007</v>
      </c>
      <c r="Z2032" s="1" t="str">
        <f aca="false">IF($T2032="","",IFERROR(INDEX('Resumo Grupos'!$AC$3:$AC$200,MATCH($T2032,'Resumo Grupos'!$AB$3:$AB$200,0)),"n/d"))</f>
        <v>Empréstimo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46224</v>
      </c>
      <c r="C2033" s="12" t="n">
        <v>46287</v>
      </c>
      <c r="D2033" s="11" t="n">
        <v>1929</v>
      </c>
      <c r="E2033" s="13" t="s">
        <v>1665</v>
      </c>
      <c r="F2033" s="11" t="n">
        <v>34</v>
      </c>
      <c r="G2033" s="13" t="s">
        <v>33</v>
      </c>
      <c r="H2033" s="11" t="n">
        <v>2110405</v>
      </c>
      <c r="I2033" s="13" t="s">
        <v>34</v>
      </c>
      <c r="J2033" s="11" t="n">
        <v>1428753</v>
      </c>
      <c r="L2033" s="11" t="n">
        <v>222996</v>
      </c>
      <c r="M2033" s="13" t="s">
        <v>150</v>
      </c>
      <c r="N2033" s="13" t="s">
        <v>36</v>
      </c>
      <c r="P2033" s="11" t="n">
        <v>101</v>
      </c>
      <c r="Q2033" s="13" t="s">
        <v>37</v>
      </c>
      <c r="R2033" s="13" t="s">
        <v>85</v>
      </c>
      <c r="S2033" s="11" t="n">
        <v>4210504</v>
      </c>
      <c r="T2033" s="13" t="s">
        <v>142</v>
      </c>
      <c r="U2033" s="14" t="n">
        <v>420</v>
      </c>
      <c r="W2033" s="14" t="n">
        <v>0</v>
      </c>
      <c r="X2033" s="13" t="s">
        <v>1671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46224</v>
      </c>
      <c r="C2034" s="12" t="n">
        <v>46287</v>
      </c>
      <c r="D2034" s="11" t="n">
        <v>1929</v>
      </c>
      <c r="E2034" s="13" t="s">
        <v>1665</v>
      </c>
      <c r="F2034" s="11" t="n">
        <v>34</v>
      </c>
      <c r="G2034" s="13" t="s">
        <v>33</v>
      </c>
      <c r="H2034" s="11" t="n">
        <v>2110405</v>
      </c>
      <c r="I2034" s="13" t="s">
        <v>34</v>
      </c>
      <c r="J2034" s="11" t="n">
        <v>1428714</v>
      </c>
      <c r="L2034" s="11" t="n">
        <v>222992</v>
      </c>
      <c r="M2034" s="13" t="s">
        <v>150</v>
      </c>
      <c r="N2034" s="13" t="s">
        <v>36</v>
      </c>
      <c r="P2034" s="11" t="n">
        <v>101</v>
      </c>
      <c r="Q2034" s="13" t="s">
        <v>37</v>
      </c>
      <c r="R2034" s="13" t="s">
        <v>38</v>
      </c>
      <c r="S2034" s="11" t="n">
        <v>4210299</v>
      </c>
      <c r="T2034" s="13" t="s">
        <v>1079</v>
      </c>
      <c r="U2034" s="14" t="n">
        <v>95.43</v>
      </c>
      <c r="W2034" s="14" t="n">
        <v>0</v>
      </c>
      <c r="X2034" s="13" t="s">
        <v>1666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46224</v>
      </c>
      <c r="C2035" s="12" t="n">
        <v>46287</v>
      </c>
      <c r="D2035" s="11" t="n">
        <v>1929</v>
      </c>
      <c r="E2035" s="13" t="s">
        <v>1665</v>
      </c>
      <c r="F2035" s="11" t="n">
        <v>34</v>
      </c>
      <c r="G2035" s="13" t="s">
        <v>33</v>
      </c>
      <c r="H2035" s="11" t="n">
        <v>2110405</v>
      </c>
      <c r="I2035" s="13" t="s">
        <v>34</v>
      </c>
      <c r="J2035" s="11" t="n">
        <v>1428721</v>
      </c>
      <c r="L2035" s="11" t="n">
        <v>222993</v>
      </c>
      <c r="M2035" s="13" t="s">
        <v>150</v>
      </c>
      <c r="N2035" s="13" t="s">
        <v>36</v>
      </c>
      <c r="P2035" s="11" t="n">
        <v>101</v>
      </c>
      <c r="Q2035" s="13" t="s">
        <v>37</v>
      </c>
      <c r="R2035" s="13" t="s">
        <v>38</v>
      </c>
      <c r="S2035" s="11" t="n">
        <v>4210299</v>
      </c>
      <c r="T2035" s="13" t="s">
        <v>1079</v>
      </c>
      <c r="U2035" s="14" t="n">
        <v>102.37</v>
      </c>
      <c r="W2035" s="14" t="n">
        <v>0</v>
      </c>
      <c r="X2035" s="13" t="s">
        <v>1667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46224</v>
      </c>
      <c r="C2036" s="12" t="n">
        <v>46287</v>
      </c>
      <c r="D2036" s="11" t="n">
        <v>514</v>
      </c>
      <c r="E2036" s="13" t="s">
        <v>32</v>
      </c>
      <c r="F2036" s="11" t="n">
        <v>34</v>
      </c>
      <c r="G2036" s="13" t="s">
        <v>33</v>
      </c>
      <c r="H2036" s="11" t="n">
        <v>2110405</v>
      </c>
      <c r="I2036" s="13" t="s">
        <v>34</v>
      </c>
      <c r="J2036" s="11" t="n">
        <v>1428727</v>
      </c>
      <c r="L2036" s="11" t="n">
        <v>222994</v>
      </c>
      <c r="M2036" s="13" t="s">
        <v>150</v>
      </c>
      <c r="N2036" s="13" t="s">
        <v>36</v>
      </c>
      <c r="P2036" s="11" t="n">
        <v>101</v>
      </c>
      <c r="Q2036" s="13" t="s">
        <v>37</v>
      </c>
      <c r="R2036" s="13" t="s">
        <v>85</v>
      </c>
      <c r="S2036" s="11" t="n">
        <v>4210504</v>
      </c>
      <c r="T2036" s="13" t="s">
        <v>142</v>
      </c>
      <c r="U2036" s="14" t="n">
        <v>240</v>
      </c>
      <c r="W2036" s="14" t="n">
        <v>0</v>
      </c>
      <c r="X2036" s="13" t="s">
        <v>1668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46224</v>
      </c>
      <c r="C2037" s="12" t="n">
        <v>46287</v>
      </c>
      <c r="D2037" s="11" t="n">
        <v>1000036</v>
      </c>
      <c r="E2037" s="13" t="s">
        <v>1669</v>
      </c>
      <c r="F2037" s="11" t="n">
        <v>34</v>
      </c>
      <c r="G2037" s="13" t="s">
        <v>33</v>
      </c>
      <c r="H2037" s="11" t="n">
        <v>2110405</v>
      </c>
      <c r="I2037" s="13" t="s">
        <v>34</v>
      </c>
      <c r="J2037" s="11" t="n">
        <v>1428747</v>
      </c>
      <c r="L2037" s="11" t="n">
        <v>222995</v>
      </c>
      <c r="M2037" s="13" t="s">
        <v>150</v>
      </c>
      <c r="N2037" s="13" t="s">
        <v>36</v>
      </c>
      <c r="P2037" s="11" t="n">
        <v>101</v>
      </c>
      <c r="Q2037" s="13" t="s">
        <v>37</v>
      </c>
      <c r="R2037" s="13" t="s">
        <v>38</v>
      </c>
      <c r="S2037" s="11" t="n">
        <v>4210299</v>
      </c>
      <c r="T2037" s="13" t="s">
        <v>1079</v>
      </c>
      <c r="U2037" s="14" t="n">
        <v>2929.65</v>
      </c>
      <c r="W2037" s="14" t="n">
        <v>0</v>
      </c>
      <c r="X2037" s="13" t="s">
        <v>1670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46239</v>
      </c>
      <c r="C2038" s="12" t="n">
        <v>46287</v>
      </c>
      <c r="D2038" s="11" t="n">
        <v>1659</v>
      </c>
      <c r="E2038" s="13" t="s">
        <v>251</v>
      </c>
      <c r="F2038" s="11" t="n">
        <v>24</v>
      </c>
      <c r="G2038" s="13" t="s">
        <v>42</v>
      </c>
      <c r="H2038" s="11" t="n">
        <v>2110405</v>
      </c>
      <c r="I2038" s="13" t="s">
        <v>34</v>
      </c>
      <c r="J2038" s="11" t="n">
        <v>1509264</v>
      </c>
      <c r="L2038" s="11" t="n">
        <v>8893822</v>
      </c>
      <c r="M2038" s="13" t="s">
        <v>44</v>
      </c>
      <c r="N2038" s="13" t="s">
        <v>36</v>
      </c>
      <c r="P2038" s="11" t="n">
        <v>167</v>
      </c>
      <c r="Q2038" s="13" t="s">
        <v>101</v>
      </c>
      <c r="R2038" s="13" t="s">
        <v>46</v>
      </c>
      <c r="S2038" s="11" t="n">
        <v>1130101</v>
      </c>
      <c r="T2038" s="13" t="s">
        <v>47</v>
      </c>
      <c r="U2038" s="14" t="n">
        <v>710.92</v>
      </c>
      <c r="W2038" s="14" t="n">
        <v>0</v>
      </c>
      <c r="X2038" s="13" t="s">
        <v>2008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SAND IPAN CL AZUL MASC 21307</v>
      </c>
      <c r="AC2038" s="1" t="n">
        <v>889382</v>
      </c>
    </row>
    <row r="2039" customFormat="false" ht="36.75" hidden="false" customHeight="true" outlineLevel="0" collapsed="false">
      <c r="A2039" s="11" t="n">
        <v>3</v>
      </c>
      <c r="B2039" s="12" t="n">
        <v>46242</v>
      </c>
      <c r="C2039" s="12" t="n">
        <v>46287</v>
      </c>
      <c r="D2039" s="11" t="n">
        <v>957</v>
      </c>
      <c r="E2039" s="13" t="s">
        <v>720</v>
      </c>
      <c r="F2039" s="11" t="n">
        <v>24</v>
      </c>
      <c r="G2039" s="13" t="s">
        <v>42</v>
      </c>
      <c r="H2039" s="11" t="n">
        <v>2110405</v>
      </c>
      <c r="I2039" s="13" t="s">
        <v>34</v>
      </c>
      <c r="J2039" s="11" t="n">
        <v>1532000</v>
      </c>
      <c r="L2039" s="11" t="n">
        <v>216234</v>
      </c>
      <c r="M2039" s="13" t="s">
        <v>44</v>
      </c>
      <c r="N2039" s="13" t="s">
        <v>36</v>
      </c>
      <c r="P2039" s="11" t="n">
        <v>167</v>
      </c>
      <c r="Q2039" s="13" t="s">
        <v>101</v>
      </c>
      <c r="R2039" s="13" t="s">
        <v>46</v>
      </c>
      <c r="S2039" s="11" t="n">
        <v>1130101</v>
      </c>
      <c r="T2039" s="13" t="s">
        <v>47</v>
      </c>
      <c r="U2039" s="14" t="n">
        <v>1760.2</v>
      </c>
      <c r="W2039" s="14" t="n">
        <v>0</v>
      </c>
      <c r="X2039" s="13" t="s">
        <v>2009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RAC WHISKAS CARNE KG</v>
      </c>
      <c r="AC2039" s="1" t="n">
        <v>21623</v>
      </c>
    </row>
    <row r="2040" customFormat="false" ht="45.75" hidden="false" customHeight="true" outlineLevel="0" collapsed="false">
      <c r="A2040" s="11" t="n">
        <v>3</v>
      </c>
      <c r="B2040" s="12" t="n">
        <v>46248</v>
      </c>
      <c r="C2040" s="12" t="n">
        <v>46287</v>
      </c>
      <c r="D2040" s="11" t="n">
        <v>1739</v>
      </c>
      <c r="E2040" s="13" t="s">
        <v>1919</v>
      </c>
      <c r="F2040" s="11" t="n">
        <v>24</v>
      </c>
      <c r="G2040" s="13" t="s">
        <v>42</v>
      </c>
      <c r="H2040" s="11" t="n">
        <v>2110405</v>
      </c>
      <c r="I2040" s="13" t="s">
        <v>34</v>
      </c>
      <c r="J2040" s="11" t="n">
        <v>1566622</v>
      </c>
      <c r="L2040" s="11" t="n">
        <v>2551473</v>
      </c>
      <c r="M2040" s="13" t="s">
        <v>44</v>
      </c>
      <c r="N2040" s="13" t="s">
        <v>36</v>
      </c>
      <c r="P2040" s="11" t="n">
        <v>167</v>
      </c>
      <c r="Q2040" s="13" t="s">
        <v>101</v>
      </c>
      <c r="R2040" s="13" t="s">
        <v>46</v>
      </c>
      <c r="S2040" s="11" t="n">
        <v>1130101</v>
      </c>
      <c r="T2040" s="13" t="s">
        <v>47</v>
      </c>
      <c r="U2040" s="14" t="n">
        <v>842.29</v>
      </c>
      <c r="W2040" s="14" t="n">
        <v>0</v>
      </c>
      <c r="X2040" s="13" t="s">
        <v>2010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PRESERVATIVO LV8 PG6</v>
      </c>
      <c r="AC2040" s="1" t="n">
        <v>255147</v>
      </c>
    </row>
    <row r="2041" customFormat="false" ht="54.75" hidden="false" customHeight="true" outlineLevel="0" collapsed="false">
      <c r="A2041" s="11" t="n">
        <v>3</v>
      </c>
      <c r="B2041" s="12" t="n">
        <v>46251</v>
      </c>
      <c r="C2041" s="12" t="n">
        <v>46287</v>
      </c>
      <c r="D2041" s="11" t="n">
        <v>1636</v>
      </c>
      <c r="E2041" s="13" t="s">
        <v>49</v>
      </c>
      <c r="F2041" s="11" t="n">
        <v>24</v>
      </c>
      <c r="G2041" s="13" t="s">
        <v>42</v>
      </c>
      <c r="H2041" s="11" t="n">
        <v>2110405</v>
      </c>
      <c r="I2041" s="13" t="s">
        <v>34</v>
      </c>
      <c r="J2041" s="11" t="n">
        <v>1573145</v>
      </c>
      <c r="L2041" s="11" t="n">
        <v>32386864</v>
      </c>
      <c r="M2041" s="13" t="s">
        <v>44</v>
      </c>
      <c r="N2041" s="13" t="s">
        <v>36</v>
      </c>
      <c r="P2041" s="11" t="n">
        <v>167</v>
      </c>
      <c r="Q2041" s="13" t="s">
        <v>101</v>
      </c>
      <c r="R2041" s="13" t="s">
        <v>46</v>
      </c>
      <c r="S2041" s="11" t="n">
        <v>1130101</v>
      </c>
      <c r="T2041" s="13" t="s">
        <v>47</v>
      </c>
      <c r="U2041" s="14" t="n">
        <v>924.11</v>
      </c>
      <c r="W2041" s="14" t="n">
        <v>0</v>
      </c>
      <c r="X2041" s="13" t="s">
        <v>2011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ABS SEMPERLIVRE SUAVE C/ABA -16UN</v>
      </c>
      <c r="AC2041" s="1" t="n">
        <v>3238686</v>
      </c>
    </row>
    <row r="2042" customFormat="false" ht="45.75" hidden="false" customHeight="true" outlineLevel="0" collapsed="false">
      <c r="A2042" s="11" t="n">
        <v>3</v>
      </c>
      <c r="B2042" s="12" t="n">
        <v>46260</v>
      </c>
      <c r="C2042" s="12" t="n">
        <v>46288</v>
      </c>
      <c r="D2042" s="11" t="n">
        <v>794</v>
      </c>
      <c r="E2042" s="13" t="s">
        <v>152</v>
      </c>
      <c r="F2042" s="11" t="n">
        <v>24</v>
      </c>
      <c r="G2042" s="13" t="s">
        <v>42</v>
      </c>
      <c r="H2042" s="11" t="n">
        <v>2110405</v>
      </c>
      <c r="I2042" s="13" t="s">
        <v>34</v>
      </c>
      <c r="J2042" s="11" t="n">
        <v>1608546</v>
      </c>
      <c r="L2042" s="11" t="n">
        <v>59753</v>
      </c>
      <c r="M2042" s="13" t="s">
        <v>44</v>
      </c>
      <c r="N2042" s="13" t="s">
        <v>36</v>
      </c>
      <c r="P2042" s="11" t="n">
        <v>167</v>
      </c>
      <c r="Q2042" s="13" t="s">
        <v>101</v>
      </c>
      <c r="R2042" s="13" t="s">
        <v>46</v>
      </c>
      <c r="S2042" s="11" t="n">
        <v>1130101</v>
      </c>
      <c r="T2042" s="13" t="s">
        <v>47</v>
      </c>
      <c r="U2042" s="14" t="n">
        <v>1460.03</v>
      </c>
      <c r="W2042" s="14" t="n">
        <v>0</v>
      </c>
      <c r="X2042" s="13" t="s">
        <v>2012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SACOLA DE 3KG</v>
      </c>
      <c r="AC2042" s="1" t="n">
        <v>8770</v>
      </c>
    </row>
    <row r="2043" customFormat="false" ht="36.75" hidden="false" customHeight="true" outlineLevel="0" collapsed="false">
      <c r="A2043" s="11" t="n">
        <v>3</v>
      </c>
      <c r="B2043" s="12" t="n">
        <v>46260</v>
      </c>
      <c r="C2043" s="12" t="n">
        <v>46288</v>
      </c>
      <c r="D2043" s="11" t="n">
        <v>794</v>
      </c>
      <c r="E2043" s="13" t="s">
        <v>152</v>
      </c>
      <c r="F2043" s="11" t="n">
        <v>24</v>
      </c>
      <c r="G2043" s="13" t="s">
        <v>42</v>
      </c>
      <c r="H2043" s="11" t="n">
        <v>2110405</v>
      </c>
      <c r="I2043" s="13" t="s">
        <v>34</v>
      </c>
      <c r="J2043" s="11" t="n">
        <v>1608619</v>
      </c>
      <c r="L2043" s="11" t="n">
        <v>59743</v>
      </c>
      <c r="M2043" s="13" t="s">
        <v>44</v>
      </c>
      <c r="N2043" s="13" t="s">
        <v>36</v>
      </c>
      <c r="P2043" s="11" t="n">
        <v>167</v>
      </c>
      <c r="Q2043" s="13" t="s">
        <v>101</v>
      </c>
      <c r="R2043" s="13" t="s">
        <v>38</v>
      </c>
      <c r="S2043" s="11" t="n">
        <v>4210299</v>
      </c>
      <c r="T2043" s="13" t="s">
        <v>1079</v>
      </c>
      <c r="U2043" s="14" t="n">
        <v>1115.86</v>
      </c>
      <c r="W2043" s="14" t="n">
        <v>0</v>
      </c>
      <c r="X2043" s="13" t="s">
        <v>2013</v>
      </c>
      <c r="Z2043" s="1" t="str">
        <f aca="false">IF($T2043="","",IFERROR(INDEX('Resumo Grupos'!$AC$3:$AC$200,MATCH($T2043,'Resumo Grupos'!$AB$3:$AB$200,0)),"n/d"))</f>
        <v>Despesa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SACOLA DE 3KG</v>
      </c>
      <c r="AC2043" s="1" t="n">
        <v>8769</v>
      </c>
    </row>
    <row r="2044" customFormat="false" ht="63.75" hidden="false" customHeight="true" outlineLevel="0" collapsed="false">
      <c r="A2044" s="11" t="n">
        <v>3</v>
      </c>
      <c r="B2044" s="12" t="n">
        <v>46001</v>
      </c>
      <c r="C2044" s="12" t="n">
        <v>46290</v>
      </c>
      <c r="D2044" s="11" t="n">
        <v>1839</v>
      </c>
      <c r="E2044" s="13" t="s">
        <v>613</v>
      </c>
      <c r="F2044" s="11" t="n">
        <v>24</v>
      </c>
      <c r="G2044" s="13" t="s">
        <v>42</v>
      </c>
      <c r="H2044" s="11" t="n">
        <v>2110102</v>
      </c>
      <c r="I2044" s="13" t="s">
        <v>614</v>
      </c>
      <c r="J2044" s="11" t="n">
        <v>315650</v>
      </c>
      <c r="L2044" s="11" t="n">
        <v>86749</v>
      </c>
      <c r="M2044" s="13" t="s">
        <v>1582</v>
      </c>
      <c r="N2044" s="13" t="s">
        <v>69</v>
      </c>
      <c r="P2044" s="11" t="n">
        <v>163</v>
      </c>
      <c r="Q2044" s="13" t="s">
        <v>102</v>
      </c>
      <c r="R2044" s="13" t="s">
        <v>38</v>
      </c>
      <c r="S2044" s="11" t="n">
        <v>4210204</v>
      </c>
      <c r="T2044" s="13" t="s">
        <v>615</v>
      </c>
      <c r="U2044" s="14" t="n">
        <v>47.99</v>
      </c>
      <c r="W2044" s="14" t="n">
        <v>0</v>
      </c>
      <c r="X2044" s="13" t="s">
        <v>2014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nao encontrado</v>
      </c>
      <c r="AC2044" s="1" t="n">
        <v>86749</v>
      </c>
    </row>
    <row r="2045" customFormat="false" ht="12.75" hidden="false" customHeight="true" outlineLevel="0" collapsed="false">
      <c r="A2045" s="1" t="n">
        <v>3</v>
      </c>
      <c r="B2045" s="15" t="n">
        <v>45991</v>
      </c>
      <c r="C2045" s="15" t="n">
        <v>46290</v>
      </c>
      <c r="D2045" s="1" t="n">
        <v>10054</v>
      </c>
      <c r="E2045" s="1" t="s">
        <v>617</v>
      </c>
      <c r="F2045" s="1" t="n">
        <v>2</v>
      </c>
      <c r="G2045" s="1" t="s">
        <v>482</v>
      </c>
      <c r="H2045" s="1" t="n">
        <v>2110405</v>
      </c>
      <c r="I2045" s="1" t="s">
        <v>34</v>
      </c>
      <c r="J2045" s="1" t="n">
        <v>777941</v>
      </c>
      <c r="L2045" s="1" t="n">
        <v>123778</v>
      </c>
      <c r="M2045" s="1" t="s">
        <v>1582</v>
      </c>
      <c r="N2045" s="1" t="s">
        <v>36</v>
      </c>
      <c r="P2045" s="1" t="n">
        <v>129</v>
      </c>
      <c r="Q2045" s="1" t="s">
        <v>102</v>
      </c>
      <c r="R2045" s="1" t="s">
        <v>38</v>
      </c>
      <c r="S2045" s="1" t="n">
        <v>4210227</v>
      </c>
      <c r="T2045" s="1" t="s">
        <v>196</v>
      </c>
      <c r="U2045" s="1" t="n">
        <v>56.1</v>
      </c>
      <c r="W2045" s="1" t="n">
        <v>0</v>
      </c>
      <c r="X2045" s="1" t="s">
        <v>618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nao encontrado</v>
      </c>
      <c r="AC2045" s="1" t="n">
        <v>1318</v>
      </c>
    </row>
    <row r="2046" customFormat="false" ht="12.75" hidden="false" customHeight="true" outlineLevel="0" collapsed="false">
      <c r="A2046" s="1" t="n">
        <v>3</v>
      </c>
      <c r="B2046" s="15" t="n">
        <v>46157</v>
      </c>
      <c r="C2046" s="15" t="n">
        <v>46290</v>
      </c>
      <c r="D2046" s="1" t="n">
        <v>663</v>
      </c>
      <c r="E2046" s="1" t="s">
        <v>611</v>
      </c>
      <c r="F2046" s="1" t="n">
        <v>2</v>
      </c>
      <c r="G2046" s="1" t="s">
        <v>482</v>
      </c>
      <c r="H2046" s="1" t="n">
        <v>2110405</v>
      </c>
      <c r="I2046" s="1" t="s">
        <v>34</v>
      </c>
      <c r="J2046" s="1" t="n">
        <v>1107245</v>
      </c>
      <c r="L2046" s="1" t="n">
        <v>174077</v>
      </c>
      <c r="M2046" s="1" t="s">
        <v>44</v>
      </c>
      <c r="N2046" s="1" t="s">
        <v>36</v>
      </c>
      <c r="P2046" s="1" t="n">
        <v>128</v>
      </c>
      <c r="Q2046" s="1" t="s">
        <v>45</v>
      </c>
      <c r="R2046" s="1" t="s">
        <v>38</v>
      </c>
      <c r="S2046" s="1" t="n">
        <v>4210227</v>
      </c>
      <c r="T2046" s="1" t="s">
        <v>196</v>
      </c>
      <c r="U2046" s="1" t="n">
        <v>711.75</v>
      </c>
      <c r="W2046" s="1" t="n">
        <v>0</v>
      </c>
      <c r="X2046" s="1" t="s">
        <v>612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nao encontrado</v>
      </c>
      <c r="AC2046" s="1" t="n">
        <v>12945</v>
      </c>
    </row>
    <row r="2047" customFormat="false" ht="12.75" hidden="false" customHeight="true" outlineLevel="0" collapsed="false">
      <c r="A2047" s="1" t="n">
        <v>3</v>
      </c>
      <c r="B2047" s="15" t="n">
        <v>46231</v>
      </c>
      <c r="C2047" s="15" t="n">
        <v>46290</v>
      </c>
      <c r="D2047" s="1" t="n">
        <v>928</v>
      </c>
      <c r="E2047" s="1" t="s">
        <v>663</v>
      </c>
      <c r="F2047" s="1" t="n">
        <v>24</v>
      </c>
      <c r="G2047" s="1" t="s">
        <v>42</v>
      </c>
      <c r="H2047" s="1" t="n">
        <v>2110405</v>
      </c>
      <c r="I2047" s="1" t="s">
        <v>34</v>
      </c>
      <c r="J2047" s="1" t="n">
        <v>1464994</v>
      </c>
      <c r="L2047" s="1" t="n">
        <v>227912</v>
      </c>
      <c r="M2047" s="1" t="s">
        <v>150</v>
      </c>
      <c r="N2047" s="1" t="s">
        <v>36</v>
      </c>
      <c r="P2047" s="1" t="n">
        <v>101</v>
      </c>
      <c r="Q2047" s="1" t="s">
        <v>37</v>
      </c>
      <c r="R2047" s="1" t="s">
        <v>72</v>
      </c>
      <c r="S2047" s="1" t="n">
        <v>421033</v>
      </c>
      <c r="T2047" s="1" t="s">
        <v>664</v>
      </c>
      <c r="U2047" s="1" t="n">
        <v>299.9</v>
      </c>
      <c r="W2047" s="1" t="n">
        <v>0</v>
      </c>
      <c r="X2047" s="1" t="s">
        <v>665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3</v>
      </c>
      <c r="B2048" s="15" t="n">
        <v>46205</v>
      </c>
      <c r="C2048" s="15" t="n">
        <v>46290</v>
      </c>
      <c r="D2048" s="1" t="n">
        <v>663</v>
      </c>
      <c r="E2048" s="1" t="s">
        <v>611</v>
      </c>
      <c r="F2048" s="1" t="n">
        <v>59</v>
      </c>
      <c r="G2048" s="1" t="s">
        <v>1252</v>
      </c>
      <c r="H2048" s="1" t="n">
        <v>2110405</v>
      </c>
      <c r="I2048" s="1" t="s">
        <v>34</v>
      </c>
      <c r="J2048" s="1" t="n">
        <v>1465220</v>
      </c>
      <c r="L2048" s="1" t="n">
        <v>227946</v>
      </c>
      <c r="M2048" s="1" t="s">
        <v>44</v>
      </c>
      <c r="N2048" s="1" t="s">
        <v>36</v>
      </c>
      <c r="P2048" s="1" t="n">
        <v>167</v>
      </c>
      <c r="Q2048" s="1" t="s">
        <v>101</v>
      </c>
      <c r="R2048" s="1" t="s">
        <v>46</v>
      </c>
      <c r="S2048" s="1" t="n">
        <v>1130101</v>
      </c>
      <c r="T2048" s="1" t="s">
        <v>47</v>
      </c>
      <c r="U2048" s="1" t="n">
        <v>93.33</v>
      </c>
      <c r="W2048" s="1" t="n">
        <v>0</v>
      </c>
      <c r="X2048" s="1" t="s">
        <v>2015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3</v>
      </c>
      <c r="B2049" s="15" t="n">
        <v>46231</v>
      </c>
      <c r="C2049" s="15" t="n">
        <v>46290</v>
      </c>
      <c r="D2049" s="1" t="n">
        <v>875</v>
      </c>
      <c r="E2049" s="1" t="s">
        <v>630</v>
      </c>
      <c r="F2049" s="1" t="n">
        <v>59</v>
      </c>
      <c r="G2049" s="1" t="s">
        <v>1252</v>
      </c>
      <c r="H2049" s="1" t="n">
        <v>2110405</v>
      </c>
      <c r="I2049" s="1" t="s">
        <v>34</v>
      </c>
      <c r="J2049" s="1" t="n">
        <v>1472837</v>
      </c>
      <c r="L2049" s="1" t="n">
        <v>18872</v>
      </c>
      <c r="M2049" s="1" t="s">
        <v>44</v>
      </c>
      <c r="N2049" s="1" t="s">
        <v>36</v>
      </c>
      <c r="P2049" s="1" t="n">
        <v>167</v>
      </c>
      <c r="Q2049" s="1" t="s">
        <v>101</v>
      </c>
      <c r="R2049" s="1" t="s">
        <v>46</v>
      </c>
      <c r="S2049" s="1" t="n">
        <v>1130101</v>
      </c>
      <c r="T2049" s="1" t="s">
        <v>47</v>
      </c>
      <c r="U2049" s="1" t="n">
        <v>1615.17</v>
      </c>
      <c r="W2049" s="1" t="n">
        <v>0</v>
      </c>
      <c r="X2049" s="1" t="s">
        <v>1712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FONE OUVIDO BASIKE F</v>
      </c>
      <c r="AC2049" s="1" t="n">
        <v>1887</v>
      </c>
    </row>
    <row r="2050" customFormat="false" ht="12.75" hidden="false" customHeight="true" outlineLevel="0" collapsed="false">
      <c r="A2050" s="1" t="n">
        <v>3</v>
      </c>
      <c r="B2050" s="15" t="n">
        <v>46233</v>
      </c>
      <c r="C2050" s="15" t="n">
        <v>46290</v>
      </c>
      <c r="D2050" s="1" t="n">
        <v>1895</v>
      </c>
      <c r="E2050" s="1" t="s">
        <v>159</v>
      </c>
      <c r="F2050" s="1" t="n">
        <v>24</v>
      </c>
      <c r="G2050" s="1" t="s">
        <v>42</v>
      </c>
      <c r="H2050" s="1" t="n">
        <v>2110101</v>
      </c>
      <c r="I2050" s="1" t="s">
        <v>43</v>
      </c>
      <c r="J2050" s="1" t="n">
        <v>1474066</v>
      </c>
      <c r="L2050" s="1" t="n">
        <v>229268</v>
      </c>
      <c r="M2050" s="1" t="s">
        <v>44</v>
      </c>
      <c r="N2050" s="1" t="s">
        <v>36</v>
      </c>
      <c r="P2050" s="1" t="n">
        <v>167</v>
      </c>
      <c r="Q2050" s="1" t="s">
        <v>101</v>
      </c>
      <c r="R2050" s="1" t="s">
        <v>38</v>
      </c>
      <c r="S2050" s="1" t="n">
        <v>4210299</v>
      </c>
      <c r="T2050" s="1" t="s">
        <v>1079</v>
      </c>
      <c r="U2050" s="1" t="n">
        <v>271.84</v>
      </c>
      <c r="W2050" s="1" t="n">
        <v>0</v>
      </c>
      <c r="X2050" s="1" t="s">
        <v>2016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3</v>
      </c>
      <c r="B2051" s="15" t="n">
        <v>46237</v>
      </c>
      <c r="C2051" s="15" t="n">
        <v>46290</v>
      </c>
      <c r="D2051" s="1" t="n">
        <v>10101</v>
      </c>
      <c r="E2051" s="1" t="s">
        <v>1713</v>
      </c>
      <c r="F2051" s="1" t="n">
        <v>59</v>
      </c>
      <c r="G2051" s="1" t="s">
        <v>1252</v>
      </c>
      <c r="H2051" s="1" t="n">
        <v>2110405</v>
      </c>
      <c r="I2051" s="1" t="s">
        <v>34</v>
      </c>
      <c r="J2051" s="1" t="n">
        <v>1498493</v>
      </c>
      <c r="L2051" s="1" t="n">
        <v>232740</v>
      </c>
      <c r="M2051" s="1" t="s">
        <v>44</v>
      </c>
      <c r="N2051" s="1" t="s">
        <v>36</v>
      </c>
      <c r="P2051" s="1" t="n">
        <v>167</v>
      </c>
      <c r="Q2051" s="1" t="s">
        <v>101</v>
      </c>
      <c r="R2051" s="1" t="s">
        <v>38</v>
      </c>
      <c r="S2051" s="1" t="n">
        <v>4210227</v>
      </c>
      <c r="T2051" s="1" t="s">
        <v>196</v>
      </c>
      <c r="U2051" s="1" t="n">
        <v>256.8</v>
      </c>
      <c r="W2051" s="1" t="n">
        <v>0</v>
      </c>
      <c r="X2051" s="1" t="s">
        <v>2017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SMARTPHONE MOTOROLA G06 4/128GB AZ</v>
      </c>
      <c r="AC2051" s="1" t="n">
        <v>259616</v>
      </c>
    </row>
    <row r="2052" customFormat="false" ht="12.75" hidden="false" customHeight="true" outlineLevel="0" collapsed="false">
      <c r="A2052" s="1" t="n">
        <v>3</v>
      </c>
      <c r="B2052" s="15" t="n">
        <v>46261</v>
      </c>
      <c r="C2052" s="15" t="n">
        <v>46290</v>
      </c>
      <c r="D2052" s="1" t="n">
        <v>10037</v>
      </c>
      <c r="E2052" s="1" t="s">
        <v>359</v>
      </c>
      <c r="F2052" s="1" t="n">
        <v>24</v>
      </c>
      <c r="G2052" s="1" t="s">
        <v>42</v>
      </c>
      <c r="H2052" s="1" t="n">
        <v>2110405</v>
      </c>
      <c r="I2052" s="1" t="s">
        <v>34</v>
      </c>
      <c r="J2052" s="1" t="n">
        <v>1618428</v>
      </c>
      <c r="L2052" s="1" t="n">
        <v>33572</v>
      </c>
      <c r="M2052" s="1" t="s">
        <v>44</v>
      </c>
      <c r="N2052" s="1" t="s">
        <v>36</v>
      </c>
      <c r="P2052" s="1" t="n">
        <v>167</v>
      </c>
      <c r="Q2052" s="1" t="s">
        <v>101</v>
      </c>
      <c r="R2052" s="1" t="s">
        <v>46</v>
      </c>
      <c r="S2052" s="1" t="n">
        <v>1130101</v>
      </c>
      <c r="T2052" s="1" t="s">
        <v>47</v>
      </c>
      <c r="U2052" s="1" t="n">
        <v>457.88</v>
      </c>
      <c r="W2052" s="1" t="n">
        <v>0</v>
      </c>
      <c r="X2052" s="1" t="s">
        <v>2018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RACAO BOLT CAES KG</v>
      </c>
      <c r="AC2052" s="1" t="n">
        <v>3357</v>
      </c>
    </row>
    <row r="2053" customFormat="false" ht="12.75" hidden="false" customHeight="true" outlineLevel="0" collapsed="false">
      <c r="A2053" s="1" t="n">
        <v>3</v>
      </c>
      <c r="B2053" s="15" t="n">
        <v>46258</v>
      </c>
      <c r="C2053" s="15" t="n">
        <v>46293</v>
      </c>
      <c r="D2053" s="1" t="n">
        <v>10012</v>
      </c>
      <c r="E2053" s="1" t="s">
        <v>393</v>
      </c>
      <c r="F2053" s="1" t="n">
        <v>24</v>
      </c>
      <c r="G2053" s="1" t="s">
        <v>42</v>
      </c>
      <c r="H2053" s="1" t="n">
        <v>2110405</v>
      </c>
      <c r="I2053" s="1" t="s">
        <v>34</v>
      </c>
      <c r="J2053" s="1" t="n">
        <v>1608862</v>
      </c>
      <c r="L2053" s="1" t="n">
        <v>19672743</v>
      </c>
      <c r="M2053" s="1" t="s">
        <v>44</v>
      </c>
      <c r="N2053" s="1" t="s">
        <v>36</v>
      </c>
      <c r="P2053" s="1" t="n">
        <v>167</v>
      </c>
      <c r="Q2053" s="1" t="s">
        <v>101</v>
      </c>
      <c r="R2053" s="1" t="s">
        <v>46</v>
      </c>
      <c r="S2053" s="1" t="n">
        <v>1130101</v>
      </c>
      <c r="T2053" s="1" t="s">
        <v>47</v>
      </c>
      <c r="U2053" s="1" t="n">
        <v>524.88</v>
      </c>
      <c r="W2053" s="1" t="n">
        <v>0</v>
      </c>
      <c r="X2053" s="1" t="s">
        <v>2019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SAB PHEBO ODOR90G</v>
      </c>
      <c r="AC2053" s="1" t="n">
        <v>1967274</v>
      </c>
    </row>
    <row r="2054" customFormat="false" ht="12.75" hidden="false" customHeight="true" outlineLevel="0" collapsed="false">
      <c r="A2054" s="1" t="n">
        <v>3</v>
      </c>
      <c r="B2054" s="15" t="n">
        <v>46261</v>
      </c>
      <c r="C2054" s="15" t="n">
        <v>46293</v>
      </c>
      <c r="D2054" s="1" t="n">
        <v>1699</v>
      </c>
      <c r="E2054" s="1" t="s">
        <v>60</v>
      </c>
      <c r="F2054" s="1" t="n">
        <v>24</v>
      </c>
      <c r="G2054" s="1" t="s">
        <v>42</v>
      </c>
      <c r="H2054" s="1" t="n">
        <v>2110405</v>
      </c>
      <c r="I2054" s="1" t="s">
        <v>34</v>
      </c>
      <c r="J2054" s="1" t="n">
        <v>1613375</v>
      </c>
      <c r="L2054" s="1" t="n">
        <v>3125773</v>
      </c>
      <c r="M2054" s="1" t="s">
        <v>44</v>
      </c>
      <c r="N2054" s="1" t="s">
        <v>36</v>
      </c>
      <c r="P2054" s="1" t="n">
        <v>167</v>
      </c>
      <c r="Q2054" s="1" t="s">
        <v>101</v>
      </c>
      <c r="R2054" s="1" t="s">
        <v>46</v>
      </c>
      <c r="S2054" s="1" t="n">
        <v>1130101</v>
      </c>
      <c r="T2054" s="1" t="s">
        <v>47</v>
      </c>
      <c r="U2054" s="1" t="n">
        <v>1065.1</v>
      </c>
      <c r="W2054" s="1" t="n">
        <v>0</v>
      </c>
      <c r="X2054" s="1" t="s">
        <v>2020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ARROZ BRA. FACCIO 1K</v>
      </c>
      <c r="AC2054" s="1" t="n">
        <v>312577</v>
      </c>
    </row>
    <row r="2055" customFormat="false" ht="12.75" hidden="false" customHeight="true" outlineLevel="0" collapsed="false">
      <c r="A2055" s="1" t="n">
        <v>3</v>
      </c>
      <c r="B2055" s="15" t="n">
        <v>46248</v>
      </c>
      <c r="C2055" s="15" t="n">
        <v>46294</v>
      </c>
      <c r="D2055" s="1" t="n">
        <v>1739</v>
      </c>
      <c r="E2055" s="1" t="s">
        <v>1919</v>
      </c>
      <c r="F2055" s="1" t="n">
        <v>24</v>
      </c>
      <c r="G2055" s="1" t="s">
        <v>42</v>
      </c>
      <c r="H2055" s="1" t="n">
        <v>2110405</v>
      </c>
      <c r="I2055" s="1" t="s">
        <v>34</v>
      </c>
      <c r="J2055" s="1" t="n">
        <v>1566624</v>
      </c>
      <c r="L2055" s="1" t="n">
        <v>2551474</v>
      </c>
      <c r="M2055" s="1" t="s">
        <v>44</v>
      </c>
      <c r="N2055" s="1" t="s">
        <v>36</v>
      </c>
      <c r="P2055" s="1" t="n">
        <v>167</v>
      </c>
      <c r="Q2055" s="1" t="s">
        <v>101</v>
      </c>
      <c r="R2055" s="1" t="s">
        <v>46</v>
      </c>
      <c r="S2055" s="1" t="n">
        <v>1130101</v>
      </c>
      <c r="T2055" s="1" t="s">
        <v>47</v>
      </c>
      <c r="U2055" s="1" t="n">
        <v>842.29</v>
      </c>
      <c r="W2055" s="1" t="n">
        <v>0</v>
      </c>
      <c r="X2055" s="1" t="s">
        <v>2021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PRESERVATIVO LV8 PG6</v>
      </c>
      <c r="AC2055" s="1" t="n">
        <v>255147</v>
      </c>
    </row>
    <row r="2056" customFormat="false" ht="12.75" hidden="false" customHeight="true" outlineLevel="0" collapsed="false">
      <c r="A2056" s="1" t="n">
        <v>3</v>
      </c>
      <c r="B2056" s="15" t="n">
        <v>46260</v>
      </c>
      <c r="C2056" s="15" t="n">
        <v>46295</v>
      </c>
      <c r="D2056" s="1" t="n">
        <v>794</v>
      </c>
      <c r="E2056" s="1" t="s">
        <v>152</v>
      </c>
      <c r="F2056" s="1" t="n">
        <v>24</v>
      </c>
      <c r="G2056" s="1" t="s">
        <v>42</v>
      </c>
      <c r="H2056" s="1" t="n">
        <v>2110405</v>
      </c>
      <c r="I2056" s="1" t="s">
        <v>34</v>
      </c>
      <c r="J2056" s="1" t="n">
        <v>1608550</v>
      </c>
      <c r="L2056" s="1" t="n">
        <v>59754</v>
      </c>
      <c r="M2056" s="1" t="s">
        <v>44</v>
      </c>
      <c r="N2056" s="1" t="s">
        <v>36</v>
      </c>
      <c r="P2056" s="1" t="n">
        <v>167</v>
      </c>
      <c r="Q2056" s="1" t="s">
        <v>101</v>
      </c>
      <c r="R2056" s="1" t="s">
        <v>46</v>
      </c>
      <c r="S2056" s="1" t="n">
        <v>1130101</v>
      </c>
      <c r="T2056" s="1" t="s">
        <v>47</v>
      </c>
      <c r="U2056" s="1" t="n">
        <v>1460.01</v>
      </c>
      <c r="W2056" s="1" t="n">
        <v>0</v>
      </c>
      <c r="X2056" s="1" t="s">
        <v>2022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SACOLA DE 3KG</v>
      </c>
      <c r="AC2056" s="1" t="n">
        <v>8770</v>
      </c>
    </row>
    <row r="2057" customFormat="false" ht="12.75" hidden="false" customHeight="true" outlineLevel="0" collapsed="false">
      <c r="A2057" s="1" t="n">
        <v>3</v>
      </c>
      <c r="B2057" s="15" t="n">
        <v>46231</v>
      </c>
      <c r="C2057" s="15" t="n">
        <v>46297</v>
      </c>
      <c r="D2057" s="1" t="n">
        <v>1778</v>
      </c>
      <c r="E2057" s="1" t="s">
        <v>116</v>
      </c>
      <c r="F2057" s="1" t="n">
        <v>24</v>
      </c>
      <c r="G2057" s="1" t="s">
        <v>42</v>
      </c>
      <c r="H2057" s="1" t="n">
        <v>2110405</v>
      </c>
      <c r="I2057" s="1" t="s">
        <v>34</v>
      </c>
      <c r="J2057" s="1" t="n">
        <v>1464589</v>
      </c>
      <c r="L2057" s="1" t="n">
        <v>227862</v>
      </c>
      <c r="M2057" s="1" t="s">
        <v>150</v>
      </c>
      <c r="N2057" s="1" t="s">
        <v>36</v>
      </c>
      <c r="P2057" s="1" t="n">
        <v>101</v>
      </c>
      <c r="Q2057" s="1" t="s">
        <v>37</v>
      </c>
      <c r="R2057" s="1" t="s">
        <v>38</v>
      </c>
      <c r="S2057" s="1" t="n">
        <v>4210207</v>
      </c>
      <c r="T2057" s="1" t="s">
        <v>117</v>
      </c>
      <c r="U2057" s="1" t="n">
        <v>337.29</v>
      </c>
      <c r="W2057" s="1" t="n">
        <v>0</v>
      </c>
      <c r="X2057" s="1" t="s">
        <v>1846</v>
      </c>
      <c r="Z2057" s="1" t="str">
        <f aca="false">IF($T2057="","",IFERROR(INDEX('Resumo Grupos'!$AC$3:$AC$200,MATCH($T2057,'Resumo Grupos'!$AB$3:$AB$200,0)),"n/d"))</f>
        <v>Despesa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3</v>
      </c>
      <c r="B2058" s="15" t="n">
        <v>46205</v>
      </c>
      <c r="C2058" s="15" t="n">
        <v>46297</v>
      </c>
      <c r="D2058" s="1" t="n">
        <v>1789</v>
      </c>
      <c r="E2058" s="1" t="s">
        <v>62</v>
      </c>
      <c r="F2058" s="1" t="n">
        <v>24</v>
      </c>
      <c r="G2058" s="1" t="s">
        <v>42</v>
      </c>
      <c r="H2058" s="1" t="n">
        <v>2110405</v>
      </c>
      <c r="I2058" s="1" t="s">
        <v>34</v>
      </c>
      <c r="J2058" s="1" t="n">
        <v>1464602</v>
      </c>
      <c r="L2058" s="1" t="n">
        <v>227866</v>
      </c>
      <c r="M2058" s="1" t="s">
        <v>150</v>
      </c>
      <c r="N2058" s="1" t="s">
        <v>36</v>
      </c>
      <c r="P2058" s="1" t="n">
        <v>101</v>
      </c>
      <c r="Q2058" s="1" t="s">
        <v>37</v>
      </c>
      <c r="R2058" s="1" t="s">
        <v>63</v>
      </c>
      <c r="S2058" s="1" t="n">
        <v>4210112</v>
      </c>
      <c r="T2058" s="1" t="s">
        <v>64</v>
      </c>
      <c r="U2058" s="1" t="n">
        <v>5500</v>
      </c>
      <c r="W2058" s="1" t="n">
        <v>0</v>
      </c>
      <c r="X2058" s="1" t="s">
        <v>1847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3</v>
      </c>
      <c r="B2059" s="15" t="n">
        <v>46231</v>
      </c>
      <c r="C2059" s="15" t="n">
        <v>46297</v>
      </c>
      <c r="D2059" s="1" t="n">
        <v>49</v>
      </c>
      <c r="E2059" s="1" t="s">
        <v>138</v>
      </c>
      <c r="F2059" s="1" t="n">
        <v>34</v>
      </c>
      <c r="G2059" s="1" t="s">
        <v>33</v>
      </c>
      <c r="H2059" s="1" t="n">
        <v>2110405</v>
      </c>
      <c r="I2059" s="1" t="s">
        <v>34</v>
      </c>
      <c r="J2059" s="1" t="n">
        <v>1464754</v>
      </c>
      <c r="L2059" s="1" t="n">
        <v>227889</v>
      </c>
      <c r="M2059" s="1" t="s">
        <v>244</v>
      </c>
      <c r="N2059" s="1" t="s">
        <v>36</v>
      </c>
      <c r="P2059" s="1" t="n">
        <v>101</v>
      </c>
      <c r="Q2059" s="1" t="s">
        <v>37</v>
      </c>
      <c r="R2059" s="1" t="s">
        <v>139</v>
      </c>
      <c r="S2059" s="1" t="n">
        <v>2110901</v>
      </c>
      <c r="T2059" s="1" t="s">
        <v>140</v>
      </c>
      <c r="U2059" s="1" t="n">
        <v>4000</v>
      </c>
      <c r="W2059" s="1" t="n">
        <v>0</v>
      </c>
      <c r="X2059" s="1" t="s">
        <v>2023</v>
      </c>
      <c r="Z2059" s="1" t="str">
        <f aca="false">IF($T2059="","",IFERROR(INDEX('Resumo Grupos'!$AC$3:$AC$200,MATCH($T2059,'Resumo Grupos'!$AB$3:$AB$200,0)),"n/d"))</f>
        <v>Empréstimo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3</v>
      </c>
      <c r="B2060" s="15" t="n">
        <v>46261</v>
      </c>
      <c r="C2060" s="15" t="n">
        <v>46297</v>
      </c>
      <c r="D2060" s="1" t="n">
        <v>10037</v>
      </c>
      <c r="E2060" s="1" t="s">
        <v>359</v>
      </c>
      <c r="F2060" s="1" t="n">
        <v>24</v>
      </c>
      <c r="G2060" s="1" t="s">
        <v>42</v>
      </c>
      <c r="H2060" s="1" t="n">
        <v>2110405</v>
      </c>
      <c r="I2060" s="1" t="s">
        <v>34</v>
      </c>
      <c r="J2060" s="1" t="n">
        <v>1618435</v>
      </c>
      <c r="L2060" s="1" t="n">
        <v>33573</v>
      </c>
      <c r="M2060" s="1" t="s">
        <v>44</v>
      </c>
      <c r="N2060" s="1" t="s">
        <v>36</v>
      </c>
      <c r="P2060" s="1" t="n">
        <v>167</v>
      </c>
      <c r="Q2060" s="1" t="s">
        <v>101</v>
      </c>
      <c r="R2060" s="1" t="s">
        <v>46</v>
      </c>
      <c r="S2060" s="1" t="n">
        <v>1130101</v>
      </c>
      <c r="T2060" s="1" t="s">
        <v>47</v>
      </c>
      <c r="U2060" s="1" t="n">
        <v>457.88</v>
      </c>
      <c r="W2060" s="1" t="n">
        <v>0</v>
      </c>
      <c r="X2060" s="1" t="s">
        <v>2024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RACAO BOLT CAES KG</v>
      </c>
      <c r="AC2060" s="1" t="n">
        <v>3357</v>
      </c>
    </row>
    <row r="2061" customFormat="false" ht="12.75" hidden="false" customHeight="true" outlineLevel="0" collapsed="false">
      <c r="A2061" s="1" t="n">
        <v>3</v>
      </c>
      <c r="B2061" s="15" t="n">
        <v>46231</v>
      </c>
      <c r="C2061" s="15" t="n">
        <v>46299</v>
      </c>
      <c r="D2061" s="1" t="n">
        <v>33</v>
      </c>
      <c r="E2061" s="1" t="s">
        <v>71</v>
      </c>
      <c r="F2061" s="1" t="n">
        <v>34</v>
      </c>
      <c r="G2061" s="1" t="s">
        <v>33</v>
      </c>
      <c r="H2061" s="1" t="n">
        <v>2110405</v>
      </c>
      <c r="I2061" s="1" t="s">
        <v>34</v>
      </c>
      <c r="J2061" s="1" t="n">
        <v>1464721</v>
      </c>
      <c r="L2061" s="1" t="n">
        <v>227878</v>
      </c>
      <c r="M2061" s="1" t="s">
        <v>150</v>
      </c>
      <c r="N2061" s="1" t="s">
        <v>36</v>
      </c>
      <c r="P2061" s="1" t="n">
        <v>101</v>
      </c>
      <c r="Q2061" s="1" t="s">
        <v>37</v>
      </c>
      <c r="R2061" s="1" t="s">
        <v>245</v>
      </c>
      <c r="S2061" s="1" t="n">
        <v>2210202</v>
      </c>
      <c r="T2061" s="1" t="s">
        <v>245</v>
      </c>
      <c r="U2061" s="1" t="n">
        <v>1000</v>
      </c>
      <c r="W2061" s="1" t="n">
        <v>0</v>
      </c>
      <c r="X2061" s="1" t="s">
        <v>246</v>
      </c>
      <c r="Z2061" s="1" t="str">
        <f aca="false">IF($T2061="","",IFERROR(INDEX('Resumo Grupos'!$AC$3:$AC$200,MATCH($T2061,'Resumo Grupos'!$AB$3:$AB$200,0)),"n/d"))</f>
        <v>Empréstimo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3</v>
      </c>
      <c r="B2062" s="15" t="n">
        <v>46234</v>
      </c>
      <c r="C2062" s="15" t="n">
        <v>46299</v>
      </c>
      <c r="D2062" s="1" t="n">
        <v>519</v>
      </c>
      <c r="E2062" s="1" t="s">
        <v>242</v>
      </c>
      <c r="F2062" s="1" t="n">
        <v>34</v>
      </c>
      <c r="G2062" s="1" t="s">
        <v>33</v>
      </c>
      <c r="H2062" s="1" t="n">
        <v>2110405</v>
      </c>
      <c r="I2062" s="1" t="s">
        <v>34</v>
      </c>
      <c r="J2062" s="1" t="n">
        <v>1477410</v>
      </c>
      <c r="L2062" s="1" t="n">
        <v>229713</v>
      </c>
      <c r="M2062" s="1" t="s">
        <v>244</v>
      </c>
      <c r="N2062" s="1" t="s">
        <v>36</v>
      </c>
      <c r="P2062" s="1" t="n">
        <v>101</v>
      </c>
      <c r="Q2062" s="1" t="s">
        <v>37</v>
      </c>
      <c r="R2062" s="1" t="s">
        <v>245</v>
      </c>
      <c r="S2062" s="1" t="n">
        <v>2210203</v>
      </c>
      <c r="T2062" s="1" t="s">
        <v>1532</v>
      </c>
      <c r="U2062" s="1" t="n">
        <v>50000</v>
      </c>
      <c r="W2062" s="1" t="n">
        <v>0</v>
      </c>
      <c r="X2062" s="1" t="s">
        <v>1533</v>
      </c>
      <c r="Z2062" s="1" t="str">
        <f aca="false">IF($T2062="","",IFERROR(INDEX('Resumo Grupos'!$AC$3:$AC$200,MATCH($T2062,'Resumo Grupos'!$AB$3:$AB$200,0)),"n/d"))</f>
        <v>Empréstimo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3</v>
      </c>
      <c r="B2063" s="15" t="n">
        <v>46147</v>
      </c>
      <c r="C2063" s="15" t="n">
        <v>46300</v>
      </c>
      <c r="D2063" s="1" t="n">
        <v>515</v>
      </c>
      <c r="E2063" s="1" t="s">
        <v>105</v>
      </c>
      <c r="F2063" s="1" t="n">
        <v>34</v>
      </c>
      <c r="G2063" s="1" t="s">
        <v>33</v>
      </c>
      <c r="H2063" s="1" t="n">
        <v>2110405</v>
      </c>
      <c r="I2063" s="1" t="s">
        <v>34</v>
      </c>
      <c r="J2063" s="1" t="n">
        <v>1157461</v>
      </c>
      <c r="L2063" s="1" t="n">
        <v>181615</v>
      </c>
      <c r="M2063" s="1" t="s">
        <v>35</v>
      </c>
      <c r="N2063" s="1" t="s">
        <v>36</v>
      </c>
      <c r="P2063" s="1" t="n">
        <v>101</v>
      </c>
      <c r="Q2063" s="1" t="s">
        <v>37</v>
      </c>
      <c r="R2063" s="1" t="s">
        <v>85</v>
      </c>
      <c r="S2063" s="1" t="n">
        <v>4210508</v>
      </c>
      <c r="T2063" s="1" t="s">
        <v>106</v>
      </c>
      <c r="U2063" s="1" t="n">
        <v>151.61</v>
      </c>
      <c r="W2063" s="1" t="n">
        <v>0</v>
      </c>
      <c r="X2063" s="1" t="s">
        <v>2025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3</v>
      </c>
      <c r="B2064" s="15" t="n">
        <v>46231</v>
      </c>
      <c r="C2064" s="15" t="n">
        <v>46300</v>
      </c>
      <c r="D2064" s="1" t="n">
        <v>1040</v>
      </c>
      <c r="E2064" s="1" t="s">
        <v>215</v>
      </c>
      <c r="F2064" s="1" t="n">
        <v>24</v>
      </c>
      <c r="G2064" s="1" t="s">
        <v>42</v>
      </c>
      <c r="H2064" s="1" t="n">
        <v>2110405</v>
      </c>
      <c r="I2064" s="1" t="s">
        <v>34</v>
      </c>
      <c r="J2064" s="1" t="n">
        <v>1464735</v>
      </c>
      <c r="L2064" s="1" t="n">
        <v>227881</v>
      </c>
      <c r="M2064" s="1" t="s">
        <v>150</v>
      </c>
      <c r="N2064" s="1" t="s">
        <v>36</v>
      </c>
      <c r="P2064" s="1" t="n">
        <v>101</v>
      </c>
      <c r="Q2064" s="1" t="s">
        <v>37</v>
      </c>
      <c r="R2064" s="1" t="s">
        <v>38</v>
      </c>
      <c r="S2064" s="1" t="n">
        <v>4210201</v>
      </c>
      <c r="T2064" s="1" t="s">
        <v>216</v>
      </c>
      <c r="U2064" s="1" t="n">
        <v>286</v>
      </c>
      <c r="W2064" s="1" t="n">
        <v>0</v>
      </c>
      <c r="X2064" s="1" t="s">
        <v>1400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3</v>
      </c>
      <c r="B2065" s="15" t="n">
        <v>46254</v>
      </c>
      <c r="C2065" s="15" t="n">
        <v>46300</v>
      </c>
      <c r="D2065" s="1" t="n">
        <v>1122</v>
      </c>
      <c r="E2065" s="1" t="s">
        <v>1242</v>
      </c>
      <c r="F2065" s="1" t="n">
        <v>24</v>
      </c>
      <c r="G2065" s="1" t="s">
        <v>42</v>
      </c>
      <c r="H2065" s="1" t="n">
        <v>2110405</v>
      </c>
      <c r="I2065" s="1" t="s">
        <v>34</v>
      </c>
      <c r="J2065" s="1" t="n">
        <v>1585292</v>
      </c>
      <c r="L2065" s="1" t="n">
        <v>694733</v>
      </c>
      <c r="M2065" s="1" t="s">
        <v>44</v>
      </c>
      <c r="N2065" s="1" t="s">
        <v>36</v>
      </c>
      <c r="P2065" s="1" t="n">
        <v>167</v>
      </c>
      <c r="Q2065" s="1" t="s">
        <v>101</v>
      </c>
      <c r="R2065" s="1" t="s">
        <v>46</v>
      </c>
      <c r="S2065" s="1" t="n">
        <v>1130101</v>
      </c>
      <c r="T2065" s="1" t="s">
        <v>47</v>
      </c>
      <c r="U2065" s="1" t="n">
        <v>203.8</v>
      </c>
      <c r="W2065" s="1" t="n">
        <v>0</v>
      </c>
      <c r="X2065" s="1" t="s">
        <v>2026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nao encontrado</v>
      </c>
      <c r="AC2065" s="1" t="n">
        <v>12956</v>
      </c>
    </row>
    <row r="2066" customFormat="false" ht="12.75" hidden="false" customHeight="true" outlineLevel="0" collapsed="false">
      <c r="A2066" s="1" t="n">
        <v>3</v>
      </c>
      <c r="B2066" s="15" t="n">
        <v>46258</v>
      </c>
      <c r="C2066" s="15" t="n">
        <v>46300</v>
      </c>
      <c r="D2066" s="1" t="n">
        <v>10012</v>
      </c>
      <c r="E2066" s="1" t="s">
        <v>393</v>
      </c>
      <c r="F2066" s="1" t="n">
        <v>24</v>
      </c>
      <c r="G2066" s="1" t="s">
        <v>42</v>
      </c>
      <c r="H2066" s="1" t="n">
        <v>2110405</v>
      </c>
      <c r="I2066" s="1" t="s">
        <v>34</v>
      </c>
      <c r="J2066" s="1" t="n">
        <v>1608869</v>
      </c>
      <c r="L2066" s="1" t="n">
        <v>19672744</v>
      </c>
      <c r="M2066" s="1" t="s">
        <v>44</v>
      </c>
      <c r="N2066" s="1" t="s">
        <v>36</v>
      </c>
      <c r="P2066" s="1" t="n">
        <v>167</v>
      </c>
      <c r="Q2066" s="1" t="s">
        <v>101</v>
      </c>
      <c r="R2066" s="1" t="s">
        <v>46</v>
      </c>
      <c r="S2066" s="1" t="n">
        <v>1130101</v>
      </c>
      <c r="T2066" s="1" t="s">
        <v>47</v>
      </c>
      <c r="U2066" s="1" t="n">
        <v>524.88</v>
      </c>
      <c r="W2066" s="1" t="n">
        <v>0</v>
      </c>
      <c r="X2066" s="1" t="s">
        <v>2027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SAB PHEBO ODOR90G</v>
      </c>
      <c r="AC2066" s="1" t="n">
        <v>1967274</v>
      </c>
    </row>
    <row r="2067" customFormat="false" ht="12.75" hidden="false" customHeight="true" outlineLevel="0" collapsed="false">
      <c r="A2067" s="1" t="n">
        <v>3</v>
      </c>
      <c r="B2067" s="15" t="n">
        <v>46248</v>
      </c>
      <c r="C2067" s="15" t="n">
        <v>46301</v>
      </c>
      <c r="D2067" s="1" t="n">
        <v>1739</v>
      </c>
      <c r="E2067" s="1" t="s">
        <v>1919</v>
      </c>
      <c r="F2067" s="1" t="n">
        <v>24</v>
      </c>
      <c r="G2067" s="1" t="s">
        <v>42</v>
      </c>
      <c r="H2067" s="1" t="n">
        <v>2110405</v>
      </c>
      <c r="I2067" s="1" t="s">
        <v>34</v>
      </c>
      <c r="J2067" s="1" t="n">
        <v>1566627</v>
      </c>
      <c r="L2067" s="1" t="n">
        <v>2551475</v>
      </c>
      <c r="M2067" s="1" t="s">
        <v>44</v>
      </c>
      <c r="N2067" s="1" t="s">
        <v>36</v>
      </c>
      <c r="P2067" s="1" t="n">
        <v>167</v>
      </c>
      <c r="Q2067" s="1" t="s">
        <v>101</v>
      </c>
      <c r="R2067" s="1" t="s">
        <v>46</v>
      </c>
      <c r="S2067" s="1" t="n">
        <v>1130101</v>
      </c>
      <c r="T2067" s="1" t="s">
        <v>47</v>
      </c>
      <c r="U2067" s="1" t="n">
        <v>842.29</v>
      </c>
      <c r="W2067" s="1" t="n">
        <v>0</v>
      </c>
      <c r="X2067" s="1" t="s">
        <v>2028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PRESERVATIVO LV8 PG6</v>
      </c>
      <c r="AC2067" s="1" t="n">
        <v>255147</v>
      </c>
    </row>
    <row r="2068" customFormat="false" ht="12.75" hidden="false" customHeight="true" outlineLevel="0" collapsed="false">
      <c r="A2068" s="1" t="n">
        <v>3</v>
      </c>
      <c r="B2068" s="15" t="n">
        <v>46239</v>
      </c>
      <c r="C2068" s="15" t="n">
        <v>46302</v>
      </c>
      <c r="D2068" s="1" t="n">
        <v>1659</v>
      </c>
      <c r="E2068" s="1" t="s">
        <v>251</v>
      </c>
      <c r="F2068" s="1" t="n">
        <v>24</v>
      </c>
      <c r="G2068" s="1" t="s">
        <v>42</v>
      </c>
      <c r="H2068" s="1" t="n">
        <v>2110405</v>
      </c>
      <c r="I2068" s="1" t="s">
        <v>34</v>
      </c>
      <c r="J2068" s="1" t="n">
        <v>1509292</v>
      </c>
      <c r="L2068" s="1" t="n">
        <v>8893823</v>
      </c>
      <c r="M2068" s="1" t="s">
        <v>44</v>
      </c>
      <c r="N2068" s="1" t="s">
        <v>36</v>
      </c>
      <c r="P2068" s="1" t="n">
        <v>167</v>
      </c>
      <c r="Q2068" s="1" t="s">
        <v>101</v>
      </c>
      <c r="R2068" s="1" t="s">
        <v>46</v>
      </c>
      <c r="S2068" s="1" t="n">
        <v>1130101</v>
      </c>
      <c r="T2068" s="1" t="s">
        <v>47</v>
      </c>
      <c r="U2068" s="1" t="n">
        <v>710.92</v>
      </c>
      <c r="W2068" s="1" t="n">
        <v>0</v>
      </c>
      <c r="X2068" s="1" t="s">
        <v>2029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SAND IPAN CL AZUL MASC 21307</v>
      </c>
      <c r="AC2068" s="1" t="n">
        <v>889382</v>
      </c>
    </row>
    <row r="2069" customFormat="false" ht="12.75" hidden="false" customHeight="true" outlineLevel="0" collapsed="false">
      <c r="A2069" s="1" t="n">
        <v>3</v>
      </c>
      <c r="B2069" s="15" t="n">
        <v>46184</v>
      </c>
      <c r="C2069" s="15" t="n">
        <v>46304</v>
      </c>
      <c r="D2069" s="1" t="n">
        <v>1611</v>
      </c>
      <c r="E2069" s="1" t="s">
        <v>445</v>
      </c>
      <c r="F2069" s="1" t="n">
        <v>24</v>
      </c>
      <c r="G2069" s="1" t="s">
        <v>42</v>
      </c>
      <c r="H2069" s="1" t="n">
        <v>2110101</v>
      </c>
      <c r="I2069" s="1" t="s">
        <v>43</v>
      </c>
      <c r="J2069" s="1" t="n">
        <v>1239691</v>
      </c>
      <c r="L2069" s="1" t="n">
        <v>17714754</v>
      </c>
      <c r="M2069" s="1" t="s">
        <v>44</v>
      </c>
      <c r="N2069" s="1" t="s">
        <v>36</v>
      </c>
      <c r="P2069" s="1" t="n">
        <v>128</v>
      </c>
      <c r="Q2069" s="1" t="s">
        <v>45</v>
      </c>
      <c r="R2069" s="1" t="s">
        <v>46</v>
      </c>
      <c r="S2069" s="1" t="n">
        <v>1130101</v>
      </c>
      <c r="T2069" s="1" t="s">
        <v>47</v>
      </c>
      <c r="U2069" s="1" t="n">
        <v>1718.76</v>
      </c>
      <c r="W2069" s="1" t="n">
        <v>0</v>
      </c>
      <c r="X2069" s="1" t="s">
        <v>2030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SAND H COL PRT 43/44</v>
      </c>
      <c r="AC2069" s="1" t="n">
        <v>1771475</v>
      </c>
    </row>
    <row r="2070" customFormat="false" ht="12.75" hidden="false" customHeight="true" outlineLevel="0" collapsed="false">
      <c r="A2070" s="1" t="n">
        <v>3</v>
      </c>
      <c r="B2070" s="15" t="n">
        <v>46261</v>
      </c>
      <c r="C2070" s="15" t="n">
        <v>46304</v>
      </c>
      <c r="D2070" s="1" t="n">
        <v>10037</v>
      </c>
      <c r="E2070" s="1" t="s">
        <v>359</v>
      </c>
      <c r="F2070" s="1" t="n">
        <v>24</v>
      </c>
      <c r="G2070" s="1" t="s">
        <v>42</v>
      </c>
      <c r="H2070" s="1" t="n">
        <v>2110405</v>
      </c>
      <c r="I2070" s="1" t="s">
        <v>34</v>
      </c>
      <c r="J2070" s="1" t="n">
        <v>1618443</v>
      </c>
      <c r="L2070" s="1" t="n">
        <v>33574</v>
      </c>
      <c r="M2070" s="1" t="s">
        <v>44</v>
      </c>
      <c r="N2070" s="1" t="s">
        <v>36</v>
      </c>
      <c r="P2070" s="1" t="n">
        <v>167</v>
      </c>
      <c r="Q2070" s="1" t="s">
        <v>101</v>
      </c>
      <c r="R2070" s="1" t="s">
        <v>46</v>
      </c>
      <c r="S2070" s="1" t="n">
        <v>1130101</v>
      </c>
      <c r="T2070" s="1" t="s">
        <v>47</v>
      </c>
      <c r="U2070" s="1" t="n">
        <v>457.9</v>
      </c>
      <c r="W2070" s="1" t="n">
        <v>0</v>
      </c>
      <c r="X2070" s="1" t="s">
        <v>2031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RACAO BOLT CAES KG</v>
      </c>
      <c r="AC2070" s="1" t="n">
        <v>3357</v>
      </c>
    </row>
    <row r="2071" customFormat="false" ht="12.75" hidden="false" customHeight="true" outlineLevel="0" collapsed="false">
      <c r="A2071" s="1" t="n">
        <v>3</v>
      </c>
      <c r="B2071" s="15" t="n">
        <v>46122</v>
      </c>
      <c r="C2071" s="15" t="n">
        <v>46305</v>
      </c>
      <c r="D2071" s="1" t="n">
        <v>815</v>
      </c>
      <c r="E2071" s="1" t="s">
        <v>327</v>
      </c>
      <c r="F2071" s="1" t="n">
        <v>34</v>
      </c>
      <c r="G2071" s="1" t="s">
        <v>33</v>
      </c>
      <c r="H2071" s="1" t="n">
        <v>2110405</v>
      </c>
      <c r="I2071" s="1" t="s">
        <v>34</v>
      </c>
      <c r="J2071" s="1" t="n">
        <v>793794</v>
      </c>
      <c r="L2071" s="1" t="n">
        <v>100326</v>
      </c>
      <c r="M2071" s="1" t="s">
        <v>525</v>
      </c>
      <c r="N2071" s="1" t="s">
        <v>36</v>
      </c>
      <c r="P2071" s="1" t="n">
        <v>101</v>
      </c>
      <c r="Q2071" s="1" t="s">
        <v>37</v>
      </c>
      <c r="R2071" s="1" t="s">
        <v>139</v>
      </c>
      <c r="S2071" s="1" t="n">
        <v>2110901</v>
      </c>
      <c r="T2071" s="1" t="s">
        <v>140</v>
      </c>
      <c r="U2071" s="1" t="n">
        <v>1500</v>
      </c>
      <c r="W2071" s="1" t="n">
        <v>0</v>
      </c>
      <c r="X2071" s="1" t="s">
        <v>328</v>
      </c>
      <c r="Z2071" s="1" t="str">
        <f aca="false">IF($T2071="","",IFERROR(INDEX('Resumo Grupos'!$AC$3:$AC$200,MATCH($T2071,'Resumo Grupos'!$AB$3:$AB$200,0)),"n/d"))</f>
        <v>Empréstimo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3</v>
      </c>
      <c r="B2072" s="15" t="n">
        <v>46211</v>
      </c>
      <c r="C2072" s="15" t="n">
        <v>46305</v>
      </c>
      <c r="D2072" s="1" t="n">
        <v>33</v>
      </c>
      <c r="E2072" s="1" t="s">
        <v>71</v>
      </c>
      <c r="F2072" s="1" t="n">
        <v>34</v>
      </c>
      <c r="G2072" s="1" t="s">
        <v>33</v>
      </c>
      <c r="H2072" s="1" t="n">
        <v>2110405</v>
      </c>
      <c r="I2072" s="1" t="s">
        <v>34</v>
      </c>
      <c r="J2072" s="1" t="n">
        <v>1370731</v>
      </c>
      <c r="L2072" s="1" t="n">
        <v>213889</v>
      </c>
      <c r="M2072" s="1" t="s">
        <v>315</v>
      </c>
      <c r="N2072" s="1" t="s">
        <v>36</v>
      </c>
      <c r="P2072" s="1" t="n">
        <v>101</v>
      </c>
      <c r="Q2072" s="1" t="s">
        <v>37</v>
      </c>
      <c r="R2072" s="1" t="s">
        <v>38</v>
      </c>
      <c r="S2072" s="1" t="n">
        <v>4210222</v>
      </c>
      <c r="T2072" s="1" t="s">
        <v>1094</v>
      </c>
      <c r="U2072" s="1" t="n">
        <v>666.67</v>
      </c>
      <c r="W2072" s="1" t="n">
        <v>0</v>
      </c>
      <c r="X2072" s="1" t="s">
        <v>1095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3</v>
      </c>
      <c r="B2073" s="15" t="n">
        <v>46231</v>
      </c>
      <c r="C2073" s="15" t="n">
        <v>46305</v>
      </c>
      <c r="D2073" s="1" t="n">
        <v>1028</v>
      </c>
      <c r="E2073" s="1" t="s">
        <v>329</v>
      </c>
      <c r="F2073" s="1" t="n">
        <v>34</v>
      </c>
      <c r="G2073" s="1" t="s">
        <v>33</v>
      </c>
      <c r="H2073" s="1" t="n">
        <v>2110405</v>
      </c>
      <c r="I2073" s="1" t="s">
        <v>34</v>
      </c>
      <c r="J2073" s="1" t="n">
        <v>1464677</v>
      </c>
      <c r="L2073" s="1" t="n">
        <v>227872</v>
      </c>
      <c r="M2073" s="1" t="s">
        <v>44</v>
      </c>
      <c r="N2073" s="1" t="s">
        <v>36</v>
      </c>
      <c r="P2073" s="1" t="n">
        <v>101</v>
      </c>
      <c r="Q2073" s="1" t="s">
        <v>37</v>
      </c>
      <c r="R2073" s="1" t="s">
        <v>63</v>
      </c>
      <c r="S2073" s="1" t="n">
        <v>4210111</v>
      </c>
      <c r="T2073" s="1" t="s">
        <v>330</v>
      </c>
      <c r="U2073" s="1" t="n">
        <v>5500</v>
      </c>
      <c r="W2073" s="1" t="n">
        <v>0</v>
      </c>
      <c r="X2073" s="1" t="s">
        <v>2032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3</v>
      </c>
      <c r="B2074" s="15" t="n">
        <v>46234</v>
      </c>
      <c r="C2074" s="15" t="n">
        <v>46305</v>
      </c>
      <c r="D2074" s="1" t="n">
        <v>815</v>
      </c>
      <c r="E2074" s="1" t="s">
        <v>327</v>
      </c>
      <c r="F2074" s="1" t="n">
        <v>34</v>
      </c>
      <c r="G2074" s="1" t="s">
        <v>33</v>
      </c>
      <c r="H2074" s="1" t="n">
        <v>2110405</v>
      </c>
      <c r="I2074" s="1" t="s">
        <v>34</v>
      </c>
      <c r="J2074" s="1" t="n">
        <v>1477448</v>
      </c>
      <c r="L2074" s="1" t="n">
        <v>229731</v>
      </c>
      <c r="M2074" s="1" t="s">
        <v>244</v>
      </c>
      <c r="N2074" s="1" t="s">
        <v>36</v>
      </c>
      <c r="P2074" s="1" t="n">
        <v>101</v>
      </c>
      <c r="Q2074" s="1" t="s">
        <v>37</v>
      </c>
      <c r="R2074" s="1" t="s">
        <v>245</v>
      </c>
      <c r="S2074" s="1" t="n">
        <v>2210203</v>
      </c>
      <c r="T2074" s="1" t="s">
        <v>1532</v>
      </c>
      <c r="U2074" s="1" t="n">
        <v>75000</v>
      </c>
      <c r="W2074" s="1" t="n">
        <v>0</v>
      </c>
      <c r="X2074" s="1" t="s">
        <v>1534</v>
      </c>
      <c r="Z2074" s="1" t="str">
        <f aca="false">IF($T2074="","",IFERROR(INDEX('Resumo Grupos'!$AC$3:$AC$200,MATCH($T2074,'Resumo Grupos'!$AB$3:$AB$200,0)),"n/d"))</f>
        <v>Empréstimo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3</v>
      </c>
      <c r="B2075" s="15" t="n">
        <v>46244</v>
      </c>
      <c r="C2075" s="15" t="n">
        <v>46305</v>
      </c>
      <c r="D2075" s="1" t="n">
        <v>33</v>
      </c>
      <c r="E2075" s="1" t="s">
        <v>71</v>
      </c>
      <c r="F2075" s="1" t="n">
        <v>34</v>
      </c>
      <c r="G2075" s="1" t="s">
        <v>33</v>
      </c>
      <c r="H2075" s="1" t="n">
        <v>2110405</v>
      </c>
      <c r="I2075" s="1" t="s">
        <v>34</v>
      </c>
      <c r="J2075" s="1" t="n">
        <v>1530150</v>
      </c>
      <c r="L2075" s="1" t="n">
        <v>237338</v>
      </c>
      <c r="M2075" s="1" t="s">
        <v>150</v>
      </c>
      <c r="N2075" s="1" t="s">
        <v>36</v>
      </c>
      <c r="P2075" s="1" t="n">
        <v>101</v>
      </c>
      <c r="Q2075" s="1" t="s">
        <v>37</v>
      </c>
      <c r="R2075" s="1" t="s">
        <v>72</v>
      </c>
      <c r="S2075" s="1" t="n">
        <v>4210301</v>
      </c>
      <c r="T2075" s="1" t="s">
        <v>230</v>
      </c>
      <c r="U2075" s="1" t="n">
        <v>329.09</v>
      </c>
      <c r="W2075" s="1" t="n">
        <v>0</v>
      </c>
      <c r="X2075" s="1" t="s">
        <v>317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3</v>
      </c>
      <c r="B2076" s="15" t="n">
        <v>46258</v>
      </c>
      <c r="C2076" s="15" t="n">
        <v>46307</v>
      </c>
      <c r="D2076" s="1" t="n">
        <v>10012</v>
      </c>
      <c r="E2076" s="1" t="s">
        <v>393</v>
      </c>
      <c r="F2076" s="1" t="n">
        <v>24</v>
      </c>
      <c r="G2076" s="1" t="s">
        <v>42</v>
      </c>
      <c r="H2076" s="1" t="n">
        <v>2110405</v>
      </c>
      <c r="I2076" s="1" t="s">
        <v>34</v>
      </c>
      <c r="J2076" s="1" t="n">
        <v>1608876</v>
      </c>
      <c r="L2076" s="1" t="n">
        <v>19672745</v>
      </c>
      <c r="M2076" s="1" t="s">
        <v>44</v>
      </c>
      <c r="N2076" s="1" t="s">
        <v>36</v>
      </c>
      <c r="P2076" s="1" t="n">
        <v>167</v>
      </c>
      <c r="Q2076" s="1" t="s">
        <v>101</v>
      </c>
      <c r="R2076" s="1" t="s">
        <v>46</v>
      </c>
      <c r="S2076" s="1" t="n">
        <v>1130101</v>
      </c>
      <c r="T2076" s="1" t="s">
        <v>47</v>
      </c>
      <c r="U2076" s="1" t="n">
        <v>524.87</v>
      </c>
      <c r="W2076" s="1" t="n">
        <v>0</v>
      </c>
      <c r="X2076" s="1" t="s">
        <v>2033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SAB PHEBO ODOR90G</v>
      </c>
      <c r="AC2076" s="1" t="n">
        <v>1967274</v>
      </c>
    </row>
    <row r="2077" customFormat="false" ht="12.75" hidden="false" customHeight="true" outlineLevel="0" collapsed="false">
      <c r="A2077" s="1" t="n">
        <v>3</v>
      </c>
      <c r="B2077" s="15" t="n">
        <v>46097</v>
      </c>
      <c r="C2077" s="15" t="n">
        <v>46310</v>
      </c>
      <c r="D2077" s="1" t="n">
        <v>1867</v>
      </c>
      <c r="E2077" s="1" t="s">
        <v>425</v>
      </c>
      <c r="F2077" s="1" t="n">
        <v>24</v>
      </c>
      <c r="G2077" s="1" t="s">
        <v>42</v>
      </c>
      <c r="H2077" s="1" t="n">
        <v>2110405</v>
      </c>
      <c r="I2077" s="1" t="s">
        <v>34</v>
      </c>
      <c r="J2077" s="1" t="n">
        <v>809440</v>
      </c>
      <c r="L2077" s="1" t="n">
        <v>777006512</v>
      </c>
      <c r="M2077" s="1" t="s">
        <v>1147</v>
      </c>
      <c r="N2077" s="1" t="s">
        <v>36</v>
      </c>
      <c r="P2077" s="1" t="n">
        <v>101</v>
      </c>
      <c r="Q2077" s="1" t="s">
        <v>37</v>
      </c>
      <c r="R2077" s="1" t="s">
        <v>426</v>
      </c>
      <c r="S2077" s="1" t="n">
        <v>4210401</v>
      </c>
      <c r="T2077" s="1" t="s">
        <v>427</v>
      </c>
      <c r="U2077" s="1" t="n">
        <v>225.2</v>
      </c>
      <c r="W2077" s="1" t="n">
        <v>0</v>
      </c>
      <c r="X2077" s="1" t="s">
        <v>2034</v>
      </c>
      <c r="Z2077" s="1" t="str">
        <f aca="false">IF($T2077="","",IFERROR(INDEX('Resumo Grupos'!$AC$3:$AC$200,MATCH($T2077,'Resumo Grupos'!$AB$3:$AB$200,0)),"n/d"))</f>
        <v>Impostos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3</v>
      </c>
      <c r="B2078" s="15" t="n">
        <v>46231</v>
      </c>
      <c r="C2078" s="15" t="n">
        <v>46310</v>
      </c>
      <c r="D2078" s="1" t="n">
        <v>1893</v>
      </c>
      <c r="E2078" s="1" t="s">
        <v>442</v>
      </c>
      <c r="F2078" s="1" t="n">
        <v>34</v>
      </c>
      <c r="G2078" s="1" t="s">
        <v>33</v>
      </c>
      <c r="H2078" s="1" t="n">
        <v>2110405</v>
      </c>
      <c r="I2078" s="1" t="s">
        <v>34</v>
      </c>
      <c r="J2078" s="1" t="n">
        <v>1464910</v>
      </c>
      <c r="L2078" s="1" t="n">
        <v>227905</v>
      </c>
      <c r="M2078" s="1" t="s">
        <v>244</v>
      </c>
      <c r="N2078" s="1" t="s">
        <v>36</v>
      </c>
      <c r="P2078" s="1" t="n">
        <v>101</v>
      </c>
      <c r="Q2078" s="1" t="s">
        <v>37</v>
      </c>
      <c r="R2078" s="1" t="s">
        <v>72</v>
      </c>
      <c r="S2078" s="1" t="n">
        <v>4210315</v>
      </c>
      <c r="T2078" s="1" t="s">
        <v>438</v>
      </c>
      <c r="U2078" s="1" t="n">
        <v>177.65</v>
      </c>
      <c r="W2078" s="1" t="n">
        <v>0</v>
      </c>
      <c r="X2078" s="1" t="s">
        <v>1551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3</v>
      </c>
      <c r="B2079" s="15" t="n">
        <v>46220</v>
      </c>
      <c r="C2079" s="15" t="n">
        <v>46312</v>
      </c>
      <c r="D2079" s="1" t="n">
        <v>16</v>
      </c>
      <c r="E2079" s="1" t="s">
        <v>242</v>
      </c>
      <c r="F2079" s="1" t="n">
        <v>34</v>
      </c>
      <c r="G2079" s="1" t="s">
        <v>33</v>
      </c>
      <c r="H2079" s="1" t="n">
        <v>2110405</v>
      </c>
      <c r="I2079" s="1" t="s">
        <v>34</v>
      </c>
      <c r="J2079" s="1" t="n">
        <v>1415325</v>
      </c>
      <c r="L2079" s="1" t="n">
        <v>220522</v>
      </c>
      <c r="M2079" s="1" t="s">
        <v>244</v>
      </c>
      <c r="N2079" s="1" t="s">
        <v>36</v>
      </c>
      <c r="P2079" s="1" t="n">
        <v>101</v>
      </c>
      <c r="Q2079" s="1" t="s">
        <v>37</v>
      </c>
      <c r="R2079" s="1" t="s">
        <v>245</v>
      </c>
      <c r="S2079" s="1" t="n">
        <v>2210202</v>
      </c>
      <c r="T2079" s="1" t="s">
        <v>245</v>
      </c>
      <c r="U2079" s="1" t="n">
        <v>1000</v>
      </c>
      <c r="W2079" s="1" t="n">
        <v>0</v>
      </c>
      <c r="X2079" s="1" t="s">
        <v>1558</v>
      </c>
      <c r="Z2079" s="1" t="str">
        <f aca="false">IF($T2079="","",IFERROR(INDEX('Resumo Grupos'!$AC$3:$AC$200,MATCH($T2079,'Resumo Grupos'!$AB$3:$AB$200,0)),"n/d"))</f>
        <v>Empréstimo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3</v>
      </c>
      <c r="B2080" s="15" t="n">
        <v>46224</v>
      </c>
      <c r="C2080" s="15" t="n">
        <v>46312</v>
      </c>
      <c r="D2080" s="1" t="n">
        <v>16</v>
      </c>
      <c r="E2080" s="1" t="s">
        <v>242</v>
      </c>
      <c r="F2080" s="1" t="n">
        <v>34</v>
      </c>
      <c r="G2080" s="1" t="s">
        <v>33</v>
      </c>
      <c r="H2080" s="1" t="n">
        <v>2110405</v>
      </c>
      <c r="I2080" s="1" t="s">
        <v>34</v>
      </c>
      <c r="J2080" s="1" t="n">
        <v>1428695</v>
      </c>
      <c r="L2080" s="1" t="n">
        <v>222991</v>
      </c>
      <c r="M2080" s="1" t="s">
        <v>244</v>
      </c>
      <c r="N2080" s="1" t="s">
        <v>36</v>
      </c>
      <c r="P2080" s="1" t="n">
        <v>101</v>
      </c>
      <c r="Q2080" s="1" t="s">
        <v>37</v>
      </c>
      <c r="R2080" s="1" t="s">
        <v>245</v>
      </c>
      <c r="S2080" s="1" t="n">
        <v>2210202</v>
      </c>
      <c r="T2080" s="1" t="s">
        <v>245</v>
      </c>
      <c r="U2080" s="1" t="n">
        <v>3000</v>
      </c>
      <c r="W2080" s="1" t="n">
        <v>0</v>
      </c>
      <c r="X2080" s="1" t="s">
        <v>2035</v>
      </c>
      <c r="Z2080" s="1" t="str">
        <f aca="false">IF($T2080="","",IFERROR(INDEX('Resumo Grupos'!$AC$3:$AC$200,MATCH($T2080,'Resumo Grupos'!$AB$3:$AB$200,0)),"n/d"))</f>
        <v>Empréstimo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3</v>
      </c>
      <c r="B2081" s="15" t="n">
        <v>46231</v>
      </c>
      <c r="C2081" s="15" t="n">
        <v>46312</v>
      </c>
      <c r="D2081" s="1" t="n">
        <v>1354</v>
      </c>
      <c r="E2081" s="1" t="s">
        <v>1563</v>
      </c>
      <c r="F2081" s="1" t="n">
        <v>60</v>
      </c>
      <c r="G2081" s="1" t="s">
        <v>1564</v>
      </c>
      <c r="H2081" s="1" t="n">
        <v>2110405</v>
      </c>
      <c r="I2081" s="1" t="s">
        <v>34</v>
      </c>
      <c r="J2081" s="1" t="n">
        <v>1468251</v>
      </c>
      <c r="L2081" s="1" t="n">
        <v>13391</v>
      </c>
      <c r="M2081" s="1" t="s">
        <v>44</v>
      </c>
      <c r="N2081" s="1" t="s">
        <v>36</v>
      </c>
      <c r="P2081" s="1" t="n">
        <v>167</v>
      </c>
      <c r="Q2081" s="1" t="s">
        <v>101</v>
      </c>
      <c r="R2081" s="1" t="s">
        <v>38</v>
      </c>
      <c r="S2081" s="1" t="n">
        <v>4210227</v>
      </c>
      <c r="T2081" s="1" t="s">
        <v>196</v>
      </c>
      <c r="U2081" s="1" t="n">
        <v>121.66</v>
      </c>
      <c r="W2081" s="1" t="n">
        <v>0</v>
      </c>
      <c r="X2081" s="1" t="s">
        <v>2036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ADUELA ANGELIM 13CM</v>
      </c>
      <c r="AC2081" s="1" t="n">
        <v>1339</v>
      </c>
    </row>
    <row r="2082" customFormat="false" ht="12.75" hidden="false" customHeight="true" outlineLevel="0" collapsed="false">
      <c r="A2082" s="1" t="n">
        <v>3</v>
      </c>
      <c r="B2082" s="15" t="n">
        <v>45950</v>
      </c>
      <c r="C2082" s="15" t="n">
        <v>46313</v>
      </c>
      <c r="D2082" s="1" t="n">
        <v>515</v>
      </c>
      <c r="E2082" s="1" t="s">
        <v>105</v>
      </c>
      <c r="F2082" s="1" t="n">
        <v>34</v>
      </c>
      <c r="G2082" s="1" t="s">
        <v>33</v>
      </c>
      <c r="H2082" s="1" t="n">
        <v>2110405</v>
      </c>
      <c r="I2082" s="1" t="s">
        <v>34</v>
      </c>
      <c r="J2082" s="1" t="n">
        <v>546000</v>
      </c>
      <c r="L2082" s="1" t="n">
        <v>85577</v>
      </c>
      <c r="M2082" s="1" t="s">
        <v>2037</v>
      </c>
      <c r="N2082" s="1" t="s">
        <v>36</v>
      </c>
      <c r="P2082" s="1" t="n">
        <v>101</v>
      </c>
      <c r="Q2082" s="1" t="s">
        <v>37</v>
      </c>
      <c r="R2082" s="1" t="s">
        <v>38</v>
      </c>
      <c r="S2082" s="1" t="n">
        <v>4210210</v>
      </c>
      <c r="T2082" s="1" t="s">
        <v>39</v>
      </c>
      <c r="U2082" s="1" t="n">
        <v>45.73</v>
      </c>
      <c r="W2082" s="1" t="n">
        <v>0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3</v>
      </c>
      <c r="B2083" s="15" t="n">
        <v>46009</v>
      </c>
      <c r="C2083" s="15" t="n">
        <v>46313</v>
      </c>
      <c r="D2083" s="1" t="n">
        <v>515</v>
      </c>
      <c r="E2083" s="1" t="s">
        <v>105</v>
      </c>
      <c r="F2083" s="1" t="n">
        <v>34</v>
      </c>
      <c r="G2083" s="1" t="s">
        <v>33</v>
      </c>
      <c r="H2083" s="1" t="n">
        <v>2110405</v>
      </c>
      <c r="I2083" s="1" t="s">
        <v>34</v>
      </c>
      <c r="J2083" s="1" t="n">
        <v>818253</v>
      </c>
      <c r="L2083" s="1" t="n">
        <v>129421</v>
      </c>
      <c r="M2083" s="1" t="s">
        <v>1582</v>
      </c>
      <c r="N2083" s="1" t="s">
        <v>36</v>
      </c>
      <c r="P2083" s="1" t="n">
        <v>102</v>
      </c>
      <c r="Q2083" s="1" t="s">
        <v>186</v>
      </c>
      <c r="R2083" s="1" t="s">
        <v>139</v>
      </c>
      <c r="S2083" s="1" t="n">
        <v>2110901</v>
      </c>
      <c r="T2083" s="1" t="s">
        <v>140</v>
      </c>
      <c r="U2083" s="1" t="n">
        <v>2090.82</v>
      </c>
      <c r="W2083" s="1" t="n">
        <v>0</v>
      </c>
      <c r="X2083" s="1" t="s">
        <v>2038</v>
      </c>
      <c r="Z2083" s="1" t="str">
        <f aca="false">IF($T2083="","",IFERROR(INDEX('Resumo Grupos'!$AC$3:$AC$200,MATCH($T2083,'Resumo Grupos'!$AB$3:$AB$200,0)),"n/d"))</f>
        <v>Empréstimo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3</v>
      </c>
      <c r="B2084" s="15" t="n">
        <v>46206</v>
      </c>
      <c r="C2084" s="15" t="n">
        <v>46313</v>
      </c>
      <c r="D2084" s="1" t="n">
        <v>33</v>
      </c>
      <c r="E2084" s="1" t="s">
        <v>71</v>
      </c>
      <c r="F2084" s="1" t="n">
        <v>34</v>
      </c>
      <c r="G2084" s="1" t="s">
        <v>33</v>
      </c>
      <c r="H2084" s="1" t="n">
        <v>2110405</v>
      </c>
      <c r="I2084" s="1" t="s">
        <v>34</v>
      </c>
      <c r="J2084" s="1" t="n">
        <v>1345342</v>
      </c>
      <c r="L2084" s="1" t="n">
        <v>210000</v>
      </c>
      <c r="M2084" s="1" t="s">
        <v>315</v>
      </c>
      <c r="N2084" s="1" t="s">
        <v>36</v>
      </c>
      <c r="P2084" s="1" t="n">
        <v>101</v>
      </c>
      <c r="Q2084" s="1" t="s">
        <v>37</v>
      </c>
      <c r="R2084" s="1" t="s">
        <v>38</v>
      </c>
      <c r="S2084" s="1" t="n">
        <v>4210203</v>
      </c>
      <c r="T2084" s="1" t="s">
        <v>817</v>
      </c>
      <c r="U2084" s="1" t="n">
        <v>373.79</v>
      </c>
      <c r="W2084" s="1" t="n">
        <v>0</v>
      </c>
      <c r="X2084" s="1" t="s">
        <v>1140</v>
      </c>
      <c r="Z2084" s="1" t="str">
        <f aca="false">IF($T2084="","",IFERROR(INDEX('Resumo Grupos'!$AC$3:$AC$200,MATCH($T2084,'Resumo Grupos'!$AB$3:$AB$200,0)),"n/d"))</f>
        <v>Despesa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3</v>
      </c>
      <c r="B2085" s="15" t="n">
        <v>46011</v>
      </c>
      <c r="C2085" s="15" t="n">
        <v>46315</v>
      </c>
      <c r="D2085" s="1" t="n">
        <v>514</v>
      </c>
      <c r="E2085" s="1" t="s">
        <v>32</v>
      </c>
      <c r="F2085" s="1" t="n">
        <v>34</v>
      </c>
      <c r="G2085" s="1" t="s">
        <v>33</v>
      </c>
      <c r="H2085" s="1" t="n">
        <v>2110405</v>
      </c>
      <c r="I2085" s="1" t="s">
        <v>34</v>
      </c>
      <c r="J2085" s="1" t="n">
        <v>695960</v>
      </c>
      <c r="L2085" s="1" t="n">
        <v>3</v>
      </c>
      <c r="M2085" s="1" t="s">
        <v>1990</v>
      </c>
      <c r="N2085" s="1" t="s">
        <v>36</v>
      </c>
      <c r="P2085" s="1" t="n">
        <v>101</v>
      </c>
      <c r="Q2085" s="1" t="s">
        <v>37</v>
      </c>
      <c r="R2085" s="1" t="s">
        <v>38</v>
      </c>
      <c r="S2085" s="1" t="n">
        <v>4210210</v>
      </c>
      <c r="T2085" s="1" t="s">
        <v>39</v>
      </c>
      <c r="U2085" s="1" t="n">
        <v>807.37</v>
      </c>
      <c r="W2085" s="1" t="n">
        <v>0</v>
      </c>
      <c r="X2085" s="1" t="s">
        <v>2039</v>
      </c>
      <c r="Z2085" s="1" t="str">
        <f aca="false">IF($T2085="","",IFERROR(INDEX('Resumo Grupos'!$AC$3:$AC$200,MATCH($T2085,'Resumo Grupos'!$AB$3:$AB$200,0)),"n/d"))</f>
        <v>Despesa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3</v>
      </c>
      <c r="B2086" s="15" t="n">
        <v>46223</v>
      </c>
      <c r="C2086" s="15" t="n">
        <v>46315</v>
      </c>
      <c r="D2086" s="1" t="n">
        <v>17</v>
      </c>
      <c r="E2086" s="1" t="s">
        <v>1291</v>
      </c>
      <c r="F2086" s="1" t="n">
        <v>34</v>
      </c>
      <c r="G2086" s="1" t="s">
        <v>33</v>
      </c>
      <c r="H2086" s="1" t="n">
        <v>2110405</v>
      </c>
      <c r="I2086" s="1" t="s">
        <v>34</v>
      </c>
      <c r="J2086" s="1" t="n">
        <v>1464473</v>
      </c>
      <c r="L2086" s="1" t="n">
        <v>227845</v>
      </c>
      <c r="M2086" s="1" t="s">
        <v>315</v>
      </c>
      <c r="N2086" s="1" t="s">
        <v>36</v>
      </c>
      <c r="P2086" s="1" t="n">
        <v>101</v>
      </c>
      <c r="Q2086" s="1" t="s">
        <v>37</v>
      </c>
      <c r="R2086" s="1" t="s">
        <v>203</v>
      </c>
      <c r="S2086" s="1" t="n">
        <v>4220199</v>
      </c>
      <c r="T2086" s="1" t="s">
        <v>204</v>
      </c>
      <c r="U2086" s="1" t="n">
        <v>2600</v>
      </c>
      <c r="W2086" s="1" t="n">
        <v>0</v>
      </c>
      <c r="X2086" s="1" t="s">
        <v>1292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3</v>
      </c>
      <c r="B2087" s="15" t="n">
        <v>46231</v>
      </c>
      <c r="C2087" s="15" t="n">
        <v>46315</v>
      </c>
      <c r="D2087" s="1" t="n">
        <v>10028</v>
      </c>
      <c r="E2087" s="1" t="s">
        <v>590</v>
      </c>
      <c r="F2087" s="1" t="n">
        <v>24</v>
      </c>
      <c r="G2087" s="1" t="s">
        <v>42</v>
      </c>
      <c r="H2087" s="1" t="n">
        <v>2110405</v>
      </c>
      <c r="I2087" s="1" t="s">
        <v>34</v>
      </c>
      <c r="J2087" s="1" t="n">
        <v>1464619</v>
      </c>
      <c r="L2087" s="1" t="n">
        <v>227869</v>
      </c>
      <c r="M2087" s="1" t="s">
        <v>244</v>
      </c>
      <c r="N2087" s="1" t="s">
        <v>36</v>
      </c>
      <c r="P2087" s="1" t="n">
        <v>101</v>
      </c>
      <c r="Q2087" s="1" t="s">
        <v>37</v>
      </c>
      <c r="R2087" s="1" t="s">
        <v>72</v>
      </c>
      <c r="S2087" s="1" t="n">
        <v>4210315</v>
      </c>
      <c r="T2087" s="1" t="s">
        <v>438</v>
      </c>
      <c r="U2087" s="1" t="n">
        <v>595.9</v>
      </c>
      <c r="W2087" s="1" t="n">
        <v>0</v>
      </c>
      <c r="X2087" s="1" t="s">
        <v>591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3</v>
      </c>
      <c r="B2088" s="15" t="n">
        <v>46044</v>
      </c>
      <c r="C2088" s="15" t="n">
        <v>46317</v>
      </c>
      <c r="D2088" s="1" t="n">
        <v>514</v>
      </c>
      <c r="E2088" s="1" t="s">
        <v>32</v>
      </c>
      <c r="F2088" s="1" t="n">
        <v>34</v>
      </c>
      <c r="G2088" s="1" t="s">
        <v>33</v>
      </c>
      <c r="H2088" s="1" t="n">
        <v>2110405</v>
      </c>
      <c r="I2088" s="1" t="s">
        <v>34</v>
      </c>
      <c r="J2088" s="1" t="n">
        <v>1306220</v>
      </c>
      <c r="L2088" s="1" t="n">
        <v>203991</v>
      </c>
      <c r="M2088" s="1" t="s">
        <v>1582</v>
      </c>
      <c r="N2088" s="1" t="s">
        <v>36</v>
      </c>
      <c r="P2088" s="1" t="n">
        <v>101</v>
      </c>
      <c r="Q2088" s="1" t="s">
        <v>37</v>
      </c>
      <c r="R2088" s="1" t="s">
        <v>139</v>
      </c>
      <c r="S2088" s="1" t="n">
        <v>2110901</v>
      </c>
      <c r="T2088" s="1" t="s">
        <v>140</v>
      </c>
      <c r="U2088" s="1" t="n">
        <v>6601.19</v>
      </c>
      <c r="W2088" s="1" t="n">
        <v>0</v>
      </c>
      <c r="X2088" s="1" t="s">
        <v>2040</v>
      </c>
      <c r="Z2088" s="1" t="str">
        <f aca="false">IF($T2088="","",IFERROR(INDEX('Resumo Grupos'!$AC$3:$AC$200,MATCH($T2088,'Resumo Grupos'!$AB$3:$AB$200,0)),"n/d"))</f>
        <v>Empréstimo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3</v>
      </c>
      <c r="B2089" s="15" t="n">
        <v>46224</v>
      </c>
      <c r="C2089" s="15" t="n">
        <v>46317</v>
      </c>
      <c r="D2089" s="1" t="n">
        <v>1929</v>
      </c>
      <c r="E2089" s="1" t="s">
        <v>1665</v>
      </c>
      <c r="F2089" s="1" t="n">
        <v>34</v>
      </c>
      <c r="G2089" s="1" t="s">
        <v>33</v>
      </c>
      <c r="H2089" s="1" t="n">
        <v>2110405</v>
      </c>
      <c r="I2089" s="1" t="s">
        <v>34</v>
      </c>
      <c r="J2089" s="1" t="n">
        <v>1428714</v>
      </c>
      <c r="L2089" s="1" t="n">
        <v>222992</v>
      </c>
      <c r="M2089" s="1" t="s">
        <v>244</v>
      </c>
      <c r="N2089" s="1" t="s">
        <v>36</v>
      </c>
      <c r="P2089" s="1" t="n">
        <v>101</v>
      </c>
      <c r="Q2089" s="1" t="s">
        <v>37</v>
      </c>
      <c r="R2089" s="1" t="s">
        <v>38</v>
      </c>
      <c r="S2089" s="1" t="n">
        <v>4210299</v>
      </c>
      <c r="T2089" s="1" t="s">
        <v>1079</v>
      </c>
      <c r="U2089" s="1" t="n">
        <v>95.43</v>
      </c>
      <c r="W2089" s="1" t="n">
        <v>0</v>
      </c>
      <c r="X2089" s="1" t="s">
        <v>1666</v>
      </c>
      <c r="Z2089" s="1" t="str">
        <f aca="false">IF($T2089="","",IFERROR(INDEX('Resumo Grupos'!$AC$3:$AC$200,MATCH($T2089,'Resumo Grupos'!$AB$3:$AB$200,0)),"n/d"))</f>
        <v>Despesa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3</v>
      </c>
      <c r="B2090" s="15" t="n">
        <v>46224</v>
      </c>
      <c r="C2090" s="15" t="n">
        <v>46317</v>
      </c>
      <c r="D2090" s="1" t="n">
        <v>1929</v>
      </c>
      <c r="E2090" s="1" t="s">
        <v>1665</v>
      </c>
      <c r="F2090" s="1" t="n">
        <v>34</v>
      </c>
      <c r="G2090" s="1" t="s">
        <v>33</v>
      </c>
      <c r="H2090" s="1" t="n">
        <v>2110405</v>
      </c>
      <c r="I2090" s="1" t="s">
        <v>34</v>
      </c>
      <c r="J2090" s="1" t="n">
        <v>1428721</v>
      </c>
      <c r="L2090" s="1" t="n">
        <v>222993</v>
      </c>
      <c r="M2090" s="1" t="s">
        <v>244</v>
      </c>
      <c r="N2090" s="1" t="s">
        <v>36</v>
      </c>
      <c r="P2090" s="1" t="n">
        <v>101</v>
      </c>
      <c r="Q2090" s="1" t="s">
        <v>37</v>
      </c>
      <c r="R2090" s="1" t="s">
        <v>38</v>
      </c>
      <c r="S2090" s="1" t="n">
        <v>4210299</v>
      </c>
      <c r="T2090" s="1" t="s">
        <v>1079</v>
      </c>
      <c r="U2090" s="1" t="n">
        <v>102.37</v>
      </c>
      <c r="W2090" s="1" t="n">
        <v>0</v>
      </c>
      <c r="X2090" s="1" t="s">
        <v>1667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3</v>
      </c>
      <c r="B2091" s="15" t="n">
        <v>46224</v>
      </c>
      <c r="C2091" s="15" t="n">
        <v>46317</v>
      </c>
      <c r="D2091" s="1" t="n">
        <v>514</v>
      </c>
      <c r="E2091" s="1" t="s">
        <v>32</v>
      </c>
      <c r="F2091" s="1" t="n">
        <v>34</v>
      </c>
      <c r="G2091" s="1" t="s">
        <v>33</v>
      </c>
      <c r="H2091" s="1" t="n">
        <v>2110405</v>
      </c>
      <c r="I2091" s="1" t="s">
        <v>34</v>
      </c>
      <c r="J2091" s="1" t="n">
        <v>1428727</v>
      </c>
      <c r="L2091" s="1" t="n">
        <v>222994</v>
      </c>
      <c r="M2091" s="1" t="s">
        <v>244</v>
      </c>
      <c r="N2091" s="1" t="s">
        <v>36</v>
      </c>
      <c r="P2091" s="1" t="n">
        <v>101</v>
      </c>
      <c r="Q2091" s="1" t="s">
        <v>37</v>
      </c>
      <c r="R2091" s="1" t="s">
        <v>85</v>
      </c>
      <c r="S2091" s="1" t="n">
        <v>4210504</v>
      </c>
      <c r="T2091" s="1" t="s">
        <v>142</v>
      </c>
      <c r="U2091" s="1" t="n">
        <v>240</v>
      </c>
      <c r="W2091" s="1" t="n">
        <v>0</v>
      </c>
      <c r="X2091" s="1" t="s">
        <v>1668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3</v>
      </c>
      <c r="B2092" s="15" t="n">
        <v>46224</v>
      </c>
      <c r="C2092" s="15" t="n">
        <v>46317</v>
      </c>
      <c r="D2092" s="1" t="n">
        <v>1000036</v>
      </c>
      <c r="E2092" s="1" t="s">
        <v>1669</v>
      </c>
      <c r="F2092" s="1" t="n">
        <v>34</v>
      </c>
      <c r="G2092" s="1" t="s">
        <v>33</v>
      </c>
      <c r="H2092" s="1" t="n">
        <v>2110405</v>
      </c>
      <c r="I2092" s="1" t="s">
        <v>34</v>
      </c>
      <c r="J2092" s="1" t="n">
        <v>1428747</v>
      </c>
      <c r="L2092" s="1" t="n">
        <v>222995</v>
      </c>
      <c r="M2092" s="1" t="s">
        <v>244</v>
      </c>
      <c r="N2092" s="1" t="s">
        <v>36</v>
      </c>
      <c r="P2092" s="1" t="n">
        <v>101</v>
      </c>
      <c r="Q2092" s="1" t="s">
        <v>37</v>
      </c>
      <c r="R2092" s="1" t="s">
        <v>38</v>
      </c>
      <c r="S2092" s="1" t="n">
        <v>4210299</v>
      </c>
      <c r="T2092" s="1" t="s">
        <v>1079</v>
      </c>
      <c r="U2092" s="1" t="n">
        <v>2929.65</v>
      </c>
      <c r="W2092" s="1" t="n">
        <v>0</v>
      </c>
      <c r="X2092" s="1" t="s">
        <v>1670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3</v>
      </c>
      <c r="B2093" s="15" t="n">
        <v>46224</v>
      </c>
      <c r="C2093" s="15" t="n">
        <v>46317</v>
      </c>
      <c r="D2093" s="1" t="n">
        <v>1929</v>
      </c>
      <c r="E2093" s="1" t="s">
        <v>1665</v>
      </c>
      <c r="F2093" s="1" t="n">
        <v>34</v>
      </c>
      <c r="G2093" s="1" t="s">
        <v>33</v>
      </c>
      <c r="H2093" s="1" t="n">
        <v>2110405</v>
      </c>
      <c r="I2093" s="1" t="s">
        <v>34</v>
      </c>
      <c r="J2093" s="1" t="n">
        <v>1428753</v>
      </c>
      <c r="L2093" s="1" t="n">
        <v>222996</v>
      </c>
      <c r="M2093" s="1" t="s">
        <v>244</v>
      </c>
      <c r="N2093" s="1" t="s">
        <v>36</v>
      </c>
      <c r="P2093" s="1" t="n">
        <v>101</v>
      </c>
      <c r="Q2093" s="1" t="s">
        <v>37</v>
      </c>
      <c r="R2093" s="1" t="s">
        <v>85</v>
      </c>
      <c r="S2093" s="1" t="n">
        <v>4210504</v>
      </c>
      <c r="T2093" s="1" t="s">
        <v>142</v>
      </c>
      <c r="U2093" s="1" t="n">
        <v>420</v>
      </c>
      <c r="W2093" s="1" t="n">
        <v>0</v>
      </c>
      <c r="X2093" s="1" t="s">
        <v>1671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3</v>
      </c>
      <c r="B2094" s="15" t="n">
        <v>46231</v>
      </c>
      <c r="C2094" s="15" t="n">
        <v>46320</v>
      </c>
      <c r="D2094" s="1" t="n">
        <v>875</v>
      </c>
      <c r="E2094" s="1" t="s">
        <v>630</v>
      </c>
      <c r="F2094" s="1" t="n">
        <v>59</v>
      </c>
      <c r="G2094" s="1" t="s">
        <v>1252</v>
      </c>
      <c r="H2094" s="1" t="n">
        <v>2110405</v>
      </c>
      <c r="I2094" s="1" t="s">
        <v>34</v>
      </c>
      <c r="J2094" s="1" t="n">
        <v>1472843</v>
      </c>
      <c r="L2094" s="1" t="n">
        <v>18873</v>
      </c>
      <c r="M2094" s="1" t="s">
        <v>44</v>
      </c>
      <c r="N2094" s="1" t="s">
        <v>36</v>
      </c>
      <c r="P2094" s="1" t="n">
        <v>167</v>
      </c>
      <c r="Q2094" s="1" t="s">
        <v>101</v>
      </c>
      <c r="R2094" s="1" t="s">
        <v>46</v>
      </c>
      <c r="S2094" s="1" t="n">
        <v>1130101</v>
      </c>
      <c r="T2094" s="1" t="s">
        <v>47</v>
      </c>
      <c r="U2094" s="1" t="n">
        <v>1615.17</v>
      </c>
      <c r="W2094" s="1" t="n">
        <v>0</v>
      </c>
      <c r="X2094" s="1" t="s">
        <v>1712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FONE OUVIDO BASIKE F</v>
      </c>
      <c r="AC2094" s="1" t="n">
        <v>1887</v>
      </c>
    </row>
    <row r="2095" customFormat="false" ht="12.75" hidden="false" customHeight="true" outlineLevel="0" collapsed="false">
      <c r="A2095" s="1" t="n">
        <v>3</v>
      </c>
      <c r="B2095" s="15" t="n">
        <v>46237</v>
      </c>
      <c r="C2095" s="15" t="n">
        <v>46320</v>
      </c>
      <c r="D2095" s="1" t="n">
        <v>10101</v>
      </c>
      <c r="E2095" s="1" t="s">
        <v>1713</v>
      </c>
      <c r="F2095" s="1" t="n">
        <v>59</v>
      </c>
      <c r="G2095" s="1" t="s">
        <v>1252</v>
      </c>
      <c r="H2095" s="1" t="n">
        <v>2110405</v>
      </c>
      <c r="I2095" s="1" t="s">
        <v>34</v>
      </c>
      <c r="J2095" s="1" t="n">
        <v>1498495</v>
      </c>
      <c r="L2095" s="1" t="n">
        <v>232742</v>
      </c>
      <c r="M2095" s="1" t="s">
        <v>44</v>
      </c>
      <c r="N2095" s="1" t="s">
        <v>36</v>
      </c>
      <c r="P2095" s="1" t="n">
        <v>167</v>
      </c>
      <c r="Q2095" s="1" t="s">
        <v>101</v>
      </c>
      <c r="R2095" s="1" t="s">
        <v>38</v>
      </c>
      <c r="S2095" s="1" t="n">
        <v>4210227</v>
      </c>
      <c r="T2095" s="1" t="s">
        <v>196</v>
      </c>
      <c r="U2095" s="1" t="n">
        <v>256.8</v>
      </c>
      <c r="W2095" s="1" t="n">
        <v>0</v>
      </c>
      <c r="X2095" s="1" t="s">
        <v>2041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SMARTPHONE MOTOROLA G06 4/128GB AZ</v>
      </c>
      <c r="AC2095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2042</v>
      </c>
      <c r="D1" s="19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7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7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7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7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7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7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7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7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7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7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7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7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7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7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7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7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7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7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7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7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7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7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7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7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7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7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7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7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7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7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7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7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7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7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7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7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7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7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7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7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7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7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7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7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7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7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7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7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7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7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7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7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7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7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7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7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7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7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7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7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7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7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7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7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7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7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7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7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7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7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7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7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7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7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7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7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7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7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7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7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7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7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7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7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7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7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7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7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7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7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7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7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7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7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7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7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7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7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7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7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7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7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SILVA DISTRIBUIDORA</v>
      </c>
      <c r="C924" s="17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7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7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7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7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7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7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7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7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7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7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7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7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7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7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7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7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7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7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7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7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7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7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7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7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7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7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7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7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7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7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7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7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7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7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7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7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7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7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7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7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7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7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7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7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7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7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7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7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7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7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7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7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7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7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7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7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7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7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7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7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7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7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7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7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7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7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7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7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7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7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7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7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7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7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7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7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7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7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7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7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7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7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7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7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7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7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7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7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7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7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7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7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7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7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7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7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7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7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7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7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7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7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7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7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7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7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7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7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7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7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7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7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7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7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7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7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7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7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7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7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7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7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7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7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7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7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7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7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7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7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7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7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7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7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7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7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7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7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7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7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7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7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7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7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7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7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7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7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7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7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7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7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7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7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7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7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7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7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7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7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7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7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7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7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7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7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7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7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7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7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7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7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7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7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7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7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7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7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7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7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7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SILVA DISTRIBUIDORA</v>
      </c>
      <c r="C1106" s="17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7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7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7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7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7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7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7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7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7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7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7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7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7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7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7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7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7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7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7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7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7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7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7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7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7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7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7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7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7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7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7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7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7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7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7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7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7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7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7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7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7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7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7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7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7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7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7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7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7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7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7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7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7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7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7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7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7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7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7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7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7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7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7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7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7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7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7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7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7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7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7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7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7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7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7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7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7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7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7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7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7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7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7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7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7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7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7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7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7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7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7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7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7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7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7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7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7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7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7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7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7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7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7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7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7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7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7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7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7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7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7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7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7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7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7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7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7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7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7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7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7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7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7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7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7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7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7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7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7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7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7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7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7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7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7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7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7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7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7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7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7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7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7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7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7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7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7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7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7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7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7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7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7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7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7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7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7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7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7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7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7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7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7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7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7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7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7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7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7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7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7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7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7" t="n">
        <f aca="false">Report!U1656</f>
        <v>884</v>
      </c>
      <c r="D1279" s="1" t="str">
        <f aca="false">Report!X1656</f>
        <v>COMPRAS CARVAO - ALICIA</v>
      </c>
    </row>
    <row r="1280" customFormat="false" ht="12.75" hidden="false" customHeight="true" outlineLevel="0" collapsed="false">
      <c r="A1280" s="16" t="n">
        <f aca="false">Report!C1657</f>
        <v>46255</v>
      </c>
      <c r="B1280" s="1" t="str">
        <f aca="false">Report!E1657</f>
        <v>60.729.628 LAURENA NUNES CALIXTO</v>
      </c>
      <c r="C1280" s="17" t="n">
        <f aca="false">Report!U1657</f>
        <v>180</v>
      </c>
      <c r="D1280" s="1" t="str">
        <f aca="false">Report!X1657</f>
        <v>COMPRAS BRIGADEIRO - ALICIA</v>
      </c>
    </row>
    <row r="1281" customFormat="false" ht="12.75" hidden="false" customHeight="true" outlineLevel="0" collapsed="false">
      <c r="A1281" s="16" t="n">
        <f aca="false">Report!C1660</f>
        <v>46256</v>
      </c>
      <c r="B1281" s="1" t="str">
        <f aca="false">Report!E1660</f>
        <v>FORTVET DISTRIBUIDORA LTDA</v>
      </c>
      <c r="C1281" s="17" t="n">
        <f aca="false">Report!U1660</f>
        <v>565.02</v>
      </c>
      <c r="D1281" s="1" t="str">
        <f aca="false">Report!X1660</f>
        <v>NF 2751 4/4 - ALICIA </v>
      </c>
    </row>
    <row r="1282" customFormat="false" ht="12.75" hidden="false" customHeight="true" outlineLevel="0" collapsed="false">
      <c r="A1282" s="16" t="n">
        <f aca="false">Report!C1666</f>
        <v>46256</v>
      </c>
      <c r="B1282" s="1" t="str">
        <f aca="false">Report!E1666</f>
        <v>L S M COMERCIO DE ALIMENTOS E NAVEGACAO</v>
      </c>
      <c r="C1282" s="17" t="n">
        <f aca="false">Report!U1666</f>
        <v>894.34</v>
      </c>
      <c r="D1282" s="1" t="str">
        <f aca="false">Report!X1666</f>
        <v>NF 308737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DISTRIBUIDORA LOPES LTDA</v>
      </c>
      <c r="C1283" s="17" t="n">
        <f aca="false">Report!U1667</f>
        <v>832.25</v>
      </c>
      <c r="D1283" s="1" t="str">
        <f aca="false">Report!X1667</f>
        <v>NF 1699133 3/3 - ALICIA</v>
      </c>
    </row>
    <row r="1284" customFormat="false" ht="12.75" hidden="false" customHeight="true" outlineLevel="0" collapsed="false">
      <c r="A1284" s="16" t="n">
        <f aca="false">Report!C1669</f>
        <v>46256</v>
      </c>
      <c r="B1284" s="1" t="str">
        <f aca="false">Report!E1669</f>
        <v>L S M COMERCIO DE ALIMENTOS E NAVEGACAO</v>
      </c>
      <c r="C1284" s="17" t="n">
        <f aca="false">Report!U1669</f>
        <v>983.7</v>
      </c>
      <c r="D1284" s="1" t="str">
        <f aca="false">Report!X1669</f>
        <v>NF 309542 2/3- ALICIA</v>
      </c>
    </row>
    <row r="1285" customFormat="false" ht="12.75" hidden="false" customHeight="true" outlineLevel="0" collapsed="false">
      <c r="A1285" s="16" t="n">
        <f aca="false">Report!C1670</f>
        <v>46256</v>
      </c>
      <c r="B1285" s="1" t="str">
        <f aca="false">Report!E1670</f>
        <v>PIARARA COMERCIO, IMPORTACAO E EXPORTACAO LTDA</v>
      </c>
      <c r="C1285" s="17" t="n">
        <f aca="false">Report!U1670</f>
        <v>1191.81</v>
      </c>
      <c r="D1285" s="1" t="str">
        <f aca="false">Report!X1670</f>
        <v>NF 195089 2/3 - ALICIA</v>
      </c>
    </row>
    <row r="1286" customFormat="false" ht="12.75" hidden="false" customHeight="true" outlineLevel="0" collapsed="false">
      <c r="A1286" s="16" t="n">
        <f aca="false">Report!C1671</f>
        <v>46256</v>
      </c>
      <c r="B1286" s="1" t="str">
        <f aca="false">Report!E1671</f>
        <v>VICTORIA COMERCIO INTERNACIONAL DE ALIME</v>
      </c>
      <c r="C1286" s="17" t="n">
        <f aca="false">Report!U1671</f>
        <v>481.15</v>
      </c>
      <c r="D1286" s="1" t="str">
        <f aca="false">Report!X1671</f>
        <v>NF 12548 2/3 - ALICIA</v>
      </c>
    </row>
    <row r="1287" customFormat="false" ht="12.75" hidden="false" customHeight="true" outlineLevel="0" collapsed="false">
      <c r="A1287" s="16" t="n">
        <f aca="false">Report!C1672</f>
        <v>46256</v>
      </c>
      <c r="B1287" s="1" t="str">
        <f aca="false">Report!E1672</f>
        <v>DISTRIBUIDORA LOPES LTDA</v>
      </c>
      <c r="C1287" s="17" t="n">
        <f aca="false">Report!U1672</f>
        <v>362.68</v>
      </c>
      <c r="D1287" s="1" t="str">
        <f aca="false">Report!X1672</f>
        <v>NF 1703152 2/3 - ALICIA</v>
      </c>
    </row>
    <row r="1288" customFormat="false" ht="12.75" hidden="false" customHeight="true" outlineLevel="0" collapsed="false">
      <c r="A1288" s="16" t="n">
        <f aca="false">Report!C1673</f>
        <v>46256</v>
      </c>
      <c r="B1288" s="1" t="str">
        <f aca="false">Report!E1673</f>
        <v>MARE DISTRIBUIDORA DE BEBIDAS E DE PRODUTOS ALIMENTICIOS LTDA</v>
      </c>
      <c r="C1288" s="17" t="n">
        <f aca="false">Report!U1673</f>
        <v>725.05</v>
      </c>
      <c r="D1288" s="1" t="str">
        <f aca="false">Report!X1673</f>
        <v>NF 1413401 2/2 - ALICIA</v>
      </c>
    </row>
    <row r="1289" customFormat="false" ht="12.75" hidden="false" customHeight="true" outlineLevel="0" collapsed="false">
      <c r="A1289" s="16" t="n">
        <f aca="false">Report!C1674</f>
        <v>46256</v>
      </c>
      <c r="B1289" s="1" t="str">
        <f aca="false">Report!E1674</f>
        <v>L S M COMERCIO DE ALIMENTOS E NAVEGACAO</v>
      </c>
      <c r="C1289" s="17" t="n">
        <f aca="false">Report!U1674</f>
        <v>986.03</v>
      </c>
      <c r="D1289" s="1" t="str">
        <f aca="false">Report!X1674</f>
        <v>NF 310154 1/3 - ALICIA</v>
      </c>
    </row>
    <row r="1290" customFormat="false" ht="12.75" hidden="false" customHeight="true" outlineLevel="0" collapsed="false">
      <c r="A1290" s="16" t="n">
        <f aca="false">Report!C1675</f>
        <v>46256</v>
      </c>
      <c r="B1290" s="1" t="str">
        <f aca="false">Report!E1675</f>
        <v>VIA CERTA IMPORTACAO E DISTRIBUICAO DE A</v>
      </c>
      <c r="C1290" s="17" t="n">
        <f aca="false">Report!U1675</f>
        <v>500.78</v>
      </c>
      <c r="D1290" s="1" t="str">
        <f aca="false">Report!X1675</f>
        <v>NF 53548 1/3 - ALICIA</v>
      </c>
    </row>
    <row r="1291" customFormat="false" ht="12.75" hidden="false" customHeight="true" outlineLevel="0" collapsed="false">
      <c r="A1291" s="16" t="n">
        <f aca="false">Report!C1676</f>
        <v>46256</v>
      </c>
      <c r="B1291" s="1" t="str">
        <f aca="false">Report!E1676</f>
        <v>COMERCIO DE FRIOS MANAUS LTDA</v>
      </c>
      <c r="C1291" s="17" t="n">
        <f aca="false">Report!U1676</f>
        <v>1847.6</v>
      </c>
      <c r="D1291" s="1" t="str">
        <f aca="false">Report!X1676</f>
        <v>NF 174518 2/2 - ALICIA</v>
      </c>
    </row>
    <row r="1292" customFormat="false" ht="12.75" hidden="false" customHeight="true" outlineLevel="0" collapsed="false">
      <c r="A1292" s="16" t="n">
        <f aca="false">Report!C1677</f>
        <v>46256</v>
      </c>
      <c r="B1292" s="1" t="str">
        <f aca="false">Report!E1677</f>
        <v>MAXFRI DISTRIUIDORA LTDA</v>
      </c>
      <c r="C1292" s="17" t="n">
        <f aca="false">Report!U1677</f>
        <v>3648.3</v>
      </c>
      <c r="D1292" s="1" t="str">
        <f aca="false">Report!X1677</f>
        <v>NF 14994 2/2 - ALICIA</v>
      </c>
    </row>
    <row r="1293" customFormat="false" ht="12.75" hidden="false" customHeight="true" outlineLevel="0" collapsed="false">
      <c r="A1293" s="16" t="n">
        <f aca="false">Report!C1678</f>
        <v>46256</v>
      </c>
      <c r="B1293" s="1" t="str">
        <f aca="false">Report!E1678</f>
        <v>CINTIA MACIEL PEREIRA SANTOS 95986138287</v>
      </c>
      <c r="C1293" s="17" t="n">
        <f aca="false">Report!U1678</f>
        <v>711.94</v>
      </c>
      <c r="D1293" s="1" t="str">
        <f aca="false">Report!X1678</f>
        <v>NF 1431 1/1 - ALICIA</v>
      </c>
    </row>
    <row r="1294" customFormat="false" ht="12.75" hidden="false" customHeight="true" outlineLevel="0" collapsed="false">
      <c r="A1294" s="16" t="n">
        <f aca="false">Report!C1679</f>
        <v>46256</v>
      </c>
      <c r="B1294" s="1" t="str">
        <f aca="false">Report!E1679</f>
        <v>OLIVEIRA E SILVA LTDA</v>
      </c>
      <c r="C1294" s="17" t="n">
        <f aca="false">Report!U1679</f>
        <v>450</v>
      </c>
      <c r="D1294" s="1" t="str">
        <f aca="false">Report!X1679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Report!C1680</f>
        <v>46256</v>
      </c>
      <c r="B1295" s="1" t="str">
        <f aca="false">Report!E1680</f>
        <v>S E PEREIRA BARBOSA ME</v>
      </c>
      <c r="C1295" s="17" t="n">
        <f aca="false">Report!U1680</f>
        <v>192.3</v>
      </c>
      <c r="D1295" s="1" t="str">
        <f aca="false">Report!X1680</f>
        <v>NF 18667 1/1 - ALICIA</v>
      </c>
    </row>
    <row r="1296" customFormat="false" ht="12.75" hidden="false" customHeight="true" outlineLevel="0" collapsed="false">
      <c r="A1296" s="16" t="n">
        <f aca="false">Report!C1681</f>
        <v>46256</v>
      </c>
      <c r="B1296" s="1" t="str">
        <f aca="false">Report!E1681</f>
        <v>BRF S A</v>
      </c>
      <c r="C1296" s="17" t="n">
        <f aca="false">Report!U1681</f>
        <v>1120.17</v>
      </c>
      <c r="D1296" s="1" t="str">
        <f aca="false">Report!X1681</f>
        <v>NF 1619343 1/3 - ALICIA</v>
      </c>
    </row>
    <row r="1297" customFormat="false" ht="12.75" hidden="false" customHeight="true" outlineLevel="0" collapsed="false">
      <c r="A1297" s="16" t="n">
        <f aca="false">Report!C1682</f>
        <v>46256</v>
      </c>
      <c r="B1297" s="1" t="str">
        <f aca="false">Report!E1682</f>
        <v>COMERCIO DE FRIOS MANAUS LTDA</v>
      </c>
      <c r="C1297" s="17" t="n">
        <f aca="false">Report!U1682</f>
        <v>2998.2</v>
      </c>
      <c r="D1297" s="1" t="str">
        <f aca="false">Report!X1682</f>
        <v>NF 174945 1/1 - ALICIA</v>
      </c>
    </row>
    <row r="1298" customFormat="false" ht="12.75" hidden="false" customHeight="true" outlineLevel="0" collapsed="false">
      <c r="A1298" s="16" t="n">
        <f aca="false">Report!C1683</f>
        <v>46256</v>
      </c>
      <c r="B1298" s="1" t="str">
        <f aca="false">Report!E1683</f>
        <v>H L M PADARIA E CONFEITARIA LTDA</v>
      </c>
      <c r="C1298" s="17" t="n">
        <f aca="false">Report!U1683</f>
        <v>240</v>
      </c>
      <c r="D1298" s="1" t="str">
        <f aca="false">Report!X1683</f>
        <v>NF 183 1/1 - COMPRAS BOLOS MIAZAKI - ALICIA</v>
      </c>
    </row>
    <row r="1299" customFormat="false" ht="12.75" hidden="false" customHeight="true" outlineLevel="0" collapsed="false">
      <c r="A1299" s="16" t="n">
        <f aca="false">Report!C1684</f>
        <v>46256</v>
      </c>
      <c r="B1299" s="1" t="str">
        <f aca="false">Report!E1684</f>
        <v>OLIVEIRA E SILVA LTDA</v>
      </c>
      <c r="C1299" s="17" t="n">
        <f aca="false">Report!U1684</f>
        <v>261</v>
      </c>
      <c r="D1299" s="1" t="str">
        <f aca="false">Report!X1684</f>
        <v>COMPRAS CHEIRO VERDE - ALICIA</v>
      </c>
    </row>
    <row r="1300" customFormat="false" ht="12.75" hidden="false" customHeight="true" outlineLevel="0" collapsed="false">
      <c r="A1300" s="16" t="n">
        <f aca="false">Report!C1685</f>
        <v>46256</v>
      </c>
      <c r="B1300" s="1" t="str">
        <f aca="false">Report!E1685</f>
        <v>OLIVEIRA E SILVA LTDA</v>
      </c>
      <c r="C1300" s="17" t="n">
        <f aca="false">Report!U1685</f>
        <v>125</v>
      </c>
      <c r="D1300" s="1" t="str">
        <f aca="false">Report!X1685</f>
        <v>COMPRAS 1CX DE BANANA PRATA - JHONATAS </v>
      </c>
    </row>
    <row r="1301" customFormat="false" ht="12.75" hidden="false" customHeight="true" outlineLevel="0" collapsed="false">
      <c r="A1301" s="16" t="n">
        <f aca="false">Report!C1686</f>
        <v>46257</v>
      </c>
      <c r="B1301" s="1" t="str">
        <f aca="false">Report!E1686</f>
        <v>FUNNY PET DISTRIBUIDORA DE ALIMENTOS PAR</v>
      </c>
      <c r="C1301" s="17" t="n">
        <f aca="false">Report!U1686</f>
        <v>1760.2</v>
      </c>
      <c r="D1301" s="1" t="str">
        <f aca="false">Report!X1686</f>
        <v>NF 21623 1/4 - ALICIA</v>
      </c>
    </row>
    <row r="1302" customFormat="false" ht="12.75" hidden="false" customHeight="true" outlineLevel="0" collapsed="false">
      <c r="A1302" s="16" t="n">
        <f aca="false">Report!C1687</f>
        <v>46258</v>
      </c>
      <c r="B1302" s="1" t="str">
        <f aca="false">Report!E1687</f>
        <v>WKL COMERCIO ATACADISTA DE ARTIGOS DE AR</v>
      </c>
      <c r="C1302" s="17" t="n">
        <f aca="false">Report!U1687</f>
        <v>592.05</v>
      </c>
      <c r="D1302" s="1" t="str">
        <f aca="false">Report!X1687</f>
        <v>NF 1330 3/4 - ALICIA</v>
      </c>
    </row>
    <row r="1303" customFormat="false" ht="12.75" hidden="false" customHeight="true" outlineLevel="0" collapsed="false">
      <c r="A1303" s="16" t="n">
        <f aca="false">Report!C1688</f>
        <v>46258</v>
      </c>
      <c r="B1303" s="1" t="str">
        <f aca="false">Report!E1688</f>
        <v>SILVA DISTRIBUIDORA</v>
      </c>
      <c r="C1303" s="17" t="n">
        <f aca="false">Report!U1688</f>
        <v>614.98</v>
      </c>
      <c r="D1303" s="1" t="str">
        <f aca="false">Report!X1688</f>
        <v>NF 12877 3/3 - ALICIA</v>
      </c>
    </row>
    <row r="1304" customFormat="false" ht="12.75" hidden="false" customHeight="true" outlineLevel="0" collapsed="false">
      <c r="A1304" s="16" t="n">
        <f aca="false">Report!C1689</f>
        <v>46258</v>
      </c>
      <c r="B1304" s="1" t="str">
        <f aca="false">Report!E1689</f>
        <v>DISTRIBUIDORA LOPES LTDA</v>
      </c>
      <c r="C1304" s="17" t="n">
        <f aca="false">Report!U1689</f>
        <v>418.68</v>
      </c>
      <c r="D1304" s="1" t="str">
        <f aca="false">Report!X1689</f>
        <v>NF 1699885 3/3 - ALICIA</v>
      </c>
    </row>
    <row r="1305" customFormat="false" ht="12.75" hidden="false" customHeight="true" outlineLevel="0" collapsed="false">
      <c r="A1305" s="16" t="n">
        <f aca="false">Report!C1690</f>
        <v>46258</v>
      </c>
      <c r="B1305" s="1" t="str">
        <f aca="false">Report!E1690</f>
        <v>DISTRIBUIDORA LOPES LTDA</v>
      </c>
      <c r="C1305" s="17" t="n">
        <f aca="false">Report!U1690</f>
        <v>903.47</v>
      </c>
      <c r="D1305" s="1" t="str">
        <f aca="false">Report!X1690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7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7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BRF S A</v>
      </c>
      <c r="C1308" s="17" t="n">
        <f aca="false">Report!U1693</f>
        <v>1173.86</v>
      </c>
      <c r="D1308" s="1" t="str">
        <f aca="false">Report!X1693</f>
        <v>NF 1615570 3/3 -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COMERCIO DE FRIOS MANAUS LTDA</v>
      </c>
      <c r="C1309" s="17" t="n">
        <f aca="false">Report!U1694</f>
        <v>1642.3</v>
      </c>
      <c r="D1309" s="1" t="str">
        <f aca="false">Report!X1694</f>
        <v>NF 174636 2/2 -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IRMÃOS LIMA  ATACADO  DE ALIMENTOS LTDA</v>
      </c>
      <c r="C1310" s="17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COMERCIO DE FRIOS MANAUS LTDA</v>
      </c>
      <c r="C1311" s="17" t="n">
        <f aca="false">Report!U1696</f>
        <v>1138.5</v>
      </c>
      <c r="D1311" s="1" t="str">
        <f aca="false">Report!X1696</f>
        <v>NF 174988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KAROLINY RODRIGUES SOUZA VENANCIO 915783</v>
      </c>
      <c r="C1312" s="17" t="n">
        <f aca="false">Report!U1697</f>
        <v>250</v>
      </c>
      <c r="D1312" s="1" t="str">
        <f aca="false">Report!X1697</f>
        <v>NF 2015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FAZENDA SAO JOSE</v>
      </c>
      <c r="C1313" s="17" t="n">
        <f aca="false">Report!U1698</f>
        <v>205.87</v>
      </c>
      <c r="D1313" s="1" t="str">
        <f aca="false">Report!X1698</f>
        <v>NF 3595 1/1 - ALICIA</v>
      </c>
    </row>
    <row r="1314" customFormat="false" ht="12.75" hidden="false" customHeight="true" outlineLevel="0" collapsed="false">
      <c r="A1314" s="16" t="n">
        <f aca="false">Report!C1699</f>
        <v>46258</v>
      </c>
      <c r="B1314" s="1" t="str">
        <f aca="false">Report!E1699</f>
        <v>OLIVEIRA E SILVA LTDA</v>
      </c>
      <c r="C1314" s="17" t="n">
        <f aca="false">Report!U1699</f>
        <v>67</v>
      </c>
      <c r="D1314" s="1" t="str">
        <f aca="false">Report!X1699</f>
        <v>COMPRAS COUVE , ALFACE - ALICIA</v>
      </c>
    </row>
    <row r="1315" customFormat="false" ht="12.75" hidden="false" customHeight="true" outlineLevel="0" collapsed="false">
      <c r="A1315" s="16" t="n">
        <f aca="false">Report!C1700</f>
        <v>46258</v>
      </c>
      <c r="B1315" s="1" t="str">
        <f aca="false">Report!E1700</f>
        <v>RV TECNOLOGIA E SISTEMAS S.A</v>
      </c>
      <c r="C1315" s="17" t="n">
        <f aca="false">Report!U1700</f>
        <v>207.79</v>
      </c>
      <c r="D1315" s="1" t="str">
        <f aca="false">Report!X1700</f>
        <v>RECARGA TELEFONICA - ALICIA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SHMILY COMERCIO DE ARTIGOS DO VESTUARIO</v>
      </c>
      <c r="C1316" s="17" t="n">
        <f aca="false">Report!U1704</f>
        <v>309.75</v>
      </c>
      <c r="D1316" s="1" t="str">
        <f aca="false">Report!X1704</f>
        <v>NF 416 3/3 - A PRAZO 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A. CORREA JUNIOR</v>
      </c>
      <c r="C1317" s="17" t="n">
        <f aca="false">Report!U1705</f>
        <v>1633.2</v>
      </c>
      <c r="D1317" s="1" t="str">
        <f aca="false">Report!X1705</f>
        <v>NF 1820 3/3 - ALICIA</v>
      </c>
    </row>
    <row r="1318" customFormat="false" ht="12.75" hidden="false" customHeight="true" outlineLevel="0" collapsed="false">
      <c r="A1318" s="16" t="n">
        <f aca="false">Report!C1706</f>
        <v>46259</v>
      </c>
      <c r="B1318" s="1" t="str">
        <f aca="false">Report!E1706</f>
        <v>COMPRAS NA PORTA AVULSO</v>
      </c>
      <c r="C1318" s="17" t="n">
        <f aca="false">Report!U1706</f>
        <v>101.12</v>
      </c>
      <c r="D1318" s="1" t="str">
        <f aca="false">Report!X1706</f>
        <v>S/NF COMPRAS BONE 2/2 / ITAU 9303 - ALICIA 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OCIDENTAL COMERCIO DE FRIOS LTDA</v>
      </c>
      <c r="C1319" s="17" t="n">
        <f aca="false">Report!U1710</f>
        <v>676.45</v>
      </c>
      <c r="D1319" s="1" t="str">
        <f aca="false">Report!X1710</f>
        <v>NF 1252244 3/3 - ALICIA</v>
      </c>
    </row>
    <row r="1320" customFormat="false" ht="12.75" hidden="false" customHeight="true" outlineLevel="0" collapsed="false">
      <c r="A1320" s="16" t="n">
        <f aca="false">Report!C1711</f>
        <v>46259</v>
      </c>
      <c r="B1320" s="1" t="str">
        <f aca="false">Report!E1711</f>
        <v>A. CORREA JUNIOR</v>
      </c>
      <c r="C1320" s="17" t="n">
        <f aca="false">Report!U1711</f>
        <v>1615.17</v>
      </c>
      <c r="D1320" s="1" t="str">
        <f aca="false">Report!X1711</f>
        <v>NF 1887 COMPRAS ELETRONICOS - ALICIA</v>
      </c>
    </row>
    <row r="1321" customFormat="false" ht="12.75" hidden="false" customHeight="true" outlineLevel="0" collapsed="false">
      <c r="A1321" s="16" t="n">
        <f aca="false">Report!C1713</f>
        <v>46259</v>
      </c>
      <c r="B1321" s="1" t="str">
        <f aca="false">Report!E1713</f>
        <v>COMERCIAL DE ESTIVAS REGO LTDA</v>
      </c>
      <c r="C1321" s="17" t="n">
        <f aca="false">Report!U1713</f>
        <v>358.74</v>
      </c>
      <c r="D1321" s="1" t="str">
        <f aca="false">Report!X1713</f>
        <v>NF 224551 2/3 - ALICIA</v>
      </c>
    </row>
    <row r="1322" customFormat="false" ht="12.75" hidden="false" customHeight="true" outlineLevel="0" collapsed="false">
      <c r="A1322" s="16" t="n">
        <f aca="false">Report!C1714</f>
        <v>46259</v>
      </c>
      <c r="B1322" s="1" t="str">
        <f aca="false">Report!E1714</f>
        <v>ADRIANA G MACIEL COMERCIO</v>
      </c>
      <c r="C1322" s="17" t="n">
        <f aca="false">Report!U1714</f>
        <v>768</v>
      </c>
      <c r="D1322" s="1" t="str">
        <f aca="false">Report!X1714</f>
        <v>NF 393 2/2 - ALICIA</v>
      </c>
    </row>
    <row r="1323" customFormat="false" ht="12.75" hidden="false" customHeight="true" outlineLevel="0" collapsed="false">
      <c r="A1323" s="16" t="n">
        <f aca="false">Report!C1715</f>
        <v>46259</v>
      </c>
      <c r="B1323" s="1" t="str">
        <f aca="false">Report!E1715</f>
        <v>GRANDE MOINHO CEARENSE S/A </v>
      </c>
      <c r="C1323" s="17" t="n">
        <f aca="false">Report!U1715</f>
        <v>432.97</v>
      </c>
      <c r="D1323" s="1" t="str">
        <f aca="false">Report!X1715</f>
        <v>NF 143793 1/1 - ALICIA</v>
      </c>
    </row>
    <row r="1324" customFormat="false" ht="12.75" hidden="false" customHeight="true" outlineLevel="0" collapsed="false">
      <c r="A1324" s="16" t="n">
        <f aca="false">Report!C1716</f>
        <v>46259</v>
      </c>
      <c r="B1324" s="1" t="str">
        <f aca="false">Report!E1716</f>
        <v>TRES CORACOES ALIMENTOS S.A.</v>
      </c>
      <c r="C1324" s="17" t="n">
        <f aca="false">Report!U1716</f>
        <v>590.43</v>
      </c>
      <c r="D1324" s="1" t="str">
        <f aca="false">Report!X1716</f>
        <v>NF 356005 2/3 - ALICIA</v>
      </c>
    </row>
    <row r="1325" customFormat="false" ht="12.75" hidden="false" customHeight="true" outlineLevel="0" collapsed="false">
      <c r="A1325" s="16" t="n">
        <f aca="false">Report!C1717</f>
        <v>46259</v>
      </c>
      <c r="B1325" s="1" t="str">
        <f aca="false">Report!E1717</f>
        <v>NATUREZA COMERCIO DE DESCARTAVEIS LTDA</v>
      </c>
      <c r="C1325" s="17" t="n">
        <f aca="false">Report!U1717</f>
        <v>1242.27</v>
      </c>
      <c r="D1325" s="1" t="str">
        <f aca="false">Report!X1717</f>
        <v>NF 7455920 2/3 - ALICIA</v>
      </c>
    </row>
    <row r="1326" customFormat="false" ht="12.75" hidden="false" customHeight="true" outlineLevel="0" collapsed="false">
      <c r="A1326" s="16" t="n">
        <f aca="false">Report!C1718</f>
        <v>46259</v>
      </c>
      <c r="B1326" s="1" t="str">
        <f aca="false">Report!E1718</f>
        <v>TOYA INDUSTRIA E COMERCIO LTDA.</v>
      </c>
      <c r="C1326" s="17" t="n">
        <f aca="false">Report!U1718</f>
        <v>497.23</v>
      </c>
      <c r="D1326" s="1" t="str">
        <f aca="false">Report!X1718</f>
        <v>NF 257004 2/2 - ALICIA</v>
      </c>
    </row>
    <row r="1327" customFormat="false" ht="12.75" hidden="false" customHeight="true" outlineLevel="0" collapsed="false">
      <c r="A1327" s="16" t="n">
        <f aca="false">Report!C1719</f>
        <v>46259</v>
      </c>
      <c r="B1327" s="1" t="str">
        <f aca="false">Report!E1719</f>
        <v>ATIVA COM E REP</v>
      </c>
      <c r="C1327" s="17" t="n">
        <f aca="false">Report!U1719</f>
        <v>879.73</v>
      </c>
      <c r="D1327" s="1" t="str">
        <f aca="false">Report!X1719</f>
        <v>NF 26350 1/3 - ALICIA</v>
      </c>
    </row>
    <row r="1328" customFormat="false" ht="12.75" hidden="false" customHeight="true" outlineLevel="0" collapsed="false">
      <c r="A1328" s="16" t="n">
        <f aca="false">Report!C1720</f>
        <v>46259</v>
      </c>
      <c r="B1328" s="1" t="str">
        <f aca="false">Report!E1720</f>
        <v>DURAES DISTRIBUIDORA DE ESTIVAS LTDA</v>
      </c>
      <c r="C1328" s="17" t="n">
        <f aca="false">Report!U1720</f>
        <v>311.49</v>
      </c>
      <c r="D1328" s="1" t="str">
        <f aca="false">Report!X1720</f>
        <v>NF 654077 1/2 - ALICIA</v>
      </c>
    </row>
    <row r="1329" customFormat="false" ht="12.75" hidden="false" customHeight="true" outlineLevel="0" collapsed="false">
      <c r="A1329" s="16" t="n">
        <f aca="false">Report!C1721</f>
        <v>46259</v>
      </c>
      <c r="B1329" s="1" t="str">
        <f aca="false">Report!E1721</f>
        <v>COMERCIO DE FRIOS MANAUS LTDA</v>
      </c>
      <c r="C1329" s="17" t="n">
        <f aca="false">Report!U1721</f>
        <v>981.6</v>
      </c>
      <c r="D1329" s="1" t="str">
        <f aca="false">Report!X1721</f>
        <v>NF 174666 2/2 - ALICIA</v>
      </c>
    </row>
    <row r="1330" customFormat="false" ht="12.75" hidden="false" customHeight="true" outlineLevel="0" collapsed="false">
      <c r="A1330" s="16" t="n">
        <f aca="false">Report!C1722</f>
        <v>46259</v>
      </c>
      <c r="B1330" s="1" t="str">
        <f aca="false">Report!E1722</f>
        <v>TOYA INDUSTRIA E COMERCIO LTDA.</v>
      </c>
      <c r="C1330" s="17" t="n">
        <f aca="false">Report!U1722</f>
        <v>449.9</v>
      </c>
      <c r="D1330" s="1" t="str">
        <f aca="false">Report!X1722</f>
        <v>NF 257521 2/2 - ALICIA</v>
      </c>
    </row>
    <row r="1331" customFormat="false" ht="12.75" hidden="false" customHeight="true" outlineLevel="0" collapsed="false">
      <c r="A1331" s="16" t="n">
        <f aca="false">Report!C1723</f>
        <v>46259</v>
      </c>
      <c r="B1331" s="1" t="str">
        <f aca="false">Report!E1723</f>
        <v>DUNORTE DISTRIBUIDORA DE PRODUTOS DE CONSUMO LTDA</v>
      </c>
      <c r="C1331" s="17" t="n">
        <f aca="false">Report!U1723</f>
        <v>419.94</v>
      </c>
      <c r="D1331" s="1" t="str">
        <f aca="false">Report!X1723</f>
        <v>NF 3234933 1/3 - ALICIA</v>
      </c>
    </row>
    <row r="1332" customFormat="false" ht="12.75" hidden="false" customHeight="true" outlineLevel="0" collapsed="false">
      <c r="A1332" s="16" t="n">
        <f aca="false">Report!C1724</f>
        <v>46259</v>
      </c>
      <c r="B1332" s="1" t="str">
        <f aca="false">Report!E1724</f>
        <v>DUNORTE DISTRIBUIDORA DE PRODUTOS DE CONSUMO LTDA</v>
      </c>
      <c r="C1332" s="17" t="n">
        <f aca="false">Report!U1724</f>
        <v>191.26</v>
      </c>
      <c r="D1332" s="1" t="str">
        <f aca="false">Report!X1724</f>
        <v>NF 3234932 1/2 - ALICIA</v>
      </c>
    </row>
    <row r="1333" customFormat="false" ht="12.75" hidden="false" customHeight="true" outlineLevel="0" collapsed="false">
      <c r="A1333" s="16" t="n">
        <f aca="false">Report!C1725</f>
        <v>46259</v>
      </c>
      <c r="B1333" s="1" t="str">
        <f aca="false">Report!E1725</f>
        <v>OLIVEIRA E SILVA LTDA</v>
      </c>
      <c r="C1333" s="17" t="n">
        <f aca="false">Report!U1725</f>
        <v>940</v>
      </c>
      <c r="D1333" s="1" t="str">
        <f aca="false">Report!X1725</f>
        <v>COMPRAS FARINHAS - JOSE FARINHA </v>
      </c>
    </row>
    <row r="1334" customFormat="false" ht="12.75" hidden="false" customHeight="true" outlineLevel="0" collapsed="false">
      <c r="A1334" s="16" t="n">
        <f aca="false">Report!C1726</f>
        <v>46259</v>
      </c>
      <c r="B1334" s="1" t="str">
        <f aca="false">Report!E1726</f>
        <v>COMPRAS NA PORTA AVULSO</v>
      </c>
      <c r="C1334" s="17" t="n">
        <f aca="false">Report!U1726</f>
        <v>735</v>
      </c>
      <c r="D1334" s="1" t="str">
        <f aca="false">Report!X1726</f>
        <v>RECIBO- COMPRAS HARINA PAN - ALICIA</v>
      </c>
    </row>
    <row r="1335" customFormat="false" ht="12.75" hidden="false" customHeight="true" outlineLevel="0" collapsed="false">
      <c r="A1335" s="16" t="n">
        <f aca="false">Report!C1727</f>
        <v>46259</v>
      </c>
      <c r="B1335" s="1" t="str">
        <f aca="false">Report!E1727</f>
        <v>MAXFRI DISTRIUIDORA LTDA</v>
      </c>
      <c r="C1335" s="17" t="n">
        <f aca="false">Report!U1727</f>
        <v>4624.25</v>
      </c>
      <c r="D1335" s="1" t="str">
        <f aca="false">Report!X1727</f>
        <v>NF 15086 1/1 - ALICIA</v>
      </c>
    </row>
    <row r="1336" customFormat="false" ht="12.75" hidden="false" customHeight="true" outlineLevel="0" collapsed="false">
      <c r="A1336" s="16" t="n">
        <f aca="false">Report!C1728</f>
        <v>46259</v>
      </c>
      <c r="B1336" s="1" t="str">
        <f aca="false">Report!E1728</f>
        <v>TOYA INDUSTRIA E COMERCIO LTDA.</v>
      </c>
      <c r="C1336" s="17" t="n">
        <f aca="false">Report!U1728</f>
        <v>472.03</v>
      </c>
      <c r="D1336" s="1" t="str">
        <f aca="false">Report!X1728</f>
        <v>NF 258044 1/1 - ALICIA</v>
      </c>
    </row>
    <row r="1337" customFormat="false" ht="12.75" hidden="false" customHeight="true" outlineLevel="0" collapsed="false">
      <c r="A1337" s="16" t="n">
        <f aca="false">Report!C1729</f>
        <v>46259</v>
      </c>
      <c r="B1337" s="1" t="str">
        <f aca="false">Report!E1729</f>
        <v>COMERCIO E TRANSPORTE BRANDAO LTDA</v>
      </c>
      <c r="C1337" s="17" t="n">
        <f aca="false">Report!U1729</f>
        <v>140</v>
      </c>
      <c r="D1337" s="1" t="str">
        <f aca="false">Report!X1729</f>
        <v>NF 15159 1/1 - COMPRAS CARLOS VERDURAS - ALICIA</v>
      </c>
    </row>
    <row r="1338" customFormat="false" ht="12.75" hidden="false" customHeight="true" outlineLevel="0" collapsed="false">
      <c r="A1338" s="16" t="n">
        <f aca="false">Report!C1730</f>
        <v>46259</v>
      </c>
      <c r="B1338" s="1" t="str">
        <f aca="false">Report!E1730</f>
        <v>COMERCIO E TRANSPORTE BRANDAO LTDA</v>
      </c>
      <c r="C1338" s="17" t="n">
        <f aca="false">Report!U1730</f>
        <v>35</v>
      </c>
      <c r="D1338" s="1" t="str">
        <f aca="false">Report!X1730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Report!C1731</f>
        <v>46259</v>
      </c>
      <c r="B1339" s="1" t="str">
        <f aca="false">Report!E1731</f>
        <v>OLIVEIRA E SILVA LTDA</v>
      </c>
      <c r="C1339" s="17" t="n">
        <f aca="false">Report!U1731</f>
        <v>1678.5</v>
      </c>
      <c r="D1339" s="1" t="str">
        <f aca="false">Report!X1731</f>
        <v>COMPRAS CARLOS VERDURAS - ALICIA</v>
      </c>
    </row>
    <row r="1340" customFormat="false" ht="12.75" hidden="false" customHeight="true" outlineLevel="0" collapsed="false">
      <c r="A1340" s="16" t="n">
        <f aca="false">Report!C1732</f>
        <v>46259</v>
      </c>
      <c r="B1340" s="1" t="str">
        <f aca="false">Report!E1732</f>
        <v>BRASIL NORTE BEBIDAS S/A</v>
      </c>
      <c r="C1340" s="17" t="n">
        <f aca="false">Report!U1732</f>
        <v>6656.34</v>
      </c>
      <c r="D1340" s="1" t="str">
        <f aca="false">Report!X1732</f>
        <v>NF 1995862 1/1 - ALICIA</v>
      </c>
    </row>
    <row r="1341" customFormat="false" ht="12.75" hidden="false" customHeight="true" outlineLevel="0" collapsed="false">
      <c r="A1341" s="16" t="n">
        <f aca="false">Report!C1733</f>
        <v>46259</v>
      </c>
      <c r="B1341" s="1" t="str">
        <f aca="false">Report!E1733</f>
        <v>BRASIL NORTE BEBIDAS S/A</v>
      </c>
      <c r="C1341" s="17" t="n">
        <f aca="false">Report!U1733</f>
        <v>1345.94</v>
      </c>
      <c r="D1341" s="1" t="str">
        <f aca="false">Report!X1733</f>
        <v>NF 1254612 1/1 - ALICIA</v>
      </c>
    </row>
    <row r="1342" customFormat="false" ht="12.75" hidden="false" customHeight="true" outlineLevel="0" collapsed="false">
      <c r="A1342" s="16" t="n">
        <f aca="false">Report!C1734</f>
        <v>46259</v>
      </c>
      <c r="B1342" s="1" t="str">
        <f aca="false">Report!E1734</f>
        <v>ADICSO FABIAN GONZALEZ MONTILLA 70302186</v>
      </c>
      <c r="C1342" s="17" t="n">
        <f aca="false">Report!U1734</f>
        <v>240</v>
      </c>
      <c r="D1342" s="1" t="str">
        <f aca="false">Report!X1734</f>
        <v>NF 614 1/1 - ALICIA</v>
      </c>
    </row>
    <row r="1343" customFormat="false" ht="12.75" hidden="false" customHeight="true" outlineLevel="0" collapsed="false">
      <c r="A1343" s="16" t="n">
        <f aca="false">Report!C1735</f>
        <v>46259</v>
      </c>
      <c r="B1343" s="1" t="str">
        <f aca="false">Report!E1735</f>
        <v>OLIVEIRA E SILVA LTDA</v>
      </c>
      <c r="C1343" s="17" t="n">
        <f aca="false">Report!U1735</f>
        <v>125</v>
      </c>
      <c r="D1343" s="1" t="str">
        <f aca="false">Report!X1735</f>
        <v>COMPRAS 1CX DE BANANAS - ALICIA</v>
      </c>
    </row>
    <row r="1344" customFormat="false" ht="12.75" hidden="false" customHeight="true" outlineLevel="0" collapsed="false">
      <c r="A1344" s="16" t="n">
        <f aca="false">Report!C1736</f>
        <v>46259</v>
      </c>
      <c r="B1344" s="1" t="str">
        <f aca="false">Report!E1736</f>
        <v>OLIVEIRA E SILVA LTDA</v>
      </c>
      <c r="C1344" s="17" t="n">
        <f aca="false">Report!U1736</f>
        <v>100</v>
      </c>
      <c r="D1344" s="1" t="str">
        <f aca="false">Report!X1736</f>
        <v>COMPRAS CHEIRO VERDE - ALICIA</v>
      </c>
    </row>
    <row r="1345" customFormat="false" ht="12.75" hidden="false" customHeight="true" outlineLevel="0" collapsed="false">
      <c r="A1345" s="16" t="n">
        <f aca="false">Report!C1741</f>
        <v>46260</v>
      </c>
      <c r="B1345" s="1" t="str">
        <f aca="false">Report!E1741</f>
        <v>SUPER CANCUN COMERCIO DE PRODUTOS ALIMEN</v>
      </c>
      <c r="C1345" s="17" t="n">
        <f aca="false">Report!U1741</f>
        <v>260.45</v>
      </c>
      <c r="D1345" s="1" t="str">
        <f aca="false">Report!X1741</f>
        <v>NF 264696 2/3 - ALICIA</v>
      </c>
    </row>
    <row r="1346" customFormat="false" ht="12.75" hidden="false" customHeight="true" outlineLevel="0" collapsed="false">
      <c r="A1346" s="16" t="n">
        <f aca="false">Report!C1742</f>
        <v>46260</v>
      </c>
      <c r="B1346" s="1" t="str">
        <f aca="false">Report!E1742</f>
        <v>OCIDENTAL COMERCIO DE FRIOS LTDA</v>
      </c>
      <c r="C1346" s="17" t="n">
        <f aca="false">Report!U1742</f>
        <v>771.86</v>
      </c>
      <c r="D1346" s="1" t="str">
        <f aca="false">Report!X1742</f>
        <v>NF 12556061 2/3 - ALICIA</v>
      </c>
    </row>
    <row r="1347" customFormat="false" ht="12.75" hidden="false" customHeight="true" outlineLevel="0" collapsed="false">
      <c r="A1347" s="16" t="n">
        <f aca="false">Report!C1743</f>
        <v>46260</v>
      </c>
      <c r="B1347" s="1" t="str">
        <f aca="false">Report!E1743</f>
        <v>REAL BEBIDAS DA AMAZONIA LTDA</v>
      </c>
      <c r="C1347" s="17" t="n">
        <f aca="false">Report!U1743</f>
        <v>222</v>
      </c>
      <c r="D1347" s="1" t="str">
        <f aca="false">Report!X1743</f>
        <v>NF 620570 2/2 - ALICIA</v>
      </c>
    </row>
    <row r="1348" customFormat="false" ht="12.75" hidden="false" customHeight="true" outlineLevel="0" collapsed="false">
      <c r="A1348" s="16" t="n">
        <f aca="false">Report!C1744</f>
        <v>46260</v>
      </c>
      <c r="B1348" s="1" t="str">
        <f aca="false">Report!E1744</f>
        <v>AGM COMERCIO E DISTRIBUIDORA DE MATERIAS DE PERFUMARIA E LIMPEZA LTDA</v>
      </c>
      <c r="C1348" s="17" t="n">
        <f aca="false">Report!U1744</f>
        <v>545.13</v>
      </c>
      <c r="D1348" s="1" t="str">
        <f aca="false">Report!X1744</f>
        <v>NF 163841 1/4 - ALICIA</v>
      </c>
    </row>
    <row r="1349" customFormat="false" ht="12.75" hidden="false" customHeight="true" outlineLevel="0" collapsed="false">
      <c r="A1349" s="16" t="n">
        <f aca="false">Report!C1745</f>
        <v>46260</v>
      </c>
      <c r="B1349" s="1" t="str">
        <f aca="false">Report!E1745</f>
        <v>MARE DISTRIBUIDORA DE BEBIDAS E DE PRODUTOS ALIMENTICIOS LTDA</v>
      </c>
      <c r="C1349" s="17" t="n">
        <f aca="false">Report!U1745</f>
        <v>362.5</v>
      </c>
      <c r="D1349" s="1" t="str">
        <f aca="false">Report!X1745</f>
        <v>NF 1417319 2/2 - ALICIA</v>
      </c>
    </row>
    <row r="1350" customFormat="false" ht="12.75" hidden="false" customHeight="true" outlineLevel="0" collapsed="false">
      <c r="A1350" s="16" t="n">
        <f aca="false">Report!C1746</f>
        <v>46260</v>
      </c>
      <c r="B1350" s="1" t="str">
        <f aca="false">Report!E1746</f>
        <v>MILK92 ATACADO E VAREJO DE PRODUTOS ALIMENTICIOS LTDA</v>
      </c>
      <c r="C1350" s="17" t="n">
        <f aca="false">Report!U1746</f>
        <v>401.8</v>
      </c>
      <c r="D1350" s="1" t="str">
        <f aca="false">Report!X1746</f>
        <v>NF 3032 2/2 - ALICIA</v>
      </c>
    </row>
    <row r="1351" customFormat="false" ht="12.75" hidden="false" customHeight="true" outlineLevel="0" collapsed="false">
      <c r="A1351" s="16" t="n">
        <f aca="false">Report!C1747</f>
        <v>46260</v>
      </c>
      <c r="B1351" s="1" t="str">
        <f aca="false">Report!E1747</f>
        <v>BRF S A</v>
      </c>
      <c r="C1351" s="17" t="n">
        <f aca="false">Report!U1747</f>
        <v>1120.17</v>
      </c>
      <c r="D1351" s="1" t="str">
        <f aca="false">Report!X1747</f>
        <v>NF 1619343 2/3 - ALICIA</v>
      </c>
    </row>
    <row r="1352" customFormat="false" ht="12.75" hidden="false" customHeight="true" outlineLevel="0" collapsed="false">
      <c r="A1352" s="16" t="n">
        <f aca="false">Report!C1748</f>
        <v>46260</v>
      </c>
      <c r="B1352" s="1" t="str">
        <f aca="false">Report!E1748</f>
        <v>MILK92 ATACADO E VAREJO DE PRODUTOS ALIMENTICIOS LTDA</v>
      </c>
      <c r="C1352" s="17" t="n">
        <f aca="false">Report!U1748</f>
        <v>482.73</v>
      </c>
      <c r="D1352" s="1" t="str">
        <f aca="false">Report!X1748</f>
        <v>NF 3017 2/2 - ALICIA</v>
      </c>
    </row>
    <row r="1353" customFormat="false" ht="12.75" hidden="false" customHeight="true" outlineLevel="0" collapsed="false">
      <c r="A1353" s="16" t="n">
        <f aca="false">Report!C1749</f>
        <v>46260</v>
      </c>
      <c r="B1353" s="1" t="str">
        <f aca="false">Report!E1749</f>
        <v>AGL DISTRIBUIDORA LIMITADA MATRIZ</v>
      </c>
      <c r="C1353" s="17" t="n">
        <f aca="false">Report!U1749</f>
        <v>229.68</v>
      </c>
      <c r="D1353" s="1" t="str">
        <f aca="false">Report!X1749</f>
        <v>NF 14498 1/1 - ALICIA</v>
      </c>
    </row>
    <row r="1354" customFormat="false" ht="12.75" hidden="false" customHeight="true" outlineLevel="0" collapsed="false">
      <c r="A1354" s="16" t="n">
        <f aca="false">Report!C1750</f>
        <v>46260</v>
      </c>
      <c r="B1354" s="1" t="str">
        <f aca="false">Report!E1750</f>
        <v>FABRICA RAINHA ISABEL LTDA</v>
      </c>
      <c r="C1354" s="17" t="n">
        <f aca="false">Report!U1750</f>
        <v>1030.5</v>
      </c>
      <c r="D1354" s="1" t="str">
        <f aca="false">Report!X1750</f>
        <v>NF 142650 1/1 - ALICIA</v>
      </c>
    </row>
    <row r="1355" customFormat="false" ht="12.75" hidden="false" customHeight="true" outlineLevel="0" collapsed="false">
      <c r="A1355" s="16" t="n">
        <f aca="false">Report!C1751</f>
        <v>46260</v>
      </c>
      <c r="B1355" s="1" t="str">
        <f aca="false">Report!E1751</f>
        <v>FRIOTRANS COMERCIO E TRANSPORTES DE CARGAS LTDA</v>
      </c>
      <c r="C1355" s="17" t="n">
        <f aca="false">Report!U1751</f>
        <v>2333.04</v>
      </c>
      <c r="D1355" s="1" t="str">
        <f aca="false">Report!X1751</f>
        <v>NF39504 1/2 - ALICIA</v>
      </c>
    </row>
    <row r="1356" customFormat="false" ht="12.75" hidden="false" customHeight="true" outlineLevel="0" collapsed="false">
      <c r="A1356" s="16" t="n">
        <f aca="false">Report!C1752</f>
        <v>46260</v>
      </c>
      <c r="B1356" s="1" t="str">
        <f aca="false">Report!E1752</f>
        <v>J M GADZISKI LTDA</v>
      </c>
      <c r="C1356" s="17" t="n">
        <f aca="false">Report!U1752</f>
        <v>320</v>
      </c>
      <c r="D1356" s="1" t="str">
        <f aca="false">Report!X1752</f>
        <v>NF 940 1/1 - ALICIA</v>
      </c>
    </row>
    <row r="1357" customFormat="false" ht="12.75" hidden="false" customHeight="true" outlineLevel="0" collapsed="false">
      <c r="A1357" s="16" t="n">
        <f aca="false">Report!C1753</f>
        <v>46260</v>
      </c>
      <c r="B1357" s="1" t="str">
        <f aca="false">Report!E1753</f>
        <v>H L M PADARIA E CONFEITARIA LTDA</v>
      </c>
      <c r="C1357" s="17" t="n">
        <f aca="false">Report!U1753</f>
        <v>180</v>
      </c>
      <c r="D1357" s="1" t="str">
        <f aca="false">Report!X1753</f>
        <v>NF 208 1/1 - COMPRAS BOLO MIAZAKI - ALICIA</v>
      </c>
    </row>
    <row r="1358" customFormat="false" ht="12.75" hidden="false" customHeight="true" outlineLevel="0" collapsed="false">
      <c r="A1358" s="16" t="n">
        <f aca="false">Report!C1754</f>
        <v>46260</v>
      </c>
      <c r="B1358" s="1" t="str">
        <f aca="false">Report!E1754</f>
        <v>OLIVEIRA E SILVA LTDA</v>
      </c>
      <c r="C1358" s="17" t="n">
        <f aca="false">Report!U1754</f>
        <v>250</v>
      </c>
      <c r="D1358" s="1" t="str">
        <f aca="false">Report!X1754</f>
        <v>COMPRAS 2 CX DE BANANAS - ALICIA</v>
      </c>
    </row>
    <row r="1359" customFormat="false" ht="12.75" hidden="false" customHeight="true" outlineLevel="0" collapsed="false">
      <c r="A1359" s="16" t="n">
        <f aca="false">Report!C1755</f>
        <v>46260</v>
      </c>
      <c r="B1359" s="1" t="str">
        <f aca="false">Report!E1755</f>
        <v>OLIVEIRA E SILVA LTDA</v>
      </c>
      <c r="C1359" s="17" t="n">
        <f aca="false">Report!U1755</f>
        <v>100</v>
      </c>
      <c r="D1359" s="1" t="str">
        <f aca="false">Report!X1755</f>
        <v>COMPRAS COUVE E ALFACE - ALICIA</v>
      </c>
    </row>
    <row r="1360" customFormat="false" ht="12.75" hidden="false" customHeight="true" outlineLevel="0" collapsed="false">
      <c r="A1360" s="16" t="n">
        <f aca="false">Report!C1758</f>
        <v>46261</v>
      </c>
      <c r="B1360" s="1" t="str">
        <f aca="false">Report!E1758</f>
        <v>FH DE OLIVEIRA PEIXOTO - EIRELI</v>
      </c>
      <c r="C1360" s="17" t="n">
        <f aca="false">Report!U1758</f>
        <v>172.25</v>
      </c>
      <c r="D1360" s="1" t="str">
        <f aca="false">Report!X1758</f>
        <v>NF 193402 2/2 - ALICIA</v>
      </c>
    </row>
    <row r="1361" customFormat="false" ht="12.75" hidden="false" customHeight="true" outlineLevel="0" collapsed="false">
      <c r="A1361" s="16" t="n">
        <f aca="false">Report!C1759</f>
        <v>46261</v>
      </c>
      <c r="B1361" s="1" t="str">
        <f aca="false">Report!E1759</f>
        <v>DISTRIBUIDORA FARIAS LTDA.</v>
      </c>
      <c r="C1361" s="17" t="n">
        <f aca="false">Report!U1759</f>
        <v>1000.46</v>
      </c>
      <c r="D1361" s="1" t="str">
        <f aca="false">Report!X1759</f>
        <v>NF 685877 3/3 - ALICIA</v>
      </c>
    </row>
    <row r="1362" customFormat="false" ht="12.75" hidden="false" customHeight="true" outlineLevel="0" collapsed="false">
      <c r="A1362" s="16" t="n">
        <f aca="false">Report!C1760</f>
        <v>46261</v>
      </c>
      <c r="B1362" s="1" t="str">
        <f aca="false">Report!E1760</f>
        <v>EMPRESA BRASILEIRA DE DISTRIBUICAO LTDA</v>
      </c>
      <c r="C1362" s="17" t="n">
        <f aca="false">Report!U1760</f>
        <v>496.59</v>
      </c>
      <c r="D1362" s="1" t="str">
        <f aca="false">Report!X1760</f>
        <v>NF 2307607 2/3 - ALICIA</v>
      </c>
    </row>
    <row r="1363" customFormat="false" ht="12.75" hidden="false" customHeight="true" outlineLevel="0" collapsed="false">
      <c r="A1363" s="16" t="n">
        <f aca="false">Report!C1761</f>
        <v>46261</v>
      </c>
      <c r="B1363" s="1" t="str">
        <f aca="false">Report!E1761</f>
        <v>EMPRESA BRASILEIRA DE DISTRIBUICAO LTDA</v>
      </c>
      <c r="C1363" s="17" t="n">
        <f aca="false">Report!U1761</f>
        <v>368.38</v>
      </c>
      <c r="D1363" s="1" t="str">
        <f aca="false">Report!X1761</f>
        <v>NF 2307608 2/3 - ALICIA</v>
      </c>
    </row>
    <row r="1364" customFormat="false" ht="12.75" hidden="false" customHeight="true" outlineLevel="0" collapsed="false">
      <c r="A1364" s="16" t="n">
        <f aca="false">Report!C1762</f>
        <v>46261</v>
      </c>
      <c r="B1364" s="1" t="str">
        <f aca="false">Report!E1762</f>
        <v>CB COMERCIO E DISTRIBUIDORA DE ALIMENTOS</v>
      </c>
      <c r="C1364" s="17" t="n">
        <f aca="false">Report!U1762</f>
        <v>477.88</v>
      </c>
      <c r="D1364" s="1" t="str">
        <f aca="false">Report!X1762</f>
        <v>NF 860572 2/3 - ALICIA</v>
      </c>
    </row>
    <row r="1365" customFormat="false" ht="12.75" hidden="false" customHeight="true" outlineLevel="0" collapsed="false">
      <c r="A1365" s="16" t="n">
        <f aca="false">Report!C1763</f>
        <v>46261</v>
      </c>
      <c r="B1365" s="1" t="str">
        <f aca="false">Report!E1763</f>
        <v>OESA COMERCIO E REPRESENTACOES S/A</v>
      </c>
      <c r="C1365" s="17" t="n">
        <f aca="false">Report!U1763</f>
        <v>984.44</v>
      </c>
      <c r="D1365" s="1" t="str">
        <f aca="false">Report!X1763</f>
        <v>NF 438335 2/3 - ALICIA</v>
      </c>
    </row>
    <row r="1366" customFormat="false" ht="12.75" hidden="false" customHeight="true" outlineLevel="0" collapsed="false">
      <c r="A1366" s="16" t="n">
        <f aca="false">Report!C1764</f>
        <v>46261</v>
      </c>
      <c r="B1366" s="1" t="str">
        <f aca="false">Report!E1764</f>
        <v>FENNIX BRASIL DISTRIBUIDORA DE PRODUTOS</v>
      </c>
      <c r="C1366" s="17" t="n">
        <f aca="false">Report!U1764</f>
        <v>610.15</v>
      </c>
      <c r="D1366" s="1" t="str">
        <f aca="false">Report!X1764</f>
        <v>NF 397888 3/3 - ALICIA</v>
      </c>
    </row>
    <row r="1367" customFormat="false" ht="12.75" hidden="false" customHeight="true" outlineLevel="0" collapsed="false">
      <c r="A1367" s="16" t="n">
        <f aca="false">Report!C1765</f>
        <v>46261</v>
      </c>
      <c r="B1367" s="1" t="str">
        <f aca="false">Report!E1765</f>
        <v>COMERCIO DE FRIOS MANAUS LTDA</v>
      </c>
      <c r="C1367" s="17" t="n">
        <f aca="false">Report!U1765</f>
        <v>2260.32</v>
      </c>
      <c r="D1367" s="1" t="str">
        <f aca="false">Report!X1765</f>
        <v>NF 174810 2/2 - ALICIA</v>
      </c>
    </row>
    <row r="1368" customFormat="false" ht="12.75" hidden="false" customHeight="true" outlineLevel="0" collapsed="false">
      <c r="A1368" s="16" t="n">
        <f aca="false">Report!C1766</f>
        <v>46261</v>
      </c>
      <c r="B1368" s="1" t="str">
        <f aca="false">Report!E1766</f>
        <v>L S M COMERCIO DE ALIMENTOS E NAVEGACAO</v>
      </c>
      <c r="C1368" s="17" t="n">
        <f aca="false">Report!U1766</f>
        <v>1384</v>
      </c>
      <c r="D1368" s="1" t="str">
        <f aca="false">Report!X1766</f>
        <v>NF 310741 1/3 - ALICIA</v>
      </c>
    </row>
    <row r="1369" customFormat="false" ht="12.75" hidden="false" customHeight="true" outlineLevel="0" collapsed="false">
      <c r="A1369" s="16" t="n">
        <f aca="false">Report!C1767</f>
        <v>46261</v>
      </c>
      <c r="B1369" s="1" t="str">
        <f aca="false">Report!E1767</f>
        <v>OCIDENTAL COMERCIO DE FRIOS LTDA</v>
      </c>
      <c r="C1369" s="17" t="n">
        <f aca="false">Report!U1767</f>
        <v>354.2</v>
      </c>
      <c r="D1369" s="1" t="str">
        <f aca="false">Report!X1767</f>
        <v>NF 1258988 1/2 - ALICIA</v>
      </c>
    </row>
    <row r="1370" customFormat="false" ht="12.75" hidden="false" customHeight="true" outlineLevel="0" collapsed="false">
      <c r="A1370" s="16" t="n">
        <f aca="false">Report!C1768</f>
        <v>46261</v>
      </c>
      <c r="B1370" s="1" t="str">
        <f aca="false">Report!E1768</f>
        <v>BF COMERCIO DE ALIMENTOS REPRESENTACAO L</v>
      </c>
      <c r="C1370" s="17" t="n">
        <f aca="false">Report!U1768</f>
        <v>355.96</v>
      </c>
      <c r="D1370" s="1" t="str">
        <f aca="false">Report!X1768</f>
        <v>NF 21254 1/3 - ALICIA</v>
      </c>
    </row>
    <row r="1371" customFormat="false" ht="12.75" hidden="false" customHeight="true" outlineLevel="0" collapsed="false">
      <c r="A1371" s="16" t="n">
        <f aca="false">Report!C1769</f>
        <v>46261</v>
      </c>
      <c r="B1371" s="1" t="str">
        <f aca="false">Report!E1769</f>
        <v>RCL COMERCIO DE PRODUTOS ALIMENTICIOS LT</v>
      </c>
      <c r="C1371" s="17" t="n">
        <f aca="false">Report!U1769</f>
        <v>515.16</v>
      </c>
      <c r="D1371" s="1" t="str">
        <f aca="false">Report!X1769</f>
        <v>NF 222948 1/1 - ALICIA</v>
      </c>
    </row>
    <row r="1372" customFormat="false" ht="12.75" hidden="false" customHeight="true" outlineLevel="0" collapsed="false">
      <c r="A1372" s="16" t="n">
        <f aca="false">Report!C1770</f>
        <v>46261</v>
      </c>
      <c r="B1372" s="1" t="str">
        <f aca="false">Report!E1770</f>
        <v>NESTLÉ BRASIL LTDA.</v>
      </c>
      <c r="C1372" s="17" t="n">
        <f aca="false">Report!U1770</f>
        <v>1239.76</v>
      </c>
      <c r="D1372" s="1" t="str">
        <f aca="false">Report!X1770</f>
        <v>NF 1438570 1/1 - ALICIA</v>
      </c>
    </row>
    <row r="1373" customFormat="false" ht="12.75" hidden="false" customHeight="true" outlineLevel="0" collapsed="false">
      <c r="A1373" s="16" t="n">
        <f aca="false">Report!C1771</f>
        <v>46261</v>
      </c>
      <c r="B1373" s="1" t="str">
        <f aca="false">Report!E1771</f>
        <v>OLIVEIRA E SILVA LTDA</v>
      </c>
      <c r="C1373" s="17" t="n">
        <f aca="false">Report!U1771</f>
        <v>650</v>
      </c>
      <c r="D1373" s="1" t="str">
        <f aca="false">Report!X1771</f>
        <v>COMPRAS FARINHAS DO JOSE - ALICIA</v>
      </c>
    </row>
    <row r="1374" customFormat="false" ht="12.75" hidden="false" customHeight="true" outlineLevel="0" collapsed="false">
      <c r="A1374" s="16" t="n">
        <f aca="false">Report!C1772</f>
        <v>46261</v>
      </c>
      <c r="B1374" s="1" t="str">
        <f aca="false">Report!E1772</f>
        <v>BROTHERS  INDUSTRIA DE ALIMENTOS LTDA</v>
      </c>
      <c r="C1374" s="17" t="n">
        <f aca="false">Report!U1772</f>
        <v>502.41</v>
      </c>
      <c r="D1374" s="1" t="str">
        <f aca="false">Report!X1772</f>
        <v>NF 1037767 1/1 - ALICIA</v>
      </c>
    </row>
    <row r="1375" customFormat="false" ht="12.75" hidden="false" customHeight="true" outlineLevel="0" collapsed="false">
      <c r="A1375" s="16" t="n">
        <f aca="false">Report!C1773</f>
        <v>46261</v>
      </c>
      <c r="B1375" s="1" t="str">
        <f aca="false">Report!E1773</f>
        <v>COMERCIO DE FRIOS MANAUS LTDA</v>
      </c>
      <c r="C1375" s="17" t="n">
        <f aca="false">Report!U1773</f>
        <v>1841.2</v>
      </c>
      <c r="D1375" s="1" t="str">
        <f aca="false">Report!X1773</f>
        <v>NF 175182 1/2 - ALICIA</v>
      </c>
    </row>
    <row r="1376" customFormat="false" ht="12.75" hidden="false" customHeight="true" outlineLevel="0" collapsed="false">
      <c r="A1376" s="16" t="n">
        <f aca="false">Report!C1774</f>
        <v>46261</v>
      </c>
      <c r="B1376" s="1" t="str">
        <f aca="false">Report!E1774</f>
        <v>OLIVEIRA E SILVA LTDA</v>
      </c>
      <c r="C1376" s="17" t="n">
        <f aca="false">Report!U1774</f>
        <v>148</v>
      </c>
      <c r="D1376" s="1" t="str">
        <f aca="false">Report!X1774</f>
        <v>COMPRAS CHEIRO VERDE - ALICIA</v>
      </c>
    </row>
    <row r="1377" customFormat="false" ht="12.75" hidden="false" customHeight="true" outlineLevel="0" collapsed="false">
      <c r="A1377" s="16" t="n">
        <f aca="false">Report!C1775</f>
        <v>46261</v>
      </c>
      <c r="B1377" s="1" t="str">
        <f aca="false">Report!E1775</f>
        <v>GELO DANGELO FABRICACAO DE GELO LTDA</v>
      </c>
      <c r="C1377" s="17" t="n">
        <f aca="false">Report!U1775</f>
        <v>459.3</v>
      </c>
      <c r="D1377" s="1" t="str">
        <f aca="false">Report!X1775</f>
        <v>NF 533 1/1 - ALICIA</v>
      </c>
    </row>
    <row r="1378" customFormat="false" ht="12.75" hidden="false" customHeight="true" outlineLevel="0" collapsed="false">
      <c r="A1378" s="16" t="n">
        <f aca="false">Report!C1777</f>
        <v>46262</v>
      </c>
      <c r="B1378" s="1" t="str">
        <f aca="false">Report!E1777</f>
        <v>L S M COMERCIO DE ALIMENTOS E NAVEGACAO</v>
      </c>
      <c r="C1378" s="17" t="n">
        <f aca="false">Report!U1777</f>
        <v>983.7</v>
      </c>
      <c r="D1378" s="1" t="str">
        <f aca="false">Report!X1777</f>
        <v>NF 309542 3/3- ALICIA</v>
      </c>
    </row>
    <row r="1379" customFormat="false" ht="12.75" hidden="false" customHeight="true" outlineLevel="0" collapsed="false">
      <c r="A1379" s="16" t="n">
        <f aca="false">Report!C1778</f>
        <v>46262</v>
      </c>
      <c r="B1379" s="1" t="str">
        <f aca="false">Report!E1778</f>
        <v>PIARARA COMERCIO, IMPORTACAO E EXPORTACAO LTDA</v>
      </c>
      <c r="C1379" s="17" t="n">
        <f aca="false">Report!U1778</f>
        <v>1191.81</v>
      </c>
      <c r="D1379" s="1" t="str">
        <f aca="false">Report!X1778</f>
        <v>NF 195089 3/3 - ALICIA</v>
      </c>
    </row>
    <row r="1380" customFormat="false" ht="12.75" hidden="false" customHeight="true" outlineLevel="0" collapsed="false">
      <c r="A1380" s="16" t="n">
        <f aca="false">Report!C1779</f>
        <v>46262</v>
      </c>
      <c r="B1380" s="1" t="str">
        <f aca="false">Report!E1779</f>
        <v>VICTORIA COMERCIO INTERNACIONAL DE ALIME</v>
      </c>
      <c r="C1380" s="17" t="n">
        <f aca="false">Report!U1779</f>
        <v>481.16</v>
      </c>
      <c r="D1380" s="1" t="str">
        <f aca="false">Report!X1779</f>
        <v>NF 12548 3/3 - ALICIA</v>
      </c>
    </row>
    <row r="1381" customFormat="false" ht="12.75" hidden="false" customHeight="true" outlineLevel="0" collapsed="false">
      <c r="A1381" s="16" t="n">
        <f aca="false">Report!C1780</f>
        <v>46262</v>
      </c>
      <c r="B1381" s="1" t="str">
        <f aca="false">Report!E1780</f>
        <v>DISTRIBUIDORA LOPES LTDA</v>
      </c>
      <c r="C1381" s="17" t="n">
        <f aca="false">Report!U1780</f>
        <v>362.68</v>
      </c>
      <c r="D1381" s="1" t="str">
        <f aca="false">Report!X1780</f>
        <v>NF 1703152 3/3 - ALICIA</v>
      </c>
    </row>
    <row r="1382" customFormat="false" ht="12.75" hidden="false" customHeight="true" outlineLevel="0" collapsed="false">
      <c r="A1382" s="16" t="n">
        <f aca="false">Report!C1781</f>
        <v>46262</v>
      </c>
      <c r="B1382" s="1" t="str">
        <f aca="false">Report!E1781</f>
        <v>MARQUES &amp; MELO LTDA - FILIAL</v>
      </c>
      <c r="C1382" s="17" t="n">
        <f aca="false">Report!U1781</f>
        <v>300.54</v>
      </c>
      <c r="D1382" s="1" t="str">
        <f aca="false">Report!X1781</f>
        <v>NF 506838 1/3 - ALICIA</v>
      </c>
    </row>
    <row r="1383" customFormat="false" ht="12.75" hidden="false" customHeight="true" outlineLevel="0" collapsed="false">
      <c r="A1383" s="16" t="n">
        <f aca="false">Report!C1782</f>
        <v>46262</v>
      </c>
      <c r="B1383" s="1" t="str">
        <f aca="false">Report!E1782</f>
        <v>COMERCIO DE FRIOS MANAUS LTDA</v>
      </c>
      <c r="C1383" s="17" t="n">
        <f aca="false">Report!U1782</f>
        <v>1314.45</v>
      </c>
      <c r="D1383" s="1" t="str">
        <f aca="false">Report!X1782</f>
        <v>NF 174894 1/1 - ALICIA</v>
      </c>
    </row>
    <row r="1384" customFormat="false" ht="12.75" hidden="false" customHeight="true" outlineLevel="0" collapsed="false">
      <c r="A1384" s="16" t="n">
        <f aca="false">Report!C1783</f>
        <v>46262</v>
      </c>
      <c r="B1384" s="1" t="str">
        <f aca="false">Report!E1783</f>
        <v>L S M COMERCIO DE ALIMENTOS E NAVEGACAO</v>
      </c>
      <c r="C1384" s="17" t="n">
        <f aca="false">Report!U1783</f>
        <v>986.03</v>
      </c>
      <c r="D1384" s="1" t="str">
        <f aca="false">Report!X1783</f>
        <v>NF 310154 2/3 - ALICIA</v>
      </c>
    </row>
    <row r="1385" customFormat="false" ht="12.75" hidden="false" customHeight="true" outlineLevel="0" collapsed="false">
      <c r="A1385" s="16" t="n">
        <f aca="false">Report!C1784</f>
        <v>46262</v>
      </c>
      <c r="B1385" s="1" t="str">
        <f aca="false">Report!E1784</f>
        <v>VIA CERTA IMPORTACAO E DISTRIBUICAO DE A</v>
      </c>
      <c r="C1385" s="17" t="n">
        <f aca="false">Report!U1784</f>
        <v>500.78</v>
      </c>
      <c r="D1385" s="1" t="str">
        <f aca="false">Report!X1784</f>
        <v>NF 53548 2/3 - ALICIA</v>
      </c>
    </row>
    <row r="1386" customFormat="false" ht="12.75" hidden="false" customHeight="true" outlineLevel="0" collapsed="false">
      <c r="A1386" s="16" t="n">
        <f aca="false">Report!C1785</f>
        <v>46262</v>
      </c>
      <c r="B1386" s="1" t="str">
        <f aca="false">Report!E1785</f>
        <v>GONCALES COMER DE HORT GRANJEIROS EIRELI</v>
      </c>
      <c r="C1386" s="17" t="n">
        <f aca="false">Report!U1785</f>
        <v>249.5</v>
      </c>
      <c r="D1386" s="1" t="str">
        <f aca="false">Report!X1785</f>
        <v>NF 111 1/1 - ALICIA</v>
      </c>
    </row>
    <row r="1387" customFormat="false" ht="12.75" hidden="false" customHeight="true" outlineLevel="0" collapsed="false">
      <c r="A1387" s="16" t="n">
        <f aca="false">Report!C1786</f>
        <v>46262</v>
      </c>
      <c r="B1387" s="1" t="str">
        <f aca="false">Report!E1786</f>
        <v>ELFORT FRUIT COMERCIO DE PRODUTOS ALIME</v>
      </c>
      <c r="C1387" s="17" t="n">
        <f aca="false">Report!U1786</f>
        <v>730.71</v>
      </c>
      <c r="D1387" s="1" t="str">
        <f aca="false">Report!X1786</f>
        <v>NF 28353 2/2 - ALICIA</v>
      </c>
    </row>
    <row r="1388" customFormat="false" ht="12.75" hidden="false" customHeight="true" outlineLevel="0" collapsed="false">
      <c r="A1388" s="16" t="n">
        <f aca="false">Report!C1787</f>
        <v>46262</v>
      </c>
      <c r="B1388" s="1" t="str">
        <f aca="false">Report!E1787</f>
        <v>OLIVEIRA E SILVA LTDA</v>
      </c>
      <c r="C1388" s="17" t="n">
        <f aca="false">Report!U1787</f>
        <v>300</v>
      </c>
      <c r="D1388" s="1" t="str">
        <f aca="false">Report!X1787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Report!C1788</f>
        <v>46262</v>
      </c>
      <c r="B1389" s="1" t="str">
        <f aca="false">Report!E1788</f>
        <v>CINTIA MACIEL PEREIRA SANTOS 95986138287</v>
      </c>
      <c r="C1389" s="17" t="n">
        <f aca="false">Report!U1788</f>
        <v>885.96</v>
      </c>
      <c r="D1389" s="1" t="str">
        <f aca="false">Report!X1788</f>
        <v>NF 1441 1/1 - ALICIA</v>
      </c>
    </row>
    <row r="1390" customFormat="false" ht="12.75" hidden="false" customHeight="true" outlineLevel="0" collapsed="false">
      <c r="A1390" s="16" t="n">
        <f aca="false">Report!C1789</f>
        <v>46262</v>
      </c>
      <c r="B1390" s="1" t="str">
        <f aca="false">Report!E1789</f>
        <v>COMERCIO DE FRIOS MANAUS LTDA</v>
      </c>
      <c r="C1390" s="17" t="n">
        <f aca="false">Report!U1789</f>
        <v>680</v>
      </c>
      <c r="D1390" s="1" t="str">
        <f aca="false">Report!X1789</f>
        <v>NF 175219 1/1 - ALICIA</v>
      </c>
    </row>
    <row r="1391" customFormat="false" ht="12.75" hidden="false" customHeight="true" outlineLevel="0" collapsed="false">
      <c r="A1391" s="16" t="n">
        <f aca="false">Report!C1790</f>
        <v>46262</v>
      </c>
      <c r="B1391" s="1" t="str">
        <f aca="false">Report!E1790</f>
        <v>BRAGA TABACARIA EIRELI ME</v>
      </c>
      <c r="C1391" s="17" t="n">
        <f aca="false">Report!U1790</f>
        <v>1924.08</v>
      </c>
      <c r="D1391" s="1" t="str">
        <f aca="false">Report!X1790</f>
        <v>NF 19986 1/3 - ALICIA</v>
      </c>
    </row>
    <row r="1392" customFormat="false" ht="12.75" hidden="false" customHeight="true" outlineLevel="0" collapsed="false">
      <c r="A1392" s="16" t="n">
        <f aca="false">Report!C1791</f>
        <v>46262</v>
      </c>
      <c r="B1392" s="1" t="str">
        <f aca="false">Report!E1791</f>
        <v>BRAGA TABACARIA EIRELI ME</v>
      </c>
      <c r="C1392" s="17" t="n">
        <f aca="false">Report!U1791</f>
        <v>616.07</v>
      </c>
      <c r="D1392" s="1" t="str">
        <f aca="false">Report!X1791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Report!C1792</f>
        <v>46262</v>
      </c>
      <c r="B1393" s="1" t="str">
        <f aca="false">Report!E1792</f>
        <v>SOUZA CRUZ LTDA.</v>
      </c>
      <c r="C1393" s="17" t="n">
        <f aca="false">Report!U1792</f>
        <v>2253.67</v>
      </c>
      <c r="D1393" s="1" t="str">
        <f aca="false">Report!X1792</f>
        <v>NF 570873 1/2 - ALICIA</v>
      </c>
    </row>
    <row r="1394" customFormat="false" ht="12.75" hidden="false" customHeight="true" outlineLevel="0" collapsed="false">
      <c r="A1394" s="16" t="n">
        <f aca="false">Report!C1793</f>
        <v>46262</v>
      </c>
      <c r="B1394" s="1" t="str">
        <f aca="false">Report!E1793</f>
        <v>BRF S A</v>
      </c>
      <c r="C1394" s="17" t="n">
        <f aca="false">Report!U1793</f>
        <v>1332.64</v>
      </c>
      <c r="D1394" s="1" t="str">
        <f aca="false">Report!X1793</f>
        <v>NF 1622008 1/3 - ALICIA</v>
      </c>
    </row>
    <row r="1395" customFormat="false" ht="12.75" hidden="false" customHeight="true" outlineLevel="0" collapsed="false">
      <c r="A1395" s="16" t="n">
        <f aca="false">Report!C1794</f>
        <v>46262</v>
      </c>
      <c r="B1395" s="1" t="str">
        <f aca="false">Report!E1794</f>
        <v>JANETE DE LIMA ROOL 80938280287</v>
      </c>
      <c r="C1395" s="17" t="n">
        <f aca="false">Report!U1794</f>
        <v>140</v>
      </c>
      <c r="D1395" s="1" t="str">
        <f aca="false">Report!X1794</f>
        <v>NF 7109 1/1 - ALICIA</v>
      </c>
    </row>
    <row r="1396" customFormat="false" ht="12.75" hidden="false" customHeight="true" outlineLevel="0" collapsed="false">
      <c r="A1396" s="16" t="n">
        <f aca="false">Report!C1795</f>
        <v>46262</v>
      </c>
      <c r="B1396" s="1" t="str">
        <f aca="false">Report!E1795</f>
        <v>OLIVEIRA E SILVA LTDA</v>
      </c>
      <c r="C1396" s="17" t="n">
        <f aca="false">Report!U1795</f>
        <v>1640.5</v>
      </c>
      <c r="D1396" s="1" t="str">
        <f aca="false">Report!X1795</f>
        <v>COMPRAS CARLOS VERDURAS - ALICIA</v>
      </c>
    </row>
    <row r="1397" customFormat="false" ht="12.75" hidden="false" customHeight="true" outlineLevel="0" collapsed="false">
      <c r="A1397" s="16" t="n">
        <f aca="false">Report!C1796</f>
        <v>46262</v>
      </c>
      <c r="B1397" s="1" t="str">
        <f aca="false">Report!E1796</f>
        <v>COMERCIO E TRANSPORTE BRANDAO LTDA</v>
      </c>
      <c r="C1397" s="17" t="n">
        <f aca="false">Report!U1796</f>
        <v>320</v>
      </c>
      <c r="D1397" s="1" t="str">
        <f aca="false">Report!X1796</f>
        <v>NF 15174 1/1 - COMPRAS CARLOS VERDURAS - ALICIA</v>
      </c>
    </row>
    <row r="1398" customFormat="false" ht="12.75" hidden="false" customHeight="true" outlineLevel="0" collapsed="false">
      <c r="A1398" s="16" t="n">
        <f aca="false">Report!C1797</f>
        <v>46262</v>
      </c>
      <c r="B1398" s="1" t="str">
        <f aca="false">Report!E1797</f>
        <v>COMERCIO E TRANSPORTE BRANDAO LTDA</v>
      </c>
      <c r="C1398" s="17" t="n">
        <f aca="false">Report!U1797</f>
        <v>300</v>
      </c>
      <c r="D1398" s="1" t="str">
        <f aca="false">Report!X1797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Report!C1799</f>
        <v>46262</v>
      </c>
      <c r="B1399" s="1" t="str">
        <f aca="false">Report!E1799</f>
        <v>H L M PADARIA E CONFEITARIA LTDA</v>
      </c>
      <c r="C1399" s="17" t="n">
        <f aca="false">Report!U1799</f>
        <v>180</v>
      </c>
      <c r="D1399" s="1" t="str">
        <f aca="false">Report!X1799</f>
        <v>NF 219 - COMPRAS BOLOS MIAZAKI - ALICIA</v>
      </c>
    </row>
    <row r="1400" customFormat="false" ht="12.75" hidden="false" customHeight="true" outlineLevel="0" collapsed="false">
      <c r="A1400" s="16" t="n">
        <f aca="false">Report!C1800</f>
        <v>46262</v>
      </c>
      <c r="B1400" s="1" t="str">
        <f aca="false">Report!E1800</f>
        <v>OLIVEIRA E SILVA LTDA</v>
      </c>
      <c r="C1400" s="17" t="n">
        <f aca="false">Report!U1800</f>
        <v>250</v>
      </c>
      <c r="D1400" s="1" t="str">
        <f aca="false">Report!X1800</f>
        <v>COMPRAS 2 CX DE BANANAS - ALICIA</v>
      </c>
    </row>
    <row r="1401" customFormat="false" ht="12.75" hidden="false" customHeight="true" outlineLevel="0" collapsed="false">
      <c r="A1401" s="16" t="n">
        <f aca="false">Report!C1801</f>
        <v>46262</v>
      </c>
      <c r="B1401" s="1" t="str">
        <f aca="false">Report!E1801</f>
        <v>OLIVEIRA E SILVA LTDA</v>
      </c>
      <c r="C1401" s="17" t="n">
        <f aca="false">Report!U1801</f>
        <v>75</v>
      </c>
      <c r="D1401" s="1" t="str">
        <f aca="false">Report!X1801</f>
        <v>COMPRAS CHEIRO VERDE - ALICIA</v>
      </c>
    </row>
    <row r="1402" customFormat="false" ht="12.75" hidden="false" customHeight="true" outlineLevel="0" collapsed="false">
      <c r="A1402" s="16" t="n">
        <f aca="false">Report!C1802</f>
        <v>46262</v>
      </c>
      <c r="B1402" s="1" t="str">
        <f aca="false">Report!E1802</f>
        <v>J W N DOS SANTOS</v>
      </c>
      <c r="C1402" s="17" t="n">
        <f aca="false">Report!U1802</f>
        <v>672.5</v>
      </c>
      <c r="D1402" s="1" t="str">
        <f aca="false">Report!X1802</f>
        <v>NF 419 1/1 - COMPRAS CARVAO - ALICIA</v>
      </c>
    </row>
    <row r="1403" customFormat="false" ht="12.75" hidden="false" customHeight="true" outlineLevel="0" collapsed="false">
      <c r="A1403" s="16" t="n">
        <f aca="false">Report!C1803</f>
        <v>46262</v>
      </c>
      <c r="B1403" s="1" t="str">
        <f aca="false">Report!E1803</f>
        <v>60.729.628 LAURENA NUNES CALIXTO</v>
      </c>
      <c r="C1403" s="17" t="n">
        <f aca="false">Report!U1803</f>
        <v>270</v>
      </c>
      <c r="D1403" s="1" t="str">
        <f aca="false">Report!X1803</f>
        <v>NF 906 1/1 - ALICIA</v>
      </c>
    </row>
    <row r="1404" customFormat="false" ht="12.75" hidden="false" customHeight="true" outlineLevel="0" collapsed="false">
      <c r="A1404" s="16" t="n">
        <f aca="false">Report!C1805</f>
        <v>46263</v>
      </c>
      <c r="B1404" s="1" t="str">
        <f aca="false">Report!E1805</f>
        <v>J G COMERCIO DE PRODUTOS ALIMENTICIOS LTDA</v>
      </c>
      <c r="C1404" s="17" t="n">
        <f aca="false">Report!U1805</f>
        <v>655.61</v>
      </c>
      <c r="D1404" s="1" t="str">
        <f aca="false">Report!X1805</f>
        <v>NF 398009 1/3 - ALICIA</v>
      </c>
    </row>
    <row r="1405" customFormat="false" ht="12.75" hidden="false" customHeight="true" outlineLevel="0" collapsed="false">
      <c r="A1405" s="16" t="n">
        <f aca="false">Report!C1806</f>
        <v>46263</v>
      </c>
      <c r="B1405" s="1" t="str">
        <f aca="false">Report!E1806</f>
        <v>COMERCIO DE FRIOS MANAUS LTDA</v>
      </c>
      <c r="C1405" s="17" t="n">
        <f aca="false">Report!U1806</f>
        <v>3375.6</v>
      </c>
      <c r="D1405" s="1" t="str">
        <f aca="false">Report!X1806</f>
        <v>NF 174946 1/1 - ALICIA</v>
      </c>
    </row>
    <row r="1406" customFormat="false" ht="12.75" hidden="false" customHeight="true" outlineLevel="0" collapsed="false">
      <c r="A1406" s="16" t="n">
        <f aca="false">Report!C1807</f>
        <v>46263</v>
      </c>
      <c r="B1406" s="1" t="str">
        <f aca="false">Report!E1807</f>
        <v>MARE DISTRIBUIDORA DE BEBIDAS E DE PRODUTOS ALIMENTICIOS LTDA</v>
      </c>
      <c r="C1406" s="17" t="n">
        <f aca="false">Report!U1807</f>
        <v>960</v>
      </c>
      <c r="D1406" s="1" t="str">
        <f aca="false">Report!X1807</f>
        <v>NF 8171191 1/2 - ALICIA</v>
      </c>
    </row>
    <row r="1407" customFormat="false" ht="12.75" hidden="false" customHeight="true" outlineLevel="0" collapsed="false">
      <c r="A1407" s="16" t="n">
        <f aca="false">Report!C1808</f>
        <v>46263</v>
      </c>
      <c r="B1407" s="1" t="str">
        <f aca="false">Report!E1808</f>
        <v>H. L. DO NASCIMENTO</v>
      </c>
      <c r="C1407" s="17" t="n">
        <f aca="false">Report!U1808</f>
        <v>711.3</v>
      </c>
      <c r="D1407" s="1" t="str">
        <f aca="false">Report!X1808</f>
        <v>NF 6022 1/1 - ALICIA</v>
      </c>
    </row>
    <row r="1408" customFormat="false" ht="12.75" hidden="false" customHeight="true" outlineLevel="0" collapsed="false">
      <c r="A1408" s="16" t="n">
        <f aca="false">Report!C1809</f>
        <v>46263</v>
      </c>
      <c r="B1408" s="1" t="str">
        <f aca="false">Report!E1809</f>
        <v>MARE DISTRIBUIDORA DE BEBIDAS E DE PRODUTOS ALIMENTICIOS LTDA</v>
      </c>
      <c r="C1408" s="17" t="n">
        <f aca="false">Report!U1809</f>
        <v>638.75</v>
      </c>
      <c r="D1408" s="1" t="str">
        <f aca="false">Report!X1809</f>
        <v>NF 8171192 1/2 - ALICIA</v>
      </c>
    </row>
    <row r="1409" customFormat="false" ht="12.75" hidden="false" customHeight="true" outlineLevel="0" collapsed="false">
      <c r="A1409" s="16" t="n">
        <f aca="false">Report!C1810</f>
        <v>46263</v>
      </c>
      <c r="B1409" s="1" t="str">
        <f aca="false">Report!E1810</f>
        <v>OLIVEIRA E SILVA LTDA</v>
      </c>
      <c r="C1409" s="17" t="n">
        <f aca="false">Report!U1810</f>
        <v>125</v>
      </c>
      <c r="D1409" s="1" t="str">
        <f aca="false">Report!X1810</f>
        <v>COMPRAS 1CX DE BANANAS -ALICIA</v>
      </c>
    </row>
    <row r="1410" customFormat="false" ht="12.75" hidden="false" customHeight="true" outlineLevel="0" collapsed="false">
      <c r="A1410" s="16" t="n">
        <f aca="false">Report!C1811</f>
        <v>46263</v>
      </c>
      <c r="B1410" s="1" t="str">
        <f aca="false">Report!E1811</f>
        <v>OLIVEIRA E SILVA LTDA</v>
      </c>
      <c r="C1410" s="17" t="n">
        <f aca="false">Report!U1811</f>
        <v>321</v>
      </c>
      <c r="D1410" s="1" t="str">
        <f aca="false">Report!X1811</f>
        <v>COMPRAS CHEIRO VERDE - ALICIA</v>
      </c>
    </row>
    <row r="1411" customFormat="false" ht="12.75" hidden="false" customHeight="true" outlineLevel="0" collapsed="false">
      <c r="A1411" s="16" t="n">
        <f aca="false">Report!C1812</f>
        <v>46263</v>
      </c>
      <c r="B1411" s="1" t="str">
        <f aca="false">Report!E1812</f>
        <v>OLIVEIRA E SILVA LTDA</v>
      </c>
      <c r="C1411" s="17" t="n">
        <f aca="false">Report!U1812</f>
        <v>109.28</v>
      </c>
      <c r="D1411" s="1" t="str">
        <f aca="false">Report!X1812</f>
        <v>COMPRAS MAXIXE, BATATA DOCE E JERIMUM - ALICIA</v>
      </c>
    </row>
    <row r="1412" customFormat="false" ht="12.75" hidden="false" customHeight="true" outlineLevel="0" collapsed="false">
      <c r="A1412" s="16" t="n">
        <f aca="false">Report!C1813</f>
        <v>46265</v>
      </c>
      <c r="B1412" s="1" t="str">
        <f aca="false">Report!E1813</f>
        <v>KAROLINY RODRIGUES SOUZA VENANCIO 915783</v>
      </c>
      <c r="C1412" s="17" t="n">
        <f aca="false">Report!U1813</f>
        <v>250</v>
      </c>
      <c r="D1412" s="1" t="str">
        <f aca="false">Report!X1813</f>
        <v>NF 1716 1/1 - ALICIA </v>
      </c>
    </row>
    <row r="1413" customFormat="false" ht="12.75" hidden="false" customHeight="true" outlineLevel="0" collapsed="false">
      <c r="A1413" s="16" t="n">
        <f aca="false">Report!C1814</f>
        <v>46265</v>
      </c>
      <c r="B1413" s="1" t="str">
        <f aca="false">Report!E1814</f>
        <v>DUNORTE DISTRIBUIDORA DE PRODUTOS DE CONSUMO LTDA</v>
      </c>
      <c r="C1413" s="17" t="n">
        <f aca="false">Report!U1814</f>
        <v>949.63</v>
      </c>
      <c r="D1413" s="1" t="str">
        <f aca="false">Report!X1814</f>
        <v>NF 3229254 3/4 - ALICIA</v>
      </c>
    </row>
    <row r="1414" customFormat="false" ht="12.75" hidden="false" customHeight="true" outlineLevel="0" collapsed="false">
      <c r="A1414" s="16" t="n">
        <f aca="false">Report!C1815</f>
        <v>46265</v>
      </c>
      <c r="B1414" s="1" t="str">
        <f aca="false">Report!E1815</f>
        <v>GILBERTO SILVA NASCIMENTO</v>
      </c>
      <c r="C1414" s="17" t="n">
        <f aca="false">Report!U1815</f>
        <v>538.18</v>
      </c>
      <c r="D1414" s="1" t="str">
        <f aca="false">Report!X1815</f>
        <v>NF 846 3/4 - ALICIA</v>
      </c>
    </row>
    <row r="1415" customFormat="false" ht="12.75" hidden="false" customHeight="true" outlineLevel="0" collapsed="false">
      <c r="A1415" s="16" t="n">
        <f aca="false">Report!C1816</f>
        <v>46265</v>
      </c>
      <c r="B1415" s="1" t="str">
        <f aca="false">Report!E1816</f>
        <v>OESA COMERCIO E REPRESENTACOES S/A</v>
      </c>
      <c r="C1415" s="17" t="n">
        <f aca="false">Report!U1816</f>
        <v>273.53</v>
      </c>
      <c r="D1415" s="1" t="str">
        <f aca="false">Report!X1816</f>
        <v>NF 443784 1/3 - ALICIA</v>
      </c>
    </row>
    <row r="1416" customFormat="false" ht="12.75" hidden="false" customHeight="true" outlineLevel="0" collapsed="false">
      <c r="A1416" s="16" t="n">
        <f aca="false">Report!C1817</f>
        <v>46265</v>
      </c>
      <c r="B1416" s="1" t="str">
        <f aca="false">Report!E1817</f>
        <v>IRMÃOS LIMA  ATACADO  DE ALIMENTOS LTDA</v>
      </c>
      <c r="C1416" s="17" t="n">
        <f aca="false">Report!U1817</f>
        <v>1028.18</v>
      </c>
      <c r="D1416" s="1" t="str">
        <f aca="false">Report!X1817</f>
        <v>NF 297049 2/3 - ALICIA</v>
      </c>
    </row>
    <row r="1417" customFormat="false" ht="12.75" hidden="false" customHeight="true" outlineLevel="0" collapsed="false">
      <c r="A1417" s="16" t="n">
        <f aca="false">Report!C1818</f>
        <v>46265</v>
      </c>
      <c r="B1417" s="1" t="str">
        <f aca="false">Report!E1818</f>
        <v>ADRIANA DISTRIBUIDORA DE PRODUTOS ALIMEN</v>
      </c>
      <c r="C1417" s="17" t="n">
        <f aca="false">Report!U1818</f>
        <v>1265.75</v>
      </c>
      <c r="D1417" s="1" t="str">
        <f aca="false">Report!X1818</f>
        <v>NF 890827 1/3 - ALICIA</v>
      </c>
    </row>
    <row r="1418" customFormat="false" ht="12.75" hidden="false" customHeight="true" outlineLevel="0" collapsed="false">
      <c r="A1418" s="16" t="n">
        <f aca="false">Report!C1819</f>
        <v>46265</v>
      </c>
      <c r="B1418" s="1" t="str">
        <f aca="false">Report!E1819</f>
        <v>SL DISTRIBUIDORA COM. DE PROD. ALIMENTIC</v>
      </c>
      <c r="C1418" s="17" t="n">
        <f aca="false">Report!U1819</f>
        <v>427.28</v>
      </c>
      <c r="D1418" s="1" t="str">
        <f aca="false">Report!X1819</f>
        <v>NF 11361 1/2 - ALICIA</v>
      </c>
    </row>
    <row r="1419" customFormat="false" ht="12.75" hidden="false" customHeight="true" outlineLevel="0" collapsed="false">
      <c r="A1419" s="16" t="n">
        <f aca="false">Report!C1820</f>
        <v>46265</v>
      </c>
      <c r="B1419" s="1" t="str">
        <f aca="false">Report!E1820</f>
        <v>DISTRIBUIDORA LOPES LTDA</v>
      </c>
      <c r="C1419" s="17" t="n">
        <f aca="false">Report!U1820</f>
        <v>629.96</v>
      </c>
      <c r="D1419" s="1" t="str">
        <f aca="false">Report!X1820</f>
        <v>NF 172626 1/1 - ALICIA</v>
      </c>
    </row>
    <row r="1420" customFormat="false" ht="12.75" hidden="false" customHeight="true" outlineLevel="0" collapsed="false">
      <c r="A1420" s="16" t="n">
        <f aca="false">Report!C1821</f>
        <v>46265</v>
      </c>
      <c r="B1420" s="1" t="str">
        <f aca="false">Report!E1821</f>
        <v>CRBS S/A</v>
      </c>
      <c r="C1420" s="17" t="n">
        <f aca="false">Report!U1821</f>
        <v>832.18</v>
      </c>
      <c r="D1420" s="1" t="str">
        <f aca="false">Report!X1821</f>
        <v>NF 974216 1/1 - ALICIA</v>
      </c>
    </row>
    <row r="1421" customFormat="false" ht="12.75" hidden="false" customHeight="true" outlineLevel="0" collapsed="false">
      <c r="A1421" s="16" t="n">
        <f aca="false">Report!C1822</f>
        <v>46265</v>
      </c>
      <c r="B1421" s="1" t="str">
        <f aca="false">Report!E1822</f>
        <v>OLIVEIRA E SILVA LTDA</v>
      </c>
      <c r="C1421" s="17" t="n">
        <f aca="false">Report!U1822</f>
        <v>855</v>
      </c>
      <c r="D1421" s="1" t="str">
        <f aca="false">Report!X1822</f>
        <v>COMPRAS FARINHAS DO JOSE - ALICIA</v>
      </c>
    </row>
    <row r="1422" customFormat="false" ht="12.75" hidden="false" customHeight="true" outlineLevel="0" collapsed="false">
      <c r="A1422" s="16" t="n">
        <f aca="false">Report!C1823</f>
        <v>46265</v>
      </c>
      <c r="B1422" s="1" t="str">
        <f aca="false">Report!E1823</f>
        <v>MAXFRI DISTRIUIDORA LTDA</v>
      </c>
      <c r="C1422" s="17" t="n">
        <f aca="false">Report!U1823</f>
        <v>3695.25</v>
      </c>
      <c r="D1422" s="1" t="str">
        <f aca="false">Report!X1823</f>
        <v>NF 15125 1/2 - ALICIA</v>
      </c>
    </row>
    <row r="1423" customFormat="false" ht="12.75" hidden="false" customHeight="true" outlineLevel="0" collapsed="false">
      <c r="A1423" s="16" t="n">
        <f aca="false">Report!C1824</f>
        <v>46265</v>
      </c>
      <c r="B1423" s="1" t="str">
        <f aca="false">Report!E1824</f>
        <v>COMERCIO DE FRIOS MANAUS LTDA</v>
      </c>
      <c r="C1423" s="17" t="n">
        <f aca="false">Report!U1824</f>
        <v>742.9</v>
      </c>
      <c r="D1423" s="1" t="str">
        <f aca="false">Report!X1824</f>
        <v>NF 175357 1/2 - ALICIA</v>
      </c>
    </row>
    <row r="1424" customFormat="false" ht="12.75" hidden="false" customHeight="true" outlineLevel="0" collapsed="false">
      <c r="A1424" s="16" t="n">
        <f aca="false">Report!C1825</f>
        <v>46265</v>
      </c>
      <c r="B1424" s="1" t="str">
        <f aca="false">Report!E1825</f>
        <v>BRASIL NORTE BEBIDAS S/A</v>
      </c>
      <c r="C1424" s="17" t="n">
        <f aca="false">Report!U1825</f>
        <v>4351.96</v>
      </c>
      <c r="D1424" s="1" t="str">
        <f aca="false">Report!X1825</f>
        <v>NF 2005905 1/1 - ALICIA</v>
      </c>
    </row>
    <row r="1425" customFormat="false" ht="12.75" hidden="false" customHeight="true" outlineLevel="0" collapsed="false">
      <c r="A1425" s="16" t="n">
        <f aca="false">Report!C1826</f>
        <v>46265</v>
      </c>
      <c r="B1425" s="1" t="str">
        <f aca="false">Report!E1826</f>
        <v>BRASIL NORTE BEBIDAS S/A</v>
      </c>
      <c r="C1425" s="17" t="n">
        <f aca="false">Report!U1826</f>
        <v>1976.08</v>
      </c>
      <c r="D1425" s="1" t="str">
        <f aca="false">Report!X1826</f>
        <v>NF 1262447 1/1 - ALICIA</v>
      </c>
    </row>
    <row r="1426" customFormat="false" ht="12.75" hidden="false" customHeight="true" outlineLevel="0" collapsed="false">
      <c r="A1426" s="16" t="n">
        <f aca="false">Report!C1827</f>
        <v>46265</v>
      </c>
      <c r="B1426" s="1" t="str">
        <f aca="false">Report!E1827</f>
        <v>BRASIL NORTE BEBIDAS S/A</v>
      </c>
      <c r="C1426" s="17" t="n">
        <f aca="false">Report!U1827</f>
        <v>653.29</v>
      </c>
      <c r="D1426" s="1" t="str">
        <f aca="false">Report!X1827</f>
        <v>NF 1262446 1/1 - ALICIA</v>
      </c>
    </row>
    <row r="1427" customFormat="false" ht="12.75" hidden="false" customHeight="true" outlineLevel="0" collapsed="false">
      <c r="A1427" s="16" t="n">
        <f aca="false">Report!C1828</f>
        <v>46265</v>
      </c>
      <c r="B1427" s="1" t="str">
        <f aca="false">Report!E1828</f>
        <v>BRASIL NORTE BEBIDAS S/A</v>
      </c>
      <c r="C1427" s="17" t="n">
        <f aca="false">Report!U1828</f>
        <v>567.1</v>
      </c>
      <c r="D1427" s="1" t="str">
        <f aca="false">Report!X1828</f>
        <v>NF 2006202 1/1 - ALICIA</v>
      </c>
    </row>
    <row r="1428" customFormat="false" ht="12.75" hidden="false" customHeight="true" outlineLevel="0" collapsed="false">
      <c r="A1428" s="16" t="n">
        <f aca="false">Report!C1829</f>
        <v>46265</v>
      </c>
      <c r="B1428" s="1" t="str">
        <f aca="false">Report!E1829</f>
        <v>AGL DISTRIBUIDORA LIMITADA MATRIZ</v>
      </c>
      <c r="C1428" s="17" t="n">
        <f aca="false">Report!U1829</f>
        <v>120.85</v>
      </c>
      <c r="D1428" s="1" t="str">
        <f aca="false">Report!X1829</f>
        <v>NF 14605 1/1 - ALICIA</v>
      </c>
    </row>
    <row r="1429" customFormat="false" ht="12.75" hidden="false" customHeight="true" outlineLevel="0" collapsed="false">
      <c r="A1429" s="16" t="n">
        <f aca="false">Report!C1830</f>
        <v>46265</v>
      </c>
      <c r="B1429" s="1" t="str">
        <f aca="false">Report!E1830</f>
        <v>ELZILENE DA SILVA</v>
      </c>
      <c r="C1429" s="17" t="n">
        <f aca="false">Report!U1830</f>
        <v>925</v>
      </c>
      <c r="D1429" s="1" t="str">
        <f aca="false">Report!X1830</f>
        <v>NF 2754 1/1 - ALICIA</v>
      </c>
    </row>
    <row r="1430" customFormat="false" ht="12.75" hidden="false" customHeight="true" outlineLevel="0" collapsed="false">
      <c r="A1430" s="16" t="n">
        <f aca="false">Report!C1834</f>
        <v>46265</v>
      </c>
      <c r="B1430" s="1" t="str">
        <f aca="false">Report!E1834</f>
        <v>RV TECNOLOGIA E SISTEMAS S.A</v>
      </c>
      <c r="C1430" s="17" t="n">
        <f aca="false">Report!U1834</f>
        <v>311.46</v>
      </c>
      <c r="D1430" s="1" t="str">
        <f aca="false">Report!X1834</f>
        <v>RECARGA TELEFONICA - ALICIA</v>
      </c>
    </row>
    <row r="1431" customFormat="false" ht="12.75" hidden="false" customHeight="true" outlineLevel="0" collapsed="false">
      <c r="A1431" s="16" t="n">
        <f aca="false">Report!C1835</f>
        <v>46265</v>
      </c>
      <c r="B1431" s="1" t="str">
        <f aca="false">Report!E1835</f>
        <v>OLIVEIRA E SILVA LTDA</v>
      </c>
      <c r="C1431" s="17" t="n">
        <f aca="false">Report!U1835</f>
        <v>132</v>
      </c>
      <c r="D1431" s="1" t="str">
        <f aca="false">Report!X1835</f>
        <v>COMPRAS CHEIRO VERDE - ALICIA</v>
      </c>
    </row>
    <row r="1432" customFormat="false" ht="12.75" hidden="false" customHeight="true" outlineLevel="0" collapsed="false">
      <c r="A1432" s="16" t="n">
        <f aca="false">Report!C1836</f>
        <v>46265</v>
      </c>
      <c r="B1432" s="1" t="str">
        <f aca="false">Report!E1836</f>
        <v>OLIVEIRA E SILVA LTDA</v>
      </c>
      <c r="C1432" s="17" t="n">
        <f aca="false">Report!U1836</f>
        <v>125</v>
      </c>
      <c r="D1432" s="1" t="str">
        <f aca="false">Report!X1836</f>
        <v>COMPRAS 1 CX DE BANANAS - ALICIA</v>
      </c>
    </row>
    <row r="1433" customFormat="false" ht="12.75" hidden="false" customHeight="true" outlineLevel="0" collapsed="false">
      <c r="A1433" s="16" t="n">
        <f aca="false">Report!C1837</f>
        <v>46266</v>
      </c>
      <c r="B1433" s="1" t="str">
        <f aca="false">Report!E1837</f>
        <v>OLIVEIRA E SILVA LTDA</v>
      </c>
      <c r="C1433" s="17" t="n">
        <f aca="false">Report!U1837</f>
        <v>250</v>
      </c>
      <c r="D1433" s="1" t="str">
        <f aca="false">Report!X1837</f>
        <v>COMPRAS 2CX DE BANANAS - ALICIA</v>
      </c>
    </row>
    <row r="1434" customFormat="false" ht="12.75" hidden="false" customHeight="true" outlineLevel="0" collapsed="false">
      <c r="A1434" s="16" t="n">
        <f aca="false">Report!C1838</f>
        <v>46266</v>
      </c>
      <c r="B1434" s="1" t="str">
        <f aca="false">Report!E1838</f>
        <v>COMERCIAL DE ESTIVAS REGO LTDA</v>
      </c>
      <c r="C1434" s="17" t="n">
        <f aca="false">Report!U1838</f>
        <v>358.74</v>
      </c>
      <c r="D1434" s="1" t="str">
        <f aca="false">Report!X1838</f>
        <v>NF 224551 3/3 - ALICIA</v>
      </c>
    </row>
    <row r="1435" customFormat="false" ht="12.75" hidden="false" customHeight="true" outlineLevel="0" collapsed="false">
      <c r="A1435" s="16" t="n">
        <f aca="false">Report!C1839</f>
        <v>46266</v>
      </c>
      <c r="B1435" s="1" t="str">
        <f aca="false">Report!E1839</f>
        <v>TRES CORACOES ALIMENTOS S.A.</v>
      </c>
      <c r="C1435" s="17" t="n">
        <f aca="false">Report!U1839</f>
        <v>590.45</v>
      </c>
      <c r="D1435" s="1" t="str">
        <f aca="false">Report!X1839</f>
        <v>NF 356005 3/3 - ALICIA</v>
      </c>
    </row>
    <row r="1436" customFormat="false" ht="12.75" hidden="false" customHeight="true" outlineLevel="0" collapsed="false">
      <c r="A1436" s="16" t="n">
        <f aca="false">Report!C1840</f>
        <v>46266</v>
      </c>
      <c r="B1436" s="1" t="str">
        <f aca="false">Report!E1840</f>
        <v>ATIVA COM E REP</v>
      </c>
      <c r="C1436" s="17" t="n">
        <f aca="false">Report!U1840</f>
        <v>879.73</v>
      </c>
      <c r="D1436" s="1" t="str">
        <f aca="false">Report!X1840</f>
        <v>NF 26350 2/3 - ALICIA</v>
      </c>
    </row>
    <row r="1437" customFormat="false" ht="12.75" hidden="false" customHeight="true" outlineLevel="0" collapsed="false">
      <c r="A1437" s="16" t="n">
        <f aca="false">Report!C1841</f>
        <v>46266</v>
      </c>
      <c r="B1437" s="1" t="str">
        <f aca="false">Report!E1841</f>
        <v>DURAES DISTRIBUIDORA DE ESTIVAS LTDA</v>
      </c>
      <c r="C1437" s="17" t="n">
        <f aca="false">Report!U1841</f>
        <v>311.49</v>
      </c>
      <c r="D1437" s="1" t="str">
        <f aca="false">Report!X1841</f>
        <v>NF 654077 2/2 - ALICIA</v>
      </c>
    </row>
    <row r="1438" customFormat="false" ht="12.75" hidden="false" customHeight="true" outlineLevel="0" collapsed="false">
      <c r="A1438" s="16" t="n">
        <f aca="false">Report!C1842</f>
        <v>46266</v>
      </c>
      <c r="B1438" s="1" t="str">
        <f aca="false">Report!E1842</f>
        <v>DUNORTE DISTRIBUIDORA DE PRODUTOS DE CONSUMO LTDA</v>
      </c>
      <c r="C1438" s="17" t="n">
        <f aca="false">Report!U1842</f>
        <v>421.85</v>
      </c>
      <c r="D1438" s="1" t="str">
        <f aca="false">Report!X1842</f>
        <v>NF 3234933 2/3 - ALICIA</v>
      </c>
    </row>
    <row r="1439" customFormat="false" ht="12.75" hidden="false" customHeight="true" outlineLevel="0" collapsed="false">
      <c r="A1439" s="16" t="n">
        <f aca="false">Report!C1843</f>
        <v>46266</v>
      </c>
      <c r="B1439" s="1" t="str">
        <f aca="false">Report!E1843</f>
        <v>DUNORTE DISTRIBUIDORA DE PRODUTOS DE CONSUMO LTDA</v>
      </c>
      <c r="C1439" s="17" t="n">
        <f aca="false">Report!U1843</f>
        <v>193.16</v>
      </c>
      <c r="D1439" s="1" t="str">
        <f aca="false">Report!X1843</f>
        <v>NF 3234932 2/2 - ALICIA</v>
      </c>
    </row>
    <row r="1440" customFormat="false" ht="12.75" hidden="false" customHeight="true" outlineLevel="0" collapsed="false">
      <c r="A1440" s="16" t="n">
        <f aca="false">Report!C1845</f>
        <v>46266</v>
      </c>
      <c r="B1440" s="1" t="str">
        <f aca="false">Report!E1845</f>
        <v>OCIDENTAL COMERCIO DE FRIOS LTDA</v>
      </c>
      <c r="C1440" s="17" t="n">
        <f aca="false">Report!U1845</f>
        <v>888.75</v>
      </c>
      <c r="D1440" s="1" t="str">
        <f aca="false">Report!X1845</f>
        <v>NF 1260091 1/2 - ALICIA</v>
      </c>
    </row>
    <row r="1441" customFormat="false" ht="12.75" hidden="false" customHeight="true" outlineLevel="0" collapsed="false">
      <c r="A1441" s="16" t="n">
        <f aca="false">Report!C1846</f>
        <v>46266</v>
      </c>
      <c r="B1441" s="1" t="str">
        <f aca="false">Report!E1846</f>
        <v>TOYA INDUSTRIA E COMERCIO LTDA.</v>
      </c>
      <c r="C1441" s="17" t="n">
        <f aca="false">Report!U1846</f>
        <v>866.49</v>
      </c>
      <c r="D1441" s="1" t="str">
        <f aca="false">Report!X1846</f>
        <v>NF 258045 1/1 - ALICIA</v>
      </c>
    </row>
    <row r="1442" customFormat="false" ht="12.75" hidden="false" customHeight="true" outlineLevel="0" collapsed="false">
      <c r="A1442" s="16" t="n">
        <f aca="false">Report!C1847</f>
        <v>46266</v>
      </c>
      <c r="B1442" s="1" t="str">
        <f aca="false">Report!E1847</f>
        <v>DUNORTE DISTRIBUIDORA DE PRODUTOS DE CONSUMO LTDA</v>
      </c>
      <c r="C1442" s="17" t="n">
        <f aca="false">Report!U1847</f>
        <v>922.22</v>
      </c>
      <c r="D1442" s="1" t="str">
        <f aca="false">Report!X1847</f>
        <v>NF 3238686 1/4 - ALICIA</v>
      </c>
    </row>
    <row r="1443" customFormat="false" ht="12.75" hidden="false" customHeight="true" outlineLevel="0" collapsed="false">
      <c r="A1443" s="16" t="n">
        <f aca="false">Report!C1848</f>
        <v>46266</v>
      </c>
      <c r="B1443" s="1" t="str">
        <f aca="false">Report!E1848</f>
        <v>NATUREZA COMERCIO DE DESCARTAVEIS LTDA</v>
      </c>
      <c r="C1443" s="17" t="n">
        <f aca="false">Report!U1848</f>
        <v>1242.26</v>
      </c>
      <c r="D1443" s="1" t="str">
        <f aca="false">Report!X1848</f>
        <v>NF 7455923 3/3 - ALICIA</v>
      </c>
    </row>
    <row r="1444" customFormat="false" ht="12.75" hidden="false" customHeight="true" outlineLevel="0" collapsed="false">
      <c r="A1444" s="16" t="n">
        <f aca="false">Report!C1850</f>
        <v>46266</v>
      </c>
      <c r="B1444" s="1" t="str">
        <f aca="false">Report!E1850</f>
        <v>M A B MAXIMINO EIRELI</v>
      </c>
      <c r="C1444" s="17" t="n">
        <f aca="false">Report!U1850</f>
        <v>107.96</v>
      </c>
      <c r="D1444" s="1" t="str">
        <f aca="false">Report!X1850</f>
        <v>NF 7744 1/1 - ALICIA</v>
      </c>
    </row>
    <row r="1445" customFormat="false" ht="12.75" hidden="false" customHeight="true" outlineLevel="0" collapsed="false">
      <c r="A1445" s="16" t="n">
        <f aca="false">Report!C1851</f>
        <v>46266</v>
      </c>
      <c r="B1445" s="1" t="str">
        <f aca="false">Report!E1851</f>
        <v>OLIVEIRA E SILVA LTDA</v>
      </c>
      <c r="C1445" s="17" t="n">
        <f aca="false">Report!U1851</f>
        <v>300</v>
      </c>
      <c r="D1445" s="1" t="str">
        <f aca="false">Report!X1851</f>
        <v>COMPRAS DE ACAI - PIX 92991892419 NAILSON GARCES - ALICIA</v>
      </c>
    </row>
    <row r="1446" customFormat="false" ht="12.75" hidden="false" customHeight="true" outlineLevel="0" collapsed="false">
      <c r="A1446" s="16" t="n">
        <f aca="false">Report!C1852</f>
        <v>46266</v>
      </c>
      <c r="B1446" s="1" t="str">
        <f aca="false">Report!E1852</f>
        <v>COMPRAS NA PORTA AVULSO</v>
      </c>
      <c r="C1446" s="17" t="n">
        <f aca="false">Report!U1852</f>
        <v>245</v>
      </c>
      <c r="D1446" s="1" t="str">
        <f aca="false">Report!X1852</f>
        <v>RECIBO - HARINA PAN - ALICIA</v>
      </c>
    </row>
    <row r="1447" customFormat="false" ht="12.75" hidden="false" customHeight="true" outlineLevel="0" collapsed="false">
      <c r="A1447" s="16" t="n">
        <f aca="false">Report!C1853</f>
        <v>46266</v>
      </c>
      <c r="B1447" s="1" t="str">
        <f aca="false">Report!E1853</f>
        <v>COMERCIO DE FRIOS MANAUS LTDA</v>
      </c>
      <c r="C1447" s="17" t="n">
        <f aca="false">Report!U1853</f>
        <v>2644.2</v>
      </c>
      <c r="D1447" s="1" t="str">
        <f aca="false">Report!X1853</f>
        <v>NF 175417 1/2 - ALICIA</v>
      </c>
    </row>
    <row r="1448" customFormat="false" ht="12.75" hidden="false" customHeight="true" outlineLevel="0" collapsed="false">
      <c r="A1448" s="16" t="n">
        <f aca="false">Report!C1854</f>
        <v>46266</v>
      </c>
      <c r="B1448" s="1" t="str">
        <f aca="false">Report!E1854</f>
        <v>ALEXANDRE DA SILVA RUFINO</v>
      </c>
      <c r="C1448" s="17" t="n">
        <f aca="false">Report!U1854</f>
        <v>344</v>
      </c>
      <c r="D1448" s="1" t="str">
        <f aca="false">Report!X1854</f>
        <v>RECIBO - COMPRAS CIGARROS - ALICIA</v>
      </c>
    </row>
    <row r="1449" customFormat="false" ht="12.75" hidden="false" customHeight="true" outlineLevel="0" collapsed="false">
      <c r="A1449" s="16" t="n">
        <f aca="false">Report!C1855</f>
        <v>46266</v>
      </c>
      <c r="B1449" s="1" t="str">
        <f aca="false">Report!E1855</f>
        <v>TOYA INDUSTRIA E COMERCIO LTDA.</v>
      </c>
      <c r="C1449" s="17" t="n">
        <f aca="false">Report!U1855</f>
        <v>309</v>
      </c>
      <c r="D1449" s="1" t="str">
        <f aca="false">Report!X1855</f>
        <v>NF 258631 1/2 - ALICIA</v>
      </c>
    </row>
    <row r="1450" customFormat="false" ht="12.75" hidden="false" customHeight="true" outlineLevel="0" collapsed="false">
      <c r="A1450" s="16" t="n">
        <f aca="false">Report!C1856</f>
        <v>46266</v>
      </c>
      <c r="B1450" s="1" t="str">
        <f aca="false">Report!E1856</f>
        <v>OLIVEIRA E SILVA LTDA</v>
      </c>
      <c r="C1450" s="17" t="n">
        <f aca="false">Report!U1856</f>
        <v>2094.5</v>
      </c>
      <c r="D1450" s="1" t="str">
        <f aca="false">Report!X1856</f>
        <v>COMPRAS CARLOS VERDURAS - ALICIA</v>
      </c>
    </row>
    <row r="1451" customFormat="false" ht="12.75" hidden="false" customHeight="true" outlineLevel="0" collapsed="false">
      <c r="A1451" s="16" t="n">
        <f aca="false">Report!C1857</f>
        <v>46266</v>
      </c>
      <c r="B1451" s="1" t="str">
        <f aca="false">Report!E1857</f>
        <v>COMERCIO E TRANSPORTE BRANDAO LTDA</v>
      </c>
      <c r="C1451" s="17" t="n">
        <f aca="false">Report!U1857</f>
        <v>140</v>
      </c>
      <c r="D1451" s="1" t="str">
        <f aca="false">Report!X1857</f>
        <v>NF 15198 1/1 - COMPRAS CARLOS VERDURAS - ALICIA</v>
      </c>
    </row>
    <row r="1452" customFormat="false" ht="12.75" hidden="false" customHeight="true" outlineLevel="0" collapsed="false">
      <c r="A1452" s="16" t="n">
        <f aca="false">Report!C1858</f>
        <v>46266</v>
      </c>
      <c r="B1452" s="1" t="str">
        <f aca="false">Report!E1858</f>
        <v>COMERCIO E TRANSPORTE BRANDAO LTDA</v>
      </c>
      <c r="C1452" s="17" t="n">
        <f aca="false">Report!U1858</f>
        <v>200</v>
      </c>
      <c r="D1452" s="1" t="str">
        <f aca="false">Report!X1858</f>
        <v>RECIBO - COMPRAS QUEIJO CARLOS VERDURAS - ALICIA</v>
      </c>
    </row>
    <row r="1453" customFormat="false" ht="12.75" hidden="false" customHeight="true" outlineLevel="0" collapsed="false">
      <c r="A1453" s="16" t="n">
        <f aca="false">Report!C1859</f>
        <v>46266</v>
      </c>
      <c r="B1453" s="1" t="str">
        <f aca="false">Report!E1859</f>
        <v>ADICSO FABIAN GONZALEZ MONTILLA 70302186</v>
      </c>
      <c r="C1453" s="17" t="n">
        <f aca="false">Report!U1859</f>
        <v>240</v>
      </c>
      <c r="D1453" s="1" t="str">
        <f aca="false">Report!X1859</f>
        <v>NF 628 1/1 - ALICIA</v>
      </c>
    </row>
    <row r="1454" customFormat="false" ht="12.75" hidden="false" customHeight="true" outlineLevel="0" collapsed="false">
      <c r="A1454" s="16" t="n">
        <f aca="false">Report!C1863</f>
        <v>46267</v>
      </c>
      <c r="B1454" s="1" t="str">
        <f aca="false">Report!E1863</f>
        <v>SUPER CANCUN COMERCIO DE PRODUTOS ALIMEN</v>
      </c>
      <c r="C1454" s="17" t="n">
        <f aca="false">Report!U1863</f>
        <v>260.45</v>
      </c>
      <c r="D1454" s="1" t="str">
        <f aca="false">Report!X1863</f>
        <v>NF 264696 3/3 - ALICIA</v>
      </c>
    </row>
    <row r="1455" customFormat="false" ht="12.75" hidden="false" customHeight="true" outlineLevel="0" collapsed="false">
      <c r="A1455" s="16" t="n">
        <f aca="false">Report!C1864</f>
        <v>46267</v>
      </c>
      <c r="B1455" s="1" t="str">
        <f aca="false">Report!E1864</f>
        <v>OCIDENTAL COMERCIO DE FRIOS LTDA</v>
      </c>
      <c r="C1455" s="17" t="n">
        <f aca="false">Report!U1864</f>
        <v>771.86</v>
      </c>
      <c r="D1455" s="1" t="str">
        <f aca="false">Report!X1864</f>
        <v>NF 12556061 3/3 - ALICIA</v>
      </c>
    </row>
    <row r="1456" customFormat="false" ht="12.75" hidden="false" customHeight="true" outlineLevel="0" collapsed="false">
      <c r="A1456" s="16" t="n">
        <f aca="false">Report!C1865</f>
        <v>46267</v>
      </c>
      <c r="B1456" s="1" t="str">
        <f aca="false">Report!E1865</f>
        <v>NATUREZA COMERCIO DE DESCARTAVEIS LTDA</v>
      </c>
      <c r="C1456" s="17" t="n">
        <f aca="false">Report!U1865</f>
        <v>274.14</v>
      </c>
      <c r="D1456" s="1" t="str">
        <f aca="false">Report!X1865</f>
        <v>NF 746264 1/1 - ALICIA</v>
      </c>
    </row>
    <row r="1457" customFormat="false" ht="12.75" hidden="false" customHeight="true" outlineLevel="0" collapsed="false">
      <c r="A1457" s="16" t="n">
        <f aca="false">Report!C1866</f>
        <v>46267</v>
      </c>
      <c r="B1457" s="1" t="str">
        <f aca="false">Report!E1866</f>
        <v>FUNNY PET DISTRIBUIDORA DE ALIMENTOS PAR</v>
      </c>
      <c r="C1457" s="17" t="n">
        <f aca="false">Report!U1866</f>
        <v>1760.2</v>
      </c>
      <c r="D1457" s="1" t="str">
        <f aca="false">Report!X1866</f>
        <v>NF 21623 2/4 - ALICIA</v>
      </c>
    </row>
    <row r="1458" customFormat="false" ht="12.75" hidden="false" customHeight="true" outlineLevel="0" collapsed="false">
      <c r="A1458" s="16" t="n">
        <f aca="false">Report!C1867</f>
        <v>46267</v>
      </c>
      <c r="B1458" s="1" t="str">
        <f aca="false">Report!E1867</f>
        <v>TOYA INDUSTRIA E COMERCIO LTDA.</v>
      </c>
      <c r="C1458" s="17" t="n">
        <f aca="false">Report!U1867</f>
        <v>656.69</v>
      </c>
      <c r="D1458" s="1" t="str">
        <f aca="false">Report!X1867</f>
        <v>NF 257522 1/1 - ALICIA</v>
      </c>
    </row>
    <row r="1459" customFormat="false" ht="12.75" hidden="false" customHeight="true" outlineLevel="0" collapsed="false">
      <c r="A1459" s="16" t="n">
        <f aca="false">Report!C1868</f>
        <v>46267</v>
      </c>
      <c r="B1459" s="1" t="str">
        <f aca="false">Report!E1868</f>
        <v>AGM COMERCIO E DISTRIBUIDORA DE MATERIAS DE PERFUMARIA E LIMPEZA LTDA</v>
      </c>
      <c r="C1459" s="17" t="n">
        <f aca="false">Report!U1868</f>
        <v>545.13</v>
      </c>
      <c r="D1459" s="1" t="str">
        <f aca="false">Report!X1868</f>
        <v>NF 163841 2/4 - ALICIA</v>
      </c>
    </row>
    <row r="1460" customFormat="false" ht="12.75" hidden="false" customHeight="true" outlineLevel="0" collapsed="false">
      <c r="A1460" s="16" t="n">
        <f aca="false">Report!C1869</f>
        <v>46267</v>
      </c>
      <c r="B1460" s="1" t="str">
        <f aca="false">Report!E1869</f>
        <v>BRF S A</v>
      </c>
      <c r="C1460" s="17" t="n">
        <f aca="false">Report!U1869</f>
        <v>1120.52</v>
      </c>
      <c r="D1460" s="1" t="str">
        <f aca="false">Report!X1869</f>
        <v>NF 1619343 3/3 - ALICIA</v>
      </c>
    </row>
    <row r="1461" customFormat="false" ht="12.75" hidden="false" customHeight="true" outlineLevel="0" collapsed="false">
      <c r="A1461" s="16" t="n">
        <f aca="false">Report!C1871</f>
        <v>46267</v>
      </c>
      <c r="B1461" s="1" t="str">
        <f aca="false">Report!E1871</f>
        <v>FRIOTRANS COMERCIO E TRANSPORTES DE CARGAS LTDA</v>
      </c>
      <c r="C1461" s="17" t="n">
        <f aca="false">Report!U1871</f>
        <v>2333.04</v>
      </c>
      <c r="D1461" s="1" t="str">
        <f aca="false">Report!X1871</f>
        <v>NF39504 2/2 - ALICIA</v>
      </c>
    </row>
    <row r="1462" customFormat="false" ht="12.75" hidden="false" customHeight="true" outlineLevel="0" collapsed="false">
      <c r="A1462" s="16" t="n">
        <f aca="false">Report!C1872</f>
        <v>46267</v>
      </c>
      <c r="B1462" s="1" t="str">
        <f aca="false">Report!E1872</f>
        <v>OCIDENTAL COMERCIO DE FRIOS LTDA</v>
      </c>
      <c r="C1462" s="17" t="n">
        <f aca="false">Report!U1872</f>
        <v>871.13</v>
      </c>
      <c r="D1462" s="1" t="str">
        <f aca="false">Report!X1872</f>
        <v>NF 1260900 1/2 - ALICIA</v>
      </c>
    </row>
    <row r="1463" customFormat="false" ht="12.75" hidden="false" customHeight="true" outlineLevel="0" collapsed="false">
      <c r="A1463" s="16" t="n">
        <f aca="false">Report!C1873</f>
        <v>46267</v>
      </c>
      <c r="B1463" s="1" t="str">
        <f aca="false">Report!E1873</f>
        <v>A M QUIMICA IND E COM DE PROD QUIMICOS I</v>
      </c>
      <c r="C1463" s="17" t="n">
        <f aca="false">Report!U1873</f>
        <v>226.44</v>
      </c>
      <c r="D1463" s="1" t="str">
        <f aca="false">Report!X1873</f>
        <v>NF 70351 1/3 - ALICIA</v>
      </c>
    </row>
    <row r="1464" customFormat="false" ht="12.75" hidden="false" customHeight="true" outlineLevel="0" collapsed="false">
      <c r="A1464" s="16" t="n">
        <f aca="false">Report!C1874</f>
        <v>46267</v>
      </c>
      <c r="B1464" s="1" t="str">
        <f aca="false">Report!E1874</f>
        <v>BRF S A</v>
      </c>
      <c r="C1464" s="17" t="n">
        <f aca="false">Report!U1874</f>
        <v>1332.64</v>
      </c>
      <c r="D1464" s="1" t="str">
        <f aca="false">Report!X1874</f>
        <v>NF 1622008 2/3 - ALICIA</v>
      </c>
    </row>
    <row r="1465" customFormat="false" ht="12.75" hidden="false" customHeight="true" outlineLevel="0" collapsed="false">
      <c r="A1465" s="16" t="n">
        <f aca="false">Report!C1875</f>
        <v>46267</v>
      </c>
      <c r="B1465" s="1" t="str">
        <f aca="false">Report!E1875</f>
        <v>REAL BEBIDAS DA AMAZONIA LTDA</v>
      </c>
      <c r="C1465" s="17" t="n">
        <f aca="false">Report!U1875</f>
        <v>327</v>
      </c>
      <c r="D1465" s="1" t="str">
        <f aca="false">Report!X1875</f>
        <v>NF 628889 1/2 - ALICIA</v>
      </c>
    </row>
    <row r="1466" customFormat="false" ht="12.75" hidden="false" customHeight="true" outlineLevel="0" collapsed="false">
      <c r="A1466" s="16" t="n">
        <f aca="false">Report!C1876</f>
        <v>46268</v>
      </c>
      <c r="B1466" s="1" t="str">
        <f aca="false">Report!E1876</f>
        <v>EMPRESA BRASILEIRA DE DISTRIBUICAO LTDA</v>
      </c>
      <c r="C1466" s="17" t="n">
        <f aca="false">Report!U1876</f>
        <v>496.59</v>
      </c>
      <c r="D1466" s="1" t="str">
        <f aca="false">Report!X1876</f>
        <v>NF 2307607 3/3 - ALICIA</v>
      </c>
    </row>
    <row r="1467" customFormat="false" ht="12.75" hidden="false" customHeight="true" outlineLevel="0" collapsed="false">
      <c r="A1467" s="16" t="n">
        <f aca="false">Report!C1877</f>
        <v>46268</v>
      </c>
      <c r="B1467" s="1" t="str">
        <f aca="false">Report!E1877</f>
        <v>EMPRESA BRASILEIRA DE DISTRIBUICAO LTDA</v>
      </c>
      <c r="C1467" s="17" t="n">
        <f aca="false">Report!U1877</f>
        <v>368.38</v>
      </c>
      <c r="D1467" s="1" t="str">
        <f aca="false">Report!X1877</f>
        <v>NF 2307608 3/3 - ALICIA</v>
      </c>
    </row>
    <row r="1468" customFormat="false" ht="12.75" hidden="false" customHeight="true" outlineLevel="0" collapsed="false">
      <c r="A1468" s="16" t="n">
        <f aca="false">Report!C1878</f>
        <v>46268</v>
      </c>
      <c r="B1468" s="1" t="str">
        <f aca="false">Report!E1878</f>
        <v>CB COMERCIO E DISTRIBUIDORA DE ALIMENTOS</v>
      </c>
      <c r="C1468" s="17" t="n">
        <f aca="false">Report!U1878</f>
        <v>477.87</v>
      </c>
      <c r="D1468" s="1" t="str">
        <f aca="false">Report!X1878</f>
        <v>NF 860572 3/3 - ALICIA</v>
      </c>
    </row>
    <row r="1469" customFormat="false" ht="12.75" hidden="false" customHeight="true" outlineLevel="0" collapsed="false">
      <c r="A1469" s="16" t="n">
        <f aca="false">Report!C1879</f>
        <v>46268</v>
      </c>
      <c r="B1469" s="1" t="str">
        <f aca="false">Report!E1879</f>
        <v>OESA COMERCIO E REPRESENTACOES S/A</v>
      </c>
      <c r="C1469" s="17" t="n">
        <f aca="false">Report!U1879</f>
        <v>984.44</v>
      </c>
      <c r="D1469" s="1" t="str">
        <f aca="false">Report!X1879</f>
        <v>NF 438335 3/3 - ALICIA</v>
      </c>
    </row>
    <row r="1470" customFormat="false" ht="12.75" hidden="false" customHeight="true" outlineLevel="0" collapsed="false">
      <c r="A1470" s="16" t="n">
        <f aca="false">Report!C1880</f>
        <v>46268</v>
      </c>
      <c r="B1470" s="1" t="str">
        <f aca="false">Report!E1880</f>
        <v>L S M COMERCIO DE ALIMENTOS E NAVEGACAO</v>
      </c>
      <c r="C1470" s="17" t="n">
        <f aca="false">Report!U1880</f>
        <v>1384</v>
      </c>
      <c r="D1470" s="1" t="str">
        <f aca="false">Report!X1880</f>
        <v>NF 310741 2/3 - ALICIA</v>
      </c>
    </row>
    <row r="1471" customFormat="false" ht="12.75" hidden="false" customHeight="true" outlineLevel="0" collapsed="false">
      <c r="A1471" s="16" t="n">
        <f aca="false">Report!C1881</f>
        <v>46268</v>
      </c>
      <c r="B1471" s="1" t="str">
        <f aca="false">Report!E1881</f>
        <v>OCIDENTAL COMERCIO DE FRIOS LTDA</v>
      </c>
      <c r="C1471" s="17" t="n">
        <f aca="false">Report!U1881</f>
        <v>354.21</v>
      </c>
      <c r="D1471" s="1" t="str">
        <f aca="false">Report!X1881</f>
        <v>NF 1258988 2/2 - ALICIA</v>
      </c>
    </row>
    <row r="1472" customFormat="false" ht="12.75" hidden="false" customHeight="true" outlineLevel="0" collapsed="false">
      <c r="A1472" s="16" t="n">
        <f aca="false">Report!C1882</f>
        <v>46268</v>
      </c>
      <c r="B1472" s="1" t="str">
        <f aca="false">Report!E1882</f>
        <v>BF COMERCIO DE ALIMENTOS REPRESENTACAO L</v>
      </c>
      <c r="C1472" s="17" t="n">
        <f aca="false">Report!U1882</f>
        <v>355.96</v>
      </c>
      <c r="D1472" s="1" t="str">
        <f aca="false">Report!X1882</f>
        <v>NF 21254 2/3 - ALICIA</v>
      </c>
    </row>
    <row r="1473" customFormat="false" ht="12.75" hidden="false" customHeight="true" outlineLevel="0" collapsed="false">
      <c r="A1473" s="16" t="n">
        <f aca="false">Report!C1883</f>
        <v>46268</v>
      </c>
      <c r="B1473" s="1" t="str">
        <f aca="false">Report!E1883</f>
        <v>CB COMERCIO E DISTRIBUIDORA DE ALIMENTOS</v>
      </c>
      <c r="C1473" s="17" t="n">
        <f aca="false">Report!U1883</f>
        <v>603.25</v>
      </c>
      <c r="D1473" s="1" t="str">
        <f aca="false">Report!X1883</f>
        <v>NF 865043 1/3 - ALICIA</v>
      </c>
    </row>
    <row r="1474" customFormat="false" ht="12.75" hidden="false" customHeight="true" outlineLevel="0" collapsed="false">
      <c r="A1474" s="16" t="n">
        <f aca="false">Report!C1884</f>
        <v>46268</v>
      </c>
      <c r="B1474" s="1" t="str">
        <f aca="false">Report!E1884</f>
        <v>DISTRIBUIDORA LOPES LTDA</v>
      </c>
      <c r="C1474" s="17" t="n">
        <f aca="false">Report!U1884</f>
        <v>789.29</v>
      </c>
      <c r="D1474" s="1" t="str">
        <f aca="false">Report!X1884</f>
        <v>NF 1715032 1/3 - ALICIA</v>
      </c>
    </row>
    <row r="1475" customFormat="false" ht="12.75" hidden="false" customHeight="true" outlineLevel="0" collapsed="false">
      <c r="A1475" s="16" t="n">
        <f aca="false">Report!C1885</f>
        <v>46268</v>
      </c>
      <c r="B1475" s="1" t="str">
        <f aca="false">Report!E1885</f>
        <v>RCL COMERCIO DE PRODUTOS ALIMENTICIOS LT</v>
      </c>
      <c r="C1475" s="17" t="n">
        <f aca="false">Report!U1885</f>
        <v>511.86</v>
      </c>
      <c r="D1475" s="1" t="str">
        <f aca="false">Report!X1885</f>
        <v>NF 223956 1/1 - ALICIA</v>
      </c>
    </row>
    <row r="1476" customFormat="false" ht="12.75" hidden="false" customHeight="true" outlineLevel="0" collapsed="false">
      <c r="A1476" s="16" t="n">
        <f aca="false">Report!C1886</f>
        <v>46268</v>
      </c>
      <c r="B1476" s="1" t="str">
        <f aca="false">Report!E1886</f>
        <v>COMERCIO DE FRIOS MANAUS LTDA</v>
      </c>
      <c r="C1476" s="17" t="n">
        <f aca="false">Report!U1886</f>
        <v>1841.2</v>
      </c>
      <c r="D1476" s="1" t="str">
        <f aca="false">Report!X1886</f>
        <v>NF 175182 2/2 - ALICIA</v>
      </c>
    </row>
    <row r="1477" customFormat="false" ht="12.75" hidden="false" customHeight="true" outlineLevel="0" collapsed="false">
      <c r="A1477" s="16" t="n">
        <f aca="false">Report!C1887</f>
        <v>46268</v>
      </c>
      <c r="B1477" s="1" t="str">
        <f aca="false">Report!E1887</f>
        <v>CRBS S/A</v>
      </c>
      <c r="C1477" s="17" t="n">
        <f aca="false">Report!U1887</f>
        <v>972.06</v>
      </c>
      <c r="D1477" s="1" t="str">
        <f aca="false">Report!X1887</f>
        <v>NF 974217 1/1 - ALICIA</v>
      </c>
    </row>
    <row r="1478" customFormat="false" ht="12.75" hidden="false" customHeight="true" outlineLevel="0" collapsed="false">
      <c r="A1478" s="16" t="n">
        <f aca="false">Report!C1888</f>
        <v>46268</v>
      </c>
      <c r="B1478" s="1" t="str">
        <f aca="false">Report!E1888</f>
        <v>CRBS S/A</v>
      </c>
      <c r="C1478" s="17" t="n">
        <f aca="false">Report!U1888</f>
        <v>671.58</v>
      </c>
      <c r="D1478" s="1" t="str">
        <f aca="false">Report!X1888</f>
        <v>NF 974218 1/1 - ALICIA</v>
      </c>
    </row>
    <row r="1479" customFormat="false" ht="12.75" hidden="false" customHeight="true" outlineLevel="0" collapsed="false">
      <c r="A1479" s="16" t="n">
        <f aca="false">Report!C1889</f>
        <v>46268</v>
      </c>
      <c r="B1479" s="1" t="str">
        <f aca="false">Report!E1889</f>
        <v>ELFORT FRUIT COMERCIO DE PRODUTOS ALIME</v>
      </c>
      <c r="C1479" s="17" t="n">
        <f aca="false">Report!U1889</f>
        <v>673.16</v>
      </c>
      <c r="D1479" s="1" t="str">
        <f aca="false">Report!X1889</f>
        <v>NF 28760 1/2 - ALICIA</v>
      </c>
    </row>
    <row r="1480" customFormat="false" ht="12.75" hidden="false" customHeight="true" outlineLevel="0" collapsed="false">
      <c r="A1480" s="16" t="n">
        <f aca="false">Report!C1890</f>
        <v>46268</v>
      </c>
      <c r="B1480" s="1" t="str">
        <f aca="false">Report!E1890</f>
        <v>BROTHERS  INDUSTRIA DE ALIMENTOS LTDA</v>
      </c>
      <c r="C1480" s="17" t="n">
        <f aca="false">Report!U1890</f>
        <v>718.72</v>
      </c>
      <c r="D1480" s="1" t="str">
        <f aca="false">Report!X1890</f>
        <v>NF 1038859 1/1 - ALICIA</v>
      </c>
    </row>
    <row r="1481" customFormat="false" ht="12.75" hidden="false" customHeight="true" outlineLevel="0" collapsed="false">
      <c r="A1481" s="16" t="n">
        <f aca="false">Report!C1891</f>
        <v>46268</v>
      </c>
      <c r="B1481" s="1" t="str">
        <f aca="false">Report!E1891</f>
        <v>BRASIL NORTE BEBIDAS S/A</v>
      </c>
      <c r="C1481" s="17" t="n">
        <f aca="false">Report!U1891</f>
        <v>50.39</v>
      </c>
      <c r="D1481" s="1" t="str">
        <f aca="false">Report!X1891</f>
        <v>NF 1268918 1/1 - ALICIA</v>
      </c>
    </row>
    <row r="1482" customFormat="false" ht="12.75" hidden="false" customHeight="true" outlineLevel="0" collapsed="false">
      <c r="A1482" s="16" t="n">
        <f aca="false">Report!C1892</f>
        <v>46268</v>
      </c>
      <c r="B1482" s="1" t="str">
        <f aca="false">Report!E1892</f>
        <v>BRASIL NORTE BEBIDAS S/A</v>
      </c>
      <c r="C1482" s="17" t="n">
        <f aca="false">Report!U1892</f>
        <v>2473.12</v>
      </c>
      <c r="D1482" s="1" t="str">
        <f aca="false">Report!X1892</f>
        <v>NF 1268920 1/1 - ALICIA</v>
      </c>
    </row>
    <row r="1483" customFormat="false" ht="12.75" hidden="false" customHeight="true" outlineLevel="0" collapsed="false">
      <c r="A1483" s="16" t="n">
        <f aca="false">Report!C1893</f>
        <v>46268</v>
      </c>
      <c r="B1483" s="1" t="str">
        <f aca="false">Report!E1893</f>
        <v>BRASIL NORTE BEBIDAS S/A</v>
      </c>
      <c r="C1483" s="17" t="n">
        <f aca="false">Report!U1893</f>
        <v>3474.87</v>
      </c>
      <c r="D1483" s="1" t="str">
        <f aca="false">Report!X1893</f>
        <v>NF 2013514 1/1 - ALICIA</v>
      </c>
    </row>
    <row r="1484" customFormat="false" ht="12.75" hidden="false" customHeight="true" outlineLevel="0" collapsed="false">
      <c r="A1484" s="16" t="n">
        <f aca="false">Report!C1894</f>
        <v>46268</v>
      </c>
      <c r="B1484" s="1" t="str">
        <f aca="false">Report!E1894</f>
        <v>MAXFRI DISTRIUIDORA LTDA</v>
      </c>
      <c r="C1484" s="17" t="n">
        <f aca="false">Report!U1894</f>
        <v>4394.4</v>
      </c>
      <c r="D1484" s="1" t="str">
        <f aca="false">Report!X1894</f>
        <v>NF 15178 1/1 - ALICIA</v>
      </c>
    </row>
    <row r="1485" customFormat="false" ht="12.75" hidden="false" customHeight="true" outlineLevel="0" collapsed="false">
      <c r="A1485" s="16" t="n">
        <f aca="false">Report!C1897</f>
        <v>46269</v>
      </c>
      <c r="B1485" s="1" t="str">
        <f aca="false">Report!E1897</f>
        <v>L S M COMERCIO DE ALIMENTOS E NAVEGACAO</v>
      </c>
      <c r="C1485" s="17" t="n">
        <f aca="false">Report!U1897</f>
        <v>986.04</v>
      </c>
      <c r="D1485" s="1" t="str">
        <f aca="false">Report!X1897</f>
        <v>NF 310154 3/3 - ALICIA</v>
      </c>
    </row>
    <row r="1486" customFormat="false" ht="12.75" hidden="false" customHeight="true" outlineLevel="0" collapsed="false">
      <c r="A1486" s="16" t="n">
        <f aca="false">Report!C1898</f>
        <v>46269</v>
      </c>
      <c r="B1486" s="1" t="str">
        <f aca="false">Report!E1898</f>
        <v>VIA CERTA IMPORTACAO E DISTRIBUICAO DE A</v>
      </c>
      <c r="C1486" s="17" t="n">
        <f aca="false">Report!U1898</f>
        <v>500.78</v>
      </c>
      <c r="D1486" s="1" t="str">
        <f aca="false">Report!X1898</f>
        <v>NF 53548 3/3 - ALICIA</v>
      </c>
    </row>
    <row r="1487" customFormat="false" ht="12.75" hidden="false" customHeight="true" outlineLevel="0" collapsed="false">
      <c r="A1487" s="16" t="n">
        <f aca="false">Report!C1899</f>
        <v>46269</v>
      </c>
      <c r="B1487" s="1" t="str">
        <f aca="false">Report!E1899</f>
        <v>MARQUES &amp; MELO LTDA - FILIAL</v>
      </c>
      <c r="C1487" s="17" t="n">
        <f aca="false">Report!U1899</f>
        <v>300.54</v>
      </c>
      <c r="D1487" s="1" t="str">
        <f aca="false">Report!X1899</f>
        <v>NF 5068382 2/3 - ALICIA</v>
      </c>
    </row>
    <row r="1488" customFormat="false" ht="12.75" hidden="false" customHeight="true" outlineLevel="0" collapsed="false">
      <c r="A1488" s="16" t="n">
        <f aca="false">Report!C1900</f>
        <v>46269</v>
      </c>
      <c r="B1488" s="1" t="str">
        <f aca="false">Report!E1900</f>
        <v>J G COMERCIO DE PRODUTOS ALIMENTICIOS LTDA</v>
      </c>
      <c r="C1488" s="17" t="n">
        <f aca="false">Report!U1900</f>
        <v>655.61</v>
      </c>
      <c r="D1488" s="1" t="str">
        <f aca="false">Report!X1900</f>
        <v>NF 398009 2/3 - ALICIA</v>
      </c>
    </row>
    <row r="1489" customFormat="false" ht="12.75" hidden="false" customHeight="true" outlineLevel="0" collapsed="false">
      <c r="A1489" s="16" t="n">
        <f aca="false">Report!C1901</f>
        <v>46269</v>
      </c>
      <c r="B1489" s="1" t="str">
        <f aca="false">Report!E1901</f>
        <v>AGM INDUSTRIA COMERCIO E REPRESENTACAO LTDA</v>
      </c>
      <c r="C1489" s="17" t="n">
        <f aca="false">Report!U1901</f>
        <v>625.75</v>
      </c>
      <c r="D1489" s="1" t="str">
        <f aca="false">Report!X1901</f>
        <v>NF 48211 1/3 - ALICIA</v>
      </c>
    </row>
    <row r="1490" customFormat="false" ht="12.75" hidden="false" customHeight="true" outlineLevel="0" collapsed="false">
      <c r="A1490" s="16" t="n">
        <f aca="false">Report!C1902</f>
        <v>46269</v>
      </c>
      <c r="B1490" s="1" t="str">
        <f aca="false">Report!E1902</f>
        <v>T A DE MATTOS COMIM EIRELI</v>
      </c>
      <c r="C1490" s="17" t="n">
        <f aca="false">Report!U1902</f>
        <v>228</v>
      </c>
      <c r="D1490" s="1" t="str">
        <f aca="false">Report!X1902</f>
        <v>NF 10923 1/1 - ALICIA</v>
      </c>
    </row>
    <row r="1491" customFormat="false" ht="12.75" hidden="false" customHeight="true" outlineLevel="0" collapsed="false">
      <c r="A1491" s="16" t="n">
        <f aca="false">Report!C1903</f>
        <v>46269</v>
      </c>
      <c r="B1491" s="1" t="str">
        <f aca="false">Report!E1903</f>
        <v>BRAGA TABACARIA EIRELI ME</v>
      </c>
      <c r="C1491" s="17" t="n">
        <f aca="false">Report!U1903</f>
        <v>1924.08</v>
      </c>
      <c r="D1491" s="1" t="str">
        <f aca="false">Report!X1903</f>
        <v>NF 19986 2/3 - ALICIA</v>
      </c>
    </row>
    <row r="1492" customFormat="false" ht="12.75" hidden="false" customHeight="true" outlineLevel="0" collapsed="false">
      <c r="A1492" s="16" t="n">
        <f aca="false">Report!C1904</f>
        <v>46269</v>
      </c>
      <c r="B1492" s="1" t="str">
        <f aca="false">Report!E1904</f>
        <v>SOUZA CRUZ LTDA.</v>
      </c>
      <c r="C1492" s="17" t="n">
        <f aca="false">Report!U1904</f>
        <v>2253.66</v>
      </c>
      <c r="D1492" s="1" t="str">
        <f aca="false">Report!X1904</f>
        <v>NF 570873 2/2 - ALICIA</v>
      </c>
    </row>
    <row r="1493" customFormat="false" ht="12.75" hidden="false" customHeight="true" outlineLevel="0" collapsed="false">
      <c r="A1493" s="16" t="n">
        <f aca="false">Report!C1905</f>
        <v>46269</v>
      </c>
      <c r="B1493" s="1" t="str">
        <f aca="false">Report!E1905</f>
        <v>SILVA DISTRIBUIDORA</v>
      </c>
      <c r="C1493" s="17" t="n">
        <f aca="false">Report!U1905</f>
        <v>226.8</v>
      </c>
      <c r="D1493" s="1" t="str">
        <f aca="false">Report!X1905</f>
        <v>NF 12955 1/2 - ALICIA</v>
      </c>
    </row>
    <row r="1494" customFormat="false" ht="12.75" hidden="false" customHeight="true" outlineLevel="0" collapsed="false">
      <c r="A1494" s="16" t="n">
        <f aca="false">Report!C1906</f>
        <v>46269</v>
      </c>
      <c r="B1494" s="1" t="str">
        <f aca="false">Report!E1906</f>
        <v>WKL COMERCIO ATACADISTA DE ARTIGOS DE AR</v>
      </c>
      <c r="C1494" s="17" t="n">
        <f aca="false">Report!U1906</f>
        <v>153.33</v>
      </c>
      <c r="D1494" s="1" t="str">
        <f aca="false">Report!X1906</f>
        <v>NF 1358 1/2 - ALICIA</v>
      </c>
    </row>
    <row r="1495" customFormat="false" ht="12.75" hidden="false" customHeight="true" outlineLevel="0" collapsed="false">
      <c r="A1495" s="16" t="n">
        <f aca="false">Report!C1908</f>
        <v>46269</v>
      </c>
      <c r="B1495" s="1" t="str">
        <f aca="false">Report!E1908</f>
        <v>ELZILENE DA SILVA</v>
      </c>
      <c r="C1495" s="17" t="n">
        <f aca="false">Report!U1908</f>
        <v>1455</v>
      </c>
      <c r="D1495" s="1" t="str">
        <f aca="false">Report!X1908</f>
        <v>NF 2781 1/1 - ALICIA</v>
      </c>
    </row>
    <row r="1496" customFormat="false" ht="12.75" hidden="false" customHeight="true" outlineLevel="0" collapsed="false">
      <c r="A1496" s="16" t="n">
        <f aca="false">Report!C1909</f>
        <v>46269</v>
      </c>
      <c r="B1496" s="1" t="str">
        <f aca="false">Report!E1909</f>
        <v>BRF S A</v>
      </c>
      <c r="C1496" s="17" t="n">
        <f aca="false">Report!U1909</f>
        <v>1100.04</v>
      </c>
      <c r="D1496" s="1" t="str">
        <f aca="false">Report!X1909</f>
        <v>NF 1624838 1/3 - ALICIA</v>
      </c>
    </row>
    <row r="1497" customFormat="false" ht="12.75" hidden="false" customHeight="true" outlineLevel="0" collapsed="false">
      <c r="A1497" s="16" t="n">
        <f aca="false">Report!C1910</f>
        <v>46269</v>
      </c>
      <c r="B1497" s="1" t="str">
        <f aca="false">Report!E1910</f>
        <v>JANETE DE LIMA ROOL 80938280287</v>
      </c>
      <c r="C1497" s="17" t="n">
        <f aca="false">Report!U1910</f>
        <v>310</v>
      </c>
      <c r="D1497" s="1" t="str">
        <f aca="false">Report!X1910</f>
        <v>NF 7164 1/1 - ALICIA</v>
      </c>
    </row>
    <row r="1498" customFormat="false" ht="12.75" hidden="false" customHeight="true" outlineLevel="0" collapsed="false">
      <c r="A1498" s="16" t="n">
        <f aca="false">Report!C1913</f>
        <v>46270</v>
      </c>
      <c r="B1498" s="1" t="str">
        <f aca="false">Report!E1913</f>
        <v>J G COMERCIO DE PRODUTOS ALIMENTICIOS LTDA</v>
      </c>
      <c r="C1498" s="17" t="n">
        <f aca="false">Report!U1913</f>
        <v>1010.95</v>
      </c>
      <c r="D1498" s="1" t="str">
        <f aca="false">Report!X1913</f>
        <v>NF 399135 1/3 - ALICIA</v>
      </c>
    </row>
    <row r="1499" customFormat="false" ht="12.75" hidden="false" customHeight="true" outlineLevel="0" collapsed="false">
      <c r="A1499" s="16" t="n">
        <f aca="false">Report!C1915</f>
        <v>46270</v>
      </c>
      <c r="B1499" s="1" t="str">
        <f aca="false">Report!E1915</f>
        <v>SILVA DISTRIBUIDORA</v>
      </c>
      <c r="C1499" s="17" t="n">
        <f aca="false">Report!U1915</f>
        <v>203.79</v>
      </c>
      <c r="D1499" s="1" t="str">
        <f aca="false">Report!X1915</f>
        <v>NF 12956 1/3 - ALICIA</v>
      </c>
    </row>
    <row r="1500" customFormat="false" ht="12.75" hidden="false" customHeight="true" outlineLevel="0" collapsed="false">
      <c r="A1500" s="16" t="n">
        <f aca="false">Report!C1916</f>
        <v>46270</v>
      </c>
      <c r="B1500" s="1" t="str">
        <f aca="false">Report!E1916</f>
        <v>CINTIA MACIEL PEREIRA SANTOS 95986138287</v>
      </c>
      <c r="C1500" s="17" t="n">
        <f aca="false">Report!U1916</f>
        <v>734.25</v>
      </c>
      <c r="D1500" s="1" t="str">
        <f aca="false">Report!X1916</f>
        <v>NF 1452 1/1 - ALICIA</v>
      </c>
    </row>
    <row r="1501" customFormat="false" ht="12.75" hidden="false" customHeight="true" outlineLevel="0" collapsed="false">
      <c r="A1501" s="16" t="n">
        <f aca="false">Report!C1917</f>
        <v>46270</v>
      </c>
      <c r="B1501" s="1" t="str">
        <f aca="false">Report!E1917</f>
        <v>MAXFRI DISTRIUIDORA LTDA</v>
      </c>
      <c r="C1501" s="17" t="n">
        <f aca="false">Report!U1917</f>
        <v>3682.8</v>
      </c>
      <c r="D1501" s="1" t="str">
        <f aca="false">Report!X1917</f>
        <v>NF 15210 1/2 - ALICIA</v>
      </c>
    </row>
    <row r="1502" customFormat="false" ht="12.75" hidden="false" customHeight="true" outlineLevel="0" collapsed="false">
      <c r="A1502" s="16" t="n">
        <f aca="false">Report!C1918</f>
        <v>46271</v>
      </c>
      <c r="B1502" s="1" t="str">
        <f aca="false">Report!E1918</f>
        <v>H.V.M. XAVIER ALIMENTOS</v>
      </c>
      <c r="C1502" s="17" t="n">
        <f aca="false">Report!U1918</f>
        <v>320.4</v>
      </c>
      <c r="D1502" s="1" t="str">
        <f aca="false">Report!X1918</f>
        <v>NF 136969 1/1 - ALICIA</v>
      </c>
    </row>
    <row r="1503" customFormat="false" ht="12.75" hidden="false" customHeight="true" outlineLevel="0" collapsed="false">
      <c r="A1503" s="16" t="n">
        <f aca="false">Report!C1919</f>
        <v>46271</v>
      </c>
      <c r="B1503" s="1" t="str">
        <f aca="false">Report!E1919</f>
        <v>BRF S A</v>
      </c>
      <c r="C1503" s="17" t="n">
        <f aca="false">Report!U1919</f>
        <v>166.92</v>
      </c>
      <c r="D1503" s="1" t="str">
        <f aca="false">Report!X1919</f>
        <v>NF 1625096 1/3 - ALICIA</v>
      </c>
    </row>
    <row r="1504" customFormat="false" ht="12.75" hidden="false" customHeight="true" outlineLevel="0" collapsed="false">
      <c r="A1504" s="16" t="n">
        <f aca="false">Report!C1920</f>
        <v>46272</v>
      </c>
      <c r="B1504" s="1" t="str">
        <f aca="false">Report!E1920</f>
        <v>DUNORTE DISTRIBUIDORA DE PRODUTOS DE CONSUMO LTDA</v>
      </c>
      <c r="C1504" s="17" t="n">
        <f aca="false">Report!U1920</f>
        <v>949.63</v>
      </c>
      <c r="D1504" s="1" t="str">
        <f aca="false">Report!X1920</f>
        <v>NF 3229254 4/4 - ALICIA</v>
      </c>
    </row>
    <row r="1505" customFormat="false" ht="12.75" hidden="false" customHeight="true" outlineLevel="0" collapsed="false">
      <c r="A1505" s="16" t="n">
        <f aca="false">Report!C1921</f>
        <v>46272</v>
      </c>
      <c r="B1505" s="1" t="str">
        <f aca="false">Report!E1921</f>
        <v>GILBERTO SILVA NASCIMENTO</v>
      </c>
      <c r="C1505" s="17" t="n">
        <f aca="false">Report!U1921</f>
        <v>538.18</v>
      </c>
      <c r="D1505" s="1" t="str">
        <f aca="false">Report!X1921</f>
        <v>NF 846 4/4 - ALICIA</v>
      </c>
    </row>
    <row r="1506" customFormat="false" ht="12.75" hidden="false" customHeight="true" outlineLevel="0" collapsed="false">
      <c r="A1506" s="16" t="n">
        <f aca="false">Report!C1922</f>
        <v>46272</v>
      </c>
      <c r="B1506" s="1" t="str">
        <f aca="false">Report!E1922</f>
        <v>ADRIANA DISTRIBUIDORA DE PRODUTOS ALIMEN</v>
      </c>
      <c r="C1506" s="17" t="n">
        <f aca="false">Report!U1922</f>
        <v>710.92</v>
      </c>
      <c r="D1506" s="1" t="str">
        <f aca="false">Report!X1922</f>
        <v>NF 889382 1/3 - ALICIA</v>
      </c>
    </row>
    <row r="1507" customFormat="false" ht="12.75" hidden="false" customHeight="true" outlineLevel="0" collapsed="false">
      <c r="A1507" s="16" t="n">
        <f aca="false">Report!C1923</f>
        <v>46272</v>
      </c>
      <c r="B1507" s="1" t="str">
        <f aca="false">Report!E1923</f>
        <v>IRMÃOS LIMA  ATACADO  DE ALIMENTOS LTDA</v>
      </c>
      <c r="C1507" s="17" t="n">
        <f aca="false">Report!U1923</f>
        <v>1028.18</v>
      </c>
      <c r="D1507" s="1" t="str">
        <f aca="false">Report!X1923</f>
        <v>NF 297049 3/3 - ALICIA</v>
      </c>
    </row>
    <row r="1508" customFormat="false" ht="12.75" hidden="false" customHeight="true" outlineLevel="0" collapsed="false">
      <c r="A1508" s="16" t="n">
        <f aca="false">Report!C1924</f>
        <v>46272</v>
      </c>
      <c r="B1508" s="1" t="str">
        <f aca="false">Report!E1924</f>
        <v>ADRIANA DISTRIBUIDORA DE PRODUTOS ALIMEN</v>
      </c>
      <c r="C1508" s="17" t="n">
        <f aca="false">Report!U1924</f>
        <v>1265.74</v>
      </c>
      <c r="D1508" s="1" t="str">
        <f aca="false">Report!X1924</f>
        <v>NF 890827 2/3 - ALICIA</v>
      </c>
    </row>
    <row r="1509" customFormat="false" ht="12.75" hidden="false" customHeight="true" outlineLevel="0" collapsed="false">
      <c r="A1509" s="16" t="n">
        <f aca="false">Report!C1925</f>
        <v>46272</v>
      </c>
      <c r="B1509" s="1" t="str">
        <f aca="false">Report!E1925</f>
        <v>SL DISTRIBUIDORA COM. DE PROD. ALIMENTIC</v>
      </c>
      <c r="C1509" s="17" t="n">
        <f aca="false">Report!U1925</f>
        <v>427.28</v>
      </c>
      <c r="D1509" s="1" t="str">
        <f aca="false">Report!X1925</f>
        <v>NF 11361 2/2 - ALICIA</v>
      </c>
    </row>
    <row r="1510" customFormat="false" ht="12.75" hidden="false" customHeight="true" outlineLevel="0" collapsed="false">
      <c r="A1510" s="16" t="n">
        <f aca="false">Report!C1926</f>
        <v>46272</v>
      </c>
      <c r="B1510" s="1" t="str">
        <f aca="false">Report!E1926</f>
        <v>COMERCIO DE FRIOS MANAUS LTDA</v>
      </c>
      <c r="C1510" s="17" t="n">
        <f aca="false">Report!U1926</f>
        <v>742.9</v>
      </c>
      <c r="D1510" s="1" t="str">
        <f aca="false">Report!X1926</f>
        <v>NF 175357 2/2 - ALICIA</v>
      </c>
    </row>
    <row r="1511" customFormat="false" ht="12.75" hidden="false" customHeight="true" outlineLevel="0" collapsed="false">
      <c r="A1511" s="16" t="n">
        <f aca="false">Report!C1927</f>
        <v>46272</v>
      </c>
      <c r="B1511" s="1" t="str">
        <f aca="false">Report!E1927</f>
        <v>OESA COMERCIO E REPRESENTACOES S/A</v>
      </c>
      <c r="C1511" s="17" t="n">
        <f aca="false">Report!U1927</f>
        <v>273.52</v>
      </c>
      <c r="D1511" s="1" t="str">
        <f aca="false">Report!X1927</f>
        <v>NF 443784 2/3 - ALICIA</v>
      </c>
    </row>
    <row r="1512" customFormat="false" ht="12.75" hidden="false" customHeight="true" outlineLevel="0" collapsed="false">
      <c r="A1512" s="16" t="n">
        <f aca="false">Report!C1928</f>
        <v>46272</v>
      </c>
      <c r="B1512" s="1" t="str">
        <f aca="false">Report!E1928</f>
        <v>OLIVEIRA E SILVA LTDA</v>
      </c>
      <c r="C1512" s="17" t="n">
        <f aca="false">Report!U1928</f>
        <v>855</v>
      </c>
      <c r="D1512" s="1" t="str">
        <f aca="false">Report!X1928</f>
        <v>COMPRAS FARINHAS DO JOSE - ALICIA</v>
      </c>
    </row>
    <row r="1513" customFormat="false" ht="12.75" hidden="false" customHeight="true" outlineLevel="0" collapsed="false">
      <c r="A1513" s="16" t="n">
        <f aca="false">Report!C1929</f>
        <v>46272</v>
      </c>
      <c r="B1513" s="1" t="str">
        <f aca="false">Report!E1929</f>
        <v>MAXFRI DISTRIUIDORA LTDA</v>
      </c>
      <c r="C1513" s="17" t="n">
        <f aca="false">Report!U1929</f>
        <v>3695.25</v>
      </c>
      <c r="D1513" s="1" t="str">
        <f aca="false">Report!X1929</f>
        <v>NF 15125 2/2 - ALICIA</v>
      </c>
    </row>
    <row r="1514" customFormat="false" ht="12.75" hidden="false" customHeight="true" outlineLevel="0" collapsed="false">
      <c r="A1514" s="16" t="n">
        <f aca="false">Report!C1930</f>
        <v>46272</v>
      </c>
      <c r="B1514" s="1" t="str">
        <f aca="false">Report!E1930</f>
        <v>OLIVEIRA E SILVA LTDA</v>
      </c>
      <c r="C1514" s="17" t="n">
        <f aca="false">Report!U1930</f>
        <v>300</v>
      </c>
      <c r="D1514" s="1" t="str">
        <f aca="false">Report!X1930</f>
        <v>COMPRAS 20 GARRFA ACAI PIX:92991892419 NAILSON GARCES</v>
      </c>
    </row>
    <row r="1515" customFormat="false" ht="12.75" hidden="false" customHeight="true" outlineLevel="0" collapsed="false">
      <c r="A1515" s="16" t="n">
        <f aca="false">Report!C1931</f>
        <v>46273</v>
      </c>
      <c r="B1515" s="1" t="str">
        <f aca="false">Report!E1931</f>
        <v>WKL COMERCIO ATACADISTA DE ARTIGOS DE AR</v>
      </c>
      <c r="C1515" s="17" t="n">
        <f aca="false">Report!U1931</f>
        <v>592.05</v>
      </c>
      <c r="D1515" s="1" t="str">
        <f aca="false">Report!X1931</f>
        <v>NF 1330 4/4 - ALICIA</v>
      </c>
    </row>
    <row r="1516" customFormat="false" ht="12.75" hidden="false" customHeight="true" outlineLevel="0" collapsed="false">
      <c r="A1516" s="16" t="n">
        <f aca="false">Report!C1933</f>
        <v>46273</v>
      </c>
      <c r="B1516" s="1" t="str">
        <f aca="false">Report!E1933</f>
        <v>ATIVA COM E REP</v>
      </c>
      <c r="C1516" s="17" t="n">
        <f aca="false">Report!U1933</f>
        <v>879.72</v>
      </c>
      <c r="D1516" s="1" t="str">
        <f aca="false">Report!X1933</f>
        <v>NF 26350 3/3 - ALICIA</v>
      </c>
    </row>
    <row r="1517" customFormat="false" ht="12.75" hidden="false" customHeight="true" outlineLevel="0" collapsed="false">
      <c r="A1517" s="16" t="n">
        <f aca="false">Report!C1934</f>
        <v>46273</v>
      </c>
      <c r="B1517" s="1" t="str">
        <f aca="false">Report!E1934</f>
        <v>DUNORTE DISTRIBUIDORA DE PRODUTOS DE CONSUMO LTDA</v>
      </c>
      <c r="C1517" s="17" t="n">
        <f aca="false">Report!U1934</f>
        <v>421.85</v>
      </c>
      <c r="D1517" s="1" t="str">
        <f aca="false">Report!X1934</f>
        <v>NF 3234933 3/3 - ALICIA</v>
      </c>
    </row>
    <row r="1518" customFormat="false" ht="12.75" hidden="false" customHeight="true" outlineLevel="0" collapsed="false">
      <c r="A1518" s="16" t="n">
        <f aca="false">Report!C1935</f>
        <v>46273</v>
      </c>
      <c r="B1518" s="1" t="str">
        <f aca="false">Report!E1935</f>
        <v>NESTLÉ BRASIL LTDA.</v>
      </c>
      <c r="C1518" s="17" t="n">
        <f aca="false">Report!U1935</f>
        <v>1060.48</v>
      </c>
      <c r="D1518" s="1" t="str">
        <f aca="false">Report!X1935</f>
        <v>NF 1439013 1/1 - ALICIA</v>
      </c>
    </row>
    <row r="1519" customFormat="false" ht="12.75" hidden="false" customHeight="true" outlineLevel="0" collapsed="false">
      <c r="A1519" s="16" t="n">
        <f aca="false">Report!C1936</f>
        <v>46273</v>
      </c>
      <c r="B1519" s="1" t="str">
        <f aca="false">Report!E1936</f>
        <v>SABIA COMERCIO DE COSMETICOS LTDA</v>
      </c>
      <c r="C1519" s="17" t="n">
        <f aca="false">Report!U1936</f>
        <v>842.3</v>
      </c>
      <c r="D1519" s="1" t="str">
        <f aca="false">Report!X1936</f>
        <v>NF 255147 1/5 - ALICIA</v>
      </c>
    </row>
    <row r="1520" customFormat="false" ht="12.75" hidden="false" customHeight="true" outlineLevel="0" collapsed="false">
      <c r="A1520" s="16" t="n">
        <f aca="false">Report!C1937</f>
        <v>46273</v>
      </c>
      <c r="B1520" s="1" t="str">
        <f aca="false">Report!E1937</f>
        <v>NESTLÉ BRASIL LTDA.</v>
      </c>
      <c r="C1520" s="17" t="n">
        <f aca="false">Report!U1937</f>
        <v>1052.36</v>
      </c>
      <c r="D1520" s="1" t="str">
        <f aca="false">Report!X1937</f>
        <v>NF 1439755 1/1 - ALICIA</v>
      </c>
    </row>
    <row r="1521" customFormat="false" ht="12.75" hidden="false" customHeight="true" outlineLevel="0" collapsed="false">
      <c r="A1521" s="16" t="n">
        <f aca="false">Report!C1938</f>
        <v>46273</v>
      </c>
      <c r="B1521" s="1" t="str">
        <f aca="false">Report!E1938</f>
        <v>OCIDENTAL COMERCIO DE FRIOS LTDA</v>
      </c>
      <c r="C1521" s="17" t="n">
        <f aca="false">Report!U1938</f>
        <v>888.75</v>
      </c>
      <c r="D1521" s="1" t="str">
        <f aca="false">Report!X1938</f>
        <v>NF 1260091 2/2 - ALICIA</v>
      </c>
    </row>
    <row r="1522" customFormat="false" ht="12.75" hidden="false" customHeight="true" outlineLevel="0" collapsed="false">
      <c r="A1522" s="16" t="n">
        <f aca="false">Report!C1939</f>
        <v>46273</v>
      </c>
      <c r="B1522" s="1" t="str">
        <f aca="false">Report!E1939</f>
        <v>NESTLÉ BRASIL LTDA.</v>
      </c>
      <c r="C1522" s="17" t="n">
        <f aca="false">Report!U1939</f>
        <v>437.25</v>
      </c>
      <c r="D1522" s="1" t="str">
        <f aca="false">Report!X1939</f>
        <v>NF 1440073 1/1 - ALICIA</v>
      </c>
    </row>
    <row r="1523" customFormat="false" ht="12.75" hidden="false" customHeight="true" outlineLevel="0" collapsed="false">
      <c r="A1523" s="16" t="n">
        <f aca="false">Report!C1940</f>
        <v>46273</v>
      </c>
      <c r="B1523" s="1" t="str">
        <f aca="false">Report!E1940</f>
        <v>DUNORTE DISTRIBUIDORA DE PRODUTOS DE CONSUMO LTDA</v>
      </c>
      <c r="C1523" s="17" t="n">
        <f aca="false">Report!U1940</f>
        <v>924.11</v>
      </c>
      <c r="D1523" s="1" t="str">
        <f aca="false">Report!X1940</f>
        <v>NF 3238686 2/4 - ALICIA</v>
      </c>
    </row>
    <row r="1524" customFormat="false" ht="12.75" hidden="false" customHeight="true" outlineLevel="0" collapsed="false">
      <c r="A1524" s="16" t="n">
        <f aca="false">Report!C1941</f>
        <v>46273</v>
      </c>
      <c r="B1524" s="1" t="str">
        <f aca="false">Report!E1941</f>
        <v>MARE DISTRIBUIDORA DE BEBIDAS E DE PRODUTOS ALIMENTICIOS LTDA</v>
      </c>
      <c r="C1524" s="17" t="n">
        <f aca="false">Report!U1941</f>
        <v>960</v>
      </c>
      <c r="D1524" s="1" t="str">
        <f aca="false">Report!X1941</f>
        <v>NF 8171191 2/2 - ALICIA</v>
      </c>
    </row>
    <row r="1525" customFormat="false" ht="12.75" hidden="false" customHeight="true" outlineLevel="0" collapsed="false">
      <c r="A1525" s="16" t="n">
        <f aca="false">Report!C1942</f>
        <v>46273</v>
      </c>
      <c r="B1525" s="1" t="str">
        <f aca="false">Report!E1942</f>
        <v>MARE DISTRIBUIDORA DE BEBIDAS E DE PRODUTOS ALIMENTICIOS LTDA</v>
      </c>
      <c r="C1525" s="17" t="n">
        <f aca="false">Report!U1942</f>
        <v>638.75</v>
      </c>
      <c r="D1525" s="1" t="str">
        <f aca="false">Report!X1942</f>
        <v>NF 8171192 2/2 - ALICIA</v>
      </c>
    </row>
    <row r="1526" customFormat="false" ht="12.75" hidden="false" customHeight="true" outlineLevel="0" collapsed="false">
      <c r="A1526" s="16" t="n">
        <f aca="false">Report!C1943</f>
        <v>46273</v>
      </c>
      <c r="B1526" s="1" t="str">
        <f aca="false">Report!E1943</f>
        <v>FEMAR IND E COM DE BEBIDAS LTDA</v>
      </c>
      <c r="C1526" s="17" t="n">
        <f aca="false">Report!U1943</f>
        <v>342.12</v>
      </c>
      <c r="D1526" s="1" t="str">
        <f aca="false">Report!X1943</f>
        <v>NF 57306 1/1 - ALICIA</v>
      </c>
    </row>
    <row r="1527" customFormat="false" ht="12.75" hidden="false" customHeight="true" outlineLevel="0" collapsed="false">
      <c r="A1527" s="16" t="n">
        <f aca="false">Report!C1944</f>
        <v>46273</v>
      </c>
      <c r="B1527" s="1" t="str">
        <f aca="false">Report!E1944</f>
        <v>COMERCIO DE FRIOS MANAUS LTDA</v>
      </c>
      <c r="C1527" s="17" t="n">
        <f aca="false">Report!U1944</f>
        <v>2644.2</v>
      </c>
      <c r="D1527" s="1" t="str">
        <f aca="false">Report!X1944</f>
        <v>NF 175417 2/2 - ALICIA</v>
      </c>
    </row>
    <row r="1528" customFormat="false" ht="12.75" hidden="false" customHeight="true" outlineLevel="0" collapsed="false">
      <c r="A1528" s="16" t="n">
        <f aca="false">Report!C1945</f>
        <v>46273</v>
      </c>
      <c r="B1528" s="1" t="str">
        <f aca="false">Report!E1945</f>
        <v>TOYA INDUSTRIA E COMERCIO LTDA.</v>
      </c>
      <c r="C1528" s="17" t="n">
        <f aca="false">Report!U1945</f>
        <v>309.88</v>
      </c>
      <c r="D1528" s="1" t="str">
        <f aca="false">Report!X1945</f>
        <v>NF 258631 2/2 - ALICIA</v>
      </c>
    </row>
    <row r="1529" customFormat="false" ht="12.75" hidden="false" customHeight="true" outlineLevel="0" collapsed="false">
      <c r="A1529" s="16" t="n">
        <f aca="false">Report!C1946</f>
        <v>46273</v>
      </c>
      <c r="B1529" s="1" t="str">
        <f aca="false">Report!E1946</f>
        <v>MARE DISTRIBUIDORA DE BEBIDAS E DE PRODUTOS ALIMENTICIOS LTDA</v>
      </c>
      <c r="C1529" s="17" t="n">
        <f aca="false">Report!U1946</f>
        <v>195</v>
      </c>
      <c r="D1529" s="1" t="str">
        <f aca="false">Report!X1946</f>
        <v>NF 1432810 1/2 - ALICIA</v>
      </c>
    </row>
    <row r="1530" customFormat="false" ht="12.75" hidden="false" customHeight="true" outlineLevel="0" collapsed="false">
      <c r="A1530" s="16" t="n">
        <f aca="false">Report!C1947</f>
        <v>46273</v>
      </c>
      <c r="B1530" s="1" t="str">
        <f aca="false">Report!E1947</f>
        <v>MARE DISTRIBUIDORA DE BEBIDAS E DE PRODUTOS ALIMENTICIOS LTDA</v>
      </c>
      <c r="C1530" s="17" t="n">
        <f aca="false">Report!U1947</f>
        <v>643.4</v>
      </c>
      <c r="D1530" s="1" t="str">
        <f aca="false">Report!X1947</f>
        <v>NF 1432808 1/2 - ALICIA</v>
      </c>
    </row>
    <row r="1531" customFormat="false" ht="12.75" hidden="false" customHeight="true" outlineLevel="0" collapsed="false">
      <c r="A1531" s="16" t="n">
        <f aca="false">Report!C1948</f>
        <v>46273</v>
      </c>
      <c r="B1531" s="1" t="str">
        <f aca="false">Report!E1948</f>
        <v>M A B MAXIMINO EIRELI</v>
      </c>
      <c r="C1531" s="17" t="n">
        <f aca="false">Report!U1948</f>
        <v>209.94</v>
      </c>
      <c r="D1531" s="1" t="str">
        <f aca="false">Report!X1948</f>
        <v>NF 7845 1/1 - ALICIA</v>
      </c>
    </row>
    <row r="1532" customFormat="false" ht="12.75" hidden="false" customHeight="true" outlineLevel="0" collapsed="false">
      <c r="A1532" s="16" t="n">
        <f aca="false">Report!C1949</f>
        <v>46274</v>
      </c>
      <c r="B1532" s="1" t="str">
        <f aca="false">Report!E1949</f>
        <v>MARTINS COM SERV DISTR SA</v>
      </c>
      <c r="C1532" s="17" t="n">
        <f aca="false">Report!U1949</f>
        <v>1718.76</v>
      </c>
      <c r="D1532" s="1" t="str">
        <f aca="false">Report!X1949</f>
        <v>NF 1771475 3/4 - ALICIA</v>
      </c>
    </row>
    <row r="1533" customFormat="false" ht="12.75" hidden="false" customHeight="true" outlineLevel="0" collapsed="false">
      <c r="A1533" s="16" t="n">
        <f aca="false">Report!C1950</f>
        <v>46274</v>
      </c>
      <c r="B1533" s="1" t="str">
        <f aca="false">Report!E1950</f>
        <v>AGM COMERCIO E DISTRIBUIDORA DE MATERIAS DE PERFUMARIA E LIMPEZA LTDA</v>
      </c>
      <c r="C1533" s="17" t="n">
        <f aca="false">Report!U1950</f>
        <v>545.13</v>
      </c>
      <c r="D1533" s="1" t="str">
        <f aca="false">Report!X1950</f>
        <v>NF 163841 3/4 - ALICIA</v>
      </c>
    </row>
    <row r="1534" customFormat="false" ht="12.75" hidden="false" customHeight="true" outlineLevel="0" collapsed="false">
      <c r="A1534" s="16" t="n">
        <f aca="false">Report!C1951</f>
        <v>46274</v>
      </c>
      <c r="B1534" s="1" t="str">
        <f aca="false">Report!E1951</f>
        <v>OCIDENTAL COMERCIO DE FRIOS LTDA</v>
      </c>
      <c r="C1534" s="17" t="n">
        <f aca="false">Report!U1951</f>
        <v>871.13</v>
      </c>
      <c r="D1534" s="1" t="str">
        <f aca="false">Report!X1951</f>
        <v>NF 1260900 2/2 - ALICIA</v>
      </c>
    </row>
    <row r="1535" customFormat="false" ht="12.75" hidden="false" customHeight="true" outlineLevel="0" collapsed="false">
      <c r="A1535" s="16" t="n">
        <f aca="false">Report!C1952</f>
        <v>46274</v>
      </c>
      <c r="B1535" s="1" t="str">
        <f aca="false">Report!E1952</f>
        <v>A M QUIMICA IND E COM DE PROD QUIMICOS I</v>
      </c>
      <c r="C1535" s="17" t="n">
        <f aca="false">Report!U1952</f>
        <v>226.44</v>
      </c>
      <c r="D1535" s="1" t="str">
        <f aca="false">Report!X1952</f>
        <v>NF 70351 2/3 - ALICIA</v>
      </c>
    </row>
    <row r="1536" customFormat="false" ht="12.75" hidden="false" customHeight="true" outlineLevel="0" collapsed="false">
      <c r="A1536" s="16" t="n">
        <f aca="false">Report!C1953</f>
        <v>46274</v>
      </c>
      <c r="B1536" s="1" t="str">
        <f aca="false">Report!E1953</f>
        <v>BRF S A</v>
      </c>
      <c r="C1536" s="17" t="n">
        <f aca="false">Report!U1953</f>
        <v>1333.03</v>
      </c>
      <c r="D1536" s="1" t="str">
        <f aca="false">Report!X1953</f>
        <v>NF 1622008 3/3 - ALICIA</v>
      </c>
    </row>
    <row r="1537" customFormat="false" ht="12.75" hidden="false" customHeight="true" outlineLevel="0" collapsed="false">
      <c r="A1537" s="16" t="n">
        <f aca="false">Report!C1954</f>
        <v>46274</v>
      </c>
      <c r="B1537" s="1" t="str">
        <f aca="false">Report!E1954</f>
        <v>REAL BEBIDAS DA AMAZONIA LTDA</v>
      </c>
      <c r="C1537" s="17" t="n">
        <f aca="false">Report!U1954</f>
        <v>327</v>
      </c>
      <c r="D1537" s="1" t="str">
        <f aca="false">Report!X1954</f>
        <v>NF 628889 2/2 - ALICIA</v>
      </c>
    </row>
    <row r="1538" customFormat="false" ht="12.75" hidden="false" customHeight="true" outlineLevel="0" collapsed="false">
      <c r="A1538" s="16" t="n">
        <f aca="false">Report!C1955</f>
        <v>46274</v>
      </c>
      <c r="B1538" s="1" t="str">
        <f aca="false">Report!E1955</f>
        <v>EDMARA COMERCIO DE HIGIENE PESSOAL LTDA</v>
      </c>
      <c r="C1538" s="17" t="n">
        <f aca="false">Report!U1955</f>
        <v>1460.03</v>
      </c>
      <c r="D1538" s="1" t="str">
        <f aca="false">Report!X1955</f>
        <v>NF 8770 1/4 - ALICIA</v>
      </c>
    </row>
    <row r="1539" customFormat="false" ht="12.75" hidden="false" customHeight="true" outlineLevel="0" collapsed="false">
      <c r="A1539" s="16" t="n">
        <f aca="false">Report!C1957</f>
        <v>46274</v>
      </c>
      <c r="B1539" s="1" t="str">
        <f aca="false">Report!E1957</f>
        <v>BRF S A</v>
      </c>
      <c r="C1539" s="17" t="n">
        <f aca="false">Report!U1957</f>
        <v>1100.04</v>
      </c>
      <c r="D1539" s="1" t="str">
        <f aca="false">Report!X1957</f>
        <v>NF 1624838 2/3 - ALICIA</v>
      </c>
    </row>
    <row r="1540" customFormat="false" ht="12.75" hidden="false" customHeight="true" outlineLevel="0" collapsed="false">
      <c r="A1540" s="16" t="n">
        <f aca="false">Report!C1963</f>
        <v>46275</v>
      </c>
      <c r="B1540" s="1" t="str">
        <f aca="false">Report!E1963</f>
        <v>L S M COMERCIO DE ALIMENTOS E NAVEGACAO</v>
      </c>
      <c r="C1540" s="17" t="n">
        <f aca="false">Report!U1963</f>
        <v>1384</v>
      </c>
      <c r="D1540" s="1" t="str">
        <f aca="false">Report!X1963</f>
        <v>NF 310741 3/3 - ALICIA</v>
      </c>
    </row>
    <row r="1541" customFormat="false" ht="12.75" hidden="false" customHeight="true" outlineLevel="0" collapsed="false">
      <c r="A1541" s="16" t="n">
        <f aca="false">Report!C1964</f>
        <v>46275</v>
      </c>
      <c r="B1541" s="1" t="str">
        <f aca="false">Report!E1964</f>
        <v>BF COMERCIO DE ALIMENTOS REPRESENTACAO L</v>
      </c>
      <c r="C1541" s="17" t="n">
        <f aca="false">Report!U1964</f>
        <v>355.95</v>
      </c>
      <c r="D1541" s="1" t="str">
        <f aca="false">Report!X1964</f>
        <v>NF 21254 3/3 - ALICIA</v>
      </c>
    </row>
    <row r="1542" customFormat="false" ht="12.75" hidden="false" customHeight="true" outlineLevel="0" collapsed="false">
      <c r="A1542" s="16" t="n">
        <f aca="false">Report!C1965</f>
        <v>46275</v>
      </c>
      <c r="B1542" s="1" t="str">
        <f aca="false">Report!E1965</f>
        <v>J G COMERCIO DE PRODUTOS ALIMENTICIOS LTDA</v>
      </c>
      <c r="C1542" s="17" t="n">
        <f aca="false">Report!U1965</f>
        <v>655.61</v>
      </c>
      <c r="D1542" s="1" t="str">
        <f aca="false">Report!X1965</f>
        <v>NF 398009 3/3 - ALICIA</v>
      </c>
    </row>
    <row r="1543" customFormat="false" ht="12.75" hidden="false" customHeight="true" outlineLevel="0" collapsed="false">
      <c r="A1543" s="16" t="n">
        <f aca="false">Report!C1967</f>
        <v>46275</v>
      </c>
      <c r="B1543" s="1" t="str">
        <f aca="false">Report!E1967</f>
        <v>CB COMERCIO E DISTRIBUIDORA DE ALIMENTOS</v>
      </c>
      <c r="C1543" s="17" t="n">
        <f aca="false">Report!U1967</f>
        <v>603.25</v>
      </c>
      <c r="D1543" s="1" t="str">
        <f aca="false">Report!X1967</f>
        <v>NF 865043 2/3 - ALICIA</v>
      </c>
    </row>
    <row r="1544" customFormat="false" ht="12.75" hidden="false" customHeight="true" outlineLevel="0" collapsed="false">
      <c r="A1544" s="16" t="n">
        <f aca="false">Report!C1968</f>
        <v>46275</v>
      </c>
      <c r="B1544" s="1" t="str">
        <f aca="false">Report!E1968</f>
        <v>DISTRIBUIDORA LOPES LTDA</v>
      </c>
      <c r="C1544" s="17" t="n">
        <f aca="false">Report!U1968</f>
        <v>789.29</v>
      </c>
      <c r="D1544" s="1" t="str">
        <f aca="false">Report!X1968</f>
        <v>NF 1715032 2/3 - ALICIA</v>
      </c>
    </row>
    <row r="1545" customFormat="false" ht="12.75" hidden="false" customHeight="true" outlineLevel="0" collapsed="false">
      <c r="A1545" s="16" t="n">
        <f aca="false">Report!C1969</f>
        <v>46275</v>
      </c>
      <c r="B1545" s="1" t="str">
        <f aca="false">Report!E1969</f>
        <v>MARE DISTRIBUIDORA DE BEBIDAS E DE PRODUTOS ALIMENTICIOS LTDA</v>
      </c>
      <c r="C1545" s="17" t="n">
        <f aca="false">Report!U1969</f>
        <v>365</v>
      </c>
      <c r="D1545" s="1" t="str">
        <f aca="false">Report!X1969</f>
        <v>NF 1435316 1/2 - ALICIA</v>
      </c>
    </row>
    <row r="1546" customFormat="false" ht="12.75" hidden="false" customHeight="true" outlineLevel="0" collapsed="false">
      <c r="A1546" s="16" t="n">
        <f aca="false">Report!C1970</f>
        <v>46276</v>
      </c>
      <c r="B1546" s="1" t="str">
        <f aca="false">Report!E1970</f>
        <v>FUNNY PET DISTRIBUIDORA DE ALIMENTOS PAR</v>
      </c>
      <c r="C1546" s="17" t="n">
        <f aca="false">Report!U1970</f>
        <v>245.49</v>
      </c>
      <c r="D1546" s="1" t="str">
        <f aca="false">Report!X1970</f>
        <v>NF 20469 1/1 - ALICIA</v>
      </c>
    </row>
    <row r="1547" customFormat="false" ht="12.75" hidden="false" customHeight="true" outlineLevel="0" collapsed="false">
      <c r="A1547" s="16" t="n">
        <f aca="false">Report!C1971</f>
        <v>46276</v>
      </c>
      <c r="B1547" s="1" t="str">
        <f aca="false">Report!E1971</f>
        <v>MARQUES &amp; MELO LTDA - FILIAL</v>
      </c>
      <c r="C1547" s="17" t="n">
        <f aca="false">Report!U1971</f>
        <v>300.54</v>
      </c>
      <c r="D1547" s="1" t="str">
        <f aca="false">Report!X1971</f>
        <v>NF 506838 3/3 - ALICIA</v>
      </c>
    </row>
    <row r="1548" customFormat="false" ht="12.75" hidden="false" customHeight="true" outlineLevel="0" collapsed="false">
      <c r="A1548" s="16" t="n">
        <f aca="false">Report!C1972</f>
        <v>46276</v>
      </c>
      <c r="B1548" s="1" t="str">
        <f aca="false">Report!E1972</f>
        <v>AGM INDUSTRIA COMERCIO E REPRESENTACAO LTDA</v>
      </c>
      <c r="C1548" s="17" t="n">
        <f aca="false">Report!U1972</f>
        <v>625.75</v>
      </c>
      <c r="D1548" s="1" t="str">
        <f aca="false">Report!X1972</f>
        <v>NF 48211 2/3 - ALICIA</v>
      </c>
    </row>
    <row r="1549" customFormat="false" ht="12.75" hidden="false" customHeight="true" outlineLevel="0" collapsed="false">
      <c r="A1549" s="16" t="n">
        <f aca="false">Report!C1973</f>
        <v>46276</v>
      </c>
      <c r="B1549" s="1" t="str">
        <f aca="false">Report!E1973</f>
        <v>VIA CERTA INDUSTRIA E COMERCIO DE SANEANTES LTDA</v>
      </c>
      <c r="C1549" s="17" t="n">
        <f aca="false">Report!U1973</f>
        <v>794.96</v>
      </c>
      <c r="D1549" s="1" t="str">
        <f aca="false">Report!X1973</f>
        <v>NF 44501 1/2 - ALICIA</v>
      </c>
    </row>
    <row r="1550" customFormat="false" ht="12.75" hidden="false" customHeight="true" outlineLevel="0" collapsed="false">
      <c r="A1550" s="16" t="n">
        <f aca="false">Report!C1974</f>
        <v>46276</v>
      </c>
      <c r="B1550" s="1" t="str">
        <f aca="false">Report!E1974</f>
        <v>BRAGA TABACARIA EIRELI ME</v>
      </c>
      <c r="C1550" s="17" t="n">
        <f aca="false">Report!U1974</f>
        <v>1924.08</v>
      </c>
      <c r="D1550" s="1" t="str">
        <f aca="false">Report!X1974</f>
        <v>NF 19986 3/3 - ALICIA</v>
      </c>
    </row>
    <row r="1551" customFormat="false" ht="12.75" hidden="false" customHeight="true" outlineLevel="0" collapsed="false">
      <c r="A1551" s="16" t="n">
        <f aca="false">Report!C1975</f>
        <v>46276</v>
      </c>
      <c r="B1551" s="1" t="str">
        <f aca="false">Report!E1975</f>
        <v>SILVA DISTRIBUIDORA</v>
      </c>
      <c r="C1551" s="17" t="n">
        <f aca="false">Report!U1975</f>
        <v>226.8</v>
      </c>
      <c r="D1551" s="1" t="str">
        <f aca="false">Report!X1975</f>
        <v>NF 12955 2/2 - ALICIA</v>
      </c>
    </row>
    <row r="1552" customFormat="false" ht="12.75" hidden="false" customHeight="true" outlineLevel="0" collapsed="false">
      <c r="A1552" s="16" t="n">
        <f aca="false">Report!C1976</f>
        <v>46276</v>
      </c>
      <c r="B1552" s="1" t="str">
        <f aca="false">Report!E1976</f>
        <v>J G COMERCIO DE PRODUTOS ALIMENTICIOS LTDA</v>
      </c>
      <c r="C1552" s="17" t="n">
        <f aca="false">Report!U1976</f>
        <v>1010.95</v>
      </c>
      <c r="D1552" s="1" t="str">
        <f aca="false">Report!X1976</f>
        <v>NF 399135 2/3 - ALICIA</v>
      </c>
    </row>
    <row r="1553" customFormat="false" ht="12.75" hidden="false" customHeight="true" outlineLevel="0" collapsed="false">
      <c r="A1553" s="16" t="n">
        <f aca="false">Report!C1977</f>
        <v>46276</v>
      </c>
      <c r="B1553" s="1" t="str">
        <f aca="false">Report!E1977</f>
        <v>E K S COMERCIO ATACADISTA E VAREJISTA DE</v>
      </c>
      <c r="C1553" s="17" t="n">
        <f aca="false">Report!U1977</f>
        <v>253.92</v>
      </c>
      <c r="D1553" s="1" t="str">
        <f aca="false">Report!X1977</f>
        <v>NF 2561 1/1 - ALICIA</v>
      </c>
    </row>
    <row r="1554" customFormat="false" ht="12.75" hidden="false" customHeight="true" outlineLevel="0" collapsed="false">
      <c r="A1554" s="16" t="n">
        <f aca="false">Report!C1979</f>
        <v>46276</v>
      </c>
      <c r="B1554" s="1" t="str">
        <f aca="false">Report!E1979</f>
        <v>ELFORT FRUIT COMERCIO DE PRODUTOS ALIME</v>
      </c>
      <c r="C1554" s="17" t="n">
        <f aca="false">Report!U1979</f>
        <v>673.16</v>
      </c>
      <c r="D1554" s="1" t="str">
        <f aca="false">Report!X1979</f>
        <v>NF 28760 2/2 - ALICIA</v>
      </c>
    </row>
    <row r="1555" customFormat="false" ht="12.75" hidden="false" customHeight="true" outlineLevel="0" collapsed="false">
      <c r="A1555" s="16" t="n">
        <f aca="false">Report!C1980</f>
        <v>46276</v>
      </c>
      <c r="B1555" s="1" t="str">
        <f aca="false">Report!E1980</f>
        <v>DISTRIBUIDORA LOPES LTDA</v>
      </c>
      <c r="C1555" s="17" t="n">
        <f aca="false">Report!U1980</f>
        <v>203.74</v>
      </c>
      <c r="D1555" s="1" t="str">
        <f aca="false">Report!X1980</f>
        <v>NF 1721626 1/1 - ALICIA</v>
      </c>
    </row>
    <row r="1556" customFormat="false" ht="12.75" hidden="false" customHeight="true" outlineLevel="0" collapsed="false">
      <c r="A1556" s="16" t="n">
        <f aca="false">Report!C1981</f>
        <v>46276</v>
      </c>
      <c r="B1556" s="1" t="str">
        <f aca="false">Report!E1981</f>
        <v>OCIDENTAL COMERCIO DE FRIOS LTDA</v>
      </c>
      <c r="C1556" s="17" t="n">
        <f aca="false">Report!U1981</f>
        <v>903.6</v>
      </c>
      <c r="D1556" s="1" t="str">
        <f aca="false">Report!X1981</f>
        <v>NF 1264637 1/2 - ALICIA</v>
      </c>
    </row>
    <row r="1557" customFormat="false" ht="12.75" hidden="false" customHeight="true" outlineLevel="0" collapsed="false">
      <c r="A1557" s="16" t="n">
        <f aca="false">Report!C1982</f>
        <v>46276</v>
      </c>
      <c r="B1557" s="1" t="str">
        <f aca="false">Report!E1982</f>
        <v>BRF S A</v>
      </c>
      <c r="C1557" s="17" t="n">
        <f aca="false">Report!U1982</f>
        <v>166.92</v>
      </c>
      <c r="D1557" s="1" t="str">
        <f aca="false">Report!X1982</f>
        <v>NF 1625096 2/3 - ALICIA</v>
      </c>
    </row>
    <row r="1558" customFormat="false" ht="12.75" hidden="false" customHeight="true" outlineLevel="0" collapsed="false">
      <c r="A1558" s="16" t="n">
        <f aca="false">Report!C1983</f>
        <v>46277</v>
      </c>
      <c r="B1558" s="1" t="str">
        <f aca="false">Report!E1983</f>
        <v>FUNNY PET DISTRIBUIDORA DE ALIMENTOS PAR</v>
      </c>
      <c r="C1558" s="17" t="n">
        <f aca="false">Report!U1983</f>
        <v>1760.2</v>
      </c>
      <c r="D1558" s="1" t="str">
        <f aca="false">Report!X1983</f>
        <v>NF 21623 3/4 - ALICIA</v>
      </c>
    </row>
    <row r="1559" customFormat="false" ht="12.75" hidden="false" customHeight="true" outlineLevel="0" collapsed="false">
      <c r="A1559" s="16" t="n">
        <f aca="false">Report!C1985</f>
        <v>46277</v>
      </c>
      <c r="B1559" s="1" t="str">
        <f aca="false">Report!E1985</f>
        <v>MAXFRI DISTRIUIDORA LTDA</v>
      </c>
      <c r="C1559" s="17" t="n">
        <f aca="false">Report!U1985</f>
        <v>3682.8</v>
      </c>
      <c r="D1559" s="1" t="str">
        <f aca="false">Report!X1985</f>
        <v>NF 15210 2/2 - ALICIA</v>
      </c>
    </row>
    <row r="1560" customFormat="false" ht="12.75" hidden="false" customHeight="true" outlineLevel="0" collapsed="false">
      <c r="A1560" s="16" t="n">
        <f aca="false">Report!C1986</f>
        <v>46279</v>
      </c>
      <c r="B1560" s="1" t="str">
        <f aca="false">Report!E1986</f>
        <v>ADRIANA DISTRIBUIDORA DE PRODUTOS ALIMEN</v>
      </c>
      <c r="C1560" s="17" t="n">
        <f aca="false">Report!U1986</f>
        <v>1265.74</v>
      </c>
      <c r="D1560" s="1" t="str">
        <f aca="false">Report!X1986</f>
        <v>NF 890827 3/3 - ALICIA</v>
      </c>
    </row>
    <row r="1561" customFormat="false" ht="12.75" hidden="false" customHeight="true" outlineLevel="0" collapsed="false">
      <c r="A1561" s="16" t="n">
        <f aca="false">Report!C1987</f>
        <v>46279</v>
      </c>
      <c r="B1561" s="1" t="str">
        <f aca="false">Report!E1987</f>
        <v>OESA COMERCIO E REPRESENTACOES S/A</v>
      </c>
      <c r="C1561" s="17" t="n">
        <f aca="false">Report!U1987</f>
        <v>273.52</v>
      </c>
      <c r="D1561" s="1" t="str">
        <f aca="false">Report!X1987</f>
        <v>NF 443784 3/3 - ALICIA</v>
      </c>
    </row>
    <row r="1562" customFormat="false" ht="12.75" hidden="false" customHeight="true" outlineLevel="0" collapsed="false">
      <c r="A1562" s="16" t="n">
        <f aca="false">Report!C1988</f>
        <v>46279</v>
      </c>
      <c r="B1562" s="1" t="str">
        <f aca="false">Report!E1988</f>
        <v>SB COMERCIO LTDA</v>
      </c>
      <c r="C1562" s="17" t="n">
        <f aca="false">Report!U1988</f>
        <v>524.88</v>
      </c>
      <c r="D1562" s="1" t="str">
        <f aca="false">Report!X1988</f>
        <v>NF 1967274 1/5 - ALICIA</v>
      </c>
    </row>
    <row r="1563" customFormat="false" ht="12.75" hidden="false" customHeight="true" outlineLevel="0" collapsed="false">
      <c r="A1563" s="16" t="n">
        <f aca="false">Report!C1989</f>
        <v>46279</v>
      </c>
      <c r="B1563" s="1" t="str">
        <f aca="false">Report!E1989</f>
        <v>L S M COMERCIO DE ALIMENTOS E NAVEGACAO</v>
      </c>
      <c r="C1563" s="17" t="n">
        <f aca="false">Report!U1989</f>
        <v>1065.1</v>
      </c>
      <c r="D1563" s="1" t="str">
        <f aca="false">Report!X1989</f>
        <v>NF 312577 1/3 - ALICIA</v>
      </c>
    </row>
    <row r="1564" customFormat="false" ht="12.75" hidden="false" customHeight="true" outlineLevel="0" collapsed="false">
      <c r="A1564" s="16" t="n">
        <f aca="false">Report!C1990</f>
        <v>46279</v>
      </c>
      <c r="B1564" s="1" t="str">
        <f aca="false">Report!E1990</f>
        <v>GONCALES COMER DE HORT GRANJEIROS EIRELI</v>
      </c>
      <c r="C1564" s="17" t="n">
        <f aca="false">Report!U1990</f>
        <v>249.5</v>
      </c>
      <c r="D1564" s="1" t="str">
        <f aca="false">Report!X1990</f>
        <v>NF 233 1/1 - ALICIA</v>
      </c>
    </row>
    <row r="1565" customFormat="false" ht="12.75" hidden="false" customHeight="true" outlineLevel="0" collapsed="false">
      <c r="A1565" s="16" t="n">
        <f aca="false">Report!C1993</f>
        <v>46280</v>
      </c>
      <c r="B1565" s="1" t="str">
        <f aca="false">Report!E1993</f>
        <v>SABIA COMERCIO DE COSMETICOS LTDA</v>
      </c>
      <c r="C1565" s="17" t="n">
        <f aca="false">Report!U1993</f>
        <v>842.29</v>
      </c>
      <c r="D1565" s="1" t="str">
        <f aca="false">Report!X1993</f>
        <v>NF 255147 2/5 - ALICIA</v>
      </c>
    </row>
    <row r="1566" customFormat="false" ht="12.75" hidden="false" customHeight="true" outlineLevel="0" collapsed="false">
      <c r="A1566" s="16" t="n">
        <f aca="false">Report!C1994</f>
        <v>46280</v>
      </c>
      <c r="B1566" s="1" t="str">
        <f aca="false">Report!E1994</f>
        <v>DUNORTE DISTRIBUIDORA DE PRODUTOS DE CONSUMO LTDA</v>
      </c>
      <c r="C1566" s="17" t="n">
        <f aca="false">Report!U1994</f>
        <v>924.11</v>
      </c>
      <c r="D1566" s="1" t="str">
        <f aca="false">Report!X1994</f>
        <v>NF 3238686 3/4 - ALICIA</v>
      </c>
    </row>
    <row r="1567" customFormat="false" ht="12.75" hidden="false" customHeight="true" outlineLevel="0" collapsed="false">
      <c r="A1567" s="16" t="n">
        <f aca="false">Report!C1995</f>
        <v>46280</v>
      </c>
      <c r="B1567" s="1" t="str">
        <f aca="false">Report!E1995</f>
        <v>BRASIL NORTE BEBIDAS S/A</v>
      </c>
      <c r="C1567" s="17" t="n">
        <f aca="false">Report!U1995</f>
        <v>229.21</v>
      </c>
      <c r="D1567" s="1" t="str">
        <f aca="false">Report!X1995</f>
        <v>NF 1254613 1/1 - ALICIA</v>
      </c>
    </row>
    <row r="1568" customFormat="false" ht="12.75" hidden="false" customHeight="true" outlineLevel="0" collapsed="false">
      <c r="A1568" s="16" t="n">
        <f aca="false">Report!C1996</f>
        <v>46280</v>
      </c>
      <c r="B1568" s="1" t="str">
        <f aca="false">Report!E1996</f>
        <v>MARE DISTRIBUIDORA DE BEBIDAS E DE PRODUTOS ALIMENTICIOS LTDA</v>
      </c>
      <c r="C1568" s="17" t="n">
        <f aca="false">Report!U1996</f>
        <v>195</v>
      </c>
      <c r="D1568" s="1" t="str">
        <f aca="false">Report!X1996</f>
        <v>NF 1432810 2/2 - ALICIA</v>
      </c>
    </row>
    <row r="1569" customFormat="false" ht="12.75" hidden="false" customHeight="true" outlineLevel="0" collapsed="false">
      <c r="A1569" s="16" t="n">
        <f aca="false">Report!C1997</f>
        <v>46280</v>
      </c>
      <c r="B1569" s="1" t="str">
        <f aca="false">Report!E1997</f>
        <v>MARE DISTRIBUIDORA DE BEBIDAS E DE PRODUTOS ALIMENTICIOS LTDA</v>
      </c>
      <c r="C1569" s="17" t="n">
        <f aca="false">Report!U1997</f>
        <v>643.4</v>
      </c>
      <c r="D1569" s="1" t="str">
        <f aca="false">Report!X1997</f>
        <v>NF 1432808 2/2 - ALICIA</v>
      </c>
    </row>
    <row r="1570" customFormat="false" ht="12.75" hidden="false" customHeight="true" outlineLevel="0" collapsed="false">
      <c r="A1570" s="16" t="n">
        <f aca="false">Report!C1998</f>
        <v>46281</v>
      </c>
      <c r="B1570" s="1" t="str">
        <f aca="false">Report!E1998</f>
        <v>AGM COMERCIO E DISTRIBUIDORA DE MATERIAS DE PERFUMARIA E LIMPEZA LTDA</v>
      </c>
      <c r="C1570" s="17" t="n">
        <f aca="false">Report!U1998</f>
        <v>545.11</v>
      </c>
      <c r="D1570" s="1" t="str">
        <f aca="false">Report!X1998</f>
        <v>NF 163841 4/4 - ALICIA</v>
      </c>
    </row>
    <row r="1571" customFormat="false" ht="12.75" hidden="false" customHeight="true" outlineLevel="0" collapsed="false">
      <c r="A1571" s="16" t="n">
        <f aca="false">Report!C2000</f>
        <v>46281</v>
      </c>
      <c r="B1571" s="1" t="str">
        <f aca="false">Report!E2000</f>
        <v>A M QUIMICA IND E COM DE PROD QUIMICOS I</v>
      </c>
      <c r="C1571" s="17" t="n">
        <f aca="false">Report!U2000</f>
        <v>226.44</v>
      </c>
      <c r="D1571" s="1" t="str">
        <f aca="false">Report!X2000</f>
        <v>NF 70351 3/3 - ALICIA</v>
      </c>
    </row>
    <row r="1572" customFormat="false" ht="12.75" hidden="false" customHeight="true" outlineLevel="0" collapsed="false">
      <c r="A1572" s="16" t="n">
        <f aca="false">Report!C2001</f>
        <v>46281</v>
      </c>
      <c r="B1572" s="1" t="str">
        <f aca="false">Report!E2001</f>
        <v>EDMARA COMERCIO DE HIGIENE PESSOAL LTDA</v>
      </c>
      <c r="C1572" s="17" t="n">
        <f aca="false">Report!U2001</f>
        <v>1460.03</v>
      </c>
      <c r="D1572" s="1" t="str">
        <f aca="false">Report!X2001</f>
        <v>NF 8770 2/4 - ALICIA</v>
      </c>
    </row>
    <row r="1573" customFormat="false" ht="12.75" hidden="false" customHeight="true" outlineLevel="0" collapsed="false">
      <c r="A1573" s="16" t="n">
        <f aca="false">Report!C2003</f>
        <v>46281</v>
      </c>
      <c r="B1573" s="1" t="str">
        <f aca="false">Report!E2003</f>
        <v>BRF S A</v>
      </c>
      <c r="C1573" s="17" t="n">
        <f aca="false">Report!U2003</f>
        <v>1100.38</v>
      </c>
      <c r="D1573" s="1" t="str">
        <f aca="false">Report!X2003</f>
        <v>NF 1624838 3/3 - ALICIA</v>
      </c>
    </row>
    <row r="1574" customFormat="false" ht="12.75" hidden="false" customHeight="true" outlineLevel="0" collapsed="false">
      <c r="A1574" s="16" t="n">
        <f aca="false">Report!C2007</f>
        <v>46282</v>
      </c>
      <c r="B1574" s="1" t="str">
        <f aca="false">Report!E2007</f>
        <v>CB COMERCIO E DISTRIBUIDORA DE ALIMENTOS</v>
      </c>
      <c r="C1574" s="17" t="n">
        <f aca="false">Report!U2007</f>
        <v>603.26</v>
      </c>
      <c r="D1574" s="1" t="str">
        <f aca="false">Report!X2007</f>
        <v>NF 865043 3/3 - ALICIA</v>
      </c>
    </row>
    <row r="1575" customFormat="false" ht="12.75" hidden="false" customHeight="true" outlineLevel="0" collapsed="false">
      <c r="A1575" s="16" t="n">
        <f aca="false">Report!C2008</f>
        <v>46282</v>
      </c>
      <c r="B1575" s="1" t="str">
        <f aca="false">Report!E2008</f>
        <v>DISTRIBUIDORA LOPES LTDA</v>
      </c>
      <c r="C1575" s="17" t="n">
        <f aca="false">Report!U2008</f>
        <v>789.29</v>
      </c>
      <c r="D1575" s="1" t="str">
        <f aca="false">Report!X2008</f>
        <v>NF 1715032 3/3 - ALICIA</v>
      </c>
    </row>
    <row r="1576" customFormat="false" ht="12.75" hidden="false" customHeight="true" outlineLevel="0" collapsed="false">
      <c r="A1576" s="16" t="n">
        <f aca="false">Report!C2009</f>
        <v>46282</v>
      </c>
      <c r="B1576" s="1" t="str">
        <f aca="false">Report!E2009</f>
        <v>J G COMERCIO DE PRODUTOS ALIMENTICIOS LTDA</v>
      </c>
      <c r="C1576" s="17" t="n">
        <f aca="false">Report!U2009</f>
        <v>1010.96</v>
      </c>
      <c r="D1576" s="1" t="str">
        <f aca="false">Report!X2009</f>
        <v>NF 399135 3/3 - ALICIA</v>
      </c>
    </row>
    <row r="1577" customFormat="false" ht="12.75" hidden="false" customHeight="true" outlineLevel="0" collapsed="false">
      <c r="A1577" s="16" t="n">
        <f aca="false">Report!C2010</f>
        <v>46282</v>
      </c>
      <c r="B1577" s="1" t="str">
        <f aca="false">Report!E2010</f>
        <v>NATUREZA COMERCIO DE DESCARTAVEIS LTDA</v>
      </c>
      <c r="C1577" s="17" t="n">
        <f aca="false">Report!U2010</f>
        <v>271.81</v>
      </c>
      <c r="D1577" s="1" t="str">
        <f aca="false">Report!X2010</f>
        <v>NF 46431 1/1 - ALICIA</v>
      </c>
    </row>
    <row r="1578" customFormat="false" ht="12.75" hidden="false" customHeight="true" outlineLevel="0" collapsed="false">
      <c r="A1578" s="16" t="n">
        <f aca="false">Report!C2012</f>
        <v>46282</v>
      </c>
      <c r="B1578" s="1" t="str">
        <f aca="false">Report!E2012</f>
        <v>MARE DISTRIBUIDORA DE BEBIDAS E DE PRODUTOS ALIMENTICIOS LTDA</v>
      </c>
      <c r="C1578" s="17" t="n">
        <f aca="false">Report!U2012</f>
        <v>365</v>
      </c>
      <c r="D1578" s="1" t="str">
        <f aca="false">Report!X2012</f>
        <v>NF 1435316 2/2 - ALICIA</v>
      </c>
    </row>
    <row r="1579" customFormat="false" ht="12.75" hidden="false" customHeight="true" outlineLevel="0" collapsed="false">
      <c r="A1579" s="16" t="n">
        <f aca="false">Report!C2016</f>
        <v>46283</v>
      </c>
      <c r="B1579" s="1" t="str">
        <f aca="false">Report!E2016</f>
        <v>AGM INDUSTRIA COMERCIO E REPRESENTACAO LTDA</v>
      </c>
      <c r="C1579" s="17" t="n">
        <f aca="false">Report!U2016</f>
        <v>625.75</v>
      </c>
      <c r="D1579" s="1" t="str">
        <f aca="false">Report!X2016</f>
        <v>NF 48211 3/3 - ALICIA</v>
      </c>
    </row>
    <row r="1580" customFormat="false" ht="12.75" hidden="false" customHeight="true" outlineLevel="0" collapsed="false">
      <c r="A1580" s="16" t="n">
        <f aca="false">Report!C2017</f>
        <v>46283</v>
      </c>
      <c r="B1580" s="1" t="str">
        <f aca="false">Report!E2017</f>
        <v>VIA CERTA INDUSTRIA E COMERCIO DE SANEANTES LTDA</v>
      </c>
      <c r="C1580" s="17" t="n">
        <f aca="false">Report!U2017</f>
        <v>794.97</v>
      </c>
      <c r="D1580" s="1" t="str">
        <f aca="false">Report!X2017</f>
        <v>NF 44501 2/2 - ALICIA</v>
      </c>
    </row>
    <row r="1581" customFormat="false" ht="12.75" hidden="false" customHeight="true" outlineLevel="0" collapsed="false">
      <c r="A1581" s="16" t="n">
        <f aca="false">Report!C2018</f>
        <v>46283</v>
      </c>
      <c r="B1581" s="1" t="str">
        <f aca="false">Report!E2018</f>
        <v>WKL COMERCIO ATACADISTA DE ARTIGOS DE AR</v>
      </c>
      <c r="C1581" s="17" t="n">
        <f aca="false">Report!U2018</f>
        <v>153.34</v>
      </c>
      <c r="D1581" s="1" t="str">
        <f aca="false">Report!X2018</f>
        <v>NF 1358 2/2 - ALICIA</v>
      </c>
    </row>
    <row r="1582" customFormat="false" ht="12.75" hidden="false" customHeight="true" outlineLevel="0" collapsed="false">
      <c r="A1582" s="16" t="n">
        <f aca="false">Report!C2020</f>
        <v>46283</v>
      </c>
      <c r="B1582" s="1" t="str">
        <f aca="false">Report!E2020</f>
        <v>OCIDENTAL COMERCIO DE FRIOS LTDA</v>
      </c>
      <c r="C1582" s="17" t="n">
        <f aca="false">Report!U2020</f>
        <v>903.6</v>
      </c>
      <c r="D1582" s="1" t="str">
        <f aca="false">Report!X2020</f>
        <v>NF 1264637 2/2 - ALICIA</v>
      </c>
    </row>
    <row r="1583" customFormat="false" ht="12.75" hidden="false" customHeight="true" outlineLevel="0" collapsed="false">
      <c r="A1583" s="16" t="n">
        <f aca="false">Report!C2021</f>
        <v>46283</v>
      </c>
      <c r="B1583" s="1" t="str">
        <f aca="false">Report!E2021</f>
        <v>FORTVET DISTRIBUIDORA LTDA</v>
      </c>
      <c r="C1583" s="17" t="n">
        <f aca="false">Report!U2021</f>
        <v>457.88</v>
      </c>
      <c r="D1583" s="1" t="str">
        <f aca="false">Report!X2021</f>
        <v>NF 3357 1/4 - ALICIA</v>
      </c>
    </row>
    <row r="1584" customFormat="false" ht="12.75" hidden="false" customHeight="true" outlineLevel="0" collapsed="false">
      <c r="A1584" s="16" t="n">
        <f aca="false">Report!C2022</f>
        <v>46283</v>
      </c>
      <c r="B1584" s="1" t="str">
        <f aca="false">Report!E2022</f>
        <v>BRF S A</v>
      </c>
      <c r="C1584" s="17" t="n">
        <f aca="false">Report!U2022</f>
        <v>166.96</v>
      </c>
      <c r="D1584" s="1" t="str">
        <f aca="false">Report!X2022</f>
        <v>NF 1625096 3/3 - ALICIA</v>
      </c>
    </row>
    <row r="1585" customFormat="false" ht="12.75" hidden="false" customHeight="true" outlineLevel="0" collapsed="false">
      <c r="A1585" s="16" t="n">
        <f aca="false">Report!C2028</f>
        <v>46285</v>
      </c>
      <c r="B1585" s="1" t="str">
        <f aca="false">Report!E2028</f>
        <v>SILVA DISTRIBUIDORA</v>
      </c>
      <c r="C1585" s="17" t="n">
        <f aca="false">Report!U2028</f>
        <v>203.79</v>
      </c>
      <c r="D1585" s="1" t="str">
        <f aca="false">Report!X2028</f>
        <v>NF 12956 2/3 - ALICIA</v>
      </c>
    </row>
    <row r="1586" customFormat="false" ht="12.75" hidden="false" customHeight="true" outlineLevel="0" collapsed="false">
      <c r="A1586" s="16" t="n">
        <f aca="false">Report!C2029</f>
        <v>46286</v>
      </c>
      <c r="B1586" s="1" t="str">
        <f aca="false">Report!E2029</f>
        <v>ATACADAO S.A.</v>
      </c>
      <c r="C1586" s="17" t="n">
        <f aca="false">Report!U2029</f>
        <v>942.69</v>
      </c>
      <c r="D1586" s="1" t="str">
        <f aca="false">Report!X2029</f>
        <v>NF 1925262 1/1 - ALICIA</v>
      </c>
    </row>
    <row r="1587" customFormat="false" ht="12.75" hidden="false" customHeight="true" outlineLevel="0" collapsed="false">
      <c r="A1587" s="16" t="n">
        <f aca="false">Report!C2030</f>
        <v>46286</v>
      </c>
      <c r="B1587" s="1" t="str">
        <f aca="false">Report!E2030</f>
        <v>SB COMERCIO LTDA</v>
      </c>
      <c r="C1587" s="17" t="n">
        <f aca="false">Report!U2030</f>
        <v>524.88</v>
      </c>
      <c r="D1587" s="1" t="str">
        <f aca="false">Report!X2030</f>
        <v>NF 1967274 2/5 - ALICIA</v>
      </c>
    </row>
    <row r="1588" customFormat="false" ht="12.75" hidden="false" customHeight="true" outlineLevel="0" collapsed="false">
      <c r="A1588" s="16" t="n">
        <f aca="false">Report!C2031</f>
        <v>46286</v>
      </c>
      <c r="B1588" s="1" t="str">
        <f aca="false">Report!E2031</f>
        <v>L S M COMERCIO DE ALIMENTOS E NAVEGACAO</v>
      </c>
      <c r="C1588" s="17" t="n">
        <f aca="false">Report!U2031</f>
        <v>1065.1</v>
      </c>
      <c r="D1588" s="1" t="str">
        <f aca="false">Report!X2031</f>
        <v>NF 312577 2/3 - ALICIA</v>
      </c>
    </row>
    <row r="1589" customFormat="false" ht="12.75" hidden="false" customHeight="true" outlineLevel="0" collapsed="false">
      <c r="A1589" s="16" t="n">
        <f aca="false">Report!C2038</f>
        <v>46287</v>
      </c>
      <c r="B1589" s="1" t="str">
        <f aca="false">Report!E2038</f>
        <v>ADRIANA DISTRIBUIDORA DE PRODUTOS ALIMEN</v>
      </c>
      <c r="C1589" s="17" t="n">
        <f aca="false">Report!U2038</f>
        <v>710.92</v>
      </c>
      <c r="D1589" s="1" t="str">
        <f aca="false">Report!X2038</f>
        <v>NF 889382 2/3 - ALICIA</v>
      </c>
    </row>
    <row r="1590" customFormat="false" ht="12.75" hidden="false" customHeight="true" outlineLevel="0" collapsed="false">
      <c r="A1590" s="16" t="n">
        <f aca="false">Report!C2039</f>
        <v>46287</v>
      </c>
      <c r="B1590" s="1" t="str">
        <f aca="false">Report!E2039</f>
        <v>FUNNY PET DISTRIBUIDORA DE ALIMENTOS PAR</v>
      </c>
      <c r="C1590" s="17" t="n">
        <f aca="false">Report!U2039</f>
        <v>1760.2</v>
      </c>
      <c r="D1590" s="1" t="str">
        <f aca="false">Report!X2039</f>
        <v>NF 21623 4/4 - ALICIA</v>
      </c>
    </row>
    <row r="1591" customFormat="false" ht="12.75" hidden="false" customHeight="true" outlineLevel="0" collapsed="false">
      <c r="A1591" s="16" t="n">
        <f aca="false">Report!C2040</f>
        <v>46287</v>
      </c>
      <c r="B1591" s="1" t="str">
        <f aca="false">Report!E2040</f>
        <v>SABIA COMERCIO DE COSMETICOS LTDA</v>
      </c>
      <c r="C1591" s="17" t="n">
        <f aca="false">Report!U2040</f>
        <v>842.29</v>
      </c>
      <c r="D1591" s="1" t="str">
        <f aca="false">Report!X2040</f>
        <v>NF 255147 3/5 - ALICIA</v>
      </c>
    </row>
    <row r="1592" customFormat="false" ht="12.75" hidden="false" customHeight="true" outlineLevel="0" collapsed="false">
      <c r="A1592" s="16" t="n">
        <f aca="false">Report!C2041</f>
        <v>46287</v>
      </c>
      <c r="B1592" s="1" t="str">
        <f aca="false">Report!E2041</f>
        <v>DUNORTE DISTRIBUIDORA DE PRODUTOS DE CONSUMO LTDA</v>
      </c>
      <c r="C1592" s="17" t="n">
        <f aca="false">Report!U2041</f>
        <v>924.11</v>
      </c>
      <c r="D1592" s="1" t="str">
        <f aca="false">Report!X2041</f>
        <v>NF 3238686 4/4 - ALICIA</v>
      </c>
    </row>
    <row r="1593" customFormat="false" ht="12.75" hidden="false" customHeight="true" outlineLevel="0" collapsed="false">
      <c r="A1593" s="16" t="n">
        <f aca="false">Report!C2042</f>
        <v>46288</v>
      </c>
      <c r="B1593" s="1" t="str">
        <f aca="false">Report!E2042</f>
        <v>EDMARA COMERCIO DE HIGIENE PESSOAL LTDA</v>
      </c>
      <c r="C1593" s="17" t="n">
        <f aca="false">Report!U2042</f>
        <v>1460.03</v>
      </c>
      <c r="D1593" s="1" t="str">
        <f aca="false">Report!X2042</f>
        <v>NF 8770 3/4 - ALICIA</v>
      </c>
    </row>
    <row r="1594" customFormat="false" ht="12.75" hidden="false" customHeight="true" outlineLevel="0" collapsed="false">
      <c r="A1594" s="16" t="n">
        <f aca="false">Report!C2048</f>
        <v>46290</v>
      </c>
      <c r="B1594" s="1" t="str">
        <f aca="false">Report!E2048</f>
        <v>CLEVERSON BARBOSA DA SILVA - ME</v>
      </c>
      <c r="C1594" s="17" t="n">
        <f aca="false">Report!U2048</f>
        <v>93.33</v>
      </c>
      <c r="D1594" s="1" t="str">
        <f aca="false">Report!X2048</f>
        <v>RECIBO- 3/3 COMPRA DE GAS E FILTRO P/ AR-CONDICIONADO-ALICIA</v>
      </c>
    </row>
    <row r="1595" customFormat="false" ht="12.75" hidden="false" customHeight="true" outlineLevel="0" collapsed="false">
      <c r="A1595" s="16" t="n">
        <f aca="false">Report!C2049</f>
        <v>46290</v>
      </c>
      <c r="B1595" s="1" t="str">
        <f aca="false">Report!E2049</f>
        <v>A. CORREA JUNIOR</v>
      </c>
      <c r="C1595" s="17" t="n">
        <f aca="false">Report!U2049</f>
        <v>1615.17</v>
      </c>
      <c r="D1595" s="1" t="str">
        <f aca="false">Report!X2049</f>
        <v>NF 1887 COMPRAS ELETRONICOS - ALICIA</v>
      </c>
    </row>
    <row r="1596" customFormat="false" ht="12.75" hidden="false" customHeight="true" outlineLevel="0" collapsed="false">
      <c r="A1596" s="16" t="n">
        <f aca="false">Report!C2052</f>
        <v>46290</v>
      </c>
      <c r="B1596" s="1" t="str">
        <f aca="false">Report!E2052</f>
        <v>FORTVET DISTRIBUIDORA LTDA</v>
      </c>
      <c r="C1596" s="17" t="n">
        <f aca="false">Report!U2052</f>
        <v>457.88</v>
      </c>
      <c r="D1596" s="1" t="str">
        <f aca="false">Report!X2052</f>
        <v>NF 3357 2/4 - ALICIA</v>
      </c>
    </row>
    <row r="1597" customFormat="false" ht="12.75" hidden="false" customHeight="true" outlineLevel="0" collapsed="false">
      <c r="A1597" s="16" t="n">
        <f aca="false">Report!C2053</f>
        <v>46293</v>
      </c>
      <c r="B1597" s="1" t="str">
        <f aca="false">Report!E2053</f>
        <v>SB COMERCIO LTDA</v>
      </c>
      <c r="C1597" s="17" t="n">
        <f aca="false">Report!U2053</f>
        <v>524.88</v>
      </c>
      <c r="D1597" s="1" t="str">
        <f aca="false">Report!X2053</f>
        <v>NF 1967274 3/5 - ALICIA</v>
      </c>
    </row>
    <row r="1598" customFormat="false" ht="12.75" hidden="false" customHeight="true" outlineLevel="0" collapsed="false">
      <c r="A1598" s="16" t="n">
        <f aca="false">Report!C2054</f>
        <v>46293</v>
      </c>
      <c r="B1598" s="1" t="str">
        <f aca="false">Report!E2054</f>
        <v>L S M COMERCIO DE ALIMENTOS E NAVEGACAO</v>
      </c>
      <c r="C1598" s="17" t="n">
        <f aca="false">Report!U2054</f>
        <v>1065.1</v>
      </c>
      <c r="D1598" s="1" t="str">
        <f aca="false">Report!X2054</f>
        <v>NF 312577 3/3 - ALICIA</v>
      </c>
    </row>
    <row r="1599" customFormat="false" ht="12.75" hidden="false" customHeight="true" outlineLevel="0" collapsed="false">
      <c r="A1599" s="16" t="n">
        <f aca="false">Report!C2055</f>
        <v>46294</v>
      </c>
      <c r="B1599" s="1" t="str">
        <f aca="false">Report!E2055</f>
        <v>SABIA COMERCIO DE COSMETICOS LTDA</v>
      </c>
      <c r="C1599" s="17" t="n">
        <f aca="false">Report!U2055</f>
        <v>842.29</v>
      </c>
      <c r="D1599" s="1" t="str">
        <f aca="false">Report!X2055</f>
        <v>NF 255147 4/5 - ALICIA</v>
      </c>
    </row>
    <row r="1600" customFormat="false" ht="12.75" hidden="false" customHeight="true" outlineLevel="0" collapsed="false">
      <c r="A1600" s="16" t="n">
        <f aca="false">Report!C2056</f>
        <v>46295</v>
      </c>
      <c r="B1600" s="1" t="str">
        <f aca="false">Report!E2056</f>
        <v>EDMARA COMERCIO DE HIGIENE PESSOAL LTDA</v>
      </c>
      <c r="C1600" s="17" t="n">
        <f aca="false">Report!U2056</f>
        <v>1460.01</v>
      </c>
      <c r="D1600" s="1" t="str">
        <f aca="false">Report!X2056</f>
        <v>NF 8770 4/4 - ALICIA</v>
      </c>
    </row>
    <row r="1601" customFormat="false" ht="12.75" hidden="false" customHeight="true" outlineLevel="0" collapsed="false">
      <c r="A1601" s="16" t="n">
        <f aca="false">Report!C2060</f>
        <v>46297</v>
      </c>
      <c r="B1601" s="1" t="str">
        <f aca="false">Report!E2060</f>
        <v>FORTVET DISTRIBUIDORA LTDA</v>
      </c>
      <c r="C1601" s="17" t="n">
        <f aca="false">Report!U2060</f>
        <v>457.88</v>
      </c>
      <c r="D1601" s="1" t="str">
        <f aca="false">Report!X2060</f>
        <v>NF 3357 3/4 - ALICIA</v>
      </c>
    </row>
    <row r="1602" customFormat="false" ht="12.75" hidden="false" customHeight="true" outlineLevel="0" collapsed="false">
      <c r="A1602" s="16" t="n">
        <f aca="false">Report!C2065</f>
        <v>46300</v>
      </c>
      <c r="B1602" s="1" t="str">
        <f aca="false">Report!E2065</f>
        <v>SILVA DISTRIBUIDORA</v>
      </c>
      <c r="C1602" s="17" t="n">
        <f aca="false">Report!U2065</f>
        <v>203.8</v>
      </c>
      <c r="D1602" s="1" t="str">
        <f aca="false">Report!X2065</f>
        <v>NF 12956 3/3 - ALICIA</v>
      </c>
    </row>
    <row r="1603" customFormat="false" ht="12.75" hidden="false" customHeight="true" outlineLevel="0" collapsed="false">
      <c r="A1603" s="16" t="n">
        <f aca="false">Report!C2066</f>
        <v>46300</v>
      </c>
      <c r="B1603" s="1" t="str">
        <f aca="false">Report!E2066</f>
        <v>SB COMERCIO LTDA</v>
      </c>
      <c r="C1603" s="17" t="n">
        <f aca="false">Report!U2066</f>
        <v>524.88</v>
      </c>
      <c r="D1603" s="1" t="str">
        <f aca="false">Report!X2066</f>
        <v>NF 1967274 4/5 - ALICIA</v>
      </c>
    </row>
    <row r="1604" customFormat="false" ht="12.75" hidden="false" customHeight="true" outlineLevel="0" collapsed="false">
      <c r="A1604" s="16" t="n">
        <f aca="false">Report!C2067</f>
        <v>46301</v>
      </c>
      <c r="B1604" s="1" t="str">
        <f aca="false">Report!E2067</f>
        <v>SABIA COMERCIO DE COSMETICOS LTDA</v>
      </c>
      <c r="C1604" s="17" t="n">
        <f aca="false">Report!U2067</f>
        <v>842.29</v>
      </c>
      <c r="D1604" s="1" t="str">
        <f aca="false">Report!X2067</f>
        <v>NF 255147 5/5 - ALICIA</v>
      </c>
    </row>
    <row r="1605" customFormat="false" ht="12.75" hidden="false" customHeight="true" outlineLevel="0" collapsed="false">
      <c r="A1605" s="16" t="n">
        <f aca="false">Report!C2068</f>
        <v>46302</v>
      </c>
      <c r="B1605" s="1" t="str">
        <f aca="false">Report!E2068</f>
        <v>ADRIANA DISTRIBUIDORA DE PRODUTOS ALIMEN</v>
      </c>
      <c r="C1605" s="17" t="n">
        <f aca="false">Report!U2068</f>
        <v>710.92</v>
      </c>
      <c r="D1605" s="1" t="str">
        <f aca="false">Report!X2068</f>
        <v>NF 889382 3/3 - ALICIA</v>
      </c>
    </row>
    <row r="1606" customFormat="false" ht="12.75" hidden="false" customHeight="true" outlineLevel="0" collapsed="false">
      <c r="A1606" s="16" t="n">
        <f aca="false">Report!C2069</f>
        <v>46304</v>
      </c>
      <c r="B1606" s="1" t="str">
        <f aca="false">Report!E2069</f>
        <v>MARTINS COM SERV DISTR SA</v>
      </c>
      <c r="C1606" s="17" t="n">
        <f aca="false">Report!U2069</f>
        <v>1718.76</v>
      </c>
      <c r="D1606" s="1" t="str">
        <f aca="false">Report!X2069</f>
        <v>NF 1771475 4/4 - ALICIA</v>
      </c>
    </row>
    <row r="1607" customFormat="false" ht="12.75" hidden="false" customHeight="true" outlineLevel="0" collapsed="false">
      <c r="A1607" s="16" t="n">
        <f aca="false">Report!C2070</f>
        <v>46304</v>
      </c>
      <c r="B1607" s="1" t="str">
        <f aca="false">Report!E2070</f>
        <v>FORTVET DISTRIBUIDORA LTDA</v>
      </c>
      <c r="C1607" s="17" t="n">
        <f aca="false">Report!U2070</f>
        <v>457.9</v>
      </c>
      <c r="D1607" s="1" t="str">
        <f aca="false">Report!X2070</f>
        <v>NF 3357 4/4 - ALICIA</v>
      </c>
    </row>
    <row r="1608" customFormat="false" ht="12.75" hidden="false" customHeight="true" outlineLevel="0" collapsed="false">
      <c r="A1608" s="16" t="n">
        <f aca="false">Report!C2076</f>
        <v>46307</v>
      </c>
      <c r="B1608" s="1" t="str">
        <f aca="false">Report!E2076</f>
        <v>SB COMERCIO LTDA</v>
      </c>
      <c r="C1608" s="17" t="n">
        <f aca="false">Report!U2076</f>
        <v>524.87</v>
      </c>
      <c r="D1608" s="1" t="str">
        <f aca="false">Report!X2076</f>
        <v>NF 1967274 5/5 - ALICIA</v>
      </c>
    </row>
    <row r="1609" customFormat="false" ht="12.75" hidden="false" customHeight="true" outlineLevel="0" collapsed="false">
      <c r="A1609" s="16" t="n">
        <f aca="false">Report!C2094</f>
        <v>46320</v>
      </c>
      <c r="B1609" s="1" t="str">
        <f aca="false">Report!E2094</f>
        <v>A. CORREA JUNIOR</v>
      </c>
      <c r="C1609" s="17" t="n">
        <f aca="false">Report!U2094</f>
        <v>1615.17</v>
      </c>
      <c r="D1609" s="1" t="str">
        <f aca="false">Report!X2094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2043</v>
      </c>
      <c r="B1" s="20" t="s">
        <v>2044</v>
      </c>
      <c r="C1" s="20" t="s">
        <v>2045</v>
      </c>
      <c r="D1" s="20" t="s">
        <v>2046</v>
      </c>
    </row>
    <row r="2" customFormat="false" ht="12.75" hidden="false" customHeight="true" outlineLevel="0" collapsed="false">
      <c r="A2" s="21" t="s">
        <v>2047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2048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2049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2050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2051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2052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1" t="s">
        <v>2053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1" t="s">
        <v>2054</v>
      </c>
      <c r="B9" s="17" t="n">
        <f aca="false">SUMIFS(Report!$U:$U,Report!$T:$T,"&lt;&gt;"&amp;"MERCADORIAS P/REVENDA",Report!$AA:$AA,"SIM",Report!$C:$C,"&gt;="&amp;DATE(2026,8,1),Report!$C:$C,"&lt;="&amp;DATE(2026,8,31))</f>
        <v>238747.86</v>
      </c>
      <c r="C9" s="17" t="n">
        <f aca="false">SUMIFS(Report!$U:$U,Report!$T:$T,"MERCADORIAS P/REVENDA",Report!$AA:$AA,"SIM",Report!$C:$C,"&gt;="&amp;DATE(2026,8,1),Report!$C:$C,"&lt;="&amp;DATE(2026,8,31))</f>
        <v>365969.3</v>
      </c>
      <c r="D9" s="17" t="n">
        <f aca="false">B9+C9</f>
        <v>604717.16</v>
      </c>
    </row>
    <row r="10" customFormat="false" ht="12.75" hidden="false" customHeight="true" outlineLevel="0" collapsed="false">
      <c r="A10" s="21" t="s">
        <v>2055</v>
      </c>
      <c r="B10" s="17" t="n">
        <f aca="false">SUMIFS(Report!$U:$U,Report!$T:$T,"&lt;&gt;"&amp;"MERCADORIAS P/REVENDA",Report!$AA:$AA,"SIM",Report!$C:$C,"&gt;="&amp;DATE(2026,9,1),Report!$C:$C,"&lt;="&amp;DATE(2026,9,30))</f>
        <v>279144.03</v>
      </c>
      <c r="C10" s="17" t="n">
        <f aca="false">SUMIFS(Report!$U:$U,Report!$T:$T,"MERCADORIAS P/REVENDA",Report!$AA:$AA,"SIM",Report!$C:$C,"&gt;="&amp;DATE(2026,9,1),Report!$C:$C,"&lt;="&amp;DATE(2026,9,30))</f>
        <v>140979.66</v>
      </c>
      <c r="D10" s="17" t="n">
        <f aca="false">B10+C10</f>
        <v>420123.69</v>
      </c>
    </row>
    <row r="11" customFormat="false" ht="12.75" hidden="false" customHeight="true" outlineLevel="0" collapsed="false">
      <c r="A11" s="21" t="s">
        <v>2056</v>
      </c>
      <c r="B11" s="17" t="n">
        <f aca="false">SUMIFS(Report!$U:$U,Report!$T:$T,"&lt;&gt;"&amp;"MERCADORIAS P/REVENDA",Report!$AA:$AA,"SIM",Report!$C:$C,"&gt;="&amp;DATE(2026,10,1),Report!$C:$C,"&lt;="&amp;DATE(2026,10,31))</f>
        <v>165954.22</v>
      </c>
      <c r="C11" s="17" t="n">
        <f aca="false">SUMIFS(Report!$U:$U,Report!$T:$T,"MERCADORIAS P/REVENDA",Report!$AA:$AA,"SIM",Report!$C:$C,"&gt;="&amp;DATE(2026,10,1),Report!$C:$C,"&lt;="&amp;DATE(2026,10,31))</f>
        <v>7056.47</v>
      </c>
      <c r="D11" s="17" t="n">
        <f aca="false">B11+C11</f>
        <v>173010.69</v>
      </c>
    </row>
    <row r="12" customFormat="false" ht="12.75" hidden="false" customHeight="true" outlineLevel="0" collapsed="false">
      <c r="A12" s="21" t="s">
        <v>2057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1" t="s">
        <v>2058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1" t="s">
        <v>2059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2060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2061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2062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2063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2064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2065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2066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2067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2068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2069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2070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2071</v>
      </c>
      <c r="B26" s="24" t="n">
        <f aca="false">SUM(B2:B25)</f>
        <v>954689.6</v>
      </c>
      <c r="C26" s="24" t="n">
        <f aca="false">SUM(C2:C25)</f>
        <v>1397638.15</v>
      </c>
      <c r="D26" s="24" t="n">
        <f aca="false">SUM(D2:D25)</f>
        <v>2352327.75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2072</v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46235</v>
      </c>
      <c r="J2" s="15" t="n">
        <v>46266</v>
      </c>
      <c r="K2" s="15" t="n">
        <v>46296</v>
      </c>
    </row>
    <row r="3" customFormat="false" ht="12.75" hidden="false" customHeight="true" outlineLevel="0" collapsed="false">
      <c r="A3" s="1" t="s">
        <v>2073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550253.58</v>
      </c>
      <c r="H3" s="17" t="n">
        <f aca="false">SUMIFS(Report!$U:$U,Report!$AA:$AA,"SIM",Report!$C:$C,"&gt;="&amp;DATE(2026,7,1),Report!$C:$C,"&lt;="&amp;DATE(2026,7,31))</f>
        <v>604222.63</v>
      </c>
      <c r="I3" s="17" t="n">
        <f aca="false">SUMIFS(Report!$U:$U,Report!$AA:$AA,"SIM",Report!$C:$C,"&gt;="&amp;DATE(2026,8,1),Report!$C:$C,"&lt;="&amp;DATE(2026,8,31))</f>
        <v>604717.16</v>
      </c>
      <c r="J3" s="17" t="n">
        <f aca="false">SUMIFS(Report!$U:$U,Report!$AA:$AA,"SIM",Report!$C:$C,"&gt;="&amp;DATE(2026,9,1),Report!$C:$C,"&lt;="&amp;DATE(2026,9,30))</f>
        <v>420123.69</v>
      </c>
      <c r="K3" s="17" t="n">
        <f aca="false">SUMIFS(Report!$U:$U,Report!$AA:$AA,"SIM",Report!$C:$C,"&gt;="&amp;DATE(2026,10,1),Report!$C:$C,"&lt;="&amp;DATE(2026,10,31))</f>
        <v>173010.69</v>
      </c>
      <c r="AB3" s="1" t="s">
        <v>117</v>
      </c>
      <c r="AC3" s="1" t="s">
        <v>2074</v>
      </c>
    </row>
    <row r="4" customFormat="false" ht="12.75" hidden="false" customHeight="true" outlineLevel="0" collapsed="false">
      <c r="A4" s="1" t="s">
        <v>2074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44960.74</v>
      </c>
      <c r="J4" s="17" t="n">
        <f aca="false">SUMIFS(Report!$U:$U,Report!$Z:$Z,"Despesa",Report!$AA:$AA,"SIM",Report!$C:$C,"&gt;="&amp;DATE(2026,9,1),Report!$C:$C,"&lt;="&amp;DATE(2026,9,30))</f>
        <v>31719.73</v>
      </c>
      <c r="K4" s="17" t="n">
        <f aca="false">SUMIFS(Report!$U:$U,Report!$Z:$Z,"Despesa",Report!$AA:$AA,"SIM",Report!$C:$C,"&gt;="&amp;DATE(2026,10,1),Report!$C:$C,"&lt;="&amp;DATE(2026,10,31))</f>
        <v>18607.92</v>
      </c>
      <c r="AB4" s="1" t="s">
        <v>88</v>
      </c>
      <c r="AC4" s="1" t="s">
        <v>2074</v>
      </c>
    </row>
    <row r="5" customFormat="false" ht="12.75" hidden="false" customHeight="true" outlineLevel="0" collapsed="false">
      <c r="A5" s="1" t="s">
        <v>2075</v>
      </c>
      <c r="B5" s="17" t="n">
        <f aca="false">SUMIFS(Report!$U:$U,Report!$Z:$Z,"Salários",Report!$AA:$AA,"SIM",Report!$C:$C,"&gt;="&amp;DATE(2026,1,1),Report!$C:$C,"&lt;="&amp;DATE(2026,1,31))</f>
        <v>0</v>
      </c>
      <c r="C5" s="17" t="n">
        <f aca="false">SUMIFS(Report!$U:$U,Report!$Z:$Z,"Salários",Report!$AA:$AA,"SIM",Report!$C:$C,"&gt;="&amp;DATE(2026,2,1),Report!$C:$C,"&lt;="&amp;DATE(2026,2,28))</f>
        <v>0</v>
      </c>
      <c r="D5" s="17" t="n">
        <f aca="false">SUMIFS(Report!$U:$U,Report!$Z:$Z,"Salários",Report!$AA:$AA,"SIM",Report!$C:$C,"&gt;="&amp;DATE(2026,3,1),Report!$C:$C,"&lt;="&amp;DATE(2026,3,31))</f>
        <v>0</v>
      </c>
      <c r="E5" s="17" t="n">
        <f aca="false">SUMIFS(Report!$U:$U,Report!$Z:$Z,"Salários",Report!$AA:$AA,"SIM",Report!$C:$C,"&gt;="&amp;DATE(2026,4,1),Report!$C:$C,"&lt;="&amp;DATE(2026,4,30))</f>
        <v>0</v>
      </c>
      <c r="F5" s="17" t="n">
        <f aca="false">SUMIFS(Report!$U:$U,Report!$Z:$Z,"Salários",Report!$AA:$AA,"SIM",Report!$C:$C,"&gt;="&amp;DATE(2026,5,1),Report!$C:$C,"&lt;="&amp;DATE(2026,5,31))</f>
        <v>0</v>
      </c>
      <c r="G5" s="17" t="n">
        <f aca="false">SUMIFS(Report!$U:$U,Report!$Z:$Z,"Salários",Report!$AA:$AA,"SIM",Report!$C:$C,"&gt;="&amp;DATE(2026,6,1),Report!$C:$C,"&lt;="&amp;DATE(2026,6,30))</f>
        <v>28197.69</v>
      </c>
      <c r="H5" s="17" t="n">
        <f aca="false">SUMIFS(Report!$U:$U,Report!$Z:$Z,"Salários",Report!$AA:$AA,"SIM",Report!$C:$C,"&gt;="&amp;DATE(2026,7,1),Report!$C:$C,"&lt;="&amp;DATE(2026,7,31))</f>
        <v>29605.63</v>
      </c>
      <c r="I5" s="17" t="n">
        <f aca="false">SUMIFS(Report!$U:$U,Report!$Z:$Z,"Salários",Report!$AA:$AA,"SIM",Report!$C:$C,"&gt;="&amp;DATE(2026,8,1),Report!$C:$C,"&lt;="&amp;DATE(2026,8,31))</f>
        <v>21767.71</v>
      </c>
      <c r="J5" s="17" t="n">
        <f aca="false">SUMIFS(Report!$U:$U,Report!$Z:$Z,"Salários",Report!$AA:$AA,"SIM",Report!$C:$C,"&gt;="&amp;DATE(2026,9,1),Report!$C:$C,"&lt;="&amp;DATE(2026,9,30))</f>
        <v>407.09</v>
      </c>
      <c r="K5" s="17" t="n">
        <f aca="false">SUMIFS(Report!$U:$U,Report!$Z:$Z,"Salários",Report!$AA:$AA,"SIM",Report!$C:$C,"&gt;="&amp;DATE(2026,10,1),Report!$C:$C,"&lt;="&amp;DATE(2026,10,31))</f>
        <v>329.09</v>
      </c>
      <c r="AB5" s="1" t="s">
        <v>330</v>
      </c>
      <c r="AC5" s="1" t="s">
        <v>2074</v>
      </c>
    </row>
    <row r="6" customFormat="false" ht="12.75" hidden="false" customHeight="true" outlineLevel="0" collapsed="false">
      <c r="A6" s="1" t="s">
        <v>2076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15512.71</v>
      </c>
      <c r="H6" s="17" t="n">
        <f aca="false">SUMIFS(Report!$U:$U,Report!$Z:$Z,"Empréstimo",Report!$AA:$AA,"SIM",Report!$C:$C,"&gt;="&amp;DATE(2026,7,1),Report!$C:$C,"&lt;="&amp;DATE(2026,7,31))</f>
        <v>19303.34</v>
      </c>
      <c r="I6" s="17" t="n">
        <f aca="false">SUMIFS(Report!$U:$U,Report!$Z:$Z,"Empréstimo",Report!$AA:$AA,"SIM",Report!$C:$C,"&gt;="&amp;DATE(2026,8,1),Report!$C:$C,"&lt;="&amp;DATE(2026,8,31))</f>
        <v>148394.7</v>
      </c>
      <c r="J6" s="17" t="n">
        <f aca="false">SUMIFS(Report!$U:$U,Report!$Z:$Z,"Empréstimo",Report!$AA:$AA,"SIM",Report!$C:$C,"&gt;="&amp;DATE(2026,9,1),Report!$C:$C,"&lt;="&amp;DATE(2026,9,30))</f>
        <v>244192.01</v>
      </c>
      <c r="K6" s="17" t="n">
        <f aca="false">SUMIFS(Report!$U:$U,Report!$Z:$Z,"Empréstimo",Report!$AA:$AA,"SIM",Report!$C:$C,"&gt;="&amp;DATE(2026,10,1),Report!$C:$C,"&lt;="&amp;DATE(2026,10,31))</f>
        <v>144192.01</v>
      </c>
      <c r="AB6" s="1" t="s">
        <v>1129</v>
      </c>
      <c r="AC6" s="1" t="s">
        <v>2074</v>
      </c>
    </row>
    <row r="7" customFormat="false" ht="12.75" hidden="false" customHeight="true" outlineLevel="0" collapsed="false">
      <c r="A7" s="1" t="s">
        <v>2077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13272.83</v>
      </c>
      <c r="H7" s="17" t="n">
        <f aca="false">SUMIFS(Report!$U:$U,Report!$Z:$Z,"Impostos",Report!$AA:$AA,"SIM",Report!$C:$C,"&gt;="&amp;DATE(2026,7,1),Report!$C:$C,"&lt;="&amp;DATE(2026,7,31))</f>
        <v>13314.44</v>
      </c>
      <c r="I7" s="17" t="n">
        <f aca="false">SUMIFS(Report!$U:$U,Report!$Z:$Z,"Impostos",Report!$AA:$AA,"SIM",Report!$C:$C,"&gt;="&amp;DATE(2026,8,1),Report!$C:$C,"&lt;="&amp;DATE(2026,8,31))</f>
        <v>11934.73</v>
      </c>
      <c r="J7" s="17" t="n">
        <f aca="false">SUMIFS(Report!$U:$U,Report!$Z:$Z,"Impostos",Report!$AA:$AA,"SIM",Report!$C:$C,"&gt;="&amp;DATE(2026,9,1),Report!$C:$C,"&lt;="&amp;DATE(2026,9,30))</f>
        <v>225.2</v>
      </c>
      <c r="K7" s="17" t="n">
        <f aca="false">SUMIFS(Report!$U:$U,Report!$Z:$Z,"Impostos",Report!$AA:$AA,"SIM",Report!$C:$C,"&gt;="&amp;DATE(2026,10,1),Report!$C:$C,"&lt;="&amp;DATE(2026,10,31))</f>
        <v>225.2</v>
      </c>
      <c r="AB7" s="1" t="s">
        <v>73</v>
      </c>
      <c r="AC7" s="1" t="s">
        <v>2075</v>
      </c>
    </row>
    <row r="8" customFormat="false" ht="12.75" hidden="false" customHeight="true" outlineLevel="0" collapsed="false">
      <c r="A8" s="1" t="s">
        <v>2078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434138.4</v>
      </c>
      <c r="H8" s="17" t="n">
        <f aca="false">SUMIFS(Report!$U:$U,Report!$Z:$Z,"Mercadoria",Report!$AA:$AA,"SIM",Report!$C:$C,"&gt;="&amp;DATE(2026,7,1),Report!$C:$C,"&lt;="&amp;DATE(2026,7,31))</f>
        <v>449494.32</v>
      </c>
      <c r="I8" s="17" t="n">
        <f aca="false">SUMIFS(Report!$U:$U,Report!$Z:$Z,"Mercadoria",Report!$AA:$AA,"SIM",Report!$C:$C,"&gt;="&amp;DATE(2026,8,1),Report!$C:$C,"&lt;="&amp;DATE(2026,8,31))</f>
        <v>365969.3</v>
      </c>
      <c r="J8" s="17" t="n">
        <f aca="false">SUMIFS(Report!$U:$U,Report!$Z:$Z,"Mercadoria",Report!$AA:$AA,"SIM",Report!$C:$C,"&gt;="&amp;DATE(2026,9,1),Report!$C:$C,"&lt;="&amp;DATE(2026,9,30))</f>
        <v>140979.66</v>
      </c>
      <c r="K8" s="17" t="n">
        <f aca="false">SUMIFS(Report!$U:$U,Report!$Z:$Z,"Mercadoria",Report!$AA:$AA,"SIM",Report!$C:$C,"&gt;="&amp;DATE(2026,10,1),Report!$C:$C,"&lt;="&amp;DATE(2026,10,31))</f>
        <v>7056.47</v>
      </c>
      <c r="AB8" s="1" t="s">
        <v>106</v>
      </c>
      <c r="AC8" s="1" t="s">
        <v>2074</v>
      </c>
    </row>
    <row r="9" customFormat="false" ht="12.75" hidden="false" customHeight="true" outlineLevel="0" collapsed="false">
      <c r="A9" s="1" t="s">
        <v>2079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22720.27</v>
      </c>
      <c r="H9" s="17" t="n">
        <f aca="false">SUMIFS(Report!$U:$U,Report!$Z:$Z,"Pagamentos outros não operacionais",Report!$AA:$AA,"SIM",Report!$C:$C,"&gt;="&amp;DATE(2026,7,1),Report!$C:$C,"&lt;="&amp;DATE(2026,7,31))</f>
        <v>16460.27</v>
      </c>
      <c r="I9" s="17" t="n">
        <f aca="false">SUMIFS(Report!$U:$U,Report!$Z:$Z,"Pagamentos outros não operacionais",Report!$AA:$AA,"SIM",Report!$C:$C,"&gt;="&amp;DATE(2026,8,1),Report!$C:$C,"&lt;="&amp;DATE(2026,8,31))</f>
        <v>11689.98</v>
      </c>
      <c r="J9" s="17" t="n">
        <f aca="false">SUMIFS(Report!$U:$U,Report!$Z:$Z,"Pagamentos outros não operacionais",Report!$AA:$AA,"SIM",Report!$C:$C,"&gt;="&amp;DATE(2026,9,1),Report!$C:$C,"&lt;="&amp;DATE(2026,9,30))</f>
        <v>2600</v>
      </c>
      <c r="K9" s="17" t="n">
        <f aca="false">SUMIFS(Report!$U:$U,Report!$Z:$Z,"Pagamentos outros não operacionais",Report!$AA:$AA,"SIM",Report!$C:$C,"&gt;="&amp;DATE(2026,10,1),Report!$C:$C,"&lt;="&amp;DATE(2026,10,31))</f>
        <v>2600</v>
      </c>
      <c r="AB9" s="1" t="s">
        <v>1134</v>
      </c>
      <c r="AC9" s="1" t="s">
        <v>2074</v>
      </c>
    </row>
    <row r="10" customFormat="false" ht="12.75" hidden="false" customHeight="true" outlineLevel="0" collapsed="false">
      <c r="A10" s="1" t="s">
        <v>2080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AB10" s="1" t="s">
        <v>666</v>
      </c>
      <c r="AC10" s="1" t="s">
        <v>2074</v>
      </c>
    </row>
    <row r="11" customFormat="false" ht="12.75" hidden="false" customHeight="true" outlineLevel="0" collapsed="false">
      <c r="AB11" s="1" t="s">
        <v>1737</v>
      </c>
      <c r="AC11" s="1" t="s">
        <v>2074</v>
      </c>
    </row>
    <row r="12" customFormat="false" ht="12.75" hidden="false" customHeight="true" outlineLevel="0" collapsed="false">
      <c r="A12" s="1" t="s">
        <v>2081</v>
      </c>
      <c r="B12" s="17" t="n">
        <f aca="false">SUMIFS(Report!$U:$U,Report!$AA:$AA,"NAO",Report!$C:$C,"&gt;="&amp;DATE(2026,1,1),Report!$C:$C,"&lt;="&amp;DATE(2027,12,31))</f>
        <v>0</v>
      </c>
      <c r="AB12" s="1" t="s">
        <v>1079</v>
      </c>
      <c r="AC12" s="1" t="s">
        <v>2074</v>
      </c>
    </row>
    <row r="13" customFormat="false" ht="12.75" hidden="false" customHeight="true" outlineLevel="0" collapsed="false">
      <c r="A13" s="1" t="s">
        <v>2082</v>
      </c>
      <c r="AB13" s="1" t="s">
        <v>142</v>
      </c>
      <c r="AC13" s="1" t="s">
        <v>2074</v>
      </c>
    </row>
    <row r="14" customFormat="false" ht="12.75" hidden="false" customHeight="true" outlineLevel="0" collapsed="false">
      <c r="AB14" s="1" t="s">
        <v>196</v>
      </c>
      <c r="AC14" s="1" t="s">
        <v>2074</v>
      </c>
    </row>
    <row r="15" customFormat="false" ht="12.75" hidden="false" customHeight="true" outlineLevel="0" collapsed="false">
      <c r="AB15" s="1" t="s">
        <v>140</v>
      </c>
      <c r="AC15" s="1" t="s">
        <v>2076</v>
      </c>
    </row>
    <row r="16" customFormat="false" ht="12.75" hidden="false" customHeight="true" outlineLevel="0" collapsed="false">
      <c r="AB16" s="1" t="s">
        <v>245</v>
      </c>
      <c r="AC16" s="1" t="s">
        <v>2076</v>
      </c>
    </row>
    <row r="17" customFormat="false" ht="12.75" hidden="false" customHeight="true" outlineLevel="0" collapsed="false">
      <c r="AB17" s="1" t="s">
        <v>64</v>
      </c>
      <c r="AC17" s="1" t="s">
        <v>2074</v>
      </c>
    </row>
    <row r="18" customFormat="false" ht="12.75" hidden="false" customHeight="true" outlineLevel="0" collapsed="false">
      <c r="AB18" s="1" t="s">
        <v>726</v>
      </c>
      <c r="AC18" s="1" t="s">
        <v>2075</v>
      </c>
    </row>
    <row r="19" customFormat="false" ht="12.75" hidden="false" customHeight="true" outlineLevel="0" collapsed="false">
      <c r="AB19" s="1" t="s">
        <v>519</v>
      </c>
      <c r="AC19" s="1" t="s">
        <v>2077</v>
      </c>
    </row>
    <row r="20" customFormat="false" ht="12.75" hidden="false" customHeight="true" outlineLevel="0" collapsed="false">
      <c r="AB20" s="1" t="s">
        <v>43</v>
      </c>
      <c r="AC20" s="1" t="s">
        <v>2074</v>
      </c>
    </row>
    <row r="21" customFormat="false" ht="12.75" hidden="false" customHeight="true" outlineLevel="0" collapsed="false">
      <c r="AB21" s="1" t="s">
        <v>381</v>
      </c>
      <c r="AC21" s="1" t="s">
        <v>2074</v>
      </c>
    </row>
    <row r="22" customFormat="false" ht="12.75" hidden="false" customHeight="true" outlineLevel="0" collapsed="false">
      <c r="AB22" s="1" t="s">
        <v>817</v>
      </c>
      <c r="AC22" s="1" t="s">
        <v>2074</v>
      </c>
    </row>
    <row r="23" customFormat="false" ht="12.75" hidden="false" customHeight="true" outlineLevel="0" collapsed="false">
      <c r="AB23" s="1" t="s">
        <v>569</v>
      </c>
      <c r="AC23" s="1" t="s">
        <v>2077</v>
      </c>
    </row>
    <row r="24" customFormat="false" ht="12.75" hidden="false" customHeight="true" outlineLevel="0" collapsed="false">
      <c r="AB24" s="1" t="s">
        <v>1379</v>
      </c>
      <c r="AC24" s="1" t="s">
        <v>2074</v>
      </c>
    </row>
    <row r="25" customFormat="false" ht="12.75" hidden="false" customHeight="true" outlineLevel="0" collapsed="false">
      <c r="AB25" s="1" t="s">
        <v>521</v>
      </c>
      <c r="AC25" s="1" t="s">
        <v>2077</v>
      </c>
    </row>
    <row r="26" customFormat="false" ht="12.75" hidden="false" customHeight="true" outlineLevel="0" collapsed="false">
      <c r="AB26" s="1" t="s">
        <v>438</v>
      </c>
      <c r="AC26" s="1" t="s">
        <v>2074</v>
      </c>
    </row>
    <row r="27" customFormat="false" ht="12.75" hidden="false" customHeight="true" outlineLevel="0" collapsed="false">
      <c r="AB27" s="1" t="s">
        <v>144</v>
      </c>
      <c r="AC27" s="1" t="s">
        <v>2074</v>
      </c>
    </row>
    <row r="28" customFormat="false" ht="12.75" hidden="false" customHeight="true" outlineLevel="0" collapsed="false">
      <c r="AB28" s="1" t="s">
        <v>427</v>
      </c>
      <c r="AC28" s="1" t="s">
        <v>2077</v>
      </c>
    </row>
    <row r="29" customFormat="false" ht="12.75" hidden="false" customHeight="true" outlineLevel="0" collapsed="false">
      <c r="AB29" s="1" t="s">
        <v>740</v>
      </c>
      <c r="AC29" s="1" t="s">
        <v>2074</v>
      </c>
    </row>
    <row r="30" customFormat="false" ht="12.75" hidden="false" customHeight="true" outlineLevel="0" collapsed="false">
      <c r="AB30" s="1" t="s">
        <v>86</v>
      </c>
      <c r="AC30" s="1" t="s">
        <v>2074</v>
      </c>
    </row>
    <row r="31" customFormat="false" ht="12.75" hidden="false" customHeight="true" outlineLevel="0" collapsed="false">
      <c r="AB31" s="1" t="s">
        <v>187</v>
      </c>
      <c r="AC31" s="1" t="s">
        <v>2076</v>
      </c>
    </row>
    <row r="32" customFormat="false" ht="12.75" hidden="false" customHeight="true" outlineLevel="0" collapsed="false">
      <c r="AB32" s="1" t="s">
        <v>1661</v>
      </c>
      <c r="AC32" s="1" t="s">
        <v>2074</v>
      </c>
    </row>
    <row r="33" customFormat="false" ht="12.75" hidden="false" customHeight="true" outlineLevel="0" collapsed="false">
      <c r="AB33" s="1" t="s">
        <v>615</v>
      </c>
      <c r="AC33" s="1" t="s">
        <v>2074</v>
      </c>
    </row>
    <row r="34" customFormat="false" ht="12.75" hidden="false" customHeight="true" outlineLevel="0" collapsed="false">
      <c r="AB34" s="1" t="s">
        <v>664</v>
      </c>
      <c r="AC34" s="1" t="s">
        <v>2074</v>
      </c>
    </row>
    <row r="35" customFormat="false" ht="12.75" hidden="false" customHeight="true" outlineLevel="0" collapsed="false">
      <c r="AB35" s="1" t="s">
        <v>657</v>
      </c>
      <c r="AC35" s="1" t="s">
        <v>2074</v>
      </c>
    </row>
    <row r="36" customFormat="false" ht="12.75" hidden="false" customHeight="true" outlineLevel="0" collapsed="false">
      <c r="AB36" s="1" t="s">
        <v>1274</v>
      </c>
      <c r="AC36" s="1" t="s">
        <v>2074</v>
      </c>
    </row>
    <row r="37" customFormat="false" ht="12.75" hidden="false" customHeight="true" outlineLevel="0" collapsed="false">
      <c r="AB37" s="1" t="s">
        <v>47</v>
      </c>
      <c r="AC37" s="1" t="s">
        <v>2078</v>
      </c>
    </row>
    <row r="38" customFormat="false" ht="12.75" hidden="false" customHeight="true" outlineLevel="0" collapsed="false">
      <c r="AB38" s="1" t="s">
        <v>204</v>
      </c>
      <c r="AC38" s="1" t="s">
        <v>2079</v>
      </c>
    </row>
    <row r="39" customFormat="false" ht="12.75" hidden="false" customHeight="true" outlineLevel="0" collapsed="false">
      <c r="AB39" s="1" t="s">
        <v>1310</v>
      </c>
      <c r="AC39" s="1" t="s">
        <v>2074</v>
      </c>
    </row>
    <row r="40" customFormat="false" ht="12.75" hidden="false" customHeight="true" outlineLevel="0" collapsed="false">
      <c r="AB40" s="1" t="s">
        <v>1532</v>
      </c>
      <c r="AC40" s="1" t="s">
        <v>2076</v>
      </c>
    </row>
    <row r="41" customFormat="false" ht="12.75" hidden="false" customHeight="true" outlineLevel="0" collapsed="false">
      <c r="AB41" s="1" t="s">
        <v>530</v>
      </c>
      <c r="AC41" s="1" t="s">
        <v>2074</v>
      </c>
    </row>
    <row r="42" customFormat="false" ht="12.75" hidden="false" customHeight="true" outlineLevel="0" collapsed="false">
      <c r="AB42" s="1" t="s">
        <v>742</v>
      </c>
      <c r="AC42" s="1" t="s">
        <v>2077</v>
      </c>
    </row>
    <row r="43" customFormat="false" ht="12.75" hidden="false" customHeight="true" outlineLevel="0" collapsed="false">
      <c r="AB43" s="1" t="s">
        <v>1212</v>
      </c>
      <c r="AC43" s="1" t="s">
        <v>2075</v>
      </c>
    </row>
    <row r="44" customFormat="false" ht="12.75" hidden="false" customHeight="true" outlineLevel="0" collapsed="false">
      <c r="AB44" s="1" t="s">
        <v>230</v>
      </c>
      <c r="AC44" s="1" t="s">
        <v>2075</v>
      </c>
    </row>
    <row r="45" customFormat="false" ht="12.75" hidden="false" customHeight="true" outlineLevel="0" collapsed="false">
      <c r="AB45" s="1" t="s">
        <v>216</v>
      </c>
      <c r="AC45" s="1" t="s">
        <v>2074</v>
      </c>
    </row>
    <row r="46" customFormat="false" ht="12.75" hidden="false" customHeight="true" outlineLevel="0" collapsed="false">
      <c r="AB46" s="1" t="s">
        <v>39</v>
      </c>
      <c r="AC46" s="1" t="s">
        <v>2074</v>
      </c>
    </row>
    <row r="47" customFormat="false" ht="12.75" hidden="false" customHeight="true" outlineLevel="0" collapsed="false">
      <c r="AB47" s="1" t="s">
        <v>566</v>
      </c>
      <c r="AC47" s="1" t="s">
        <v>2077</v>
      </c>
    </row>
    <row r="48" customFormat="false" ht="12.75" hidden="false" customHeight="true" outlineLevel="0" collapsed="false">
      <c r="AB48" s="1" t="s">
        <v>110</v>
      </c>
      <c r="AC48" s="1" t="s">
        <v>2074</v>
      </c>
    </row>
    <row r="49" customFormat="false" ht="12.75" hidden="false" customHeight="true" outlineLevel="0" collapsed="false">
      <c r="AB49" s="1" t="s">
        <v>486</v>
      </c>
      <c r="AC49" s="1" t="s">
        <v>2074</v>
      </c>
    </row>
    <row r="50" customFormat="false" ht="12.75" hidden="false" customHeight="true" outlineLevel="0" collapsed="false">
      <c r="AB50" s="1" t="s">
        <v>443</v>
      </c>
      <c r="AC50" s="1" t="s">
        <v>2074</v>
      </c>
    </row>
    <row r="51" customFormat="false" ht="12.75" hidden="false" customHeight="true" outlineLevel="0" collapsed="false">
      <c r="AB51" s="1" t="s">
        <v>1094</v>
      </c>
      <c r="AC51" s="1" t="s">
        <v>2074</v>
      </c>
    </row>
    <row r="52" customFormat="false" ht="12.75" hidden="false" customHeight="true" outlineLevel="0" collapsed="false">
      <c r="AB52" s="1" t="s">
        <v>103</v>
      </c>
      <c r="AC52" s="1" t="s">
        <v>2075</v>
      </c>
    </row>
    <row r="53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2083</v>
      </c>
      <c r="B1" s="25" t="s">
        <v>2052</v>
      </c>
      <c r="C1" s="25" t="s">
        <v>2053</v>
      </c>
      <c r="D1" s="25" t="s">
        <v>2054</v>
      </c>
      <c r="E1" s="25" t="s">
        <v>2055</v>
      </c>
      <c r="F1" s="25" t="s">
        <v>2056</v>
      </c>
      <c r="G1" s="25" t="s">
        <v>2046</v>
      </c>
    </row>
    <row r="2" customFormat="false" ht="12.75" hidden="false" customHeight="true" outlineLevel="0" collapsed="false">
      <c r="A2" s="1" t="s">
        <v>117</v>
      </c>
      <c r="B2" s="17" t="n">
        <f aca="false">SUMIFS(Report!$U:$U,Report!$T:$T,$A2,Report!$C:$C,"&gt;="&amp;DATE(2026,6,1),Report!$C:$C,"&lt;"&amp;DATE(2026,7,1),Report!$AA:$AA,"SIM")</f>
        <v>337.29</v>
      </c>
      <c r="C2" s="17" t="n">
        <f aca="false">SUMIFS(Report!$U:$U,Report!$T:$T,$A2,Report!$C:$C,"&gt;="&amp;DATE(2026,7,1),Report!$C:$C,"&lt;"&amp;DATE(2026,8,1),Report!$AA:$AA,"SIM")</f>
        <v>401.45</v>
      </c>
      <c r="D2" s="17" t="n">
        <f aca="false">SUMIFS(Report!$U:$U,Report!$T:$T,$A2,Report!$C:$C,"&gt;="&amp;DATE(2026,8,1),Report!$C:$C,"&lt;"&amp;DATE(2026,9,1),Report!$AA:$AA,"SIM")</f>
        <v>402.79</v>
      </c>
      <c r="E2" s="17" t="n">
        <f aca="false">SUMIFS(Report!$U:$U,Report!$T:$T,$A2,Report!$C:$C,"&gt;="&amp;DATE(2026,9,1),Report!$C:$C,"&lt;"&amp;DATE(2026,10,1),Report!$AA:$AA,"SIM")</f>
        <v>738.74</v>
      </c>
      <c r="F2" s="17" t="n">
        <f aca="false">SUMIFS(Report!$U:$U,Report!$T:$T,$A2,Report!$C:$C,"&gt;="&amp;DATE(2026,10,1),Report!$C:$C,"&lt;"&amp;DATE(2026,11,1),Report!$AA:$AA,"SIM")</f>
        <v>337.29</v>
      </c>
      <c r="G2" s="17" t="n">
        <f aca="false">SUM(B2:F2)</f>
        <v>2217.56</v>
      </c>
    </row>
    <row r="3" customFormat="false" ht="12.75" hidden="false" customHeight="true" outlineLevel="0" collapsed="false">
      <c r="A3" s="1" t="s">
        <v>88</v>
      </c>
      <c r="B3" s="17" t="n">
        <f aca="false">SUMIFS(Report!$U:$U,Report!$T:$T,$A3,Report!$C:$C,"&gt;="&amp;DATE(2026,6,1),Report!$C:$C,"&lt;"&amp;DATE(2026,7,1),Report!$AA:$AA,"SIM")</f>
        <v>4935</v>
      </c>
      <c r="C3" s="17" t="n">
        <f aca="false">SUMIFS(Report!$U:$U,Report!$T:$T,$A3,Report!$C:$C,"&gt;="&amp;DATE(2026,7,1),Report!$C:$C,"&lt;"&amp;DATE(2026,8,1),Report!$AA:$AA,"SIM")</f>
        <v>4905</v>
      </c>
      <c r="D3" s="17" t="n">
        <f aca="false">SUMIFS(Report!$U:$U,Report!$T:$T,$A3,Report!$C:$C,"&gt;="&amp;DATE(2026,8,1),Report!$C:$C,"&lt;"&amp;DATE(2026,9,1),Report!$AA:$AA,"SIM")</f>
        <v>4245</v>
      </c>
      <c r="E3" s="17" t="n">
        <f aca="false">SUMIFS(Report!$U:$U,Report!$T:$T,$A3,Report!$C:$C,"&gt;="&amp;DATE(2026,9,1),Report!$C:$C,"&lt;"&amp;DATE(2026,10,1),Report!$AA:$AA,"SIM")</f>
        <v>0</v>
      </c>
      <c r="F3" s="17" t="n">
        <f aca="false">SUMIFS(Report!$U:$U,Report!$T:$T,$A3,Report!$C:$C,"&gt;="&amp;DATE(2026,10,1),Report!$C:$C,"&lt;"&amp;DATE(2026,11,1),Report!$AA:$AA,"SIM")</f>
        <v>0</v>
      </c>
      <c r="G3" s="17" t="n">
        <f aca="false">SUM(B3:F3)</f>
        <v>14085</v>
      </c>
    </row>
    <row r="4" customFormat="false" ht="12.75" hidden="false" customHeight="true" outlineLevel="0" collapsed="false">
      <c r="A4" s="1" t="s">
        <v>330</v>
      </c>
      <c r="B4" s="17" t="n">
        <f aca="false">SUMIFS(Report!$U:$U,Report!$T:$T,$A4,Report!$C:$C,"&gt;="&amp;DATE(2026,6,1),Report!$C:$C,"&lt;"&amp;DATE(2026,7,1),Report!$AA:$AA,"SIM")</f>
        <v>5500</v>
      </c>
      <c r="C4" s="17" t="n">
        <f aca="false">SUMIFS(Report!$U:$U,Report!$T:$T,$A4,Report!$C:$C,"&gt;="&amp;DATE(2026,7,1),Report!$C:$C,"&lt;"&amp;DATE(2026,8,1),Report!$AA:$AA,"SIM")</f>
        <v>5500</v>
      </c>
      <c r="D4" s="17" t="n">
        <f aca="false">SUMIFS(Report!$U:$U,Report!$T:$T,$A4,Report!$C:$C,"&gt;="&amp;DATE(2026,8,1),Report!$C:$C,"&lt;"&amp;DATE(2026,9,1),Report!$AA:$AA,"SIM")</f>
        <v>5500</v>
      </c>
      <c r="E4" s="17" t="n">
        <f aca="false">SUMIFS(Report!$U:$U,Report!$T:$T,$A4,Report!$C:$C,"&gt;="&amp;DATE(2026,9,1),Report!$C:$C,"&lt;"&amp;DATE(2026,10,1),Report!$AA:$AA,"SIM")</f>
        <v>5500</v>
      </c>
      <c r="F4" s="17" t="n">
        <f aca="false">SUMIFS(Report!$U:$U,Report!$T:$T,$A4,Report!$C:$C,"&gt;="&amp;DATE(2026,10,1),Report!$C:$C,"&lt;"&amp;DATE(2026,11,1),Report!$AA:$AA,"SIM")</f>
        <v>5500</v>
      </c>
      <c r="G4" s="17" t="n">
        <f aca="false">SUM(B4:F4)</f>
        <v>27500</v>
      </c>
    </row>
    <row r="5" customFormat="false" ht="12.75" hidden="false" customHeight="true" outlineLevel="0" collapsed="false">
      <c r="A5" s="1" t="s">
        <v>1129</v>
      </c>
      <c r="B5" s="17" t="n">
        <f aca="false">SUMIFS(Report!$U:$U,Report!$T:$T,$A5,Report!$C:$C,"&gt;="&amp;DATE(2026,6,1),Report!$C:$C,"&lt;"&amp;DATE(2026,7,1),Report!$AA:$AA,"SIM")</f>
        <v>0</v>
      </c>
      <c r="C5" s="17" t="n">
        <f aca="false">SUMIFS(Report!$U:$U,Report!$T:$T,$A5,Report!$C:$C,"&gt;="&amp;DATE(2026,7,1),Report!$C:$C,"&lt;"&amp;DATE(2026,8,1),Report!$AA:$AA,"SIM")</f>
        <v>33900</v>
      </c>
      <c r="D5" s="17" t="n">
        <f aca="false">SUMIFS(Report!$U:$U,Report!$T:$T,$A5,Report!$C:$C,"&gt;="&amp;DATE(2026,8,1),Report!$C:$C,"&lt;"&amp;DATE(2026,9,1),Report!$AA:$AA,"SIM")</f>
        <v>0</v>
      </c>
      <c r="E5" s="17" t="n">
        <f aca="false">SUMIFS(Report!$U:$U,Report!$T:$T,$A5,Report!$C:$C,"&gt;="&amp;DATE(2026,9,1),Report!$C:$C,"&lt;"&amp;DATE(2026,10,1),Report!$AA:$AA,"SIM")</f>
        <v>0</v>
      </c>
      <c r="F5" s="17" t="n">
        <f aca="false">SUMIFS(Report!$U:$U,Report!$T:$T,$A5,Report!$C:$C,"&gt;="&amp;DATE(2026,10,1),Report!$C:$C,"&lt;"&amp;DATE(2026,11,1),Report!$AA:$AA,"SIM")</f>
        <v>0</v>
      </c>
      <c r="G5" s="17" t="n">
        <f aca="false">SUM(B5:F5)</f>
        <v>33900</v>
      </c>
    </row>
    <row r="6" customFormat="false" ht="12.75" hidden="false" customHeight="true" outlineLevel="0" collapsed="false">
      <c r="A6" s="1" t="s">
        <v>73</v>
      </c>
      <c r="B6" s="17" t="n">
        <f aca="false">SUMIFS(Report!$U:$U,Report!$T:$T,$A6,Report!$C:$C,"&gt;="&amp;DATE(2026,6,1),Report!$C:$C,"&lt;"&amp;DATE(2026,7,1),Report!$AA:$AA,"SIM")</f>
        <v>321</v>
      </c>
      <c r="C6" s="17" t="n">
        <f aca="false">SUMIFS(Report!$U:$U,Report!$T:$T,$A6,Report!$C:$C,"&gt;="&amp;DATE(2026,7,1),Report!$C:$C,"&lt;"&amp;DATE(2026,8,1),Report!$AA:$AA,"SIM")</f>
        <v>0</v>
      </c>
      <c r="D6" s="17" t="n">
        <f aca="false">SUMIFS(Report!$U:$U,Report!$T:$T,$A6,Report!$C:$C,"&gt;="&amp;DATE(2026,8,1),Report!$C:$C,"&lt;"&amp;DATE(2026,9,1),Report!$AA:$AA,"SIM")</f>
        <v>174</v>
      </c>
      <c r="E6" s="17" t="n">
        <f aca="false">SUMIFS(Report!$U:$U,Report!$T:$T,$A6,Report!$C:$C,"&gt;="&amp;DATE(2026,9,1),Report!$C:$C,"&lt;"&amp;DATE(2026,10,1),Report!$AA:$AA,"SIM")</f>
        <v>78</v>
      </c>
      <c r="F6" s="17" t="n">
        <f aca="false">SUMIFS(Report!$U:$U,Report!$T:$T,$A6,Report!$C:$C,"&gt;="&amp;DATE(2026,10,1),Report!$C:$C,"&lt;"&amp;DATE(2026,11,1),Report!$AA:$AA,"SIM")</f>
        <v>0</v>
      </c>
      <c r="G6" s="17" t="n">
        <f aca="false">SUM(B6:F6)</f>
        <v>573</v>
      </c>
    </row>
    <row r="7" customFormat="false" ht="12.75" hidden="false" customHeight="true" outlineLevel="0" collapsed="false">
      <c r="A7" s="1" t="s">
        <v>106</v>
      </c>
      <c r="B7" s="17" t="n">
        <f aca="false">SUMIFS(Report!$U:$U,Report!$T:$T,$A7,Report!$C:$C,"&gt;="&amp;DATE(2026,6,1),Report!$C:$C,"&lt;"&amp;DATE(2026,7,1),Report!$AA:$AA,"SIM")</f>
        <v>303.22</v>
      </c>
      <c r="C7" s="17" t="n">
        <f aca="false">SUMIFS(Report!$U:$U,Report!$T:$T,$A7,Report!$C:$C,"&gt;="&amp;DATE(2026,7,1),Report!$C:$C,"&lt;"&amp;DATE(2026,8,1),Report!$AA:$AA,"SIM")</f>
        <v>303.22</v>
      </c>
      <c r="D7" s="17" t="n">
        <f aca="false">SUMIFS(Report!$U:$U,Report!$T:$T,$A7,Report!$C:$C,"&gt;="&amp;DATE(2026,8,1),Report!$C:$C,"&lt;"&amp;DATE(2026,9,1),Report!$AA:$AA,"SIM")</f>
        <v>303.22</v>
      </c>
      <c r="E7" s="17" t="n">
        <f aca="false">SUMIFS(Report!$U:$U,Report!$T:$T,$A7,Report!$C:$C,"&gt;="&amp;DATE(2026,9,1),Report!$C:$C,"&lt;"&amp;DATE(2026,10,1),Report!$AA:$AA,"SIM")</f>
        <v>151.61</v>
      </c>
      <c r="F7" s="17" t="n">
        <f aca="false">SUMIFS(Report!$U:$U,Report!$T:$T,$A7,Report!$C:$C,"&gt;="&amp;DATE(2026,10,1),Report!$C:$C,"&lt;"&amp;DATE(2026,11,1),Report!$AA:$AA,"SIM")</f>
        <v>151.61</v>
      </c>
      <c r="G7" s="17" t="n">
        <f aca="false">SUM(B7:F7)</f>
        <v>1212.88</v>
      </c>
    </row>
    <row r="8" customFormat="false" ht="12.75" hidden="false" customHeight="true" outlineLevel="0" collapsed="false">
      <c r="A8" s="1" t="s">
        <v>1134</v>
      </c>
      <c r="B8" s="17" t="n">
        <f aca="false">SUMIFS(Report!$U:$U,Report!$T:$T,$A8,Report!$C:$C,"&gt;="&amp;DATE(2026,6,1),Report!$C:$C,"&lt;"&amp;DATE(2026,7,1),Report!$AA:$AA,"SIM")</f>
        <v>0</v>
      </c>
      <c r="C8" s="17" t="n">
        <f aca="false">SUMIFS(Report!$U:$U,Report!$T:$T,$A8,Report!$C:$C,"&gt;="&amp;DATE(2026,7,1),Report!$C:$C,"&lt;"&amp;DATE(2026,8,1),Report!$AA:$AA,"SIM")</f>
        <v>18.75</v>
      </c>
      <c r="D8" s="17" t="n">
        <f aca="false">SUMIFS(Report!$U:$U,Report!$T:$T,$A8,Report!$C:$C,"&gt;="&amp;DATE(2026,8,1),Report!$C:$C,"&lt;"&amp;DATE(2026,9,1),Report!$AA:$AA,"SIM")</f>
        <v>0</v>
      </c>
      <c r="E8" s="17" t="n">
        <f aca="false">SUMIFS(Report!$U:$U,Report!$T:$T,$A8,Report!$C:$C,"&gt;="&amp;DATE(2026,9,1),Report!$C:$C,"&lt;"&amp;DATE(2026,10,1),Report!$AA:$AA,"SIM")</f>
        <v>0</v>
      </c>
      <c r="F8" s="17" t="n">
        <f aca="false">SUMIFS(Report!$U:$U,Report!$T:$T,$A8,Report!$C:$C,"&gt;="&amp;DATE(2026,10,1),Report!$C:$C,"&lt;"&amp;DATE(2026,11,1),Report!$AA:$AA,"SIM")</f>
        <v>0</v>
      </c>
      <c r="G8" s="17" t="n">
        <f aca="false">SUM(B8:F8)</f>
        <v>18.75</v>
      </c>
    </row>
    <row r="9" customFormat="false" ht="12.75" hidden="false" customHeight="true" outlineLevel="0" collapsed="false">
      <c r="A9" s="1" t="s">
        <v>666</v>
      </c>
      <c r="B9" s="17" t="n">
        <f aca="false">SUMIFS(Report!$U:$U,Report!$T:$T,$A9,Report!$C:$C,"&gt;="&amp;DATE(2026,6,1),Report!$C:$C,"&lt;"&amp;DATE(2026,7,1),Report!$AA:$AA,"SIM")</f>
        <v>49.44</v>
      </c>
      <c r="C9" s="17" t="n">
        <f aca="false">SUMIFS(Report!$U:$U,Report!$T:$T,$A9,Report!$C:$C,"&gt;="&amp;DATE(2026,7,1),Report!$C:$C,"&lt;"&amp;DATE(2026,8,1),Report!$AA:$AA,"SIM")</f>
        <v>0</v>
      </c>
      <c r="D9" s="17" t="n">
        <f aca="false">SUMIFS(Report!$U:$U,Report!$T:$T,$A9,Report!$C:$C,"&gt;="&amp;DATE(2026,8,1),Report!$C:$C,"&lt;"&amp;DATE(2026,9,1),Report!$AA:$AA,"SIM")</f>
        <v>0</v>
      </c>
      <c r="E9" s="17" t="n">
        <f aca="false">SUMIFS(Report!$U:$U,Report!$T:$T,$A9,Report!$C:$C,"&gt;="&amp;DATE(2026,9,1),Report!$C:$C,"&lt;"&amp;DATE(2026,10,1),Report!$AA:$AA,"SIM")</f>
        <v>0</v>
      </c>
      <c r="F9" s="17" t="n">
        <f aca="false">SUMIFS(Report!$U:$U,Report!$T:$T,$A9,Report!$C:$C,"&gt;="&amp;DATE(2026,10,1),Report!$C:$C,"&lt;"&amp;DATE(2026,11,1),Report!$AA:$AA,"SIM")</f>
        <v>0</v>
      </c>
      <c r="G9" s="17" t="n">
        <f aca="false">SUM(B9:F9)</f>
        <v>49.44</v>
      </c>
    </row>
    <row r="10" customFormat="false" ht="12.75" hidden="false" customHeight="true" outlineLevel="0" collapsed="false">
      <c r="A10" s="1" t="s">
        <v>1737</v>
      </c>
      <c r="B10" s="17" t="n">
        <f aca="false">SUMIFS(Report!$U:$U,Report!$T:$T,$A10,Report!$C:$C,"&gt;="&amp;DATE(2026,6,1),Report!$C:$C,"&lt;"&amp;DATE(2026,7,1),Report!$AA:$AA,"SIM")</f>
        <v>0</v>
      </c>
      <c r="C10" s="17" t="n">
        <f aca="false">SUMIFS(Report!$U:$U,Report!$T:$T,$A10,Report!$C:$C,"&gt;="&amp;DATE(2026,7,1),Report!$C:$C,"&lt;"&amp;DATE(2026,8,1),Report!$AA:$AA,"SIM")</f>
        <v>0</v>
      </c>
      <c r="D10" s="17" t="n">
        <f aca="false">SUMIFS(Report!$U:$U,Report!$T:$T,$A10,Report!$C:$C,"&gt;="&amp;DATE(2026,8,1),Report!$C:$C,"&lt;"&amp;DATE(2026,9,1),Report!$AA:$AA,"SIM")</f>
        <v>500.06</v>
      </c>
      <c r="E10" s="17" t="n">
        <f aca="false">SUMIFS(Report!$U:$U,Report!$T:$T,$A10,Report!$C:$C,"&gt;="&amp;DATE(2026,9,1),Report!$C:$C,"&lt;"&amp;DATE(2026,10,1),Report!$AA:$AA,"SIM")</f>
        <v>0</v>
      </c>
      <c r="F10" s="17" t="n">
        <f aca="false">SUMIFS(Report!$U:$U,Report!$T:$T,$A10,Report!$C:$C,"&gt;="&amp;DATE(2026,10,1),Report!$C:$C,"&lt;"&amp;DATE(2026,11,1),Report!$AA:$AA,"SIM")</f>
        <v>0</v>
      </c>
      <c r="G10" s="17" t="n">
        <f aca="false">SUM(B10:F10)</f>
        <v>500.06</v>
      </c>
    </row>
    <row r="11" customFormat="false" ht="12.75" hidden="false" customHeight="true" outlineLevel="0" collapsed="false">
      <c r="A11" s="1" t="s">
        <v>1079</v>
      </c>
      <c r="B11" s="17" t="n">
        <f aca="false">SUMIFS(Report!$U:$U,Report!$T:$T,$A11,Report!$C:$C,"&gt;="&amp;DATE(2026,6,1),Report!$C:$C,"&lt;"&amp;DATE(2026,7,1),Report!$AA:$AA,"SIM")</f>
        <v>0</v>
      </c>
      <c r="C11" s="17" t="n">
        <f aca="false">SUMIFS(Report!$U:$U,Report!$T:$T,$A11,Report!$C:$C,"&gt;="&amp;DATE(2026,7,1),Report!$C:$C,"&lt;"&amp;DATE(2026,8,1),Report!$AA:$AA,"SIM")</f>
        <v>1427.85</v>
      </c>
      <c r="D11" s="17" t="n">
        <f aca="false">SUMIFS(Report!$U:$U,Report!$T:$T,$A11,Report!$C:$C,"&gt;="&amp;DATE(2026,8,1),Report!$C:$C,"&lt;"&amp;DATE(2026,9,1),Report!$AA:$AA,"SIM")</f>
        <v>6195.8</v>
      </c>
      <c r="E11" s="17" t="n">
        <f aca="false">SUMIFS(Report!$U:$U,Report!$T:$T,$A11,Report!$C:$C,"&gt;="&amp;DATE(2026,9,1),Report!$C:$C,"&lt;"&amp;DATE(2026,10,1),Report!$AA:$AA,"SIM")</f>
        <v>8590.83</v>
      </c>
      <c r="F11" s="17" t="n">
        <f aca="false">SUMIFS(Report!$U:$U,Report!$T:$T,$A11,Report!$C:$C,"&gt;="&amp;DATE(2026,10,1),Report!$C:$C,"&lt;"&amp;DATE(2026,11,1),Report!$AA:$AA,"SIM")</f>
        <v>3127.45</v>
      </c>
      <c r="G11" s="17" t="n">
        <f aca="false">SUM(B11:F11)</f>
        <v>19341.93</v>
      </c>
    </row>
    <row r="12" customFormat="false" ht="12.75" hidden="false" customHeight="true" outlineLevel="0" collapsed="false">
      <c r="A12" s="1" t="s">
        <v>142</v>
      </c>
      <c r="B12" s="17" t="n">
        <f aca="false">SUMIFS(Report!$U:$U,Report!$T:$T,$A12,Report!$C:$C,"&gt;="&amp;DATE(2026,6,1),Report!$C:$C,"&lt;"&amp;DATE(2026,7,1),Report!$AA:$AA,"SIM")</f>
        <v>4437.63</v>
      </c>
      <c r="C12" s="17" t="n">
        <f aca="false">SUMIFS(Report!$U:$U,Report!$T:$T,$A12,Report!$C:$C,"&gt;="&amp;DATE(2026,7,1),Report!$C:$C,"&lt;"&amp;DATE(2026,8,1),Report!$AA:$AA,"SIM")</f>
        <v>1406.74</v>
      </c>
      <c r="D12" s="17" t="n">
        <f aca="false">SUMIFS(Report!$U:$U,Report!$T:$T,$A12,Report!$C:$C,"&gt;="&amp;DATE(2026,8,1),Report!$C:$C,"&lt;"&amp;DATE(2026,9,1),Report!$AA:$AA,"SIM")</f>
        <v>2452.79</v>
      </c>
      <c r="E12" s="17" t="n">
        <f aca="false">SUMIFS(Report!$U:$U,Report!$T:$T,$A12,Report!$C:$C,"&gt;="&amp;DATE(2026,9,1),Report!$C:$C,"&lt;"&amp;DATE(2026,10,1),Report!$AA:$AA,"SIM")</f>
        <v>660</v>
      </c>
      <c r="F12" s="17" t="n">
        <f aca="false">SUMIFS(Report!$U:$U,Report!$T:$T,$A12,Report!$C:$C,"&gt;="&amp;DATE(2026,10,1),Report!$C:$C,"&lt;"&amp;DATE(2026,11,1),Report!$AA:$AA,"SIM")</f>
        <v>660</v>
      </c>
      <c r="G12" s="17" t="n">
        <f aca="false">SUM(B12:F12)</f>
        <v>9617.16</v>
      </c>
    </row>
    <row r="13" customFormat="false" ht="12.75" hidden="false" customHeight="true" outlineLevel="0" collapsed="false">
      <c r="A13" s="1" t="s">
        <v>196</v>
      </c>
      <c r="B13" s="17" t="n">
        <f aca="false">SUMIFS(Report!$U:$U,Report!$T:$T,$A13,Report!$C:$C,"&gt;="&amp;DATE(2026,6,1),Report!$C:$C,"&lt;"&amp;DATE(2026,7,1),Report!$AA:$AA,"SIM")</f>
        <v>4182.12</v>
      </c>
      <c r="C13" s="17" t="n">
        <f aca="false">SUMIFS(Report!$U:$U,Report!$T:$T,$A13,Report!$C:$C,"&gt;="&amp;DATE(2026,7,1),Report!$C:$C,"&lt;"&amp;DATE(2026,8,1),Report!$AA:$AA,"SIM")</f>
        <v>4976.9</v>
      </c>
      <c r="D13" s="17" t="n">
        <f aca="false">SUMIFS(Report!$U:$U,Report!$T:$T,$A13,Report!$C:$C,"&gt;="&amp;DATE(2026,8,1),Report!$C:$C,"&lt;"&amp;DATE(2026,9,1),Report!$AA:$AA,"SIM")</f>
        <v>1918.1</v>
      </c>
      <c r="E13" s="17" t="n">
        <f aca="false">SUMIFS(Report!$U:$U,Report!$T:$T,$A13,Report!$C:$C,"&gt;="&amp;DATE(2026,9,1),Report!$C:$C,"&lt;"&amp;DATE(2026,10,1),Report!$AA:$AA,"SIM")</f>
        <v>1146.31</v>
      </c>
      <c r="F13" s="17" t="n">
        <f aca="false">SUMIFS(Report!$U:$U,Report!$T:$T,$A13,Report!$C:$C,"&gt;="&amp;DATE(2026,10,1),Report!$C:$C,"&lt;"&amp;DATE(2026,11,1),Report!$AA:$AA,"SIM")</f>
        <v>378.46</v>
      </c>
      <c r="G13" s="17" t="n">
        <f aca="false">SUM(B13:F13)</f>
        <v>12601.89</v>
      </c>
    </row>
    <row r="14" customFormat="false" ht="12.75" hidden="false" customHeight="true" outlineLevel="0" collapsed="false">
      <c r="A14" s="1" t="s">
        <v>140</v>
      </c>
      <c r="B14" s="17" t="n">
        <f aca="false">SUMIFS(Report!$U:$U,Report!$T:$T,$A14,Report!$C:$C,"&gt;="&amp;DATE(2026,6,1),Report!$C:$C,"&lt;"&amp;DATE(2026,7,1),Report!$AA:$AA,"SIM")</f>
        <v>14319.79</v>
      </c>
      <c r="C14" s="17" t="n">
        <f aca="false">SUMIFS(Report!$U:$U,Report!$T:$T,$A14,Report!$C:$C,"&gt;="&amp;DATE(2026,7,1),Report!$C:$C,"&lt;"&amp;DATE(2026,8,1),Report!$AA:$AA,"SIM")</f>
        <v>14265.23</v>
      </c>
      <c r="D14" s="17" t="n">
        <f aca="false">SUMIFS(Report!$U:$U,Report!$T:$T,$A14,Report!$C:$C,"&gt;="&amp;DATE(2026,8,1),Report!$C:$C,"&lt;"&amp;DATE(2026,9,1),Report!$AA:$AA,"SIM")</f>
        <v>14299.43</v>
      </c>
      <c r="E14" s="17" t="n">
        <f aca="false">SUMIFS(Report!$U:$U,Report!$T:$T,$A14,Report!$C:$C,"&gt;="&amp;DATE(2026,9,1),Report!$C:$C,"&lt;"&amp;DATE(2026,10,1),Report!$AA:$AA,"SIM")</f>
        <v>14192.01</v>
      </c>
      <c r="F14" s="17" t="n">
        <f aca="false">SUMIFS(Report!$U:$U,Report!$T:$T,$A14,Report!$C:$C,"&gt;="&amp;DATE(2026,10,1),Report!$C:$C,"&lt;"&amp;DATE(2026,11,1),Report!$AA:$AA,"SIM")</f>
        <v>14192.01</v>
      </c>
      <c r="G14" s="17" t="n">
        <f aca="false">SUM(B14:F14)</f>
        <v>71268.47</v>
      </c>
    </row>
    <row r="15" customFormat="false" ht="12.75" hidden="false" customHeight="true" outlineLevel="0" collapsed="false">
      <c r="A15" s="1" t="s">
        <v>245</v>
      </c>
      <c r="B15" s="17" t="n">
        <f aca="false">SUMIFS(Report!$U:$U,Report!$T:$T,$A15,Report!$C:$C,"&gt;="&amp;DATE(2026,6,1),Report!$C:$C,"&lt;"&amp;DATE(2026,7,1),Report!$AA:$AA,"SIM")</f>
        <v>1000</v>
      </c>
      <c r="C15" s="17" t="n">
        <f aca="false">SUMIFS(Report!$U:$U,Report!$T:$T,$A15,Report!$C:$C,"&gt;="&amp;DATE(2026,7,1),Report!$C:$C,"&lt;"&amp;DATE(2026,8,1),Report!$AA:$AA,"SIM")</f>
        <v>1000</v>
      </c>
      <c r="D15" s="17" t="n">
        <f aca="false">SUMIFS(Report!$U:$U,Report!$T:$T,$A15,Report!$C:$C,"&gt;="&amp;DATE(2026,8,1),Report!$C:$C,"&lt;"&amp;DATE(2026,9,1),Report!$AA:$AA,"SIM")</f>
        <v>5000</v>
      </c>
      <c r="E15" s="17" t="n">
        <f aca="false">SUMIFS(Report!$U:$U,Report!$T:$T,$A15,Report!$C:$C,"&gt;="&amp;DATE(2026,9,1),Report!$C:$C,"&lt;"&amp;DATE(2026,10,1),Report!$AA:$AA,"SIM")</f>
        <v>5000</v>
      </c>
      <c r="F15" s="17" t="n">
        <f aca="false">SUMIFS(Report!$U:$U,Report!$T:$T,$A15,Report!$C:$C,"&gt;="&amp;DATE(2026,10,1),Report!$C:$C,"&lt;"&amp;DATE(2026,11,1),Report!$AA:$AA,"SIM")</f>
        <v>5000</v>
      </c>
      <c r="G15" s="17" t="n">
        <f aca="false">SUM(B15:F15)</f>
        <v>17000</v>
      </c>
    </row>
    <row r="16" customFormat="false" ht="12.75" hidden="false" customHeight="true" outlineLevel="0" collapsed="false">
      <c r="A16" s="1" t="s">
        <v>64</v>
      </c>
      <c r="B16" s="17" t="n">
        <f aca="false">SUMIFS(Report!$U:$U,Report!$T:$T,$A16,Report!$C:$C,"&gt;="&amp;DATE(2026,6,1),Report!$C:$C,"&lt;"&amp;DATE(2026,7,1),Report!$AA:$AA,"SIM")</f>
        <v>5607.32</v>
      </c>
      <c r="C16" s="17" t="n">
        <f aca="false">SUMIFS(Report!$U:$U,Report!$T:$T,$A16,Report!$C:$C,"&gt;="&amp;DATE(2026,7,1),Report!$C:$C,"&lt;"&amp;DATE(2026,8,1),Report!$AA:$AA,"SIM")</f>
        <v>5909.02</v>
      </c>
      <c r="D16" s="17" t="n">
        <f aca="false">SUMIFS(Report!$U:$U,Report!$T:$T,$A16,Report!$C:$C,"&gt;="&amp;DATE(2026,8,1),Report!$C:$C,"&lt;"&amp;DATE(2026,9,1),Report!$AA:$AA,"SIM")</f>
        <v>5760.94</v>
      </c>
      <c r="E16" s="17" t="n">
        <f aca="false">SUMIFS(Report!$U:$U,Report!$T:$T,$A16,Report!$C:$C,"&gt;="&amp;DATE(2026,9,1),Report!$C:$C,"&lt;"&amp;DATE(2026,10,1),Report!$AA:$AA,"SIM")</f>
        <v>8406.25</v>
      </c>
      <c r="F16" s="17" t="n">
        <f aca="false">SUMIFS(Report!$U:$U,Report!$T:$T,$A16,Report!$C:$C,"&gt;="&amp;DATE(2026,10,1),Report!$C:$C,"&lt;"&amp;DATE(2026,11,1),Report!$AA:$AA,"SIM")</f>
        <v>5500</v>
      </c>
      <c r="G16" s="17" t="n">
        <f aca="false">SUM(B16:F16)</f>
        <v>31183.53</v>
      </c>
    </row>
    <row r="17" customFormat="false" ht="12.75" hidden="false" customHeight="true" outlineLevel="0" collapsed="false">
      <c r="A17" s="1" t="s">
        <v>726</v>
      </c>
      <c r="B17" s="17" t="n">
        <f aca="false">SUMIFS(Report!$U:$U,Report!$T:$T,$A17,Report!$C:$C,"&gt;="&amp;DATE(2026,6,1),Report!$C:$C,"&lt;"&amp;DATE(2026,7,1),Report!$AA:$AA,"SIM")</f>
        <v>4679.56</v>
      </c>
      <c r="C17" s="17" t="n">
        <f aca="false">SUMIFS(Report!$U:$U,Report!$T:$T,$A17,Report!$C:$C,"&gt;="&amp;DATE(2026,7,1),Report!$C:$C,"&lt;"&amp;DATE(2026,8,1),Report!$AA:$AA,"SIM")</f>
        <v>1801.5</v>
      </c>
      <c r="D17" s="17" t="n">
        <f aca="false">SUMIFS(Report!$U:$U,Report!$T:$T,$A17,Report!$C:$C,"&gt;="&amp;DATE(2026,8,1),Report!$C:$C,"&lt;"&amp;DATE(2026,9,1),Report!$AA:$AA,"SIM")</f>
        <v>1956.55</v>
      </c>
      <c r="E17" s="17" t="n">
        <f aca="false">SUMIFS(Report!$U:$U,Report!$T:$T,$A17,Report!$C:$C,"&gt;="&amp;DATE(2026,9,1),Report!$C:$C,"&lt;"&amp;DATE(2026,10,1),Report!$AA:$AA,"SIM")</f>
        <v>0</v>
      </c>
      <c r="F17" s="17" t="n">
        <f aca="false">SUMIFS(Report!$U:$U,Report!$T:$T,$A17,Report!$C:$C,"&gt;="&amp;DATE(2026,10,1),Report!$C:$C,"&lt;"&amp;DATE(2026,11,1),Report!$AA:$AA,"SIM")</f>
        <v>0</v>
      </c>
      <c r="G17" s="17" t="n">
        <f aca="false">SUM(B17:F17)</f>
        <v>8437.61</v>
      </c>
    </row>
    <row r="18" customFormat="false" ht="12.75" hidden="false" customHeight="true" outlineLevel="0" collapsed="false">
      <c r="A18" s="1" t="s">
        <v>519</v>
      </c>
      <c r="B18" s="17" t="n">
        <f aca="false">SUMIFS(Report!$U:$U,Report!$T:$T,$A18,Report!$C:$C,"&gt;="&amp;DATE(2026,6,1),Report!$C:$C,"&lt;"&amp;DATE(2026,7,1),Report!$AA:$AA,"SIM")</f>
        <v>4130.91</v>
      </c>
      <c r="C18" s="17" t="n">
        <f aca="false">SUMIFS(Report!$U:$U,Report!$T:$T,$A18,Report!$C:$C,"&gt;="&amp;DATE(2026,7,1),Report!$C:$C,"&lt;"&amp;DATE(2026,8,1),Report!$AA:$AA,"SIM")</f>
        <v>4431.94</v>
      </c>
      <c r="D18" s="17" t="n">
        <f aca="false">SUMIFS(Report!$U:$U,Report!$T:$T,$A18,Report!$C:$C,"&gt;="&amp;DATE(2026,8,1),Report!$C:$C,"&lt;"&amp;DATE(2026,9,1),Report!$AA:$AA,"SIM")</f>
        <v>4326.37</v>
      </c>
      <c r="E18" s="17" t="n">
        <f aca="false">SUMIFS(Report!$U:$U,Report!$T:$T,$A18,Report!$C:$C,"&gt;="&amp;DATE(2026,9,1),Report!$C:$C,"&lt;"&amp;DATE(2026,10,1),Report!$AA:$AA,"SIM")</f>
        <v>0</v>
      </c>
      <c r="F18" s="17" t="n">
        <f aca="false">SUMIFS(Report!$U:$U,Report!$T:$T,$A18,Report!$C:$C,"&gt;="&amp;DATE(2026,10,1),Report!$C:$C,"&lt;"&amp;DATE(2026,11,1),Report!$AA:$AA,"SIM")</f>
        <v>0</v>
      </c>
      <c r="G18" s="17" t="n">
        <f aca="false">SUM(B18:F18)</f>
        <v>12889.22</v>
      </c>
    </row>
    <row r="19" customFormat="false" ht="12.75" hidden="false" customHeight="true" outlineLevel="0" collapsed="false">
      <c r="A19" s="1" t="s">
        <v>43</v>
      </c>
      <c r="B19" s="17" t="n">
        <f aca="false">SUMIFS(Report!$U:$U,Report!$T:$T,$A19,Report!$C:$C,"&gt;="&amp;DATE(2026,6,1),Report!$C:$C,"&lt;"&amp;DATE(2026,7,1),Report!$AA:$AA,"SIM")</f>
        <v>0</v>
      </c>
      <c r="C19" s="17" t="n">
        <f aca="false">SUMIFS(Report!$U:$U,Report!$T:$T,$A19,Report!$C:$C,"&gt;="&amp;DATE(2026,7,1),Report!$C:$C,"&lt;"&amp;DATE(2026,8,1),Report!$AA:$AA,"SIM")</f>
        <v>211.36</v>
      </c>
      <c r="D19" s="17" t="n">
        <f aca="false">SUMIFS(Report!$U:$U,Report!$T:$T,$A19,Report!$C:$C,"&gt;="&amp;DATE(2026,8,1),Report!$C:$C,"&lt;"&amp;DATE(2026,9,1),Report!$AA:$AA,"SIM")</f>
        <v>0</v>
      </c>
      <c r="E19" s="17" t="n">
        <f aca="false">SUMIFS(Report!$U:$U,Report!$T:$T,$A19,Report!$C:$C,"&gt;="&amp;DATE(2026,9,1),Report!$C:$C,"&lt;"&amp;DATE(2026,10,1),Report!$AA:$AA,"SIM")</f>
        <v>0</v>
      </c>
      <c r="F19" s="17" t="n">
        <f aca="false">SUMIFS(Report!$U:$U,Report!$T:$T,$A19,Report!$C:$C,"&gt;="&amp;DATE(2026,10,1),Report!$C:$C,"&lt;"&amp;DATE(2026,11,1),Report!$AA:$AA,"SIM")</f>
        <v>0</v>
      </c>
      <c r="G19" s="17" t="n">
        <f aca="false">SUM(B19:F19)</f>
        <v>211.36</v>
      </c>
    </row>
    <row r="20" customFormat="false" ht="12.75" hidden="false" customHeight="true" outlineLevel="0" collapsed="false">
      <c r="A20" s="1" t="s">
        <v>381</v>
      </c>
      <c r="B20" s="17" t="n">
        <f aca="false">SUMIFS(Report!$U:$U,Report!$T:$T,$A20,Report!$C:$C,"&gt;="&amp;DATE(2026,6,1),Report!$C:$C,"&lt;"&amp;DATE(2026,7,1),Report!$AA:$AA,"SIM")</f>
        <v>2431.5</v>
      </c>
      <c r="C20" s="17" t="n">
        <f aca="false">SUMIFS(Report!$U:$U,Report!$T:$T,$A20,Report!$C:$C,"&gt;="&amp;DATE(2026,7,1),Report!$C:$C,"&lt;"&amp;DATE(2026,8,1),Report!$AA:$AA,"SIM")</f>
        <v>2431.5</v>
      </c>
      <c r="D20" s="17" t="n">
        <f aca="false">SUMIFS(Report!$U:$U,Report!$T:$T,$A20,Report!$C:$C,"&gt;="&amp;DATE(2026,8,1),Report!$C:$C,"&lt;"&amp;DATE(2026,9,1),Report!$AA:$AA,"SIM")</f>
        <v>2431.5</v>
      </c>
      <c r="E20" s="17" t="n">
        <f aca="false">SUMIFS(Report!$U:$U,Report!$T:$T,$A20,Report!$C:$C,"&gt;="&amp;DATE(2026,9,1),Report!$C:$C,"&lt;"&amp;DATE(2026,10,1),Report!$AA:$AA,"SIM")</f>
        <v>0</v>
      </c>
      <c r="F20" s="17" t="n">
        <f aca="false">SUMIFS(Report!$U:$U,Report!$T:$T,$A20,Report!$C:$C,"&gt;="&amp;DATE(2026,10,1),Report!$C:$C,"&lt;"&amp;DATE(2026,11,1),Report!$AA:$AA,"SIM")</f>
        <v>0</v>
      </c>
      <c r="G20" s="17" t="n">
        <f aca="false">SUM(B20:F20)</f>
        <v>7294.5</v>
      </c>
    </row>
    <row r="21" customFormat="false" ht="12.75" hidden="false" customHeight="true" outlineLevel="0" collapsed="false">
      <c r="A21" s="1" t="s">
        <v>817</v>
      </c>
      <c r="B21" s="17" t="n">
        <f aca="false">SUMIFS(Report!$U:$U,Report!$T:$T,$A21,Report!$C:$C,"&gt;="&amp;DATE(2026,6,1),Report!$C:$C,"&lt;"&amp;DATE(2026,7,1),Report!$AA:$AA,"SIM")</f>
        <v>0</v>
      </c>
      <c r="C21" s="17" t="n">
        <f aca="false">SUMIFS(Report!$U:$U,Report!$T:$T,$A21,Report!$C:$C,"&gt;="&amp;DATE(2026,7,1),Report!$C:$C,"&lt;"&amp;DATE(2026,8,1),Report!$AA:$AA,"SIM")</f>
        <v>1526.61</v>
      </c>
      <c r="D21" s="17" t="n">
        <f aca="false">SUMIFS(Report!$U:$U,Report!$T:$T,$A21,Report!$C:$C,"&gt;="&amp;DATE(2026,8,1),Report!$C:$C,"&lt;"&amp;DATE(2026,9,1),Report!$AA:$AA,"SIM")</f>
        <v>373.79</v>
      </c>
      <c r="E21" s="17" t="n">
        <f aca="false">SUMIFS(Report!$U:$U,Report!$T:$T,$A21,Report!$C:$C,"&gt;="&amp;DATE(2026,9,1),Report!$C:$C,"&lt;"&amp;DATE(2026,10,1),Report!$AA:$AA,"SIM")</f>
        <v>373.79</v>
      </c>
      <c r="F21" s="17" t="n">
        <f aca="false">SUMIFS(Report!$U:$U,Report!$T:$T,$A21,Report!$C:$C,"&gt;="&amp;DATE(2026,10,1),Report!$C:$C,"&lt;"&amp;DATE(2026,11,1),Report!$AA:$AA,"SIM")</f>
        <v>373.79</v>
      </c>
      <c r="G21" s="17" t="n">
        <f aca="false">SUM(B21:F21)</f>
        <v>2647.98</v>
      </c>
    </row>
    <row r="22" customFormat="false" ht="12.75" hidden="false" customHeight="true" outlineLevel="0" collapsed="false">
      <c r="A22" s="1" t="s">
        <v>569</v>
      </c>
      <c r="B22" s="17" t="n">
        <f aca="false">SUMIFS(Report!$U:$U,Report!$T:$T,$A22,Report!$C:$C,"&gt;="&amp;DATE(2026,6,1),Report!$C:$C,"&lt;"&amp;DATE(2026,7,1),Report!$AA:$AA,"SIM")</f>
        <v>4367.28</v>
      </c>
      <c r="C22" s="17" t="n">
        <f aca="false">SUMIFS(Report!$U:$U,Report!$T:$T,$A22,Report!$C:$C,"&gt;="&amp;DATE(2026,7,1),Report!$C:$C,"&lt;"&amp;DATE(2026,8,1),Report!$AA:$AA,"SIM")</f>
        <v>4328.37</v>
      </c>
      <c r="D22" s="17" t="n">
        <f aca="false">SUMIFS(Report!$U:$U,Report!$T:$T,$A22,Report!$C:$C,"&gt;="&amp;DATE(2026,8,1),Report!$C:$C,"&lt;"&amp;DATE(2026,9,1),Report!$AA:$AA,"SIM")</f>
        <v>4049.11</v>
      </c>
      <c r="E22" s="17" t="n">
        <f aca="false">SUMIFS(Report!$U:$U,Report!$T:$T,$A22,Report!$C:$C,"&gt;="&amp;DATE(2026,9,1),Report!$C:$C,"&lt;"&amp;DATE(2026,10,1),Report!$AA:$AA,"SIM")</f>
        <v>0</v>
      </c>
      <c r="F22" s="17" t="n">
        <f aca="false">SUMIFS(Report!$U:$U,Report!$T:$T,$A22,Report!$C:$C,"&gt;="&amp;DATE(2026,10,1),Report!$C:$C,"&lt;"&amp;DATE(2026,11,1),Report!$AA:$AA,"SIM")</f>
        <v>0</v>
      </c>
      <c r="G22" s="17" t="n">
        <f aca="false">SUM(B22:F22)</f>
        <v>12744.76</v>
      </c>
    </row>
    <row r="23" customFormat="false" ht="12.75" hidden="false" customHeight="true" outlineLevel="0" collapsed="false">
      <c r="A23" s="1" t="s">
        <v>1379</v>
      </c>
      <c r="B23" s="17" t="n">
        <f aca="false">SUMIFS(Report!$U:$U,Report!$T:$T,$A23,Report!$C:$C,"&gt;="&amp;DATE(2026,6,1),Report!$C:$C,"&lt;"&amp;DATE(2026,7,1),Report!$AA:$AA,"SIM")</f>
        <v>0</v>
      </c>
      <c r="C23" s="17" t="n">
        <f aca="false">SUMIFS(Report!$U:$U,Report!$T:$T,$A23,Report!$C:$C,"&gt;="&amp;DATE(2026,7,1),Report!$C:$C,"&lt;"&amp;DATE(2026,8,1),Report!$AA:$AA,"SIM")</f>
        <v>0</v>
      </c>
      <c r="D23" s="17" t="n">
        <f aca="false">SUMIFS(Report!$U:$U,Report!$T:$T,$A23,Report!$C:$C,"&gt;="&amp;DATE(2026,8,1),Report!$C:$C,"&lt;"&amp;DATE(2026,9,1),Report!$AA:$AA,"SIM")</f>
        <v>972.11</v>
      </c>
      <c r="E23" s="17" t="n">
        <f aca="false">SUMIFS(Report!$U:$U,Report!$T:$T,$A23,Report!$C:$C,"&gt;="&amp;DATE(2026,9,1),Report!$C:$C,"&lt;"&amp;DATE(2026,10,1),Report!$AA:$AA,"SIM")</f>
        <v>0</v>
      </c>
      <c r="F23" s="17" t="n">
        <f aca="false">SUMIFS(Report!$U:$U,Report!$T:$T,$A23,Report!$C:$C,"&gt;="&amp;DATE(2026,10,1),Report!$C:$C,"&lt;"&amp;DATE(2026,11,1),Report!$AA:$AA,"SIM")</f>
        <v>0</v>
      </c>
      <c r="G23" s="17" t="n">
        <f aca="false">SUM(B23:F23)</f>
        <v>972.11</v>
      </c>
    </row>
    <row r="24" customFormat="false" ht="12.75" hidden="false" customHeight="true" outlineLevel="0" collapsed="false">
      <c r="A24" s="1" t="s">
        <v>521</v>
      </c>
      <c r="B24" s="17" t="n">
        <f aca="false">SUMIFS(Report!$U:$U,Report!$T:$T,$A24,Report!$C:$C,"&gt;="&amp;DATE(2026,6,1),Report!$C:$C,"&lt;"&amp;DATE(2026,7,1),Report!$AA:$AA,"SIM")</f>
        <v>1379.01</v>
      </c>
      <c r="C24" s="17" t="n">
        <f aca="false">SUMIFS(Report!$U:$U,Report!$T:$T,$A24,Report!$C:$C,"&gt;="&amp;DATE(2026,7,1),Report!$C:$C,"&lt;"&amp;DATE(2026,8,1),Report!$AA:$AA,"SIM")</f>
        <v>1540.55</v>
      </c>
      <c r="D24" s="17" t="n">
        <f aca="false">SUMIFS(Report!$U:$U,Report!$T:$T,$A24,Report!$C:$C,"&gt;="&amp;DATE(2026,8,1),Report!$C:$C,"&lt;"&amp;DATE(2026,9,1),Report!$AA:$AA,"SIM")</f>
        <v>1288.83</v>
      </c>
      <c r="E24" s="17" t="n">
        <f aca="false">SUMIFS(Report!$U:$U,Report!$T:$T,$A24,Report!$C:$C,"&gt;="&amp;DATE(2026,9,1),Report!$C:$C,"&lt;"&amp;DATE(2026,10,1),Report!$AA:$AA,"SIM")</f>
        <v>0</v>
      </c>
      <c r="F24" s="17" t="n">
        <f aca="false">SUMIFS(Report!$U:$U,Report!$T:$T,$A24,Report!$C:$C,"&gt;="&amp;DATE(2026,10,1),Report!$C:$C,"&lt;"&amp;DATE(2026,11,1),Report!$AA:$AA,"SIM")</f>
        <v>0</v>
      </c>
      <c r="G24" s="17" t="n">
        <f aca="false">SUM(B24:F24)</f>
        <v>4208.39</v>
      </c>
    </row>
    <row r="25" customFormat="false" ht="12.75" hidden="false" customHeight="true" outlineLevel="0" collapsed="false">
      <c r="A25" s="1" t="s">
        <v>438</v>
      </c>
      <c r="B25" s="17" t="n">
        <f aca="false">SUMIFS(Report!$U:$U,Report!$T:$T,$A25,Report!$C:$C,"&gt;="&amp;DATE(2026,6,1),Report!$C:$C,"&lt;"&amp;DATE(2026,7,1),Report!$AA:$AA,"SIM")</f>
        <v>806.98</v>
      </c>
      <c r="C25" s="17" t="n">
        <f aca="false">SUMIFS(Report!$U:$U,Report!$T:$T,$A25,Report!$C:$C,"&gt;="&amp;DATE(2026,7,1),Report!$C:$C,"&lt;"&amp;DATE(2026,8,1),Report!$AA:$AA,"SIM")</f>
        <v>957.45</v>
      </c>
      <c r="D25" s="17" t="n">
        <f aca="false">SUMIFS(Report!$U:$U,Report!$T:$T,$A25,Report!$C:$C,"&gt;="&amp;DATE(2026,8,1),Report!$C:$C,"&lt;"&amp;DATE(2026,9,1),Report!$AA:$AA,"SIM")</f>
        <v>1312.77</v>
      </c>
      <c r="E25" s="17" t="n">
        <f aca="false">SUMIFS(Report!$U:$U,Report!$T:$T,$A25,Report!$C:$C,"&gt;="&amp;DATE(2026,9,1),Report!$C:$C,"&lt;"&amp;DATE(2026,10,1),Report!$AA:$AA,"SIM")</f>
        <v>773.55</v>
      </c>
      <c r="F25" s="17" t="n">
        <f aca="false">SUMIFS(Report!$U:$U,Report!$T:$T,$A25,Report!$C:$C,"&gt;="&amp;DATE(2026,10,1),Report!$C:$C,"&lt;"&amp;DATE(2026,11,1),Report!$AA:$AA,"SIM")</f>
        <v>773.55</v>
      </c>
      <c r="G25" s="17" t="n">
        <f aca="false">SUM(B25:F25)</f>
        <v>4624.3</v>
      </c>
    </row>
    <row r="26" customFormat="false" ht="12.75" hidden="false" customHeight="true" outlineLevel="0" collapsed="false">
      <c r="A26" s="1" t="s">
        <v>144</v>
      </c>
      <c r="B26" s="17" t="n">
        <f aca="false">SUMIFS(Report!$U:$U,Report!$T:$T,$A26,Report!$C:$C,"&gt;="&amp;DATE(2026,6,1),Report!$C:$C,"&lt;"&amp;DATE(2026,7,1),Report!$AA:$AA,"SIM")</f>
        <v>414.47</v>
      </c>
      <c r="C26" s="17" t="n">
        <f aca="false">SUMIFS(Report!$U:$U,Report!$T:$T,$A26,Report!$C:$C,"&gt;="&amp;DATE(2026,7,1),Report!$C:$C,"&lt;"&amp;DATE(2026,8,1),Report!$AA:$AA,"SIM")</f>
        <v>257.51</v>
      </c>
      <c r="D26" s="17" t="n">
        <f aca="false">SUMIFS(Report!$U:$U,Report!$T:$T,$A26,Report!$C:$C,"&gt;="&amp;DATE(2026,8,1),Report!$C:$C,"&lt;"&amp;DATE(2026,9,1),Report!$AA:$AA,"SIM")</f>
        <v>2.7</v>
      </c>
      <c r="E26" s="17" t="n">
        <f aca="false">SUMIFS(Report!$U:$U,Report!$T:$T,$A26,Report!$C:$C,"&gt;="&amp;DATE(2026,9,1),Report!$C:$C,"&lt;"&amp;DATE(2026,10,1),Report!$AA:$AA,"SIM")</f>
        <v>0</v>
      </c>
      <c r="F26" s="17" t="n">
        <f aca="false">SUMIFS(Report!$U:$U,Report!$T:$T,$A26,Report!$C:$C,"&gt;="&amp;DATE(2026,10,1),Report!$C:$C,"&lt;"&amp;DATE(2026,11,1),Report!$AA:$AA,"SIM")</f>
        <v>0</v>
      </c>
      <c r="G26" s="17" t="n">
        <f aca="false">SUM(B26:F26)</f>
        <v>674.68</v>
      </c>
    </row>
    <row r="27" customFormat="false" ht="12.75" hidden="false" customHeight="true" outlineLevel="0" collapsed="false">
      <c r="A27" s="1" t="s">
        <v>427</v>
      </c>
      <c r="B27" s="17" t="n">
        <f aca="false">SUMIFS(Report!$U:$U,Report!$T:$T,$A27,Report!$C:$C,"&gt;="&amp;DATE(2026,6,1),Report!$C:$C,"&lt;"&amp;DATE(2026,7,1),Report!$AA:$AA,"SIM")</f>
        <v>225.2</v>
      </c>
      <c r="C27" s="17" t="n">
        <f aca="false">SUMIFS(Report!$U:$U,Report!$T:$T,$A27,Report!$C:$C,"&gt;="&amp;DATE(2026,7,1),Report!$C:$C,"&lt;"&amp;DATE(2026,8,1),Report!$AA:$AA,"SIM")</f>
        <v>225.2</v>
      </c>
      <c r="D27" s="17" t="n">
        <f aca="false">SUMIFS(Report!$U:$U,Report!$T:$T,$A27,Report!$C:$C,"&gt;="&amp;DATE(2026,8,1),Report!$C:$C,"&lt;"&amp;DATE(2026,9,1),Report!$AA:$AA,"SIM")</f>
        <v>225.2</v>
      </c>
      <c r="E27" s="17" t="n">
        <f aca="false">SUMIFS(Report!$U:$U,Report!$T:$T,$A27,Report!$C:$C,"&gt;="&amp;DATE(2026,9,1),Report!$C:$C,"&lt;"&amp;DATE(2026,10,1),Report!$AA:$AA,"SIM")</f>
        <v>225.2</v>
      </c>
      <c r="F27" s="17" t="n">
        <f aca="false">SUMIFS(Report!$U:$U,Report!$T:$T,$A27,Report!$C:$C,"&gt;="&amp;DATE(2026,10,1),Report!$C:$C,"&lt;"&amp;DATE(2026,11,1),Report!$AA:$AA,"SIM")</f>
        <v>225.2</v>
      </c>
      <c r="G27" s="17" t="n">
        <f aca="false">SUM(B27:F27)</f>
        <v>1126</v>
      </c>
    </row>
    <row r="28" customFormat="false" ht="12.75" hidden="false" customHeight="true" outlineLevel="0" collapsed="false">
      <c r="A28" s="1" t="s">
        <v>740</v>
      </c>
      <c r="B28" s="17" t="n">
        <f aca="false">SUMIFS(Report!$U:$U,Report!$T:$T,$A28,Report!$C:$C,"&gt;="&amp;DATE(2026,6,1),Report!$C:$C,"&lt;"&amp;DATE(2026,7,1),Report!$AA:$AA,"SIM")</f>
        <v>854.37</v>
      </c>
      <c r="C28" s="17" t="n">
        <f aca="false">SUMIFS(Report!$U:$U,Report!$T:$T,$A28,Report!$C:$C,"&gt;="&amp;DATE(2026,7,1),Report!$C:$C,"&lt;"&amp;DATE(2026,8,1),Report!$AA:$AA,"SIM")</f>
        <v>859.55</v>
      </c>
      <c r="D28" s="17" t="n">
        <f aca="false">SUMIFS(Report!$U:$U,Report!$T:$T,$A28,Report!$C:$C,"&gt;="&amp;DATE(2026,8,1),Report!$C:$C,"&lt;"&amp;DATE(2026,9,1),Report!$AA:$AA,"SIM")</f>
        <v>0</v>
      </c>
      <c r="E28" s="17" t="n">
        <f aca="false">SUMIFS(Report!$U:$U,Report!$T:$T,$A28,Report!$C:$C,"&gt;="&amp;DATE(2026,9,1),Report!$C:$C,"&lt;"&amp;DATE(2026,10,1),Report!$AA:$AA,"SIM")</f>
        <v>0</v>
      </c>
      <c r="F28" s="17" t="n">
        <f aca="false">SUMIFS(Report!$U:$U,Report!$T:$T,$A28,Report!$C:$C,"&gt;="&amp;DATE(2026,10,1),Report!$C:$C,"&lt;"&amp;DATE(2026,11,1),Report!$AA:$AA,"SIM")</f>
        <v>0</v>
      </c>
      <c r="G28" s="17" t="n">
        <f aca="false">SUM(B28:F28)</f>
        <v>1713.92</v>
      </c>
    </row>
    <row r="29" customFormat="false" ht="12.75" hidden="false" customHeight="true" outlineLevel="0" collapsed="false">
      <c r="A29" s="1" t="s">
        <v>86</v>
      </c>
      <c r="B29" s="17" t="n">
        <f aca="false">SUMIFS(Report!$U:$U,Report!$T:$T,$A29,Report!$C:$C,"&gt;="&amp;DATE(2026,6,1),Report!$C:$C,"&lt;"&amp;DATE(2026,7,1),Report!$AA:$AA,"SIM")</f>
        <v>370.44</v>
      </c>
      <c r="C29" s="17" t="n">
        <f aca="false">SUMIFS(Report!$U:$U,Report!$T:$T,$A29,Report!$C:$C,"&gt;="&amp;DATE(2026,7,1),Report!$C:$C,"&lt;"&amp;DATE(2026,8,1),Report!$AA:$AA,"SIM")</f>
        <v>0</v>
      </c>
      <c r="D29" s="17" t="n">
        <f aca="false">SUMIFS(Report!$U:$U,Report!$T:$T,$A29,Report!$C:$C,"&gt;="&amp;DATE(2026,8,1),Report!$C:$C,"&lt;"&amp;DATE(2026,9,1),Report!$AA:$AA,"SIM")</f>
        <v>0</v>
      </c>
      <c r="E29" s="17" t="n">
        <f aca="false">SUMIFS(Report!$U:$U,Report!$T:$T,$A29,Report!$C:$C,"&gt;="&amp;DATE(2026,9,1),Report!$C:$C,"&lt;"&amp;DATE(2026,10,1),Report!$AA:$AA,"SIM")</f>
        <v>0</v>
      </c>
      <c r="F29" s="17" t="n">
        <f aca="false">SUMIFS(Report!$U:$U,Report!$T:$T,$A29,Report!$C:$C,"&gt;="&amp;DATE(2026,10,1),Report!$C:$C,"&lt;"&amp;DATE(2026,11,1),Report!$AA:$AA,"SIM")</f>
        <v>0</v>
      </c>
      <c r="G29" s="17" t="n">
        <f aca="false">SUM(B29:F29)</f>
        <v>370.44</v>
      </c>
    </row>
    <row r="30" customFormat="false" ht="12.75" hidden="false" customHeight="true" outlineLevel="0" collapsed="false">
      <c r="A30" s="1" t="s">
        <v>187</v>
      </c>
      <c r="B30" s="17" t="n">
        <f aca="false">SUMIFS(Report!$U:$U,Report!$T:$T,$A30,Report!$C:$C,"&gt;="&amp;DATE(2026,6,1),Report!$C:$C,"&lt;"&amp;DATE(2026,7,1),Report!$AA:$AA,"SIM")</f>
        <v>192.92</v>
      </c>
      <c r="C30" s="17" t="n">
        <f aca="false">SUMIFS(Report!$U:$U,Report!$T:$T,$A30,Report!$C:$C,"&gt;="&amp;DATE(2026,7,1),Report!$C:$C,"&lt;"&amp;DATE(2026,8,1),Report!$AA:$AA,"SIM")</f>
        <v>4038.11</v>
      </c>
      <c r="D30" s="17" t="n">
        <f aca="false">SUMIFS(Report!$U:$U,Report!$T:$T,$A30,Report!$C:$C,"&gt;="&amp;DATE(2026,8,1),Report!$C:$C,"&lt;"&amp;DATE(2026,9,1),Report!$AA:$AA,"SIM")</f>
        <v>4095.27</v>
      </c>
      <c r="E30" s="17" t="n">
        <f aca="false">SUMIFS(Report!$U:$U,Report!$T:$T,$A30,Report!$C:$C,"&gt;="&amp;DATE(2026,9,1),Report!$C:$C,"&lt;"&amp;DATE(2026,10,1),Report!$AA:$AA,"SIM")</f>
        <v>0</v>
      </c>
      <c r="F30" s="17" t="n">
        <f aca="false">SUMIFS(Report!$U:$U,Report!$T:$T,$A30,Report!$C:$C,"&gt;="&amp;DATE(2026,10,1),Report!$C:$C,"&lt;"&amp;DATE(2026,11,1),Report!$AA:$AA,"SIM")</f>
        <v>0</v>
      </c>
      <c r="G30" s="17" t="n">
        <f aca="false">SUM(B30:F30)</f>
        <v>8326.3</v>
      </c>
    </row>
    <row r="31" customFormat="false" ht="12.75" hidden="false" customHeight="true" outlineLevel="0" collapsed="false">
      <c r="A31" s="1" t="s">
        <v>1661</v>
      </c>
      <c r="B31" s="17" t="n">
        <f aca="false">SUMIFS(Report!$U:$U,Report!$T:$T,$A31,Report!$C:$C,"&gt;="&amp;DATE(2026,6,1),Report!$C:$C,"&lt;"&amp;DATE(2026,7,1),Report!$AA:$AA,"SIM")</f>
        <v>0</v>
      </c>
      <c r="C31" s="17" t="n">
        <f aca="false">SUMIFS(Report!$U:$U,Report!$T:$T,$A31,Report!$C:$C,"&gt;="&amp;DATE(2026,7,1),Report!$C:$C,"&lt;"&amp;DATE(2026,8,1),Report!$AA:$AA,"SIM")</f>
        <v>0</v>
      </c>
      <c r="D31" s="17" t="n">
        <f aca="false">SUMIFS(Report!$U:$U,Report!$T:$T,$A31,Report!$C:$C,"&gt;="&amp;DATE(2026,8,1),Report!$C:$C,"&lt;"&amp;DATE(2026,9,1),Report!$AA:$AA,"SIM")</f>
        <v>2000</v>
      </c>
      <c r="E31" s="17" t="n">
        <f aca="false">SUMIFS(Report!$U:$U,Report!$T:$T,$A31,Report!$C:$C,"&gt;="&amp;DATE(2026,9,1),Report!$C:$C,"&lt;"&amp;DATE(2026,10,1),Report!$AA:$AA,"SIM")</f>
        <v>3000</v>
      </c>
      <c r="F31" s="17" t="n">
        <f aca="false">SUMIFS(Report!$U:$U,Report!$T:$T,$A31,Report!$C:$C,"&gt;="&amp;DATE(2026,10,1),Report!$C:$C,"&lt;"&amp;DATE(2026,11,1),Report!$AA:$AA,"SIM")</f>
        <v>0</v>
      </c>
      <c r="G31" s="17" t="n">
        <f aca="false">SUM(B31:F31)</f>
        <v>5000</v>
      </c>
    </row>
    <row r="32" customFormat="false" ht="12.75" hidden="false" customHeight="true" outlineLevel="0" collapsed="false">
      <c r="A32" s="1" t="s">
        <v>615</v>
      </c>
      <c r="B32" s="17" t="n">
        <f aca="false">SUMIFS(Report!$U:$U,Report!$T:$T,$A32,Report!$C:$C,"&gt;="&amp;DATE(2026,6,1),Report!$C:$C,"&lt;"&amp;DATE(2026,7,1),Report!$AA:$AA,"SIM")</f>
        <v>47.99</v>
      </c>
      <c r="C32" s="17" t="n">
        <f aca="false">SUMIFS(Report!$U:$U,Report!$T:$T,$A32,Report!$C:$C,"&gt;="&amp;DATE(2026,7,1),Report!$C:$C,"&lt;"&amp;DATE(2026,8,1),Report!$AA:$AA,"SIM")</f>
        <v>47.99</v>
      </c>
      <c r="D32" s="17" t="n">
        <f aca="false">SUMIFS(Report!$U:$U,Report!$T:$T,$A32,Report!$C:$C,"&gt;="&amp;DATE(2026,8,1),Report!$C:$C,"&lt;"&amp;DATE(2026,9,1),Report!$AA:$AA,"SIM")</f>
        <v>47.99</v>
      </c>
      <c r="E32" s="17" t="n">
        <f aca="false">SUMIFS(Report!$U:$U,Report!$T:$T,$A32,Report!$C:$C,"&gt;="&amp;DATE(2026,9,1),Report!$C:$C,"&lt;"&amp;DATE(2026,10,1),Report!$AA:$AA,"SIM")</f>
        <v>47.99</v>
      </c>
      <c r="F32" s="17" t="n">
        <f aca="false">SUMIFS(Report!$U:$U,Report!$T:$T,$A32,Report!$C:$C,"&gt;="&amp;DATE(2026,10,1),Report!$C:$C,"&lt;"&amp;DATE(2026,11,1),Report!$AA:$AA,"SIM")</f>
        <v>0</v>
      </c>
      <c r="G32" s="17" t="n">
        <f aca="false">SUM(B32:F32)</f>
        <v>191.96</v>
      </c>
    </row>
    <row r="33" customFormat="false" ht="12.75" hidden="false" customHeight="true" outlineLevel="0" collapsed="false">
      <c r="A33" s="1" t="s">
        <v>664</v>
      </c>
      <c r="B33" s="17" t="n">
        <f aca="false">SUMIFS(Report!$U:$U,Report!$T:$T,$A33,Report!$C:$C,"&gt;="&amp;DATE(2026,6,1),Report!$C:$C,"&lt;"&amp;DATE(2026,7,1),Report!$AA:$AA,"SIM")</f>
        <v>299.9</v>
      </c>
      <c r="C33" s="17" t="n">
        <f aca="false">SUMIFS(Report!$U:$U,Report!$T:$T,$A33,Report!$C:$C,"&gt;="&amp;DATE(2026,7,1),Report!$C:$C,"&lt;"&amp;DATE(2026,8,1),Report!$AA:$AA,"SIM")</f>
        <v>299.9</v>
      </c>
      <c r="D33" s="17" t="n">
        <f aca="false">SUMIFS(Report!$U:$U,Report!$T:$T,$A33,Report!$C:$C,"&gt;="&amp;DATE(2026,8,1),Report!$C:$C,"&lt;"&amp;DATE(2026,9,1),Report!$AA:$AA,"SIM")</f>
        <v>299.9</v>
      </c>
      <c r="E33" s="17" t="n">
        <f aca="false">SUMIFS(Report!$U:$U,Report!$T:$T,$A33,Report!$C:$C,"&gt;="&amp;DATE(2026,9,1),Report!$C:$C,"&lt;"&amp;DATE(2026,10,1),Report!$AA:$AA,"SIM")</f>
        <v>299.9</v>
      </c>
      <c r="F33" s="17" t="n">
        <f aca="false">SUMIFS(Report!$U:$U,Report!$T:$T,$A33,Report!$C:$C,"&gt;="&amp;DATE(2026,10,1),Report!$C:$C,"&lt;"&amp;DATE(2026,11,1),Report!$AA:$AA,"SIM")</f>
        <v>0</v>
      </c>
      <c r="G33" s="17" t="n">
        <f aca="false">SUM(B33:F33)</f>
        <v>1199.6</v>
      </c>
    </row>
    <row r="34" customFormat="false" ht="12.75" hidden="false" customHeight="true" outlineLevel="0" collapsed="false">
      <c r="A34" s="1" t="s">
        <v>657</v>
      </c>
      <c r="B34" s="17" t="n">
        <f aca="false">SUMIFS(Report!$U:$U,Report!$T:$T,$A34,Report!$C:$C,"&gt;="&amp;DATE(2026,6,1),Report!$C:$C,"&lt;"&amp;DATE(2026,7,1),Report!$AA:$AA,"SIM")</f>
        <v>79.73</v>
      </c>
      <c r="C34" s="17" t="n">
        <f aca="false">SUMIFS(Report!$U:$U,Report!$T:$T,$A34,Report!$C:$C,"&gt;="&amp;DATE(2026,7,1),Report!$C:$C,"&lt;"&amp;DATE(2026,8,1),Report!$AA:$AA,"SIM")</f>
        <v>0</v>
      </c>
      <c r="D34" s="17" t="n">
        <f aca="false">SUMIFS(Report!$U:$U,Report!$T:$T,$A34,Report!$C:$C,"&gt;="&amp;DATE(2026,8,1),Report!$C:$C,"&lt;"&amp;DATE(2026,9,1),Report!$AA:$AA,"SIM")</f>
        <v>74.36</v>
      </c>
      <c r="E34" s="17" t="n">
        <f aca="false">SUMIFS(Report!$U:$U,Report!$T:$T,$A34,Report!$C:$C,"&gt;="&amp;DATE(2026,9,1),Report!$C:$C,"&lt;"&amp;DATE(2026,10,1),Report!$AA:$AA,"SIM")</f>
        <v>0</v>
      </c>
      <c r="F34" s="17" t="n">
        <f aca="false">SUMIFS(Report!$U:$U,Report!$T:$T,$A34,Report!$C:$C,"&gt;="&amp;DATE(2026,10,1),Report!$C:$C,"&lt;"&amp;DATE(2026,11,1),Report!$AA:$AA,"SIM")</f>
        <v>0</v>
      </c>
      <c r="G34" s="17" t="n">
        <f aca="false">SUM(B34:F34)</f>
        <v>154.09</v>
      </c>
    </row>
    <row r="35" customFormat="false" ht="12.75" hidden="false" customHeight="true" outlineLevel="0" collapsed="false">
      <c r="A35" s="1" t="s">
        <v>1274</v>
      </c>
      <c r="B35" s="17" t="n">
        <f aca="false">SUMIFS(Report!$U:$U,Report!$T:$T,$A35,Report!$C:$C,"&gt;="&amp;DATE(2026,6,1),Report!$C:$C,"&lt;"&amp;DATE(2026,7,1),Report!$AA:$AA,"SIM")</f>
        <v>0</v>
      </c>
      <c r="C35" s="17" t="n">
        <f aca="false">SUMIFS(Report!$U:$U,Report!$T:$T,$A35,Report!$C:$C,"&gt;="&amp;DATE(2026,7,1),Report!$C:$C,"&lt;"&amp;DATE(2026,8,1),Report!$AA:$AA,"SIM")</f>
        <v>125</v>
      </c>
      <c r="D35" s="17" t="n">
        <f aca="false">SUMIFS(Report!$U:$U,Report!$T:$T,$A35,Report!$C:$C,"&gt;="&amp;DATE(2026,8,1),Report!$C:$C,"&lt;"&amp;DATE(2026,9,1),Report!$AA:$AA,"SIM")</f>
        <v>125</v>
      </c>
      <c r="E35" s="17" t="n">
        <f aca="false">SUMIFS(Report!$U:$U,Report!$T:$T,$A35,Report!$C:$C,"&gt;="&amp;DATE(2026,9,1),Report!$C:$C,"&lt;"&amp;DATE(2026,10,1),Report!$AA:$AA,"SIM")</f>
        <v>0</v>
      </c>
      <c r="F35" s="17" t="n">
        <f aca="false">SUMIFS(Report!$U:$U,Report!$T:$T,$A35,Report!$C:$C,"&gt;="&amp;DATE(2026,10,1),Report!$C:$C,"&lt;"&amp;DATE(2026,11,1),Report!$AA:$AA,"SIM")</f>
        <v>0</v>
      </c>
      <c r="G35" s="17" t="n">
        <f aca="false">SUM(B35:F35)</f>
        <v>250</v>
      </c>
    </row>
    <row r="36" customFormat="false" ht="12.75" hidden="false" customHeight="true" outlineLevel="0" collapsed="false">
      <c r="A36" s="1" t="s">
        <v>47</v>
      </c>
      <c r="B36" s="17" t="n">
        <f aca="false">SUMIFS(Report!$U:$U,Report!$T:$T,$A36,Report!$C:$C,"&gt;="&amp;DATE(2026,6,1),Report!$C:$C,"&lt;"&amp;DATE(2026,7,1),Report!$AA:$AA,"SIM")</f>
        <v>434138.4</v>
      </c>
      <c r="C36" s="17" t="n">
        <f aca="false">SUMIFS(Report!$U:$U,Report!$T:$T,$A36,Report!$C:$C,"&gt;="&amp;DATE(2026,7,1),Report!$C:$C,"&lt;"&amp;DATE(2026,8,1),Report!$AA:$AA,"SIM")</f>
        <v>449494.32</v>
      </c>
      <c r="D36" s="17" t="n">
        <f aca="false">SUMIFS(Report!$U:$U,Report!$T:$T,$A36,Report!$C:$C,"&gt;="&amp;DATE(2026,8,1),Report!$C:$C,"&lt;"&amp;DATE(2026,9,1),Report!$AA:$AA,"SIM")</f>
        <v>365969.3</v>
      </c>
      <c r="E36" s="17" t="n">
        <f aca="false">SUMIFS(Report!$U:$U,Report!$T:$T,$A36,Report!$C:$C,"&gt;="&amp;DATE(2026,9,1),Report!$C:$C,"&lt;"&amp;DATE(2026,10,1),Report!$AA:$AA,"SIM")</f>
        <v>140979.66</v>
      </c>
      <c r="F36" s="17" t="n">
        <f aca="false">SUMIFS(Report!$U:$U,Report!$T:$T,$A36,Report!$C:$C,"&gt;="&amp;DATE(2026,10,1),Report!$C:$C,"&lt;"&amp;DATE(2026,11,1),Report!$AA:$AA,"SIM")</f>
        <v>7056.47</v>
      </c>
      <c r="G36" s="17" t="n">
        <f aca="false">SUM(B36:F36)</f>
        <v>1397638.15</v>
      </c>
    </row>
    <row r="37" customFormat="false" ht="12.75" hidden="false" customHeight="true" outlineLevel="0" collapsed="false">
      <c r="A37" s="1" t="s">
        <v>204</v>
      </c>
      <c r="B37" s="17" t="n">
        <f aca="false">SUMIFS(Report!$U:$U,Report!$T:$T,$A37,Report!$C:$C,"&gt;="&amp;DATE(2026,6,1),Report!$C:$C,"&lt;"&amp;DATE(2026,7,1),Report!$AA:$AA,"SIM")</f>
        <v>22720.27</v>
      </c>
      <c r="C37" s="17" t="n">
        <f aca="false">SUMIFS(Report!$U:$U,Report!$T:$T,$A37,Report!$C:$C,"&gt;="&amp;DATE(2026,7,1),Report!$C:$C,"&lt;"&amp;DATE(2026,8,1),Report!$AA:$AA,"SIM")</f>
        <v>16460.27</v>
      </c>
      <c r="D37" s="17" t="n">
        <f aca="false">SUMIFS(Report!$U:$U,Report!$T:$T,$A37,Report!$C:$C,"&gt;="&amp;DATE(2026,8,1),Report!$C:$C,"&lt;"&amp;DATE(2026,9,1),Report!$AA:$AA,"SIM")</f>
        <v>11689.98</v>
      </c>
      <c r="E37" s="17" t="n">
        <f aca="false">SUMIFS(Report!$U:$U,Report!$T:$T,$A37,Report!$C:$C,"&gt;="&amp;DATE(2026,9,1),Report!$C:$C,"&lt;"&amp;DATE(2026,10,1),Report!$AA:$AA,"SIM")</f>
        <v>2600</v>
      </c>
      <c r="F37" s="17" t="n">
        <f aca="false">SUMIFS(Report!$U:$U,Report!$T:$T,$A37,Report!$C:$C,"&gt;="&amp;DATE(2026,10,1),Report!$C:$C,"&lt;"&amp;DATE(2026,11,1),Report!$AA:$AA,"SIM")</f>
        <v>2600</v>
      </c>
      <c r="G37" s="17" t="n">
        <f aca="false">SUM(B37:F37)</f>
        <v>56070.52</v>
      </c>
    </row>
    <row r="38" customFormat="false" ht="12.75" hidden="false" customHeight="true" outlineLevel="0" collapsed="false">
      <c r="A38" s="1" t="s">
        <v>1310</v>
      </c>
      <c r="B38" s="17" t="n">
        <f aca="false">SUMIFS(Report!$U:$U,Report!$T:$T,$A38,Report!$C:$C,"&gt;="&amp;DATE(2026,6,1),Report!$C:$C,"&lt;"&amp;DATE(2026,7,1),Report!$AA:$AA,"SIM")</f>
        <v>0</v>
      </c>
      <c r="C38" s="17" t="n">
        <f aca="false">SUMIFS(Report!$U:$U,Report!$T:$T,$A38,Report!$C:$C,"&gt;="&amp;DATE(2026,7,1),Report!$C:$C,"&lt;"&amp;DATE(2026,8,1),Report!$AA:$AA,"SIM")</f>
        <v>515.73</v>
      </c>
      <c r="D38" s="17" t="n">
        <f aca="false">SUMIFS(Report!$U:$U,Report!$T:$T,$A38,Report!$C:$C,"&gt;="&amp;DATE(2026,8,1),Report!$C:$C,"&lt;"&amp;DATE(2026,9,1),Report!$AA:$AA,"SIM")</f>
        <v>0</v>
      </c>
      <c r="E38" s="17" t="n">
        <f aca="false">SUMIFS(Report!$U:$U,Report!$T:$T,$A38,Report!$C:$C,"&gt;="&amp;DATE(2026,9,1),Report!$C:$C,"&lt;"&amp;DATE(2026,10,1),Report!$AA:$AA,"SIM")</f>
        <v>0</v>
      </c>
      <c r="F38" s="17" t="n">
        <f aca="false">SUMIFS(Report!$U:$U,Report!$T:$T,$A38,Report!$C:$C,"&gt;="&amp;DATE(2026,10,1),Report!$C:$C,"&lt;"&amp;DATE(2026,11,1),Report!$AA:$AA,"SIM")</f>
        <v>0</v>
      </c>
      <c r="G38" s="17" t="n">
        <f aca="false">SUM(B38:F38)</f>
        <v>515.73</v>
      </c>
    </row>
    <row r="39" customFormat="false" ht="12.75" hidden="false" customHeight="true" outlineLevel="0" collapsed="false">
      <c r="A39" s="1" t="s">
        <v>1532</v>
      </c>
      <c r="B39" s="17" t="n">
        <f aca="false">SUMIFS(Report!$U:$U,Report!$T:$T,$A39,Report!$C:$C,"&gt;="&amp;DATE(2026,6,1),Report!$C:$C,"&lt;"&amp;DATE(2026,7,1),Report!$AA:$AA,"SIM")</f>
        <v>0</v>
      </c>
      <c r="C39" s="17" t="n">
        <f aca="false">SUMIFS(Report!$U:$U,Report!$T:$T,$A39,Report!$C:$C,"&gt;="&amp;DATE(2026,7,1),Report!$C:$C,"&lt;"&amp;DATE(2026,8,1),Report!$AA:$AA,"SIM")</f>
        <v>0</v>
      </c>
      <c r="D39" s="17" t="n">
        <f aca="false">SUMIFS(Report!$U:$U,Report!$T:$T,$A39,Report!$C:$C,"&gt;="&amp;DATE(2026,8,1),Report!$C:$C,"&lt;"&amp;DATE(2026,9,1),Report!$AA:$AA,"SIM")</f>
        <v>125000</v>
      </c>
      <c r="E39" s="17" t="n">
        <f aca="false">SUMIFS(Report!$U:$U,Report!$T:$T,$A39,Report!$C:$C,"&gt;="&amp;DATE(2026,9,1),Report!$C:$C,"&lt;"&amp;DATE(2026,10,1),Report!$AA:$AA,"SIM")</f>
        <v>225000</v>
      </c>
      <c r="F39" s="17" t="n">
        <f aca="false">SUMIFS(Report!$U:$U,Report!$T:$T,$A39,Report!$C:$C,"&gt;="&amp;DATE(2026,10,1),Report!$C:$C,"&lt;"&amp;DATE(2026,11,1),Report!$AA:$AA,"SIM")</f>
        <v>125000</v>
      </c>
      <c r="G39" s="17" t="n">
        <f aca="false">SUM(B39:F39)</f>
        <v>475000</v>
      </c>
    </row>
    <row r="40" customFormat="false" ht="12.75" hidden="false" customHeight="true" outlineLevel="0" collapsed="false">
      <c r="A40" s="1" t="s">
        <v>530</v>
      </c>
      <c r="B40" s="17" t="n">
        <f aca="false">SUMIFS(Report!$U:$U,Report!$T:$T,$A40,Report!$C:$C,"&gt;="&amp;DATE(2026,6,1),Report!$C:$C,"&lt;"&amp;DATE(2026,7,1),Report!$AA:$AA,"SIM")</f>
        <v>219.64</v>
      </c>
      <c r="C40" s="17" t="n">
        <f aca="false">SUMIFS(Report!$U:$U,Report!$T:$T,$A40,Report!$C:$C,"&gt;="&amp;DATE(2026,7,1),Report!$C:$C,"&lt;"&amp;DATE(2026,8,1),Report!$AA:$AA,"SIM")</f>
        <v>224.99</v>
      </c>
      <c r="D40" s="17" t="n">
        <f aca="false">SUMIFS(Report!$U:$U,Report!$T:$T,$A40,Report!$C:$C,"&gt;="&amp;DATE(2026,8,1),Report!$C:$C,"&lt;"&amp;DATE(2026,9,1),Report!$AA:$AA,"SIM")</f>
        <v>203.75</v>
      </c>
      <c r="E40" s="17" t="n">
        <f aca="false">SUMIFS(Report!$U:$U,Report!$T:$T,$A40,Report!$C:$C,"&gt;="&amp;DATE(2026,9,1),Report!$C:$C,"&lt;"&amp;DATE(2026,10,1),Report!$AA:$AA,"SIM")</f>
        <v>224.99</v>
      </c>
      <c r="F40" s="17" t="n">
        <f aca="false">SUMIFS(Report!$U:$U,Report!$T:$T,$A40,Report!$C:$C,"&gt;="&amp;DATE(2026,10,1),Report!$C:$C,"&lt;"&amp;DATE(2026,11,1),Report!$AA:$AA,"SIM")</f>
        <v>0</v>
      </c>
      <c r="G40" s="17" t="n">
        <f aca="false">SUM(B40:F40)</f>
        <v>873.37</v>
      </c>
    </row>
    <row r="41" customFormat="false" ht="12.75" hidden="false" customHeight="true" outlineLevel="0" collapsed="false">
      <c r="A41" s="1" t="s">
        <v>742</v>
      </c>
      <c r="B41" s="17" t="n">
        <f aca="false">SUMIFS(Report!$U:$U,Report!$T:$T,$A41,Report!$C:$C,"&gt;="&amp;DATE(2026,6,1),Report!$C:$C,"&lt;"&amp;DATE(2026,7,1),Report!$AA:$AA,"SIM")</f>
        <v>512.62</v>
      </c>
      <c r="C41" s="17" t="n">
        <f aca="false">SUMIFS(Report!$U:$U,Report!$T:$T,$A41,Report!$C:$C,"&gt;="&amp;DATE(2026,7,1),Report!$C:$C,"&lt;"&amp;DATE(2026,8,1),Report!$AA:$AA,"SIM")</f>
        <v>0</v>
      </c>
      <c r="D41" s="17" t="n">
        <f aca="false">SUMIFS(Report!$U:$U,Report!$T:$T,$A41,Report!$C:$C,"&gt;="&amp;DATE(2026,8,1),Report!$C:$C,"&lt;"&amp;DATE(2026,9,1),Report!$AA:$AA,"SIM")</f>
        <v>0</v>
      </c>
      <c r="E41" s="17" t="n">
        <f aca="false">SUMIFS(Report!$U:$U,Report!$T:$T,$A41,Report!$C:$C,"&gt;="&amp;DATE(2026,9,1),Report!$C:$C,"&lt;"&amp;DATE(2026,10,1),Report!$AA:$AA,"SIM")</f>
        <v>0</v>
      </c>
      <c r="F41" s="17" t="n">
        <f aca="false">SUMIFS(Report!$U:$U,Report!$T:$T,$A41,Report!$C:$C,"&gt;="&amp;DATE(2026,10,1),Report!$C:$C,"&lt;"&amp;DATE(2026,11,1),Report!$AA:$AA,"SIM")</f>
        <v>0</v>
      </c>
      <c r="G41" s="17" t="n">
        <f aca="false">SUM(B41:F41)</f>
        <v>512.62</v>
      </c>
    </row>
    <row r="42" customFormat="false" ht="12.75" hidden="false" customHeight="true" outlineLevel="0" collapsed="false">
      <c r="A42" s="1" t="s">
        <v>1212</v>
      </c>
      <c r="B42" s="17" t="n">
        <f aca="false">SUMIFS(Report!$U:$U,Report!$T:$T,$A42,Report!$C:$C,"&gt;="&amp;DATE(2026,6,1),Report!$C:$C,"&lt;"&amp;DATE(2026,7,1),Report!$AA:$AA,"SIM")</f>
        <v>0</v>
      </c>
      <c r="C42" s="17" t="n">
        <f aca="false">SUMIFS(Report!$U:$U,Report!$T:$T,$A42,Report!$C:$C,"&gt;="&amp;DATE(2026,7,1),Report!$C:$C,"&lt;"&amp;DATE(2026,8,1),Report!$AA:$AA,"SIM")</f>
        <v>1026.66</v>
      </c>
      <c r="D42" s="17" t="n">
        <f aca="false">SUMIFS(Report!$U:$U,Report!$T:$T,$A42,Report!$C:$C,"&gt;="&amp;DATE(2026,8,1),Report!$C:$C,"&lt;"&amp;DATE(2026,9,1),Report!$AA:$AA,"SIM")</f>
        <v>0</v>
      </c>
      <c r="E42" s="17" t="n">
        <f aca="false">SUMIFS(Report!$U:$U,Report!$T:$T,$A42,Report!$C:$C,"&gt;="&amp;DATE(2026,9,1),Report!$C:$C,"&lt;"&amp;DATE(2026,10,1),Report!$AA:$AA,"SIM")</f>
        <v>0</v>
      </c>
      <c r="F42" s="17" t="n">
        <f aca="false">SUMIFS(Report!$U:$U,Report!$T:$T,$A42,Report!$C:$C,"&gt;="&amp;DATE(2026,10,1),Report!$C:$C,"&lt;"&amp;DATE(2026,11,1),Report!$AA:$AA,"SIM")</f>
        <v>0</v>
      </c>
      <c r="G42" s="17" t="n">
        <f aca="false">SUM(B42:F42)</f>
        <v>1026.66</v>
      </c>
    </row>
    <row r="43" customFormat="false" ht="12.75" hidden="false" customHeight="true" outlineLevel="0" collapsed="false">
      <c r="A43" s="1" t="s">
        <v>230</v>
      </c>
      <c r="B43" s="17" t="n">
        <f aca="false">SUMIFS(Report!$U:$U,Report!$T:$T,$A43,Report!$C:$C,"&gt;="&amp;DATE(2026,6,1),Report!$C:$C,"&lt;"&amp;DATE(2026,7,1),Report!$AA:$AA,"SIM")</f>
        <v>21727.13</v>
      </c>
      <c r="C43" s="17" t="n">
        <f aca="false">SUMIFS(Report!$U:$U,Report!$T:$T,$A43,Report!$C:$C,"&gt;="&amp;DATE(2026,7,1),Report!$C:$C,"&lt;"&amp;DATE(2026,8,1),Report!$AA:$AA,"SIM")</f>
        <v>24627.47</v>
      </c>
      <c r="D43" s="17" t="n">
        <f aca="false">SUMIFS(Report!$U:$U,Report!$T:$T,$A43,Report!$C:$C,"&gt;="&amp;DATE(2026,8,1),Report!$C:$C,"&lt;"&amp;DATE(2026,9,1),Report!$AA:$AA,"SIM")</f>
        <v>18617.16</v>
      </c>
      <c r="E43" s="17" t="n">
        <f aca="false">SUMIFS(Report!$U:$U,Report!$T:$T,$A43,Report!$C:$C,"&gt;="&amp;DATE(2026,9,1),Report!$C:$C,"&lt;"&amp;DATE(2026,10,1),Report!$AA:$AA,"SIM")</f>
        <v>329.09</v>
      </c>
      <c r="F43" s="17" t="n">
        <f aca="false">SUMIFS(Report!$U:$U,Report!$T:$T,$A43,Report!$C:$C,"&gt;="&amp;DATE(2026,10,1),Report!$C:$C,"&lt;"&amp;DATE(2026,11,1),Report!$AA:$AA,"SIM")</f>
        <v>329.09</v>
      </c>
      <c r="G43" s="17" t="n">
        <f aca="false">SUM(B43:F43)</f>
        <v>65629.94</v>
      </c>
    </row>
    <row r="44" customFormat="false" ht="12.75" hidden="false" customHeight="true" outlineLevel="0" collapsed="false">
      <c r="A44" s="1" t="s">
        <v>216</v>
      </c>
      <c r="B44" s="17" t="n">
        <f aca="false">SUMIFS(Report!$U:$U,Report!$T:$T,$A44,Report!$C:$C,"&gt;="&amp;DATE(2026,6,1),Report!$C:$C,"&lt;"&amp;DATE(2026,7,1),Report!$AA:$AA,"SIM")</f>
        <v>286</v>
      </c>
      <c r="C44" s="17" t="n">
        <f aca="false">SUMIFS(Report!$U:$U,Report!$T:$T,$A44,Report!$C:$C,"&gt;="&amp;DATE(2026,7,1),Report!$C:$C,"&lt;"&amp;DATE(2026,8,1),Report!$AA:$AA,"SIM")</f>
        <v>286</v>
      </c>
      <c r="D44" s="17" t="n">
        <f aca="false">SUMIFS(Report!$U:$U,Report!$T:$T,$A44,Report!$C:$C,"&gt;="&amp;DATE(2026,8,1),Report!$C:$C,"&lt;"&amp;DATE(2026,9,1),Report!$AA:$AA,"SIM")</f>
        <v>286</v>
      </c>
      <c r="E44" s="17" t="n">
        <f aca="false">SUMIFS(Report!$U:$U,Report!$T:$T,$A44,Report!$C:$C,"&gt;="&amp;DATE(2026,9,1),Report!$C:$C,"&lt;"&amp;DATE(2026,10,1),Report!$AA:$AA,"SIM")</f>
        <v>286</v>
      </c>
      <c r="F44" s="17" t="n">
        <f aca="false">SUMIFS(Report!$U:$U,Report!$T:$T,$A44,Report!$C:$C,"&gt;="&amp;DATE(2026,10,1),Report!$C:$C,"&lt;"&amp;DATE(2026,11,1),Report!$AA:$AA,"SIM")</f>
        <v>286</v>
      </c>
      <c r="G44" s="17" t="n">
        <f aca="false">SUM(B44:F44)</f>
        <v>1430</v>
      </c>
    </row>
    <row r="45" customFormat="false" ht="12.75" hidden="false" customHeight="true" outlineLevel="0" collapsed="false">
      <c r="A45" s="1" t="s">
        <v>39</v>
      </c>
      <c r="B45" s="17" t="n">
        <f aca="false">SUMIFS(Report!$U:$U,Report!$T:$T,$A45,Report!$C:$C,"&gt;="&amp;DATE(2026,6,1),Report!$C:$C,"&lt;"&amp;DATE(2026,7,1),Report!$AA:$AA,"SIM")</f>
        <v>1660.47</v>
      </c>
      <c r="C45" s="17" t="n">
        <f aca="false">SUMIFS(Report!$U:$U,Report!$T:$T,$A45,Report!$C:$C,"&gt;="&amp;DATE(2026,7,1),Report!$C:$C,"&lt;"&amp;DATE(2026,8,1),Report!$AA:$AA,"SIM")</f>
        <v>853.1</v>
      </c>
      <c r="D45" s="17" t="n">
        <f aca="false">SUMIFS(Report!$U:$U,Report!$T:$T,$A45,Report!$C:$C,"&gt;="&amp;DATE(2026,8,1),Report!$C:$C,"&lt;"&amp;DATE(2026,9,1),Report!$AA:$AA,"SIM")</f>
        <v>853.1</v>
      </c>
      <c r="E45" s="17" t="n">
        <f aca="false">SUMIFS(Report!$U:$U,Report!$T:$T,$A45,Report!$C:$C,"&gt;="&amp;DATE(2026,9,1),Report!$C:$C,"&lt;"&amp;DATE(2026,10,1),Report!$AA:$AA,"SIM")</f>
        <v>853.1</v>
      </c>
      <c r="F45" s="17" t="n">
        <f aca="false">SUMIFS(Report!$U:$U,Report!$T:$T,$A45,Report!$C:$C,"&gt;="&amp;DATE(2026,10,1),Report!$C:$C,"&lt;"&amp;DATE(2026,11,1),Report!$AA:$AA,"SIM")</f>
        <v>853.1</v>
      </c>
      <c r="G45" s="17" t="n">
        <f aca="false">SUM(B45:F45)</f>
        <v>5072.87</v>
      </c>
    </row>
    <row r="46" customFormat="false" ht="12.75" hidden="false" customHeight="true" outlineLevel="0" collapsed="false">
      <c r="A46" s="1" t="s">
        <v>566</v>
      </c>
      <c r="B46" s="17" t="n">
        <f aca="false">SUMIFS(Report!$U:$U,Report!$T:$T,$A46,Report!$C:$C,"&gt;="&amp;DATE(2026,6,1),Report!$C:$C,"&lt;"&amp;DATE(2026,7,1),Report!$AA:$AA,"SIM")</f>
        <v>2657.81</v>
      </c>
      <c r="C46" s="17" t="n">
        <f aca="false">SUMIFS(Report!$U:$U,Report!$T:$T,$A46,Report!$C:$C,"&gt;="&amp;DATE(2026,7,1),Report!$C:$C,"&lt;"&amp;DATE(2026,8,1),Report!$AA:$AA,"SIM")</f>
        <v>2788.38</v>
      </c>
      <c r="D46" s="17" t="n">
        <f aca="false">SUMIFS(Report!$U:$U,Report!$T:$T,$A46,Report!$C:$C,"&gt;="&amp;DATE(2026,8,1),Report!$C:$C,"&lt;"&amp;DATE(2026,9,1),Report!$AA:$AA,"SIM")</f>
        <v>2045.22</v>
      </c>
      <c r="E46" s="17" t="n">
        <f aca="false">SUMIFS(Report!$U:$U,Report!$T:$T,$A46,Report!$C:$C,"&gt;="&amp;DATE(2026,9,1),Report!$C:$C,"&lt;"&amp;DATE(2026,10,1),Report!$AA:$AA,"SIM")</f>
        <v>0</v>
      </c>
      <c r="F46" s="17" t="n">
        <f aca="false">SUMIFS(Report!$U:$U,Report!$T:$T,$A46,Report!$C:$C,"&gt;="&amp;DATE(2026,10,1),Report!$C:$C,"&lt;"&amp;DATE(2026,11,1),Report!$AA:$AA,"SIM")</f>
        <v>0</v>
      </c>
      <c r="G46" s="17" t="n">
        <f aca="false">SUM(B46:F46)</f>
        <v>7491.41</v>
      </c>
    </row>
    <row r="47" customFormat="false" ht="12.75" hidden="false" customHeight="true" outlineLevel="0" collapsed="false">
      <c r="A47" s="1" t="s">
        <v>110</v>
      </c>
      <c r="B47" s="17" t="n">
        <f aca="false">SUMIFS(Report!$U:$U,Report!$T:$T,$A47,Report!$C:$C,"&gt;="&amp;DATE(2026,6,1),Report!$C:$C,"&lt;"&amp;DATE(2026,7,1),Report!$AA:$AA,"SIM")</f>
        <v>3391.77</v>
      </c>
      <c r="C47" s="17" t="n">
        <f aca="false">SUMIFS(Report!$U:$U,Report!$T:$T,$A47,Report!$C:$C,"&gt;="&amp;DATE(2026,7,1),Report!$C:$C,"&lt;"&amp;DATE(2026,8,1),Report!$AA:$AA,"SIM")</f>
        <v>8032.34</v>
      </c>
      <c r="D47" s="17" t="n">
        <f aca="false">SUMIFS(Report!$U:$U,Report!$T:$T,$A47,Report!$C:$C,"&gt;="&amp;DATE(2026,8,1),Report!$C:$C,"&lt;"&amp;DATE(2026,9,1),Report!$AA:$AA,"SIM")</f>
        <v>7365.74</v>
      </c>
      <c r="E47" s="17" t="n">
        <f aca="false">SUMIFS(Report!$U:$U,Report!$T:$T,$A47,Report!$C:$C,"&gt;="&amp;DATE(2026,9,1),Report!$C:$C,"&lt;"&amp;DATE(2026,10,1),Report!$AA:$AA,"SIM")</f>
        <v>0</v>
      </c>
      <c r="F47" s="17" t="n">
        <f aca="false">SUMIFS(Report!$U:$U,Report!$T:$T,$A47,Report!$C:$C,"&gt;="&amp;DATE(2026,10,1),Report!$C:$C,"&lt;"&amp;DATE(2026,11,1),Report!$AA:$AA,"SIM")</f>
        <v>0</v>
      </c>
      <c r="G47" s="17" t="n">
        <f aca="false">SUM(B47:F47)</f>
        <v>18789.85</v>
      </c>
    </row>
    <row r="48" customFormat="false" ht="12.75" hidden="false" customHeight="true" outlineLevel="0" collapsed="false">
      <c r="A48" s="1" t="s">
        <v>486</v>
      </c>
      <c r="B48" s="17" t="n">
        <f aca="false">SUMIFS(Report!$U:$U,Report!$T:$T,$A48,Report!$C:$C,"&gt;="&amp;DATE(2026,6,1),Report!$C:$C,"&lt;"&amp;DATE(2026,7,1),Report!$AA:$AA,"SIM")</f>
        <v>18.75</v>
      </c>
      <c r="C48" s="17" t="n">
        <f aca="false">SUMIFS(Report!$U:$U,Report!$T:$T,$A48,Report!$C:$C,"&gt;="&amp;DATE(2026,7,1),Report!$C:$C,"&lt;"&amp;DATE(2026,8,1),Report!$AA:$AA,"SIM")</f>
        <v>0</v>
      </c>
      <c r="D48" s="17" t="n">
        <f aca="false">SUMIFS(Report!$U:$U,Report!$T:$T,$A48,Report!$C:$C,"&gt;="&amp;DATE(2026,8,1),Report!$C:$C,"&lt;"&amp;DATE(2026,9,1),Report!$AA:$AA,"SIM")</f>
        <v>0</v>
      </c>
      <c r="E48" s="17" t="n">
        <f aca="false">SUMIFS(Report!$U:$U,Report!$T:$T,$A48,Report!$C:$C,"&gt;="&amp;DATE(2026,9,1),Report!$C:$C,"&lt;"&amp;DATE(2026,10,1),Report!$AA:$AA,"SIM")</f>
        <v>0</v>
      </c>
      <c r="F48" s="17" t="n">
        <f aca="false">SUMIFS(Report!$U:$U,Report!$T:$T,$A48,Report!$C:$C,"&gt;="&amp;DATE(2026,10,1),Report!$C:$C,"&lt;"&amp;DATE(2026,11,1),Report!$AA:$AA,"SIM")</f>
        <v>0</v>
      </c>
      <c r="G48" s="17" t="n">
        <f aca="false">SUM(B48:F48)</f>
        <v>18.75</v>
      </c>
    </row>
    <row r="49" customFormat="false" ht="12.75" hidden="false" customHeight="true" outlineLevel="0" collapsed="false">
      <c r="A49" s="1" t="s">
        <v>443</v>
      </c>
      <c r="B49" s="17" t="n">
        <f aca="false">SUMIFS(Report!$U:$U,Report!$T:$T,$A49,Report!$C:$C,"&gt;="&amp;DATE(2026,6,1),Report!$C:$C,"&lt;"&amp;DATE(2026,7,1),Report!$AA:$AA,"SIM")</f>
        <v>177.65</v>
      </c>
      <c r="C49" s="17" t="n">
        <f aca="false">SUMIFS(Report!$U:$U,Report!$T:$T,$A49,Report!$C:$C,"&gt;="&amp;DATE(2026,7,1),Report!$C:$C,"&lt;"&amp;DATE(2026,8,1),Report!$AA:$AA,"SIM")</f>
        <v>0</v>
      </c>
      <c r="D49" s="17" t="n">
        <f aca="false">SUMIFS(Report!$U:$U,Report!$T:$T,$A49,Report!$C:$C,"&gt;="&amp;DATE(2026,8,1),Report!$C:$C,"&lt;"&amp;DATE(2026,9,1),Report!$AA:$AA,"SIM")</f>
        <v>0</v>
      </c>
      <c r="E49" s="17" t="n">
        <f aca="false">SUMIFS(Report!$U:$U,Report!$T:$T,$A49,Report!$C:$C,"&gt;="&amp;DATE(2026,9,1),Report!$C:$C,"&lt;"&amp;DATE(2026,10,1),Report!$AA:$AA,"SIM")</f>
        <v>0</v>
      </c>
      <c r="F49" s="17" t="n">
        <f aca="false">SUMIFS(Report!$U:$U,Report!$T:$T,$A49,Report!$C:$C,"&gt;="&amp;DATE(2026,10,1),Report!$C:$C,"&lt;"&amp;DATE(2026,11,1),Report!$AA:$AA,"SIM")</f>
        <v>0</v>
      </c>
      <c r="G49" s="17" t="n">
        <f aca="false">SUM(B49:F49)</f>
        <v>177.65</v>
      </c>
    </row>
    <row r="50" customFormat="false" ht="13.5" hidden="false" customHeight="true" outlineLevel="0" collapsed="false">
      <c r="A50" s="1" t="s">
        <v>1094</v>
      </c>
      <c r="B50" s="17" t="n">
        <f aca="false">SUMIFS(Report!$U:$U,Report!$T:$T,$A50,Report!$C:$C,"&gt;="&amp;DATE(2026,6,1),Report!$C:$C,"&lt;"&amp;DATE(2026,7,1),Report!$AA:$AA,"SIM")</f>
        <v>0</v>
      </c>
      <c r="C50" s="17" t="n">
        <f aca="false">SUMIFS(Report!$U:$U,Report!$T:$T,$A50,Report!$C:$C,"&gt;="&amp;DATE(2026,7,1),Report!$C:$C,"&lt;"&amp;DATE(2026,8,1),Report!$AA:$AA,"SIM")</f>
        <v>666.67</v>
      </c>
      <c r="D50" s="17" t="n">
        <f aca="false">SUMIFS(Report!$U:$U,Report!$T:$T,$A50,Report!$C:$C,"&gt;="&amp;DATE(2026,8,1),Report!$C:$C,"&lt;"&amp;DATE(2026,9,1),Report!$AA:$AA,"SIM")</f>
        <v>1333.33</v>
      </c>
      <c r="E50" s="17" t="n">
        <f aca="false">SUMIFS(Report!$U:$U,Report!$T:$T,$A50,Report!$C:$C,"&gt;="&amp;DATE(2026,9,1),Report!$C:$C,"&lt;"&amp;DATE(2026,10,1),Report!$AA:$AA,"SIM")</f>
        <v>666.67</v>
      </c>
      <c r="F50" s="17" t="n">
        <f aca="false">SUMIFS(Report!$U:$U,Report!$T:$T,$A50,Report!$C:$C,"&gt;="&amp;DATE(2026,10,1),Report!$C:$C,"&lt;"&amp;DATE(2026,11,1),Report!$AA:$AA,"SIM")</f>
        <v>666.67</v>
      </c>
      <c r="G50" s="17" t="n">
        <f aca="false">SUM(B50:F50)</f>
        <v>3333.34</v>
      </c>
    </row>
    <row r="51" customFormat="false" ht="13.5" hidden="false" customHeight="true" outlineLevel="0" collapsed="false">
      <c r="A51" s="1" t="s">
        <v>103</v>
      </c>
      <c r="B51" s="17" t="n">
        <f aca="false">SUMIFS(Report!$U:$U,Report!$T:$T,$A51,Report!$C:$C,"&gt;="&amp;DATE(2026,6,1),Report!$C:$C,"&lt;"&amp;DATE(2026,7,1),Report!$AA:$AA,"SIM")</f>
        <v>1470</v>
      </c>
      <c r="C51" s="17" t="n">
        <f aca="false">SUMIFS(Report!$U:$U,Report!$T:$T,$A51,Report!$C:$C,"&gt;="&amp;DATE(2026,7,1),Report!$C:$C,"&lt;"&amp;DATE(2026,8,1),Report!$AA:$AA,"SIM")</f>
        <v>2150</v>
      </c>
      <c r="D51" s="17" t="n">
        <f aca="false">SUMIFS(Report!$U:$U,Report!$T:$T,$A51,Report!$C:$C,"&gt;="&amp;DATE(2026,8,1),Report!$C:$C,"&lt;"&amp;DATE(2026,9,1),Report!$AA:$AA,"SIM")</f>
        <v>1020</v>
      </c>
      <c r="E51" s="17" t="n">
        <f aca="false">SUMIFS(Report!$U:$U,Report!$T:$T,$A51,Report!$C:$C,"&gt;="&amp;DATE(2026,9,1),Report!$C:$C,"&lt;"&amp;DATE(2026,10,1),Report!$AA:$AA,"SIM")</f>
        <v>0</v>
      </c>
      <c r="F51" s="17" t="n">
        <f aca="false">SUMIFS(Report!$U:$U,Report!$T:$T,$A51,Report!$C:$C,"&gt;="&amp;DATE(2026,10,1),Report!$C:$C,"&lt;"&amp;DATE(2026,11,1),Report!$AA:$AA,"SIM")</f>
        <v>0</v>
      </c>
      <c r="G51" s="17" t="n">
        <f aca="false">SUM(B51:F51)</f>
        <v>4640</v>
      </c>
    </row>
    <row r="52" customFormat="false" ht="12.75" hidden="false" customHeight="true" outlineLevel="0" collapsed="false">
      <c r="A52" s="1" t="s">
        <v>2071</v>
      </c>
      <c r="B52" s="26" t="n">
        <f aca="false">SUM(B2:B51)</f>
        <v>550253.58</v>
      </c>
      <c r="C52" s="26" t="n">
        <f aca="false">SUM(C2:C51)</f>
        <v>604222.63</v>
      </c>
      <c r="D52" s="26" t="n">
        <f aca="false">SUM(D2:D51)</f>
        <v>604717.16</v>
      </c>
      <c r="E52" s="26" t="n">
        <f aca="false">SUM(E2:E51)</f>
        <v>420123.69</v>
      </c>
      <c r="F52" s="26" t="n">
        <f aca="false">SUM(F2:F51)</f>
        <v>173010.69</v>
      </c>
      <c r="G52" s="26" t="n">
        <f aca="false">SUM(G2:G51)</f>
        <v>2352327.75</v>
      </c>
    </row>
    <row r="53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7" t="s">
        <v>2084</v>
      </c>
      <c r="B1" s="28" t="n">
        <f aca="false">SUMIFS(Report!$U:$U,Report!$T:$T,"&lt;&gt;"&amp;"MERCADORIAS P/REVENDA",Report!$AA:$AA,"SIM",Report!$C:$C,"&gt;="&amp;DATE(2026,1,1),Report!$C:$C,"&lt;="&amp;DATE(2027,12,31))</f>
        <v>954689.6</v>
      </c>
      <c r="C1" s="28" t="n">
        <f aca="false">SUMIFS(Report!$U:$U,Report!$T:$T,"MERCADORIAS P/REVENDA",Report!$AA:$AA,"SIM",Report!$C:$C,"&gt;="&amp;DATE(2026,1,1),Report!$C:$C,"&lt;="&amp;DATE(2027,12,31))</f>
        <v>1397638.15</v>
      </c>
      <c r="D1" s="29" t="s">
        <v>2085</v>
      </c>
      <c r="E1" s="28" t="n">
        <f aca="false">SUMIFS(Report!$U:$U,Report!$AA:$AA,"NAO",Report!$C:$C,"&gt;="&amp;DATE(2026,1,1),Report!$C:$C,"&lt;="&amp;DATE(2027,12,31))</f>
        <v>0</v>
      </c>
      <c r="F1" s="28" t="n">
        <f aca="false">B1+C1</f>
        <v>2352327.75</v>
      </c>
      <c r="I1" s="17"/>
    </row>
    <row r="2" customFormat="false" ht="12.75" hidden="false" customHeight="true" outlineLevel="0" collapsed="false">
      <c r="A2" s="18" t="s">
        <v>2086</v>
      </c>
      <c r="B2" s="20" t="s">
        <v>2044</v>
      </c>
      <c r="C2" s="20" t="s">
        <v>2045</v>
      </c>
      <c r="D2" s="29" t="s">
        <v>2087</v>
      </c>
      <c r="E2" s="28" t="n">
        <f aca="false">F1+E1</f>
        <v>2352327.75</v>
      </c>
      <c r="F2" s="20" t="s">
        <v>2088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0" t="n">
        <v>46025</v>
      </c>
      <c r="B5" s="31" t="n">
        <f aca="false">SUMIFS(Report!$U:$U,Report!$T:$T,"&lt;&gt;"&amp;"MERCADORIAS P/REVENDA",Report!$AA:$AA,"SIM",Report!$C:$C,A5)</f>
        <v>0</v>
      </c>
      <c r="C5" s="31" t="n">
        <f aca="false">SUMIFS(Report!$U:$U,Report!$T:$T,"MERCADORIAS P/REVENDA",Report!$AA:$AA,"SIM",Report!$C:$C,A5)</f>
        <v>0</v>
      </c>
      <c r="D5" s="32"/>
      <c r="E5" s="32"/>
      <c r="F5" s="31" t="n">
        <f aca="false">B5+C5</f>
        <v>0</v>
      </c>
    </row>
    <row r="6" customFormat="false" ht="12.75" hidden="false" customHeight="true" outlineLevel="0" collapsed="false">
      <c r="A6" s="30" t="n">
        <v>46026</v>
      </c>
      <c r="B6" s="31" t="n">
        <f aca="false">SUMIFS(Report!$U:$U,Report!$T:$T,"&lt;&gt;"&amp;"MERCADORIAS P/REVENDA",Report!$AA:$AA,"SIM",Report!$C:$C,A6)</f>
        <v>0</v>
      </c>
      <c r="C6" s="31" t="n">
        <f aca="false">SUMIFS(Report!$U:$U,Report!$T:$T,"MERCADORIAS P/REVENDA",Report!$AA:$AA,"SIM",Report!$C:$C,A6)</f>
        <v>0</v>
      </c>
      <c r="D6" s="32"/>
      <c r="E6" s="32"/>
      <c r="F6" s="31" t="n">
        <f aca="false">B6+C6</f>
        <v>0</v>
      </c>
    </row>
    <row r="7" customFormat="false" ht="12.75" hidden="false" customHeight="true" outlineLevel="0" collapsed="false">
      <c r="A7" s="30" t="n">
        <v>46027</v>
      </c>
      <c r="B7" s="31" t="n">
        <f aca="false">SUMIFS(Report!$U:$U,Report!$T:$T,"&lt;&gt;"&amp;"MERCADORIAS P/REVENDA",Report!$AA:$AA,"SIM",Report!$C:$C,A7)</f>
        <v>0</v>
      </c>
      <c r="C7" s="31" t="n">
        <f aca="false">SUMIFS(Report!$U:$U,Report!$T:$T,"MERCADORIAS P/REVENDA",Report!$AA:$AA,"SIM",Report!$C:$C,A7)</f>
        <v>0</v>
      </c>
      <c r="D7" s="32"/>
      <c r="E7" s="32"/>
      <c r="F7" s="31" t="n">
        <f aca="false">B7+C7</f>
        <v>0</v>
      </c>
    </row>
    <row r="8" customFormat="false" ht="12.75" hidden="false" customHeight="true" outlineLevel="0" collapsed="false">
      <c r="A8" s="33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34"/>
      <c r="E8" s="34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0" t="n">
        <v>46032</v>
      </c>
      <c r="B13" s="31" t="n">
        <f aca="false">SUMIFS(Report!$U:$U,Report!$T:$T,"&lt;&gt;"&amp;"MERCADORIAS P/REVENDA",Report!$AA:$AA,"SIM",Report!$C:$C,A13)</f>
        <v>0</v>
      </c>
      <c r="C13" s="31" t="n">
        <f aca="false">SUMIFS(Report!$U:$U,Report!$T:$T,"MERCADORIAS P/REVENDA",Report!$AA:$AA,"SIM",Report!$C:$C,A13)</f>
        <v>0</v>
      </c>
      <c r="D13" s="32"/>
      <c r="E13" s="32"/>
      <c r="F13" s="31" t="n">
        <f aca="false">B13+C13</f>
        <v>0</v>
      </c>
    </row>
    <row r="14" customFormat="false" ht="12.75" hidden="false" customHeight="true" outlineLevel="0" collapsed="false">
      <c r="A14" s="30" t="n">
        <v>46033</v>
      </c>
      <c r="B14" s="31" t="n">
        <f aca="false">SUMIFS(Report!$U:$U,Report!$T:$T,"&lt;&gt;"&amp;"MERCADORIAS P/REVENDA",Report!$AA:$AA,"SIM",Report!$C:$C,A14)</f>
        <v>0</v>
      </c>
      <c r="C14" s="31" t="n">
        <f aca="false">SUMIFS(Report!$U:$U,Report!$T:$T,"MERCADORIAS P/REVENDA",Report!$AA:$AA,"SIM",Report!$C:$C,A14)</f>
        <v>0</v>
      </c>
      <c r="D14" s="32"/>
      <c r="E14" s="32"/>
      <c r="F14" s="31" t="n">
        <f aca="false">B14+C14</f>
        <v>0</v>
      </c>
    </row>
    <row r="15" customFormat="false" ht="12.75" hidden="false" customHeight="true" outlineLevel="0" collapsed="false">
      <c r="A15" s="30" t="n">
        <v>46034</v>
      </c>
      <c r="B15" s="31" t="n">
        <f aca="false">SUMIFS(Report!$U:$U,Report!$T:$T,"&lt;&gt;"&amp;"MERCADORIAS P/REVENDA",Report!$AA:$AA,"SIM",Report!$C:$C,A15)</f>
        <v>0</v>
      </c>
      <c r="C15" s="31" t="n">
        <f aca="false">SUMIFS(Report!$U:$U,Report!$T:$T,"MERCADORIAS P/REVENDA",Report!$AA:$AA,"SIM",Report!$C:$C,A15)</f>
        <v>0</v>
      </c>
      <c r="D15" s="32"/>
      <c r="E15" s="32"/>
      <c r="F15" s="31" t="n">
        <f aca="false">B15+C15</f>
        <v>0</v>
      </c>
    </row>
    <row r="16" customFormat="false" ht="12.75" hidden="false" customHeight="true" outlineLevel="0" collapsed="false">
      <c r="A16" s="33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34"/>
      <c r="E16" s="34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0" t="n">
        <v>46039</v>
      </c>
      <c r="B21" s="31" t="n">
        <f aca="false">SUMIFS(Report!$U:$U,Report!$T:$T,"&lt;&gt;"&amp;"MERCADORIAS P/REVENDA",Report!$AA:$AA,"SIM",Report!$C:$C,A21)</f>
        <v>0</v>
      </c>
      <c r="C21" s="31" t="n">
        <f aca="false">SUMIFS(Report!$U:$U,Report!$T:$T,"MERCADORIAS P/REVENDA",Report!$AA:$AA,"SIM",Report!$C:$C,A21)</f>
        <v>0</v>
      </c>
      <c r="D21" s="32"/>
      <c r="E21" s="32"/>
      <c r="F21" s="31" t="n">
        <f aca="false">B21+C21</f>
        <v>0</v>
      </c>
    </row>
    <row r="22" customFormat="false" ht="12.75" hidden="false" customHeight="true" outlineLevel="0" collapsed="false">
      <c r="A22" s="30" t="n">
        <v>46040</v>
      </c>
      <c r="B22" s="31" t="n">
        <f aca="false">SUMIFS(Report!$U:$U,Report!$T:$T,"&lt;&gt;"&amp;"MERCADORIAS P/REVENDA",Report!$AA:$AA,"SIM",Report!$C:$C,A22)</f>
        <v>0</v>
      </c>
      <c r="C22" s="31" t="n">
        <f aca="false">SUMIFS(Report!$U:$U,Report!$T:$T,"MERCADORIAS P/REVENDA",Report!$AA:$AA,"SIM",Report!$C:$C,A22)</f>
        <v>0</v>
      </c>
      <c r="D22" s="32"/>
      <c r="E22" s="32"/>
      <c r="F22" s="31" t="n">
        <f aca="false">B22+C22</f>
        <v>0</v>
      </c>
    </row>
    <row r="23" customFormat="false" ht="12.75" hidden="false" customHeight="true" outlineLevel="0" collapsed="false">
      <c r="A23" s="30" t="n">
        <v>46041</v>
      </c>
      <c r="B23" s="31" t="n">
        <f aca="false">SUMIFS(Report!$U:$U,Report!$T:$T,"&lt;&gt;"&amp;"MERCADORIAS P/REVENDA",Report!$AA:$AA,"SIM",Report!$C:$C,A23)</f>
        <v>0</v>
      </c>
      <c r="C23" s="31" t="n">
        <f aca="false">SUMIFS(Report!$U:$U,Report!$T:$T,"MERCADORIAS P/REVENDA",Report!$AA:$AA,"SIM",Report!$C:$C,A23)</f>
        <v>0</v>
      </c>
      <c r="D23" s="32"/>
      <c r="E23" s="32"/>
      <c r="F23" s="31" t="n">
        <f aca="false">B23+C23</f>
        <v>0</v>
      </c>
    </row>
    <row r="24" customFormat="false" ht="12.75" hidden="false" customHeight="true" outlineLevel="0" collapsed="false">
      <c r="A24" s="33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34"/>
      <c r="E24" s="34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0" t="n">
        <v>46046</v>
      </c>
      <c r="B29" s="31" t="n">
        <f aca="false">SUMIFS(Report!$U:$U,Report!$T:$T,"&lt;&gt;"&amp;"MERCADORIAS P/REVENDA",Report!$AA:$AA,"SIM",Report!$C:$C,A29)</f>
        <v>0</v>
      </c>
      <c r="C29" s="31" t="n">
        <f aca="false">SUMIFS(Report!$U:$U,Report!$T:$T,"MERCADORIAS P/REVENDA",Report!$AA:$AA,"SIM",Report!$C:$C,A29)</f>
        <v>0</v>
      </c>
      <c r="D29" s="32"/>
      <c r="E29" s="32"/>
      <c r="F29" s="31" t="n">
        <f aca="false">B29+C29</f>
        <v>0</v>
      </c>
    </row>
    <row r="30" customFormat="false" ht="12.75" hidden="false" customHeight="true" outlineLevel="0" collapsed="false">
      <c r="A30" s="30" t="n">
        <v>46047</v>
      </c>
      <c r="B30" s="31" t="n">
        <f aca="false">SUMIFS(Report!$U:$U,Report!$T:$T,"&lt;&gt;"&amp;"MERCADORIAS P/REVENDA",Report!$AA:$AA,"SIM",Report!$C:$C,A30)</f>
        <v>0</v>
      </c>
      <c r="C30" s="31" t="n">
        <f aca="false">SUMIFS(Report!$U:$U,Report!$T:$T,"MERCADORIAS P/REVENDA",Report!$AA:$AA,"SIM",Report!$C:$C,A30)</f>
        <v>0</v>
      </c>
      <c r="D30" s="32"/>
      <c r="E30" s="32"/>
      <c r="F30" s="31" t="n">
        <f aca="false">B30+C30</f>
        <v>0</v>
      </c>
    </row>
    <row r="31" customFormat="false" ht="12.75" hidden="false" customHeight="true" outlineLevel="0" collapsed="false">
      <c r="A31" s="30" t="n">
        <v>46048</v>
      </c>
      <c r="B31" s="31" t="n">
        <f aca="false">SUMIFS(Report!$U:$U,Report!$T:$T,"&lt;&gt;"&amp;"MERCADORIAS P/REVENDA",Report!$AA:$AA,"SIM",Report!$C:$C,A31)</f>
        <v>0</v>
      </c>
      <c r="C31" s="31" t="n">
        <f aca="false">SUMIFS(Report!$U:$U,Report!$T:$T,"MERCADORIAS P/REVENDA",Report!$AA:$AA,"SIM",Report!$C:$C,A31)</f>
        <v>0</v>
      </c>
      <c r="D31" s="32"/>
      <c r="E31" s="32"/>
      <c r="F31" s="31" t="n">
        <f aca="false">B31+C31</f>
        <v>0</v>
      </c>
    </row>
    <row r="32" customFormat="false" ht="12.75" hidden="false" customHeight="true" outlineLevel="0" collapsed="false">
      <c r="A32" s="33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34"/>
      <c r="E32" s="34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0" t="n">
        <v>46053</v>
      </c>
      <c r="B37" s="31" t="n">
        <f aca="false">SUMIFS(Report!$U:$U,Report!$T:$T,"&lt;&gt;"&amp;"MERCADORIAS P/REVENDA",Report!$AA:$AA,"SIM",Report!$C:$C,A37)</f>
        <v>0</v>
      </c>
      <c r="C37" s="31" t="n">
        <f aca="false">SUMIFS(Report!$U:$U,Report!$T:$T,"MERCADORIAS P/REVENDA",Report!$AA:$AA,"SIM",Report!$C:$C,A37)</f>
        <v>0</v>
      </c>
      <c r="D37" s="32"/>
      <c r="E37" s="32"/>
      <c r="F37" s="31" t="n">
        <f aca="false">B37+C37</f>
        <v>0</v>
      </c>
    </row>
    <row r="38" customFormat="false" ht="12.75" hidden="false" customHeight="true" outlineLevel="0" collapsed="false">
      <c r="A38" s="30" t="n">
        <v>46054</v>
      </c>
      <c r="B38" s="31" t="n">
        <f aca="false">SUMIFS(Report!$U:$U,Report!$T:$T,"&lt;&gt;"&amp;"MERCADORIAS P/REVENDA",Report!$AA:$AA,"SIM",Report!$C:$C,A38)</f>
        <v>0</v>
      </c>
      <c r="C38" s="31" t="n">
        <f aca="false">SUMIFS(Report!$U:$U,Report!$T:$T,"MERCADORIAS P/REVENDA",Report!$AA:$AA,"SIM",Report!$C:$C,A38)</f>
        <v>0</v>
      </c>
      <c r="D38" s="32"/>
      <c r="E38" s="32"/>
      <c r="F38" s="31" t="n">
        <f aca="false">B38+C38</f>
        <v>0</v>
      </c>
    </row>
    <row r="39" customFormat="false" ht="12.75" hidden="false" customHeight="true" outlineLevel="0" collapsed="false">
      <c r="A39" s="30" t="n">
        <v>46055</v>
      </c>
      <c r="B39" s="31" t="n">
        <f aca="false">SUMIFS(Report!$U:$U,Report!$T:$T,"&lt;&gt;"&amp;"MERCADORIAS P/REVENDA",Report!$AA:$AA,"SIM",Report!$C:$C,A39)</f>
        <v>0</v>
      </c>
      <c r="C39" s="31" t="n">
        <f aca="false">SUMIFS(Report!$U:$U,Report!$T:$T,"MERCADORIAS P/REVENDA",Report!$AA:$AA,"SIM",Report!$C:$C,A39)</f>
        <v>0</v>
      </c>
      <c r="D39" s="32"/>
      <c r="E39" s="32"/>
      <c r="F39" s="31" t="n">
        <f aca="false">B39+C39</f>
        <v>0</v>
      </c>
    </row>
    <row r="40" customFormat="false" ht="12.75" hidden="false" customHeight="true" outlineLevel="0" collapsed="false">
      <c r="A40" s="33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34"/>
      <c r="E40" s="34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0" t="n">
        <v>46060</v>
      </c>
      <c r="B45" s="31" t="n">
        <f aca="false">SUMIFS(Report!$U:$U,Report!$T:$T,"&lt;&gt;"&amp;"MERCADORIAS P/REVENDA",Report!$AA:$AA,"SIM",Report!$C:$C,A45)</f>
        <v>0</v>
      </c>
      <c r="C45" s="31" t="n">
        <f aca="false">SUMIFS(Report!$U:$U,Report!$T:$T,"MERCADORIAS P/REVENDA",Report!$AA:$AA,"SIM",Report!$C:$C,A45)</f>
        <v>0</v>
      </c>
      <c r="D45" s="32"/>
      <c r="E45" s="32"/>
      <c r="F45" s="31" t="n">
        <f aca="false">B45+C45</f>
        <v>0</v>
      </c>
    </row>
    <row r="46" customFormat="false" ht="12.75" hidden="false" customHeight="true" outlineLevel="0" collapsed="false">
      <c r="A46" s="30" t="n">
        <v>46061</v>
      </c>
      <c r="B46" s="31" t="n">
        <f aca="false">SUMIFS(Report!$U:$U,Report!$T:$T,"&lt;&gt;"&amp;"MERCADORIAS P/REVENDA",Report!$AA:$AA,"SIM",Report!$C:$C,A46)</f>
        <v>0</v>
      </c>
      <c r="C46" s="31" t="n">
        <f aca="false">SUMIFS(Report!$U:$U,Report!$T:$T,"MERCADORIAS P/REVENDA",Report!$AA:$AA,"SIM",Report!$C:$C,A46)</f>
        <v>0</v>
      </c>
      <c r="D46" s="32"/>
      <c r="E46" s="32"/>
      <c r="F46" s="31" t="n">
        <f aca="false">B46+C46</f>
        <v>0</v>
      </c>
    </row>
    <row r="47" customFormat="false" ht="12.75" hidden="false" customHeight="true" outlineLevel="0" collapsed="false">
      <c r="A47" s="30" t="n">
        <v>46062</v>
      </c>
      <c r="B47" s="31" t="n">
        <f aca="false">SUMIFS(Report!$U:$U,Report!$T:$T,"&lt;&gt;"&amp;"MERCADORIAS P/REVENDA",Report!$AA:$AA,"SIM",Report!$C:$C,A47)</f>
        <v>0</v>
      </c>
      <c r="C47" s="31" t="n">
        <f aca="false">SUMIFS(Report!$U:$U,Report!$T:$T,"MERCADORIAS P/REVENDA",Report!$AA:$AA,"SIM",Report!$C:$C,A47)</f>
        <v>0</v>
      </c>
      <c r="D47" s="32"/>
      <c r="E47" s="32"/>
      <c r="F47" s="31" t="n">
        <f aca="false">B47+C47</f>
        <v>0</v>
      </c>
    </row>
    <row r="48" customFormat="false" ht="12.75" hidden="false" customHeight="true" outlineLevel="0" collapsed="false">
      <c r="A48" s="33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34"/>
      <c r="E48" s="34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0" t="n">
        <v>46067</v>
      </c>
      <c r="B53" s="31" t="n">
        <f aca="false">SUMIFS(Report!$U:$U,Report!$T:$T,"&lt;&gt;"&amp;"MERCADORIAS P/REVENDA",Report!$AA:$AA,"SIM",Report!$C:$C,A53)</f>
        <v>0</v>
      </c>
      <c r="C53" s="31" t="n">
        <f aca="false">SUMIFS(Report!$U:$U,Report!$T:$T,"MERCADORIAS P/REVENDA",Report!$AA:$AA,"SIM",Report!$C:$C,A53)</f>
        <v>0</v>
      </c>
      <c r="D53" s="32"/>
      <c r="E53" s="32"/>
      <c r="F53" s="31" t="n">
        <f aca="false">B53+C53</f>
        <v>0</v>
      </c>
    </row>
    <row r="54" customFormat="false" ht="12.75" hidden="false" customHeight="true" outlineLevel="0" collapsed="false">
      <c r="A54" s="30" t="n">
        <v>46068</v>
      </c>
      <c r="B54" s="31" t="n">
        <f aca="false">SUMIFS(Report!$U:$U,Report!$T:$T,"&lt;&gt;"&amp;"MERCADORIAS P/REVENDA",Report!$AA:$AA,"SIM",Report!$C:$C,A54)</f>
        <v>0</v>
      </c>
      <c r="C54" s="31" t="n">
        <f aca="false">SUMIFS(Report!$U:$U,Report!$T:$T,"MERCADORIAS P/REVENDA",Report!$AA:$AA,"SIM",Report!$C:$C,A54)</f>
        <v>0</v>
      </c>
      <c r="D54" s="32"/>
      <c r="E54" s="32"/>
      <c r="F54" s="31" t="n">
        <f aca="false">B54+C54</f>
        <v>0</v>
      </c>
    </row>
    <row r="55" customFormat="false" ht="12.75" hidden="false" customHeight="true" outlineLevel="0" collapsed="false">
      <c r="A55" s="30" t="n">
        <v>46069</v>
      </c>
      <c r="B55" s="31" t="n">
        <f aca="false">SUMIFS(Report!$U:$U,Report!$T:$T,"&lt;&gt;"&amp;"MERCADORIAS P/REVENDA",Report!$AA:$AA,"SIM",Report!$C:$C,A55)</f>
        <v>0</v>
      </c>
      <c r="C55" s="31" t="n">
        <f aca="false">SUMIFS(Report!$U:$U,Report!$T:$T,"MERCADORIAS P/REVENDA",Report!$AA:$AA,"SIM",Report!$C:$C,A55)</f>
        <v>0</v>
      </c>
      <c r="D55" s="32"/>
      <c r="E55" s="32"/>
      <c r="F55" s="31" t="n">
        <f aca="false">B55+C55</f>
        <v>0</v>
      </c>
    </row>
    <row r="56" customFormat="false" ht="12.75" hidden="false" customHeight="true" outlineLevel="0" collapsed="false">
      <c r="A56" s="33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34"/>
      <c r="E56" s="34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0" t="n">
        <v>46074</v>
      </c>
      <c r="B61" s="31" t="n">
        <f aca="false">SUMIFS(Report!$U:$U,Report!$T:$T,"&lt;&gt;"&amp;"MERCADORIAS P/REVENDA",Report!$AA:$AA,"SIM",Report!$C:$C,A61)</f>
        <v>0</v>
      </c>
      <c r="C61" s="31" t="n">
        <f aca="false">SUMIFS(Report!$U:$U,Report!$T:$T,"MERCADORIAS P/REVENDA",Report!$AA:$AA,"SIM",Report!$C:$C,A61)</f>
        <v>0</v>
      </c>
      <c r="D61" s="32"/>
      <c r="E61" s="32"/>
      <c r="F61" s="31" t="n">
        <f aca="false">B61+C61</f>
        <v>0</v>
      </c>
    </row>
    <row r="62" customFormat="false" ht="12.75" hidden="false" customHeight="true" outlineLevel="0" collapsed="false">
      <c r="A62" s="30" t="n">
        <v>46075</v>
      </c>
      <c r="B62" s="31" t="n">
        <f aca="false">SUMIFS(Report!$U:$U,Report!$T:$T,"&lt;&gt;"&amp;"MERCADORIAS P/REVENDA",Report!$AA:$AA,"SIM",Report!$C:$C,A62)</f>
        <v>0</v>
      </c>
      <c r="C62" s="31" t="n">
        <f aca="false">SUMIFS(Report!$U:$U,Report!$T:$T,"MERCADORIAS P/REVENDA",Report!$AA:$AA,"SIM",Report!$C:$C,A62)</f>
        <v>0</v>
      </c>
      <c r="D62" s="32"/>
      <c r="E62" s="32"/>
      <c r="F62" s="31" t="n">
        <f aca="false">B62+C62</f>
        <v>0</v>
      </c>
    </row>
    <row r="63" customFormat="false" ht="12.75" hidden="false" customHeight="true" outlineLevel="0" collapsed="false">
      <c r="A63" s="30" t="n">
        <v>46076</v>
      </c>
      <c r="B63" s="31" t="n">
        <f aca="false">SUMIFS(Report!$U:$U,Report!$T:$T,"&lt;&gt;"&amp;"MERCADORIAS P/REVENDA",Report!$AA:$AA,"SIM",Report!$C:$C,A63)</f>
        <v>0</v>
      </c>
      <c r="C63" s="31" t="n">
        <f aca="false">SUMIFS(Report!$U:$U,Report!$T:$T,"MERCADORIAS P/REVENDA",Report!$AA:$AA,"SIM",Report!$C:$C,A63)</f>
        <v>0</v>
      </c>
      <c r="D63" s="32"/>
      <c r="E63" s="32"/>
      <c r="F63" s="31" t="n">
        <f aca="false">B63+C63</f>
        <v>0</v>
      </c>
    </row>
    <row r="64" customFormat="false" ht="12.75" hidden="false" customHeight="true" outlineLevel="0" collapsed="false">
      <c r="A64" s="33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34"/>
      <c r="E64" s="34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0" t="n">
        <v>46081</v>
      </c>
      <c r="B69" s="31" t="n">
        <f aca="false">SUMIFS(Report!$U:$U,Report!$T:$T,"&lt;&gt;"&amp;"MERCADORIAS P/REVENDA",Report!$AA:$AA,"SIM",Report!$C:$C,A69)</f>
        <v>0</v>
      </c>
      <c r="C69" s="31" t="n">
        <f aca="false">SUMIFS(Report!$U:$U,Report!$T:$T,"MERCADORIAS P/REVENDA",Report!$AA:$AA,"SIM",Report!$C:$C,A69)</f>
        <v>0</v>
      </c>
      <c r="D69" s="32"/>
      <c r="E69" s="32"/>
      <c r="F69" s="31" t="n">
        <f aca="false">B69+C69</f>
        <v>0</v>
      </c>
    </row>
    <row r="70" customFormat="false" ht="12.75" hidden="false" customHeight="true" outlineLevel="0" collapsed="false">
      <c r="A70" s="30" t="n">
        <v>46082</v>
      </c>
      <c r="B70" s="31" t="n">
        <f aca="false">SUMIFS(Report!$U:$U,Report!$T:$T,"&lt;&gt;"&amp;"MERCADORIAS P/REVENDA",Report!$AA:$AA,"SIM",Report!$C:$C,A70)</f>
        <v>0</v>
      </c>
      <c r="C70" s="31" t="n">
        <f aca="false">SUMIFS(Report!$U:$U,Report!$T:$T,"MERCADORIAS P/REVENDA",Report!$AA:$AA,"SIM",Report!$C:$C,A70)</f>
        <v>0</v>
      </c>
      <c r="D70" s="32"/>
      <c r="E70" s="32"/>
      <c r="F70" s="31" t="n">
        <f aca="false">B70+C70</f>
        <v>0</v>
      </c>
    </row>
    <row r="71" customFormat="false" ht="12.75" hidden="false" customHeight="true" outlineLevel="0" collapsed="false">
      <c r="A71" s="30" t="n">
        <v>46083</v>
      </c>
      <c r="B71" s="31" t="n">
        <f aca="false">SUMIFS(Report!$U:$U,Report!$T:$T,"&lt;&gt;"&amp;"MERCADORIAS P/REVENDA",Report!$AA:$AA,"SIM",Report!$C:$C,A71)</f>
        <v>0</v>
      </c>
      <c r="C71" s="31" t="n">
        <f aca="false">SUMIFS(Report!$U:$U,Report!$T:$T,"MERCADORIAS P/REVENDA",Report!$AA:$AA,"SIM",Report!$C:$C,A71)</f>
        <v>0</v>
      </c>
      <c r="D71" s="32"/>
      <c r="E71" s="32"/>
      <c r="F71" s="31" t="n">
        <f aca="false">B71+C71</f>
        <v>0</v>
      </c>
    </row>
    <row r="72" customFormat="false" ht="12.75" hidden="false" customHeight="true" outlineLevel="0" collapsed="false">
      <c r="A72" s="33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34"/>
      <c r="E72" s="34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0" t="n">
        <v>46088</v>
      </c>
      <c r="B77" s="31" t="n">
        <f aca="false">SUMIFS(Report!$U:$U,Report!$T:$T,"&lt;&gt;"&amp;"MERCADORIAS P/REVENDA",Report!$AA:$AA,"SIM",Report!$C:$C,A77)</f>
        <v>0</v>
      </c>
      <c r="C77" s="31" t="n">
        <f aca="false">SUMIFS(Report!$U:$U,Report!$T:$T,"MERCADORIAS P/REVENDA",Report!$AA:$AA,"SIM",Report!$C:$C,A77)</f>
        <v>0</v>
      </c>
      <c r="D77" s="32"/>
      <c r="E77" s="32"/>
      <c r="F77" s="31" t="n">
        <f aca="false">B77+C77</f>
        <v>0</v>
      </c>
    </row>
    <row r="78" customFormat="false" ht="12.75" hidden="false" customHeight="true" outlineLevel="0" collapsed="false">
      <c r="A78" s="30" t="n">
        <v>46089</v>
      </c>
      <c r="B78" s="31" t="n">
        <f aca="false">SUMIFS(Report!$U:$U,Report!$T:$T,"&lt;&gt;"&amp;"MERCADORIAS P/REVENDA",Report!$AA:$AA,"SIM",Report!$C:$C,A78)</f>
        <v>0</v>
      </c>
      <c r="C78" s="31" t="n">
        <f aca="false">SUMIFS(Report!$U:$U,Report!$T:$T,"MERCADORIAS P/REVENDA",Report!$AA:$AA,"SIM",Report!$C:$C,A78)</f>
        <v>0</v>
      </c>
      <c r="D78" s="32"/>
      <c r="E78" s="32"/>
      <c r="F78" s="31" t="n">
        <f aca="false">B78+C78</f>
        <v>0</v>
      </c>
    </row>
    <row r="79" customFormat="false" ht="12.75" hidden="false" customHeight="true" outlineLevel="0" collapsed="false">
      <c r="A79" s="30" t="n">
        <v>46090</v>
      </c>
      <c r="B79" s="31" t="n">
        <f aca="false">SUMIFS(Report!$U:$U,Report!$T:$T,"&lt;&gt;"&amp;"MERCADORIAS P/REVENDA",Report!$AA:$AA,"SIM",Report!$C:$C,A79)</f>
        <v>0</v>
      </c>
      <c r="C79" s="31" t="n">
        <f aca="false">SUMIFS(Report!$U:$U,Report!$T:$T,"MERCADORIAS P/REVENDA",Report!$AA:$AA,"SIM",Report!$C:$C,A79)</f>
        <v>0</v>
      </c>
      <c r="D79" s="32"/>
      <c r="E79" s="32"/>
      <c r="F79" s="31" t="n">
        <f aca="false">B79+C79</f>
        <v>0</v>
      </c>
    </row>
    <row r="80" customFormat="false" ht="12.75" hidden="false" customHeight="true" outlineLevel="0" collapsed="false">
      <c r="A80" s="33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34"/>
      <c r="E80" s="34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0" t="n">
        <v>46095</v>
      </c>
      <c r="B85" s="31" t="n">
        <f aca="false">SUMIFS(Report!$U:$U,Report!$T:$T,"&lt;&gt;"&amp;"MERCADORIAS P/REVENDA",Report!$AA:$AA,"SIM",Report!$C:$C,A85)</f>
        <v>0</v>
      </c>
      <c r="C85" s="31" t="n">
        <f aca="false">SUMIFS(Report!$U:$U,Report!$T:$T,"MERCADORIAS P/REVENDA",Report!$AA:$AA,"SIM",Report!$C:$C,A85)</f>
        <v>0</v>
      </c>
      <c r="D85" s="32"/>
      <c r="E85" s="32"/>
      <c r="F85" s="31" t="n">
        <f aca="false">B85+C85</f>
        <v>0</v>
      </c>
    </row>
    <row r="86" customFormat="false" ht="12.75" hidden="false" customHeight="true" outlineLevel="0" collapsed="false">
      <c r="A86" s="30" t="n">
        <v>46096</v>
      </c>
      <c r="B86" s="31" t="n">
        <f aca="false">SUMIFS(Report!$U:$U,Report!$T:$T,"&lt;&gt;"&amp;"MERCADORIAS P/REVENDA",Report!$AA:$AA,"SIM",Report!$C:$C,A86)</f>
        <v>0</v>
      </c>
      <c r="C86" s="31" t="n">
        <f aca="false">SUMIFS(Report!$U:$U,Report!$T:$T,"MERCADORIAS P/REVENDA",Report!$AA:$AA,"SIM",Report!$C:$C,A86)</f>
        <v>0</v>
      </c>
      <c r="D86" s="32"/>
      <c r="E86" s="32"/>
      <c r="F86" s="31" t="n">
        <f aca="false">B86+C86</f>
        <v>0</v>
      </c>
    </row>
    <row r="87" customFormat="false" ht="12.75" hidden="false" customHeight="true" outlineLevel="0" collapsed="false">
      <c r="A87" s="30" t="n">
        <v>46097</v>
      </c>
      <c r="B87" s="31" t="n">
        <f aca="false">SUMIFS(Report!$U:$U,Report!$T:$T,"&lt;&gt;"&amp;"MERCADORIAS P/REVENDA",Report!$AA:$AA,"SIM",Report!$C:$C,A87)</f>
        <v>0</v>
      </c>
      <c r="C87" s="31" t="n">
        <f aca="false">SUMIFS(Report!$U:$U,Report!$T:$T,"MERCADORIAS P/REVENDA",Report!$AA:$AA,"SIM",Report!$C:$C,A87)</f>
        <v>0</v>
      </c>
      <c r="D87" s="32"/>
      <c r="E87" s="32"/>
      <c r="F87" s="31" t="n">
        <f aca="false">B87+C87</f>
        <v>0</v>
      </c>
    </row>
    <row r="88" customFormat="false" ht="12.75" hidden="false" customHeight="true" outlineLevel="0" collapsed="false">
      <c r="A88" s="33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34"/>
      <c r="E88" s="34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0" t="n">
        <v>46102</v>
      </c>
      <c r="B93" s="31" t="n">
        <f aca="false">SUMIFS(Report!$U:$U,Report!$T:$T,"&lt;&gt;"&amp;"MERCADORIAS P/REVENDA",Report!$AA:$AA,"SIM",Report!$C:$C,A93)</f>
        <v>0</v>
      </c>
      <c r="C93" s="31" t="n">
        <f aca="false">SUMIFS(Report!$U:$U,Report!$T:$T,"MERCADORIAS P/REVENDA",Report!$AA:$AA,"SIM",Report!$C:$C,A93)</f>
        <v>0</v>
      </c>
      <c r="D93" s="32"/>
      <c r="E93" s="32"/>
      <c r="F93" s="31" t="n">
        <f aca="false">B93+C93</f>
        <v>0</v>
      </c>
    </row>
    <row r="94" customFormat="false" ht="12.75" hidden="false" customHeight="true" outlineLevel="0" collapsed="false">
      <c r="A94" s="30" t="n">
        <v>46103</v>
      </c>
      <c r="B94" s="31" t="n">
        <f aca="false">SUMIFS(Report!$U:$U,Report!$T:$T,"&lt;&gt;"&amp;"MERCADORIAS P/REVENDA",Report!$AA:$AA,"SIM",Report!$C:$C,A94)</f>
        <v>0</v>
      </c>
      <c r="C94" s="31" t="n">
        <f aca="false">SUMIFS(Report!$U:$U,Report!$T:$T,"MERCADORIAS P/REVENDA",Report!$AA:$AA,"SIM",Report!$C:$C,A94)</f>
        <v>0</v>
      </c>
      <c r="D94" s="32"/>
      <c r="E94" s="32"/>
      <c r="F94" s="31" t="n">
        <f aca="false">B94+C94</f>
        <v>0</v>
      </c>
    </row>
    <row r="95" customFormat="false" ht="12.75" hidden="false" customHeight="true" outlineLevel="0" collapsed="false">
      <c r="A95" s="30" t="n">
        <v>46104</v>
      </c>
      <c r="B95" s="31" t="n">
        <f aca="false">SUMIFS(Report!$U:$U,Report!$T:$T,"&lt;&gt;"&amp;"MERCADORIAS P/REVENDA",Report!$AA:$AA,"SIM",Report!$C:$C,A95)</f>
        <v>0</v>
      </c>
      <c r="C95" s="31" t="n">
        <f aca="false">SUMIFS(Report!$U:$U,Report!$T:$T,"MERCADORIAS P/REVENDA",Report!$AA:$AA,"SIM",Report!$C:$C,A95)</f>
        <v>0</v>
      </c>
      <c r="D95" s="32"/>
      <c r="E95" s="32"/>
      <c r="F95" s="31" t="n">
        <f aca="false">B95+C95</f>
        <v>0</v>
      </c>
    </row>
    <row r="96" customFormat="false" ht="12.75" hidden="false" customHeight="true" outlineLevel="0" collapsed="false">
      <c r="A96" s="33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34"/>
      <c r="E96" s="34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0" t="n">
        <v>46109</v>
      </c>
      <c r="B101" s="31" t="n">
        <f aca="false">SUMIFS(Report!$U:$U,Report!$T:$T,"&lt;&gt;"&amp;"MERCADORIAS P/REVENDA",Report!$AA:$AA,"SIM",Report!$C:$C,A101)</f>
        <v>0</v>
      </c>
      <c r="C101" s="31" t="n">
        <f aca="false">SUMIFS(Report!$U:$U,Report!$T:$T,"MERCADORIAS P/REVENDA",Report!$AA:$AA,"SIM",Report!$C:$C,A101)</f>
        <v>0</v>
      </c>
      <c r="D101" s="32"/>
      <c r="E101" s="32"/>
      <c r="F101" s="31" t="n">
        <f aca="false">B101+C101</f>
        <v>0</v>
      </c>
    </row>
    <row r="102" customFormat="false" ht="12.75" hidden="false" customHeight="true" outlineLevel="0" collapsed="false">
      <c r="A102" s="30" t="n">
        <v>46110</v>
      </c>
      <c r="B102" s="31" t="n">
        <f aca="false">SUMIFS(Report!$U:$U,Report!$T:$T,"&lt;&gt;"&amp;"MERCADORIAS P/REVENDA",Report!$AA:$AA,"SIM",Report!$C:$C,A102)</f>
        <v>0</v>
      </c>
      <c r="C102" s="31" t="n">
        <f aca="false">SUMIFS(Report!$U:$U,Report!$T:$T,"MERCADORIAS P/REVENDA",Report!$AA:$AA,"SIM",Report!$C:$C,A102)</f>
        <v>0</v>
      </c>
      <c r="D102" s="32"/>
      <c r="E102" s="32"/>
      <c r="F102" s="31" t="n">
        <f aca="false">B102+C102</f>
        <v>0</v>
      </c>
    </row>
    <row r="103" customFormat="false" ht="12.75" hidden="false" customHeight="true" outlineLevel="0" collapsed="false">
      <c r="A103" s="30" t="n">
        <v>46111</v>
      </c>
      <c r="B103" s="31" t="n">
        <f aca="false">SUMIFS(Report!$U:$U,Report!$T:$T,"&lt;&gt;"&amp;"MERCADORIAS P/REVENDA",Report!$AA:$AA,"SIM",Report!$C:$C,A103)</f>
        <v>0</v>
      </c>
      <c r="C103" s="31" t="n">
        <f aca="false">SUMIFS(Report!$U:$U,Report!$T:$T,"MERCADORIAS P/REVENDA",Report!$AA:$AA,"SIM",Report!$C:$C,A103)</f>
        <v>0</v>
      </c>
      <c r="D103" s="32"/>
      <c r="E103" s="32"/>
      <c r="F103" s="31" t="n">
        <f aca="false">B103+C103</f>
        <v>0</v>
      </c>
    </row>
    <row r="104" customFormat="false" ht="12.75" hidden="false" customHeight="true" outlineLevel="0" collapsed="false">
      <c r="A104" s="33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34"/>
      <c r="E104" s="34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0" t="n">
        <v>46116</v>
      </c>
      <c r="B109" s="31" t="n">
        <f aca="false">SUMIFS(Report!$U:$U,Report!$T:$T,"&lt;&gt;"&amp;"MERCADORIAS P/REVENDA",Report!$AA:$AA,"SIM",Report!$C:$C,A109)</f>
        <v>0</v>
      </c>
      <c r="C109" s="31" t="n">
        <f aca="false">SUMIFS(Report!$U:$U,Report!$T:$T,"MERCADORIAS P/REVENDA",Report!$AA:$AA,"SIM",Report!$C:$C,A109)</f>
        <v>0</v>
      </c>
      <c r="D109" s="32"/>
      <c r="E109" s="32"/>
      <c r="F109" s="31" t="n">
        <f aca="false">B109+C109</f>
        <v>0</v>
      </c>
    </row>
    <row r="110" customFormat="false" ht="12.75" hidden="false" customHeight="true" outlineLevel="0" collapsed="false">
      <c r="A110" s="30" t="n">
        <v>46117</v>
      </c>
      <c r="B110" s="31" t="n">
        <f aca="false">SUMIFS(Report!$U:$U,Report!$T:$T,"&lt;&gt;"&amp;"MERCADORIAS P/REVENDA",Report!$AA:$AA,"SIM",Report!$C:$C,A110)</f>
        <v>0</v>
      </c>
      <c r="C110" s="31" t="n">
        <f aca="false">SUMIFS(Report!$U:$U,Report!$T:$T,"MERCADORIAS P/REVENDA",Report!$AA:$AA,"SIM",Report!$C:$C,A110)</f>
        <v>0</v>
      </c>
      <c r="D110" s="32"/>
      <c r="E110" s="32"/>
      <c r="F110" s="31" t="n">
        <f aca="false">B110+C110</f>
        <v>0</v>
      </c>
    </row>
    <row r="111" customFormat="false" ht="12.75" hidden="false" customHeight="true" outlineLevel="0" collapsed="false">
      <c r="A111" s="30" t="n">
        <v>46118</v>
      </c>
      <c r="B111" s="31" t="n">
        <f aca="false">SUMIFS(Report!$U:$U,Report!$T:$T,"&lt;&gt;"&amp;"MERCADORIAS P/REVENDA",Report!$AA:$AA,"SIM",Report!$C:$C,A111)</f>
        <v>0</v>
      </c>
      <c r="C111" s="31" t="n">
        <f aca="false">SUMIFS(Report!$U:$U,Report!$T:$T,"MERCADORIAS P/REVENDA",Report!$AA:$AA,"SIM",Report!$C:$C,A111)</f>
        <v>0</v>
      </c>
      <c r="D111" s="32"/>
      <c r="E111" s="32"/>
      <c r="F111" s="31" t="n">
        <f aca="false">B111+C111</f>
        <v>0</v>
      </c>
    </row>
    <row r="112" customFormat="false" ht="12.75" hidden="false" customHeight="true" outlineLevel="0" collapsed="false">
      <c r="A112" s="33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34"/>
      <c r="E112" s="34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0" t="n">
        <v>46123</v>
      </c>
      <c r="B117" s="31" t="n">
        <f aca="false">SUMIFS(Report!$U:$U,Report!$T:$T,"&lt;&gt;"&amp;"MERCADORIAS P/REVENDA",Report!$AA:$AA,"SIM",Report!$C:$C,A117)</f>
        <v>0</v>
      </c>
      <c r="C117" s="31" t="n">
        <f aca="false">SUMIFS(Report!$U:$U,Report!$T:$T,"MERCADORIAS P/REVENDA",Report!$AA:$AA,"SIM",Report!$C:$C,A117)</f>
        <v>0</v>
      </c>
      <c r="D117" s="32"/>
      <c r="E117" s="32"/>
      <c r="F117" s="31" t="n">
        <f aca="false">B117+C117</f>
        <v>0</v>
      </c>
    </row>
    <row r="118" customFormat="false" ht="12.75" hidden="false" customHeight="true" outlineLevel="0" collapsed="false">
      <c r="A118" s="30" t="n">
        <v>46124</v>
      </c>
      <c r="B118" s="31" t="n">
        <f aca="false">SUMIFS(Report!$U:$U,Report!$T:$T,"&lt;&gt;"&amp;"MERCADORIAS P/REVENDA",Report!$AA:$AA,"SIM",Report!$C:$C,A118)</f>
        <v>0</v>
      </c>
      <c r="C118" s="31" t="n">
        <f aca="false">SUMIFS(Report!$U:$U,Report!$T:$T,"MERCADORIAS P/REVENDA",Report!$AA:$AA,"SIM",Report!$C:$C,A118)</f>
        <v>0</v>
      </c>
      <c r="D118" s="32"/>
      <c r="E118" s="32"/>
      <c r="F118" s="31" t="n">
        <f aca="false">B118+C118</f>
        <v>0</v>
      </c>
    </row>
    <row r="119" customFormat="false" ht="12.75" hidden="false" customHeight="true" outlineLevel="0" collapsed="false">
      <c r="A119" s="30" t="n">
        <v>46125</v>
      </c>
      <c r="B119" s="31" t="n">
        <f aca="false">SUMIFS(Report!$U:$U,Report!$T:$T,"&lt;&gt;"&amp;"MERCADORIAS P/REVENDA",Report!$AA:$AA,"SIM",Report!$C:$C,A119)</f>
        <v>0</v>
      </c>
      <c r="C119" s="31" t="n">
        <f aca="false">SUMIFS(Report!$U:$U,Report!$T:$T,"MERCADORIAS P/REVENDA",Report!$AA:$AA,"SIM",Report!$C:$C,A119)</f>
        <v>0</v>
      </c>
      <c r="D119" s="32"/>
      <c r="E119" s="32"/>
      <c r="F119" s="31" t="n">
        <f aca="false">B119+C119</f>
        <v>0</v>
      </c>
    </row>
    <row r="120" customFormat="false" ht="12.75" hidden="false" customHeight="true" outlineLevel="0" collapsed="false">
      <c r="A120" s="33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34"/>
      <c r="E120" s="34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0" t="n">
        <v>46130</v>
      </c>
      <c r="B125" s="31" t="n">
        <f aca="false">SUMIFS(Report!$U:$U,Report!$T:$T,"&lt;&gt;"&amp;"MERCADORIAS P/REVENDA",Report!$AA:$AA,"SIM",Report!$C:$C,A125)</f>
        <v>0</v>
      </c>
      <c r="C125" s="31" t="n">
        <f aca="false">SUMIFS(Report!$U:$U,Report!$T:$T,"MERCADORIAS P/REVENDA",Report!$AA:$AA,"SIM",Report!$C:$C,A125)</f>
        <v>0</v>
      </c>
      <c r="D125" s="32"/>
      <c r="E125" s="32"/>
      <c r="F125" s="31" t="n">
        <f aca="false">B125+C125</f>
        <v>0</v>
      </c>
    </row>
    <row r="126" customFormat="false" ht="12.75" hidden="false" customHeight="true" outlineLevel="0" collapsed="false">
      <c r="A126" s="30" t="n">
        <v>46131</v>
      </c>
      <c r="B126" s="31" t="n">
        <f aca="false">SUMIFS(Report!$U:$U,Report!$T:$T,"&lt;&gt;"&amp;"MERCADORIAS P/REVENDA",Report!$AA:$AA,"SIM",Report!$C:$C,A126)</f>
        <v>0</v>
      </c>
      <c r="C126" s="31" t="n">
        <f aca="false">SUMIFS(Report!$U:$U,Report!$T:$T,"MERCADORIAS P/REVENDA",Report!$AA:$AA,"SIM",Report!$C:$C,A126)</f>
        <v>0</v>
      </c>
      <c r="D126" s="32"/>
      <c r="E126" s="32"/>
      <c r="F126" s="31" t="n">
        <f aca="false">B126+C126</f>
        <v>0</v>
      </c>
    </row>
    <row r="127" customFormat="false" ht="12.75" hidden="false" customHeight="true" outlineLevel="0" collapsed="false">
      <c r="A127" s="30" t="n">
        <v>46132</v>
      </c>
      <c r="B127" s="31" t="n">
        <f aca="false">SUMIFS(Report!$U:$U,Report!$T:$T,"&lt;&gt;"&amp;"MERCADORIAS P/REVENDA",Report!$AA:$AA,"SIM",Report!$C:$C,A127)</f>
        <v>0</v>
      </c>
      <c r="C127" s="31" t="n">
        <f aca="false">SUMIFS(Report!$U:$U,Report!$T:$T,"MERCADORIAS P/REVENDA",Report!$AA:$AA,"SIM",Report!$C:$C,A127)</f>
        <v>0</v>
      </c>
      <c r="D127" s="32"/>
      <c r="E127" s="32"/>
      <c r="F127" s="31" t="n">
        <f aca="false">B127+C127</f>
        <v>0</v>
      </c>
    </row>
    <row r="128" customFormat="false" ht="12.75" hidden="false" customHeight="true" outlineLevel="0" collapsed="false">
      <c r="A128" s="33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34"/>
      <c r="E128" s="34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0" t="n">
        <v>46137</v>
      </c>
      <c r="B133" s="31" t="n">
        <f aca="false">SUMIFS(Report!$U:$U,Report!$T:$T,"&lt;&gt;"&amp;"MERCADORIAS P/REVENDA",Report!$AA:$AA,"SIM",Report!$C:$C,A133)</f>
        <v>0</v>
      </c>
      <c r="C133" s="31" t="n">
        <f aca="false">SUMIFS(Report!$U:$U,Report!$T:$T,"MERCADORIAS P/REVENDA",Report!$AA:$AA,"SIM",Report!$C:$C,A133)</f>
        <v>0</v>
      </c>
      <c r="D133" s="32"/>
      <c r="E133" s="32"/>
      <c r="F133" s="31" t="n">
        <f aca="false">B133+C133</f>
        <v>0</v>
      </c>
    </row>
    <row r="134" customFormat="false" ht="12.75" hidden="false" customHeight="true" outlineLevel="0" collapsed="false">
      <c r="A134" s="30" t="n">
        <v>46138</v>
      </c>
      <c r="B134" s="31" t="n">
        <f aca="false">SUMIFS(Report!$U:$U,Report!$T:$T,"&lt;&gt;"&amp;"MERCADORIAS P/REVENDA",Report!$AA:$AA,"SIM",Report!$C:$C,A134)</f>
        <v>0</v>
      </c>
      <c r="C134" s="31" t="n">
        <f aca="false">SUMIFS(Report!$U:$U,Report!$T:$T,"MERCADORIAS P/REVENDA",Report!$AA:$AA,"SIM",Report!$C:$C,A134)</f>
        <v>0</v>
      </c>
      <c r="D134" s="32"/>
      <c r="E134" s="32"/>
      <c r="F134" s="31" t="n">
        <f aca="false">B134+C134</f>
        <v>0</v>
      </c>
    </row>
    <row r="135" customFormat="false" ht="12.75" hidden="false" customHeight="true" outlineLevel="0" collapsed="false">
      <c r="A135" s="30" t="n">
        <v>46139</v>
      </c>
      <c r="B135" s="31" t="n">
        <f aca="false">SUMIFS(Report!$U:$U,Report!$T:$T,"&lt;&gt;"&amp;"MERCADORIAS P/REVENDA",Report!$AA:$AA,"SIM",Report!$C:$C,A135)</f>
        <v>0</v>
      </c>
      <c r="C135" s="31" t="n">
        <f aca="false">SUMIFS(Report!$U:$U,Report!$T:$T,"MERCADORIAS P/REVENDA",Report!$AA:$AA,"SIM",Report!$C:$C,A135)</f>
        <v>0</v>
      </c>
      <c r="D135" s="32"/>
      <c r="E135" s="32"/>
      <c r="F135" s="31" t="n">
        <f aca="false">B135+C135</f>
        <v>0</v>
      </c>
    </row>
    <row r="136" customFormat="false" ht="12.75" hidden="false" customHeight="true" outlineLevel="0" collapsed="false">
      <c r="A136" s="33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34"/>
      <c r="E136" s="34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0" t="n">
        <v>46144</v>
      </c>
      <c r="B141" s="31" t="n">
        <f aca="false">SUMIFS(Report!$U:$U,Report!$T:$T,"&lt;&gt;"&amp;"MERCADORIAS P/REVENDA",Report!$AA:$AA,"SIM",Report!$C:$C,A141)</f>
        <v>0</v>
      </c>
      <c r="C141" s="31" t="n">
        <f aca="false">SUMIFS(Report!$U:$U,Report!$T:$T,"MERCADORIAS P/REVENDA",Report!$AA:$AA,"SIM",Report!$C:$C,A141)</f>
        <v>0</v>
      </c>
      <c r="D141" s="32"/>
      <c r="E141" s="32"/>
      <c r="F141" s="31" t="n">
        <f aca="false">B141+C141</f>
        <v>0</v>
      </c>
    </row>
    <row r="142" customFormat="false" ht="12.75" hidden="false" customHeight="true" outlineLevel="0" collapsed="false">
      <c r="A142" s="30" t="n">
        <v>46145</v>
      </c>
      <c r="B142" s="31" t="n">
        <f aca="false">SUMIFS(Report!$U:$U,Report!$T:$T,"&lt;&gt;"&amp;"MERCADORIAS P/REVENDA",Report!$AA:$AA,"SIM",Report!$C:$C,A142)</f>
        <v>0</v>
      </c>
      <c r="C142" s="31" t="n">
        <f aca="false">SUMIFS(Report!$U:$U,Report!$T:$T,"MERCADORIAS P/REVENDA",Report!$AA:$AA,"SIM",Report!$C:$C,A142)</f>
        <v>0</v>
      </c>
      <c r="D142" s="32"/>
      <c r="E142" s="32"/>
      <c r="F142" s="31" t="n">
        <f aca="false">B142+C142</f>
        <v>0</v>
      </c>
    </row>
    <row r="143" customFormat="false" ht="12.75" hidden="false" customHeight="true" outlineLevel="0" collapsed="false">
      <c r="A143" s="30" t="n">
        <v>46146</v>
      </c>
      <c r="B143" s="31" t="n">
        <f aca="false">SUMIFS(Report!$U:$U,Report!$T:$T,"&lt;&gt;"&amp;"MERCADORIAS P/REVENDA",Report!$AA:$AA,"SIM",Report!$C:$C,A143)</f>
        <v>0</v>
      </c>
      <c r="C143" s="31" t="n">
        <f aca="false">SUMIFS(Report!$U:$U,Report!$T:$T,"MERCADORIAS P/REVENDA",Report!$AA:$AA,"SIM",Report!$C:$C,A143)</f>
        <v>0</v>
      </c>
      <c r="D143" s="32"/>
      <c r="E143" s="32"/>
      <c r="F143" s="31" t="n">
        <f aca="false">B143+C143</f>
        <v>0</v>
      </c>
    </row>
    <row r="144" customFormat="false" ht="12.75" hidden="false" customHeight="true" outlineLevel="0" collapsed="false">
      <c r="A144" s="33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34"/>
      <c r="E144" s="34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0" t="n">
        <v>46151</v>
      </c>
      <c r="B149" s="31" t="n">
        <f aca="false">SUMIFS(Report!$U:$U,Report!$T:$T,"&lt;&gt;"&amp;"MERCADORIAS P/REVENDA",Report!$AA:$AA,"SIM",Report!$C:$C,A149)</f>
        <v>0</v>
      </c>
      <c r="C149" s="31" t="n">
        <f aca="false">SUMIFS(Report!$U:$U,Report!$T:$T,"MERCADORIAS P/REVENDA",Report!$AA:$AA,"SIM",Report!$C:$C,A149)</f>
        <v>0</v>
      </c>
      <c r="D149" s="32"/>
      <c r="E149" s="32"/>
      <c r="F149" s="31" t="n">
        <f aca="false">B149+C149</f>
        <v>0</v>
      </c>
    </row>
    <row r="150" customFormat="false" ht="12.75" hidden="false" customHeight="true" outlineLevel="0" collapsed="false">
      <c r="A150" s="30" t="n">
        <v>46152</v>
      </c>
      <c r="B150" s="31" t="n">
        <f aca="false">SUMIFS(Report!$U:$U,Report!$T:$T,"&lt;&gt;"&amp;"MERCADORIAS P/REVENDA",Report!$AA:$AA,"SIM",Report!$C:$C,A150)</f>
        <v>0</v>
      </c>
      <c r="C150" s="31" t="n">
        <f aca="false">SUMIFS(Report!$U:$U,Report!$T:$T,"MERCADORIAS P/REVENDA",Report!$AA:$AA,"SIM",Report!$C:$C,A150)</f>
        <v>0</v>
      </c>
      <c r="D150" s="32"/>
      <c r="E150" s="32"/>
      <c r="F150" s="31" t="n">
        <f aca="false">B150+C150</f>
        <v>0</v>
      </c>
    </row>
    <row r="151" customFormat="false" ht="12.75" hidden="false" customHeight="true" outlineLevel="0" collapsed="false">
      <c r="A151" s="30" t="n">
        <v>46153</v>
      </c>
      <c r="B151" s="31" t="n">
        <f aca="false">SUMIFS(Report!$U:$U,Report!$T:$T,"&lt;&gt;"&amp;"MERCADORIAS P/REVENDA",Report!$AA:$AA,"SIM",Report!$C:$C,A151)</f>
        <v>0</v>
      </c>
      <c r="C151" s="31" t="n">
        <f aca="false">SUMIFS(Report!$U:$U,Report!$T:$T,"MERCADORIAS P/REVENDA",Report!$AA:$AA,"SIM",Report!$C:$C,A151)</f>
        <v>0</v>
      </c>
      <c r="D151" s="32"/>
      <c r="E151" s="32"/>
      <c r="F151" s="31" t="n">
        <f aca="false">B151+C151</f>
        <v>0</v>
      </c>
    </row>
    <row r="152" customFormat="false" ht="12.75" hidden="false" customHeight="true" outlineLevel="0" collapsed="false">
      <c r="A152" s="33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34"/>
      <c r="E152" s="34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0" t="n">
        <v>46158</v>
      </c>
      <c r="B157" s="31" t="n">
        <f aca="false">SUMIFS(Report!$U:$U,Report!$T:$T,"&lt;&gt;"&amp;"MERCADORIAS P/REVENDA",Report!$AA:$AA,"SIM",Report!$C:$C,A157)</f>
        <v>0</v>
      </c>
      <c r="C157" s="31" t="n">
        <f aca="false">SUMIFS(Report!$U:$U,Report!$T:$T,"MERCADORIAS P/REVENDA",Report!$AA:$AA,"SIM",Report!$C:$C,A157)</f>
        <v>0</v>
      </c>
      <c r="D157" s="32"/>
      <c r="E157" s="32"/>
      <c r="F157" s="31" t="n">
        <f aca="false">B157+C157</f>
        <v>0</v>
      </c>
    </row>
    <row r="158" customFormat="false" ht="12.75" hidden="false" customHeight="true" outlineLevel="0" collapsed="false">
      <c r="A158" s="30" t="n">
        <v>46159</v>
      </c>
      <c r="B158" s="31" t="n">
        <f aca="false">SUMIFS(Report!$U:$U,Report!$T:$T,"&lt;&gt;"&amp;"MERCADORIAS P/REVENDA",Report!$AA:$AA,"SIM",Report!$C:$C,A158)</f>
        <v>0</v>
      </c>
      <c r="C158" s="31" t="n">
        <f aca="false">SUMIFS(Report!$U:$U,Report!$T:$T,"MERCADORIAS P/REVENDA",Report!$AA:$AA,"SIM",Report!$C:$C,A158)</f>
        <v>0</v>
      </c>
      <c r="D158" s="32"/>
      <c r="E158" s="32"/>
      <c r="F158" s="31" t="n">
        <f aca="false">B158+C158</f>
        <v>0</v>
      </c>
    </row>
    <row r="159" customFormat="false" ht="12.75" hidden="false" customHeight="true" outlineLevel="0" collapsed="false">
      <c r="A159" s="30" t="n">
        <v>46160</v>
      </c>
      <c r="B159" s="31" t="n">
        <f aca="false">SUMIFS(Report!$U:$U,Report!$T:$T,"&lt;&gt;"&amp;"MERCADORIAS P/REVENDA",Report!$AA:$AA,"SIM",Report!$C:$C,A159)</f>
        <v>0</v>
      </c>
      <c r="C159" s="31" t="n">
        <f aca="false">SUMIFS(Report!$U:$U,Report!$T:$T,"MERCADORIAS P/REVENDA",Report!$AA:$AA,"SIM",Report!$C:$C,A159)</f>
        <v>0</v>
      </c>
      <c r="D159" s="32"/>
      <c r="E159" s="32"/>
      <c r="F159" s="31" t="n">
        <f aca="false">B159+C159</f>
        <v>0</v>
      </c>
    </row>
    <row r="160" customFormat="false" ht="12.75" hidden="false" customHeight="true" outlineLevel="0" collapsed="false">
      <c r="A160" s="33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34"/>
      <c r="E160" s="34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0" t="n">
        <v>46165</v>
      </c>
      <c r="B165" s="31" t="n">
        <f aca="false">SUMIFS(Report!$U:$U,Report!$T:$T,"&lt;&gt;"&amp;"MERCADORIAS P/REVENDA",Report!$AA:$AA,"SIM",Report!$C:$C,A165)</f>
        <v>0</v>
      </c>
      <c r="C165" s="31" t="n">
        <f aca="false">SUMIFS(Report!$U:$U,Report!$T:$T,"MERCADORIAS P/REVENDA",Report!$AA:$AA,"SIM",Report!$C:$C,A165)</f>
        <v>0</v>
      </c>
      <c r="D165" s="32"/>
      <c r="E165" s="32"/>
      <c r="F165" s="31" t="n">
        <f aca="false">B165+C165</f>
        <v>0</v>
      </c>
    </row>
    <row r="166" customFormat="false" ht="12.75" hidden="false" customHeight="true" outlineLevel="0" collapsed="false">
      <c r="A166" s="30" t="n">
        <v>46166</v>
      </c>
      <c r="B166" s="31" t="n">
        <f aca="false">SUMIFS(Report!$U:$U,Report!$T:$T,"&lt;&gt;"&amp;"MERCADORIAS P/REVENDA",Report!$AA:$AA,"SIM",Report!$C:$C,A166)</f>
        <v>0</v>
      </c>
      <c r="C166" s="31" t="n">
        <f aca="false">SUMIFS(Report!$U:$U,Report!$T:$T,"MERCADORIAS P/REVENDA",Report!$AA:$AA,"SIM",Report!$C:$C,A166)</f>
        <v>0</v>
      </c>
      <c r="D166" s="32"/>
      <c r="E166" s="32"/>
      <c r="F166" s="31" t="n">
        <f aca="false">B166+C166</f>
        <v>0</v>
      </c>
    </row>
    <row r="167" customFormat="false" ht="12.75" hidden="false" customHeight="true" outlineLevel="0" collapsed="false">
      <c r="A167" s="30" t="n">
        <v>46167</v>
      </c>
      <c r="B167" s="31" t="n">
        <f aca="false">SUMIFS(Report!$U:$U,Report!$T:$T,"&lt;&gt;"&amp;"MERCADORIAS P/REVENDA",Report!$AA:$AA,"SIM",Report!$C:$C,A167)</f>
        <v>0</v>
      </c>
      <c r="C167" s="31" t="n">
        <f aca="false">SUMIFS(Report!$U:$U,Report!$T:$T,"MERCADORIAS P/REVENDA",Report!$AA:$AA,"SIM",Report!$C:$C,A167)</f>
        <v>0</v>
      </c>
      <c r="D167" s="32"/>
      <c r="E167" s="32"/>
      <c r="F167" s="31" t="n">
        <f aca="false">B167+C167</f>
        <v>0</v>
      </c>
    </row>
    <row r="168" customFormat="false" ht="12.75" hidden="false" customHeight="true" outlineLevel="0" collapsed="false">
      <c r="A168" s="33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34"/>
      <c r="E168" s="34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0" t="n">
        <v>46172</v>
      </c>
      <c r="B173" s="31" t="n">
        <f aca="false">SUMIFS(Report!$U:$U,Report!$T:$T,"&lt;&gt;"&amp;"MERCADORIAS P/REVENDA",Report!$AA:$AA,"SIM",Report!$C:$C,A173)</f>
        <v>0</v>
      </c>
      <c r="C173" s="31" t="n">
        <f aca="false">SUMIFS(Report!$U:$U,Report!$T:$T,"MERCADORIAS P/REVENDA",Report!$AA:$AA,"SIM",Report!$C:$C,A173)</f>
        <v>0</v>
      </c>
      <c r="D173" s="32"/>
      <c r="E173" s="32"/>
      <c r="F173" s="31" t="n">
        <f aca="false">B173+C173</f>
        <v>0</v>
      </c>
    </row>
    <row r="174" customFormat="false" ht="12.75" hidden="false" customHeight="true" outlineLevel="0" collapsed="false">
      <c r="A174" s="30" t="n">
        <v>46173</v>
      </c>
      <c r="B174" s="31" t="n">
        <f aca="false">SUMIFS(Report!$U:$U,Report!$T:$T,"&lt;&gt;"&amp;"MERCADORIAS P/REVENDA",Report!$AA:$AA,"SIM",Report!$C:$C,A174)</f>
        <v>0</v>
      </c>
      <c r="C174" s="31" t="n">
        <f aca="false">SUMIFS(Report!$U:$U,Report!$T:$T,"MERCADORIAS P/REVENDA",Report!$AA:$AA,"SIM",Report!$C:$C,A174)</f>
        <v>0</v>
      </c>
      <c r="D174" s="32"/>
      <c r="E174" s="32"/>
      <c r="F174" s="31" t="n">
        <f aca="false">B174+C174</f>
        <v>0</v>
      </c>
    </row>
    <row r="175" customFormat="false" ht="12.75" hidden="false" customHeight="true" outlineLevel="0" collapsed="false">
      <c r="A175" s="30" t="n">
        <v>46174</v>
      </c>
      <c r="B175" s="31" t="n">
        <f aca="false">SUMIFS(Report!$U:$U,Report!$T:$T,"&lt;&gt;"&amp;"MERCADORIAS P/REVENDA",Report!$AA:$AA,"SIM",Report!$C:$C,A175)</f>
        <v>13770.8</v>
      </c>
      <c r="C175" s="31" t="n">
        <f aca="false">SUMIFS(Report!$U:$U,Report!$T:$T,"MERCADORIAS P/REVENDA",Report!$AA:$AA,"SIM",Report!$C:$C,A175)</f>
        <v>18056.61</v>
      </c>
      <c r="D175" s="32"/>
      <c r="E175" s="32"/>
      <c r="F175" s="31" t="n">
        <f aca="false">B175+C175</f>
        <v>31827.41</v>
      </c>
    </row>
    <row r="176" customFormat="false" ht="12.75" hidden="false" customHeight="true" outlineLevel="0" collapsed="false">
      <c r="A176" s="33" t="str">
        <f aca="false">"Subtotal Semana "&amp;TEXT(A169,"dd/mm/yyyy")&amp;" a "&amp;TEXT(A175,"dd/mm/yyyy")</f>
        <v>Subtotal Semana 26/05/2026 a 01/06/2026</v>
      </c>
      <c r="B176" s="24" t="n">
        <f aca="false">SUM(B169:B175)</f>
        <v>13770.8</v>
      </c>
      <c r="C176" s="24" t="n">
        <f aca="false">SUM(C169:C175)</f>
        <v>18056.61</v>
      </c>
      <c r="D176" s="34"/>
      <c r="E176" s="34"/>
      <c r="F176" s="24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30" t="n">
        <v>46179</v>
      </c>
      <c r="B181" s="31" t="n">
        <f aca="false">SUMIFS(Report!$U:$U,Report!$T:$T,"&lt;&gt;"&amp;"MERCADORIAS P/REVENDA",Report!$AA:$AA,"SIM",Report!$C:$C,A181)</f>
        <v>1000</v>
      </c>
      <c r="C181" s="31" t="n">
        <f aca="false">SUMIFS(Report!$U:$U,Report!$T:$T,"MERCADORIAS P/REVENDA",Report!$AA:$AA,"SIM",Report!$C:$C,A181)</f>
        <v>20508.81</v>
      </c>
      <c r="D181" s="32"/>
      <c r="E181" s="32"/>
      <c r="F181" s="31" t="n">
        <f aca="false">B181+C181</f>
        <v>21508.81</v>
      </c>
    </row>
    <row r="182" customFormat="false" ht="12.75" hidden="false" customHeight="true" outlineLevel="0" collapsed="false">
      <c r="A182" s="30" t="n">
        <v>46180</v>
      </c>
      <c r="B182" s="31" t="n">
        <f aca="false">SUMIFS(Report!$U:$U,Report!$T:$T,"&lt;&gt;"&amp;"MERCADORIAS P/REVENDA",Report!$AA:$AA,"SIM",Report!$C:$C,A182)</f>
        <v>0</v>
      </c>
      <c r="C182" s="31" t="n">
        <f aca="false">SUMIFS(Report!$U:$U,Report!$T:$T,"MERCADORIAS P/REVENDA",Report!$AA:$AA,"SIM",Report!$C:$C,A182)</f>
        <v>5988.19</v>
      </c>
      <c r="D182" s="32"/>
      <c r="E182" s="32"/>
      <c r="F182" s="31" t="n">
        <f aca="false">B182+C182</f>
        <v>5988.19</v>
      </c>
    </row>
    <row r="183" customFormat="false" ht="12.75" hidden="false" customHeight="true" outlineLevel="0" collapsed="false">
      <c r="A183" s="30" t="n">
        <v>46181</v>
      </c>
      <c r="B183" s="31" t="n">
        <f aca="false">SUMIFS(Report!$U:$U,Report!$T:$T,"&lt;&gt;"&amp;"MERCADORIAS P/REVENDA",Report!$AA:$AA,"SIM",Report!$C:$C,A183)</f>
        <v>707.17</v>
      </c>
      <c r="C183" s="31" t="n">
        <f aca="false">SUMIFS(Report!$U:$U,Report!$T:$T,"MERCADORIAS P/REVENDA",Report!$AA:$AA,"SIM",Report!$C:$C,A183)</f>
        <v>24883.04</v>
      </c>
      <c r="D183" s="32"/>
      <c r="E183" s="32"/>
      <c r="F183" s="31" t="n">
        <f aca="false">B183+C183</f>
        <v>25590.21</v>
      </c>
    </row>
    <row r="184" customFormat="false" ht="12.75" hidden="false" customHeight="true" outlineLevel="0" collapsed="false">
      <c r="A184" s="33" t="str">
        <f aca="false">"Subtotal Semana "&amp;TEXT(A177,"dd/mm/yyyy")&amp;" a "&amp;TEXT(A183,"dd/mm/yyyy")</f>
        <v>Subtotal Semana 02/06/2026 a 08/06/2026</v>
      </c>
      <c r="B184" s="24" t="n">
        <f aca="false">SUM(B177:B183)</f>
        <v>33760.34</v>
      </c>
      <c r="C184" s="24" t="n">
        <f aca="false">SUM(C177:C183)</f>
        <v>95248.21</v>
      </c>
      <c r="D184" s="34"/>
      <c r="E184" s="34"/>
      <c r="F184" s="24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30" t="n">
        <v>46186</v>
      </c>
      <c r="B189" s="31" t="n">
        <f aca="false">SUMIFS(Report!$U:$U,Report!$T:$T,"&lt;&gt;"&amp;"MERCADORIAS P/REVENDA",Report!$AA:$AA,"SIM",Report!$C:$C,A189)</f>
        <v>0</v>
      </c>
      <c r="C189" s="31" t="n">
        <f aca="false">SUMIFS(Report!$U:$U,Report!$T:$T,"MERCADORIAS P/REVENDA",Report!$AA:$AA,"SIM",Report!$C:$C,A189)</f>
        <v>37562.11</v>
      </c>
      <c r="D189" s="32"/>
      <c r="E189" s="32"/>
      <c r="F189" s="31" t="n">
        <f aca="false">B189+C189</f>
        <v>37562.11</v>
      </c>
    </row>
    <row r="190" customFormat="false" ht="12.75" hidden="false" customHeight="true" outlineLevel="0" collapsed="false">
      <c r="A190" s="30" t="n">
        <v>46187</v>
      </c>
      <c r="B190" s="31" t="n">
        <f aca="false">SUMIFS(Report!$U:$U,Report!$T:$T,"&lt;&gt;"&amp;"MERCADORIAS P/REVENDA",Report!$AA:$AA,"SIM",Report!$C:$C,A190)</f>
        <v>0</v>
      </c>
      <c r="C190" s="31" t="n">
        <f aca="false">SUMIFS(Report!$U:$U,Report!$T:$T,"MERCADORIAS P/REVENDA",Report!$AA:$AA,"SIM",Report!$C:$C,A190)</f>
        <v>1503.2</v>
      </c>
      <c r="D190" s="32"/>
      <c r="E190" s="32"/>
      <c r="F190" s="31" t="n">
        <f aca="false">B190+C190</f>
        <v>1503.2</v>
      </c>
    </row>
    <row r="191" customFormat="false" ht="12.75" hidden="false" customHeight="true" outlineLevel="0" collapsed="false">
      <c r="A191" s="30" t="n">
        <v>46188</v>
      </c>
      <c r="B191" s="31" t="n">
        <f aca="false">SUMIFS(Report!$U:$U,Report!$T:$T,"&lt;&gt;"&amp;"MERCADORIAS P/REVENDA",Report!$AA:$AA,"SIM",Report!$C:$C,A191)</f>
        <v>4910.46</v>
      </c>
      <c r="C191" s="31" t="n">
        <f aca="false">SUMIFS(Report!$U:$U,Report!$T:$T,"MERCADORIAS P/REVENDA",Report!$AA:$AA,"SIM",Report!$C:$C,A191)</f>
        <v>11564.63</v>
      </c>
      <c r="D191" s="32"/>
      <c r="E191" s="32"/>
      <c r="F191" s="31" t="n">
        <f aca="false">B191+C191</f>
        <v>16475.09</v>
      </c>
    </row>
    <row r="192" customFormat="false" ht="12.75" hidden="false" customHeight="true" outlineLevel="0" collapsed="false">
      <c r="A192" s="33" t="str">
        <f aca="false">"Subtotal Semana "&amp;TEXT(A185,"dd/mm/yyyy")&amp;" a "&amp;TEXT(A191,"dd/mm/yyyy")</f>
        <v>Subtotal Semana 09/06/2026 a 15/06/2026</v>
      </c>
      <c r="B192" s="24" t="n">
        <f aca="false">SUM(B185:B191)</f>
        <v>25428.49</v>
      </c>
      <c r="C192" s="24" t="n">
        <f aca="false">SUM(C185:C191)</f>
        <v>92242.11</v>
      </c>
      <c r="D192" s="34"/>
      <c r="E192" s="34"/>
      <c r="F192" s="24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30" t="n">
        <v>46193</v>
      </c>
      <c r="B197" s="31" t="n">
        <f aca="false">SUMIFS(Report!$U:$U,Report!$T:$T,"&lt;&gt;"&amp;"MERCADORIAS P/REVENDA",Report!$AA:$AA,"SIM",Report!$C:$C,A197)</f>
        <v>1842.49</v>
      </c>
      <c r="C197" s="31" t="n">
        <f aca="false">SUMIFS(Report!$U:$U,Report!$T:$T,"MERCADORIAS P/REVENDA",Report!$AA:$AA,"SIM",Report!$C:$C,A197)</f>
        <v>36619.79</v>
      </c>
      <c r="D197" s="32"/>
      <c r="E197" s="32"/>
      <c r="F197" s="31" t="n">
        <f aca="false">B197+C197</f>
        <v>38462.28</v>
      </c>
    </row>
    <row r="198" customFormat="false" ht="12.75" hidden="false" customHeight="true" outlineLevel="0" collapsed="false">
      <c r="A198" s="30" t="n">
        <v>46194</v>
      </c>
      <c r="B198" s="31" t="n">
        <f aca="false">SUMIFS(Report!$U:$U,Report!$T:$T,"&lt;&gt;"&amp;"MERCADORIAS P/REVENDA",Report!$AA:$AA,"SIM",Report!$C:$C,A198)</f>
        <v>0</v>
      </c>
      <c r="C198" s="31" t="n">
        <f aca="false">SUMIFS(Report!$U:$U,Report!$T:$T,"MERCADORIAS P/REVENDA",Report!$AA:$AA,"SIM",Report!$C:$C,A198)</f>
        <v>4748.8</v>
      </c>
      <c r="D198" s="32"/>
      <c r="E198" s="32"/>
      <c r="F198" s="31" t="n">
        <f aca="false">B198+C198</f>
        <v>4748.8</v>
      </c>
    </row>
    <row r="199" customFormat="false" ht="12.75" hidden="false" customHeight="true" outlineLevel="0" collapsed="false">
      <c r="A199" s="30" t="n">
        <v>46195</v>
      </c>
      <c r="B199" s="31" t="n">
        <f aca="false">SUMIFS(Report!$U:$U,Report!$T:$T,"&lt;&gt;"&amp;"MERCADORIAS P/REVENDA",Report!$AA:$AA,"SIM",Report!$C:$C,A199)</f>
        <v>13526.28</v>
      </c>
      <c r="C199" s="31" t="n">
        <f aca="false">SUMIFS(Report!$U:$U,Report!$T:$T,"MERCADORIAS P/REVENDA",Report!$AA:$AA,"SIM",Report!$C:$C,A199)</f>
        <v>12600.66</v>
      </c>
      <c r="D199" s="32"/>
      <c r="E199" s="32"/>
      <c r="F199" s="31" t="n">
        <f aca="false">B199+C199</f>
        <v>26126.94</v>
      </c>
    </row>
    <row r="200" customFormat="false" ht="12.75" hidden="false" customHeight="true" outlineLevel="0" collapsed="false">
      <c r="A200" s="33" t="str">
        <f aca="false">"Subtotal Semana "&amp;TEXT(A193,"dd/mm/yyyy")&amp;" a "&amp;TEXT(A199,"dd/mm/yyyy")</f>
        <v>Subtotal Semana 16/06/2026 a 22/06/2026</v>
      </c>
      <c r="B200" s="24" t="n">
        <f aca="false">SUM(B193:B199)</f>
        <v>27983.99</v>
      </c>
      <c r="C200" s="24" t="n">
        <f aca="false">SUM(C193:C199)</f>
        <v>105040.49</v>
      </c>
      <c r="D200" s="34"/>
      <c r="E200" s="34"/>
      <c r="F200" s="24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30" t="n">
        <v>46200</v>
      </c>
      <c r="B205" s="31" t="n">
        <f aca="false">SUMIFS(Report!$U:$U,Report!$T:$T,"&lt;&gt;"&amp;"MERCADORIAS P/REVENDA",Report!$AA:$AA,"SIM",Report!$C:$C,A205)</f>
        <v>462.4</v>
      </c>
      <c r="C205" s="31" t="n">
        <f aca="false">SUMIFS(Report!$U:$U,Report!$T:$T,"MERCADORIAS P/REVENDA",Report!$AA:$AA,"SIM",Report!$C:$C,A205)</f>
        <v>43869.69</v>
      </c>
      <c r="D205" s="32"/>
      <c r="E205" s="32"/>
      <c r="F205" s="31" t="n">
        <f aca="false">B205+C205</f>
        <v>44332.09</v>
      </c>
    </row>
    <row r="206" customFormat="false" ht="12.75" hidden="false" customHeight="true" outlineLevel="0" collapsed="false">
      <c r="A206" s="30" t="n">
        <v>46201</v>
      </c>
      <c r="B206" s="31" t="n">
        <f aca="false">SUMIFS(Report!$U:$U,Report!$T:$T,"&lt;&gt;"&amp;"MERCADORIAS P/REVENDA",Report!$AA:$AA,"SIM",Report!$C:$C,A206)</f>
        <v>0</v>
      </c>
      <c r="C206" s="31" t="n">
        <f aca="false">SUMIFS(Report!$U:$U,Report!$T:$T,"MERCADORIAS P/REVENDA",Report!$AA:$AA,"SIM",Report!$C:$C,A206)</f>
        <v>0</v>
      </c>
      <c r="D206" s="32"/>
      <c r="E206" s="32"/>
      <c r="F206" s="31" t="n">
        <f aca="false">B206+C206</f>
        <v>0</v>
      </c>
    </row>
    <row r="207" customFormat="false" ht="12.75" hidden="false" customHeight="true" outlineLevel="0" collapsed="false">
      <c r="A207" s="30" t="n">
        <v>46202</v>
      </c>
      <c r="B207" s="31" t="n">
        <f aca="false">SUMIFS(Report!$U:$U,Report!$T:$T,"&lt;&gt;"&amp;"MERCADORIAS P/REVENDA",Report!$AA:$AA,"SIM",Report!$C:$C,A207)</f>
        <v>4679.56</v>
      </c>
      <c r="C207" s="31" t="n">
        <f aca="false">SUMIFS(Report!$U:$U,Report!$T:$T,"MERCADORIAS P/REVENDA",Report!$AA:$AA,"SIM",Report!$C:$C,A207)</f>
        <v>7710.64</v>
      </c>
      <c r="D207" s="32"/>
      <c r="E207" s="32"/>
      <c r="F207" s="31" t="n">
        <f aca="false">B207+C207</f>
        <v>12390.2</v>
      </c>
    </row>
    <row r="208" customFormat="false" ht="12.75" hidden="false" customHeight="true" outlineLevel="0" collapsed="false">
      <c r="A208" s="33" t="str">
        <f aca="false">"Subtotal Semana "&amp;TEXT(A201,"dd/mm/yyyy")&amp;" a "&amp;TEXT(A207,"dd/mm/yyyy")</f>
        <v>Subtotal Semana 23/06/2026 a 29/06/2026</v>
      </c>
      <c r="B208" s="24" t="n">
        <f aca="false">SUM(B201:B207)</f>
        <v>13302.49</v>
      </c>
      <c r="C208" s="24" t="n">
        <f aca="false">SUM(C201:C207)</f>
        <v>107752.07</v>
      </c>
      <c r="D208" s="34"/>
      <c r="E208" s="34"/>
      <c r="F208" s="24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0" t="n">
        <v>46207</v>
      </c>
      <c r="B213" s="31" t="n">
        <f aca="false">SUMIFS(Report!$U:$U,Report!$T:$T,"&lt;&gt;"&amp;"MERCADORIAS P/REVENDA",Report!$AA:$AA,"SIM",Report!$C:$C,A213)</f>
        <v>1243.8</v>
      </c>
      <c r="C213" s="31" t="n">
        <f aca="false">SUMIFS(Report!$U:$U,Report!$T:$T,"MERCADORIAS P/REVENDA",Report!$AA:$AA,"SIM",Report!$C:$C,A213)</f>
        <v>25036.54</v>
      </c>
      <c r="D213" s="32"/>
      <c r="E213" s="32"/>
      <c r="F213" s="31" t="n">
        <f aca="false">B213+C213</f>
        <v>26280.34</v>
      </c>
    </row>
    <row r="214" customFormat="false" ht="12.75" hidden="false" customHeight="true" outlineLevel="0" collapsed="false">
      <c r="A214" s="30" t="n">
        <v>46208</v>
      </c>
      <c r="B214" s="31" t="n">
        <f aca="false">SUMIFS(Report!$U:$U,Report!$T:$T,"&lt;&gt;"&amp;"MERCADORIAS P/REVENDA",Report!$AA:$AA,"SIM",Report!$C:$C,A214)</f>
        <v>0</v>
      </c>
      <c r="C214" s="31" t="n">
        <f aca="false">SUMIFS(Report!$U:$U,Report!$T:$T,"MERCADORIAS P/REVENDA",Report!$AA:$AA,"SIM",Report!$C:$C,A214)</f>
        <v>0</v>
      </c>
      <c r="D214" s="32"/>
      <c r="E214" s="32"/>
      <c r="F214" s="31" t="n">
        <f aca="false">B214+C214</f>
        <v>0</v>
      </c>
    </row>
    <row r="215" customFormat="false" ht="12.75" hidden="false" customHeight="true" outlineLevel="0" collapsed="false">
      <c r="A215" s="30" t="n">
        <v>46209</v>
      </c>
      <c r="B215" s="31" t="n">
        <f aca="false">SUMIFS(Report!$U:$U,Report!$T:$T,"&lt;&gt;"&amp;"MERCADORIAS P/REVENDA",Report!$AA:$AA,"SIM",Report!$C:$C,A215)</f>
        <v>32114.51</v>
      </c>
      <c r="C215" s="31" t="n">
        <f aca="false">SUMIFS(Report!$U:$U,Report!$T:$T,"MERCADORIAS P/REVENDA",Report!$AA:$AA,"SIM",Report!$C:$C,A215)</f>
        <v>3020.73</v>
      </c>
      <c r="D215" s="32"/>
      <c r="E215" s="32"/>
      <c r="F215" s="31" t="n">
        <f aca="false">B215+C215</f>
        <v>35135.24</v>
      </c>
    </row>
    <row r="216" customFormat="false" ht="12.75" hidden="false" customHeight="true" outlineLevel="0" collapsed="false">
      <c r="A216" s="33" t="str">
        <f aca="false">"Subtotal Semana "&amp;TEXT(A209,"dd/mm/yyyy")&amp;" a "&amp;TEXT(A215,"dd/mm/yyyy")</f>
        <v>Subtotal Semana 30/06/2026 a 06/07/2026</v>
      </c>
      <c r="B216" s="24" t="n">
        <f aca="false">SUM(B209:B215)</f>
        <v>53421.84</v>
      </c>
      <c r="C216" s="24" t="n">
        <f aca="false">SUM(C209:C215)</f>
        <v>82239.28</v>
      </c>
      <c r="D216" s="34"/>
      <c r="E216" s="34"/>
      <c r="F216" s="24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0" t="n">
        <v>46214</v>
      </c>
      <c r="B221" s="31" t="n">
        <f aca="false">SUMIFS(Report!$U:$U,Report!$T:$T,"&lt;&gt;"&amp;"MERCADORIAS P/REVENDA",Report!$AA:$AA,"SIM",Report!$C:$C,A221)</f>
        <v>6356.18</v>
      </c>
      <c r="C221" s="31" t="n">
        <f aca="false">SUMIFS(Report!$U:$U,Report!$T:$T,"MERCADORIAS P/REVENDA",Report!$AA:$AA,"SIM",Report!$C:$C,A221)</f>
        <v>16345.65</v>
      </c>
      <c r="D221" s="32"/>
      <c r="E221" s="32"/>
      <c r="F221" s="31" t="n">
        <f aca="false">B221+C221</f>
        <v>22701.83</v>
      </c>
    </row>
    <row r="222" customFormat="false" ht="12.75" hidden="false" customHeight="true" outlineLevel="0" collapsed="false">
      <c r="A222" s="30" t="n">
        <v>46215</v>
      </c>
      <c r="B222" s="31" t="n">
        <f aca="false">SUMIFS(Report!$U:$U,Report!$T:$T,"&lt;&gt;"&amp;"MERCADORIAS P/REVENDA",Report!$AA:$AA,"SIM",Report!$C:$C,A222)</f>
        <v>0</v>
      </c>
      <c r="C222" s="31" t="n">
        <f aca="false">SUMIFS(Report!$U:$U,Report!$T:$T,"MERCADORIAS P/REVENDA",Report!$AA:$AA,"SIM",Report!$C:$C,A222)</f>
        <v>0</v>
      </c>
      <c r="D222" s="32"/>
      <c r="E222" s="32"/>
      <c r="F222" s="31" t="n">
        <f aca="false">B222+C222</f>
        <v>0</v>
      </c>
    </row>
    <row r="223" customFormat="false" ht="12.75" hidden="false" customHeight="true" outlineLevel="0" collapsed="false">
      <c r="A223" s="30" t="n">
        <v>46216</v>
      </c>
      <c r="B223" s="31" t="n">
        <f aca="false">SUMIFS(Report!$U:$U,Report!$T:$T,"&lt;&gt;"&amp;"MERCADORIAS P/REVENDA",Report!$AA:$AA,"SIM",Report!$C:$C,A223)</f>
        <v>8059.98</v>
      </c>
      <c r="C223" s="31" t="n">
        <f aca="false">SUMIFS(Report!$U:$U,Report!$T:$T,"MERCADORIAS P/REVENDA",Report!$AA:$AA,"SIM",Report!$C:$C,A223)</f>
        <v>1061.17</v>
      </c>
      <c r="D223" s="32"/>
      <c r="E223" s="32"/>
      <c r="F223" s="31" t="n">
        <f aca="false">B223+C223</f>
        <v>9121.15</v>
      </c>
    </row>
    <row r="224" customFormat="false" ht="12.75" hidden="false" customHeight="true" outlineLevel="0" collapsed="false">
      <c r="A224" s="33" t="str">
        <f aca="false">"Subtotal Semana "&amp;TEXT(A217,"dd/mm/yyyy")&amp;" a "&amp;TEXT(A223,"dd/mm/yyyy")</f>
        <v>Subtotal Semana 07/07/2026 a 13/07/2026</v>
      </c>
      <c r="B224" s="24" t="n">
        <f aca="false">SUM(B217:B223)</f>
        <v>16589.92</v>
      </c>
      <c r="C224" s="24" t="n">
        <f aca="false">SUM(C217:C223)</f>
        <v>91627.04</v>
      </c>
      <c r="D224" s="34"/>
      <c r="E224" s="34"/>
      <c r="F224" s="24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0" t="n">
        <v>46221</v>
      </c>
      <c r="B229" s="31" t="n">
        <f aca="false">SUMIFS(Report!$U:$U,Report!$T:$T,"&lt;&gt;"&amp;"MERCADORIAS P/REVENDA",Report!$AA:$AA,"SIM",Report!$C:$C,A229)</f>
        <v>2541.79</v>
      </c>
      <c r="C229" s="31" t="n">
        <f aca="false">SUMIFS(Report!$U:$U,Report!$T:$T,"MERCADORIAS P/REVENDA",Report!$AA:$AA,"SIM",Report!$C:$C,A229)</f>
        <v>7148.08</v>
      </c>
      <c r="D229" s="32"/>
      <c r="E229" s="32"/>
      <c r="F229" s="31" t="n">
        <f aca="false">B229+C229</f>
        <v>9689.87</v>
      </c>
    </row>
    <row r="230" customFormat="false" ht="12.75" hidden="false" customHeight="true" outlineLevel="0" collapsed="false">
      <c r="A230" s="30" t="n">
        <v>46222</v>
      </c>
      <c r="B230" s="31" t="n">
        <f aca="false">SUMIFS(Report!$U:$U,Report!$T:$T,"&lt;&gt;"&amp;"MERCADORIAS P/REVENDA",Report!$AA:$AA,"SIM",Report!$C:$C,A230)</f>
        <v>0</v>
      </c>
      <c r="C230" s="31" t="n">
        <f aca="false">SUMIFS(Report!$U:$U,Report!$T:$T,"MERCADORIAS P/REVENDA",Report!$AA:$AA,"SIM",Report!$C:$C,A230)</f>
        <v>3841.24</v>
      </c>
      <c r="D230" s="32"/>
      <c r="E230" s="32"/>
      <c r="F230" s="31" t="n">
        <f aca="false">B230+C230</f>
        <v>3841.24</v>
      </c>
    </row>
    <row r="231" customFormat="false" ht="12.75" hidden="false" customHeight="true" outlineLevel="0" collapsed="false">
      <c r="A231" s="30" t="n">
        <v>46223</v>
      </c>
      <c r="B231" s="31" t="n">
        <f aca="false">SUMIFS(Report!$U:$U,Report!$T:$T,"&lt;&gt;"&amp;"MERCADORIAS P/REVENDA",Report!$AA:$AA,"SIM",Report!$C:$C,A231)</f>
        <v>16292.57</v>
      </c>
      <c r="C231" s="31" t="n">
        <f aca="false">SUMIFS(Report!$U:$U,Report!$T:$T,"MERCADORIAS P/REVENDA",Report!$AA:$AA,"SIM",Report!$C:$C,A231)</f>
        <v>5093.38</v>
      </c>
      <c r="D231" s="32"/>
      <c r="E231" s="32"/>
      <c r="F231" s="31" t="n">
        <f aca="false">B231+C231</f>
        <v>21385.95</v>
      </c>
    </row>
    <row r="232" customFormat="false" ht="12.75" hidden="false" customHeight="true" outlineLevel="0" collapsed="false">
      <c r="A232" s="33" t="str">
        <f aca="false">"Subtotal Semana "&amp;TEXT(A225,"dd/mm/yyyy")&amp;" a "&amp;TEXT(A231,"dd/mm/yyyy")</f>
        <v>Subtotal Semana 14/07/2026 a 20/07/2026</v>
      </c>
      <c r="B232" s="24" t="n">
        <f aca="false">SUM(B225:B231)</f>
        <v>53239.09</v>
      </c>
      <c r="C232" s="24" t="n">
        <f aca="false">SUM(C225:C231)</f>
        <v>158950.85</v>
      </c>
      <c r="D232" s="34"/>
      <c r="E232" s="34"/>
      <c r="F232" s="24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0" t="n">
        <v>46228</v>
      </c>
      <c r="B237" s="31" t="n">
        <f aca="false">SUMIFS(Report!$U:$U,Report!$T:$T,"&lt;&gt;"&amp;"MERCADORIAS P/REVENDA",Report!$AA:$AA,"SIM",Report!$C:$C,A237)</f>
        <v>1091.93</v>
      </c>
      <c r="C237" s="31" t="n">
        <f aca="false">SUMIFS(Report!$U:$U,Report!$T:$T,"MERCADORIAS P/REVENDA",Report!$AA:$AA,"SIM",Report!$C:$C,A237)</f>
        <v>5996.37</v>
      </c>
      <c r="D237" s="32"/>
      <c r="E237" s="32"/>
      <c r="F237" s="31" t="n">
        <f aca="false">B237+C237</f>
        <v>7088.3</v>
      </c>
    </row>
    <row r="238" customFormat="false" ht="12.75" hidden="false" customHeight="true" outlineLevel="0" collapsed="false">
      <c r="A238" s="30" t="n">
        <v>46229</v>
      </c>
      <c r="B238" s="31" t="n">
        <f aca="false">SUMIFS(Report!$U:$U,Report!$T:$T,"&lt;&gt;"&amp;"MERCADORIAS P/REVENDA",Report!$AA:$AA,"SIM",Report!$C:$C,A238)</f>
        <v>299.9</v>
      </c>
      <c r="C238" s="31" t="n">
        <f aca="false">SUMIFS(Report!$U:$U,Report!$T:$T,"MERCADORIAS P/REVENDA",Report!$AA:$AA,"SIM",Report!$C:$C,A238)</f>
        <v>280</v>
      </c>
      <c r="D238" s="32"/>
      <c r="E238" s="32"/>
      <c r="F238" s="31" t="n">
        <f aca="false">B238+C238</f>
        <v>579.9</v>
      </c>
    </row>
    <row r="239" customFormat="false" ht="12.75" hidden="false" customHeight="true" outlineLevel="0" collapsed="false">
      <c r="A239" s="30" t="n">
        <v>46230</v>
      </c>
      <c r="B239" s="31" t="n">
        <f aca="false">SUMIFS(Report!$U:$U,Report!$T:$T,"&lt;&gt;"&amp;"MERCADORIAS P/REVENDA",Report!$AA:$AA,"SIM",Report!$C:$C,A239)</f>
        <v>12957.57</v>
      </c>
      <c r="C239" s="31" t="n">
        <f aca="false">SUMIFS(Report!$U:$U,Report!$T:$T,"MERCADORIAS P/REVENDA",Report!$AA:$AA,"SIM",Report!$C:$C,A239)</f>
        <v>16554.98</v>
      </c>
      <c r="D239" s="32"/>
      <c r="E239" s="32"/>
      <c r="F239" s="31" t="n">
        <f aca="false">B239+C239</f>
        <v>29512.55</v>
      </c>
    </row>
    <row r="240" customFormat="false" ht="12.75" hidden="false" customHeight="true" outlineLevel="0" collapsed="false">
      <c r="A240" s="33" t="str">
        <f aca="false">"Subtotal Semana "&amp;TEXT(A233,"dd/mm/yyyy")&amp;" a "&amp;TEXT(A239,"dd/mm/yyyy")</f>
        <v>Subtotal Semana 21/07/2026 a 27/07/2026</v>
      </c>
      <c r="B240" s="24" t="n">
        <f aca="false">SUM(B233:B239)</f>
        <v>27093.8</v>
      </c>
      <c r="C240" s="24" t="n">
        <f aca="false">SUM(C233:C239)</f>
        <v>76386.68</v>
      </c>
      <c r="D240" s="34"/>
      <c r="E240" s="34"/>
      <c r="F240" s="24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30" t="n">
        <v>46235</v>
      </c>
      <c r="B245" s="31" t="n">
        <f aca="false">SUMIFS(Report!$U:$U,Report!$T:$T,"&lt;&gt;"&amp;"MERCADORIAS P/REVENDA",Report!$AA:$AA,"SIM",Report!$C:$C,A245)</f>
        <v>2320.3</v>
      </c>
      <c r="C245" s="31" t="n">
        <f aca="false">SUMIFS(Report!$U:$U,Report!$T:$T,"MERCADORIAS P/REVENDA",Report!$AA:$AA,"SIM",Report!$C:$C,A245)</f>
        <v>10665.19</v>
      </c>
      <c r="D245" s="32"/>
      <c r="E245" s="32"/>
      <c r="F245" s="31" t="n">
        <f aca="false">B245+C245</f>
        <v>12985.49</v>
      </c>
    </row>
    <row r="246" customFormat="false" ht="12.75" hidden="false" customHeight="true" outlineLevel="0" collapsed="false">
      <c r="A246" s="30" t="n">
        <v>46236</v>
      </c>
      <c r="B246" s="31" t="n">
        <f aca="false">SUMIFS(Report!$U:$U,Report!$T:$T,"&lt;&gt;"&amp;"MERCADORIAS P/REVENDA",Report!$AA:$AA,"SIM",Report!$C:$C,A246)</f>
        <v>4444.71</v>
      </c>
      <c r="C246" s="31" t="n">
        <f aca="false">SUMIFS(Report!$U:$U,Report!$T:$T,"MERCADORIAS P/REVENDA",Report!$AA:$AA,"SIM",Report!$C:$C,A246)</f>
        <v>836.5</v>
      </c>
      <c r="D246" s="32"/>
      <c r="E246" s="32"/>
      <c r="F246" s="31" t="n">
        <f aca="false">B246+C246</f>
        <v>5281.21</v>
      </c>
    </row>
    <row r="247" customFormat="false" ht="12.75" hidden="false" customHeight="true" outlineLevel="0" collapsed="false">
      <c r="A247" s="30" t="n">
        <v>46237</v>
      </c>
      <c r="B247" s="31" t="n">
        <f aca="false">SUMIFS(Report!$U:$U,Report!$T:$T,"&lt;&gt;"&amp;"MERCADORIAS P/REVENDA",Report!$AA:$AA,"SIM",Report!$C:$C,A247)</f>
        <v>12131.74</v>
      </c>
      <c r="C247" s="31" t="n">
        <f aca="false">SUMIFS(Report!$U:$U,Report!$T:$T,"MERCADORIAS P/REVENDA",Report!$AA:$AA,"SIM",Report!$C:$C,A247)</f>
        <v>15203.71</v>
      </c>
      <c r="D247" s="32"/>
      <c r="E247" s="32"/>
      <c r="F247" s="31" t="n">
        <f aca="false">B247+C247</f>
        <v>27335.45</v>
      </c>
    </row>
    <row r="248" customFormat="false" ht="12.75" hidden="false" customHeight="true" outlineLevel="0" collapsed="false">
      <c r="A248" s="33" t="str">
        <f aca="false">"Subtotal Semana "&amp;TEXT(A241,"dd/mm/yyyy")&amp;" a "&amp;TEXT(A247,"dd/mm/yyyy")</f>
        <v>Subtotal Semana 28/07/2026 a 03/08/2026</v>
      </c>
      <c r="B248" s="24" t="n">
        <f aca="false">SUM(B241:B247)</f>
        <v>25149.48</v>
      </c>
      <c r="C248" s="24" t="n">
        <f aca="false">SUM(C241:C247)</f>
        <v>82794.78</v>
      </c>
      <c r="D248" s="34"/>
      <c r="E248" s="34"/>
      <c r="F248" s="24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30" t="n">
        <v>46242</v>
      </c>
      <c r="B253" s="31" t="n">
        <f aca="false">SUMIFS(Report!$U:$U,Report!$T:$T,"&lt;&gt;"&amp;"MERCADORIAS P/REVENDA",Report!$AA:$AA,"SIM",Report!$C:$C,A253)</f>
        <v>0</v>
      </c>
      <c r="C253" s="31" t="n">
        <f aca="false">SUMIFS(Report!$U:$U,Report!$T:$T,"MERCADORIAS P/REVENDA",Report!$AA:$AA,"SIM",Report!$C:$C,A253)</f>
        <v>9648.58</v>
      </c>
      <c r="D253" s="32"/>
      <c r="E253" s="32"/>
      <c r="F253" s="31" t="n">
        <f aca="false">B253+C253</f>
        <v>9648.58</v>
      </c>
    </row>
    <row r="254" customFormat="false" ht="12.75" hidden="false" customHeight="true" outlineLevel="0" collapsed="false">
      <c r="A254" s="30" t="n">
        <v>46243</v>
      </c>
      <c r="B254" s="31" t="n">
        <f aca="false">SUMIFS(Report!$U:$U,Report!$T:$T,"&lt;&gt;"&amp;"MERCADORIAS P/REVENDA",Report!$AA:$AA,"SIM",Report!$C:$C,A254)</f>
        <v>0</v>
      </c>
      <c r="C254" s="31" t="n">
        <f aca="false">SUMIFS(Report!$U:$U,Report!$T:$T,"MERCADORIAS P/REVENDA",Report!$AA:$AA,"SIM",Report!$C:$C,A254)</f>
        <v>1207.04</v>
      </c>
      <c r="D254" s="32"/>
      <c r="E254" s="32"/>
      <c r="F254" s="31" t="n">
        <f aca="false">B254+C254</f>
        <v>1207.04</v>
      </c>
    </row>
    <row r="255" customFormat="false" ht="12.75" hidden="false" customHeight="true" outlineLevel="0" collapsed="false">
      <c r="A255" s="30" t="n">
        <v>46244</v>
      </c>
      <c r="B255" s="31" t="n">
        <f aca="false">SUMIFS(Report!$U:$U,Report!$T:$T,"&lt;&gt;"&amp;"MERCADORIAS P/REVENDA",Report!$AA:$AA,"SIM",Report!$C:$C,A255)</f>
        <v>8733.33</v>
      </c>
      <c r="C255" s="31" t="n">
        <f aca="false">SUMIFS(Report!$U:$U,Report!$T:$T,"MERCADORIAS P/REVENDA",Report!$AA:$AA,"SIM",Report!$C:$C,A255)</f>
        <v>11664.38</v>
      </c>
      <c r="D255" s="32"/>
      <c r="E255" s="32"/>
      <c r="F255" s="31" t="n">
        <f aca="false">B255+C255</f>
        <v>20397.71</v>
      </c>
    </row>
    <row r="256" customFormat="false" ht="12.75" hidden="false" customHeight="true" outlineLevel="0" collapsed="false">
      <c r="A256" s="33" t="str">
        <f aca="false">"Subtotal Semana "&amp;TEXT(A249,"dd/mm/yyyy")&amp;" a "&amp;TEXT(A255,"dd/mm/yyyy")</f>
        <v>Subtotal Semana 04/08/2026 a 10/08/2026</v>
      </c>
      <c r="B256" s="24" t="n">
        <f aca="false">SUM(B249:B255)</f>
        <v>33984.14</v>
      </c>
      <c r="C256" s="24" t="n">
        <f aca="false">SUM(C249:C255)</f>
        <v>78193.43</v>
      </c>
      <c r="D256" s="34"/>
      <c r="E256" s="34"/>
      <c r="F256" s="24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125336.36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138407.6</v>
      </c>
    </row>
    <row r="261" customFormat="false" ht="12.75" hidden="false" customHeight="true" outlineLevel="0" collapsed="false">
      <c r="A261" s="30" t="n">
        <v>46249</v>
      </c>
      <c r="B261" s="31" t="n">
        <f aca="false">SUMIFS(Report!$U:$U,Report!$T:$T,"&lt;&gt;"&amp;"MERCADORIAS P/REVENDA",Report!$AA:$AA,"SIM",Report!$C:$C,A261)</f>
        <v>968.92</v>
      </c>
      <c r="C261" s="31" t="n">
        <f aca="false">SUMIFS(Report!$U:$U,Report!$T:$T,"MERCADORIAS P/REVENDA",Report!$AA:$AA,"SIM",Report!$C:$C,A261)</f>
        <v>10172.98</v>
      </c>
      <c r="D261" s="32"/>
      <c r="E261" s="32"/>
      <c r="F261" s="31" t="n">
        <f aca="false">B261+C261</f>
        <v>11141.9</v>
      </c>
    </row>
    <row r="262" customFormat="false" ht="12.75" hidden="false" customHeight="true" outlineLevel="0" collapsed="false">
      <c r="A262" s="30" t="n">
        <v>46250</v>
      </c>
      <c r="B262" s="31" t="n">
        <f aca="false">SUMIFS(Report!$U:$U,Report!$T:$T,"&lt;&gt;"&amp;"MERCADORIAS P/REVENDA",Report!$AA:$AA,"SIM",Report!$C:$C,A262)</f>
        <v>0</v>
      </c>
      <c r="C262" s="31" t="n">
        <f aca="false">SUMIFS(Report!$U:$U,Report!$T:$T,"MERCADORIAS P/REVENDA",Report!$AA:$AA,"SIM",Report!$C:$C,A262)</f>
        <v>0</v>
      </c>
      <c r="D262" s="32"/>
      <c r="E262" s="32"/>
      <c r="F262" s="31" t="n">
        <f aca="false">B262+C262</f>
        <v>0</v>
      </c>
    </row>
    <row r="263" customFormat="false" ht="12.75" hidden="false" customHeight="true" outlineLevel="0" collapsed="false">
      <c r="A263" s="30" t="n">
        <v>46251</v>
      </c>
      <c r="B263" s="31" t="n">
        <f aca="false">SUMIFS(Report!$U:$U,Report!$T:$T,"&lt;&gt;"&amp;"MERCADORIAS P/REVENDA",Report!$AA:$AA,"SIM",Report!$C:$C,A263)</f>
        <v>7517.94</v>
      </c>
      <c r="C263" s="31" t="n">
        <f aca="false">SUMIFS(Report!$U:$U,Report!$T:$T,"MERCADORIAS P/REVENDA",Report!$AA:$AA,"SIM",Report!$C:$C,A263)</f>
        <v>18751.92</v>
      </c>
      <c r="D263" s="32"/>
      <c r="E263" s="32"/>
      <c r="F263" s="31" t="n">
        <f aca="false">B263+C263</f>
        <v>26269.86</v>
      </c>
    </row>
    <row r="264" customFormat="false" ht="12.75" hidden="false" customHeight="true" outlineLevel="0" collapsed="false">
      <c r="A264" s="33" t="str">
        <f aca="false">"Subtotal Semana "&amp;TEXT(A257,"dd/mm/yyyy")&amp;" a "&amp;TEXT(A263,"dd/mm/yyyy")</f>
        <v>Subtotal Semana 11/08/2026 a 17/08/2026</v>
      </c>
      <c r="B264" s="24" t="n">
        <f aca="false">SUM(B257:B263)</f>
        <v>143508.42</v>
      </c>
      <c r="C264" s="24" t="n">
        <f aca="false">SUM(C257:C263)</f>
        <v>84347.21</v>
      </c>
      <c r="D264" s="34"/>
      <c r="E264" s="34"/>
      <c r="F264" s="24" t="n">
        <f aca="false">B264+C264</f>
        <v>227855.63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16610.91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1000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11779.38</v>
      </c>
    </row>
    <row r="269" customFormat="false" ht="12.75" hidden="false" customHeight="true" outlineLevel="0" collapsed="false">
      <c r="A269" s="30" t="n">
        <v>46256</v>
      </c>
      <c r="B269" s="31" t="n">
        <f aca="false">SUMIFS(Report!$U:$U,Report!$T:$T,"&lt;&gt;"&amp;"MERCADORIAS P/REVENDA",Report!$AA:$AA,"SIM",Report!$C:$C,A269)</f>
        <v>12708.97</v>
      </c>
      <c r="C269" s="31" t="n">
        <f aca="false">SUMIFS(Report!$U:$U,Report!$T:$T,"MERCADORIAS P/REVENDA",Report!$AA:$AA,"SIM",Report!$C:$C,A269)</f>
        <v>19117.32</v>
      </c>
      <c r="D269" s="32"/>
      <c r="E269" s="32"/>
      <c r="F269" s="31" t="n">
        <f aca="false">B269+C269</f>
        <v>31826.29</v>
      </c>
    </row>
    <row r="270" customFormat="false" ht="12.75" hidden="false" customHeight="true" outlineLevel="0" collapsed="false">
      <c r="A270" s="30" t="n">
        <v>46257</v>
      </c>
      <c r="B270" s="31" t="n">
        <f aca="false">SUMIFS(Report!$U:$U,Report!$T:$T,"&lt;&gt;"&amp;"MERCADORIAS P/REVENDA",Report!$AA:$AA,"SIM",Report!$C:$C,A270)</f>
        <v>0</v>
      </c>
      <c r="C270" s="31" t="n">
        <f aca="false">SUMIFS(Report!$U:$U,Report!$T:$T,"MERCADORIAS P/REVENDA",Report!$AA:$AA,"SIM",Report!$C:$C,A270)</f>
        <v>1760.2</v>
      </c>
      <c r="D270" s="32"/>
      <c r="E270" s="32"/>
      <c r="F270" s="31" t="n">
        <f aca="false">B270+C270</f>
        <v>1760.2</v>
      </c>
    </row>
    <row r="271" customFormat="false" ht="12.75" hidden="false" customHeight="true" outlineLevel="0" collapsed="false">
      <c r="A271" s="30" t="n">
        <v>46258</v>
      </c>
      <c r="B271" s="31" t="n">
        <f aca="false">SUMIFS(Report!$U:$U,Report!$T:$T,"&lt;&gt;"&amp;"MERCADORIAS P/REVENDA",Report!$AA:$AA,"SIM",Report!$C:$C,A271)</f>
        <v>0</v>
      </c>
      <c r="C271" s="31" t="n">
        <f aca="false">SUMIFS(Report!$U:$U,Report!$T:$T,"MERCADORIAS P/REVENDA",Report!$AA:$AA,"SIM",Report!$C:$C,A271)</f>
        <v>9730.49</v>
      </c>
      <c r="D271" s="32"/>
      <c r="E271" s="32"/>
      <c r="F271" s="31" t="n">
        <f aca="false">B271+C271</f>
        <v>9730.49</v>
      </c>
    </row>
    <row r="272" customFormat="false" ht="12.75" hidden="false" customHeight="true" outlineLevel="0" collapsed="false">
      <c r="A272" s="33" t="str">
        <f aca="false">"Subtotal Semana "&amp;TEXT(A265,"dd/mm/yyyy")&amp;" a "&amp;TEXT(A271,"dd/mm/yyyy")</f>
        <v>Subtotal Semana 18/08/2026 a 24/08/2026</v>
      </c>
      <c r="B272" s="24" t="n">
        <f aca="false">SUM(B265:B271)</f>
        <v>33478.35</v>
      </c>
      <c r="C272" s="24" t="n">
        <f aca="false">SUM(C265:C271)</f>
        <v>79252.73</v>
      </c>
      <c r="D272" s="34"/>
      <c r="E272" s="34"/>
      <c r="F272" s="24" t="n">
        <f aca="false">B272+C272</f>
        <v>112731.08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1907.13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30458.44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1323.04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9932.9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13820.46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5276.88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24218.66</v>
      </c>
    </row>
    <row r="277" customFormat="false" ht="12.75" hidden="false" customHeight="true" outlineLevel="0" collapsed="false">
      <c r="A277" s="30" t="n">
        <v>46263</v>
      </c>
      <c r="B277" s="31" t="n">
        <f aca="false">SUMIFS(Report!$U:$U,Report!$T:$T,"&lt;&gt;"&amp;"MERCADORIAS P/REVENDA",Report!$AA:$AA,"SIM",Report!$C:$C,A277)</f>
        <v>0</v>
      </c>
      <c r="C277" s="31" t="n">
        <f aca="false">SUMIFS(Report!$U:$U,Report!$T:$T,"MERCADORIAS P/REVENDA",Report!$AA:$AA,"SIM",Report!$C:$C,A277)</f>
        <v>6896.54</v>
      </c>
      <c r="D277" s="32"/>
      <c r="E277" s="32"/>
      <c r="F277" s="31" t="n">
        <f aca="false">B277+C277</f>
        <v>6896.54</v>
      </c>
    </row>
    <row r="278" customFormat="false" ht="12.75" hidden="false" customHeight="true" outlineLevel="0" collapsed="false">
      <c r="A278" s="30" t="n">
        <v>46264</v>
      </c>
      <c r="B278" s="31" t="n">
        <f aca="false">SUMIFS(Report!$U:$U,Report!$T:$T,"&lt;&gt;"&amp;"MERCADORIAS P/REVENDA",Report!$AA:$AA,"SIM",Report!$C:$C,A278)</f>
        <v>0</v>
      </c>
      <c r="C278" s="31" t="n">
        <f aca="false">SUMIFS(Report!$U:$U,Report!$T:$T,"MERCADORIAS P/REVENDA",Report!$AA:$AA,"SIM",Report!$C:$C,A278)</f>
        <v>0</v>
      </c>
      <c r="D278" s="32"/>
      <c r="E278" s="32"/>
      <c r="F278" s="31" t="n">
        <f aca="false">B278+C278</f>
        <v>0</v>
      </c>
    </row>
    <row r="279" customFormat="false" ht="12.75" hidden="false" customHeight="true" outlineLevel="0" collapsed="false">
      <c r="A279" s="30" t="n">
        <v>46265</v>
      </c>
      <c r="B279" s="31" t="n">
        <f aca="false">SUMIFS(Report!$U:$U,Report!$T:$T,"&lt;&gt;"&amp;"MERCADORIAS P/REVENDA",Report!$AA:$AA,"SIM",Report!$C:$C,A279)</f>
        <v>373.15</v>
      </c>
      <c r="C279" s="31" t="n">
        <f aca="false">SUMIFS(Report!$U:$U,Report!$T:$T,"MERCADORIAS P/REVENDA",Report!$AA:$AA,"SIM",Report!$C:$C,A279)</f>
        <v>20650.58</v>
      </c>
      <c r="D279" s="32"/>
      <c r="E279" s="32"/>
      <c r="F279" s="31" t="n">
        <f aca="false">B279+C279</f>
        <v>21023.73</v>
      </c>
    </row>
    <row r="280" customFormat="false" ht="12.75" hidden="false" customHeight="true" outlineLevel="0" collapsed="false">
      <c r="A280" s="33" t="str">
        <f aca="false">"Subtotal Semana "&amp;TEXT(A273,"dd/mm/yyyy")&amp;" a "&amp;TEXT(A279,"dd/mm/yyyy")</f>
        <v>Subtotal Semana 25/08/2026 a 31/08/2026</v>
      </c>
      <c r="B280" s="24" t="n">
        <f aca="false">SUM(B273:B279)</f>
        <v>8880.2</v>
      </c>
      <c r="C280" s="24" t="n">
        <f aca="false">SUM(C273:C279)</f>
        <v>97470.53</v>
      </c>
      <c r="D280" s="34"/>
      <c r="E280" s="34"/>
      <c r="F280" s="24" t="n">
        <f aca="false">B280+C280</f>
        <v>106350.73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2906.25</v>
      </c>
      <c r="C281" s="17" t="n">
        <f aca="false">SUMIFS(Report!$U:$U,Report!$T:$T,"MERCADORIAS P/REVENDA",Report!$AA:$AA,"SIM",Report!$C:$C,A281)</f>
        <v>13549.8</v>
      </c>
      <c r="F281" s="17" t="n">
        <f aca="false">B281+C281</f>
        <v>16456.05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10174.58</v>
      </c>
      <c r="C282" s="17" t="n">
        <f aca="false">SUMIFS(Report!$U:$U,Report!$T:$T,"MERCADORIAS P/REVENDA",Report!$AA:$AA,"SIM",Report!$C:$C,A282)</f>
        <v>10479.24</v>
      </c>
      <c r="F282" s="17" t="n">
        <f aca="false">B282+C282</f>
        <v>20653.82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21595.35</v>
      </c>
      <c r="F283" s="17" t="n">
        <f aca="false">B283+C283</f>
        <v>21595.35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52000</v>
      </c>
      <c r="C284" s="17" t="n">
        <f aca="false">SUMIFS(Report!$U:$U,Report!$T:$T,"MERCADORIAS P/REVENDA",Report!$AA:$AA,"SIM",Report!$C:$C,A284)</f>
        <v>10719.63</v>
      </c>
      <c r="F284" s="17" t="n">
        <f aca="false">B284+C284</f>
        <v>62719.63</v>
      </c>
    </row>
    <row r="285" customFormat="false" ht="12.75" hidden="false" customHeight="true" outlineLevel="0" collapsed="false">
      <c r="A285" s="30" t="n">
        <v>46270</v>
      </c>
      <c r="B285" s="31" t="n">
        <f aca="false">SUMIFS(Report!$U:$U,Report!$T:$T,"&lt;&gt;"&amp;"MERCADORIAS P/REVENDA",Report!$AA:$AA,"SIM",Report!$C:$C,A285)</f>
        <v>975.64</v>
      </c>
      <c r="C285" s="31" t="n">
        <f aca="false">SUMIFS(Report!$U:$U,Report!$T:$T,"MERCADORIAS P/REVENDA",Report!$AA:$AA,"SIM",Report!$C:$C,A285)</f>
        <v>5631.79</v>
      </c>
      <c r="D285" s="32"/>
      <c r="E285" s="32"/>
      <c r="F285" s="31" t="n">
        <f aca="false">B285+C285</f>
        <v>6607.43</v>
      </c>
    </row>
    <row r="286" customFormat="false" ht="12.75" hidden="false" customHeight="true" outlineLevel="0" collapsed="false">
      <c r="A286" s="30" t="n">
        <v>46271</v>
      </c>
      <c r="B286" s="31" t="n">
        <f aca="false">SUMIFS(Report!$U:$U,Report!$T:$T,"&lt;&gt;"&amp;"MERCADORIAS P/REVENDA",Report!$AA:$AA,"SIM",Report!$C:$C,A286)</f>
        <v>0</v>
      </c>
      <c r="C286" s="31" t="n">
        <f aca="false">SUMIFS(Report!$U:$U,Report!$T:$T,"MERCADORIAS P/REVENDA",Report!$AA:$AA,"SIM",Report!$C:$C,A286)</f>
        <v>487.32</v>
      </c>
      <c r="D286" s="32"/>
      <c r="E286" s="32"/>
      <c r="F286" s="31" t="n">
        <f aca="false">B286+C286</f>
        <v>487.32</v>
      </c>
    </row>
    <row r="287" customFormat="false" ht="12.75" hidden="false" customHeight="true" outlineLevel="0" collapsed="false">
      <c r="A287" s="30" t="n">
        <v>46272</v>
      </c>
      <c r="B287" s="31" t="n">
        <f aca="false">SUMIFS(Report!$U:$U,Report!$T:$T,"&lt;&gt;"&amp;"MERCADORIAS P/REVENDA",Report!$AA:$AA,"SIM",Report!$C:$C,A287)</f>
        <v>0</v>
      </c>
      <c r="C287" s="31" t="n">
        <f aca="false">SUMIFS(Report!$U:$U,Report!$T:$T,"MERCADORIAS P/REVENDA",Report!$AA:$AA,"SIM",Report!$C:$C,A287)</f>
        <v>10786.6</v>
      </c>
      <c r="D287" s="32"/>
      <c r="E287" s="32"/>
      <c r="F287" s="31" t="n">
        <f aca="false">B287+C287</f>
        <v>10786.6</v>
      </c>
    </row>
    <row r="288" customFormat="false" ht="12.75" hidden="false" customHeight="true" outlineLevel="0" collapsed="false">
      <c r="A288" s="33" t="str">
        <f aca="false">"Subtotal Semana "&amp;TEXT(A281,"dd/mm/yyyy")&amp;" a "&amp;TEXT(A287,"dd/mm/yyyy")</f>
        <v>Subtotal Semana 01/09/2026 a 07/09/2026</v>
      </c>
      <c r="B288" s="24" t="n">
        <f aca="false">SUM(B281:B287)</f>
        <v>66056.47</v>
      </c>
      <c r="C288" s="24" t="n">
        <f aca="false">SUM(C281:C287)</f>
        <v>73249.73</v>
      </c>
      <c r="D288" s="34"/>
      <c r="E288" s="34"/>
      <c r="F288" s="24" t="n">
        <f aca="false">B288+C288</f>
        <v>139306.2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100000</v>
      </c>
      <c r="C289" s="17" t="n">
        <f aca="false">SUMIFS(Report!$U:$U,Report!$T:$T,"MERCADORIAS P/REVENDA",Report!$AA:$AA,"SIM",Report!$C:$C,A289)</f>
        <v>13042.16</v>
      </c>
      <c r="F289" s="17" t="n">
        <f aca="false">B289+C289</f>
        <v>113042.16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7581.56</v>
      </c>
      <c r="F290" s="17" t="n">
        <f aca="false">B290+C290</f>
        <v>8697.43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83059.92</v>
      </c>
      <c r="C291" s="17" t="n">
        <f aca="false">SUMIFS(Report!$U:$U,Report!$T:$T,"MERCADORIAS P/REVENDA",Report!$AA:$AA,"SIM",Report!$C:$C,A291)</f>
        <v>4153.1</v>
      </c>
      <c r="F291" s="17" t="n">
        <f aca="false">B291+C291</f>
        <v>87213.02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1000</v>
      </c>
      <c r="C292" s="17" t="n">
        <f aca="false">SUMIFS(Report!$U:$U,Report!$T:$T,"MERCADORIAS P/REVENDA",Report!$AA:$AA,"SIM",Report!$C:$C,A292)</f>
        <v>7329.91</v>
      </c>
      <c r="F292" s="17" t="n">
        <f aca="false">B292+C292</f>
        <v>8329.91</v>
      </c>
    </row>
    <row r="293" customFormat="false" ht="12.75" hidden="false" customHeight="true" outlineLevel="0" collapsed="false">
      <c r="A293" s="30" t="n">
        <v>46277</v>
      </c>
      <c r="B293" s="31" t="n">
        <f aca="false">SUMIFS(Report!$U:$U,Report!$T:$T,"&lt;&gt;"&amp;"MERCADORIAS P/REVENDA",Report!$AA:$AA,"SIM",Report!$C:$C,A293)</f>
        <v>538.03</v>
      </c>
      <c r="C293" s="31" t="n">
        <f aca="false">SUMIFS(Report!$U:$U,Report!$T:$T,"MERCADORIAS P/REVENDA",Report!$AA:$AA,"SIM",Report!$C:$C,A293)</f>
        <v>5443</v>
      </c>
      <c r="D293" s="32"/>
      <c r="E293" s="32"/>
      <c r="F293" s="31" t="n">
        <f aca="false">B293+C293</f>
        <v>5981.03</v>
      </c>
    </row>
    <row r="294" customFormat="false" ht="12.75" hidden="false" customHeight="true" outlineLevel="0" collapsed="false">
      <c r="A294" s="30" t="n">
        <v>46278</v>
      </c>
      <c r="B294" s="31" t="n">
        <f aca="false">SUMIFS(Report!$U:$U,Report!$T:$T,"&lt;&gt;"&amp;"MERCADORIAS P/REVENDA",Report!$AA:$AA,"SIM",Report!$C:$C,A294)</f>
        <v>0</v>
      </c>
      <c r="C294" s="31" t="n">
        <f aca="false">SUMIFS(Report!$U:$U,Report!$T:$T,"MERCADORIAS P/REVENDA",Report!$AA:$AA,"SIM",Report!$C:$C,A294)</f>
        <v>0</v>
      </c>
      <c r="D294" s="32"/>
      <c r="E294" s="32"/>
      <c r="F294" s="31" t="n">
        <f aca="false">B294+C294</f>
        <v>0</v>
      </c>
    </row>
    <row r="295" customFormat="false" ht="12.75" hidden="false" customHeight="true" outlineLevel="0" collapsed="false">
      <c r="A295" s="30" t="n">
        <v>46279</v>
      </c>
      <c r="B295" s="31" t="n">
        <f aca="false">SUMIFS(Report!$U:$U,Report!$T:$T,"&lt;&gt;"&amp;"MERCADORIAS P/REVENDA",Report!$AA:$AA,"SIM",Report!$C:$C,A295)</f>
        <v>0</v>
      </c>
      <c r="C295" s="31" t="n">
        <f aca="false">SUMIFS(Report!$U:$U,Report!$T:$T,"MERCADORIAS P/REVENDA",Report!$AA:$AA,"SIM",Report!$C:$C,A295)</f>
        <v>3378.74</v>
      </c>
      <c r="D295" s="32"/>
      <c r="E295" s="32"/>
      <c r="F295" s="31" t="n">
        <f aca="false">B295+C295</f>
        <v>3378.74</v>
      </c>
    </row>
    <row r="296" customFormat="false" ht="12.75" hidden="false" customHeight="true" outlineLevel="0" collapsed="false">
      <c r="A296" s="33" t="str">
        <f aca="false">"Subtotal Semana "&amp;TEXT(A289,"dd/mm/yyyy")&amp;" a "&amp;TEXT(A295,"dd/mm/yyyy")</f>
        <v>Subtotal Semana 08/09/2026 a 14/09/2026</v>
      </c>
      <c r="B296" s="24" t="n">
        <f aca="false">SUM(B289:B295)</f>
        <v>185713.82</v>
      </c>
      <c r="C296" s="24" t="n">
        <f aca="false">SUM(C289:C295)</f>
        <v>40928.47</v>
      </c>
      <c r="D296" s="34"/>
      <c r="E296" s="34"/>
      <c r="F296" s="24" t="n">
        <f aca="false">B296+C296</f>
        <v>226642.29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2834.01</v>
      </c>
      <c r="F297" s="17" t="n">
        <f aca="false">B297+C297</f>
        <v>3236.86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1193.87</v>
      </c>
      <c r="C298" s="17" t="n">
        <f aca="false">SUMIFS(Report!$U:$U,Report!$T:$T,"MERCADORIAS P/REVENDA",Report!$AA:$AA,"SIM",Report!$C:$C,A298)</f>
        <v>3331.96</v>
      </c>
      <c r="F298" s="17" t="n">
        <f aca="false">B298+C298</f>
        <v>4525.83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3040.32</v>
      </c>
      <c r="F299" s="17" t="n">
        <f aca="false">B299+C299</f>
        <v>7391.84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3102.5</v>
      </c>
      <c r="F300" s="17" t="n">
        <f aca="false">B300+C300</f>
        <v>6612.84</v>
      </c>
    </row>
    <row r="301" customFormat="false" ht="12.75" hidden="false" customHeight="true" outlineLevel="0" collapsed="false">
      <c r="A301" s="30" t="n">
        <v>46284</v>
      </c>
      <c r="B301" s="31" t="n">
        <f aca="false">SUMIFS(Report!$U:$U,Report!$T:$T,"&lt;&gt;"&amp;"MERCADORIAS P/REVENDA",Report!$AA:$AA,"SIM",Report!$C:$C,A301)</f>
        <v>538.02</v>
      </c>
      <c r="C301" s="31" t="n">
        <f aca="false">SUMIFS(Report!$U:$U,Report!$T:$T,"MERCADORIAS P/REVENDA",Report!$AA:$AA,"SIM",Report!$C:$C,A301)</f>
        <v>0</v>
      </c>
      <c r="D301" s="32"/>
      <c r="E301" s="32"/>
      <c r="F301" s="31" t="n">
        <f aca="false">B301+C301</f>
        <v>538.02</v>
      </c>
    </row>
    <row r="302" customFormat="false" ht="12.75" hidden="false" customHeight="true" outlineLevel="0" collapsed="false">
      <c r="A302" s="30" t="n">
        <v>46285</v>
      </c>
      <c r="B302" s="31" t="n">
        <f aca="false">SUMIFS(Report!$U:$U,Report!$T:$T,"&lt;&gt;"&amp;"MERCADORIAS P/REVENDA",Report!$AA:$AA,"SIM",Report!$C:$C,A302)</f>
        <v>4228.26</v>
      </c>
      <c r="C302" s="31" t="n">
        <f aca="false">SUMIFS(Report!$U:$U,Report!$T:$T,"MERCADORIAS P/REVENDA",Report!$AA:$AA,"SIM",Report!$C:$C,A302)</f>
        <v>203.79</v>
      </c>
      <c r="D302" s="32"/>
      <c r="E302" s="32"/>
      <c r="F302" s="31" t="n">
        <f aca="false">B302+C302</f>
        <v>4432.05</v>
      </c>
    </row>
    <row r="303" customFormat="false" ht="12.75" hidden="false" customHeight="true" outlineLevel="0" collapsed="false">
      <c r="A303" s="30" t="n">
        <v>46286</v>
      </c>
      <c r="B303" s="31" t="n">
        <f aca="false">SUMIFS(Report!$U:$U,Report!$T:$T,"&lt;&gt;"&amp;"MERCADORIAS P/REVENDA",Report!$AA:$AA,"SIM",Report!$C:$C,A303)</f>
        <v>0</v>
      </c>
      <c r="C303" s="31" t="n">
        <f aca="false">SUMIFS(Report!$U:$U,Report!$T:$T,"MERCADORIAS P/REVENDA",Report!$AA:$AA,"SIM",Report!$C:$C,A303)</f>
        <v>2532.67</v>
      </c>
      <c r="D303" s="32"/>
      <c r="E303" s="32"/>
      <c r="F303" s="31" t="n">
        <f aca="false">B303+C303</f>
        <v>2532.67</v>
      </c>
    </row>
    <row r="304" customFormat="false" ht="12.75" hidden="false" customHeight="true" outlineLevel="0" collapsed="false">
      <c r="A304" s="33" t="str">
        <f aca="false">"Subtotal Semana "&amp;TEXT(A297,"dd/mm/yyyy")&amp;" a "&amp;TEXT(A303,"dd/mm/yyyy")</f>
        <v>Subtotal Semana 15/09/2026 a 21/09/2026</v>
      </c>
      <c r="B304" s="24" t="n">
        <f aca="false">SUM(B297:B303)</f>
        <v>14224.86</v>
      </c>
      <c r="C304" s="24" t="n">
        <f aca="false">SUM(C297:C303)</f>
        <v>15045.25</v>
      </c>
      <c r="D304" s="34"/>
      <c r="E304" s="34"/>
      <c r="F304" s="24" t="n">
        <f aca="false">B304+C304</f>
        <v>29270.11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1460.03</v>
      </c>
      <c r="F306" s="17" t="n">
        <f aca="false">B306+C306</f>
        <v>2575.89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1644.38</v>
      </c>
      <c r="C308" s="17" t="n">
        <f aca="false">SUMIFS(Report!$U:$U,Report!$T:$T,"MERCADORIAS P/REVENDA",Report!$AA:$AA,"SIM",Report!$C:$C,A308)</f>
        <v>2166.38</v>
      </c>
      <c r="F308" s="17" t="n">
        <f aca="false">B308+C308</f>
        <v>3810.76</v>
      </c>
    </row>
    <row r="309" customFormat="false" ht="12.75" hidden="false" customHeight="true" outlineLevel="0" collapsed="false">
      <c r="A309" s="30" t="n">
        <v>46291</v>
      </c>
      <c r="B309" s="31" t="n">
        <f aca="false">SUMIFS(Report!$U:$U,Report!$T:$T,"&lt;&gt;"&amp;"MERCADORIAS P/REVENDA",Report!$AA:$AA,"SIM",Report!$C:$C,A309)</f>
        <v>0</v>
      </c>
      <c r="C309" s="31" t="n">
        <f aca="false">SUMIFS(Report!$U:$U,Report!$T:$T,"MERCADORIAS P/REVENDA",Report!$AA:$AA,"SIM",Report!$C:$C,A309)</f>
        <v>0</v>
      </c>
      <c r="D309" s="32"/>
      <c r="E309" s="32"/>
      <c r="F309" s="31" t="n">
        <f aca="false">B309+C309</f>
        <v>0</v>
      </c>
    </row>
    <row r="310" customFormat="false" ht="12.75" hidden="false" customHeight="true" outlineLevel="0" collapsed="false">
      <c r="A310" s="30" t="n">
        <v>46292</v>
      </c>
      <c r="B310" s="31" t="n">
        <f aca="false">SUMIFS(Report!$U:$U,Report!$T:$T,"&lt;&gt;"&amp;"MERCADORIAS P/REVENDA",Report!$AA:$AA,"SIM",Report!$C:$C,A310)</f>
        <v>0</v>
      </c>
      <c r="C310" s="31" t="n">
        <f aca="false">SUMIFS(Report!$U:$U,Report!$T:$T,"MERCADORIAS P/REVENDA",Report!$AA:$AA,"SIM",Report!$C:$C,A310)</f>
        <v>0</v>
      </c>
      <c r="D310" s="32"/>
      <c r="E310" s="32"/>
      <c r="F310" s="31" t="n">
        <f aca="false">B310+C310</f>
        <v>0</v>
      </c>
    </row>
    <row r="311" customFormat="false" ht="12.75" hidden="false" customHeight="true" outlineLevel="0" collapsed="false">
      <c r="A311" s="30" t="n">
        <v>46293</v>
      </c>
      <c r="B311" s="31" t="n">
        <f aca="false">SUMIFS(Report!$U:$U,Report!$T:$T,"&lt;&gt;"&amp;"MERCADORIAS P/REVENDA",Report!$AA:$AA,"SIM",Report!$C:$C,A311)</f>
        <v>0</v>
      </c>
      <c r="C311" s="31" t="n">
        <f aca="false">SUMIFS(Report!$U:$U,Report!$T:$T,"MERCADORIAS P/REVENDA",Report!$AA:$AA,"SIM",Report!$C:$C,A311)</f>
        <v>1589.98</v>
      </c>
      <c r="D311" s="32"/>
      <c r="E311" s="32"/>
      <c r="F311" s="31" t="n">
        <f aca="false">B311+C311</f>
        <v>1589.98</v>
      </c>
    </row>
    <row r="312" customFormat="false" ht="12.75" hidden="false" customHeight="true" outlineLevel="0" collapsed="false">
      <c r="A312" s="33" t="str">
        <f aca="false">"Subtotal Semana "&amp;TEXT(A305,"dd/mm/yyyy")&amp;" a "&amp;TEXT(A311,"dd/mm/yyyy")</f>
        <v>Subtotal Semana 22/09/2026 a 28/09/2026</v>
      </c>
      <c r="B312" s="24" t="n">
        <f aca="false">SUM(B305:B311)</f>
        <v>13148.88</v>
      </c>
      <c r="C312" s="24" t="n">
        <f aca="false">SUM(C305:C311)</f>
        <v>9453.91</v>
      </c>
      <c r="D312" s="34"/>
      <c r="E312" s="34"/>
      <c r="F312" s="24" t="n">
        <f aca="false">B312+C312</f>
        <v>22602.79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1460.01</v>
      </c>
      <c r="F314" s="17" t="n">
        <f aca="false">B314+C314</f>
        <v>1460.01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457.88</v>
      </c>
      <c r="F316" s="17" t="n">
        <f aca="false">B316+C316</f>
        <v>10295.17</v>
      </c>
    </row>
    <row r="317" customFormat="false" ht="12.75" hidden="false" customHeight="true" outlineLevel="0" collapsed="false">
      <c r="A317" s="30" t="n">
        <v>46298</v>
      </c>
      <c r="B317" s="31" t="n">
        <f aca="false">SUMIFS(Report!$U:$U,Report!$T:$T,"&lt;&gt;"&amp;"MERCADORIAS P/REVENDA",Report!$AA:$AA,"SIM",Report!$C:$C,A317)</f>
        <v>0</v>
      </c>
      <c r="C317" s="31" t="n">
        <f aca="false">SUMIFS(Report!$U:$U,Report!$T:$T,"MERCADORIAS P/REVENDA",Report!$AA:$AA,"SIM",Report!$C:$C,A317)</f>
        <v>0</v>
      </c>
      <c r="D317" s="32"/>
      <c r="E317" s="32"/>
      <c r="F317" s="31" t="n">
        <f aca="false">B317+C317</f>
        <v>0</v>
      </c>
    </row>
    <row r="318" customFormat="false" ht="12.75" hidden="false" customHeight="true" outlineLevel="0" collapsed="false">
      <c r="A318" s="30" t="n">
        <v>46299</v>
      </c>
      <c r="B318" s="31" t="n">
        <f aca="false">SUMIFS(Report!$U:$U,Report!$T:$T,"&lt;&gt;"&amp;"MERCADORIAS P/REVENDA",Report!$AA:$AA,"SIM",Report!$C:$C,A318)</f>
        <v>51000</v>
      </c>
      <c r="C318" s="31" t="n">
        <f aca="false">SUMIFS(Report!$U:$U,Report!$T:$T,"MERCADORIAS P/REVENDA",Report!$AA:$AA,"SIM",Report!$C:$C,A318)</f>
        <v>0</v>
      </c>
      <c r="D318" s="32"/>
      <c r="E318" s="32"/>
      <c r="F318" s="31" t="n">
        <f aca="false">B318+C318</f>
        <v>51000</v>
      </c>
    </row>
    <row r="319" customFormat="false" ht="12.75" hidden="false" customHeight="true" outlineLevel="0" collapsed="false">
      <c r="A319" s="30" t="n">
        <v>46300</v>
      </c>
      <c r="B319" s="31" t="n">
        <f aca="false">SUMIFS(Report!$U:$U,Report!$T:$T,"&lt;&gt;"&amp;"MERCADORIAS P/REVENDA",Report!$AA:$AA,"SIM",Report!$C:$C,A319)</f>
        <v>437.61</v>
      </c>
      <c r="C319" s="31" t="n">
        <f aca="false">SUMIFS(Report!$U:$U,Report!$T:$T,"MERCADORIAS P/REVENDA",Report!$AA:$AA,"SIM",Report!$C:$C,A319)</f>
        <v>728.68</v>
      </c>
      <c r="D319" s="32"/>
      <c r="E319" s="32"/>
      <c r="F319" s="31" t="n">
        <f aca="false">B319+C319</f>
        <v>1166.29</v>
      </c>
    </row>
    <row r="320" customFormat="false" ht="12.75" hidden="false" customHeight="true" outlineLevel="0" collapsed="false">
      <c r="A320" s="33" t="str">
        <f aca="false">"Subtotal Semana "&amp;TEXT(A313,"dd/mm/yyyy")&amp;" a "&amp;TEXT(A319,"dd/mm/yyyy")</f>
        <v>Subtotal Semana 29/09/2026 a 05/10/2026</v>
      </c>
      <c r="B320" s="24" t="n">
        <f aca="false">SUM(B313:B319)</f>
        <v>61274.9</v>
      </c>
      <c r="C320" s="24" t="n">
        <f aca="false">SUM(C313:C319)</f>
        <v>3488.86</v>
      </c>
      <c r="D320" s="34"/>
      <c r="E320" s="34"/>
      <c r="F320" s="24" t="n">
        <f aca="false">B320+C320</f>
        <v>64763.76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2176.66</v>
      </c>
      <c r="F324" s="17" t="n">
        <f aca="false">B324+C324</f>
        <v>2176.66</v>
      </c>
    </row>
    <row r="325" customFormat="false" ht="12.75" hidden="false" customHeight="true" outlineLevel="0" collapsed="false">
      <c r="A325" s="30" t="n">
        <v>46305</v>
      </c>
      <c r="B325" s="31" t="n">
        <f aca="false">SUMIFS(Report!$U:$U,Report!$T:$T,"&lt;&gt;"&amp;"MERCADORIAS P/REVENDA",Report!$AA:$AA,"SIM",Report!$C:$C,A325)</f>
        <v>82995.76</v>
      </c>
      <c r="C325" s="31" t="n">
        <f aca="false">SUMIFS(Report!$U:$U,Report!$T:$T,"MERCADORIAS P/REVENDA",Report!$AA:$AA,"SIM",Report!$C:$C,A325)</f>
        <v>0</v>
      </c>
      <c r="D325" s="32"/>
      <c r="E325" s="32"/>
      <c r="F325" s="31" t="n">
        <f aca="false">B325+C325</f>
        <v>82995.76</v>
      </c>
    </row>
    <row r="326" customFormat="false" ht="12.75" hidden="false" customHeight="true" outlineLevel="0" collapsed="false">
      <c r="A326" s="30" t="n">
        <v>46306</v>
      </c>
      <c r="B326" s="31" t="n">
        <f aca="false">SUMIFS(Report!$U:$U,Report!$T:$T,"&lt;&gt;"&amp;"MERCADORIAS P/REVENDA",Report!$AA:$AA,"SIM",Report!$C:$C,A326)</f>
        <v>0</v>
      </c>
      <c r="C326" s="31" t="n">
        <f aca="false">SUMIFS(Report!$U:$U,Report!$T:$T,"MERCADORIAS P/REVENDA",Report!$AA:$AA,"SIM",Report!$C:$C,A326)</f>
        <v>0</v>
      </c>
      <c r="D326" s="32"/>
      <c r="E326" s="32"/>
      <c r="F326" s="31" t="n">
        <f aca="false">B326+C326</f>
        <v>0</v>
      </c>
    </row>
    <row r="327" customFormat="false" ht="12.75" hidden="false" customHeight="true" outlineLevel="0" collapsed="false">
      <c r="A327" s="30" t="n">
        <v>46307</v>
      </c>
      <c r="B327" s="31" t="n">
        <f aca="false">SUMIFS(Report!$U:$U,Report!$T:$T,"&lt;&gt;"&amp;"MERCADORIAS P/REVENDA",Report!$AA:$AA,"SIM",Report!$C:$C,A327)</f>
        <v>0</v>
      </c>
      <c r="C327" s="31" t="n">
        <f aca="false">SUMIFS(Report!$U:$U,Report!$T:$T,"MERCADORIAS P/REVENDA",Report!$AA:$AA,"SIM",Report!$C:$C,A327)</f>
        <v>524.87</v>
      </c>
      <c r="D327" s="32"/>
      <c r="E327" s="32"/>
      <c r="F327" s="31" t="n">
        <f aca="false">B327+C327</f>
        <v>524.87</v>
      </c>
    </row>
    <row r="328" customFormat="false" ht="12.75" hidden="false" customHeight="true" outlineLevel="0" collapsed="false">
      <c r="A328" s="33" t="str">
        <f aca="false">"Subtotal Semana "&amp;TEXT(A321,"dd/mm/yyyy")&amp;" a "&amp;TEXT(A327,"dd/mm/yyyy")</f>
        <v>Subtotal Semana 06/10/2026 a 12/10/2026</v>
      </c>
      <c r="B328" s="24" t="n">
        <f aca="false">SUM(B321:B327)</f>
        <v>82995.76</v>
      </c>
      <c r="C328" s="24" t="n">
        <f aca="false">SUM(C321:C327)</f>
        <v>4254.74</v>
      </c>
      <c r="D328" s="34"/>
      <c r="E328" s="34"/>
      <c r="F328" s="24" t="n">
        <f aca="false">B328+C328</f>
        <v>87250.5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0" t="n">
        <v>46312</v>
      </c>
      <c r="B333" s="31" t="n">
        <f aca="false">SUMIFS(Report!$U:$U,Report!$T:$T,"&lt;&gt;"&amp;"MERCADORIAS P/REVENDA",Report!$AA:$AA,"SIM",Report!$C:$C,A333)</f>
        <v>4121.66</v>
      </c>
      <c r="C333" s="31" t="n">
        <f aca="false">SUMIFS(Report!$U:$U,Report!$T:$T,"MERCADORIAS P/REVENDA",Report!$AA:$AA,"SIM",Report!$C:$C,A333)</f>
        <v>0</v>
      </c>
      <c r="D333" s="32"/>
      <c r="E333" s="32"/>
      <c r="F333" s="31" t="n">
        <f aca="false">B333+C333</f>
        <v>4121.66</v>
      </c>
    </row>
    <row r="334" customFormat="false" ht="12.75" hidden="false" customHeight="true" outlineLevel="0" collapsed="false">
      <c r="A334" s="30" t="n">
        <v>46313</v>
      </c>
      <c r="B334" s="31" t="n">
        <f aca="false">SUMIFS(Report!$U:$U,Report!$T:$T,"&lt;&gt;"&amp;"MERCADORIAS P/REVENDA",Report!$AA:$AA,"SIM",Report!$C:$C,A334)</f>
        <v>2510.34</v>
      </c>
      <c r="C334" s="31" t="n">
        <f aca="false">SUMIFS(Report!$U:$U,Report!$T:$T,"MERCADORIAS P/REVENDA",Report!$AA:$AA,"SIM",Report!$C:$C,A334)</f>
        <v>0</v>
      </c>
      <c r="D334" s="32"/>
      <c r="E334" s="32"/>
      <c r="F334" s="31" t="n">
        <f aca="false">B334+C334</f>
        <v>2510.34</v>
      </c>
    </row>
    <row r="335" customFormat="false" ht="12.75" hidden="false" customHeight="true" outlineLevel="0" collapsed="false">
      <c r="A335" s="30" t="n">
        <v>46314</v>
      </c>
      <c r="B335" s="31" t="n">
        <f aca="false">SUMIFS(Report!$U:$U,Report!$T:$T,"&lt;&gt;"&amp;"MERCADORIAS P/REVENDA",Report!$AA:$AA,"SIM",Report!$C:$C,A335)</f>
        <v>0</v>
      </c>
      <c r="C335" s="31" t="n">
        <f aca="false">SUMIFS(Report!$U:$U,Report!$T:$T,"MERCADORIAS P/REVENDA",Report!$AA:$AA,"SIM",Report!$C:$C,A335)</f>
        <v>0</v>
      </c>
      <c r="D335" s="32"/>
      <c r="E335" s="32"/>
      <c r="F335" s="31" t="n">
        <f aca="false">B335+C335</f>
        <v>0</v>
      </c>
    </row>
    <row r="336" customFormat="false" ht="12.75" hidden="false" customHeight="true" outlineLevel="0" collapsed="false">
      <c r="A336" s="33" t="str">
        <f aca="false">"Subtotal Semana "&amp;TEXT(A329,"dd/mm/yyyy")&amp;" a "&amp;TEXT(A335,"dd/mm/yyyy")</f>
        <v>Subtotal Semana 13/10/2026 a 19/10/2026</v>
      </c>
      <c r="B336" s="24" t="n">
        <f aca="false">SUM(B329:B335)</f>
        <v>7034.85</v>
      </c>
      <c r="C336" s="24" t="n">
        <f aca="false">SUM(C329:C335)</f>
        <v>0</v>
      </c>
      <c r="D336" s="34"/>
      <c r="E336" s="34"/>
      <c r="F336" s="24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0" t="n">
        <v>46319</v>
      </c>
      <c r="B341" s="31" t="n">
        <f aca="false">SUMIFS(Report!$U:$U,Report!$T:$T,"&lt;&gt;"&amp;"MERCADORIAS P/REVENDA",Report!$AA:$AA,"SIM",Report!$C:$C,A341)</f>
        <v>0</v>
      </c>
      <c r="C341" s="31" t="n">
        <f aca="false">SUMIFS(Report!$U:$U,Report!$T:$T,"MERCADORIAS P/REVENDA",Report!$AA:$AA,"SIM",Report!$C:$C,A341)</f>
        <v>0</v>
      </c>
      <c r="D341" s="32"/>
      <c r="E341" s="32"/>
      <c r="F341" s="31" t="n">
        <f aca="false">B341+C341</f>
        <v>0</v>
      </c>
    </row>
    <row r="342" customFormat="false" ht="12.75" hidden="false" customHeight="true" outlineLevel="0" collapsed="false">
      <c r="A342" s="30" t="n">
        <v>46320</v>
      </c>
      <c r="B342" s="31" t="n">
        <f aca="false">SUMIFS(Report!$U:$U,Report!$T:$T,"&lt;&gt;"&amp;"MERCADORIAS P/REVENDA",Report!$AA:$AA,"SIM",Report!$C:$C,A342)</f>
        <v>256.8</v>
      </c>
      <c r="C342" s="31" t="n">
        <f aca="false">SUMIFS(Report!$U:$U,Report!$T:$T,"MERCADORIAS P/REVENDA",Report!$AA:$AA,"SIM",Report!$C:$C,A342)</f>
        <v>1615.17</v>
      </c>
      <c r="D342" s="32"/>
      <c r="E342" s="32"/>
      <c r="F342" s="31" t="n">
        <f aca="false">B342+C342</f>
        <v>1871.97</v>
      </c>
    </row>
    <row r="343" customFormat="false" ht="12.75" hidden="false" customHeight="true" outlineLevel="0" collapsed="false">
      <c r="A343" s="30" t="n">
        <v>46321</v>
      </c>
      <c r="B343" s="31" t="n">
        <f aca="false">SUMIFS(Report!$U:$U,Report!$T:$T,"&lt;&gt;"&amp;"MERCADORIAS P/REVENDA",Report!$AA:$AA,"SIM",Report!$C:$C,A343)</f>
        <v>0</v>
      </c>
      <c r="C343" s="31" t="n">
        <f aca="false">SUMIFS(Report!$U:$U,Report!$T:$T,"MERCADORIAS P/REVENDA",Report!$AA:$AA,"SIM",Report!$C:$C,A343)</f>
        <v>0</v>
      </c>
      <c r="D343" s="32"/>
      <c r="E343" s="32"/>
      <c r="F343" s="31" t="n">
        <f aca="false">B343+C343</f>
        <v>0</v>
      </c>
    </row>
    <row r="344" customFormat="false" ht="12.75" hidden="false" customHeight="true" outlineLevel="0" collapsed="false">
      <c r="A344" s="33" t="str">
        <f aca="false">"Subtotal Semana "&amp;TEXT(A337,"dd/mm/yyyy")&amp;" a "&amp;TEXT(A343,"dd/mm/yyyy")</f>
        <v>Subtotal Semana 20/10/2026 a 26/10/2026</v>
      </c>
      <c r="B344" s="24" t="n">
        <f aca="false">SUM(B337:B343)</f>
        <v>14648.71</v>
      </c>
      <c r="C344" s="24" t="n">
        <f aca="false">SUM(C337:C343)</f>
        <v>1615.17</v>
      </c>
      <c r="D344" s="34"/>
      <c r="E344" s="34"/>
      <c r="F344" s="24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0" t="n">
        <v>46326</v>
      </c>
      <c r="B349" s="31" t="n">
        <f aca="false">SUMIFS(Report!$U:$U,Report!$T:$T,"&lt;&gt;"&amp;"MERCADORIAS P/REVENDA",Report!$AA:$AA,"SIM",Report!$C:$C,A349)</f>
        <v>0</v>
      </c>
      <c r="C349" s="31" t="n">
        <f aca="false">SUMIFS(Report!$U:$U,Report!$T:$T,"MERCADORIAS P/REVENDA",Report!$AA:$AA,"SIM",Report!$C:$C,A349)</f>
        <v>0</v>
      </c>
      <c r="D349" s="32"/>
      <c r="E349" s="32"/>
      <c r="F349" s="31" t="n">
        <f aca="false">B349+C349</f>
        <v>0</v>
      </c>
    </row>
    <row r="350" customFormat="false" ht="12.75" hidden="false" customHeight="true" outlineLevel="0" collapsed="false">
      <c r="A350" s="30" t="n">
        <v>46327</v>
      </c>
      <c r="B350" s="31" t="n">
        <f aca="false">SUMIFS(Report!$U:$U,Report!$T:$T,"&lt;&gt;"&amp;"MERCADORIAS P/REVENDA",Report!$AA:$AA,"SIM",Report!$C:$C,A350)</f>
        <v>0</v>
      </c>
      <c r="C350" s="31" t="n">
        <f aca="false">SUMIFS(Report!$U:$U,Report!$T:$T,"MERCADORIAS P/REVENDA",Report!$AA:$AA,"SIM",Report!$C:$C,A350)</f>
        <v>0</v>
      </c>
      <c r="D350" s="32"/>
      <c r="E350" s="32"/>
      <c r="F350" s="31" t="n">
        <f aca="false">B350+C350</f>
        <v>0</v>
      </c>
    </row>
    <row r="351" customFormat="false" ht="12.75" hidden="false" customHeight="true" outlineLevel="0" collapsed="false">
      <c r="A351" s="30" t="n">
        <v>46328</v>
      </c>
      <c r="B351" s="31" t="n">
        <f aca="false">SUMIFS(Report!$U:$U,Report!$T:$T,"&lt;&gt;"&amp;"MERCADORIAS P/REVENDA",Report!$AA:$AA,"SIM",Report!$C:$C,A351)</f>
        <v>0</v>
      </c>
      <c r="C351" s="31" t="n">
        <f aca="false">SUMIFS(Report!$U:$U,Report!$T:$T,"MERCADORIAS P/REVENDA",Report!$AA:$AA,"SIM",Report!$C:$C,A351)</f>
        <v>0</v>
      </c>
      <c r="D351" s="32"/>
      <c r="E351" s="32"/>
      <c r="F351" s="31" t="n">
        <f aca="false">B351+C351</f>
        <v>0</v>
      </c>
    </row>
    <row r="352" customFormat="false" ht="12.75" hidden="false" customHeight="true" outlineLevel="0" collapsed="false">
      <c r="A352" s="33" t="str">
        <f aca="false">"Subtotal Semana "&amp;TEXT(A345,"dd/mm/yyyy")&amp;" a "&amp;TEXT(A351,"dd/mm/yyyy")</f>
        <v>Subtotal Semana 27/10/2026 a 02/11/2026</v>
      </c>
      <c r="B352" s="24" t="n">
        <f aca="false">SUM(B345:B351)</f>
        <v>0</v>
      </c>
      <c r="C352" s="24" t="n">
        <f aca="false">SUM(C345:C351)</f>
        <v>0</v>
      </c>
      <c r="D352" s="34"/>
      <c r="E352" s="34"/>
      <c r="F352" s="24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0" t="n">
        <v>46333</v>
      </c>
      <c r="B357" s="31" t="n">
        <f aca="false">SUMIFS(Report!$U:$U,Report!$T:$T,"&lt;&gt;"&amp;"MERCADORIAS P/REVENDA",Report!$AA:$AA,"SIM",Report!$C:$C,A357)</f>
        <v>0</v>
      </c>
      <c r="C357" s="31" t="n">
        <f aca="false">SUMIFS(Report!$U:$U,Report!$T:$T,"MERCADORIAS P/REVENDA",Report!$AA:$AA,"SIM",Report!$C:$C,A357)</f>
        <v>0</v>
      </c>
      <c r="D357" s="32"/>
      <c r="E357" s="32"/>
      <c r="F357" s="31" t="n">
        <f aca="false">B357+C357</f>
        <v>0</v>
      </c>
    </row>
    <row r="358" customFormat="false" ht="12.75" hidden="false" customHeight="true" outlineLevel="0" collapsed="false">
      <c r="A358" s="30" t="n">
        <v>46334</v>
      </c>
      <c r="B358" s="31" t="n">
        <f aca="false">SUMIFS(Report!$U:$U,Report!$T:$T,"&lt;&gt;"&amp;"MERCADORIAS P/REVENDA",Report!$AA:$AA,"SIM",Report!$C:$C,A358)</f>
        <v>0</v>
      </c>
      <c r="C358" s="31" t="n">
        <f aca="false">SUMIFS(Report!$U:$U,Report!$T:$T,"MERCADORIAS P/REVENDA",Report!$AA:$AA,"SIM",Report!$C:$C,A358)</f>
        <v>0</v>
      </c>
      <c r="D358" s="32"/>
      <c r="E358" s="32"/>
      <c r="F358" s="31" t="n">
        <f aca="false">B358+C358</f>
        <v>0</v>
      </c>
    </row>
    <row r="359" customFormat="false" ht="12.75" hidden="false" customHeight="true" outlineLevel="0" collapsed="false">
      <c r="A359" s="30" t="n">
        <v>46335</v>
      </c>
      <c r="B359" s="31" t="n">
        <f aca="false">SUMIFS(Report!$U:$U,Report!$T:$T,"&lt;&gt;"&amp;"MERCADORIAS P/REVENDA",Report!$AA:$AA,"SIM",Report!$C:$C,A359)</f>
        <v>0</v>
      </c>
      <c r="C359" s="31" t="n">
        <f aca="false">SUMIFS(Report!$U:$U,Report!$T:$T,"MERCADORIAS P/REVENDA",Report!$AA:$AA,"SIM",Report!$C:$C,A359)</f>
        <v>0</v>
      </c>
      <c r="D359" s="32"/>
      <c r="E359" s="32"/>
      <c r="F359" s="31" t="n">
        <f aca="false">B359+C359</f>
        <v>0</v>
      </c>
    </row>
    <row r="360" customFormat="false" ht="12.75" hidden="false" customHeight="true" outlineLevel="0" collapsed="false">
      <c r="A360" s="33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34"/>
      <c r="E360" s="34"/>
      <c r="F360" s="24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0" t="n">
        <v>46340</v>
      </c>
      <c r="B365" s="31" t="n">
        <f aca="false">SUMIFS(Report!$U:$U,Report!$T:$T,"&lt;&gt;"&amp;"MERCADORIAS P/REVENDA",Report!$AA:$AA,"SIM",Report!$C:$C,A365)</f>
        <v>0</v>
      </c>
      <c r="C365" s="31" t="n">
        <f aca="false">SUMIFS(Report!$U:$U,Report!$T:$T,"MERCADORIAS P/REVENDA",Report!$AA:$AA,"SIM",Report!$C:$C,A365)</f>
        <v>0</v>
      </c>
      <c r="D365" s="32"/>
      <c r="E365" s="32"/>
      <c r="F365" s="31" t="n">
        <f aca="false">B365+C365</f>
        <v>0</v>
      </c>
    </row>
    <row r="366" customFormat="false" ht="12.75" hidden="false" customHeight="true" outlineLevel="0" collapsed="false">
      <c r="A366" s="30" t="n">
        <v>46341</v>
      </c>
      <c r="B366" s="31" t="n">
        <f aca="false">SUMIFS(Report!$U:$U,Report!$T:$T,"&lt;&gt;"&amp;"MERCADORIAS P/REVENDA",Report!$AA:$AA,"SIM",Report!$C:$C,A366)</f>
        <v>0</v>
      </c>
      <c r="C366" s="31" t="n">
        <f aca="false">SUMIFS(Report!$U:$U,Report!$T:$T,"MERCADORIAS P/REVENDA",Report!$AA:$AA,"SIM",Report!$C:$C,A366)</f>
        <v>0</v>
      </c>
      <c r="D366" s="32"/>
      <c r="E366" s="32"/>
      <c r="F366" s="31" t="n">
        <f aca="false">B366+C366</f>
        <v>0</v>
      </c>
    </row>
    <row r="367" customFormat="false" ht="12.75" hidden="false" customHeight="true" outlineLevel="0" collapsed="false">
      <c r="A367" s="30" t="n">
        <v>46342</v>
      </c>
      <c r="B367" s="31" t="n">
        <f aca="false">SUMIFS(Report!$U:$U,Report!$T:$T,"&lt;&gt;"&amp;"MERCADORIAS P/REVENDA",Report!$AA:$AA,"SIM",Report!$C:$C,A367)</f>
        <v>0</v>
      </c>
      <c r="C367" s="31" t="n">
        <f aca="false">SUMIFS(Report!$U:$U,Report!$T:$T,"MERCADORIAS P/REVENDA",Report!$AA:$AA,"SIM",Report!$C:$C,A367)</f>
        <v>0</v>
      </c>
      <c r="D367" s="32"/>
      <c r="E367" s="32"/>
      <c r="F367" s="31" t="n">
        <f aca="false">B367+C367</f>
        <v>0</v>
      </c>
    </row>
    <row r="368" customFormat="false" ht="12.75" hidden="false" customHeight="true" outlineLevel="0" collapsed="false">
      <c r="A368" s="33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34"/>
      <c r="E368" s="34"/>
      <c r="F368" s="24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0" t="n">
        <v>46347</v>
      </c>
      <c r="B373" s="31" t="n">
        <f aca="false">SUMIFS(Report!$U:$U,Report!$T:$T,"&lt;&gt;"&amp;"MERCADORIAS P/REVENDA",Report!$AA:$AA,"SIM",Report!$C:$C,A373)</f>
        <v>0</v>
      </c>
      <c r="C373" s="31" t="n">
        <f aca="false">SUMIFS(Report!$U:$U,Report!$T:$T,"MERCADORIAS P/REVENDA",Report!$AA:$AA,"SIM",Report!$C:$C,A373)</f>
        <v>0</v>
      </c>
      <c r="D373" s="32"/>
      <c r="E373" s="32"/>
      <c r="F373" s="31" t="n">
        <f aca="false">B373+C373</f>
        <v>0</v>
      </c>
    </row>
    <row r="374" customFormat="false" ht="12.75" hidden="false" customHeight="true" outlineLevel="0" collapsed="false">
      <c r="A374" s="30" t="n">
        <v>46348</v>
      </c>
      <c r="B374" s="31" t="n">
        <f aca="false">SUMIFS(Report!$U:$U,Report!$T:$T,"&lt;&gt;"&amp;"MERCADORIAS P/REVENDA",Report!$AA:$AA,"SIM",Report!$C:$C,A374)</f>
        <v>0</v>
      </c>
      <c r="C374" s="31" t="n">
        <f aca="false">SUMIFS(Report!$U:$U,Report!$T:$T,"MERCADORIAS P/REVENDA",Report!$AA:$AA,"SIM",Report!$C:$C,A374)</f>
        <v>0</v>
      </c>
      <c r="D374" s="32"/>
      <c r="E374" s="32"/>
      <c r="F374" s="31" t="n">
        <f aca="false">B374+C374</f>
        <v>0</v>
      </c>
    </row>
    <row r="375" customFormat="false" ht="12.75" hidden="false" customHeight="true" outlineLevel="0" collapsed="false">
      <c r="A375" s="30" t="n">
        <v>46349</v>
      </c>
      <c r="B375" s="31" t="n">
        <f aca="false">SUMIFS(Report!$U:$U,Report!$T:$T,"&lt;&gt;"&amp;"MERCADORIAS P/REVENDA",Report!$AA:$AA,"SIM",Report!$C:$C,A375)</f>
        <v>0</v>
      </c>
      <c r="C375" s="31" t="n">
        <f aca="false">SUMIFS(Report!$U:$U,Report!$T:$T,"MERCADORIAS P/REVENDA",Report!$AA:$AA,"SIM",Report!$C:$C,A375)</f>
        <v>0</v>
      </c>
      <c r="D375" s="32"/>
      <c r="E375" s="32"/>
      <c r="F375" s="31" t="n">
        <f aca="false">B375+C375</f>
        <v>0</v>
      </c>
    </row>
    <row r="376" customFormat="false" ht="12.75" hidden="false" customHeight="true" outlineLevel="0" collapsed="false">
      <c r="A376" s="33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34"/>
      <c r="E376" s="34"/>
      <c r="F376" s="24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0" t="n">
        <v>46354</v>
      </c>
      <c r="B381" s="31" t="n">
        <f aca="false">SUMIFS(Report!$U:$U,Report!$T:$T,"&lt;&gt;"&amp;"MERCADORIAS P/REVENDA",Report!$AA:$AA,"SIM",Report!$C:$C,A381)</f>
        <v>0</v>
      </c>
      <c r="C381" s="31" t="n">
        <f aca="false">SUMIFS(Report!$U:$U,Report!$T:$T,"MERCADORIAS P/REVENDA",Report!$AA:$AA,"SIM",Report!$C:$C,A381)</f>
        <v>0</v>
      </c>
      <c r="D381" s="32"/>
      <c r="E381" s="32"/>
      <c r="F381" s="31" t="n">
        <f aca="false">B381+C381</f>
        <v>0</v>
      </c>
    </row>
    <row r="382" customFormat="false" ht="12.75" hidden="false" customHeight="true" outlineLevel="0" collapsed="false">
      <c r="A382" s="30" t="n">
        <v>46355</v>
      </c>
      <c r="B382" s="31" t="n">
        <f aca="false">SUMIFS(Report!$U:$U,Report!$T:$T,"&lt;&gt;"&amp;"MERCADORIAS P/REVENDA",Report!$AA:$AA,"SIM",Report!$C:$C,A382)</f>
        <v>0</v>
      </c>
      <c r="C382" s="31" t="n">
        <f aca="false">SUMIFS(Report!$U:$U,Report!$T:$T,"MERCADORIAS P/REVENDA",Report!$AA:$AA,"SIM",Report!$C:$C,A382)</f>
        <v>0</v>
      </c>
      <c r="D382" s="32"/>
      <c r="E382" s="32"/>
      <c r="F382" s="31" t="n">
        <f aca="false">B382+C382</f>
        <v>0</v>
      </c>
    </row>
    <row r="383" customFormat="false" ht="12.75" hidden="false" customHeight="true" outlineLevel="0" collapsed="false">
      <c r="A383" s="30" t="n">
        <v>46356</v>
      </c>
      <c r="B383" s="31" t="n">
        <f aca="false">SUMIFS(Report!$U:$U,Report!$T:$T,"&lt;&gt;"&amp;"MERCADORIAS P/REVENDA",Report!$AA:$AA,"SIM",Report!$C:$C,A383)</f>
        <v>0</v>
      </c>
      <c r="C383" s="31" t="n">
        <f aca="false">SUMIFS(Report!$U:$U,Report!$T:$T,"MERCADORIAS P/REVENDA",Report!$AA:$AA,"SIM",Report!$C:$C,A383)</f>
        <v>0</v>
      </c>
      <c r="D383" s="32"/>
      <c r="E383" s="32"/>
      <c r="F383" s="31" t="n">
        <f aca="false">B383+C383</f>
        <v>0</v>
      </c>
    </row>
    <row r="384" customFormat="false" ht="12.75" hidden="false" customHeight="true" outlineLevel="0" collapsed="false">
      <c r="A384" s="33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34"/>
      <c r="E384" s="34"/>
      <c r="F384" s="24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0" t="n">
        <v>46361</v>
      </c>
      <c r="B389" s="31" t="n">
        <f aca="false">SUMIFS(Report!$U:$U,Report!$T:$T,"&lt;&gt;"&amp;"MERCADORIAS P/REVENDA",Report!$AA:$AA,"SIM",Report!$C:$C,A389)</f>
        <v>0</v>
      </c>
      <c r="C389" s="31" t="n">
        <f aca="false">SUMIFS(Report!$U:$U,Report!$T:$T,"MERCADORIAS P/REVENDA",Report!$AA:$AA,"SIM",Report!$C:$C,A389)</f>
        <v>0</v>
      </c>
      <c r="D389" s="32"/>
      <c r="E389" s="32"/>
      <c r="F389" s="31" t="n">
        <f aca="false">B389+C389</f>
        <v>0</v>
      </c>
    </row>
    <row r="390" customFormat="false" ht="12.75" hidden="false" customHeight="true" outlineLevel="0" collapsed="false">
      <c r="A390" s="30" t="n">
        <v>46362</v>
      </c>
      <c r="B390" s="31" t="n">
        <f aca="false">SUMIFS(Report!$U:$U,Report!$T:$T,"&lt;&gt;"&amp;"MERCADORIAS P/REVENDA",Report!$AA:$AA,"SIM",Report!$C:$C,A390)</f>
        <v>0</v>
      </c>
      <c r="C390" s="31" t="n">
        <f aca="false">SUMIFS(Report!$U:$U,Report!$T:$T,"MERCADORIAS P/REVENDA",Report!$AA:$AA,"SIM",Report!$C:$C,A390)</f>
        <v>0</v>
      </c>
      <c r="D390" s="32"/>
      <c r="E390" s="32"/>
      <c r="F390" s="31" t="n">
        <f aca="false">B390+C390</f>
        <v>0</v>
      </c>
    </row>
    <row r="391" customFormat="false" ht="12.75" hidden="false" customHeight="true" outlineLevel="0" collapsed="false">
      <c r="A391" s="30" t="n">
        <v>46363</v>
      </c>
      <c r="B391" s="31" t="n">
        <f aca="false">SUMIFS(Report!$U:$U,Report!$T:$T,"&lt;&gt;"&amp;"MERCADORIAS P/REVENDA",Report!$AA:$AA,"SIM",Report!$C:$C,A391)</f>
        <v>0</v>
      </c>
      <c r="C391" s="31" t="n">
        <f aca="false">SUMIFS(Report!$U:$U,Report!$T:$T,"MERCADORIAS P/REVENDA",Report!$AA:$AA,"SIM",Report!$C:$C,A391)</f>
        <v>0</v>
      </c>
      <c r="D391" s="32"/>
      <c r="E391" s="32"/>
      <c r="F391" s="31" t="n">
        <f aca="false">B391+C391</f>
        <v>0</v>
      </c>
    </row>
    <row r="392" customFormat="false" ht="12.75" hidden="false" customHeight="true" outlineLevel="0" collapsed="false">
      <c r="A392" s="33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34"/>
      <c r="E392" s="34"/>
      <c r="F392" s="24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0" t="n">
        <v>46368</v>
      </c>
      <c r="B397" s="31" t="n">
        <f aca="false">SUMIFS(Report!$U:$U,Report!$T:$T,"&lt;&gt;"&amp;"MERCADORIAS P/REVENDA",Report!$AA:$AA,"SIM",Report!$C:$C,A397)</f>
        <v>0</v>
      </c>
      <c r="C397" s="31" t="n">
        <f aca="false">SUMIFS(Report!$U:$U,Report!$T:$T,"MERCADORIAS P/REVENDA",Report!$AA:$AA,"SIM",Report!$C:$C,A397)</f>
        <v>0</v>
      </c>
      <c r="D397" s="32"/>
      <c r="E397" s="32"/>
      <c r="F397" s="31" t="n">
        <f aca="false">B397+C397</f>
        <v>0</v>
      </c>
    </row>
    <row r="398" customFormat="false" ht="12.75" hidden="false" customHeight="true" outlineLevel="0" collapsed="false">
      <c r="A398" s="30" t="n">
        <v>46369</v>
      </c>
      <c r="B398" s="31" t="n">
        <f aca="false">SUMIFS(Report!$U:$U,Report!$T:$T,"&lt;&gt;"&amp;"MERCADORIAS P/REVENDA",Report!$AA:$AA,"SIM",Report!$C:$C,A398)</f>
        <v>0</v>
      </c>
      <c r="C398" s="31" t="n">
        <f aca="false">SUMIFS(Report!$U:$U,Report!$T:$T,"MERCADORIAS P/REVENDA",Report!$AA:$AA,"SIM",Report!$C:$C,A398)</f>
        <v>0</v>
      </c>
      <c r="D398" s="32"/>
      <c r="E398" s="32"/>
      <c r="F398" s="31" t="n">
        <f aca="false">B398+C398</f>
        <v>0</v>
      </c>
    </row>
    <row r="399" customFormat="false" ht="12.75" hidden="false" customHeight="true" outlineLevel="0" collapsed="false">
      <c r="A399" s="30" t="n">
        <v>46370</v>
      </c>
      <c r="B399" s="31" t="n">
        <f aca="false">SUMIFS(Report!$U:$U,Report!$T:$T,"&lt;&gt;"&amp;"MERCADORIAS P/REVENDA",Report!$AA:$AA,"SIM",Report!$C:$C,A399)</f>
        <v>0</v>
      </c>
      <c r="C399" s="31" t="n">
        <f aca="false">SUMIFS(Report!$U:$U,Report!$T:$T,"MERCADORIAS P/REVENDA",Report!$AA:$AA,"SIM",Report!$C:$C,A399)</f>
        <v>0</v>
      </c>
      <c r="D399" s="32"/>
      <c r="E399" s="32"/>
      <c r="F399" s="31" t="n">
        <f aca="false">B399+C399</f>
        <v>0</v>
      </c>
    </row>
    <row r="400" customFormat="false" ht="12.75" hidden="false" customHeight="true" outlineLevel="0" collapsed="false">
      <c r="A400" s="33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34"/>
      <c r="E400" s="34"/>
      <c r="F400" s="24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0" t="n">
        <v>46375</v>
      </c>
      <c r="B405" s="31" t="n">
        <f aca="false">SUMIFS(Report!$U:$U,Report!$T:$T,"&lt;&gt;"&amp;"MERCADORIAS P/REVENDA",Report!$AA:$AA,"SIM",Report!$C:$C,A405)</f>
        <v>0</v>
      </c>
      <c r="C405" s="31" t="n">
        <f aca="false">SUMIFS(Report!$U:$U,Report!$T:$T,"MERCADORIAS P/REVENDA",Report!$AA:$AA,"SIM",Report!$C:$C,A405)</f>
        <v>0</v>
      </c>
      <c r="D405" s="32"/>
      <c r="E405" s="32"/>
      <c r="F405" s="31" t="n">
        <f aca="false">B405+C405</f>
        <v>0</v>
      </c>
    </row>
    <row r="406" customFormat="false" ht="12.75" hidden="false" customHeight="true" outlineLevel="0" collapsed="false">
      <c r="A406" s="30" t="n">
        <v>46376</v>
      </c>
      <c r="B406" s="31" t="n">
        <f aca="false">SUMIFS(Report!$U:$U,Report!$T:$T,"&lt;&gt;"&amp;"MERCADORIAS P/REVENDA",Report!$AA:$AA,"SIM",Report!$C:$C,A406)</f>
        <v>0</v>
      </c>
      <c r="C406" s="31" t="n">
        <f aca="false">SUMIFS(Report!$U:$U,Report!$T:$T,"MERCADORIAS P/REVENDA",Report!$AA:$AA,"SIM",Report!$C:$C,A406)</f>
        <v>0</v>
      </c>
      <c r="D406" s="32"/>
      <c r="E406" s="32"/>
      <c r="F406" s="31" t="n">
        <f aca="false">B406+C406</f>
        <v>0</v>
      </c>
    </row>
    <row r="407" customFormat="false" ht="12.75" hidden="false" customHeight="true" outlineLevel="0" collapsed="false">
      <c r="A407" s="30" t="n">
        <v>46377</v>
      </c>
      <c r="B407" s="31" t="n">
        <f aca="false">SUMIFS(Report!$U:$U,Report!$T:$T,"&lt;&gt;"&amp;"MERCADORIAS P/REVENDA",Report!$AA:$AA,"SIM",Report!$C:$C,A407)</f>
        <v>0</v>
      </c>
      <c r="C407" s="31" t="n">
        <f aca="false">SUMIFS(Report!$U:$U,Report!$T:$T,"MERCADORIAS P/REVENDA",Report!$AA:$AA,"SIM",Report!$C:$C,A407)</f>
        <v>0</v>
      </c>
      <c r="D407" s="32"/>
      <c r="E407" s="32"/>
      <c r="F407" s="31" t="n">
        <f aca="false">B407+C407</f>
        <v>0</v>
      </c>
    </row>
    <row r="408" customFormat="false" ht="12.75" hidden="false" customHeight="true" outlineLevel="0" collapsed="false">
      <c r="A408" s="33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34"/>
      <c r="E408" s="34"/>
      <c r="F408" s="24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0" t="n">
        <v>46382</v>
      </c>
      <c r="B413" s="31" t="n">
        <f aca="false">SUMIFS(Report!$U:$U,Report!$T:$T,"&lt;&gt;"&amp;"MERCADORIAS P/REVENDA",Report!$AA:$AA,"SIM",Report!$C:$C,A413)</f>
        <v>0</v>
      </c>
      <c r="C413" s="31" t="n">
        <f aca="false">SUMIFS(Report!$U:$U,Report!$T:$T,"MERCADORIAS P/REVENDA",Report!$AA:$AA,"SIM",Report!$C:$C,A413)</f>
        <v>0</v>
      </c>
      <c r="D413" s="32"/>
      <c r="E413" s="32"/>
      <c r="F413" s="31" t="n">
        <f aca="false">B413+C413</f>
        <v>0</v>
      </c>
    </row>
    <row r="414" customFormat="false" ht="12.75" hidden="false" customHeight="true" outlineLevel="0" collapsed="false">
      <c r="A414" s="30" t="n">
        <v>46383</v>
      </c>
      <c r="B414" s="31" t="n">
        <f aca="false">SUMIFS(Report!$U:$U,Report!$T:$T,"&lt;&gt;"&amp;"MERCADORIAS P/REVENDA",Report!$AA:$AA,"SIM",Report!$C:$C,A414)</f>
        <v>0</v>
      </c>
      <c r="C414" s="31" t="n">
        <f aca="false">SUMIFS(Report!$U:$U,Report!$T:$T,"MERCADORIAS P/REVENDA",Report!$AA:$AA,"SIM",Report!$C:$C,A414)</f>
        <v>0</v>
      </c>
      <c r="D414" s="32"/>
      <c r="E414" s="32"/>
      <c r="F414" s="31" t="n">
        <f aca="false">B414+C414</f>
        <v>0</v>
      </c>
    </row>
    <row r="415" customFormat="false" ht="12.75" hidden="false" customHeight="true" outlineLevel="0" collapsed="false">
      <c r="A415" s="30" t="n">
        <v>46384</v>
      </c>
      <c r="B415" s="31" t="n">
        <f aca="false">SUMIFS(Report!$U:$U,Report!$T:$T,"&lt;&gt;"&amp;"MERCADORIAS P/REVENDA",Report!$AA:$AA,"SIM",Report!$C:$C,A415)</f>
        <v>0</v>
      </c>
      <c r="C415" s="31" t="n">
        <f aca="false">SUMIFS(Report!$U:$U,Report!$T:$T,"MERCADORIAS P/REVENDA",Report!$AA:$AA,"SIM",Report!$C:$C,A415)</f>
        <v>0</v>
      </c>
      <c r="D415" s="32"/>
      <c r="E415" s="32"/>
      <c r="F415" s="31" t="n">
        <f aca="false">B415+C415</f>
        <v>0</v>
      </c>
    </row>
    <row r="416" customFormat="false" ht="12.75" hidden="false" customHeight="true" outlineLevel="0" collapsed="false">
      <c r="A416" s="33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34"/>
      <c r="E416" s="34"/>
      <c r="F416" s="24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0" t="n">
        <v>46389</v>
      </c>
      <c r="B421" s="31" t="n">
        <f aca="false">SUMIFS(Report!$U:$U,Report!$T:$T,"&lt;&gt;"&amp;"MERCADORIAS P/REVENDA",Report!$AA:$AA,"SIM",Report!$C:$C,A421)</f>
        <v>0</v>
      </c>
      <c r="C421" s="31" t="n">
        <f aca="false">SUMIFS(Report!$U:$U,Report!$T:$T,"MERCADORIAS P/REVENDA",Report!$AA:$AA,"SIM",Report!$C:$C,A421)</f>
        <v>0</v>
      </c>
      <c r="D421" s="32"/>
      <c r="E421" s="32"/>
      <c r="F421" s="31" t="n">
        <f aca="false">B421+C421</f>
        <v>0</v>
      </c>
    </row>
    <row r="422" customFormat="false" ht="12.75" hidden="false" customHeight="true" outlineLevel="0" collapsed="false">
      <c r="A422" s="30" t="n">
        <v>46390</v>
      </c>
      <c r="B422" s="31" t="n">
        <f aca="false">SUMIFS(Report!$U:$U,Report!$T:$T,"&lt;&gt;"&amp;"MERCADORIAS P/REVENDA",Report!$AA:$AA,"SIM",Report!$C:$C,A422)</f>
        <v>0</v>
      </c>
      <c r="C422" s="31" t="n">
        <f aca="false">SUMIFS(Report!$U:$U,Report!$T:$T,"MERCADORIAS P/REVENDA",Report!$AA:$AA,"SIM",Report!$C:$C,A422)</f>
        <v>0</v>
      </c>
      <c r="D422" s="32"/>
      <c r="E422" s="32"/>
      <c r="F422" s="31" t="n">
        <f aca="false">B422+C422</f>
        <v>0</v>
      </c>
    </row>
    <row r="423" customFormat="false" ht="12.75" hidden="false" customHeight="true" outlineLevel="0" collapsed="false">
      <c r="A423" s="30" t="n">
        <v>46391</v>
      </c>
      <c r="B423" s="31" t="n">
        <f aca="false">SUMIFS(Report!$U:$U,Report!$T:$T,"&lt;&gt;"&amp;"MERCADORIAS P/REVENDA",Report!$AA:$AA,"SIM",Report!$C:$C,A423)</f>
        <v>0</v>
      </c>
      <c r="C423" s="31" t="n">
        <f aca="false">SUMIFS(Report!$U:$U,Report!$T:$T,"MERCADORIAS P/REVENDA",Report!$AA:$AA,"SIM",Report!$C:$C,A423)</f>
        <v>0</v>
      </c>
      <c r="D423" s="32"/>
      <c r="E423" s="32"/>
      <c r="F423" s="31" t="n">
        <f aca="false">B423+C423</f>
        <v>0</v>
      </c>
    </row>
    <row r="424" customFormat="false" ht="12.75" hidden="false" customHeight="true" outlineLevel="0" collapsed="false">
      <c r="A424" s="33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34"/>
      <c r="E424" s="34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0" t="n">
        <v>46396</v>
      </c>
      <c r="B429" s="31" t="n">
        <f aca="false">SUMIFS(Report!$U:$U,Report!$T:$T,"&lt;&gt;"&amp;"MERCADORIAS P/REVENDA",Report!$AA:$AA,"SIM",Report!$C:$C,A429)</f>
        <v>0</v>
      </c>
      <c r="C429" s="31" t="n">
        <f aca="false">SUMIFS(Report!$U:$U,Report!$T:$T,"MERCADORIAS P/REVENDA",Report!$AA:$AA,"SIM",Report!$C:$C,A429)</f>
        <v>0</v>
      </c>
      <c r="D429" s="32"/>
      <c r="E429" s="32"/>
      <c r="F429" s="31" t="n">
        <f aca="false">B429+C429</f>
        <v>0</v>
      </c>
    </row>
    <row r="430" customFormat="false" ht="12.75" hidden="false" customHeight="true" outlineLevel="0" collapsed="false">
      <c r="A430" s="30" t="n">
        <v>46397</v>
      </c>
      <c r="B430" s="31" t="n">
        <f aca="false">SUMIFS(Report!$U:$U,Report!$T:$T,"&lt;&gt;"&amp;"MERCADORIAS P/REVENDA",Report!$AA:$AA,"SIM",Report!$C:$C,A430)</f>
        <v>0</v>
      </c>
      <c r="C430" s="31" t="n">
        <f aca="false">SUMIFS(Report!$U:$U,Report!$T:$T,"MERCADORIAS P/REVENDA",Report!$AA:$AA,"SIM",Report!$C:$C,A430)</f>
        <v>0</v>
      </c>
      <c r="D430" s="32"/>
      <c r="E430" s="32"/>
      <c r="F430" s="31" t="n">
        <f aca="false">B430+C430</f>
        <v>0</v>
      </c>
    </row>
    <row r="431" customFormat="false" ht="12.75" hidden="false" customHeight="true" outlineLevel="0" collapsed="false">
      <c r="A431" s="30" t="n">
        <v>46398</v>
      </c>
      <c r="B431" s="31" t="n">
        <f aca="false">SUMIFS(Report!$U:$U,Report!$T:$T,"&lt;&gt;"&amp;"MERCADORIAS P/REVENDA",Report!$AA:$AA,"SIM",Report!$C:$C,A431)</f>
        <v>0</v>
      </c>
      <c r="C431" s="31" t="n">
        <f aca="false">SUMIFS(Report!$U:$U,Report!$T:$T,"MERCADORIAS P/REVENDA",Report!$AA:$AA,"SIM",Report!$C:$C,A431)</f>
        <v>0</v>
      </c>
      <c r="D431" s="32"/>
      <c r="E431" s="32"/>
      <c r="F431" s="31" t="n">
        <f aca="false">B431+C431</f>
        <v>0</v>
      </c>
    </row>
    <row r="432" customFormat="false" ht="12.75" hidden="false" customHeight="true" outlineLevel="0" collapsed="false">
      <c r="A432" s="33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34"/>
      <c r="E432" s="34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0" t="n">
        <v>46403</v>
      </c>
      <c r="B437" s="31" t="n">
        <f aca="false">SUMIFS(Report!$U:$U,Report!$T:$T,"&lt;&gt;"&amp;"MERCADORIAS P/REVENDA",Report!$AA:$AA,"SIM",Report!$C:$C,A437)</f>
        <v>0</v>
      </c>
      <c r="C437" s="31" t="n">
        <f aca="false">SUMIFS(Report!$U:$U,Report!$T:$T,"MERCADORIAS P/REVENDA",Report!$AA:$AA,"SIM",Report!$C:$C,A437)</f>
        <v>0</v>
      </c>
      <c r="D437" s="32"/>
      <c r="E437" s="32"/>
      <c r="F437" s="31" t="n">
        <f aca="false">B437+C437</f>
        <v>0</v>
      </c>
    </row>
    <row r="438" customFormat="false" ht="12.75" hidden="false" customHeight="true" outlineLevel="0" collapsed="false">
      <c r="A438" s="30" t="n">
        <v>46404</v>
      </c>
      <c r="B438" s="31" t="n">
        <f aca="false">SUMIFS(Report!$U:$U,Report!$T:$T,"&lt;&gt;"&amp;"MERCADORIAS P/REVENDA",Report!$AA:$AA,"SIM",Report!$C:$C,A438)</f>
        <v>0</v>
      </c>
      <c r="C438" s="31" t="n">
        <f aca="false">SUMIFS(Report!$U:$U,Report!$T:$T,"MERCADORIAS P/REVENDA",Report!$AA:$AA,"SIM",Report!$C:$C,A438)</f>
        <v>0</v>
      </c>
      <c r="D438" s="32"/>
      <c r="E438" s="32"/>
      <c r="F438" s="31" t="n">
        <f aca="false">B438+C438</f>
        <v>0</v>
      </c>
    </row>
    <row r="439" customFormat="false" ht="12.75" hidden="false" customHeight="true" outlineLevel="0" collapsed="false">
      <c r="A439" s="30" t="n">
        <v>46405</v>
      </c>
      <c r="B439" s="31" t="n">
        <f aca="false">SUMIFS(Report!$U:$U,Report!$T:$T,"&lt;&gt;"&amp;"MERCADORIAS P/REVENDA",Report!$AA:$AA,"SIM",Report!$C:$C,A439)</f>
        <v>0</v>
      </c>
      <c r="C439" s="31" t="n">
        <f aca="false">SUMIFS(Report!$U:$U,Report!$T:$T,"MERCADORIAS P/REVENDA",Report!$AA:$AA,"SIM",Report!$C:$C,A439)</f>
        <v>0</v>
      </c>
      <c r="D439" s="32"/>
      <c r="E439" s="32"/>
      <c r="F439" s="31" t="n">
        <f aca="false">B439+C439</f>
        <v>0</v>
      </c>
    </row>
    <row r="440" customFormat="false" ht="12.75" hidden="false" customHeight="true" outlineLevel="0" collapsed="false">
      <c r="A440" s="33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34"/>
      <c r="E440" s="34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0" t="n">
        <v>46410</v>
      </c>
      <c r="B445" s="31" t="n">
        <f aca="false">SUMIFS(Report!$U:$U,Report!$T:$T,"&lt;&gt;"&amp;"MERCADORIAS P/REVENDA",Report!$AA:$AA,"SIM",Report!$C:$C,A445)</f>
        <v>0</v>
      </c>
      <c r="C445" s="31" t="n">
        <f aca="false">SUMIFS(Report!$U:$U,Report!$T:$T,"MERCADORIAS P/REVENDA",Report!$AA:$AA,"SIM",Report!$C:$C,A445)</f>
        <v>0</v>
      </c>
      <c r="D445" s="32"/>
      <c r="E445" s="32"/>
      <c r="F445" s="31" t="n">
        <f aca="false">B445+C445</f>
        <v>0</v>
      </c>
    </row>
    <row r="446" customFormat="false" ht="12.75" hidden="false" customHeight="true" outlineLevel="0" collapsed="false">
      <c r="A446" s="30" t="n">
        <v>46411</v>
      </c>
      <c r="B446" s="31" t="n">
        <f aca="false">SUMIFS(Report!$U:$U,Report!$T:$T,"&lt;&gt;"&amp;"MERCADORIAS P/REVENDA",Report!$AA:$AA,"SIM",Report!$C:$C,A446)</f>
        <v>0</v>
      </c>
      <c r="C446" s="31" t="n">
        <f aca="false">SUMIFS(Report!$U:$U,Report!$T:$T,"MERCADORIAS P/REVENDA",Report!$AA:$AA,"SIM",Report!$C:$C,A446)</f>
        <v>0</v>
      </c>
      <c r="D446" s="32"/>
      <c r="E446" s="32"/>
      <c r="F446" s="31" t="n">
        <f aca="false">B446+C446</f>
        <v>0</v>
      </c>
    </row>
    <row r="447" customFormat="false" ht="12.75" hidden="false" customHeight="true" outlineLevel="0" collapsed="false">
      <c r="A447" s="30" t="n">
        <v>46412</v>
      </c>
      <c r="B447" s="31" t="n">
        <f aca="false">SUMIFS(Report!$U:$U,Report!$T:$T,"&lt;&gt;"&amp;"MERCADORIAS P/REVENDA",Report!$AA:$AA,"SIM",Report!$C:$C,A447)</f>
        <v>0</v>
      </c>
      <c r="C447" s="31" t="n">
        <f aca="false">SUMIFS(Report!$U:$U,Report!$T:$T,"MERCADORIAS P/REVENDA",Report!$AA:$AA,"SIM",Report!$C:$C,A447)</f>
        <v>0</v>
      </c>
      <c r="D447" s="32"/>
      <c r="E447" s="32"/>
      <c r="F447" s="31" t="n">
        <f aca="false">B447+C447</f>
        <v>0</v>
      </c>
    </row>
    <row r="448" customFormat="false" ht="12.75" hidden="false" customHeight="true" outlineLevel="0" collapsed="false">
      <c r="A448" s="33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34"/>
      <c r="E448" s="34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0" t="n">
        <v>46417</v>
      </c>
      <c r="B453" s="31" t="n">
        <f aca="false">SUMIFS(Report!$U:$U,Report!$T:$T,"&lt;&gt;"&amp;"MERCADORIAS P/REVENDA",Report!$AA:$AA,"SIM",Report!$C:$C,A453)</f>
        <v>0</v>
      </c>
      <c r="C453" s="31" t="n">
        <f aca="false">SUMIFS(Report!$U:$U,Report!$T:$T,"MERCADORIAS P/REVENDA",Report!$AA:$AA,"SIM",Report!$C:$C,A453)</f>
        <v>0</v>
      </c>
      <c r="D453" s="32"/>
      <c r="E453" s="32"/>
      <c r="F453" s="31" t="n">
        <f aca="false">B453+C453</f>
        <v>0</v>
      </c>
    </row>
    <row r="454" customFormat="false" ht="12.75" hidden="false" customHeight="true" outlineLevel="0" collapsed="false">
      <c r="A454" s="30" t="n">
        <v>46418</v>
      </c>
      <c r="B454" s="31" t="n">
        <f aca="false">SUMIFS(Report!$U:$U,Report!$T:$T,"&lt;&gt;"&amp;"MERCADORIAS P/REVENDA",Report!$AA:$AA,"SIM",Report!$C:$C,A454)</f>
        <v>0</v>
      </c>
      <c r="C454" s="31" t="n">
        <f aca="false">SUMIFS(Report!$U:$U,Report!$T:$T,"MERCADORIAS P/REVENDA",Report!$AA:$AA,"SIM",Report!$C:$C,A454)</f>
        <v>0</v>
      </c>
      <c r="D454" s="32"/>
      <c r="E454" s="32"/>
      <c r="F454" s="31" t="n">
        <f aca="false">B454+C454</f>
        <v>0</v>
      </c>
    </row>
    <row r="455" customFormat="false" ht="12.75" hidden="false" customHeight="true" outlineLevel="0" collapsed="false">
      <c r="A455" s="30" t="n">
        <v>46419</v>
      </c>
      <c r="B455" s="31" t="n">
        <f aca="false">SUMIFS(Report!$U:$U,Report!$T:$T,"&lt;&gt;"&amp;"MERCADORIAS P/REVENDA",Report!$AA:$AA,"SIM",Report!$C:$C,A455)</f>
        <v>0</v>
      </c>
      <c r="C455" s="31" t="n">
        <f aca="false">SUMIFS(Report!$U:$U,Report!$T:$T,"MERCADORIAS P/REVENDA",Report!$AA:$AA,"SIM",Report!$C:$C,A455)</f>
        <v>0</v>
      </c>
      <c r="D455" s="32"/>
      <c r="E455" s="32"/>
      <c r="F455" s="31" t="n">
        <f aca="false">B455+C455</f>
        <v>0</v>
      </c>
    </row>
    <row r="456" customFormat="false" ht="12.75" hidden="false" customHeight="true" outlineLevel="0" collapsed="false">
      <c r="A456" s="33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34"/>
      <c r="E456" s="34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0" t="n">
        <v>46424</v>
      </c>
      <c r="B461" s="31" t="n">
        <f aca="false">SUMIFS(Report!$U:$U,Report!$T:$T,"&lt;&gt;"&amp;"MERCADORIAS P/REVENDA",Report!$AA:$AA,"SIM",Report!$C:$C,A461)</f>
        <v>0</v>
      </c>
      <c r="C461" s="31" t="n">
        <f aca="false">SUMIFS(Report!$U:$U,Report!$T:$T,"MERCADORIAS P/REVENDA",Report!$AA:$AA,"SIM",Report!$C:$C,A461)</f>
        <v>0</v>
      </c>
      <c r="D461" s="32"/>
      <c r="E461" s="32"/>
      <c r="F461" s="31" t="n">
        <f aca="false">B461+C461</f>
        <v>0</v>
      </c>
    </row>
    <row r="462" customFormat="false" ht="12.75" hidden="false" customHeight="true" outlineLevel="0" collapsed="false">
      <c r="A462" s="30" t="n">
        <v>46425</v>
      </c>
      <c r="B462" s="31" t="n">
        <f aca="false">SUMIFS(Report!$U:$U,Report!$T:$T,"&lt;&gt;"&amp;"MERCADORIAS P/REVENDA",Report!$AA:$AA,"SIM",Report!$C:$C,A462)</f>
        <v>0</v>
      </c>
      <c r="C462" s="31" t="n">
        <f aca="false">SUMIFS(Report!$U:$U,Report!$T:$T,"MERCADORIAS P/REVENDA",Report!$AA:$AA,"SIM",Report!$C:$C,A462)</f>
        <v>0</v>
      </c>
      <c r="D462" s="32"/>
      <c r="E462" s="32"/>
      <c r="F462" s="31" t="n">
        <f aca="false">B462+C462</f>
        <v>0</v>
      </c>
    </row>
    <row r="463" customFormat="false" ht="12.75" hidden="false" customHeight="true" outlineLevel="0" collapsed="false">
      <c r="A463" s="30" t="n">
        <v>46426</v>
      </c>
      <c r="B463" s="31" t="n">
        <f aca="false">SUMIFS(Report!$U:$U,Report!$T:$T,"&lt;&gt;"&amp;"MERCADORIAS P/REVENDA",Report!$AA:$AA,"SIM",Report!$C:$C,A463)</f>
        <v>0</v>
      </c>
      <c r="C463" s="31" t="n">
        <f aca="false">SUMIFS(Report!$U:$U,Report!$T:$T,"MERCADORIAS P/REVENDA",Report!$AA:$AA,"SIM",Report!$C:$C,A463)</f>
        <v>0</v>
      </c>
      <c r="D463" s="32"/>
      <c r="E463" s="32"/>
      <c r="F463" s="31" t="n">
        <f aca="false">B463+C463</f>
        <v>0</v>
      </c>
    </row>
    <row r="464" customFormat="false" ht="12.75" hidden="false" customHeight="true" outlineLevel="0" collapsed="false">
      <c r="A464" s="33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34"/>
      <c r="E464" s="34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0" t="n">
        <v>46431</v>
      </c>
      <c r="B469" s="31" t="n">
        <f aca="false">SUMIFS(Report!$U:$U,Report!$T:$T,"&lt;&gt;"&amp;"MERCADORIAS P/REVENDA",Report!$AA:$AA,"SIM",Report!$C:$C,A469)</f>
        <v>0</v>
      </c>
      <c r="C469" s="31" t="n">
        <f aca="false">SUMIFS(Report!$U:$U,Report!$T:$T,"MERCADORIAS P/REVENDA",Report!$AA:$AA,"SIM",Report!$C:$C,A469)</f>
        <v>0</v>
      </c>
      <c r="D469" s="32"/>
      <c r="E469" s="32"/>
      <c r="F469" s="31" t="n">
        <f aca="false">B469+C469</f>
        <v>0</v>
      </c>
    </row>
    <row r="470" customFormat="false" ht="12.75" hidden="false" customHeight="true" outlineLevel="0" collapsed="false">
      <c r="A470" s="30" t="n">
        <v>46432</v>
      </c>
      <c r="B470" s="31" t="n">
        <f aca="false">SUMIFS(Report!$U:$U,Report!$T:$T,"&lt;&gt;"&amp;"MERCADORIAS P/REVENDA",Report!$AA:$AA,"SIM",Report!$C:$C,A470)</f>
        <v>0</v>
      </c>
      <c r="C470" s="31" t="n">
        <f aca="false">SUMIFS(Report!$U:$U,Report!$T:$T,"MERCADORIAS P/REVENDA",Report!$AA:$AA,"SIM",Report!$C:$C,A470)</f>
        <v>0</v>
      </c>
      <c r="D470" s="32"/>
      <c r="E470" s="32"/>
      <c r="F470" s="31" t="n">
        <f aca="false">B470+C470</f>
        <v>0</v>
      </c>
    </row>
    <row r="471" customFormat="false" ht="12.75" hidden="false" customHeight="true" outlineLevel="0" collapsed="false">
      <c r="A471" s="30" t="n">
        <v>46433</v>
      </c>
      <c r="B471" s="31" t="n">
        <f aca="false">SUMIFS(Report!$U:$U,Report!$T:$T,"&lt;&gt;"&amp;"MERCADORIAS P/REVENDA",Report!$AA:$AA,"SIM",Report!$C:$C,A471)</f>
        <v>0</v>
      </c>
      <c r="C471" s="31" t="n">
        <f aca="false">SUMIFS(Report!$U:$U,Report!$T:$T,"MERCADORIAS P/REVENDA",Report!$AA:$AA,"SIM",Report!$C:$C,A471)</f>
        <v>0</v>
      </c>
      <c r="D471" s="32"/>
      <c r="E471" s="32"/>
      <c r="F471" s="31" t="n">
        <f aca="false">B471+C471</f>
        <v>0</v>
      </c>
    </row>
    <row r="472" customFormat="false" ht="12.75" hidden="false" customHeight="true" outlineLevel="0" collapsed="false">
      <c r="A472" s="33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34"/>
      <c r="E472" s="34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0" t="n">
        <v>46438</v>
      </c>
      <c r="B477" s="31" t="n">
        <f aca="false">SUMIFS(Report!$U:$U,Report!$T:$T,"&lt;&gt;"&amp;"MERCADORIAS P/REVENDA",Report!$AA:$AA,"SIM",Report!$C:$C,A477)</f>
        <v>0</v>
      </c>
      <c r="C477" s="31" t="n">
        <f aca="false">SUMIFS(Report!$U:$U,Report!$T:$T,"MERCADORIAS P/REVENDA",Report!$AA:$AA,"SIM",Report!$C:$C,A477)</f>
        <v>0</v>
      </c>
      <c r="D477" s="32"/>
      <c r="E477" s="32"/>
      <c r="F477" s="31" t="n">
        <f aca="false">B477+C477</f>
        <v>0</v>
      </c>
    </row>
    <row r="478" customFormat="false" ht="12.75" hidden="false" customHeight="true" outlineLevel="0" collapsed="false">
      <c r="A478" s="30" t="n">
        <v>46439</v>
      </c>
      <c r="B478" s="31" t="n">
        <f aca="false">SUMIFS(Report!$U:$U,Report!$T:$T,"&lt;&gt;"&amp;"MERCADORIAS P/REVENDA",Report!$AA:$AA,"SIM",Report!$C:$C,A478)</f>
        <v>0</v>
      </c>
      <c r="C478" s="31" t="n">
        <f aca="false">SUMIFS(Report!$U:$U,Report!$T:$T,"MERCADORIAS P/REVENDA",Report!$AA:$AA,"SIM",Report!$C:$C,A478)</f>
        <v>0</v>
      </c>
      <c r="D478" s="32"/>
      <c r="E478" s="32"/>
      <c r="F478" s="31" t="n">
        <f aca="false">B478+C478</f>
        <v>0</v>
      </c>
    </row>
    <row r="479" customFormat="false" ht="12.75" hidden="false" customHeight="true" outlineLevel="0" collapsed="false">
      <c r="A479" s="30" t="n">
        <v>46440</v>
      </c>
      <c r="B479" s="31" t="n">
        <f aca="false">SUMIFS(Report!$U:$U,Report!$T:$T,"&lt;&gt;"&amp;"MERCADORIAS P/REVENDA",Report!$AA:$AA,"SIM",Report!$C:$C,A479)</f>
        <v>0</v>
      </c>
      <c r="C479" s="31" t="n">
        <f aca="false">SUMIFS(Report!$U:$U,Report!$T:$T,"MERCADORIAS P/REVENDA",Report!$AA:$AA,"SIM",Report!$C:$C,A479)</f>
        <v>0</v>
      </c>
      <c r="D479" s="32"/>
      <c r="E479" s="32"/>
      <c r="F479" s="31" t="n">
        <f aca="false">B479+C479</f>
        <v>0</v>
      </c>
    </row>
    <row r="480" customFormat="false" ht="12.75" hidden="false" customHeight="true" outlineLevel="0" collapsed="false">
      <c r="A480" s="33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34"/>
      <c r="E480" s="34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0" t="n">
        <v>46445</v>
      </c>
      <c r="B485" s="31" t="n">
        <f aca="false">SUMIFS(Report!$U:$U,Report!$T:$T,"&lt;&gt;"&amp;"MERCADORIAS P/REVENDA",Report!$AA:$AA,"SIM",Report!$C:$C,A485)</f>
        <v>0</v>
      </c>
      <c r="C485" s="31" t="n">
        <f aca="false">SUMIFS(Report!$U:$U,Report!$T:$T,"MERCADORIAS P/REVENDA",Report!$AA:$AA,"SIM",Report!$C:$C,A485)</f>
        <v>0</v>
      </c>
      <c r="D485" s="32"/>
      <c r="E485" s="32"/>
      <c r="F485" s="31" t="n">
        <f aca="false">B485+C485</f>
        <v>0</v>
      </c>
    </row>
    <row r="486" customFormat="false" ht="12.75" hidden="false" customHeight="true" outlineLevel="0" collapsed="false">
      <c r="A486" s="30" t="n">
        <v>46446</v>
      </c>
      <c r="B486" s="31" t="n">
        <f aca="false">SUMIFS(Report!$U:$U,Report!$T:$T,"&lt;&gt;"&amp;"MERCADORIAS P/REVENDA",Report!$AA:$AA,"SIM",Report!$C:$C,A486)</f>
        <v>0</v>
      </c>
      <c r="C486" s="31" t="n">
        <f aca="false">SUMIFS(Report!$U:$U,Report!$T:$T,"MERCADORIAS P/REVENDA",Report!$AA:$AA,"SIM",Report!$C:$C,A486)</f>
        <v>0</v>
      </c>
      <c r="D486" s="32"/>
      <c r="E486" s="32"/>
      <c r="F486" s="31" t="n">
        <f aca="false">B486+C486</f>
        <v>0</v>
      </c>
    </row>
    <row r="487" customFormat="false" ht="12.75" hidden="false" customHeight="true" outlineLevel="0" collapsed="false">
      <c r="A487" s="30" t="n">
        <v>46447</v>
      </c>
      <c r="B487" s="31" t="n">
        <f aca="false">SUMIFS(Report!$U:$U,Report!$T:$T,"&lt;&gt;"&amp;"MERCADORIAS P/REVENDA",Report!$AA:$AA,"SIM",Report!$C:$C,A487)</f>
        <v>0</v>
      </c>
      <c r="C487" s="31" t="n">
        <f aca="false">SUMIFS(Report!$U:$U,Report!$T:$T,"MERCADORIAS P/REVENDA",Report!$AA:$AA,"SIM",Report!$C:$C,A487)</f>
        <v>0</v>
      </c>
      <c r="D487" s="32"/>
      <c r="E487" s="32"/>
      <c r="F487" s="31" t="n">
        <f aca="false">B487+C487</f>
        <v>0</v>
      </c>
    </row>
    <row r="488" customFormat="false" ht="12.75" hidden="false" customHeight="true" outlineLevel="0" collapsed="false">
      <c r="A488" s="33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34"/>
      <c r="E488" s="34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0" t="n">
        <v>46452</v>
      </c>
      <c r="B493" s="31" t="n">
        <f aca="false">SUMIFS(Report!$U:$U,Report!$T:$T,"&lt;&gt;"&amp;"MERCADORIAS P/REVENDA",Report!$AA:$AA,"SIM",Report!$C:$C,A493)</f>
        <v>0</v>
      </c>
      <c r="C493" s="31" t="n">
        <f aca="false">SUMIFS(Report!$U:$U,Report!$T:$T,"MERCADORIAS P/REVENDA",Report!$AA:$AA,"SIM",Report!$C:$C,A493)</f>
        <v>0</v>
      </c>
      <c r="D493" s="32"/>
      <c r="E493" s="32"/>
      <c r="F493" s="31" t="n">
        <f aca="false">B493+C493</f>
        <v>0</v>
      </c>
    </row>
    <row r="494" customFormat="false" ht="12.75" hidden="false" customHeight="true" outlineLevel="0" collapsed="false">
      <c r="A494" s="30" t="n">
        <v>46453</v>
      </c>
      <c r="B494" s="31" t="n">
        <f aca="false">SUMIFS(Report!$U:$U,Report!$T:$T,"&lt;&gt;"&amp;"MERCADORIAS P/REVENDA",Report!$AA:$AA,"SIM",Report!$C:$C,A494)</f>
        <v>0</v>
      </c>
      <c r="C494" s="31" t="n">
        <f aca="false">SUMIFS(Report!$U:$U,Report!$T:$T,"MERCADORIAS P/REVENDA",Report!$AA:$AA,"SIM",Report!$C:$C,A494)</f>
        <v>0</v>
      </c>
      <c r="D494" s="32"/>
      <c r="E494" s="32"/>
      <c r="F494" s="31" t="n">
        <f aca="false">B494+C494</f>
        <v>0</v>
      </c>
    </row>
    <row r="495" customFormat="false" ht="12.75" hidden="false" customHeight="true" outlineLevel="0" collapsed="false">
      <c r="A495" s="30" t="n">
        <v>46454</v>
      </c>
      <c r="B495" s="31" t="n">
        <f aca="false">SUMIFS(Report!$U:$U,Report!$T:$T,"&lt;&gt;"&amp;"MERCADORIAS P/REVENDA",Report!$AA:$AA,"SIM",Report!$C:$C,A495)</f>
        <v>0</v>
      </c>
      <c r="C495" s="31" t="n">
        <f aca="false">SUMIFS(Report!$U:$U,Report!$T:$T,"MERCADORIAS P/REVENDA",Report!$AA:$AA,"SIM",Report!$C:$C,A495)</f>
        <v>0</v>
      </c>
      <c r="D495" s="32"/>
      <c r="E495" s="32"/>
      <c r="F495" s="31" t="n">
        <f aca="false">B495+C495</f>
        <v>0</v>
      </c>
    </row>
    <row r="496" customFormat="false" ht="12.75" hidden="false" customHeight="true" outlineLevel="0" collapsed="false">
      <c r="A496" s="33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34"/>
      <c r="E496" s="34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0" t="n">
        <v>46459</v>
      </c>
      <c r="B501" s="31" t="n">
        <f aca="false">SUMIFS(Report!$U:$U,Report!$T:$T,"&lt;&gt;"&amp;"MERCADORIAS P/REVENDA",Report!$AA:$AA,"SIM",Report!$C:$C,A501)</f>
        <v>0</v>
      </c>
      <c r="C501" s="31" t="n">
        <f aca="false">SUMIFS(Report!$U:$U,Report!$T:$T,"MERCADORIAS P/REVENDA",Report!$AA:$AA,"SIM",Report!$C:$C,A501)</f>
        <v>0</v>
      </c>
      <c r="D501" s="32"/>
      <c r="E501" s="32"/>
      <c r="F501" s="31" t="n">
        <f aca="false">B501+C501</f>
        <v>0</v>
      </c>
    </row>
    <row r="502" customFormat="false" ht="12.75" hidden="false" customHeight="true" outlineLevel="0" collapsed="false">
      <c r="A502" s="30" t="n">
        <v>46460</v>
      </c>
      <c r="B502" s="31" t="n">
        <f aca="false">SUMIFS(Report!$U:$U,Report!$T:$T,"&lt;&gt;"&amp;"MERCADORIAS P/REVENDA",Report!$AA:$AA,"SIM",Report!$C:$C,A502)</f>
        <v>0</v>
      </c>
      <c r="C502" s="31" t="n">
        <f aca="false">SUMIFS(Report!$U:$U,Report!$T:$T,"MERCADORIAS P/REVENDA",Report!$AA:$AA,"SIM",Report!$C:$C,A502)</f>
        <v>0</v>
      </c>
      <c r="D502" s="32"/>
      <c r="E502" s="32"/>
      <c r="F502" s="31" t="n">
        <f aca="false">B502+C502</f>
        <v>0</v>
      </c>
    </row>
    <row r="503" customFormat="false" ht="12.75" hidden="false" customHeight="true" outlineLevel="0" collapsed="false">
      <c r="A503" s="30" t="n">
        <v>46461</v>
      </c>
      <c r="B503" s="31" t="n">
        <f aca="false">SUMIFS(Report!$U:$U,Report!$T:$T,"&lt;&gt;"&amp;"MERCADORIAS P/REVENDA",Report!$AA:$AA,"SIM",Report!$C:$C,A503)</f>
        <v>0</v>
      </c>
      <c r="C503" s="31" t="n">
        <f aca="false">SUMIFS(Report!$U:$U,Report!$T:$T,"MERCADORIAS P/REVENDA",Report!$AA:$AA,"SIM",Report!$C:$C,A503)</f>
        <v>0</v>
      </c>
      <c r="D503" s="32"/>
      <c r="E503" s="32"/>
      <c r="F503" s="31" t="n">
        <f aca="false">B503+C503</f>
        <v>0</v>
      </c>
    </row>
    <row r="504" customFormat="false" ht="12.75" hidden="false" customHeight="true" outlineLevel="0" collapsed="false">
      <c r="A504" s="33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34"/>
      <c r="E504" s="34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0" t="n">
        <v>46466</v>
      </c>
      <c r="B509" s="31" t="n">
        <f aca="false">SUMIFS(Report!$U:$U,Report!$T:$T,"&lt;&gt;"&amp;"MERCADORIAS P/REVENDA",Report!$AA:$AA,"SIM",Report!$C:$C,A509)</f>
        <v>0</v>
      </c>
      <c r="C509" s="31" t="n">
        <f aca="false">SUMIFS(Report!$U:$U,Report!$T:$T,"MERCADORIAS P/REVENDA",Report!$AA:$AA,"SIM",Report!$C:$C,A509)</f>
        <v>0</v>
      </c>
      <c r="D509" s="32"/>
      <c r="E509" s="32"/>
      <c r="F509" s="31" t="n">
        <f aca="false">B509+C509</f>
        <v>0</v>
      </c>
    </row>
    <row r="510" customFormat="false" ht="12.75" hidden="false" customHeight="true" outlineLevel="0" collapsed="false">
      <c r="A510" s="30" t="n">
        <v>46467</v>
      </c>
      <c r="B510" s="31" t="n">
        <f aca="false">SUMIFS(Report!$U:$U,Report!$T:$T,"&lt;&gt;"&amp;"MERCADORIAS P/REVENDA",Report!$AA:$AA,"SIM",Report!$C:$C,A510)</f>
        <v>0</v>
      </c>
      <c r="C510" s="31" t="n">
        <f aca="false">SUMIFS(Report!$U:$U,Report!$T:$T,"MERCADORIAS P/REVENDA",Report!$AA:$AA,"SIM",Report!$C:$C,A510)</f>
        <v>0</v>
      </c>
      <c r="D510" s="32"/>
      <c r="E510" s="32"/>
      <c r="F510" s="31" t="n">
        <f aca="false">B510+C510</f>
        <v>0</v>
      </c>
    </row>
    <row r="511" customFormat="false" ht="12.75" hidden="false" customHeight="true" outlineLevel="0" collapsed="false">
      <c r="A511" s="30" t="n">
        <v>46468</v>
      </c>
      <c r="B511" s="31" t="n">
        <f aca="false">SUMIFS(Report!$U:$U,Report!$T:$T,"&lt;&gt;"&amp;"MERCADORIAS P/REVENDA",Report!$AA:$AA,"SIM",Report!$C:$C,A511)</f>
        <v>0</v>
      </c>
      <c r="C511" s="31" t="n">
        <f aca="false">SUMIFS(Report!$U:$U,Report!$T:$T,"MERCADORIAS P/REVENDA",Report!$AA:$AA,"SIM",Report!$C:$C,A511)</f>
        <v>0</v>
      </c>
      <c r="D511" s="32"/>
      <c r="E511" s="32"/>
      <c r="F511" s="31" t="n">
        <f aca="false">B511+C511</f>
        <v>0</v>
      </c>
    </row>
    <row r="512" customFormat="false" ht="12.75" hidden="false" customHeight="true" outlineLevel="0" collapsed="false">
      <c r="A512" s="33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34"/>
      <c r="E512" s="34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0" t="n">
        <v>46473</v>
      </c>
      <c r="B517" s="31" t="n">
        <f aca="false">SUMIFS(Report!$U:$U,Report!$T:$T,"&lt;&gt;"&amp;"MERCADORIAS P/REVENDA",Report!$AA:$AA,"SIM",Report!$C:$C,A517)</f>
        <v>0</v>
      </c>
      <c r="C517" s="31" t="n">
        <f aca="false">SUMIFS(Report!$U:$U,Report!$T:$T,"MERCADORIAS P/REVENDA",Report!$AA:$AA,"SIM",Report!$C:$C,A517)</f>
        <v>0</v>
      </c>
      <c r="D517" s="32"/>
      <c r="E517" s="32"/>
      <c r="F517" s="31" t="n">
        <f aca="false">B517+C517</f>
        <v>0</v>
      </c>
    </row>
    <row r="518" customFormat="false" ht="12.75" hidden="false" customHeight="true" outlineLevel="0" collapsed="false">
      <c r="A518" s="30" t="n">
        <v>46474</v>
      </c>
      <c r="B518" s="31" t="n">
        <f aca="false">SUMIFS(Report!$U:$U,Report!$T:$T,"&lt;&gt;"&amp;"MERCADORIAS P/REVENDA",Report!$AA:$AA,"SIM",Report!$C:$C,A518)</f>
        <v>0</v>
      </c>
      <c r="C518" s="31" t="n">
        <f aca="false">SUMIFS(Report!$U:$U,Report!$T:$T,"MERCADORIAS P/REVENDA",Report!$AA:$AA,"SIM",Report!$C:$C,A518)</f>
        <v>0</v>
      </c>
      <c r="D518" s="32"/>
      <c r="E518" s="32"/>
      <c r="F518" s="31" t="n">
        <f aca="false">B518+C518</f>
        <v>0</v>
      </c>
    </row>
    <row r="519" customFormat="false" ht="12.75" hidden="false" customHeight="true" outlineLevel="0" collapsed="false">
      <c r="A519" s="30" t="n">
        <v>46475</v>
      </c>
      <c r="B519" s="31" t="n">
        <f aca="false">SUMIFS(Report!$U:$U,Report!$T:$T,"&lt;&gt;"&amp;"MERCADORIAS P/REVENDA",Report!$AA:$AA,"SIM",Report!$C:$C,A519)</f>
        <v>0</v>
      </c>
      <c r="C519" s="31" t="n">
        <f aca="false">SUMIFS(Report!$U:$U,Report!$T:$T,"MERCADORIAS P/REVENDA",Report!$AA:$AA,"SIM",Report!$C:$C,A519)</f>
        <v>0</v>
      </c>
      <c r="D519" s="32"/>
      <c r="E519" s="32"/>
      <c r="F519" s="31" t="n">
        <f aca="false">B519+C519</f>
        <v>0</v>
      </c>
    </row>
    <row r="520" customFormat="false" ht="12.75" hidden="false" customHeight="true" outlineLevel="0" collapsed="false">
      <c r="A520" s="33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34"/>
      <c r="E520" s="34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0" t="n">
        <v>46480</v>
      </c>
      <c r="B525" s="31" t="n">
        <f aca="false">SUMIFS(Report!$U:$U,Report!$T:$T,"&lt;&gt;"&amp;"MERCADORIAS P/REVENDA",Report!$AA:$AA,"SIM",Report!$C:$C,A525)</f>
        <v>0</v>
      </c>
      <c r="C525" s="31" t="n">
        <f aca="false">SUMIFS(Report!$U:$U,Report!$T:$T,"MERCADORIAS P/REVENDA",Report!$AA:$AA,"SIM",Report!$C:$C,A525)</f>
        <v>0</v>
      </c>
      <c r="D525" s="32"/>
      <c r="E525" s="32"/>
      <c r="F525" s="31" t="n">
        <f aca="false">B525+C525</f>
        <v>0</v>
      </c>
    </row>
    <row r="526" customFormat="false" ht="12.75" hidden="false" customHeight="true" outlineLevel="0" collapsed="false">
      <c r="A526" s="30" t="n">
        <v>46481</v>
      </c>
      <c r="B526" s="31" t="n">
        <f aca="false">SUMIFS(Report!$U:$U,Report!$T:$T,"&lt;&gt;"&amp;"MERCADORIAS P/REVENDA",Report!$AA:$AA,"SIM",Report!$C:$C,A526)</f>
        <v>0</v>
      </c>
      <c r="C526" s="31" t="n">
        <f aca="false">SUMIFS(Report!$U:$U,Report!$T:$T,"MERCADORIAS P/REVENDA",Report!$AA:$AA,"SIM",Report!$C:$C,A526)</f>
        <v>0</v>
      </c>
      <c r="D526" s="32"/>
      <c r="E526" s="32"/>
      <c r="F526" s="31" t="n">
        <f aca="false">B526+C526</f>
        <v>0</v>
      </c>
    </row>
    <row r="527" customFormat="false" ht="12.75" hidden="false" customHeight="true" outlineLevel="0" collapsed="false">
      <c r="A527" s="30" t="n">
        <v>46482</v>
      </c>
      <c r="B527" s="31" t="n">
        <f aca="false">SUMIFS(Report!$U:$U,Report!$T:$T,"&lt;&gt;"&amp;"MERCADORIAS P/REVENDA",Report!$AA:$AA,"SIM",Report!$C:$C,A527)</f>
        <v>0</v>
      </c>
      <c r="C527" s="31" t="n">
        <f aca="false">SUMIFS(Report!$U:$U,Report!$T:$T,"MERCADORIAS P/REVENDA",Report!$AA:$AA,"SIM",Report!$C:$C,A527)</f>
        <v>0</v>
      </c>
      <c r="D527" s="32"/>
      <c r="E527" s="32"/>
      <c r="F527" s="31" t="n">
        <f aca="false">B527+C527</f>
        <v>0</v>
      </c>
    </row>
    <row r="528" customFormat="false" ht="12.75" hidden="false" customHeight="true" outlineLevel="0" collapsed="false">
      <c r="A528" s="33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34"/>
      <c r="E528" s="34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0" t="n">
        <v>46487</v>
      </c>
      <c r="B533" s="31" t="n">
        <f aca="false">SUMIFS(Report!$U:$U,Report!$T:$T,"&lt;&gt;"&amp;"MERCADORIAS P/REVENDA",Report!$AA:$AA,"SIM",Report!$C:$C,A533)</f>
        <v>0</v>
      </c>
      <c r="C533" s="31" t="n">
        <f aca="false">SUMIFS(Report!$U:$U,Report!$T:$T,"MERCADORIAS P/REVENDA",Report!$AA:$AA,"SIM",Report!$C:$C,A533)</f>
        <v>0</v>
      </c>
      <c r="D533" s="32"/>
      <c r="E533" s="32"/>
      <c r="F533" s="31" t="n">
        <f aca="false">B533+C533</f>
        <v>0</v>
      </c>
    </row>
    <row r="534" customFormat="false" ht="12.75" hidden="false" customHeight="true" outlineLevel="0" collapsed="false">
      <c r="A534" s="30" t="n">
        <v>46488</v>
      </c>
      <c r="B534" s="31" t="n">
        <f aca="false">SUMIFS(Report!$U:$U,Report!$T:$T,"&lt;&gt;"&amp;"MERCADORIAS P/REVENDA",Report!$AA:$AA,"SIM",Report!$C:$C,A534)</f>
        <v>0</v>
      </c>
      <c r="C534" s="31" t="n">
        <f aca="false">SUMIFS(Report!$U:$U,Report!$T:$T,"MERCADORIAS P/REVENDA",Report!$AA:$AA,"SIM",Report!$C:$C,A534)</f>
        <v>0</v>
      </c>
      <c r="D534" s="32"/>
      <c r="E534" s="32"/>
      <c r="F534" s="31" t="n">
        <f aca="false">B534+C534</f>
        <v>0</v>
      </c>
    </row>
    <row r="535" customFormat="false" ht="12.75" hidden="false" customHeight="true" outlineLevel="0" collapsed="false">
      <c r="A535" s="30" t="n">
        <v>46489</v>
      </c>
      <c r="B535" s="31" t="n">
        <f aca="false">SUMIFS(Report!$U:$U,Report!$T:$T,"&lt;&gt;"&amp;"MERCADORIAS P/REVENDA",Report!$AA:$AA,"SIM",Report!$C:$C,A535)</f>
        <v>0</v>
      </c>
      <c r="C535" s="31" t="n">
        <f aca="false">SUMIFS(Report!$U:$U,Report!$T:$T,"MERCADORIAS P/REVENDA",Report!$AA:$AA,"SIM",Report!$C:$C,A535)</f>
        <v>0</v>
      </c>
      <c r="D535" s="32"/>
      <c r="E535" s="32"/>
      <c r="F535" s="31" t="n">
        <f aca="false">B535+C535</f>
        <v>0</v>
      </c>
    </row>
    <row r="536" customFormat="false" ht="12.75" hidden="false" customHeight="true" outlineLevel="0" collapsed="false">
      <c r="A536" s="33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34"/>
      <c r="E536" s="34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0" t="n">
        <v>46494</v>
      </c>
      <c r="B541" s="31" t="n">
        <f aca="false">SUMIFS(Report!$U:$U,Report!$T:$T,"&lt;&gt;"&amp;"MERCADORIAS P/REVENDA",Report!$AA:$AA,"SIM",Report!$C:$C,A541)</f>
        <v>0</v>
      </c>
      <c r="C541" s="31" t="n">
        <f aca="false">SUMIFS(Report!$U:$U,Report!$T:$T,"MERCADORIAS P/REVENDA",Report!$AA:$AA,"SIM",Report!$C:$C,A541)</f>
        <v>0</v>
      </c>
      <c r="D541" s="32"/>
      <c r="E541" s="32"/>
      <c r="F541" s="31" t="n">
        <f aca="false">B541+C541</f>
        <v>0</v>
      </c>
    </row>
    <row r="542" customFormat="false" ht="12.75" hidden="false" customHeight="true" outlineLevel="0" collapsed="false">
      <c r="A542" s="30" t="n">
        <v>46495</v>
      </c>
      <c r="B542" s="31" t="n">
        <f aca="false">SUMIFS(Report!$U:$U,Report!$T:$T,"&lt;&gt;"&amp;"MERCADORIAS P/REVENDA",Report!$AA:$AA,"SIM",Report!$C:$C,A542)</f>
        <v>0</v>
      </c>
      <c r="C542" s="31" t="n">
        <f aca="false">SUMIFS(Report!$U:$U,Report!$T:$T,"MERCADORIAS P/REVENDA",Report!$AA:$AA,"SIM",Report!$C:$C,A542)</f>
        <v>0</v>
      </c>
      <c r="D542" s="32"/>
      <c r="E542" s="32"/>
      <c r="F542" s="31" t="n">
        <f aca="false">B542+C542</f>
        <v>0</v>
      </c>
    </row>
    <row r="543" customFormat="false" ht="12.75" hidden="false" customHeight="true" outlineLevel="0" collapsed="false">
      <c r="A543" s="30" t="n">
        <v>46496</v>
      </c>
      <c r="B543" s="31" t="n">
        <f aca="false">SUMIFS(Report!$U:$U,Report!$T:$T,"&lt;&gt;"&amp;"MERCADORIAS P/REVENDA",Report!$AA:$AA,"SIM",Report!$C:$C,A543)</f>
        <v>0</v>
      </c>
      <c r="C543" s="31" t="n">
        <f aca="false">SUMIFS(Report!$U:$U,Report!$T:$T,"MERCADORIAS P/REVENDA",Report!$AA:$AA,"SIM",Report!$C:$C,A543)</f>
        <v>0</v>
      </c>
      <c r="D543" s="32"/>
      <c r="E543" s="32"/>
      <c r="F543" s="31" t="n">
        <f aca="false">B543+C543</f>
        <v>0</v>
      </c>
    </row>
    <row r="544" customFormat="false" ht="12.75" hidden="false" customHeight="true" outlineLevel="0" collapsed="false">
      <c r="A544" s="33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34"/>
      <c r="E544" s="34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0" t="n">
        <v>46501</v>
      </c>
      <c r="B549" s="31" t="n">
        <f aca="false">SUMIFS(Report!$U:$U,Report!$T:$T,"&lt;&gt;"&amp;"MERCADORIAS P/REVENDA",Report!$AA:$AA,"SIM",Report!$C:$C,A549)</f>
        <v>0</v>
      </c>
      <c r="C549" s="31" t="n">
        <f aca="false">SUMIFS(Report!$U:$U,Report!$T:$T,"MERCADORIAS P/REVENDA",Report!$AA:$AA,"SIM",Report!$C:$C,A549)</f>
        <v>0</v>
      </c>
      <c r="D549" s="32"/>
      <c r="E549" s="32"/>
      <c r="F549" s="31" t="n">
        <f aca="false">B549+C549</f>
        <v>0</v>
      </c>
    </row>
    <row r="550" customFormat="false" ht="12.75" hidden="false" customHeight="true" outlineLevel="0" collapsed="false">
      <c r="A550" s="30" t="n">
        <v>46502</v>
      </c>
      <c r="B550" s="31" t="n">
        <f aca="false">SUMIFS(Report!$U:$U,Report!$T:$T,"&lt;&gt;"&amp;"MERCADORIAS P/REVENDA",Report!$AA:$AA,"SIM",Report!$C:$C,A550)</f>
        <v>0</v>
      </c>
      <c r="C550" s="31" t="n">
        <f aca="false">SUMIFS(Report!$U:$U,Report!$T:$T,"MERCADORIAS P/REVENDA",Report!$AA:$AA,"SIM",Report!$C:$C,A550)</f>
        <v>0</v>
      </c>
      <c r="D550" s="32"/>
      <c r="E550" s="32"/>
      <c r="F550" s="31" t="n">
        <f aca="false">B550+C550</f>
        <v>0</v>
      </c>
    </row>
    <row r="551" customFormat="false" ht="12.75" hidden="false" customHeight="true" outlineLevel="0" collapsed="false">
      <c r="A551" s="30" t="n">
        <v>46503</v>
      </c>
      <c r="B551" s="31" t="n">
        <f aca="false">SUMIFS(Report!$U:$U,Report!$T:$T,"&lt;&gt;"&amp;"MERCADORIAS P/REVENDA",Report!$AA:$AA,"SIM",Report!$C:$C,A551)</f>
        <v>0</v>
      </c>
      <c r="C551" s="31" t="n">
        <f aca="false">SUMIFS(Report!$U:$U,Report!$T:$T,"MERCADORIAS P/REVENDA",Report!$AA:$AA,"SIM",Report!$C:$C,A551)</f>
        <v>0</v>
      </c>
      <c r="D551" s="32"/>
      <c r="E551" s="32"/>
      <c r="F551" s="31" t="n">
        <f aca="false">B551+C551</f>
        <v>0</v>
      </c>
    </row>
    <row r="552" customFormat="false" ht="12.75" hidden="false" customHeight="true" outlineLevel="0" collapsed="false">
      <c r="A552" s="33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34"/>
      <c r="E552" s="34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0" t="n">
        <v>46508</v>
      </c>
      <c r="B557" s="31" t="n">
        <f aca="false">SUMIFS(Report!$U:$U,Report!$T:$T,"&lt;&gt;"&amp;"MERCADORIAS P/REVENDA",Report!$AA:$AA,"SIM",Report!$C:$C,A557)</f>
        <v>0</v>
      </c>
      <c r="C557" s="31" t="n">
        <f aca="false">SUMIFS(Report!$U:$U,Report!$T:$T,"MERCADORIAS P/REVENDA",Report!$AA:$AA,"SIM",Report!$C:$C,A557)</f>
        <v>0</v>
      </c>
      <c r="D557" s="32"/>
      <c r="E557" s="32"/>
      <c r="F557" s="31" t="n">
        <f aca="false">B557+C557</f>
        <v>0</v>
      </c>
    </row>
    <row r="558" customFormat="false" ht="12.75" hidden="false" customHeight="true" outlineLevel="0" collapsed="false">
      <c r="A558" s="30" t="n">
        <v>46509</v>
      </c>
      <c r="B558" s="31" t="n">
        <f aca="false">SUMIFS(Report!$U:$U,Report!$T:$T,"&lt;&gt;"&amp;"MERCADORIAS P/REVENDA",Report!$AA:$AA,"SIM",Report!$C:$C,A558)</f>
        <v>0</v>
      </c>
      <c r="C558" s="31" t="n">
        <f aca="false">SUMIFS(Report!$U:$U,Report!$T:$T,"MERCADORIAS P/REVENDA",Report!$AA:$AA,"SIM",Report!$C:$C,A558)</f>
        <v>0</v>
      </c>
      <c r="D558" s="32"/>
      <c r="E558" s="32"/>
      <c r="F558" s="31" t="n">
        <f aca="false">B558+C558</f>
        <v>0</v>
      </c>
    </row>
    <row r="559" customFormat="false" ht="12.75" hidden="false" customHeight="true" outlineLevel="0" collapsed="false">
      <c r="A559" s="30" t="n">
        <v>46510</v>
      </c>
      <c r="B559" s="31" t="n">
        <f aca="false">SUMIFS(Report!$U:$U,Report!$T:$T,"&lt;&gt;"&amp;"MERCADORIAS P/REVENDA",Report!$AA:$AA,"SIM",Report!$C:$C,A559)</f>
        <v>0</v>
      </c>
      <c r="C559" s="31" t="n">
        <f aca="false">SUMIFS(Report!$U:$U,Report!$T:$T,"MERCADORIAS P/REVENDA",Report!$AA:$AA,"SIM",Report!$C:$C,A559)</f>
        <v>0</v>
      </c>
      <c r="D559" s="32"/>
      <c r="E559" s="32"/>
      <c r="F559" s="31" t="n">
        <f aca="false">B559+C559</f>
        <v>0</v>
      </c>
    </row>
    <row r="560" customFormat="false" ht="12.75" hidden="false" customHeight="true" outlineLevel="0" collapsed="false">
      <c r="A560" s="33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34"/>
      <c r="E560" s="34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0" t="n">
        <v>46515</v>
      </c>
      <c r="B565" s="31" t="n">
        <f aca="false">SUMIFS(Report!$U:$U,Report!$T:$T,"&lt;&gt;"&amp;"MERCADORIAS P/REVENDA",Report!$AA:$AA,"SIM",Report!$C:$C,A565)</f>
        <v>0</v>
      </c>
      <c r="C565" s="31" t="n">
        <f aca="false">SUMIFS(Report!$U:$U,Report!$T:$T,"MERCADORIAS P/REVENDA",Report!$AA:$AA,"SIM",Report!$C:$C,A565)</f>
        <v>0</v>
      </c>
      <c r="D565" s="32"/>
      <c r="E565" s="32"/>
      <c r="F565" s="31" t="n">
        <f aca="false">B565+C565</f>
        <v>0</v>
      </c>
    </row>
    <row r="566" customFormat="false" ht="12.75" hidden="false" customHeight="true" outlineLevel="0" collapsed="false">
      <c r="A566" s="30" t="n">
        <v>46516</v>
      </c>
      <c r="B566" s="31" t="n">
        <f aca="false">SUMIFS(Report!$U:$U,Report!$T:$T,"&lt;&gt;"&amp;"MERCADORIAS P/REVENDA",Report!$AA:$AA,"SIM",Report!$C:$C,A566)</f>
        <v>0</v>
      </c>
      <c r="C566" s="31" t="n">
        <f aca="false">SUMIFS(Report!$U:$U,Report!$T:$T,"MERCADORIAS P/REVENDA",Report!$AA:$AA,"SIM",Report!$C:$C,A566)</f>
        <v>0</v>
      </c>
      <c r="D566" s="32"/>
      <c r="E566" s="32"/>
      <c r="F566" s="31" t="n">
        <f aca="false">B566+C566</f>
        <v>0</v>
      </c>
    </row>
    <row r="567" customFormat="false" ht="12.75" hidden="false" customHeight="true" outlineLevel="0" collapsed="false">
      <c r="A567" s="30" t="n">
        <v>46517</v>
      </c>
      <c r="B567" s="31" t="n">
        <f aca="false">SUMIFS(Report!$U:$U,Report!$T:$T,"&lt;&gt;"&amp;"MERCADORIAS P/REVENDA",Report!$AA:$AA,"SIM",Report!$C:$C,A567)</f>
        <v>0</v>
      </c>
      <c r="C567" s="31" t="n">
        <f aca="false">SUMIFS(Report!$U:$U,Report!$T:$T,"MERCADORIAS P/REVENDA",Report!$AA:$AA,"SIM",Report!$C:$C,A567)</f>
        <v>0</v>
      </c>
      <c r="D567" s="32"/>
      <c r="E567" s="32"/>
      <c r="F567" s="31" t="n">
        <f aca="false">B567+C567</f>
        <v>0</v>
      </c>
    </row>
    <row r="568" customFormat="false" ht="12.75" hidden="false" customHeight="true" outlineLevel="0" collapsed="false">
      <c r="A568" s="33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34"/>
      <c r="E568" s="34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0" t="n">
        <v>46522</v>
      </c>
      <c r="B573" s="31" t="n">
        <f aca="false">SUMIFS(Report!$U:$U,Report!$T:$T,"&lt;&gt;"&amp;"MERCADORIAS P/REVENDA",Report!$AA:$AA,"SIM",Report!$C:$C,A573)</f>
        <v>0</v>
      </c>
      <c r="C573" s="31" t="n">
        <f aca="false">SUMIFS(Report!$U:$U,Report!$T:$T,"MERCADORIAS P/REVENDA",Report!$AA:$AA,"SIM",Report!$C:$C,A573)</f>
        <v>0</v>
      </c>
      <c r="D573" s="32"/>
      <c r="E573" s="32"/>
      <c r="F573" s="31" t="n">
        <f aca="false">B573+C573</f>
        <v>0</v>
      </c>
    </row>
    <row r="574" customFormat="false" ht="12.75" hidden="false" customHeight="true" outlineLevel="0" collapsed="false">
      <c r="A574" s="30" t="n">
        <v>46523</v>
      </c>
      <c r="B574" s="31" t="n">
        <f aca="false">SUMIFS(Report!$U:$U,Report!$T:$T,"&lt;&gt;"&amp;"MERCADORIAS P/REVENDA",Report!$AA:$AA,"SIM",Report!$C:$C,A574)</f>
        <v>0</v>
      </c>
      <c r="C574" s="31" t="n">
        <f aca="false">SUMIFS(Report!$U:$U,Report!$T:$T,"MERCADORIAS P/REVENDA",Report!$AA:$AA,"SIM",Report!$C:$C,A574)</f>
        <v>0</v>
      </c>
      <c r="D574" s="32"/>
      <c r="E574" s="32"/>
      <c r="F574" s="31" t="n">
        <f aca="false">B574+C574</f>
        <v>0</v>
      </c>
    </row>
    <row r="575" customFormat="false" ht="12.75" hidden="false" customHeight="true" outlineLevel="0" collapsed="false">
      <c r="A575" s="30" t="n">
        <v>46524</v>
      </c>
      <c r="B575" s="31" t="n">
        <f aca="false">SUMIFS(Report!$U:$U,Report!$T:$T,"&lt;&gt;"&amp;"MERCADORIAS P/REVENDA",Report!$AA:$AA,"SIM",Report!$C:$C,A575)</f>
        <v>0</v>
      </c>
      <c r="C575" s="31" t="n">
        <f aca="false">SUMIFS(Report!$U:$U,Report!$T:$T,"MERCADORIAS P/REVENDA",Report!$AA:$AA,"SIM",Report!$C:$C,A575)</f>
        <v>0</v>
      </c>
      <c r="D575" s="32"/>
      <c r="E575" s="32"/>
      <c r="F575" s="31" t="n">
        <f aca="false">B575+C575</f>
        <v>0</v>
      </c>
    </row>
    <row r="576" customFormat="false" ht="12.75" hidden="false" customHeight="true" outlineLevel="0" collapsed="false">
      <c r="A576" s="33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34"/>
      <c r="E576" s="34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0" t="n">
        <v>46529</v>
      </c>
      <c r="B581" s="31" t="n">
        <f aca="false">SUMIFS(Report!$U:$U,Report!$T:$T,"&lt;&gt;"&amp;"MERCADORIAS P/REVENDA",Report!$AA:$AA,"SIM",Report!$C:$C,A581)</f>
        <v>0</v>
      </c>
      <c r="C581" s="31" t="n">
        <f aca="false">SUMIFS(Report!$U:$U,Report!$T:$T,"MERCADORIAS P/REVENDA",Report!$AA:$AA,"SIM",Report!$C:$C,A581)</f>
        <v>0</v>
      </c>
      <c r="D581" s="32"/>
      <c r="E581" s="32"/>
      <c r="F581" s="31" t="n">
        <f aca="false">B581+C581</f>
        <v>0</v>
      </c>
    </row>
    <row r="582" customFormat="false" ht="12.75" hidden="false" customHeight="true" outlineLevel="0" collapsed="false">
      <c r="A582" s="30" t="n">
        <v>46530</v>
      </c>
      <c r="B582" s="31" t="n">
        <f aca="false">SUMIFS(Report!$U:$U,Report!$T:$T,"&lt;&gt;"&amp;"MERCADORIAS P/REVENDA",Report!$AA:$AA,"SIM",Report!$C:$C,A582)</f>
        <v>0</v>
      </c>
      <c r="C582" s="31" t="n">
        <f aca="false">SUMIFS(Report!$U:$U,Report!$T:$T,"MERCADORIAS P/REVENDA",Report!$AA:$AA,"SIM",Report!$C:$C,A582)</f>
        <v>0</v>
      </c>
      <c r="D582" s="32"/>
      <c r="E582" s="32"/>
      <c r="F582" s="31" t="n">
        <f aca="false">B582+C582</f>
        <v>0</v>
      </c>
    </row>
    <row r="583" customFormat="false" ht="12.75" hidden="false" customHeight="true" outlineLevel="0" collapsed="false">
      <c r="A583" s="30" t="n">
        <v>46531</v>
      </c>
      <c r="B583" s="31" t="n">
        <f aca="false">SUMIFS(Report!$U:$U,Report!$T:$T,"&lt;&gt;"&amp;"MERCADORIAS P/REVENDA",Report!$AA:$AA,"SIM",Report!$C:$C,A583)</f>
        <v>0</v>
      </c>
      <c r="C583" s="31" t="n">
        <f aca="false">SUMIFS(Report!$U:$U,Report!$T:$T,"MERCADORIAS P/REVENDA",Report!$AA:$AA,"SIM",Report!$C:$C,A583)</f>
        <v>0</v>
      </c>
      <c r="D583" s="32"/>
      <c r="E583" s="32"/>
      <c r="F583" s="31" t="n">
        <f aca="false">B583+C583</f>
        <v>0</v>
      </c>
    </row>
    <row r="584" customFormat="false" ht="12.75" hidden="false" customHeight="true" outlineLevel="0" collapsed="false">
      <c r="A584" s="33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34"/>
      <c r="E584" s="34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0" t="n">
        <v>46536</v>
      </c>
      <c r="B589" s="31" t="n">
        <f aca="false">SUMIFS(Report!$U:$U,Report!$T:$T,"&lt;&gt;"&amp;"MERCADORIAS P/REVENDA",Report!$AA:$AA,"SIM",Report!$C:$C,A589)</f>
        <v>0</v>
      </c>
      <c r="C589" s="31" t="n">
        <f aca="false">SUMIFS(Report!$U:$U,Report!$T:$T,"MERCADORIAS P/REVENDA",Report!$AA:$AA,"SIM",Report!$C:$C,A589)</f>
        <v>0</v>
      </c>
      <c r="D589" s="32"/>
      <c r="E589" s="32"/>
      <c r="F589" s="31" t="n">
        <f aca="false">B589+C589</f>
        <v>0</v>
      </c>
    </row>
    <row r="590" customFormat="false" ht="12.75" hidden="false" customHeight="true" outlineLevel="0" collapsed="false">
      <c r="A590" s="30" t="n">
        <v>46537</v>
      </c>
      <c r="B590" s="31" t="n">
        <f aca="false">SUMIFS(Report!$U:$U,Report!$T:$T,"&lt;&gt;"&amp;"MERCADORIAS P/REVENDA",Report!$AA:$AA,"SIM",Report!$C:$C,A590)</f>
        <v>0</v>
      </c>
      <c r="C590" s="31" t="n">
        <f aca="false">SUMIFS(Report!$U:$U,Report!$T:$T,"MERCADORIAS P/REVENDA",Report!$AA:$AA,"SIM",Report!$C:$C,A590)</f>
        <v>0</v>
      </c>
      <c r="D590" s="32"/>
      <c r="E590" s="32"/>
      <c r="F590" s="31" t="n">
        <f aca="false">B590+C590</f>
        <v>0</v>
      </c>
    </row>
    <row r="591" customFormat="false" ht="12.75" hidden="false" customHeight="true" outlineLevel="0" collapsed="false">
      <c r="A591" s="30" t="n">
        <v>46538</v>
      </c>
      <c r="B591" s="31" t="n">
        <f aca="false">SUMIFS(Report!$U:$U,Report!$T:$T,"&lt;&gt;"&amp;"MERCADORIAS P/REVENDA",Report!$AA:$AA,"SIM",Report!$C:$C,A591)</f>
        <v>0</v>
      </c>
      <c r="C591" s="31" t="n">
        <f aca="false">SUMIFS(Report!$U:$U,Report!$T:$T,"MERCADORIAS P/REVENDA",Report!$AA:$AA,"SIM",Report!$C:$C,A591)</f>
        <v>0</v>
      </c>
      <c r="D591" s="32"/>
      <c r="E591" s="32"/>
      <c r="F591" s="31" t="n">
        <f aca="false">B591+C591</f>
        <v>0</v>
      </c>
    </row>
    <row r="592" customFormat="false" ht="12.75" hidden="false" customHeight="true" outlineLevel="0" collapsed="false">
      <c r="A592" s="33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34"/>
      <c r="E592" s="34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0" t="n">
        <v>46543</v>
      </c>
      <c r="B597" s="31" t="n">
        <f aca="false">SUMIFS(Report!$U:$U,Report!$T:$T,"&lt;&gt;"&amp;"MERCADORIAS P/REVENDA",Report!$AA:$AA,"SIM",Report!$C:$C,A597)</f>
        <v>0</v>
      </c>
      <c r="C597" s="31" t="n">
        <f aca="false">SUMIFS(Report!$U:$U,Report!$T:$T,"MERCADORIAS P/REVENDA",Report!$AA:$AA,"SIM",Report!$C:$C,A597)</f>
        <v>0</v>
      </c>
      <c r="D597" s="32"/>
      <c r="E597" s="32"/>
      <c r="F597" s="31" t="n">
        <f aca="false">B597+C597</f>
        <v>0</v>
      </c>
    </row>
    <row r="598" customFormat="false" ht="12.75" hidden="false" customHeight="true" outlineLevel="0" collapsed="false">
      <c r="A598" s="30" t="n">
        <v>46544</v>
      </c>
      <c r="B598" s="31" t="n">
        <f aca="false">SUMIFS(Report!$U:$U,Report!$T:$T,"&lt;&gt;"&amp;"MERCADORIAS P/REVENDA",Report!$AA:$AA,"SIM",Report!$C:$C,A598)</f>
        <v>0</v>
      </c>
      <c r="C598" s="31" t="n">
        <f aca="false">SUMIFS(Report!$U:$U,Report!$T:$T,"MERCADORIAS P/REVENDA",Report!$AA:$AA,"SIM",Report!$C:$C,A598)</f>
        <v>0</v>
      </c>
      <c r="D598" s="32"/>
      <c r="E598" s="32"/>
      <c r="F598" s="31" t="n">
        <f aca="false">B598+C598</f>
        <v>0</v>
      </c>
    </row>
    <row r="599" customFormat="false" ht="12.75" hidden="false" customHeight="true" outlineLevel="0" collapsed="false">
      <c r="A599" s="30" t="n">
        <v>46545</v>
      </c>
      <c r="B599" s="31" t="n">
        <f aca="false">SUMIFS(Report!$U:$U,Report!$T:$T,"&lt;&gt;"&amp;"MERCADORIAS P/REVENDA",Report!$AA:$AA,"SIM",Report!$C:$C,A599)</f>
        <v>0</v>
      </c>
      <c r="C599" s="31" t="n">
        <f aca="false">SUMIFS(Report!$U:$U,Report!$T:$T,"MERCADORIAS P/REVENDA",Report!$AA:$AA,"SIM",Report!$C:$C,A599)</f>
        <v>0</v>
      </c>
      <c r="D599" s="32"/>
      <c r="E599" s="32"/>
      <c r="F599" s="31" t="n">
        <f aca="false">B599+C599</f>
        <v>0</v>
      </c>
    </row>
    <row r="600" customFormat="false" ht="12.75" hidden="false" customHeight="true" outlineLevel="0" collapsed="false">
      <c r="A600" s="33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34"/>
      <c r="E600" s="34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0" t="n">
        <v>46550</v>
      </c>
      <c r="B605" s="31" t="n">
        <f aca="false">SUMIFS(Report!$U:$U,Report!$T:$T,"&lt;&gt;"&amp;"MERCADORIAS P/REVENDA",Report!$AA:$AA,"SIM",Report!$C:$C,A605)</f>
        <v>0</v>
      </c>
      <c r="C605" s="31" t="n">
        <f aca="false">SUMIFS(Report!$U:$U,Report!$T:$T,"MERCADORIAS P/REVENDA",Report!$AA:$AA,"SIM",Report!$C:$C,A605)</f>
        <v>0</v>
      </c>
      <c r="D605" s="32"/>
      <c r="E605" s="32"/>
      <c r="F605" s="31" t="n">
        <f aca="false">B605+C605</f>
        <v>0</v>
      </c>
    </row>
    <row r="606" customFormat="false" ht="12.75" hidden="false" customHeight="true" outlineLevel="0" collapsed="false">
      <c r="A606" s="30" t="n">
        <v>46551</v>
      </c>
      <c r="B606" s="31" t="n">
        <f aca="false">SUMIFS(Report!$U:$U,Report!$T:$T,"&lt;&gt;"&amp;"MERCADORIAS P/REVENDA",Report!$AA:$AA,"SIM",Report!$C:$C,A606)</f>
        <v>0</v>
      </c>
      <c r="C606" s="31" t="n">
        <f aca="false">SUMIFS(Report!$U:$U,Report!$T:$T,"MERCADORIAS P/REVENDA",Report!$AA:$AA,"SIM",Report!$C:$C,A606)</f>
        <v>0</v>
      </c>
      <c r="D606" s="32"/>
      <c r="E606" s="32"/>
      <c r="F606" s="31" t="n">
        <f aca="false">B606+C606</f>
        <v>0</v>
      </c>
    </row>
    <row r="607" customFormat="false" ht="12.75" hidden="false" customHeight="true" outlineLevel="0" collapsed="false">
      <c r="A607" s="30" t="n">
        <v>46552</v>
      </c>
      <c r="B607" s="31" t="n">
        <f aca="false">SUMIFS(Report!$U:$U,Report!$T:$T,"&lt;&gt;"&amp;"MERCADORIAS P/REVENDA",Report!$AA:$AA,"SIM",Report!$C:$C,A607)</f>
        <v>0</v>
      </c>
      <c r="C607" s="31" t="n">
        <f aca="false">SUMIFS(Report!$U:$U,Report!$T:$T,"MERCADORIAS P/REVENDA",Report!$AA:$AA,"SIM",Report!$C:$C,A607)</f>
        <v>0</v>
      </c>
      <c r="D607" s="32"/>
      <c r="E607" s="32"/>
      <c r="F607" s="31" t="n">
        <f aca="false">B607+C607</f>
        <v>0</v>
      </c>
    </row>
    <row r="608" customFormat="false" ht="12.75" hidden="false" customHeight="true" outlineLevel="0" collapsed="false">
      <c r="A608" s="33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34"/>
      <c r="E608" s="34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0" t="n">
        <v>46557</v>
      </c>
      <c r="B613" s="31" t="n">
        <f aca="false">SUMIFS(Report!$U:$U,Report!$T:$T,"&lt;&gt;"&amp;"MERCADORIAS P/REVENDA",Report!$AA:$AA,"SIM",Report!$C:$C,A613)</f>
        <v>0</v>
      </c>
      <c r="C613" s="31" t="n">
        <f aca="false">SUMIFS(Report!$U:$U,Report!$T:$T,"MERCADORIAS P/REVENDA",Report!$AA:$AA,"SIM",Report!$C:$C,A613)</f>
        <v>0</v>
      </c>
      <c r="D613" s="32"/>
      <c r="E613" s="32"/>
      <c r="F613" s="31" t="n">
        <f aca="false">B613+C613</f>
        <v>0</v>
      </c>
    </row>
    <row r="614" customFormat="false" ht="12.75" hidden="false" customHeight="true" outlineLevel="0" collapsed="false">
      <c r="A614" s="30" t="n">
        <v>46558</v>
      </c>
      <c r="B614" s="31" t="n">
        <f aca="false">SUMIFS(Report!$U:$U,Report!$T:$T,"&lt;&gt;"&amp;"MERCADORIAS P/REVENDA",Report!$AA:$AA,"SIM",Report!$C:$C,A614)</f>
        <v>0</v>
      </c>
      <c r="C614" s="31" t="n">
        <f aca="false">SUMIFS(Report!$U:$U,Report!$T:$T,"MERCADORIAS P/REVENDA",Report!$AA:$AA,"SIM",Report!$C:$C,A614)</f>
        <v>0</v>
      </c>
      <c r="D614" s="32"/>
      <c r="E614" s="32"/>
      <c r="F614" s="31" t="n">
        <f aca="false">B614+C614</f>
        <v>0</v>
      </c>
    </row>
    <row r="615" customFormat="false" ht="12.75" hidden="false" customHeight="true" outlineLevel="0" collapsed="false">
      <c r="A615" s="30" t="n">
        <v>46559</v>
      </c>
      <c r="B615" s="31" t="n">
        <f aca="false">SUMIFS(Report!$U:$U,Report!$T:$T,"&lt;&gt;"&amp;"MERCADORIAS P/REVENDA",Report!$AA:$AA,"SIM",Report!$C:$C,A615)</f>
        <v>0</v>
      </c>
      <c r="C615" s="31" t="n">
        <f aca="false">SUMIFS(Report!$U:$U,Report!$T:$T,"MERCADORIAS P/REVENDA",Report!$AA:$AA,"SIM",Report!$C:$C,A615)</f>
        <v>0</v>
      </c>
      <c r="D615" s="32"/>
      <c r="E615" s="32"/>
      <c r="F615" s="31" t="n">
        <f aca="false">B615+C615</f>
        <v>0</v>
      </c>
    </row>
    <row r="616" customFormat="false" ht="12.75" hidden="false" customHeight="true" outlineLevel="0" collapsed="false">
      <c r="A616" s="33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34"/>
      <c r="E616" s="34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0" t="n">
        <v>46564</v>
      </c>
      <c r="B621" s="31" t="n">
        <f aca="false">SUMIFS(Report!$U:$U,Report!$T:$T,"&lt;&gt;"&amp;"MERCADORIAS P/REVENDA",Report!$AA:$AA,"SIM",Report!$C:$C,A621)</f>
        <v>0</v>
      </c>
      <c r="C621" s="31" t="n">
        <f aca="false">SUMIFS(Report!$U:$U,Report!$T:$T,"MERCADORIAS P/REVENDA",Report!$AA:$AA,"SIM",Report!$C:$C,A621)</f>
        <v>0</v>
      </c>
      <c r="D621" s="32"/>
      <c r="E621" s="32"/>
      <c r="F621" s="31" t="n">
        <f aca="false">B621+C621</f>
        <v>0</v>
      </c>
    </row>
    <row r="622" customFormat="false" ht="12.75" hidden="false" customHeight="true" outlineLevel="0" collapsed="false">
      <c r="A622" s="30" t="n">
        <v>46565</v>
      </c>
      <c r="B622" s="31" t="n">
        <f aca="false">SUMIFS(Report!$U:$U,Report!$T:$T,"&lt;&gt;"&amp;"MERCADORIAS P/REVENDA",Report!$AA:$AA,"SIM",Report!$C:$C,A622)</f>
        <v>0</v>
      </c>
      <c r="C622" s="31" t="n">
        <f aca="false">SUMIFS(Report!$U:$U,Report!$T:$T,"MERCADORIAS P/REVENDA",Report!$AA:$AA,"SIM",Report!$C:$C,A622)</f>
        <v>0</v>
      </c>
      <c r="D622" s="32"/>
      <c r="E622" s="32"/>
      <c r="F622" s="31" t="n">
        <f aca="false">B622+C622</f>
        <v>0</v>
      </c>
    </row>
    <row r="623" customFormat="false" ht="12.75" hidden="false" customHeight="true" outlineLevel="0" collapsed="false">
      <c r="A623" s="30" t="n">
        <v>46566</v>
      </c>
      <c r="B623" s="31" t="n">
        <f aca="false">SUMIFS(Report!$U:$U,Report!$T:$T,"&lt;&gt;"&amp;"MERCADORIAS P/REVENDA",Report!$AA:$AA,"SIM",Report!$C:$C,A623)</f>
        <v>0</v>
      </c>
      <c r="C623" s="31" t="n">
        <f aca="false">SUMIFS(Report!$U:$U,Report!$T:$T,"MERCADORIAS P/REVENDA",Report!$AA:$AA,"SIM",Report!$C:$C,A623)</f>
        <v>0</v>
      </c>
      <c r="D623" s="32"/>
      <c r="E623" s="32"/>
      <c r="F623" s="31" t="n">
        <f aca="false">B623+C623</f>
        <v>0</v>
      </c>
    </row>
    <row r="624" customFormat="false" ht="12.75" hidden="false" customHeight="true" outlineLevel="0" collapsed="false">
      <c r="A624" s="33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34"/>
      <c r="E624" s="34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0" t="n">
        <v>46571</v>
      </c>
      <c r="B629" s="31" t="n">
        <f aca="false">SUMIFS(Report!$U:$U,Report!$T:$T,"&lt;&gt;"&amp;"MERCADORIAS P/REVENDA",Report!$AA:$AA,"SIM",Report!$C:$C,A629)</f>
        <v>0</v>
      </c>
      <c r="C629" s="31" t="n">
        <f aca="false">SUMIFS(Report!$U:$U,Report!$T:$T,"MERCADORIAS P/REVENDA",Report!$AA:$AA,"SIM",Report!$C:$C,A629)</f>
        <v>0</v>
      </c>
      <c r="D629" s="32"/>
      <c r="E629" s="32"/>
      <c r="F629" s="31" t="n">
        <f aca="false">B629+C629</f>
        <v>0</v>
      </c>
    </row>
    <row r="630" customFormat="false" ht="12.75" hidden="false" customHeight="true" outlineLevel="0" collapsed="false">
      <c r="A630" s="30" t="n">
        <v>46572</v>
      </c>
      <c r="B630" s="31" t="n">
        <f aca="false">SUMIFS(Report!$U:$U,Report!$T:$T,"&lt;&gt;"&amp;"MERCADORIAS P/REVENDA",Report!$AA:$AA,"SIM",Report!$C:$C,A630)</f>
        <v>0</v>
      </c>
      <c r="C630" s="31" t="n">
        <f aca="false">SUMIFS(Report!$U:$U,Report!$T:$T,"MERCADORIAS P/REVENDA",Report!$AA:$AA,"SIM",Report!$C:$C,A630)</f>
        <v>0</v>
      </c>
      <c r="D630" s="32"/>
      <c r="E630" s="32"/>
      <c r="F630" s="31" t="n">
        <f aca="false">B630+C630</f>
        <v>0</v>
      </c>
    </row>
    <row r="631" customFormat="false" ht="12.75" hidden="false" customHeight="true" outlineLevel="0" collapsed="false">
      <c r="A631" s="30" t="n">
        <v>46573</v>
      </c>
      <c r="B631" s="31" t="n">
        <f aca="false">SUMIFS(Report!$U:$U,Report!$T:$T,"&lt;&gt;"&amp;"MERCADORIAS P/REVENDA",Report!$AA:$AA,"SIM",Report!$C:$C,A631)</f>
        <v>0</v>
      </c>
      <c r="C631" s="31" t="n">
        <f aca="false">SUMIFS(Report!$U:$U,Report!$T:$T,"MERCADORIAS P/REVENDA",Report!$AA:$AA,"SIM",Report!$C:$C,A631)</f>
        <v>0</v>
      </c>
      <c r="D631" s="32"/>
      <c r="E631" s="32"/>
      <c r="F631" s="31" t="n">
        <f aca="false">B631+C631</f>
        <v>0</v>
      </c>
    </row>
    <row r="632" customFormat="false" ht="12.75" hidden="false" customHeight="true" outlineLevel="0" collapsed="false">
      <c r="A632" s="33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34"/>
      <c r="E632" s="34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0" t="n">
        <v>46578</v>
      </c>
      <c r="B637" s="31" t="n">
        <f aca="false">SUMIFS(Report!$U:$U,Report!$T:$T,"&lt;&gt;"&amp;"MERCADORIAS P/REVENDA",Report!$AA:$AA,"SIM",Report!$C:$C,A637)</f>
        <v>0</v>
      </c>
      <c r="C637" s="31" t="n">
        <f aca="false">SUMIFS(Report!$U:$U,Report!$T:$T,"MERCADORIAS P/REVENDA",Report!$AA:$AA,"SIM",Report!$C:$C,A637)</f>
        <v>0</v>
      </c>
      <c r="D637" s="32"/>
      <c r="E637" s="32"/>
      <c r="F637" s="31" t="n">
        <f aca="false">B637+C637</f>
        <v>0</v>
      </c>
    </row>
    <row r="638" customFormat="false" ht="12.75" hidden="false" customHeight="true" outlineLevel="0" collapsed="false">
      <c r="A638" s="30" t="n">
        <v>46579</v>
      </c>
      <c r="B638" s="31" t="n">
        <f aca="false">SUMIFS(Report!$U:$U,Report!$T:$T,"&lt;&gt;"&amp;"MERCADORIAS P/REVENDA",Report!$AA:$AA,"SIM",Report!$C:$C,A638)</f>
        <v>0</v>
      </c>
      <c r="C638" s="31" t="n">
        <f aca="false">SUMIFS(Report!$U:$U,Report!$T:$T,"MERCADORIAS P/REVENDA",Report!$AA:$AA,"SIM",Report!$C:$C,A638)</f>
        <v>0</v>
      </c>
      <c r="D638" s="32"/>
      <c r="E638" s="32"/>
      <c r="F638" s="31" t="n">
        <f aca="false">B638+C638</f>
        <v>0</v>
      </c>
    </row>
    <row r="639" customFormat="false" ht="12.75" hidden="false" customHeight="true" outlineLevel="0" collapsed="false">
      <c r="A639" s="30" t="n">
        <v>46580</v>
      </c>
      <c r="B639" s="31" t="n">
        <f aca="false">SUMIFS(Report!$U:$U,Report!$T:$T,"&lt;&gt;"&amp;"MERCADORIAS P/REVENDA",Report!$AA:$AA,"SIM",Report!$C:$C,A639)</f>
        <v>0</v>
      </c>
      <c r="C639" s="31" t="n">
        <f aca="false">SUMIFS(Report!$U:$U,Report!$T:$T,"MERCADORIAS P/REVENDA",Report!$AA:$AA,"SIM",Report!$C:$C,A639)</f>
        <v>0</v>
      </c>
      <c r="D639" s="32"/>
      <c r="E639" s="32"/>
      <c r="F639" s="31" t="n">
        <f aca="false">B639+C639</f>
        <v>0</v>
      </c>
    </row>
    <row r="640" customFormat="false" ht="12.75" hidden="false" customHeight="true" outlineLevel="0" collapsed="false">
      <c r="A640" s="33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34"/>
      <c r="E640" s="34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0" t="n">
        <v>46585</v>
      </c>
      <c r="B645" s="31" t="n">
        <f aca="false">SUMIFS(Report!$U:$U,Report!$T:$T,"&lt;&gt;"&amp;"MERCADORIAS P/REVENDA",Report!$AA:$AA,"SIM",Report!$C:$C,A645)</f>
        <v>0</v>
      </c>
      <c r="C645" s="31" t="n">
        <f aca="false">SUMIFS(Report!$U:$U,Report!$T:$T,"MERCADORIAS P/REVENDA",Report!$AA:$AA,"SIM",Report!$C:$C,A645)</f>
        <v>0</v>
      </c>
      <c r="D645" s="32"/>
      <c r="E645" s="32"/>
      <c r="F645" s="31" t="n">
        <f aca="false">B645+C645</f>
        <v>0</v>
      </c>
    </row>
    <row r="646" customFormat="false" ht="12.75" hidden="false" customHeight="true" outlineLevel="0" collapsed="false">
      <c r="A646" s="30" t="n">
        <v>46586</v>
      </c>
      <c r="B646" s="31" t="n">
        <f aca="false">SUMIFS(Report!$U:$U,Report!$T:$T,"&lt;&gt;"&amp;"MERCADORIAS P/REVENDA",Report!$AA:$AA,"SIM",Report!$C:$C,A646)</f>
        <v>0</v>
      </c>
      <c r="C646" s="31" t="n">
        <f aca="false">SUMIFS(Report!$U:$U,Report!$T:$T,"MERCADORIAS P/REVENDA",Report!$AA:$AA,"SIM",Report!$C:$C,A646)</f>
        <v>0</v>
      </c>
      <c r="D646" s="32"/>
      <c r="E646" s="32"/>
      <c r="F646" s="31" t="n">
        <f aca="false">B646+C646</f>
        <v>0</v>
      </c>
    </row>
    <row r="647" customFormat="false" ht="12.75" hidden="false" customHeight="true" outlineLevel="0" collapsed="false">
      <c r="A647" s="30" t="n">
        <v>46587</v>
      </c>
      <c r="B647" s="31" t="n">
        <f aca="false">SUMIFS(Report!$U:$U,Report!$T:$T,"&lt;&gt;"&amp;"MERCADORIAS P/REVENDA",Report!$AA:$AA,"SIM",Report!$C:$C,A647)</f>
        <v>0</v>
      </c>
      <c r="C647" s="31" t="n">
        <f aca="false">SUMIFS(Report!$U:$U,Report!$T:$T,"MERCADORIAS P/REVENDA",Report!$AA:$AA,"SIM",Report!$C:$C,A647)</f>
        <v>0</v>
      </c>
      <c r="D647" s="32"/>
      <c r="E647" s="32"/>
      <c r="F647" s="31" t="n">
        <f aca="false">B647+C647</f>
        <v>0</v>
      </c>
    </row>
    <row r="648" customFormat="false" ht="12.75" hidden="false" customHeight="true" outlineLevel="0" collapsed="false">
      <c r="A648" s="33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34"/>
      <c r="E648" s="34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0" t="n">
        <v>46592</v>
      </c>
      <c r="B653" s="31" t="n">
        <f aca="false">SUMIFS(Report!$U:$U,Report!$T:$T,"&lt;&gt;"&amp;"MERCADORIAS P/REVENDA",Report!$AA:$AA,"SIM",Report!$C:$C,A653)</f>
        <v>0</v>
      </c>
      <c r="C653" s="31" t="n">
        <f aca="false">SUMIFS(Report!$U:$U,Report!$T:$T,"MERCADORIAS P/REVENDA",Report!$AA:$AA,"SIM",Report!$C:$C,A653)</f>
        <v>0</v>
      </c>
      <c r="D653" s="32"/>
      <c r="E653" s="32"/>
      <c r="F653" s="31" t="n">
        <f aca="false">B653+C653</f>
        <v>0</v>
      </c>
    </row>
    <row r="654" customFormat="false" ht="12.75" hidden="false" customHeight="true" outlineLevel="0" collapsed="false">
      <c r="A654" s="30" t="n">
        <v>46593</v>
      </c>
      <c r="B654" s="31" t="n">
        <f aca="false">SUMIFS(Report!$U:$U,Report!$T:$T,"&lt;&gt;"&amp;"MERCADORIAS P/REVENDA",Report!$AA:$AA,"SIM",Report!$C:$C,A654)</f>
        <v>0</v>
      </c>
      <c r="C654" s="31" t="n">
        <f aca="false">SUMIFS(Report!$U:$U,Report!$T:$T,"MERCADORIAS P/REVENDA",Report!$AA:$AA,"SIM",Report!$C:$C,A654)</f>
        <v>0</v>
      </c>
      <c r="D654" s="32"/>
      <c r="E654" s="32"/>
      <c r="F654" s="31" t="n">
        <f aca="false">B654+C654</f>
        <v>0</v>
      </c>
    </row>
    <row r="655" customFormat="false" ht="12.75" hidden="false" customHeight="true" outlineLevel="0" collapsed="false">
      <c r="A655" s="30" t="n">
        <v>46594</v>
      </c>
      <c r="B655" s="31" t="n">
        <f aca="false">SUMIFS(Report!$U:$U,Report!$T:$T,"&lt;&gt;"&amp;"MERCADORIAS P/REVENDA",Report!$AA:$AA,"SIM",Report!$C:$C,A655)</f>
        <v>0</v>
      </c>
      <c r="C655" s="31" t="n">
        <f aca="false">SUMIFS(Report!$U:$U,Report!$T:$T,"MERCADORIAS P/REVENDA",Report!$AA:$AA,"SIM",Report!$C:$C,A655)</f>
        <v>0</v>
      </c>
      <c r="D655" s="32"/>
      <c r="E655" s="32"/>
      <c r="F655" s="31" t="n">
        <f aca="false">B655+C655</f>
        <v>0</v>
      </c>
    </row>
    <row r="656" customFormat="false" ht="12.75" hidden="false" customHeight="true" outlineLevel="0" collapsed="false">
      <c r="A656" s="33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34"/>
      <c r="E656" s="34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0" t="n">
        <v>46599</v>
      </c>
      <c r="B661" s="31" t="n">
        <f aca="false">SUMIFS(Report!$U:$U,Report!$T:$T,"&lt;&gt;"&amp;"MERCADORIAS P/REVENDA",Report!$AA:$AA,"SIM",Report!$C:$C,A661)</f>
        <v>0</v>
      </c>
      <c r="C661" s="31" t="n">
        <f aca="false">SUMIFS(Report!$U:$U,Report!$T:$T,"MERCADORIAS P/REVENDA",Report!$AA:$AA,"SIM",Report!$C:$C,A661)</f>
        <v>0</v>
      </c>
      <c r="D661" s="32"/>
      <c r="E661" s="32"/>
      <c r="F661" s="31" t="n">
        <f aca="false">B661+C661</f>
        <v>0</v>
      </c>
    </row>
    <row r="662" customFormat="false" ht="12.75" hidden="false" customHeight="true" outlineLevel="0" collapsed="false">
      <c r="A662" s="30" t="n">
        <v>46600</v>
      </c>
      <c r="B662" s="31" t="n">
        <f aca="false">SUMIFS(Report!$U:$U,Report!$T:$T,"&lt;&gt;"&amp;"MERCADORIAS P/REVENDA",Report!$AA:$AA,"SIM",Report!$C:$C,A662)</f>
        <v>0</v>
      </c>
      <c r="C662" s="31" t="n">
        <f aca="false">SUMIFS(Report!$U:$U,Report!$T:$T,"MERCADORIAS P/REVENDA",Report!$AA:$AA,"SIM",Report!$C:$C,A662)</f>
        <v>0</v>
      </c>
      <c r="D662" s="32"/>
      <c r="E662" s="32"/>
      <c r="F662" s="31" t="n">
        <f aca="false">B662+C662</f>
        <v>0</v>
      </c>
    </row>
    <row r="663" customFormat="false" ht="12.75" hidden="false" customHeight="true" outlineLevel="0" collapsed="false">
      <c r="A663" s="30" t="n">
        <v>46601</v>
      </c>
      <c r="B663" s="31" t="n">
        <f aca="false">SUMIFS(Report!$U:$U,Report!$T:$T,"&lt;&gt;"&amp;"MERCADORIAS P/REVENDA",Report!$AA:$AA,"SIM",Report!$C:$C,A663)</f>
        <v>0</v>
      </c>
      <c r="C663" s="31" t="n">
        <f aca="false">SUMIFS(Report!$U:$U,Report!$T:$T,"MERCADORIAS P/REVENDA",Report!$AA:$AA,"SIM",Report!$C:$C,A663)</f>
        <v>0</v>
      </c>
      <c r="D663" s="32"/>
      <c r="E663" s="32"/>
      <c r="F663" s="31" t="n">
        <f aca="false">B663+C663</f>
        <v>0</v>
      </c>
    </row>
    <row r="664" customFormat="false" ht="12.75" hidden="false" customHeight="true" outlineLevel="0" collapsed="false">
      <c r="A664" s="33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34"/>
      <c r="E664" s="34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0" t="n">
        <v>46606</v>
      </c>
      <c r="B669" s="31" t="n">
        <f aca="false">SUMIFS(Report!$U:$U,Report!$T:$T,"&lt;&gt;"&amp;"MERCADORIAS P/REVENDA",Report!$AA:$AA,"SIM",Report!$C:$C,A669)</f>
        <v>0</v>
      </c>
      <c r="C669" s="31" t="n">
        <f aca="false">SUMIFS(Report!$U:$U,Report!$T:$T,"MERCADORIAS P/REVENDA",Report!$AA:$AA,"SIM",Report!$C:$C,A669)</f>
        <v>0</v>
      </c>
      <c r="D669" s="32"/>
      <c r="E669" s="32"/>
      <c r="F669" s="31" t="n">
        <f aca="false">B669+C669</f>
        <v>0</v>
      </c>
    </row>
    <row r="670" customFormat="false" ht="12.75" hidden="false" customHeight="true" outlineLevel="0" collapsed="false">
      <c r="A670" s="30" t="n">
        <v>46607</v>
      </c>
      <c r="B670" s="31" t="n">
        <f aca="false">SUMIFS(Report!$U:$U,Report!$T:$T,"&lt;&gt;"&amp;"MERCADORIAS P/REVENDA",Report!$AA:$AA,"SIM",Report!$C:$C,A670)</f>
        <v>0</v>
      </c>
      <c r="C670" s="31" t="n">
        <f aca="false">SUMIFS(Report!$U:$U,Report!$T:$T,"MERCADORIAS P/REVENDA",Report!$AA:$AA,"SIM",Report!$C:$C,A670)</f>
        <v>0</v>
      </c>
      <c r="D670" s="32"/>
      <c r="E670" s="32"/>
      <c r="F670" s="31" t="n">
        <f aca="false">B670+C670</f>
        <v>0</v>
      </c>
    </row>
    <row r="671" customFormat="false" ht="12.75" hidden="false" customHeight="true" outlineLevel="0" collapsed="false">
      <c r="A671" s="30" t="n">
        <v>46608</v>
      </c>
      <c r="B671" s="31" t="n">
        <f aca="false">SUMIFS(Report!$U:$U,Report!$T:$T,"&lt;&gt;"&amp;"MERCADORIAS P/REVENDA",Report!$AA:$AA,"SIM",Report!$C:$C,A671)</f>
        <v>0</v>
      </c>
      <c r="C671" s="31" t="n">
        <f aca="false">SUMIFS(Report!$U:$U,Report!$T:$T,"MERCADORIAS P/REVENDA",Report!$AA:$AA,"SIM",Report!$C:$C,A671)</f>
        <v>0</v>
      </c>
      <c r="D671" s="32"/>
      <c r="E671" s="32"/>
      <c r="F671" s="31" t="n">
        <f aca="false">B671+C671</f>
        <v>0</v>
      </c>
    </row>
    <row r="672" customFormat="false" ht="12.75" hidden="false" customHeight="true" outlineLevel="0" collapsed="false">
      <c r="A672" s="33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34"/>
      <c r="E672" s="34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0" t="n">
        <v>46613</v>
      </c>
      <c r="B677" s="31" t="n">
        <f aca="false">SUMIFS(Report!$U:$U,Report!$T:$T,"&lt;&gt;"&amp;"MERCADORIAS P/REVENDA",Report!$AA:$AA,"SIM",Report!$C:$C,A677)</f>
        <v>0</v>
      </c>
      <c r="C677" s="31" t="n">
        <f aca="false">SUMIFS(Report!$U:$U,Report!$T:$T,"MERCADORIAS P/REVENDA",Report!$AA:$AA,"SIM",Report!$C:$C,A677)</f>
        <v>0</v>
      </c>
      <c r="D677" s="32"/>
      <c r="E677" s="32"/>
      <c r="F677" s="31" t="n">
        <f aca="false">B677+C677</f>
        <v>0</v>
      </c>
    </row>
    <row r="678" customFormat="false" ht="12.75" hidden="false" customHeight="true" outlineLevel="0" collapsed="false">
      <c r="A678" s="30" t="n">
        <v>46614</v>
      </c>
      <c r="B678" s="31" t="n">
        <f aca="false">SUMIFS(Report!$U:$U,Report!$T:$T,"&lt;&gt;"&amp;"MERCADORIAS P/REVENDA",Report!$AA:$AA,"SIM",Report!$C:$C,A678)</f>
        <v>0</v>
      </c>
      <c r="C678" s="31" t="n">
        <f aca="false">SUMIFS(Report!$U:$U,Report!$T:$T,"MERCADORIAS P/REVENDA",Report!$AA:$AA,"SIM",Report!$C:$C,A678)</f>
        <v>0</v>
      </c>
      <c r="D678" s="32"/>
      <c r="E678" s="32"/>
      <c r="F678" s="31" t="n">
        <f aca="false">B678+C678</f>
        <v>0</v>
      </c>
    </row>
    <row r="679" customFormat="false" ht="12.75" hidden="false" customHeight="true" outlineLevel="0" collapsed="false">
      <c r="A679" s="30" t="n">
        <v>46615</v>
      </c>
      <c r="B679" s="31" t="n">
        <f aca="false">SUMIFS(Report!$U:$U,Report!$T:$T,"&lt;&gt;"&amp;"MERCADORIAS P/REVENDA",Report!$AA:$AA,"SIM",Report!$C:$C,A679)</f>
        <v>0</v>
      </c>
      <c r="C679" s="31" t="n">
        <f aca="false">SUMIFS(Report!$U:$U,Report!$T:$T,"MERCADORIAS P/REVENDA",Report!$AA:$AA,"SIM",Report!$C:$C,A679)</f>
        <v>0</v>
      </c>
      <c r="D679" s="32"/>
      <c r="E679" s="32"/>
      <c r="F679" s="31" t="n">
        <f aca="false">B679+C679</f>
        <v>0</v>
      </c>
    </row>
    <row r="680" customFormat="false" ht="12.75" hidden="false" customHeight="true" outlineLevel="0" collapsed="false">
      <c r="A680" s="33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34"/>
      <c r="E680" s="34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0" t="n">
        <v>46620</v>
      </c>
      <c r="B685" s="31" t="n">
        <f aca="false">SUMIFS(Report!$U:$U,Report!$T:$T,"&lt;&gt;"&amp;"MERCADORIAS P/REVENDA",Report!$AA:$AA,"SIM",Report!$C:$C,A685)</f>
        <v>0</v>
      </c>
      <c r="C685" s="31" t="n">
        <f aca="false">SUMIFS(Report!$U:$U,Report!$T:$T,"MERCADORIAS P/REVENDA",Report!$AA:$AA,"SIM",Report!$C:$C,A685)</f>
        <v>0</v>
      </c>
      <c r="D685" s="32"/>
      <c r="E685" s="32"/>
      <c r="F685" s="31" t="n">
        <f aca="false">B685+C685</f>
        <v>0</v>
      </c>
    </row>
    <row r="686" customFormat="false" ht="12.75" hidden="false" customHeight="true" outlineLevel="0" collapsed="false">
      <c r="A686" s="30" t="n">
        <v>46621</v>
      </c>
      <c r="B686" s="31" t="n">
        <f aca="false">SUMIFS(Report!$U:$U,Report!$T:$T,"&lt;&gt;"&amp;"MERCADORIAS P/REVENDA",Report!$AA:$AA,"SIM",Report!$C:$C,A686)</f>
        <v>0</v>
      </c>
      <c r="C686" s="31" t="n">
        <f aca="false">SUMIFS(Report!$U:$U,Report!$T:$T,"MERCADORIAS P/REVENDA",Report!$AA:$AA,"SIM",Report!$C:$C,A686)</f>
        <v>0</v>
      </c>
      <c r="D686" s="32"/>
      <c r="E686" s="32"/>
      <c r="F686" s="31" t="n">
        <f aca="false">B686+C686</f>
        <v>0</v>
      </c>
    </row>
    <row r="687" customFormat="false" ht="12.75" hidden="false" customHeight="true" outlineLevel="0" collapsed="false">
      <c r="A687" s="30" t="n">
        <v>46622</v>
      </c>
      <c r="B687" s="31" t="n">
        <f aca="false">SUMIFS(Report!$U:$U,Report!$T:$T,"&lt;&gt;"&amp;"MERCADORIAS P/REVENDA",Report!$AA:$AA,"SIM",Report!$C:$C,A687)</f>
        <v>0</v>
      </c>
      <c r="C687" s="31" t="n">
        <f aca="false">SUMIFS(Report!$U:$U,Report!$T:$T,"MERCADORIAS P/REVENDA",Report!$AA:$AA,"SIM",Report!$C:$C,A687)</f>
        <v>0</v>
      </c>
      <c r="D687" s="32"/>
      <c r="E687" s="32"/>
      <c r="F687" s="31" t="n">
        <f aca="false">B687+C687</f>
        <v>0</v>
      </c>
    </row>
    <row r="688" customFormat="false" ht="12.75" hidden="false" customHeight="true" outlineLevel="0" collapsed="false">
      <c r="A688" s="33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34"/>
      <c r="E688" s="34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0" t="n">
        <v>46627</v>
      </c>
      <c r="B693" s="31" t="n">
        <f aca="false">SUMIFS(Report!$U:$U,Report!$T:$T,"&lt;&gt;"&amp;"MERCADORIAS P/REVENDA",Report!$AA:$AA,"SIM",Report!$C:$C,A693)</f>
        <v>0</v>
      </c>
      <c r="C693" s="31" t="n">
        <f aca="false">SUMIFS(Report!$U:$U,Report!$T:$T,"MERCADORIAS P/REVENDA",Report!$AA:$AA,"SIM",Report!$C:$C,A693)</f>
        <v>0</v>
      </c>
      <c r="D693" s="32"/>
      <c r="E693" s="32"/>
      <c r="F693" s="31" t="n">
        <f aca="false">B693+C693</f>
        <v>0</v>
      </c>
    </row>
    <row r="694" customFormat="false" ht="12.75" hidden="false" customHeight="true" outlineLevel="0" collapsed="false">
      <c r="A694" s="30" t="n">
        <v>46628</v>
      </c>
      <c r="B694" s="31" t="n">
        <f aca="false">SUMIFS(Report!$U:$U,Report!$T:$T,"&lt;&gt;"&amp;"MERCADORIAS P/REVENDA",Report!$AA:$AA,"SIM",Report!$C:$C,A694)</f>
        <v>0</v>
      </c>
      <c r="C694" s="31" t="n">
        <f aca="false">SUMIFS(Report!$U:$U,Report!$T:$T,"MERCADORIAS P/REVENDA",Report!$AA:$AA,"SIM",Report!$C:$C,A694)</f>
        <v>0</v>
      </c>
      <c r="D694" s="32"/>
      <c r="E694" s="32"/>
      <c r="F694" s="31" t="n">
        <f aca="false">B694+C694</f>
        <v>0</v>
      </c>
    </row>
    <row r="695" customFormat="false" ht="12.75" hidden="false" customHeight="true" outlineLevel="0" collapsed="false">
      <c r="A695" s="30" t="n">
        <v>46629</v>
      </c>
      <c r="B695" s="31" t="n">
        <f aca="false">SUMIFS(Report!$U:$U,Report!$T:$T,"&lt;&gt;"&amp;"MERCADORIAS P/REVENDA",Report!$AA:$AA,"SIM",Report!$C:$C,A695)</f>
        <v>0</v>
      </c>
      <c r="C695" s="31" t="n">
        <f aca="false">SUMIFS(Report!$U:$U,Report!$T:$T,"MERCADORIAS P/REVENDA",Report!$AA:$AA,"SIM",Report!$C:$C,A695)</f>
        <v>0</v>
      </c>
      <c r="D695" s="32"/>
      <c r="E695" s="32"/>
      <c r="F695" s="31" t="n">
        <f aca="false">B695+C695</f>
        <v>0</v>
      </c>
    </row>
    <row r="696" customFormat="false" ht="12.75" hidden="false" customHeight="true" outlineLevel="0" collapsed="false">
      <c r="A696" s="33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34"/>
      <c r="E696" s="34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0" t="n">
        <v>46634</v>
      </c>
      <c r="B701" s="31" t="n">
        <f aca="false">SUMIFS(Report!$U:$U,Report!$T:$T,"&lt;&gt;"&amp;"MERCADORIAS P/REVENDA",Report!$AA:$AA,"SIM",Report!$C:$C,A701)</f>
        <v>0</v>
      </c>
      <c r="C701" s="31" t="n">
        <f aca="false">SUMIFS(Report!$U:$U,Report!$T:$T,"MERCADORIAS P/REVENDA",Report!$AA:$AA,"SIM",Report!$C:$C,A701)</f>
        <v>0</v>
      </c>
      <c r="D701" s="32"/>
      <c r="E701" s="32"/>
      <c r="F701" s="31" t="n">
        <f aca="false">B701+C701</f>
        <v>0</v>
      </c>
    </row>
    <row r="702" customFormat="false" ht="12.75" hidden="false" customHeight="true" outlineLevel="0" collapsed="false">
      <c r="A702" s="30" t="n">
        <v>46635</v>
      </c>
      <c r="B702" s="31" t="n">
        <f aca="false">SUMIFS(Report!$U:$U,Report!$T:$T,"&lt;&gt;"&amp;"MERCADORIAS P/REVENDA",Report!$AA:$AA,"SIM",Report!$C:$C,A702)</f>
        <v>0</v>
      </c>
      <c r="C702" s="31" t="n">
        <f aca="false">SUMIFS(Report!$U:$U,Report!$T:$T,"MERCADORIAS P/REVENDA",Report!$AA:$AA,"SIM",Report!$C:$C,A702)</f>
        <v>0</v>
      </c>
      <c r="D702" s="32"/>
      <c r="E702" s="32"/>
      <c r="F702" s="31" t="n">
        <f aca="false">B702+C702</f>
        <v>0</v>
      </c>
    </row>
    <row r="703" customFormat="false" ht="12.75" hidden="false" customHeight="true" outlineLevel="0" collapsed="false">
      <c r="A703" s="30" t="n">
        <v>46636</v>
      </c>
      <c r="B703" s="31" t="n">
        <f aca="false">SUMIFS(Report!$U:$U,Report!$T:$T,"&lt;&gt;"&amp;"MERCADORIAS P/REVENDA",Report!$AA:$AA,"SIM",Report!$C:$C,A703)</f>
        <v>0</v>
      </c>
      <c r="C703" s="31" t="n">
        <f aca="false">SUMIFS(Report!$U:$U,Report!$T:$T,"MERCADORIAS P/REVENDA",Report!$AA:$AA,"SIM",Report!$C:$C,A703)</f>
        <v>0</v>
      </c>
      <c r="D703" s="32"/>
      <c r="E703" s="32"/>
      <c r="F703" s="31" t="n">
        <f aca="false">B703+C703</f>
        <v>0</v>
      </c>
    </row>
    <row r="704" customFormat="false" ht="12.75" hidden="false" customHeight="true" outlineLevel="0" collapsed="false">
      <c r="A704" s="33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34"/>
      <c r="E704" s="34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0" t="n">
        <v>46641</v>
      </c>
      <c r="B709" s="31" t="n">
        <f aca="false">SUMIFS(Report!$U:$U,Report!$T:$T,"&lt;&gt;"&amp;"MERCADORIAS P/REVENDA",Report!$AA:$AA,"SIM",Report!$C:$C,A709)</f>
        <v>0</v>
      </c>
      <c r="C709" s="31" t="n">
        <f aca="false">SUMIFS(Report!$U:$U,Report!$T:$T,"MERCADORIAS P/REVENDA",Report!$AA:$AA,"SIM",Report!$C:$C,A709)</f>
        <v>0</v>
      </c>
      <c r="D709" s="32"/>
      <c r="E709" s="32"/>
      <c r="F709" s="31" t="n">
        <f aca="false">B709+C709</f>
        <v>0</v>
      </c>
    </row>
    <row r="710" customFormat="false" ht="12.75" hidden="false" customHeight="true" outlineLevel="0" collapsed="false">
      <c r="A710" s="30" t="n">
        <v>46642</v>
      </c>
      <c r="B710" s="31" t="n">
        <f aca="false">SUMIFS(Report!$U:$U,Report!$T:$T,"&lt;&gt;"&amp;"MERCADORIAS P/REVENDA",Report!$AA:$AA,"SIM",Report!$C:$C,A710)</f>
        <v>0</v>
      </c>
      <c r="C710" s="31" t="n">
        <f aca="false">SUMIFS(Report!$U:$U,Report!$T:$T,"MERCADORIAS P/REVENDA",Report!$AA:$AA,"SIM",Report!$C:$C,A710)</f>
        <v>0</v>
      </c>
      <c r="D710" s="32"/>
      <c r="E710" s="32"/>
      <c r="F710" s="31" t="n">
        <f aca="false">B710+C710</f>
        <v>0</v>
      </c>
    </row>
    <row r="711" customFormat="false" ht="12.75" hidden="false" customHeight="true" outlineLevel="0" collapsed="false">
      <c r="A711" s="30" t="n">
        <v>46643</v>
      </c>
      <c r="B711" s="31" t="n">
        <f aca="false">SUMIFS(Report!$U:$U,Report!$T:$T,"&lt;&gt;"&amp;"MERCADORIAS P/REVENDA",Report!$AA:$AA,"SIM",Report!$C:$C,A711)</f>
        <v>0</v>
      </c>
      <c r="C711" s="31" t="n">
        <f aca="false">SUMIFS(Report!$U:$U,Report!$T:$T,"MERCADORIAS P/REVENDA",Report!$AA:$AA,"SIM",Report!$C:$C,A711)</f>
        <v>0</v>
      </c>
      <c r="D711" s="32"/>
      <c r="E711" s="32"/>
      <c r="F711" s="31" t="n">
        <f aca="false">B711+C711</f>
        <v>0</v>
      </c>
    </row>
    <row r="712" customFormat="false" ht="12.75" hidden="false" customHeight="true" outlineLevel="0" collapsed="false">
      <c r="A712" s="33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34"/>
      <c r="E712" s="34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0" t="n">
        <v>46648</v>
      </c>
      <c r="B717" s="31" t="n">
        <f aca="false">SUMIFS(Report!$U:$U,Report!$T:$T,"&lt;&gt;"&amp;"MERCADORIAS P/REVENDA",Report!$AA:$AA,"SIM",Report!$C:$C,A717)</f>
        <v>0</v>
      </c>
      <c r="C717" s="31" t="n">
        <f aca="false">SUMIFS(Report!$U:$U,Report!$T:$T,"MERCADORIAS P/REVENDA",Report!$AA:$AA,"SIM",Report!$C:$C,A717)</f>
        <v>0</v>
      </c>
      <c r="D717" s="32"/>
      <c r="E717" s="32"/>
      <c r="F717" s="31" t="n">
        <f aca="false">B717+C717</f>
        <v>0</v>
      </c>
    </row>
    <row r="718" customFormat="false" ht="12.75" hidden="false" customHeight="true" outlineLevel="0" collapsed="false">
      <c r="A718" s="30" t="n">
        <v>46649</v>
      </c>
      <c r="B718" s="31" t="n">
        <f aca="false">SUMIFS(Report!$U:$U,Report!$T:$T,"&lt;&gt;"&amp;"MERCADORIAS P/REVENDA",Report!$AA:$AA,"SIM",Report!$C:$C,A718)</f>
        <v>0</v>
      </c>
      <c r="C718" s="31" t="n">
        <f aca="false">SUMIFS(Report!$U:$U,Report!$T:$T,"MERCADORIAS P/REVENDA",Report!$AA:$AA,"SIM",Report!$C:$C,A718)</f>
        <v>0</v>
      </c>
      <c r="D718" s="32"/>
      <c r="E718" s="32"/>
      <c r="F718" s="31" t="n">
        <f aca="false">B718+C718</f>
        <v>0</v>
      </c>
    </row>
    <row r="719" customFormat="false" ht="12.75" hidden="false" customHeight="true" outlineLevel="0" collapsed="false">
      <c r="A719" s="30" t="n">
        <v>46650</v>
      </c>
      <c r="B719" s="31" t="n">
        <f aca="false">SUMIFS(Report!$U:$U,Report!$T:$T,"&lt;&gt;"&amp;"MERCADORIAS P/REVENDA",Report!$AA:$AA,"SIM",Report!$C:$C,A719)</f>
        <v>0</v>
      </c>
      <c r="C719" s="31" t="n">
        <f aca="false">SUMIFS(Report!$U:$U,Report!$T:$T,"MERCADORIAS P/REVENDA",Report!$AA:$AA,"SIM",Report!$C:$C,A719)</f>
        <v>0</v>
      </c>
      <c r="D719" s="32"/>
      <c r="E719" s="32"/>
      <c r="F719" s="31" t="n">
        <f aca="false">B719+C719</f>
        <v>0</v>
      </c>
    </row>
    <row r="720" customFormat="false" ht="12.75" hidden="false" customHeight="true" outlineLevel="0" collapsed="false">
      <c r="A720" s="33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34"/>
      <c r="E720" s="34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0" t="n">
        <v>46655</v>
      </c>
      <c r="B725" s="31" t="n">
        <f aca="false">SUMIFS(Report!$U:$U,Report!$T:$T,"&lt;&gt;"&amp;"MERCADORIAS P/REVENDA",Report!$AA:$AA,"SIM",Report!$C:$C,A725)</f>
        <v>0</v>
      </c>
      <c r="C725" s="31" t="n">
        <f aca="false">SUMIFS(Report!$U:$U,Report!$T:$T,"MERCADORIAS P/REVENDA",Report!$AA:$AA,"SIM",Report!$C:$C,A725)</f>
        <v>0</v>
      </c>
      <c r="D725" s="32"/>
      <c r="E725" s="32"/>
      <c r="F725" s="31" t="n">
        <f aca="false">B725+C725</f>
        <v>0</v>
      </c>
    </row>
    <row r="726" customFormat="false" ht="12.75" hidden="false" customHeight="true" outlineLevel="0" collapsed="false">
      <c r="A726" s="30" t="n">
        <v>46656</v>
      </c>
      <c r="B726" s="31" t="n">
        <f aca="false">SUMIFS(Report!$U:$U,Report!$T:$T,"&lt;&gt;"&amp;"MERCADORIAS P/REVENDA",Report!$AA:$AA,"SIM",Report!$C:$C,A726)</f>
        <v>0</v>
      </c>
      <c r="C726" s="31" t="n">
        <f aca="false">SUMIFS(Report!$U:$U,Report!$T:$T,"MERCADORIAS P/REVENDA",Report!$AA:$AA,"SIM",Report!$C:$C,A726)</f>
        <v>0</v>
      </c>
      <c r="D726" s="32"/>
      <c r="E726" s="32"/>
      <c r="F726" s="31" t="n">
        <f aca="false">B726+C726</f>
        <v>0</v>
      </c>
    </row>
    <row r="727" customFormat="false" ht="12.75" hidden="false" customHeight="true" outlineLevel="0" collapsed="false">
      <c r="A727" s="30" t="n">
        <v>46657</v>
      </c>
      <c r="B727" s="31" t="n">
        <f aca="false">SUMIFS(Report!$U:$U,Report!$T:$T,"&lt;&gt;"&amp;"MERCADORIAS P/REVENDA",Report!$AA:$AA,"SIM",Report!$C:$C,A727)</f>
        <v>0</v>
      </c>
      <c r="C727" s="31" t="n">
        <f aca="false">SUMIFS(Report!$U:$U,Report!$T:$T,"MERCADORIAS P/REVENDA",Report!$AA:$AA,"SIM",Report!$C:$C,A727)</f>
        <v>0</v>
      </c>
      <c r="D727" s="32"/>
      <c r="E727" s="32"/>
      <c r="F727" s="31" t="n">
        <f aca="false">B727+C727</f>
        <v>0</v>
      </c>
    </row>
    <row r="728" customFormat="false" ht="12.75" hidden="false" customHeight="true" outlineLevel="0" collapsed="false">
      <c r="A728" s="33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34"/>
      <c r="E728" s="34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0" t="n">
        <v>46662</v>
      </c>
      <c r="B733" s="31" t="n">
        <f aca="false">SUMIFS(Report!$U:$U,Report!$T:$T,"&lt;&gt;"&amp;"MERCADORIAS P/REVENDA",Report!$AA:$AA,"SIM",Report!$C:$C,A733)</f>
        <v>0</v>
      </c>
      <c r="C733" s="31" t="n">
        <f aca="false">SUMIFS(Report!$U:$U,Report!$T:$T,"MERCADORIAS P/REVENDA",Report!$AA:$AA,"SIM",Report!$C:$C,A733)</f>
        <v>0</v>
      </c>
      <c r="D733" s="32"/>
      <c r="E733" s="32"/>
      <c r="F733" s="31" t="n">
        <f aca="false">B733+C733</f>
        <v>0</v>
      </c>
    </row>
    <row r="734" customFormat="false" ht="12.75" hidden="false" customHeight="true" outlineLevel="0" collapsed="false">
      <c r="A734" s="30" t="n">
        <v>46663</v>
      </c>
      <c r="B734" s="31" t="n">
        <f aca="false">SUMIFS(Report!$U:$U,Report!$T:$T,"&lt;&gt;"&amp;"MERCADORIAS P/REVENDA",Report!$AA:$AA,"SIM",Report!$C:$C,A734)</f>
        <v>0</v>
      </c>
      <c r="C734" s="31" t="n">
        <f aca="false">SUMIFS(Report!$U:$U,Report!$T:$T,"MERCADORIAS P/REVENDA",Report!$AA:$AA,"SIM",Report!$C:$C,A734)</f>
        <v>0</v>
      </c>
      <c r="D734" s="32"/>
      <c r="E734" s="32"/>
      <c r="F734" s="31" t="n">
        <f aca="false">B734+C734</f>
        <v>0</v>
      </c>
    </row>
    <row r="735" customFormat="false" ht="12.75" hidden="false" customHeight="true" outlineLevel="0" collapsed="false">
      <c r="A735" s="30" t="n">
        <v>46664</v>
      </c>
      <c r="B735" s="31" t="n">
        <f aca="false">SUMIFS(Report!$U:$U,Report!$T:$T,"&lt;&gt;"&amp;"MERCADORIAS P/REVENDA",Report!$AA:$AA,"SIM",Report!$C:$C,A735)</f>
        <v>0</v>
      </c>
      <c r="C735" s="31" t="n">
        <f aca="false">SUMIFS(Report!$U:$U,Report!$T:$T,"MERCADORIAS P/REVENDA",Report!$AA:$AA,"SIM",Report!$C:$C,A735)</f>
        <v>0</v>
      </c>
      <c r="D735" s="32"/>
      <c r="E735" s="32"/>
      <c r="F735" s="31" t="n">
        <f aca="false">B735+C735</f>
        <v>0</v>
      </c>
    </row>
    <row r="736" customFormat="false" ht="12.75" hidden="false" customHeight="true" outlineLevel="0" collapsed="false">
      <c r="A736" s="33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34"/>
      <c r="E736" s="34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0" t="n">
        <v>46669</v>
      </c>
      <c r="B741" s="31" t="n">
        <f aca="false">SUMIFS(Report!$U:$U,Report!$T:$T,"&lt;&gt;"&amp;"MERCADORIAS P/REVENDA",Report!$AA:$AA,"SIM",Report!$C:$C,A741)</f>
        <v>0</v>
      </c>
      <c r="C741" s="31" t="n">
        <f aca="false">SUMIFS(Report!$U:$U,Report!$T:$T,"MERCADORIAS P/REVENDA",Report!$AA:$AA,"SIM",Report!$C:$C,A741)</f>
        <v>0</v>
      </c>
      <c r="D741" s="32"/>
      <c r="E741" s="32"/>
      <c r="F741" s="31" t="n">
        <f aca="false">B741+C741</f>
        <v>0</v>
      </c>
    </row>
    <row r="742" customFormat="false" ht="12.75" hidden="false" customHeight="true" outlineLevel="0" collapsed="false">
      <c r="A742" s="30" t="n">
        <v>46670</v>
      </c>
      <c r="B742" s="31" t="n">
        <f aca="false">SUMIFS(Report!$U:$U,Report!$T:$T,"&lt;&gt;"&amp;"MERCADORIAS P/REVENDA",Report!$AA:$AA,"SIM",Report!$C:$C,A742)</f>
        <v>0</v>
      </c>
      <c r="C742" s="31" t="n">
        <f aca="false">SUMIFS(Report!$U:$U,Report!$T:$T,"MERCADORIAS P/REVENDA",Report!$AA:$AA,"SIM",Report!$C:$C,A742)</f>
        <v>0</v>
      </c>
      <c r="D742" s="32"/>
      <c r="E742" s="32"/>
      <c r="F742" s="31" t="n">
        <f aca="false">B742+C742</f>
        <v>0</v>
      </c>
    </row>
    <row r="743" customFormat="false" ht="12.75" hidden="false" customHeight="true" outlineLevel="0" collapsed="false">
      <c r="A743" s="30" t="n">
        <v>46671</v>
      </c>
      <c r="B743" s="31" t="n">
        <f aca="false">SUMIFS(Report!$U:$U,Report!$T:$T,"&lt;&gt;"&amp;"MERCADORIAS P/REVENDA",Report!$AA:$AA,"SIM",Report!$C:$C,A743)</f>
        <v>0</v>
      </c>
      <c r="C743" s="31" t="n">
        <f aca="false">SUMIFS(Report!$U:$U,Report!$T:$T,"MERCADORIAS P/REVENDA",Report!$AA:$AA,"SIM",Report!$C:$C,A743)</f>
        <v>0</v>
      </c>
      <c r="D743" s="32"/>
      <c r="E743" s="32"/>
      <c r="F743" s="31" t="n">
        <f aca="false">B743+C743</f>
        <v>0</v>
      </c>
    </row>
    <row r="744" customFormat="false" ht="12.75" hidden="false" customHeight="true" outlineLevel="0" collapsed="false">
      <c r="A744" s="33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34"/>
      <c r="E744" s="34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0" t="n">
        <v>46676</v>
      </c>
      <c r="B749" s="31" t="n">
        <f aca="false">SUMIFS(Report!$U:$U,Report!$T:$T,"&lt;&gt;"&amp;"MERCADORIAS P/REVENDA",Report!$AA:$AA,"SIM",Report!$C:$C,A749)</f>
        <v>0</v>
      </c>
      <c r="C749" s="31" t="n">
        <f aca="false">SUMIFS(Report!$U:$U,Report!$T:$T,"MERCADORIAS P/REVENDA",Report!$AA:$AA,"SIM",Report!$C:$C,A749)</f>
        <v>0</v>
      </c>
      <c r="D749" s="32"/>
      <c r="E749" s="32"/>
      <c r="F749" s="31" t="n">
        <f aca="false">B749+C749</f>
        <v>0</v>
      </c>
    </row>
    <row r="750" customFormat="false" ht="12.75" hidden="false" customHeight="true" outlineLevel="0" collapsed="false">
      <c r="A750" s="30" t="n">
        <v>46677</v>
      </c>
      <c r="B750" s="31" t="n">
        <f aca="false">SUMIFS(Report!$U:$U,Report!$T:$T,"&lt;&gt;"&amp;"MERCADORIAS P/REVENDA",Report!$AA:$AA,"SIM",Report!$C:$C,A750)</f>
        <v>0</v>
      </c>
      <c r="C750" s="31" t="n">
        <f aca="false">SUMIFS(Report!$U:$U,Report!$T:$T,"MERCADORIAS P/REVENDA",Report!$AA:$AA,"SIM",Report!$C:$C,A750)</f>
        <v>0</v>
      </c>
      <c r="D750" s="32"/>
      <c r="E750" s="32"/>
      <c r="F750" s="31" t="n">
        <f aca="false">B750+C750</f>
        <v>0</v>
      </c>
    </row>
    <row r="751" customFormat="false" ht="12.75" hidden="false" customHeight="true" outlineLevel="0" collapsed="false">
      <c r="A751" s="30" t="n">
        <v>46678</v>
      </c>
      <c r="B751" s="31" t="n">
        <f aca="false">SUMIFS(Report!$U:$U,Report!$T:$T,"&lt;&gt;"&amp;"MERCADORIAS P/REVENDA",Report!$AA:$AA,"SIM",Report!$C:$C,A751)</f>
        <v>0</v>
      </c>
      <c r="C751" s="31" t="n">
        <f aca="false">SUMIFS(Report!$U:$U,Report!$T:$T,"MERCADORIAS P/REVENDA",Report!$AA:$AA,"SIM",Report!$C:$C,A751)</f>
        <v>0</v>
      </c>
      <c r="D751" s="32"/>
      <c r="E751" s="32"/>
      <c r="F751" s="31" t="n">
        <f aca="false">B751+C751</f>
        <v>0</v>
      </c>
    </row>
    <row r="752" customFormat="false" ht="12.75" hidden="false" customHeight="true" outlineLevel="0" collapsed="false">
      <c r="A752" s="33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34"/>
      <c r="E752" s="34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0" t="n">
        <v>46683</v>
      </c>
      <c r="B757" s="31" t="n">
        <f aca="false">SUMIFS(Report!$U:$U,Report!$T:$T,"&lt;&gt;"&amp;"MERCADORIAS P/REVENDA",Report!$AA:$AA,"SIM",Report!$C:$C,A757)</f>
        <v>0</v>
      </c>
      <c r="C757" s="31" t="n">
        <f aca="false">SUMIFS(Report!$U:$U,Report!$T:$T,"MERCADORIAS P/REVENDA",Report!$AA:$AA,"SIM",Report!$C:$C,A757)</f>
        <v>0</v>
      </c>
      <c r="D757" s="32"/>
      <c r="E757" s="32"/>
      <c r="F757" s="31" t="n">
        <f aca="false">B757+C757</f>
        <v>0</v>
      </c>
    </row>
    <row r="758" customFormat="false" ht="12.75" hidden="false" customHeight="true" outlineLevel="0" collapsed="false">
      <c r="A758" s="30" t="n">
        <v>46684</v>
      </c>
      <c r="B758" s="31" t="n">
        <f aca="false">SUMIFS(Report!$U:$U,Report!$T:$T,"&lt;&gt;"&amp;"MERCADORIAS P/REVENDA",Report!$AA:$AA,"SIM",Report!$C:$C,A758)</f>
        <v>0</v>
      </c>
      <c r="C758" s="31" t="n">
        <f aca="false">SUMIFS(Report!$U:$U,Report!$T:$T,"MERCADORIAS P/REVENDA",Report!$AA:$AA,"SIM",Report!$C:$C,A758)</f>
        <v>0</v>
      </c>
      <c r="D758" s="32"/>
      <c r="E758" s="32"/>
      <c r="F758" s="31" t="n">
        <f aca="false">B758+C758</f>
        <v>0</v>
      </c>
    </row>
    <row r="759" customFormat="false" ht="12.75" hidden="false" customHeight="true" outlineLevel="0" collapsed="false">
      <c r="A759" s="30" t="n">
        <v>46685</v>
      </c>
      <c r="B759" s="31" t="n">
        <f aca="false">SUMIFS(Report!$U:$U,Report!$T:$T,"&lt;&gt;"&amp;"MERCADORIAS P/REVENDA",Report!$AA:$AA,"SIM",Report!$C:$C,A759)</f>
        <v>0</v>
      </c>
      <c r="C759" s="31" t="n">
        <f aca="false">SUMIFS(Report!$U:$U,Report!$T:$T,"MERCADORIAS P/REVENDA",Report!$AA:$AA,"SIM",Report!$C:$C,A759)</f>
        <v>0</v>
      </c>
      <c r="D759" s="32"/>
      <c r="E759" s="32"/>
      <c r="F759" s="31" t="n">
        <f aca="false">B759+C759</f>
        <v>0</v>
      </c>
    </row>
    <row r="760" customFormat="false" ht="12.75" hidden="false" customHeight="true" outlineLevel="0" collapsed="false">
      <c r="A760" s="33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34"/>
      <c r="E760" s="34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0" t="n">
        <v>46690</v>
      </c>
      <c r="B765" s="31" t="n">
        <f aca="false">SUMIFS(Report!$U:$U,Report!$T:$T,"&lt;&gt;"&amp;"MERCADORIAS P/REVENDA",Report!$AA:$AA,"SIM",Report!$C:$C,A765)</f>
        <v>0</v>
      </c>
      <c r="C765" s="31" t="n">
        <f aca="false">SUMIFS(Report!$U:$U,Report!$T:$T,"MERCADORIAS P/REVENDA",Report!$AA:$AA,"SIM",Report!$C:$C,A765)</f>
        <v>0</v>
      </c>
      <c r="D765" s="32"/>
      <c r="E765" s="32"/>
      <c r="F765" s="31" t="n">
        <f aca="false">B765+C765</f>
        <v>0</v>
      </c>
    </row>
    <row r="766" customFormat="false" ht="12.75" hidden="false" customHeight="true" outlineLevel="0" collapsed="false">
      <c r="A766" s="30" t="n">
        <v>46691</v>
      </c>
      <c r="B766" s="31" t="n">
        <f aca="false">SUMIFS(Report!$U:$U,Report!$T:$T,"&lt;&gt;"&amp;"MERCADORIAS P/REVENDA",Report!$AA:$AA,"SIM",Report!$C:$C,A766)</f>
        <v>0</v>
      </c>
      <c r="C766" s="31" t="n">
        <f aca="false">SUMIFS(Report!$U:$U,Report!$T:$T,"MERCADORIAS P/REVENDA",Report!$AA:$AA,"SIM",Report!$C:$C,A766)</f>
        <v>0</v>
      </c>
      <c r="D766" s="32"/>
      <c r="E766" s="32"/>
      <c r="F766" s="31" t="n">
        <f aca="false">B766+C766</f>
        <v>0</v>
      </c>
    </row>
    <row r="767" customFormat="false" ht="12.75" hidden="false" customHeight="true" outlineLevel="0" collapsed="false">
      <c r="A767" s="30" t="n">
        <v>46692</v>
      </c>
      <c r="B767" s="31" t="n">
        <f aca="false">SUMIFS(Report!$U:$U,Report!$T:$T,"&lt;&gt;"&amp;"MERCADORIAS P/REVENDA",Report!$AA:$AA,"SIM",Report!$C:$C,A767)</f>
        <v>0</v>
      </c>
      <c r="C767" s="31" t="n">
        <f aca="false">SUMIFS(Report!$U:$U,Report!$T:$T,"MERCADORIAS P/REVENDA",Report!$AA:$AA,"SIM",Report!$C:$C,A767)</f>
        <v>0</v>
      </c>
      <c r="D767" s="32"/>
      <c r="E767" s="32"/>
      <c r="F767" s="31" t="n">
        <f aca="false">B767+C767</f>
        <v>0</v>
      </c>
    </row>
    <row r="768" customFormat="false" ht="12.75" hidden="false" customHeight="true" outlineLevel="0" collapsed="false">
      <c r="A768" s="33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34"/>
      <c r="E768" s="34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0" t="n">
        <v>46697</v>
      </c>
      <c r="B773" s="31" t="n">
        <f aca="false">SUMIFS(Report!$U:$U,Report!$T:$T,"&lt;&gt;"&amp;"MERCADORIAS P/REVENDA",Report!$AA:$AA,"SIM",Report!$C:$C,A773)</f>
        <v>0</v>
      </c>
      <c r="C773" s="31" t="n">
        <f aca="false">SUMIFS(Report!$U:$U,Report!$T:$T,"MERCADORIAS P/REVENDA",Report!$AA:$AA,"SIM",Report!$C:$C,A773)</f>
        <v>0</v>
      </c>
      <c r="D773" s="32"/>
      <c r="E773" s="32"/>
      <c r="F773" s="31" t="n">
        <f aca="false">B773+C773</f>
        <v>0</v>
      </c>
    </row>
    <row r="774" customFormat="false" ht="12.75" hidden="false" customHeight="true" outlineLevel="0" collapsed="false">
      <c r="A774" s="30" t="n">
        <v>46698</v>
      </c>
      <c r="B774" s="31" t="n">
        <f aca="false">SUMIFS(Report!$U:$U,Report!$T:$T,"&lt;&gt;"&amp;"MERCADORIAS P/REVENDA",Report!$AA:$AA,"SIM",Report!$C:$C,A774)</f>
        <v>0</v>
      </c>
      <c r="C774" s="31" t="n">
        <f aca="false">SUMIFS(Report!$U:$U,Report!$T:$T,"MERCADORIAS P/REVENDA",Report!$AA:$AA,"SIM",Report!$C:$C,A774)</f>
        <v>0</v>
      </c>
      <c r="D774" s="32"/>
      <c r="E774" s="32"/>
      <c r="F774" s="31" t="n">
        <f aca="false">B774+C774</f>
        <v>0</v>
      </c>
    </row>
    <row r="775" customFormat="false" ht="12.75" hidden="false" customHeight="true" outlineLevel="0" collapsed="false">
      <c r="A775" s="30" t="n">
        <v>46699</v>
      </c>
      <c r="B775" s="31" t="n">
        <f aca="false">SUMIFS(Report!$U:$U,Report!$T:$T,"&lt;&gt;"&amp;"MERCADORIAS P/REVENDA",Report!$AA:$AA,"SIM",Report!$C:$C,A775)</f>
        <v>0</v>
      </c>
      <c r="C775" s="31" t="n">
        <f aca="false">SUMIFS(Report!$U:$U,Report!$T:$T,"MERCADORIAS P/REVENDA",Report!$AA:$AA,"SIM",Report!$C:$C,A775)</f>
        <v>0</v>
      </c>
      <c r="D775" s="32"/>
      <c r="E775" s="32"/>
      <c r="F775" s="31" t="n">
        <f aca="false">B775+C775</f>
        <v>0</v>
      </c>
    </row>
    <row r="776" customFormat="false" ht="12.75" hidden="false" customHeight="true" outlineLevel="0" collapsed="false">
      <c r="A776" s="33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34"/>
      <c r="E776" s="34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0" t="n">
        <v>46704</v>
      </c>
      <c r="B781" s="31" t="n">
        <f aca="false">SUMIFS(Report!$U:$U,Report!$T:$T,"&lt;&gt;"&amp;"MERCADORIAS P/REVENDA",Report!$AA:$AA,"SIM",Report!$C:$C,A781)</f>
        <v>0</v>
      </c>
      <c r="C781" s="31" t="n">
        <f aca="false">SUMIFS(Report!$U:$U,Report!$T:$T,"MERCADORIAS P/REVENDA",Report!$AA:$AA,"SIM",Report!$C:$C,A781)</f>
        <v>0</v>
      </c>
      <c r="D781" s="32"/>
      <c r="E781" s="32"/>
      <c r="F781" s="31" t="n">
        <f aca="false">B781+C781</f>
        <v>0</v>
      </c>
    </row>
    <row r="782" customFormat="false" ht="12.75" hidden="false" customHeight="true" outlineLevel="0" collapsed="false">
      <c r="A782" s="30" t="n">
        <v>46705</v>
      </c>
      <c r="B782" s="31" t="n">
        <f aca="false">SUMIFS(Report!$U:$U,Report!$T:$T,"&lt;&gt;"&amp;"MERCADORIAS P/REVENDA",Report!$AA:$AA,"SIM",Report!$C:$C,A782)</f>
        <v>0</v>
      </c>
      <c r="C782" s="31" t="n">
        <f aca="false">SUMIFS(Report!$U:$U,Report!$T:$T,"MERCADORIAS P/REVENDA",Report!$AA:$AA,"SIM",Report!$C:$C,A782)</f>
        <v>0</v>
      </c>
      <c r="D782" s="32"/>
      <c r="E782" s="32"/>
      <c r="F782" s="31" t="n">
        <f aca="false">B782+C782</f>
        <v>0</v>
      </c>
    </row>
    <row r="783" customFormat="false" ht="12.75" hidden="false" customHeight="true" outlineLevel="0" collapsed="false">
      <c r="A783" s="30" t="n">
        <v>46706</v>
      </c>
      <c r="B783" s="31" t="n">
        <f aca="false">SUMIFS(Report!$U:$U,Report!$T:$T,"&lt;&gt;"&amp;"MERCADORIAS P/REVENDA",Report!$AA:$AA,"SIM",Report!$C:$C,A783)</f>
        <v>0</v>
      </c>
      <c r="C783" s="31" t="n">
        <f aca="false">SUMIFS(Report!$U:$U,Report!$T:$T,"MERCADORIAS P/REVENDA",Report!$AA:$AA,"SIM",Report!$C:$C,A783)</f>
        <v>0</v>
      </c>
      <c r="D783" s="32"/>
      <c r="E783" s="32"/>
      <c r="F783" s="31" t="n">
        <f aca="false">B783+C783</f>
        <v>0</v>
      </c>
    </row>
    <row r="784" customFormat="false" ht="12.75" hidden="false" customHeight="true" outlineLevel="0" collapsed="false">
      <c r="A784" s="33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34"/>
      <c r="E784" s="34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0" t="n">
        <v>46711</v>
      </c>
      <c r="B789" s="31" t="n">
        <f aca="false">SUMIFS(Report!$U:$U,Report!$T:$T,"&lt;&gt;"&amp;"MERCADORIAS P/REVENDA",Report!$AA:$AA,"SIM",Report!$C:$C,A789)</f>
        <v>0</v>
      </c>
      <c r="C789" s="31" t="n">
        <f aca="false">SUMIFS(Report!$U:$U,Report!$T:$T,"MERCADORIAS P/REVENDA",Report!$AA:$AA,"SIM",Report!$C:$C,A789)</f>
        <v>0</v>
      </c>
      <c r="D789" s="32"/>
      <c r="E789" s="32"/>
      <c r="F789" s="31" t="n">
        <f aca="false">B789+C789</f>
        <v>0</v>
      </c>
    </row>
    <row r="790" customFormat="false" ht="12.75" hidden="false" customHeight="true" outlineLevel="0" collapsed="false">
      <c r="A790" s="30" t="n">
        <v>46712</v>
      </c>
      <c r="B790" s="31" t="n">
        <f aca="false">SUMIFS(Report!$U:$U,Report!$T:$T,"&lt;&gt;"&amp;"MERCADORIAS P/REVENDA",Report!$AA:$AA,"SIM",Report!$C:$C,A790)</f>
        <v>0</v>
      </c>
      <c r="C790" s="31" t="n">
        <f aca="false">SUMIFS(Report!$U:$U,Report!$T:$T,"MERCADORIAS P/REVENDA",Report!$AA:$AA,"SIM",Report!$C:$C,A790)</f>
        <v>0</v>
      </c>
      <c r="D790" s="32"/>
      <c r="E790" s="32"/>
      <c r="F790" s="31" t="n">
        <f aca="false">B790+C790</f>
        <v>0</v>
      </c>
    </row>
    <row r="791" customFormat="false" ht="12.75" hidden="false" customHeight="true" outlineLevel="0" collapsed="false">
      <c r="A791" s="30" t="n">
        <v>46713</v>
      </c>
      <c r="B791" s="31" t="n">
        <f aca="false">SUMIFS(Report!$U:$U,Report!$T:$T,"&lt;&gt;"&amp;"MERCADORIAS P/REVENDA",Report!$AA:$AA,"SIM",Report!$C:$C,A791)</f>
        <v>0</v>
      </c>
      <c r="C791" s="31" t="n">
        <f aca="false">SUMIFS(Report!$U:$U,Report!$T:$T,"MERCADORIAS P/REVENDA",Report!$AA:$AA,"SIM",Report!$C:$C,A791)</f>
        <v>0</v>
      </c>
      <c r="D791" s="32"/>
      <c r="E791" s="32"/>
      <c r="F791" s="31" t="n">
        <f aca="false">B791+C791</f>
        <v>0</v>
      </c>
    </row>
    <row r="792" customFormat="false" ht="12.75" hidden="false" customHeight="true" outlineLevel="0" collapsed="false">
      <c r="A792" s="33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34"/>
      <c r="E792" s="34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0" t="n">
        <v>46718</v>
      </c>
      <c r="B797" s="31" t="n">
        <f aca="false">SUMIFS(Report!$U:$U,Report!$T:$T,"&lt;&gt;"&amp;"MERCADORIAS P/REVENDA",Report!$AA:$AA,"SIM",Report!$C:$C,A797)</f>
        <v>0</v>
      </c>
      <c r="C797" s="31" t="n">
        <f aca="false">SUMIFS(Report!$U:$U,Report!$T:$T,"MERCADORIAS P/REVENDA",Report!$AA:$AA,"SIM",Report!$C:$C,A797)</f>
        <v>0</v>
      </c>
      <c r="D797" s="32"/>
      <c r="E797" s="32"/>
      <c r="F797" s="31" t="n">
        <f aca="false">B797+C797</f>
        <v>0</v>
      </c>
    </row>
    <row r="798" customFormat="false" ht="12.75" hidden="false" customHeight="true" outlineLevel="0" collapsed="false">
      <c r="A798" s="30" t="n">
        <v>46719</v>
      </c>
      <c r="B798" s="31" t="n">
        <f aca="false">SUMIFS(Report!$U:$U,Report!$T:$T,"&lt;&gt;"&amp;"MERCADORIAS P/REVENDA",Report!$AA:$AA,"SIM",Report!$C:$C,A798)</f>
        <v>0</v>
      </c>
      <c r="C798" s="31" t="n">
        <f aca="false">SUMIFS(Report!$U:$U,Report!$T:$T,"MERCADORIAS P/REVENDA",Report!$AA:$AA,"SIM",Report!$C:$C,A798)</f>
        <v>0</v>
      </c>
      <c r="D798" s="32"/>
      <c r="E798" s="32"/>
      <c r="F798" s="31" t="n">
        <f aca="false">B798+C798</f>
        <v>0</v>
      </c>
    </row>
    <row r="799" customFormat="false" ht="12.75" hidden="false" customHeight="true" outlineLevel="0" collapsed="false">
      <c r="A799" s="30" t="n">
        <v>46720</v>
      </c>
      <c r="B799" s="31" t="n">
        <f aca="false">SUMIFS(Report!$U:$U,Report!$T:$T,"&lt;&gt;"&amp;"MERCADORIAS P/REVENDA",Report!$AA:$AA,"SIM",Report!$C:$C,A799)</f>
        <v>0</v>
      </c>
      <c r="C799" s="31" t="n">
        <f aca="false">SUMIFS(Report!$U:$U,Report!$T:$T,"MERCADORIAS P/REVENDA",Report!$AA:$AA,"SIM",Report!$C:$C,A799)</f>
        <v>0</v>
      </c>
      <c r="D799" s="32"/>
      <c r="E799" s="32"/>
      <c r="F799" s="31" t="n">
        <f aca="false">B799+C799</f>
        <v>0</v>
      </c>
    </row>
    <row r="800" customFormat="false" ht="12.75" hidden="false" customHeight="true" outlineLevel="0" collapsed="false">
      <c r="A800" s="33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34"/>
      <c r="E800" s="34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0" t="n">
        <v>46725</v>
      </c>
      <c r="B805" s="31" t="n">
        <f aca="false">SUMIFS(Report!$U:$U,Report!$T:$T,"&lt;&gt;"&amp;"MERCADORIAS P/REVENDA",Report!$AA:$AA,"SIM",Report!$C:$C,A805)</f>
        <v>0</v>
      </c>
      <c r="C805" s="31" t="n">
        <f aca="false">SUMIFS(Report!$U:$U,Report!$T:$T,"MERCADORIAS P/REVENDA",Report!$AA:$AA,"SIM",Report!$C:$C,A805)</f>
        <v>0</v>
      </c>
      <c r="D805" s="32"/>
      <c r="E805" s="32"/>
      <c r="F805" s="31" t="n">
        <f aca="false">B805+C805</f>
        <v>0</v>
      </c>
    </row>
    <row r="806" customFormat="false" ht="12.75" hidden="false" customHeight="true" outlineLevel="0" collapsed="false">
      <c r="A806" s="30" t="n">
        <v>46726</v>
      </c>
      <c r="B806" s="31" t="n">
        <f aca="false">SUMIFS(Report!$U:$U,Report!$T:$T,"&lt;&gt;"&amp;"MERCADORIAS P/REVENDA",Report!$AA:$AA,"SIM",Report!$C:$C,A806)</f>
        <v>0</v>
      </c>
      <c r="C806" s="31" t="n">
        <f aca="false">SUMIFS(Report!$U:$U,Report!$T:$T,"MERCADORIAS P/REVENDA",Report!$AA:$AA,"SIM",Report!$C:$C,A806)</f>
        <v>0</v>
      </c>
      <c r="D806" s="32"/>
      <c r="E806" s="32"/>
      <c r="F806" s="31" t="n">
        <f aca="false">B806+C806</f>
        <v>0</v>
      </c>
    </row>
    <row r="807" customFormat="false" ht="12.75" hidden="false" customHeight="true" outlineLevel="0" collapsed="false">
      <c r="A807" s="30" t="n">
        <v>46727</v>
      </c>
      <c r="B807" s="31" t="n">
        <f aca="false">SUMIFS(Report!$U:$U,Report!$T:$T,"&lt;&gt;"&amp;"MERCADORIAS P/REVENDA",Report!$AA:$AA,"SIM",Report!$C:$C,A807)</f>
        <v>0</v>
      </c>
      <c r="C807" s="31" t="n">
        <f aca="false">SUMIFS(Report!$U:$U,Report!$T:$T,"MERCADORIAS P/REVENDA",Report!$AA:$AA,"SIM",Report!$C:$C,A807)</f>
        <v>0</v>
      </c>
      <c r="D807" s="32"/>
      <c r="E807" s="32"/>
      <c r="F807" s="31" t="n">
        <f aca="false">B807+C807</f>
        <v>0</v>
      </c>
    </row>
    <row r="808" customFormat="false" ht="12.75" hidden="false" customHeight="true" outlineLevel="0" collapsed="false">
      <c r="A808" s="33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34"/>
      <c r="E808" s="34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0" t="n">
        <v>46732</v>
      </c>
      <c r="B813" s="31" t="n">
        <f aca="false">SUMIFS(Report!$U:$U,Report!$T:$T,"&lt;&gt;"&amp;"MERCADORIAS P/REVENDA",Report!$AA:$AA,"SIM",Report!$C:$C,A813)</f>
        <v>0</v>
      </c>
      <c r="C813" s="31" t="n">
        <f aca="false">SUMIFS(Report!$U:$U,Report!$T:$T,"MERCADORIAS P/REVENDA",Report!$AA:$AA,"SIM",Report!$C:$C,A813)</f>
        <v>0</v>
      </c>
      <c r="D813" s="32"/>
      <c r="E813" s="32"/>
      <c r="F813" s="31" t="n">
        <f aca="false">B813+C813</f>
        <v>0</v>
      </c>
    </row>
    <row r="814" customFormat="false" ht="12.75" hidden="false" customHeight="true" outlineLevel="0" collapsed="false">
      <c r="A814" s="30" t="n">
        <v>46733</v>
      </c>
      <c r="B814" s="31" t="n">
        <f aca="false">SUMIFS(Report!$U:$U,Report!$T:$T,"&lt;&gt;"&amp;"MERCADORIAS P/REVENDA",Report!$AA:$AA,"SIM",Report!$C:$C,A814)</f>
        <v>0</v>
      </c>
      <c r="C814" s="31" t="n">
        <f aca="false">SUMIFS(Report!$U:$U,Report!$T:$T,"MERCADORIAS P/REVENDA",Report!$AA:$AA,"SIM",Report!$C:$C,A814)</f>
        <v>0</v>
      </c>
      <c r="D814" s="32"/>
      <c r="E814" s="32"/>
      <c r="F814" s="31" t="n">
        <f aca="false">B814+C814</f>
        <v>0</v>
      </c>
    </row>
    <row r="815" customFormat="false" ht="12.75" hidden="false" customHeight="true" outlineLevel="0" collapsed="false">
      <c r="A815" s="30" t="n">
        <v>46734</v>
      </c>
      <c r="B815" s="31" t="n">
        <f aca="false">SUMIFS(Report!$U:$U,Report!$T:$T,"&lt;&gt;"&amp;"MERCADORIAS P/REVENDA",Report!$AA:$AA,"SIM",Report!$C:$C,A815)</f>
        <v>0</v>
      </c>
      <c r="C815" s="31" t="n">
        <f aca="false">SUMIFS(Report!$U:$U,Report!$T:$T,"MERCADORIAS P/REVENDA",Report!$AA:$AA,"SIM",Report!$C:$C,A815)</f>
        <v>0</v>
      </c>
      <c r="D815" s="32"/>
      <c r="E815" s="32"/>
      <c r="F815" s="31" t="n">
        <f aca="false">B815+C815</f>
        <v>0</v>
      </c>
    </row>
    <row r="816" customFormat="false" ht="12.75" hidden="false" customHeight="true" outlineLevel="0" collapsed="false">
      <c r="A816" s="33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34"/>
      <c r="E816" s="34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0" t="n">
        <v>46739</v>
      </c>
      <c r="B821" s="31" t="n">
        <f aca="false">SUMIFS(Report!$U:$U,Report!$T:$T,"&lt;&gt;"&amp;"MERCADORIAS P/REVENDA",Report!$AA:$AA,"SIM",Report!$C:$C,A821)</f>
        <v>0</v>
      </c>
      <c r="C821" s="31" t="n">
        <f aca="false">SUMIFS(Report!$U:$U,Report!$T:$T,"MERCADORIAS P/REVENDA",Report!$AA:$AA,"SIM",Report!$C:$C,A821)</f>
        <v>0</v>
      </c>
      <c r="D821" s="32"/>
      <c r="E821" s="32"/>
      <c r="F821" s="31" t="n">
        <f aca="false">B821+C821</f>
        <v>0</v>
      </c>
    </row>
    <row r="822" customFormat="false" ht="12.75" hidden="false" customHeight="true" outlineLevel="0" collapsed="false">
      <c r="A822" s="30" t="n">
        <v>46740</v>
      </c>
      <c r="B822" s="31" t="n">
        <f aca="false">SUMIFS(Report!$U:$U,Report!$T:$T,"&lt;&gt;"&amp;"MERCADORIAS P/REVENDA",Report!$AA:$AA,"SIM",Report!$C:$C,A822)</f>
        <v>0</v>
      </c>
      <c r="C822" s="31" t="n">
        <f aca="false">SUMIFS(Report!$U:$U,Report!$T:$T,"MERCADORIAS P/REVENDA",Report!$AA:$AA,"SIM",Report!$C:$C,A822)</f>
        <v>0</v>
      </c>
      <c r="D822" s="32"/>
      <c r="E822" s="32"/>
      <c r="F822" s="31" t="n">
        <f aca="false">B822+C822</f>
        <v>0</v>
      </c>
    </row>
    <row r="823" customFormat="false" ht="12.75" hidden="false" customHeight="true" outlineLevel="0" collapsed="false">
      <c r="A823" s="30" t="n">
        <v>46741</v>
      </c>
      <c r="B823" s="31" t="n">
        <f aca="false">SUMIFS(Report!$U:$U,Report!$T:$T,"&lt;&gt;"&amp;"MERCADORIAS P/REVENDA",Report!$AA:$AA,"SIM",Report!$C:$C,A823)</f>
        <v>0</v>
      </c>
      <c r="C823" s="31" t="n">
        <f aca="false">SUMIFS(Report!$U:$U,Report!$T:$T,"MERCADORIAS P/REVENDA",Report!$AA:$AA,"SIM",Report!$C:$C,A823)</f>
        <v>0</v>
      </c>
      <c r="D823" s="32"/>
      <c r="E823" s="32"/>
      <c r="F823" s="31" t="n">
        <f aca="false">B823+C823</f>
        <v>0</v>
      </c>
    </row>
    <row r="824" customFormat="false" ht="12.75" hidden="false" customHeight="true" outlineLevel="0" collapsed="false">
      <c r="A824" s="33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34"/>
      <c r="E824" s="34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0" t="n">
        <v>46746</v>
      </c>
      <c r="B829" s="31" t="n">
        <f aca="false">SUMIFS(Report!$U:$U,Report!$T:$T,"&lt;&gt;"&amp;"MERCADORIAS P/REVENDA",Report!$AA:$AA,"SIM",Report!$C:$C,A829)</f>
        <v>0</v>
      </c>
      <c r="C829" s="31" t="n">
        <f aca="false">SUMIFS(Report!$U:$U,Report!$T:$T,"MERCADORIAS P/REVENDA",Report!$AA:$AA,"SIM",Report!$C:$C,A829)</f>
        <v>0</v>
      </c>
      <c r="D829" s="32"/>
      <c r="E829" s="32"/>
      <c r="F829" s="31" t="n">
        <f aca="false">B829+C829</f>
        <v>0</v>
      </c>
    </row>
    <row r="830" customFormat="false" ht="12.75" hidden="false" customHeight="true" outlineLevel="0" collapsed="false">
      <c r="A830" s="30" t="n">
        <v>46747</v>
      </c>
      <c r="B830" s="31" t="n">
        <f aca="false">SUMIFS(Report!$U:$U,Report!$T:$T,"&lt;&gt;"&amp;"MERCADORIAS P/REVENDA",Report!$AA:$AA,"SIM",Report!$C:$C,A830)</f>
        <v>0</v>
      </c>
      <c r="C830" s="31" t="n">
        <f aca="false">SUMIFS(Report!$U:$U,Report!$T:$T,"MERCADORIAS P/REVENDA",Report!$AA:$AA,"SIM",Report!$C:$C,A830)</f>
        <v>0</v>
      </c>
      <c r="D830" s="32"/>
      <c r="E830" s="32"/>
      <c r="F830" s="31" t="n">
        <f aca="false">B830+C830</f>
        <v>0</v>
      </c>
    </row>
    <row r="831" customFormat="false" ht="12.75" hidden="false" customHeight="true" outlineLevel="0" collapsed="false">
      <c r="A831" s="30" t="n">
        <v>46748</v>
      </c>
      <c r="B831" s="31" t="n">
        <f aca="false">SUMIFS(Report!$U:$U,Report!$T:$T,"&lt;&gt;"&amp;"MERCADORIAS P/REVENDA",Report!$AA:$AA,"SIM",Report!$C:$C,A831)</f>
        <v>0</v>
      </c>
      <c r="C831" s="31" t="n">
        <f aca="false">SUMIFS(Report!$U:$U,Report!$T:$T,"MERCADORIAS P/REVENDA",Report!$AA:$AA,"SIM",Report!$C:$C,A831)</f>
        <v>0</v>
      </c>
      <c r="D831" s="32"/>
      <c r="E831" s="32"/>
      <c r="F831" s="31" t="n">
        <f aca="false">B831+C831</f>
        <v>0</v>
      </c>
    </row>
    <row r="832" customFormat="false" ht="12.75" hidden="false" customHeight="true" outlineLevel="0" collapsed="false">
      <c r="A832" s="33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34"/>
      <c r="E832" s="34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3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34"/>
      <c r="E837" s="34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5" t="s">
        <v>2089</v>
      </c>
      <c r="B1" s="35"/>
      <c r="C1" s="35"/>
      <c r="D1" s="35"/>
    </row>
    <row r="2" customFormat="false" ht="12.75" hidden="false" customHeight="true" outlineLevel="0" collapsed="false">
      <c r="A2" s="36" t="s">
        <v>2090</v>
      </c>
      <c r="B2" s="36"/>
      <c r="C2" s="36"/>
      <c r="D2" s="36"/>
    </row>
    <row r="4" customFormat="false" ht="24.75" hidden="false" customHeight="true" outlineLevel="0" collapsed="false">
      <c r="A4" s="37" t="s">
        <v>2043</v>
      </c>
      <c r="B4" s="37" t="s">
        <v>2091</v>
      </c>
      <c r="C4" s="37" t="s">
        <v>2092</v>
      </c>
    </row>
    <row r="5" customFormat="false" ht="12.75" hidden="false" customHeight="true" outlineLevel="0" collapsed="false">
      <c r="A5" s="38" t="s">
        <v>2047</v>
      </c>
      <c r="B5" s="38" t="n">
        <v>2026</v>
      </c>
      <c r="C5" s="39" t="n">
        <v>537222.65</v>
      </c>
    </row>
    <row r="6" customFormat="false" ht="12.75" hidden="false" customHeight="true" outlineLevel="0" collapsed="false">
      <c r="A6" s="38" t="s">
        <v>2048</v>
      </c>
      <c r="B6" s="38" t="n">
        <v>2026</v>
      </c>
      <c r="C6" s="39" t="n">
        <v>475241.32</v>
      </c>
    </row>
    <row r="7" customFormat="false" ht="12.75" hidden="false" customHeight="true" outlineLevel="0" collapsed="false">
      <c r="A7" s="38" t="s">
        <v>2049</v>
      </c>
      <c r="B7" s="38" t="n">
        <v>2026</v>
      </c>
      <c r="C7" s="39" t="n">
        <v>548119.47</v>
      </c>
    </row>
    <row r="8" customFormat="false" ht="12.75" hidden="false" customHeight="true" outlineLevel="0" collapsed="false">
      <c r="A8" s="38" t="s">
        <v>2050</v>
      </c>
      <c r="B8" s="38" t="n">
        <v>2026</v>
      </c>
      <c r="C8" s="39" t="n">
        <v>557442.07</v>
      </c>
    </row>
    <row r="9" customFormat="false" ht="12.75" hidden="false" customHeight="true" outlineLevel="0" collapsed="false">
      <c r="A9" s="38" t="s">
        <v>2051</v>
      </c>
      <c r="B9" s="38" t="n">
        <v>2026</v>
      </c>
      <c r="C9" s="39" t="n">
        <v>569583.19</v>
      </c>
    </row>
    <row r="10" customFormat="false" ht="12.75" hidden="false" customHeight="true" outlineLevel="0" collapsed="false">
      <c r="A10" s="38" t="s">
        <v>2052</v>
      </c>
      <c r="B10" s="38" t="n">
        <v>2026</v>
      </c>
      <c r="C10" s="39" t="n">
        <v>573030.89</v>
      </c>
    </row>
    <row r="11" customFormat="false" ht="12.75" hidden="false" customHeight="true" outlineLevel="0" collapsed="false">
      <c r="A11" s="38" t="s">
        <v>2053</v>
      </c>
      <c r="B11" s="38" t="n">
        <v>2026</v>
      </c>
      <c r="C11" s="39" t="n">
        <v>514415.44</v>
      </c>
    </row>
    <row r="12" customFormat="false" ht="13.5" hidden="false" customHeight="true" outlineLevel="0" collapsed="false">
      <c r="A12" s="38" t="s">
        <v>2054</v>
      </c>
      <c r="B12" s="38" t="n">
        <v>2026</v>
      </c>
      <c r="C12" s="40" t="n">
        <v>502976.89</v>
      </c>
    </row>
    <row r="13" customFormat="false" ht="13.5" hidden="false" customHeight="true" outlineLevel="0" collapsed="false">
      <c r="A13" s="38" t="s">
        <v>2055</v>
      </c>
      <c r="B13" s="38" t="n">
        <v>2026</v>
      </c>
      <c r="C13" s="40" t="n">
        <v>110.82</v>
      </c>
    </row>
    <row r="14" customFormat="false" ht="13.5" hidden="false" customHeight="true" outlineLevel="0" collapsed="false">
      <c r="A14" s="38" t="s">
        <v>2056</v>
      </c>
      <c r="B14" s="38" t="n">
        <v>2026</v>
      </c>
      <c r="C14" s="40" t="n">
        <v>0</v>
      </c>
    </row>
    <row r="15" customFormat="false" ht="13.5" hidden="false" customHeight="true" outlineLevel="0" collapsed="false">
      <c r="A15" s="38" t="s">
        <v>2057</v>
      </c>
      <c r="B15" s="38" t="n">
        <v>2026</v>
      </c>
      <c r="C15" s="40" t="n">
        <v>0</v>
      </c>
    </row>
    <row r="16" customFormat="false" ht="13.5" hidden="false" customHeight="true" outlineLevel="0" collapsed="false">
      <c r="A16" s="38" t="s">
        <v>2058</v>
      </c>
      <c r="B16" s="38" t="n">
        <v>2026</v>
      </c>
      <c r="C16" s="40" t="n">
        <v>0</v>
      </c>
    </row>
    <row r="17" customFormat="false" ht="12.75" hidden="false" customHeight="true" outlineLevel="0" collapsed="false">
      <c r="C17" s="15" t="n">
        <v>46261</v>
      </c>
    </row>
    <row r="18" customFormat="false" ht="13.5" hidden="false" customHeight="true" outlineLevel="0" collapsed="false">
      <c r="A18" s="41" t="s">
        <v>2093</v>
      </c>
      <c r="B18" s="41"/>
      <c r="C18" s="42" t="n">
        <v>46266.3172685185</v>
      </c>
    </row>
    <row r="19" customFormat="false" ht="12.75" hidden="false" customHeight="true" outlineLevel="0" collapsed="false">
      <c r="A19" s="1" t="s">
        <v>2094</v>
      </c>
      <c r="C19" s="43" t="n">
        <f aca="false">IF(ISNUMBER(C12),(C12/DAY(C18))*31,"")</f>
        <v>15592283.59</v>
      </c>
    </row>
    <row r="20" customFormat="false" ht="12.75" hidden="false" customHeight="true" outlineLevel="0" collapsed="false">
      <c r="A20" s="44"/>
      <c r="B20" s="44"/>
      <c r="C20" s="44"/>
      <c r="D20" s="44"/>
      <c r="E20" s="44"/>
      <c r="F20" s="44"/>
      <c r="G20" s="44"/>
      <c r="H20" s="44"/>
    </row>
    <row r="21" customFormat="false" ht="12.75" hidden="false" customHeight="true" outlineLevel="0" collapsed="false">
      <c r="A21" s="45" t="s">
        <v>2095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6" t="s">
        <v>2096</v>
      </c>
    </row>
    <row r="3" customFormat="false" ht="12.75" hidden="false" customHeight="true" outlineLevel="0" collapsed="false">
      <c r="A3" s="21" t="s">
        <v>2097</v>
      </c>
      <c r="E3" s="47" t="n">
        <v>0.7</v>
      </c>
      <c r="F3" s="48" t="s">
        <v>2098</v>
      </c>
      <c r="G3" s="48" t="s">
        <v>2099</v>
      </c>
      <c r="H3" s="48" t="s">
        <v>2100</v>
      </c>
      <c r="I3" s="48" t="s">
        <v>2101</v>
      </c>
      <c r="J3" s="48" t="s">
        <v>2102</v>
      </c>
    </row>
    <row r="4" customFormat="false" ht="12.75" hidden="false" customHeight="true" outlineLevel="0" collapsed="false">
      <c r="F4" s="49"/>
      <c r="G4" s="49" t="str">
        <f aca="false">IF(AND(ISNUMBER(D4),ISNUMBER(B4),B4&lt;&gt;0),(D4/B4)*30,"")</f>
        <v/>
      </c>
      <c r="H4" s="50" t="str">
        <f aca="false">IF(F4="","",IF(OR(F4&lt;0.9,F4&gt;1.1),"ALERTA","OK"))</f>
        <v/>
      </c>
      <c r="I4" s="51" t="str">
        <f aca="false">IF(C4="","",IF(AND(F4&lt;&gt;"",F4&lt;1),C4*F4,C4))</f>
        <v/>
      </c>
      <c r="J4" s="51"/>
    </row>
    <row r="5" customFormat="false" ht="12.75" hidden="false" customHeight="true" outlineLevel="0" collapsed="false">
      <c r="F5" s="52"/>
      <c r="G5" s="52" t="str">
        <f aca="false">IF(AND(ISNUMBER(D5),ISNUMBER(B5),B5&lt;&gt;0),(D5/B5)*30,"")</f>
        <v/>
      </c>
      <c r="H5" s="53" t="str">
        <f aca="false">IF(F5="","",IF(OR(F5&lt;0.9,F5&gt;1.1),"ALERTA","OK"))</f>
        <v/>
      </c>
      <c r="I5" s="54" t="str">
        <f aca="false">IF(C5="","",IF(AND(F5&lt;&gt;"",F5&lt;1),C5*F5,C5))</f>
        <v/>
      </c>
      <c r="J5" s="54"/>
    </row>
    <row r="6" customFormat="false" ht="12.75" hidden="false" customHeight="true" outlineLevel="0" collapsed="false">
      <c r="A6" s="55" t="s">
        <v>2043</v>
      </c>
      <c r="B6" s="56" t="s">
        <v>2103</v>
      </c>
      <c r="C6" s="56" t="s">
        <v>2104</v>
      </c>
      <c r="D6" s="56" t="s">
        <v>2105</v>
      </c>
      <c r="E6" s="56" t="s">
        <v>2106</v>
      </c>
      <c r="F6" s="57" t="str">
        <f aca="false">IF(AND(ISNUMBER(B5),ISNUMBER(B4),B4&lt;&gt;0),B5/B4,"")</f>
        <v/>
      </c>
      <c r="G6" s="49" t="str">
        <f aca="false">IF(AND(ISNUMBER(D6),ISNUMBER(B6),B6&lt;&gt;0),(D6/B6)*30,"")</f>
        <v/>
      </c>
      <c r="H6" s="50" t="str">
        <f aca="false">IF(F6="","",IF(OR(F6&lt;0.9,F6&gt;1.1),"ALERTA","OK"))</f>
        <v/>
      </c>
      <c r="I6" s="51" t="str">
        <f aca="false">IF(C6="","",IF(AND(F6&lt;&gt;"",F6&lt;1),C6*F6,C6))</f>
        <v>Compra Sugerida (base: venda mes anterior)</v>
      </c>
      <c r="J6" s="51"/>
    </row>
    <row r="7" customFormat="false" ht="12.75" hidden="false" customHeight="true" outlineLevel="0" collapsed="false">
      <c r="A7" s="21" t="s">
        <v>2047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2" t="str">
        <f aca="false">IF(AND(ISNUMBER(B6),ISNUMBER(B5),B5&lt;&gt;0),B6/B5,"")</f>
        <v/>
      </c>
      <c r="G7" s="52" t="n">
        <f aca="false">IF(AND(ISNUMBER(D7),ISNUMBER(B7),B7&lt;&gt;0),(D7/B7)*30,"")</f>
        <v>0</v>
      </c>
      <c r="H7" s="53" t="str">
        <f aca="false">IF(F7="","",IF(OR(F7&lt;0.9,F7&gt;1.1),"ALERTA","OK"))</f>
        <v/>
      </c>
      <c r="I7" s="54" t="str">
        <f aca="false">IF(C7="","",IF(AND(F7&lt;&gt;"",F7&lt;1),C7*F7,C7))</f>
        <v/>
      </c>
      <c r="J7" s="54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2048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49" t="str">
        <f aca="false">IF(AND(ISNUMBER(B7),ISNUMBER(B6),B6&lt;&gt;0),B7/B6,"")</f>
        <v/>
      </c>
      <c r="G8" s="49" t="n">
        <f aca="false">IF(AND(ISNUMBER(D8),ISNUMBER(B8),B8&lt;&gt;0),(D8/B8)*30,"")</f>
        <v>0</v>
      </c>
      <c r="H8" s="50" t="str">
        <f aca="false">IF(F8="","",IF(OR(F8&lt;0.9,F8&gt;1.1),"ALERTA","OK"))</f>
        <v/>
      </c>
      <c r="I8" s="51" t="n">
        <f aca="false">IF(C8="","",IF(AND(F8&lt;&gt;"",F8&lt;1),C8*F8,C8))</f>
        <v>376055.855</v>
      </c>
      <c r="J8" s="51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2049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2" t="n">
        <f aca="false">IF(AND(ISNUMBER(B8),ISNUMBER(B7),B7&lt;&gt;0),B8/B7,"")</f>
        <v>0.884626364878696</v>
      </c>
      <c r="G9" s="52" t="n">
        <f aca="false">IF(AND(ISNUMBER(D9),ISNUMBER(B9),B9&lt;&gt;0),(D9/B9)*30,"")</f>
        <v>0</v>
      </c>
      <c r="H9" s="53" t="str">
        <f aca="false">IF(F9="","",IF(OR(F9&lt;0.9,F9&gt;1.1),"ALERTA","OK"))</f>
        <v>ALERTA</v>
      </c>
      <c r="I9" s="54" t="n">
        <f aca="false">IF(C9="","",IF(AND(F9&lt;&gt;"",F9&lt;1),C9*F9,C9))</f>
        <v>294287.700946227</v>
      </c>
      <c r="J9" s="54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2050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49" t="n">
        <f aca="false">IF(AND(ISNUMBER(B9),ISNUMBER(B8),B8&lt;&gt;0),B9/B8,"")</f>
        <v>1.15334977606745</v>
      </c>
      <c r="G10" s="49" t="n">
        <f aca="false">IF(AND(ISNUMBER(D10),ISNUMBER(B10),B10&lt;&gt;0),(D10/B10)*30,"")</f>
        <v>0</v>
      </c>
      <c r="H10" s="50" t="str">
        <f aca="false">IF(F10="","",IF(OR(F10&lt;0.9,F10&gt;1.1),"ALERTA","OK"))</f>
        <v>ALERTA</v>
      </c>
      <c r="I10" s="51" t="n">
        <f aca="false">IF(C10="","",IF(AND(F10&lt;&gt;"",F10&lt;1),C10*F10,C10))</f>
        <v>383683.629</v>
      </c>
      <c r="J10" s="51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2051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2" t="n">
        <f aca="false">IF(AND(ISNUMBER(B10),ISNUMBER(B9),B9&lt;&gt;0),B10/B9,"")</f>
        <v>1.0170083357922</v>
      </c>
      <c r="G11" s="52" t="n">
        <f aca="false">IF(AND(ISNUMBER(D11),ISNUMBER(B11),B11&lt;&gt;0),(D11/B11)*30,"")</f>
        <v>0</v>
      </c>
      <c r="H11" s="53" t="str">
        <f aca="false">IF(F11="","",IF(OR(F11&lt;0.9,F11&gt;1.1),"ALERTA","OK"))</f>
        <v>OK</v>
      </c>
      <c r="I11" s="54" t="n">
        <f aca="false">IF(C11="","",IF(AND(F11&lt;&gt;"",F11&lt;1),C11*F11,C11))</f>
        <v>390209.449</v>
      </c>
      <c r="J11" s="54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2052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49" t="n">
        <f aca="false">IF(AND(ISNUMBER(B11),ISNUMBER(B10),B10&lt;&gt;0),B11/B10,"")</f>
        <v>1.02178005689452</v>
      </c>
      <c r="G12" s="49" t="n">
        <f aca="false">IF(AND(ISNUMBER(D12),ISNUMBER(B12),B12&lt;&gt;0),(D12/B12)*30,"")</f>
        <v>22.7285338840983</v>
      </c>
      <c r="H12" s="50" t="str">
        <f aca="false">IF(F12="","",IF(OR(F12&lt;0.9,F12&gt;1.1),"ALERTA","OK"))</f>
        <v>OK</v>
      </c>
      <c r="I12" s="51" t="n">
        <f aca="false">IF(C12="","",IF(AND(F12&lt;&gt;"",F12&lt;1),C12*F12,C12))</f>
        <v>398708.233</v>
      </c>
      <c r="J12" s="51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1" t="s">
        <v>2053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2" t="n">
        <f aca="false">IF(AND(ISNUMBER(B12),ISNUMBER(B11),B11&lt;&gt;0),B12/B11,"")</f>
        <v>1.00605302273756</v>
      </c>
      <c r="G13" s="52" t="n">
        <f aca="false">IF(AND(ISNUMBER(D13),ISNUMBER(B13),B13&lt;&gt;0),(D13/B13)*30,"")</f>
        <v>26.2138896919579</v>
      </c>
      <c r="H13" s="53" t="str">
        <f aca="false">IF(F13="","",IF(OR(F13&lt;0.9,F13&gt;1.1),"ALERTA","OK"))</f>
        <v>OK</v>
      </c>
      <c r="I13" s="54" t="n">
        <f aca="false">IF(C13="","",IF(AND(F13&lt;&gt;"",F13&lt;1),C13*F13,C13))</f>
        <v>401121.623</v>
      </c>
      <c r="J13" s="54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1" t="s">
        <v>2054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365969.3</v>
      </c>
      <c r="E14" s="17" t="n">
        <f aca="false">IF(AND(ISNUMBER(C14),D14&gt;0),D14-C14,"")</f>
        <v>5878.49200000003</v>
      </c>
      <c r="F14" s="49" t="n">
        <f aca="false">IF(AND(ISNUMBER(B13),ISNUMBER(B12),B12&lt;&gt;0),B13/B12,"")</f>
        <v>0.897709790130162</v>
      </c>
      <c r="G14" s="49" t="n">
        <f aca="false">IF(AND(ISNUMBER(D14),ISNUMBER(B14),B14&lt;&gt;0),(D14/B14)*30,"")</f>
        <v>21.8281977130202</v>
      </c>
      <c r="H14" s="50" t="str">
        <f aca="false">IF(F14="","",IF(OR(F14&lt;0.9,F14&gt;1.1),"ALERTA","OK"))</f>
        <v>ALERTA</v>
      </c>
      <c r="I14" s="51" t="n">
        <f aca="false">IF(C14="","",IF(AND(F14&lt;&gt;"",F14&lt;1),C14*F14,C14))</f>
        <v>323257.04367748</v>
      </c>
      <c r="J14" s="51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1" t="s">
        <v>2055</v>
      </c>
      <c r="B15" s="17" t="n">
        <f aca="false">IFERROR(INDEX('Venda Anual (Base)'!$C$5:$C$16,MATCH($A15,'Venda Anual (Base)'!$A$5:$A$16,0)),"")</f>
        <v>110.82</v>
      </c>
      <c r="C15" s="17" t="n">
        <f aca="false">(B14*$E$3)</f>
        <v>352083.823</v>
      </c>
      <c r="D15" s="17" t="n">
        <f aca="false">IFERROR(INDEX('Resumo Mensal'!$C$2:$C$25,MATCH($A15,'Resumo Mensal'!$A$2:$A$25,0)),0)</f>
        <v>140979.66</v>
      </c>
      <c r="E15" s="17" t="n">
        <f aca="false">IF(AND(ISNUMBER(C15),D15&gt;0),D15-C15,"")</f>
        <v>-211104.163</v>
      </c>
      <c r="F15" s="52" t="n">
        <f aca="false">IF(AND(ISNUMBER(B14),ISNUMBER(B13),B13&lt;&gt;0),B14/B13,"")</f>
        <v>0.977763983911525</v>
      </c>
      <c r="G15" s="52" t="n">
        <f aca="false">IF(AND(ISNUMBER(D15),ISNUMBER(B15),B15&lt;&gt;0),(D15/B15)*30,"")</f>
        <v>38164.4991878722</v>
      </c>
      <c r="H15" s="53" t="str">
        <f aca="false">IF(F15="","",IF(OR(F15&lt;0.9,F15&gt;1.1),"ALERTA","OK"))</f>
        <v>OK</v>
      </c>
      <c r="I15" s="54" t="n">
        <f aca="false">IF(C15="","",IF(AND(F15&lt;&gt;"",F15&lt;1),C15*F15,C15))</f>
        <v>344254.88144728</v>
      </c>
      <c r="J15" s="54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2056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77.574</v>
      </c>
      <c r="D16" s="17" t="n">
        <f aca="false">IFERROR(INDEX('Resumo Mensal'!$C$2:$C$25,MATCH($A16,'Resumo Mensal'!$A$2:$A$25,0)),0)</f>
        <v>7056.47</v>
      </c>
      <c r="E16" s="17" t="n">
        <f aca="false">IF(AND(ISNUMBER(C16),D16&gt;0),D16-C16,"")</f>
        <v>6978.896</v>
      </c>
      <c r="F16" s="58" t="n">
        <f aca="false">SUMIFS('Notas Fiscais (Rel 19)'!$K:$K,'Notas Fiscais (Rel 19)'!$E:$E,"&gt;="&amp;DATE(2026,10,1),'Notas Fiscais (Rel 19)'!$E:$E,"&lt;="&amp;DATE(2026,10,31))</f>
        <v>0</v>
      </c>
      <c r="G16" s="59"/>
      <c r="H16" s="59"/>
      <c r="I16" s="60" t="n">
        <f aca="false">SUM(I5:I15)</f>
        <v>2911578.41507099</v>
      </c>
      <c r="J16" s="61" t="n">
        <f aca="false">SUM(J4:J15)</f>
        <v>1087937.08</v>
      </c>
    </row>
    <row r="17" customFormat="false" ht="12.75" hidden="false" customHeight="true" outlineLevel="0" collapsed="false">
      <c r="A17" s="21" t="s">
        <v>2057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2058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5" t="s">
        <v>2071</v>
      </c>
      <c r="B19" s="62" t="n">
        <f aca="false">SUM(B7:B18)</f>
        <v>4278142.74</v>
      </c>
      <c r="C19" s="62" t="n">
        <f aca="false">SUM(C7:C18)</f>
        <v>2994699.918</v>
      </c>
      <c r="D19" s="62" t="n">
        <f aca="false">SUM(D7:D18)</f>
        <v>1397638.15</v>
      </c>
      <c r="E19" s="62" t="n">
        <f aca="false">IF(COUNT(E7:E18)=0,"sem dados comparaveis ainda",SUM(E7:E18))</f>
        <v>-114443.911</v>
      </c>
      <c r="F19" s="62" t="n">
        <f aca="false">SUM(F7:F18)</f>
        <v>6.95829133041211</v>
      </c>
    </row>
    <row r="21" customFormat="false" ht="12.75" hidden="false" customHeight="true" outlineLevel="0" collapsed="false">
      <c r="A21" s="21" t="s">
        <v>2107</v>
      </c>
    </row>
    <row r="23" customFormat="false" ht="12.75" hidden="false" customHeight="true" outlineLevel="0" collapsed="false">
      <c r="A23" s="21" t="s">
        <v>2108</v>
      </c>
    </row>
    <row r="25" customFormat="false" ht="12.75" hidden="false" customHeight="true" outlineLevel="0" collapsed="false">
      <c r="A25" s="21" t="s">
        <v>2109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1" t="s">
        <v>2110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3" width="11.89"/>
    <col collapsed="false" customWidth="true" hidden="false" outlineLevel="0" max="14" min="14" style="1" width="16.33"/>
    <col collapsed="false" customWidth="true" hidden="false" outlineLevel="0" max="15" min="15" style="63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2111</v>
      </c>
      <c r="B1" s="1" t="s">
        <v>2112</v>
      </c>
      <c r="C1" s="1" t="s">
        <v>2113</v>
      </c>
      <c r="D1" s="1" t="s">
        <v>2114</v>
      </c>
      <c r="E1" s="1" t="s">
        <v>2115</v>
      </c>
      <c r="F1" s="1" t="s">
        <v>2116</v>
      </c>
      <c r="G1" s="1" t="s">
        <v>2117</v>
      </c>
      <c r="H1" s="1" t="s">
        <v>2118</v>
      </c>
      <c r="I1" s="1" t="s">
        <v>2119</v>
      </c>
      <c r="J1" s="1" t="s">
        <v>2120</v>
      </c>
      <c r="K1" s="63" t="s">
        <v>2121</v>
      </c>
      <c r="N1" s="64" t="s">
        <v>2086</v>
      </c>
      <c r="O1" s="65" t="s">
        <v>2122</v>
      </c>
      <c r="P1" s="64" t="s">
        <v>2123</v>
      </c>
      <c r="Q1" s="64" t="s">
        <v>2124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2125</v>
      </c>
      <c r="D2" s="1" t="s">
        <v>2126</v>
      </c>
      <c r="E2" s="16" t="n">
        <v>46174</v>
      </c>
      <c r="F2" s="16" t="n">
        <v>46171</v>
      </c>
      <c r="G2" s="1" t="s">
        <v>122</v>
      </c>
      <c r="H2" s="1" t="n">
        <v>1187449</v>
      </c>
      <c r="I2" s="1" t="n">
        <v>11</v>
      </c>
      <c r="J2" s="1" t="s">
        <v>2127</v>
      </c>
      <c r="K2" s="63" t="n">
        <v>1454.09</v>
      </c>
      <c r="N2" s="16" t="n">
        <v>46174</v>
      </c>
      <c r="O2" s="63" t="n">
        <f aca="false">SUMIFS($K:$K,$E:$E,N2)</f>
        <v>5554.44</v>
      </c>
      <c r="P2" s="1" t="n">
        <v>5</v>
      </c>
      <c r="Q2" s="66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2128</v>
      </c>
      <c r="D3" s="1" t="s">
        <v>2126</v>
      </c>
      <c r="E3" s="16" t="n">
        <v>46174</v>
      </c>
      <c r="F3" s="16" t="n">
        <v>46171</v>
      </c>
      <c r="G3" s="1" t="s">
        <v>122</v>
      </c>
      <c r="H3" s="1" t="n">
        <v>1188041</v>
      </c>
      <c r="I3" s="1" t="n">
        <v>11</v>
      </c>
      <c r="J3" s="1" t="s">
        <v>2127</v>
      </c>
      <c r="K3" s="63" t="n">
        <v>3078.35</v>
      </c>
      <c r="N3" s="16" t="n">
        <v>46175</v>
      </c>
      <c r="O3" s="63" t="n">
        <f aca="false">SUMIFS($K:$K,$E:$E,N3)</f>
        <v>3394</v>
      </c>
      <c r="P3" s="1" t="n">
        <v>6</v>
      </c>
      <c r="Q3" s="66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2129</v>
      </c>
      <c r="D4" s="1" t="s">
        <v>2130</v>
      </c>
      <c r="E4" s="16" t="n">
        <v>46174</v>
      </c>
      <c r="F4" s="16" t="n">
        <v>46174</v>
      </c>
      <c r="G4" s="1" t="s">
        <v>80</v>
      </c>
      <c r="H4" s="1" t="n">
        <v>1186773</v>
      </c>
      <c r="I4" s="1" t="n">
        <v>6</v>
      </c>
      <c r="J4" s="1" t="s">
        <v>2127</v>
      </c>
      <c r="K4" s="63" t="n">
        <v>131</v>
      </c>
      <c r="N4" s="16" t="n">
        <v>46176</v>
      </c>
      <c r="O4" s="63" t="n">
        <f aca="false">SUMIFS($K:$K,$E:$E,N4)</f>
        <v>33129.79</v>
      </c>
      <c r="P4" s="1" t="n">
        <v>7</v>
      </c>
      <c r="Q4" s="66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2129</v>
      </c>
      <c r="D5" s="1" t="s">
        <v>2130</v>
      </c>
      <c r="E5" s="16" t="n">
        <v>46174</v>
      </c>
      <c r="F5" s="16" t="n">
        <v>46174</v>
      </c>
      <c r="G5" s="1" t="s">
        <v>80</v>
      </c>
      <c r="H5" s="1" t="n">
        <v>1187033</v>
      </c>
      <c r="I5" s="1" t="n">
        <v>6</v>
      </c>
      <c r="J5" s="1" t="s">
        <v>2127</v>
      </c>
      <c r="K5" s="63" t="n">
        <v>120</v>
      </c>
      <c r="N5" s="16" t="n">
        <v>46177</v>
      </c>
      <c r="O5" s="63" t="n">
        <f aca="false">SUMIFS($K:$K,$E:$E,N5)</f>
        <v>0</v>
      </c>
      <c r="P5" s="1" t="n">
        <v>8</v>
      </c>
      <c r="Q5" s="66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2129</v>
      </c>
      <c r="D6" s="1" t="s">
        <v>2130</v>
      </c>
      <c r="E6" s="16" t="n">
        <v>46174</v>
      </c>
      <c r="F6" s="16" t="n">
        <v>46174</v>
      </c>
      <c r="G6" s="1" t="s">
        <v>80</v>
      </c>
      <c r="H6" s="1" t="n">
        <v>1188013</v>
      </c>
      <c r="I6" s="1" t="n">
        <v>6</v>
      </c>
      <c r="J6" s="1" t="s">
        <v>2127</v>
      </c>
      <c r="K6" s="63" t="n">
        <v>260</v>
      </c>
      <c r="N6" s="16" t="n">
        <v>46178</v>
      </c>
      <c r="O6" s="63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2129</v>
      </c>
      <c r="D7" s="1" t="s">
        <v>2130</v>
      </c>
      <c r="E7" s="16" t="n">
        <v>46174</v>
      </c>
      <c r="F7" s="16" t="n">
        <v>46174</v>
      </c>
      <c r="G7" s="1" t="s">
        <v>80</v>
      </c>
      <c r="H7" s="1" t="n">
        <v>1186770</v>
      </c>
      <c r="I7" s="1" t="n">
        <v>2</v>
      </c>
      <c r="J7" s="1" t="s">
        <v>2127</v>
      </c>
      <c r="K7" s="63" t="n">
        <v>131</v>
      </c>
      <c r="N7" s="16" t="n">
        <v>46179</v>
      </c>
      <c r="O7" s="63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2129</v>
      </c>
      <c r="D8" s="1" t="s">
        <v>2130</v>
      </c>
      <c r="E8" s="16" t="n">
        <v>46174</v>
      </c>
      <c r="F8" s="16" t="n">
        <v>46174</v>
      </c>
      <c r="G8" s="1" t="s">
        <v>80</v>
      </c>
      <c r="H8" s="1" t="n">
        <v>1187021</v>
      </c>
      <c r="I8" s="1" t="n">
        <v>2</v>
      </c>
      <c r="J8" s="1" t="s">
        <v>2127</v>
      </c>
      <c r="K8" s="63" t="n">
        <v>120</v>
      </c>
      <c r="N8" s="16" t="n">
        <v>46180</v>
      </c>
      <c r="O8" s="63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2129</v>
      </c>
      <c r="D9" s="1" t="s">
        <v>2130</v>
      </c>
      <c r="E9" s="16" t="n">
        <v>46174</v>
      </c>
      <c r="F9" s="16" t="n">
        <v>46174</v>
      </c>
      <c r="G9" s="1" t="s">
        <v>80</v>
      </c>
      <c r="H9" s="1" t="n">
        <v>1188003</v>
      </c>
      <c r="I9" s="1" t="n">
        <v>2</v>
      </c>
      <c r="J9" s="1" t="s">
        <v>2127</v>
      </c>
      <c r="K9" s="63" t="n">
        <v>260</v>
      </c>
      <c r="N9" s="16" t="n">
        <v>46181</v>
      </c>
      <c r="O9" s="63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2129</v>
      </c>
      <c r="D10" s="1" t="s">
        <v>2131</v>
      </c>
      <c r="E10" s="16" t="n">
        <v>46175</v>
      </c>
      <c r="F10" s="16" t="n">
        <v>46175</v>
      </c>
      <c r="G10" s="1" t="s">
        <v>112</v>
      </c>
      <c r="H10" s="1" t="n">
        <v>1196383</v>
      </c>
      <c r="I10" s="1" t="n">
        <v>1</v>
      </c>
      <c r="J10" s="1" t="s">
        <v>2127</v>
      </c>
      <c r="K10" s="63" t="n">
        <v>270</v>
      </c>
      <c r="N10" s="16" t="n">
        <v>46182</v>
      </c>
      <c r="O10" s="63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2129</v>
      </c>
      <c r="D11" s="1" t="s">
        <v>2132</v>
      </c>
      <c r="E11" s="16" t="n">
        <v>46175</v>
      </c>
      <c r="F11" s="16" t="n">
        <v>46175</v>
      </c>
      <c r="G11" s="1" t="s">
        <v>130</v>
      </c>
      <c r="H11" s="1" t="n">
        <v>1192594</v>
      </c>
      <c r="I11" s="1" t="n">
        <v>1</v>
      </c>
      <c r="J11" s="1" t="s">
        <v>2127</v>
      </c>
      <c r="K11" s="63" t="n">
        <v>140</v>
      </c>
      <c r="N11" s="16" t="n">
        <v>46183</v>
      </c>
      <c r="O11" s="63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2129</v>
      </c>
      <c r="D12" s="1" t="s">
        <v>2130</v>
      </c>
      <c r="E12" s="16" t="n">
        <v>46175</v>
      </c>
      <c r="F12" s="16" t="n">
        <v>46175</v>
      </c>
      <c r="G12" s="1" t="s">
        <v>80</v>
      </c>
      <c r="H12" s="1" t="n">
        <v>1191222</v>
      </c>
      <c r="I12" s="1" t="n">
        <v>6</v>
      </c>
      <c r="J12" s="1" t="s">
        <v>2127</v>
      </c>
      <c r="K12" s="63" t="n">
        <v>205</v>
      </c>
      <c r="N12" s="16" t="n">
        <v>46184</v>
      </c>
      <c r="O12" s="63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2129</v>
      </c>
      <c r="D13" s="1" t="s">
        <v>2130</v>
      </c>
      <c r="E13" s="16" t="n">
        <v>46175</v>
      </c>
      <c r="F13" s="16" t="n">
        <v>46175</v>
      </c>
      <c r="G13" s="1" t="s">
        <v>80</v>
      </c>
      <c r="H13" s="1" t="n">
        <v>1192584</v>
      </c>
      <c r="I13" s="1" t="n">
        <v>6</v>
      </c>
      <c r="J13" s="1" t="s">
        <v>2127</v>
      </c>
      <c r="K13" s="63" t="n">
        <v>1287</v>
      </c>
      <c r="N13" s="16" t="n">
        <v>46185</v>
      </c>
      <c r="O13" s="63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2129</v>
      </c>
      <c r="D14" s="1" t="s">
        <v>2130</v>
      </c>
      <c r="E14" s="16" t="n">
        <v>46175</v>
      </c>
      <c r="F14" s="16" t="n">
        <v>46175</v>
      </c>
      <c r="G14" s="1" t="s">
        <v>80</v>
      </c>
      <c r="H14" s="1" t="n">
        <v>1191220</v>
      </c>
      <c r="I14" s="1" t="n">
        <v>2</v>
      </c>
      <c r="J14" s="1" t="s">
        <v>2127</v>
      </c>
      <c r="K14" s="63" t="n">
        <v>205</v>
      </c>
      <c r="N14" s="16" t="n">
        <v>46186</v>
      </c>
      <c r="O14" s="63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2129</v>
      </c>
      <c r="D15" s="1" t="s">
        <v>2130</v>
      </c>
      <c r="E15" s="16" t="n">
        <v>46175</v>
      </c>
      <c r="F15" s="16" t="n">
        <v>46175</v>
      </c>
      <c r="G15" s="1" t="s">
        <v>80</v>
      </c>
      <c r="H15" s="1" t="n">
        <v>1192580</v>
      </c>
      <c r="I15" s="1" t="n">
        <v>2</v>
      </c>
      <c r="J15" s="1" t="s">
        <v>2127</v>
      </c>
      <c r="K15" s="63" t="n">
        <v>1287</v>
      </c>
      <c r="N15" s="16" t="n">
        <v>46187</v>
      </c>
      <c r="O15" s="63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2129</v>
      </c>
      <c r="D16" s="1" t="s">
        <v>2133</v>
      </c>
      <c r="E16" s="16" t="n">
        <v>46176</v>
      </c>
      <c r="F16" s="16" t="n">
        <v>46175</v>
      </c>
      <c r="G16" s="1" t="s">
        <v>251</v>
      </c>
      <c r="H16" s="1" t="n">
        <v>1197943</v>
      </c>
      <c r="I16" s="1" t="n">
        <v>11</v>
      </c>
      <c r="J16" s="1" t="s">
        <v>2127</v>
      </c>
      <c r="K16" s="63" t="n">
        <v>1303.45</v>
      </c>
      <c r="N16" s="16" t="n">
        <v>46188</v>
      </c>
      <c r="O16" s="63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2134</v>
      </c>
      <c r="D17" s="1" t="s">
        <v>2135</v>
      </c>
      <c r="E17" s="16" t="n">
        <v>46176</v>
      </c>
      <c r="F17" s="16" t="n">
        <v>46171</v>
      </c>
      <c r="G17" s="1" t="s">
        <v>55</v>
      </c>
      <c r="H17" s="1" t="n">
        <v>1197278</v>
      </c>
      <c r="I17" s="1" t="n">
        <v>11</v>
      </c>
      <c r="J17" s="1" t="s">
        <v>2127</v>
      </c>
      <c r="K17" s="63" t="n">
        <v>680.29</v>
      </c>
      <c r="N17" s="16" t="n">
        <v>46189</v>
      </c>
      <c r="O17" s="63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2129</v>
      </c>
      <c r="D18" s="1" t="s">
        <v>2136</v>
      </c>
      <c r="E18" s="16" t="n">
        <v>46176</v>
      </c>
      <c r="F18" s="16" t="n">
        <v>46172</v>
      </c>
      <c r="G18" s="1" t="s">
        <v>76</v>
      </c>
      <c r="H18" s="1" t="n">
        <v>1197046</v>
      </c>
      <c r="I18" s="1" t="n">
        <v>11</v>
      </c>
      <c r="J18" s="1" t="s">
        <v>2127</v>
      </c>
      <c r="K18" s="63" t="n">
        <v>5604</v>
      </c>
      <c r="N18" s="16" t="n">
        <v>46190</v>
      </c>
      <c r="O18" s="63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2129</v>
      </c>
      <c r="D19" s="1" t="s">
        <v>2136</v>
      </c>
      <c r="E19" s="16" t="n">
        <v>46176</v>
      </c>
      <c r="F19" s="16" t="n">
        <v>46174</v>
      </c>
      <c r="G19" s="1" t="s">
        <v>76</v>
      </c>
      <c r="H19" s="1" t="n">
        <v>1198459</v>
      </c>
      <c r="I19" s="1" t="n">
        <v>11</v>
      </c>
      <c r="J19" s="1" t="s">
        <v>2127</v>
      </c>
      <c r="K19" s="63" t="n">
        <v>4151.7</v>
      </c>
      <c r="N19" s="16" t="n">
        <v>46191</v>
      </c>
      <c r="O19" s="63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2129</v>
      </c>
      <c r="D20" s="1" t="s">
        <v>2136</v>
      </c>
      <c r="E20" s="16" t="n">
        <v>46176</v>
      </c>
      <c r="F20" s="16" t="n">
        <v>46175</v>
      </c>
      <c r="G20" s="1" t="s">
        <v>76</v>
      </c>
      <c r="H20" s="1" t="n">
        <v>1198360</v>
      </c>
      <c r="I20" s="1" t="n">
        <v>11</v>
      </c>
      <c r="J20" s="1" t="s">
        <v>2127</v>
      </c>
      <c r="K20" s="63" t="n">
        <v>6255.2</v>
      </c>
      <c r="N20" s="16" t="n">
        <v>46192</v>
      </c>
      <c r="O20" s="63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2129</v>
      </c>
      <c r="D21" s="1" t="s">
        <v>2137</v>
      </c>
      <c r="E21" s="16" t="n">
        <v>46176</v>
      </c>
      <c r="F21" s="16" t="n">
        <v>46172</v>
      </c>
      <c r="G21" s="1" t="s">
        <v>408</v>
      </c>
      <c r="H21" s="1" t="n">
        <v>1198517</v>
      </c>
      <c r="I21" s="1" t="n">
        <v>11</v>
      </c>
      <c r="J21" s="1" t="s">
        <v>2127</v>
      </c>
      <c r="K21" s="63" t="n">
        <v>2734.13</v>
      </c>
      <c r="N21" s="16" t="n">
        <v>46193</v>
      </c>
      <c r="O21" s="63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2138</v>
      </c>
      <c r="D22" s="1" t="s">
        <v>2139</v>
      </c>
      <c r="E22" s="16" t="n">
        <v>46176</v>
      </c>
      <c r="F22" s="16" t="n">
        <v>46174</v>
      </c>
      <c r="G22" s="1" t="s">
        <v>339</v>
      </c>
      <c r="H22" s="1" t="n">
        <v>1196911</v>
      </c>
      <c r="I22" s="1" t="n">
        <v>11</v>
      </c>
      <c r="J22" s="1" t="s">
        <v>2127</v>
      </c>
      <c r="K22" s="63" t="n">
        <v>1203.14</v>
      </c>
      <c r="N22" s="16" t="n">
        <v>46194</v>
      </c>
      <c r="O22" s="63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2134</v>
      </c>
      <c r="D23" s="1" t="s">
        <v>2140</v>
      </c>
      <c r="E23" s="16" t="n">
        <v>46176</v>
      </c>
      <c r="F23" s="16" t="n">
        <v>46175</v>
      </c>
      <c r="G23" s="1" t="s">
        <v>183</v>
      </c>
      <c r="H23" s="1" t="n">
        <v>1206408</v>
      </c>
      <c r="I23" s="1" t="n">
        <v>1</v>
      </c>
      <c r="J23" s="1" t="s">
        <v>2127</v>
      </c>
      <c r="K23" s="63" t="n">
        <v>445</v>
      </c>
      <c r="N23" s="16" t="n">
        <v>46195</v>
      </c>
      <c r="O23" s="63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2129</v>
      </c>
      <c r="D24" s="1" t="s">
        <v>2141</v>
      </c>
      <c r="E24" s="16" t="n">
        <v>46176</v>
      </c>
      <c r="F24" s="16" t="n">
        <v>46175</v>
      </c>
      <c r="G24" s="1" t="s">
        <v>53</v>
      </c>
      <c r="H24" s="1" t="n">
        <v>1198240</v>
      </c>
      <c r="I24" s="1" t="n">
        <v>11</v>
      </c>
      <c r="J24" s="1" t="s">
        <v>2127</v>
      </c>
      <c r="K24" s="63" t="n">
        <v>4474.35</v>
      </c>
      <c r="N24" s="16" t="n">
        <v>46196</v>
      </c>
      <c r="O24" s="63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2134</v>
      </c>
      <c r="D25" s="1" t="s">
        <v>2142</v>
      </c>
      <c r="E25" s="16" t="n">
        <v>46176</v>
      </c>
      <c r="F25" s="16" t="n">
        <v>46175</v>
      </c>
      <c r="G25" s="1" t="s">
        <v>133</v>
      </c>
      <c r="H25" s="1" t="n">
        <v>1196398</v>
      </c>
      <c r="I25" s="1" t="n">
        <v>1</v>
      </c>
      <c r="J25" s="1" t="s">
        <v>2127</v>
      </c>
      <c r="K25" s="63" t="n">
        <v>180</v>
      </c>
      <c r="N25" s="16" t="n">
        <v>46197</v>
      </c>
      <c r="O25" s="63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2129</v>
      </c>
      <c r="D26" s="1" t="s">
        <v>2143</v>
      </c>
      <c r="E26" s="16" t="n">
        <v>46176</v>
      </c>
      <c r="F26" s="16" t="n">
        <v>46174</v>
      </c>
      <c r="G26" s="1" t="s">
        <v>149</v>
      </c>
      <c r="H26" s="1" t="n">
        <v>1197238</v>
      </c>
      <c r="I26" s="1" t="n">
        <v>11</v>
      </c>
      <c r="J26" s="1" t="s">
        <v>2127</v>
      </c>
      <c r="K26" s="63" t="n">
        <v>1190.5</v>
      </c>
      <c r="N26" s="16" t="n">
        <v>46198</v>
      </c>
      <c r="O26" s="63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2129</v>
      </c>
      <c r="D27" s="1" t="s">
        <v>2144</v>
      </c>
      <c r="E27" s="16" t="n">
        <v>46176</v>
      </c>
      <c r="F27" s="16" t="n">
        <v>46175</v>
      </c>
      <c r="G27" s="1" t="s">
        <v>170</v>
      </c>
      <c r="H27" s="1" t="n">
        <v>1197273</v>
      </c>
      <c r="I27" s="1" t="n">
        <v>11</v>
      </c>
      <c r="J27" s="1" t="s">
        <v>2127</v>
      </c>
      <c r="K27" s="63" t="n">
        <v>2228.8</v>
      </c>
      <c r="N27" s="16" t="n">
        <v>46199</v>
      </c>
      <c r="O27" s="63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2129</v>
      </c>
      <c r="D28" s="1" t="s">
        <v>2130</v>
      </c>
      <c r="E28" s="16" t="n">
        <v>46176</v>
      </c>
      <c r="F28" s="16" t="n">
        <v>46176</v>
      </c>
      <c r="G28" s="1" t="s">
        <v>80</v>
      </c>
      <c r="H28" s="1" t="n">
        <v>1196715</v>
      </c>
      <c r="I28" s="1" t="n">
        <v>6</v>
      </c>
      <c r="J28" s="1" t="s">
        <v>2127</v>
      </c>
      <c r="K28" s="63" t="n">
        <v>135</v>
      </c>
      <c r="N28" s="16" t="n">
        <v>46200</v>
      </c>
      <c r="O28" s="63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2129</v>
      </c>
      <c r="D29" s="1" t="s">
        <v>2130</v>
      </c>
      <c r="E29" s="16" t="n">
        <v>46176</v>
      </c>
      <c r="F29" s="16" t="n">
        <v>46176</v>
      </c>
      <c r="G29" s="1" t="s">
        <v>80</v>
      </c>
      <c r="H29" s="1" t="n">
        <v>1196712</v>
      </c>
      <c r="I29" s="1" t="n">
        <v>2</v>
      </c>
      <c r="J29" s="1" t="s">
        <v>2127</v>
      </c>
      <c r="K29" s="63" t="n">
        <v>135</v>
      </c>
      <c r="N29" s="16" t="n">
        <v>46201</v>
      </c>
      <c r="O29" s="63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2138</v>
      </c>
      <c r="D30" s="1" t="s">
        <v>2145</v>
      </c>
      <c r="E30" s="16" t="n">
        <v>46176</v>
      </c>
      <c r="F30" s="16" t="n">
        <v>46174</v>
      </c>
      <c r="G30" s="1" t="s">
        <v>113</v>
      </c>
      <c r="H30" s="1" t="n">
        <v>1197291</v>
      </c>
      <c r="I30" s="1" t="n">
        <v>11</v>
      </c>
      <c r="J30" s="1" t="s">
        <v>2127</v>
      </c>
      <c r="K30" s="63" t="n">
        <v>916.62</v>
      </c>
      <c r="N30" s="16" t="n">
        <v>46202</v>
      </c>
      <c r="O30" s="63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2129</v>
      </c>
      <c r="D31" s="1" t="s">
        <v>2146</v>
      </c>
      <c r="E31" s="16" t="n">
        <v>46176</v>
      </c>
      <c r="F31" s="16" t="n">
        <v>46175</v>
      </c>
      <c r="G31" s="1" t="s">
        <v>120</v>
      </c>
      <c r="H31" s="1" t="n">
        <v>1197323</v>
      </c>
      <c r="I31" s="1" t="n">
        <v>1</v>
      </c>
      <c r="J31" s="1" t="s">
        <v>2127</v>
      </c>
      <c r="K31" s="63" t="n">
        <v>302</v>
      </c>
      <c r="N31" s="16" t="n">
        <v>46203</v>
      </c>
      <c r="O31" s="63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2129</v>
      </c>
      <c r="D32" s="1" t="s">
        <v>2147</v>
      </c>
      <c r="E32" s="16" t="n">
        <v>46176</v>
      </c>
      <c r="F32" s="16" t="n">
        <v>46175</v>
      </c>
      <c r="G32" s="1" t="s">
        <v>125</v>
      </c>
      <c r="H32" s="1" t="n">
        <v>1198164</v>
      </c>
      <c r="I32" s="1" t="n">
        <v>11</v>
      </c>
      <c r="J32" s="1" t="s">
        <v>2127</v>
      </c>
      <c r="K32" s="63" t="n">
        <v>510.86</v>
      </c>
      <c r="N32" s="16" t="n">
        <v>46204</v>
      </c>
      <c r="O32" s="63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2129</v>
      </c>
      <c r="D33" s="1" t="s">
        <v>2147</v>
      </c>
      <c r="E33" s="16" t="n">
        <v>46176</v>
      </c>
      <c r="F33" s="16" t="n">
        <v>46175</v>
      </c>
      <c r="G33" s="1" t="s">
        <v>125</v>
      </c>
      <c r="H33" s="1" t="n">
        <v>1198173</v>
      </c>
      <c r="I33" s="1" t="n">
        <v>11</v>
      </c>
      <c r="J33" s="1" t="s">
        <v>2127</v>
      </c>
      <c r="K33" s="63" t="n">
        <v>679.75</v>
      </c>
      <c r="N33" s="16" t="n">
        <v>46205</v>
      </c>
      <c r="O33" s="63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2129</v>
      </c>
      <c r="D34" s="1" t="s">
        <v>2148</v>
      </c>
      <c r="E34" s="16" t="n">
        <v>46178</v>
      </c>
      <c r="F34" s="16" t="n">
        <v>46178</v>
      </c>
      <c r="G34" s="1" t="s">
        <v>2149</v>
      </c>
      <c r="H34" s="1" t="n">
        <v>1210771</v>
      </c>
      <c r="I34" s="1" t="n">
        <v>1</v>
      </c>
      <c r="J34" s="1" t="s">
        <v>2127</v>
      </c>
      <c r="K34" s="63" t="n">
        <v>768</v>
      </c>
      <c r="N34" s="16" t="n">
        <v>46206</v>
      </c>
      <c r="O34" s="63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2134</v>
      </c>
      <c r="D35" s="1" t="s">
        <v>2150</v>
      </c>
      <c r="E35" s="16" t="n">
        <v>46178</v>
      </c>
      <c r="F35" s="16" t="n">
        <v>46176</v>
      </c>
      <c r="G35" s="1" t="s">
        <v>179</v>
      </c>
      <c r="H35" s="1" t="n">
        <v>1206858</v>
      </c>
      <c r="I35" s="1" t="n">
        <v>11</v>
      </c>
      <c r="J35" s="1" t="s">
        <v>2127</v>
      </c>
      <c r="K35" s="63" t="n">
        <v>196.02</v>
      </c>
      <c r="N35" s="16" t="n">
        <v>46207</v>
      </c>
      <c r="O35" s="63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2129</v>
      </c>
      <c r="D36" s="1" t="s">
        <v>2151</v>
      </c>
      <c r="E36" s="16" t="n">
        <v>46178</v>
      </c>
      <c r="F36" s="16" t="n">
        <v>46176</v>
      </c>
      <c r="G36" s="1" t="s">
        <v>274</v>
      </c>
      <c r="H36" s="1" t="n">
        <v>1206419</v>
      </c>
      <c r="I36" s="1" t="n">
        <v>1</v>
      </c>
      <c r="J36" s="1" t="s">
        <v>2127</v>
      </c>
      <c r="K36" s="63" t="n">
        <v>590.66</v>
      </c>
      <c r="N36" s="16" t="n">
        <v>46208</v>
      </c>
      <c r="O36" s="63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2129</v>
      </c>
      <c r="D37" s="1" t="s">
        <v>2136</v>
      </c>
      <c r="E37" s="16" t="n">
        <v>46178</v>
      </c>
      <c r="F37" s="16" t="n">
        <v>46176</v>
      </c>
      <c r="G37" s="1" t="s">
        <v>76</v>
      </c>
      <c r="H37" s="1" t="n">
        <v>1206673</v>
      </c>
      <c r="I37" s="1" t="n">
        <v>11</v>
      </c>
      <c r="J37" s="1" t="s">
        <v>2127</v>
      </c>
      <c r="K37" s="63" t="n">
        <v>3170</v>
      </c>
      <c r="N37" s="16" t="n">
        <v>46209</v>
      </c>
      <c r="O37" s="63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2129</v>
      </c>
      <c r="D38" s="1" t="s">
        <v>2136</v>
      </c>
      <c r="E38" s="16" t="n">
        <v>46178</v>
      </c>
      <c r="F38" s="16" t="n">
        <v>46177</v>
      </c>
      <c r="G38" s="1" t="s">
        <v>76</v>
      </c>
      <c r="H38" s="1" t="n">
        <v>1206728</v>
      </c>
      <c r="I38" s="1" t="n">
        <v>11</v>
      </c>
      <c r="J38" s="1" t="s">
        <v>2127</v>
      </c>
      <c r="K38" s="63" t="n">
        <v>1348.2</v>
      </c>
      <c r="N38" s="16" t="n">
        <v>46210</v>
      </c>
      <c r="O38" s="63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2129</v>
      </c>
      <c r="D39" s="1" t="s">
        <v>2136</v>
      </c>
      <c r="E39" s="16" t="n">
        <v>46178</v>
      </c>
      <c r="F39" s="16" t="n">
        <v>46178</v>
      </c>
      <c r="G39" s="1" t="s">
        <v>76</v>
      </c>
      <c r="H39" s="1" t="n">
        <v>1206603</v>
      </c>
      <c r="I39" s="1" t="n">
        <v>11</v>
      </c>
      <c r="J39" s="1" t="s">
        <v>2127</v>
      </c>
      <c r="K39" s="63" t="n">
        <v>2872.8</v>
      </c>
      <c r="N39" s="16" t="n">
        <v>46211</v>
      </c>
      <c r="O39" s="63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2129</v>
      </c>
      <c r="D40" s="1" t="s">
        <v>2152</v>
      </c>
      <c r="E40" s="16" t="n">
        <v>46178</v>
      </c>
      <c r="F40" s="16" t="n">
        <v>46176</v>
      </c>
      <c r="G40" s="1" t="s">
        <v>41</v>
      </c>
      <c r="H40" s="1" t="n">
        <v>1205968</v>
      </c>
      <c r="I40" s="1" t="n">
        <v>11</v>
      </c>
      <c r="J40" s="1" t="s">
        <v>2127</v>
      </c>
      <c r="K40" s="63" t="n">
        <v>2136.33</v>
      </c>
      <c r="N40" s="16" t="n">
        <v>46212</v>
      </c>
      <c r="O40" s="63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2129</v>
      </c>
      <c r="D41" s="1" t="s">
        <v>2153</v>
      </c>
      <c r="E41" s="16" t="n">
        <v>46178</v>
      </c>
      <c r="F41" s="16" t="n">
        <v>46176</v>
      </c>
      <c r="G41" s="1" t="s">
        <v>825</v>
      </c>
      <c r="H41" s="1" t="n">
        <v>1205923</v>
      </c>
      <c r="I41" s="1" t="n">
        <v>39</v>
      </c>
      <c r="J41" s="1" t="s">
        <v>2127</v>
      </c>
      <c r="K41" s="63" t="n">
        <v>333</v>
      </c>
      <c r="N41" s="16" t="n">
        <v>46213</v>
      </c>
      <c r="O41" s="63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2129</v>
      </c>
      <c r="D42" s="1" t="s">
        <v>2154</v>
      </c>
      <c r="E42" s="16" t="n">
        <v>46178</v>
      </c>
      <c r="F42" s="16" t="n">
        <v>46176</v>
      </c>
      <c r="G42" s="1" t="s">
        <v>362</v>
      </c>
      <c r="H42" s="1" t="n">
        <v>1206862</v>
      </c>
      <c r="I42" s="1" t="n">
        <v>11</v>
      </c>
      <c r="J42" s="1" t="s">
        <v>2127</v>
      </c>
      <c r="K42" s="63" t="n">
        <v>2267.72</v>
      </c>
      <c r="N42" s="16" t="n">
        <v>46214</v>
      </c>
      <c r="O42" s="63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2129</v>
      </c>
      <c r="D43" s="1" t="s">
        <v>2144</v>
      </c>
      <c r="E43" s="16" t="n">
        <v>46178</v>
      </c>
      <c r="F43" s="16" t="n">
        <v>46176</v>
      </c>
      <c r="G43" s="1" t="s">
        <v>170</v>
      </c>
      <c r="H43" s="1" t="n">
        <v>1205942</v>
      </c>
      <c r="I43" s="1" t="n">
        <v>11</v>
      </c>
      <c r="J43" s="1" t="s">
        <v>2127</v>
      </c>
      <c r="K43" s="63" t="n">
        <v>287.05</v>
      </c>
      <c r="N43" s="16" t="n">
        <v>46215</v>
      </c>
      <c r="O43" s="63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2129</v>
      </c>
      <c r="D44" s="1" t="s">
        <v>2130</v>
      </c>
      <c r="E44" s="16" t="n">
        <v>46178</v>
      </c>
      <c r="F44" s="16" t="n">
        <v>46178</v>
      </c>
      <c r="G44" s="1" t="s">
        <v>80</v>
      </c>
      <c r="H44" s="1" t="n">
        <v>1206433</v>
      </c>
      <c r="I44" s="1" t="n">
        <v>6</v>
      </c>
      <c r="J44" s="1" t="s">
        <v>2127</v>
      </c>
      <c r="K44" s="63" t="n">
        <v>140</v>
      </c>
      <c r="N44" s="16" t="n">
        <v>46216</v>
      </c>
      <c r="O44" s="63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2129</v>
      </c>
      <c r="D45" s="1" t="s">
        <v>2130</v>
      </c>
      <c r="E45" s="16" t="n">
        <v>46178</v>
      </c>
      <c r="F45" s="16" t="n">
        <v>46178</v>
      </c>
      <c r="G45" s="1" t="s">
        <v>80</v>
      </c>
      <c r="H45" s="1" t="n">
        <v>1206443</v>
      </c>
      <c r="I45" s="1" t="n">
        <v>6</v>
      </c>
      <c r="J45" s="1" t="s">
        <v>2127</v>
      </c>
      <c r="K45" s="63" t="n">
        <v>260</v>
      </c>
      <c r="N45" s="16" t="n">
        <v>46217</v>
      </c>
      <c r="O45" s="63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2129</v>
      </c>
      <c r="D46" s="1" t="s">
        <v>2130</v>
      </c>
      <c r="E46" s="16" t="n">
        <v>46178</v>
      </c>
      <c r="F46" s="16" t="n">
        <v>46178</v>
      </c>
      <c r="G46" s="1" t="s">
        <v>80</v>
      </c>
      <c r="H46" s="1" t="n">
        <v>1206514</v>
      </c>
      <c r="I46" s="1" t="n">
        <v>6</v>
      </c>
      <c r="J46" s="1" t="s">
        <v>2127</v>
      </c>
      <c r="K46" s="63" t="n">
        <v>165</v>
      </c>
      <c r="N46" s="16" t="n">
        <v>46218</v>
      </c>
      <c r="O46" s="63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2129</v>
      </c>
      <c r="D47" s="1" t="s">
        <v>2130</v>
      </c>
      <c r="E47" s="16" t="n">
        <v>46178</v>
      </c>
      <c r="F47" s="16" t="n">
        <v>46178</v>
      </c>
      <c r="G47" s="1" t="s">
        <v>80</v>
      </c>
      <c r="H47" s="1" t="n">
        <v>1207166</v>
      </c>
      <c r="I47" s="1" t="n">
        <v>6</v>
      </c>
      <c r="J47" s="1" t="s">
        <v>2127</v>
      </c>
      <c r="K47" s="63" t="n">
        <v>120</v>
      </c>
      <c r="N47" s="16" t="n">
        <v>46219</v>
      </c>
      <c r="O47" s="63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2129</v>
      </c>
      <c r="D48" s="1" t="s">
        <v>2130</v>
      </c>
      <c r="E48" s="16" t="n">
        <v>46178</v>
      </c>
      <c r="F48" s="16" t="n">
        <v>46178</v>
      </c>
      <c r="G48" s="1" t="s">
        <v>80</v>
      </c>
      <c r="H48" s="1" t="n">
        <v>1207195</v>
      </c>
      <c r="I48" s="1" t="n">
        <v>6</v>
      </c>
      <c r="J48" s="1" t="s">
        <v>2127</v>
      </c>
      <c r="K48" s="63" t="n">
        <v>120</v>
      </c>
      <c r="N48" s="16" t="n">
        <v>46220</v>
      </c>
      <c r="O48" s="63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2129</v>
      </c>
      <c r="D49" s="1" t="s">
        <v>2130</v>
      </c>
      <c r="E49" s="16" t="n">
        <v>46178</v>
      </c>
      <c r="F49" s="16" t="n">
        <v>46178</v>
      </c>
      <c r="G49" s="1" t="s">
        <v>80</v>
      </c>
      <c r="H49" s="1" t="n">
        <v>1207833</v>
      </c>
      <c r="I49" s="1" t="n">
        <v>6</v>
      </c>
      <c r="J49" s="1" t="s">
        <v>2127</v>
      </c>
      <c r="K49" s="63" t="n">
        <v>1772</v>
      </c>
      <c r="N49" s="16" t="n">
        <v>46221</v>
      </c>
      <c r="O49" s="63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2129</v>
      </c>
      <c r="D50" s="1" t="s">
        <v>2130</v>
      </c>
      <c r="E50" s="16" t="n">
        <v>46178</v>
      </c>
      <c r="F50" s="16" t="n">
        <v>46178</v>
      </c>
      <c r="G50" s="1" t="s">
        <v>80</v>
      </c>
      <c r="H50" s="1" t="n">
        <v>1206429</v>
      </c>
      <c r="I50" s="1" t="n">
        <v>2</v>
      </c>
      <c r="J50" s="1" t="s">
        <v>2127</v>
      </c>
      <c r="K50" s="63" t="n">
        <v>140</v>
      </c>
      <c r="N50" s="16" t="n">
        <v>46222</v>
      </c>
      <c r="O50" s="63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2129</v>
      </c>
      <c r="D51" s="1" t="s">
        <v>2130</v>
      </c>
      <c r="E51" s="16" t="n">
        <v>46178</v>
      </c>
      <c r="F51" s="16" t="n">
        <v>46178</v>
      </c>
      <c r="G51" s="1" t="s">
        <v>80</v>
      </c>
      <c r="H51" s="1" t="n">
        <v>1206439</v>
      </c>
      <c r="I51" s="1" t="n">
        <v>2</v>
      </c>
      <c r="J51" s="1" t="s">
        <v>2127</v>
      </c>
      <c r="K51" s="63" t="n">
        <v>260</v>
      </c>
      <c r="N51" s="16" t="n">
        <v>46223</v>
      </c>
      <c r="O51" s="63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2129</v>
      </c>
      <c r="D52" s="1" t="s">
        <v>2130</v>
      </c>
      <c r="E52" s="16" t="n">
        <v>46178</v>
      </c>
      <c r="F52" s="16" t="n">
        <v>46178</v>
      </c>
      <c r="G52" s="1" t="s">
        <v>80</v>
      </c>
      <c r="H52" s="1" t="n">
        <v>1206499</v>
      </c>
      <c r="I52" s="1" t="n">
        <v>2</v>
      </c>
      <c r="J52" s="1" t="s">
        <v>2127</v>
      </c>
      <c r="K52" s="63" t="n">
        <v>165</v>
      </c>
      <c r="N52" s="16" t="n">
        <v>46224</v>
      </c>
      <c r="O52" s="63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2129</v>
      </c>
      <c r="D53" s="1" t="s">
        <v>2130</v>
      </c>
      <c r="E53" s="16" t="n">
        <v>46178</v>
      </c>
      <c r="F53" s="16" t="n">
        <v>46178</v>
      </c>
      <c r="G53" s="1" t="s">
        <v>80</v>
      </c>
      <c r="H53" s="1" t="n">
        <v>1207160</v>
      </c>
      <c r="I53" s="1" t="n">
        <v>2</v>
      </c>
      <c r="J53" s="1" t="s">
        <v>2127</v>
      </c>
      <c r="K53" s="63" t="n">
        <v>120</v>
      </c>
      <c r="N53" s="16" t="n">
        <v>46225</v>
      </c>
      <c r="O53" s="63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2129</v>
      </c>
      <c r="D54" s="1" t="s">
        <v>2130</v>
      </c>
      <c r="E54" s="16" t="n">
        <v>46178</v>
      </c>
      <c r="F54" s="16" t="n">
        <v>46178</v>
      </c>
      <c r="G54" s="1" t="s">
        <v>80</v>
      </c>
      <c r="H54" s="1" t="n">
        <v>1207187</v>
      </c>
      <c r="I54" s="1" t="n">
        <v>2</v>
      </c>
      <c r="J54" s="1" t="s">
        <v>2127</v>
      </c>
      <c r="K54" s="63" t="n">
        <v>120</v>
      </c>
      <c r="N54" s="16" t="n">
        <v>46226</v>
      </c>
      <c r="O54" s="63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2129</v>
      </c>
      <c r="D55" s="1" t="s">
        <v>2130</v>
      </c>
      <c r="E55" s="16" t="n">
        <v>46178</v>
      </c>
      <c r="F55" s="16" t="n">
        <v>46178</v>
      </c>
      <c r="G55" s="1" t="s">
        <v>80</v>
      </c>
      <c r="H55" s="1" t="n">
        <v>1207824</v>
      </c>
      <c r="I55" s="1" t="n">
        <v>2</v>
      </c>
      <c r="J55" s="1" t="s">
        <v>2127</v>
      </c>
      <c r="K55" s="63" t="n">
        <v>1772</v>
      </c>
      <c r="N55" s="16" t="n">
        <v>46227</v>
      </c>
      <c r="O55" s="63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2129</v>
      </c>
      <c r="D56" s="1" t="s">
        <v>2155</v>
      </c>
      <c r="E56" s="16" t="n">
        <v>46178</v>
      </c>
      <c r="F56" s="16" t="n">
        <v>46178</v>
      </c>
      <c r="G56" s="1" t="s">
        <v>404</v>
      </c>
      <c r="H56" s="1" t="n">
        <v>1208159</v>
      </c>
      <c r="I56" s="1" t="n">
        <v>1</v>
      </c>
      <c r="J56" s="1" t="s">
        <v>2127</v>
      </c>
      <c r="K56" s="63" t="n">
        <v>694</v>
      </c>
      <c r="N56" s="16" t="n">
        <v>46228</v>
      </c>
      <c r="O56" s="63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2129</v>
      </c>
      <c r="D57" s="1" t="s">
        <v>2156</v>
      </c>
      <c r="E57" s="16" t="n">
        <v>46178</v>
      </c>
      <c r="F57" s="16" t="n">
        <v>46178</v>
      </c>
      <c r="G57" s="1" t="s">
        <v>198</v>
      </c>
      <c r="H57" s="1" t="n">
        <v>1206796</v>
      </c>
      <c r="I57" s="1" t="n">
        <v>1</v>
      </c>
      <c r="J57" s="1" t="s">
        <v>2127</v>
      </c>
      <c r="K57" s="63" t="n">
        <v>228</v>
      </c>
      <c r="N57" s="16" t="n">
        <v>46229</v>
      </c>
      <c r="O57" s="63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2129</v>
      </c>
      <c r="D58" s="1" t="s">
        <v>2131</v>
      </c>
      <c r="E58" s="16" t="n">
        <v>46179</v>
      </c>
      <c r="F58" s="16" t="n">
        <v>46179</v>
      </c>
      <c r="G58" s="1" t="s">
        <v>112</v>
      </c>
      <c r="H58" s="1" t="n">
        <v>1225968</v>
      </c>
      <c r="I58" s="1" t="n">
        <v>1</v>
      </c>
      <c r="J58" s="1" t="s">
        <v>2127</v>
      </c>
      <c r="K58" s="63" t="n">
        <v>270</v>
      </c>
      <c r="N58" s="16" t="n">
        <v>46230</v>
      </c>
      <c r="O58" s="63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2157</v>
      </c>
      <c r="D59" s="1" t="s">
        <v>2158</v>
      </c>
      <c r="E59" s="16" t="n">
        <v>46179</v>
      </c>
      <c r="F59" s="16" t="n">
        <v>46177</v>
      </c>
      <c r="G59" s="1" t="s">
        <v>306</v>
      </c>
      <c r="H59" s="1" t="n">
        <v>1210714</v>
      </c>
      <c r="I59" s="1" t="n">
        <v>1</v>
      </c>
      <c r="J59" s="1" t="s">
        <v>2127</v>
      </c>
      <c r="K59" s="63" t="n">
        <v>3845.86</v>
      </c>
      <c r="N59" s="16" t="n">
        <v>46231</v>
      </c>
      <c r="O59" s="63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2134</v>
      </c>
      <c r="D60" s="1" t="s">
        <v>2159</v>
      </c>
      <c r="E60" s="16" t="n">
        <v>46179</v>
      </c>
      <c r="F60" s="16" t="n">
        <v>46178</v>
      </c>
      <c r="G60" s="1" t="s">
        <v>541</v>
      </c>
      <c r="H60" s="1" t="n">
        <v>1210762</v>
      </c>
      <c r="I60" s="1" t="n">
        <v>39</v>
      </c>
      <c r="J60" s="1" t="s">
        <v>2127</v>
      </c>
      <c r="K60" s="63" t="n">
        <v>1387.2</v>
      </c>
      <c r="N60" s="16" t="n">
        <v>46232</v>
      </c>
      <c r="O60" s="63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2160</v>
      </c>
      <c r="D61" s="1" t="s">
        <v>2161</v>
      </c>
      <c r="E61" s="16" t="n">
        <v>46179</v>
      </c>
      <c r="F61" s="16" t="n">
        <v>46176</v>
      </c>
      <c r="G61" s="1" t="s">
        <v>218</v>
      </c>
      <c r="H61" s="1" t="n">
        <v>1210675</v>
      </c>
      <c r="I61" s="1" t="n">
        <v>1</v>
      </c>
      <c r="J61" s="1" t="s">
        <v>2127</v>
      </c>
      <c r="K61" s="63" t="n">
        <v>1860</v>
      </c>
      <c r="N61" s="16" t="n">
        <v>46233</v>
      </c>
      <c r="O61" s="63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2129</v>
      </c>
      <c r="D62" s="1" t="s">
        <v>2162</v>
      </c>
      <c r="E62" s="16" t="n">
        <v>46179</v>
      </c>
      <c r="F62" s="16" t="n">
        <v>46179</v>
      </c>
      <c r="G62" s="1" t="s">
        <v>264</v>
      </c>
      <c r="H62" s="1" t="n">
        <v>1210641</v>
      </c>
      <c r="I62" s="1" t="n">
        <v>11</v>
      </c>
      <c r="J62" s="1" t="s">
        <v>2127</v>
      </c>
      <c r="K62" s="63" t="n">
        <v>1050</v>
      </c>
      <c r="N62" s="16" t="n">
        <v>46234</v>
      </c>
      <c r="O62" s="63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2129</v>
      </c>
      <c r="D63" s="1" t="s">
        <v>2163</v>
      </c>
      <c r="E63" s="16" t="n">
        <v>46179</v>
      </c>
      <c r="F63" s="16" t="n">
        <v>46177</v>
      </c>
      <c r="G63" s="1" t="s">
        <v>2164</v>
      </c>
      <c r="H63" s="1" t="n">
        <v>1210603</v>
      </c>
      <c r="I63" s="1" t="n">
        <v>1</v>
      </c>
      <c r="J63" s="1" t="s">
        <v>2127</v>
      </c>
      <c r="K63" s="63" t="n">
        <v>707.65</v>
      </c>
      <c r="N63" s="16" t="n">
        <v>46235</v>
      </c>
      <c r="O63" s="63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2129</v>
      </c>
      <c r="D64" s="1" t="s">
        <v>2130</v>
      </c>
      <c r="E64" s="16" t="n">
        <v>46179</v>
      </c>
      <c r="F64" s="16" t="n">
        <v>46179</v>
      </c>
      <c r="G64" s="1" t="s">
        <v>80</v>
      </c>
      <c r="H64" s="1" t="n">
        <v>1211229</v>
      </c>
      <c r="I64" s="1" t="n">
        <v>6</v>
      </c>
      <c r="J64" s="1" t="s">
        <v>2127</v>
      </c>
      <c r="K64" s="63" t="n">
        <v>311</v>
      </c>
      <c r="N64" s="16" t="n">
        <v>46236</v>
      </c>
      <c r="O64" s="63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2129</v>
      </c>
      <c r="D65" s="1" t="s">
        <v>2130</v>
      </c>
      <c r="E65" s="16" t="n">
        <v>46179</v>
      </c>
      <c r="F65" s="16" t="n">
        <v>46179</v>
      </c>
      <c r="G65" s="1" t="s">
        <v>80</v>
      </c>
      <c r="H65" s="1" t="n">
        <v>1211683</v>
      </c>
      <c r="I65" s="1" t="n">
        <v>6</v>
      </c>
      <c r="J65" s="1" t="s">
        <v>2127</v>
      </c>
      <c r="K65" s="63" t="n">
        <v>240</v>
      </c>
      <c r="N65" s="16" t="n">
        <v>46237</v>
      </c>
      <c r="O65" s="63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2129</v>
      </c>
      <c r="D66" s="1" t="s">
        <v>2130</v>
      </c>
      <c r="E66" s="16" t="n">
        <v>46179</v>
      </c>
      <c r="F66" s="16" t="n">
        <v>46179</v>
      </c>
      <c r="G66" s="1" t="s">
        <v>80</v>
      </c>
      <c r="H66" s="1" t="n">
        <v>1211677</v>
      </c>
      <c r="I66" s="1" t="n">
        <v>2</v>
      </c>
      <c r="J66" s="1" t="s">
        <v>2127</v>
      </c>
      <c r="K66" s="63" t="n">
        <v>240</v>
      </c>
      <c r="N66" s="16" t="n">
        <v>46238</v>
      </c>
      <c r="O66" s="63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2129</v>
      </c>
      <c r="D67" s="1" t="s">
        <v>2130</v>
      </c>
      <c r="E67" s="16" t="n">
        <v>46179</v>
      </c>
      <c r="F67" s="16" t="n">
        <v>46179</v>
      </c>
      <c r="G67" s="1" t="s">
        <v>80</v>
      </c>
      <c r="H67" s="1" t="n">
        <v>1211221</v>
      </c>
      <c r="I67" s="1" t="n">
        <v>2</v>
      </c>
      <c r="J67" s="1" t="s">
        <v>2127</v>
      </c>
      <c r="K67" s="63" t="n">
        <v>311</v>
      </c>
      <c r="N67" s="16" t="n">
        <v>46239</v>
      </c>
      <c r="O67" s="63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2129</v>
      </c>
      <c r="D68" s="1" t="s">
        <v>2146</v>
      </c>
      <c r="E68" s="16" t="n">
        <v>46179</v>
      </c>
      <c r="F68" s="16" t="n">
        <v>46178</v>
      </c>
      <c r="G68" s="1" t="s">
        <v>120</v>
      </c>
      <c r="H68" s="1" t="n">
        <v>1210555</v>
      </c>
      <c r="I68" s="1" t="n">
        <v>1</v>
      </c>
      <c r="J68" s="1" t="s">
        <v>2127</v>
      </c>
      <c r="K68" s="63" t="n">
        <v>300.5</v>
      </c>
      <c r="N68" s="16" t="n">
        <v>46240</v>
      </c>
      <c r="O68" s="63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2129</v>
      </c>
      <c r="D69" s="1" t="s">
        <v>2165</v>
      </c>
      <c r="E69" s="16" t="n">
        <v>46181</v>
      </c>
      <c r="F69" s="16" t="n">
        <v>46178</v>
      </c>
      <c r="G69" s="1" t="s">
        <v>135</v>
      </c>
      <c r="H69" s="1" t="n">
        <v>1221263</v>
      </c>
      <c r="I69" s="1" t="n">
        <v>1</v>
      </c>
      <c r="J69" s="1" t="s">
        <v>2127</v>
      </c>
      <c r="K69" s="63" t="n">
        <v>240</v>
      </c>
      <c r="N69" s="16" t="n">
        <v>46241</v>
      </c>
      <c r="O69" s="63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2129</v>
      </c>
      <c r="D70" s="1" t="s">
        <v>2166</v>
      </c>
      <c r="E70" s="16" t="n">
        <v>46181</v>
      </c>
      <c r="F70" s="16" t="n">
        <v>46178</v>
      </c>
      <c r="G70" s="1" t="s">
        <v>295</v>
      </c>
      <c r="H70" s="1" t="n">
        <v>1223135</v>
      </c>
      <c r="I70" s="1" t="n">
        <v>1</v>
      </c>
      <c r="J70" s="1" t="s">
        <v>2127</v>
      </c>
      <c r="K70" s="63" t="n">
        <v>863.1</v>
      </c>
      <c r="N70" s="16" t="n">
        <v>46242</v>
      </c>
      <c r="O70" s="63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2129</v>
      </c>
      <c r="D71" s="1" t="s">
        <v>2136</v>
      </c>
      <c r="E71" s="16" t="n">
        <v>46181</v>
      </c>
      <c r="F71" s="16" t="n">
        <v>46179</v>
      </c>
      <c r="G71" s="1" t="s">
        <v>76</v>
      </c>
      <c r="H71" s="1" t="n">
        <v>1223288</v>
      </c>
      <c r="I71" s="1" t="n">
        <v>11</v>
      </c>
      <c r="J71" s="1" t="s">
        <v>2127</v>
      </c>
      <c r="K71" s="63" t="n">
        <v>8627.3</v>
      </c>
      <c r="N71" s="16" t="n">
        <v>46243</v>
      </c>
      <c r="O71" s="63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2129</v>
      </c>
      <c r="D72" s="1" t="s">
        <v>2132</v>
      </c>
      <c r="E72" s="16" t="n">
        <v>46181</v>
      </c>
      <c r="F72" s="16" t="n">
        <v>46178</v>
      </c>
      <c r="G72" s="1" t="s">
        <v>130</v>
      </c>
      <c r="H72" s="1" t="n">
        <v>1223119</v>
      </c>
      <c r="I72" s="1" t="n">
        <v>1</v>
      </c>
      <c r="J72" s="1" t="s">
        <v>2127</v>
      </c>
      <c r="K72" s="63" t="n">
        <v>450</v>
      </c>
      <c r="N72" s="16" t="n">
        <v>46244</v>
      </c>
      <c r="O72" s="63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2129</v>
      </c>
      <c r="D73" s="1" t="s">
        <v>2137</v>
      </c>
      <c r="E73" s="16" t="n">
        <v>46181</v>
      </c>
      <c r="F73" s="16" t="n">
        <v>46170</v>
      </c>
      <c r="G73" s="1" t="s">
        <v>408</v>
      </c>
      <c r="H73" s="1" t="n">
        <v>1221506</v>
      </c>
      <c r="I73" s="1" t="n">
        <v>11</v>
      </c>
      <c r="J73" s="1" t="s">
        <v>2127</v>
      </c>
      <c r="K73" s="63" t="n">
        <v>1943.5</v>
      </c>
      <c r="N73" s="16" t="n">
        <v>46245</v>
      </c>
      <c r="O73" s="63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2129</v>
      </c>
      <c r="D74" s="1" t="s">
        <v>2152</v>
      </c>
      <c r="E74" s="16" t="n">
        <v>46181</v>
      </c>
      <c r="F74" s="16" t="n">
        <v>46178</v>
      </c>
      <c r="G74" s="1" t="s">
        <v>41</v>
      </c>
      <c r="H74" s="1" t="n">
        <v>1222223</v>
      </c>
      <c r="I74" s="1" t="n">
        <v>11</v>
      </c>
      <c r="J74" s="1" t="s">
        <v>2127</v>
      </c>
      <c r="K74" s="63" t="n">
        <v>3405.71</v>
      </c>
      <c r="N74" s="16" t="n">
        <v>46246</v>
      </c>
      <c r="O74" s="63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2129</v>
      </c>
      <c r="D75" s="1" t="s">
        <v>2167</v>
      </c>
      <c r="E75" s="16" t="n">
        <v>46181</v>
      </c>
      <c r="F75" s="16" t="n">
        <v>46178</v>
      </c>
      <c r="G75" s="1" t="s">
        <v>351</v>
      </c>
      <c r="H75" s="1" t="n">
        <v>1221271</v>
      </c>
      <c r="I75" s="1" t="n">
        <v>1</v>
      </c>
      <c r="J75" s="1" t="s">
        <v>2127</v>
      </c>
      <c r="K75" s="63" t="n">
        <v>198.5</v>
      </c>
      <c r="N75" s="16" t="n">
        <v>46247</v>
      </c>
      <c r="O75" s="63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2129</v>
      </c>
      <c r="D76" s="1" t="s">
        <v>2141</v>
      </c>
      <c r="E76" s="16" t="n">
        <v>46181</v>
      </c>
      <c r="F76" s="16" t="n">
        <v>46178</v>
      </c>
      <c r="G76" s="1" t="s">
        <v>53</v>
      </c>
      <c r="H76" s="1" t="n">
        <v>1223047</v>
      </c>
      <c r="I76" s="1" t="n">
        <v>11</v>
      </c>
      <c r="J76" s="1" t="s">
        <v>2127</v>
      </c>
      <c r="K76" s="63" t="n">
        <v>2118.6</v>
      </c>
      <c r="N76" s="16" t="n">
        <v>46248</v>
      </c>
      <c r="O76" s="63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2129</v>
      </c>
      <c r="D77" s="1" t="s">
        <v>2168</v>
      </c>
      <c r="E77" s="16" t="n">
        <v>46181</v>
      </c>
      <c r="F77" s="16" t="n">
        <v>46179</v>
      </c>
      <c r="G77" s="1" t="s">
        <v>417</v>
      </c>
      <c r="H77" s="1" t="n">
        <v>1223041</v>
      </c>
      <c r="I77" s="1" t="n">
        <v>1</v>
      </c>
      <c r="J77" s="1" t="s">
        <v>2127</v>
      </c>
      <c r="K77" s="63" t="n">
        <v>210</v>
      </c>
      <c r="N77" s="16" t="n">
        <v>46249</v>
      </c>
      <c r="O77" s="63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2134</v>
      </c>
      <c r="D78" s="1" t="s">
        <v>2142</v>
      </c>
      <c r="E78" s="16" t="n">
        <v>46181</v>
      </c>
      <c r="F78" s="16" t="n">
        <v>46179</v>
      </c>
      <c r="G78" s="1" t="s">
        <v>133</v>
      </c>
      <c r="H78" s="1" t="n">
        <v>1221211</v>
      </c>
      <c r="I78" s="1" t="n">
        <v>1</v>
      </c>
      <c r="J78" s="1" t="s">
        <v>2127</v>
      </c>
      <c r="K78" s="63" t="n">
        <v>240</v>
      </c>
      <c r="N78" s="16" t="n">
        <v>46250</v>
      </c>
      <c r="O78" s="63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2129</v>
      </c>
      <c r="D79" s="1" t="s">
        <v>2143</v>
      </c>
      <c r="E79" s="16" t="n">
        <v>46181</v>
      </c>
      <c r="F79" s="16" t="n">
        <v>46178</v>
      </c>
      <c r="G79" s="1" t="s">
        <v>149</v>
      </c>
      <c r="H79" s="1" t="n">
        <v>1221544</v>
      </c>
      <c r="I79" s="1" t="n">
        <v>11</v>
      </c>
      <c r="J79" s="1" t="s">
        <v>2127</v>
      </c>
      <c r="K79" s="63" t="n">
        <v>1261.5</v>
      </c>
      <c r="N79" s="16" t="n">
        <v>46251</v>
      </c>
      <c r="O79" s="63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2138</v>
      </c>
      <c r="D80" s="1" t="s">
        <v>2169</v>
      </c>
      <c r="E80" s="16" t="n">
        <v>46181</v>
      </c>
      <c r="F80" s="16" t="n">
        <v>46179</v>
      </c>
      <c r="G80" s="1" t="s">
        <v>301</v>
      </c>
      <c r="H80" s="1" t="n">
        <v>1223074</v>
      </c>
      <c r="I80" s="1" t="n">
        <v>11</v>
      </c>
      <c r="J80" s="1" t="s">
        <v>2127</v>
      </c>
      <c r="K80" s="63" t="n">
        <v>1189.5</v>
      </c>
      <c r="N80" s="16" t="n">
        <v>46252</v>
      </c>
      <c r="O80" s="63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2129</v>
      </c>
      <c r="D81" s="1" t="s">
        <v>2170</v>
      </c>
      <c r="E81" s="16" t="n">
        <v>46181</v>
      </c>
      <c r="F81" s="16" t="n">
        <v>46172</v>
      </c>
      <c r="G81" s="1" t="s">
        <v>373</v>
      </c>
      <c r="H81" s="1" t="n">
        <v>1222140</v>
      </c>
      <c r="I81" s="1" t="n">
        <v>11</v>
      </c>
      <c r="J81" s="1" t="s">
        <v>2127</v>
      </c>
      <c r="K81" s="63" t="n">
        <v>668.05</v>
      </c>
      <c r="N81" s="16" t="n">
        <v>46253</v>
      </c>
      <c r="O81" s="63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2129</v>
      </c>
      <c r="D82" s="1" t="s">
        <v>2170</v>
      </c>
      <c r="E82" s="16" t="n">
        <v>46181</v>
      </c>
      <c r="F82" s="16" t="n">
        <v>46172</v>
      </c>
      <c r="G82" s="1" t="s">
        <v>373</v>
      </c>
      <c r="H82" s="1" t="n">
        <v>1222029</v>
      </c>
      <c r="I82" s="1" t="n">
        <v>11</v>
      </c>
      <c r="J82" s="1" t="s">
        <v>2127</v>
      </c>
      <c r="K82" s="63" t="n">
        <v>547.22</v>
      </c>
      <c r="N82" s="16" t="n">
        <v>46254</v>
      </c>
      <c r="O82" s="63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2129</v>
      </c>
      <c r="D83" s="1" t="s">
        <v>2170</v>
      </c>
      <c r="E83" s="16" t="n">
        <v>46181</v>
      </c>
      <c r="F83" s="16" t="n">
        <v>46172</v>
      </c>
      <c r="G83" s="1" t="s">
        <v>373</v>
      </c>
      <c r="H83" s="1" t="n">
        <v>1222207</v>
      </c>
      <c r="I83" s="1" t="n">
        <v>11</v>
      </c>
      <c r="J83" s="1" t="s">
        <v>2127</v>
      </c>
      <c r="K83" s="63" t="n">
        <v>554.53</v>
      </c>
      <c r="N83" s="16" t="n">
        <v>46255</v>
      </c>
      <c r="O83" s="63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2129</v>
      </c>
      <c r="D84" s="1" t="s">
        <v>2170</v>
      </c>
      <c r="E84" s="16" t="n">
        <v>46181</v>
      </c>
      <c r="F84" s="16" t="n">
        <v>46172</v>
      </c>
      <c r="G84" s="1" t="s">
        <v>373</v>
      </c>
      <c r="H84" s="1" t="n">
        <v>1222065</v>
      </c>
      <c r="I84" s="1" t="n">
        <v>11</v>
      </c>
      <c r="J84" s="1" t="s">
        <v>2127</v>
      </c>
      <c r="K84" s="63" t="n">
        <v>220.73</v>
      </c>
      <c r="N84" s="16" t="n">
        <v>46256</v>
      </c>
      <c r="O84" s="63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2129</v>
      </c>
      <c r="D85" s="1" t="s">
        <v>2170</v>
      </c>
      <c r="E85" s="16" t="n">
        <v>46181</v>
      </c>
      <c r="F85" s="16" t="n">
        <v>46172</v>
      </c>
      <c r="G85" s="1" t="s">
        <v>373</v>
      </c>
      <c r="H85" s="1" t="n">
        <v>1223169</v>
      </c>
      <c r="I85" s="1" t="n">
        <v>11</v>
      </c>
      <c r="J85" s="1" t="s">
        <v>2127</v>
      </c>
      <c r="K85" s="63" t="n">
        <v>453.6</v>
      </c>
      <c r="N85" s="16" t="n">
        <v>46257</v>
      </c>
      <c r="O85" s="63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2129</v>
      </c>
      <c r="D86" s="1" t="s">
        <v>2130</v>
      </c>
      <c r="E86" s="16" t="n">
        <v>46181</v>
      </c>
      <c r="F86" s="16" t="n">
        <v>46181</v>
      </c>
      <c r="G86" s="1" t="s">
        <v>80</v>
      </c>
      <c r="H86" s="1" t="n">
        <v>1221789</v>
      </c>
      <c r="I86" s="1" t="n">
        <v>6</v>
      </c>
      <c r="J86" s="1" t="s">
        <v>2127</v>
      </c>
      <c r="K86" s="63" t="n">
        <v>161</v>
      </c>
      <c r="N86" s="16" t="n">
        <v>46258</v>
      </c>
      <c r="O86" s="63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2129</v>
      </c>
      <c r="D87" s="1" t="s">
        <v>2130</v>
      </c>
      <c r="E87" s="16" t="n">
        <v>46181</v>
      </c>
      <c r="F87" s="16" t="n">
        <v>46181</v>
      </c>
      <c r="G87" s="1" t="s">
        <v>80</v>
      </c>
      <c r="H87" s="1" t="n">
        <v>1221825</v>
      </c>
      <c r="I87" s="1" t="n">
        <v>6</v>
      </c>
      <c r="J87" s="1" t="s">
        <v>2127</v>
      </c>
      <c r="K87" s="63" t="n">
        <v>260</v>
      </c>
      <c r="N87" s="16" t="n">
        <v>46259</v>
      </c>
      <c r="O87" s="63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2129</v>
      </c>
      <c r="D88" s="1" t="s">
        <v>2130</v>
      </c>
      <c r="E88" s="16" t="n">
        <v>46181</v>
      </c>
      <c r="F88" s="16" t="n">
        <v>46181</v>
      </c>
      <c r="G88" s="1" t="s">
        <v>80</v>
      </c>
      <c r="H88" s="1" t="n">
        <v>1222115</v>
      </c>
      <c r="I88" s="1" t="n">
        <v>6</v>
      </c>
      <c r="J88" s="1" t="s">
        <v>2127</v>
      </c>
      <c r="K88" s="63" t="n">
        <v>120</v>
      </c>
      <c r="N88" s="16" t="n">
        <v>46260</v>
      </c>
      <c r="O88" s="63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2129</v>
      </c>
      <c r="D89" s="1" t="s">
        <v>2130</v>
      </c>
      <c r="E89" s="16" t="n">
        <v>46181</v>
      </c>
      <c r="F89" s="16" t="n">
        <v>46181</v>
      </c>
      <c r="G89" s="1" t="s">
        <v>80</v>
      </c>
      <c r="H89" s="1" t="n">
        <v>1221784</v>
      </c>
      <c r="I89" s="1" t="n">
        <v>2</v>
      </c>
      <c r="J89" s="1" t="s">
        <v>2127</v>
      </c>
      <c r="K89" s="63" t="n">
        <v>161</v>
      </c>
      <c r="N89" s="16" t="n">
        <v>46261</v>
      </c>
      <c r="O89" s="63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2129</v>
      </c>
      <c r="D90" s="1" t="s">
        <v>2130</v>
      </c>
      <c r="E90" s="16" t="n">
        <v>46181</v>
      </c>
      <c r="F90" s="16" t="n">
        <v>46181</v>
      </c>
      <c r="G90" s="1" t="s">
        <v>80</v>
      </c>
      <c r="H90" s="1" t="n">
        <v>1221815</v>
      </c>
      <c r="I90" s="1" t="n">
        <v>2</v>
      </c>
      <c r="J90" s="1" t="s">
        <v>2127</v>
      </c>
      <c r="K90" s="63" t="n">
        <v>260</v>
      </c>
      <c r="N90" s="16" t="n">
        <v>46262</v>
      </c>
      <c r="O90" s="63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2129</v>
      </c>
      <c r="D91" s="1" t="s">
        <v>2130</v>
      </c>
      <c r="E91" s="16" t="n">
        <v>46181</v>
      </c>
      <c r="F91" s="16" t="n">
        <v>46181</v>
      </c>
      <c r="G91" s="1" t="s">
        <v>80</v>
      </c>
      <c r="H91" s="1" t="n">
        <v>1222104</v>
      </c>
      <c r="I91" s="1" t="n">
        <v>2</v>
      </c>
      <c r="J91" s="1" t="s">
        <v>2127</v>
      </c>
      <c r="K91" s="63" t="n">
        <v>120</v>
      </c>
      <c r="N91" s="16" t="n">
        <v>46263</v>
      </c>
      <c r="O91" s="63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2129</v>
      </c>
      <c r="D92" s="1" t="s">
        <v>2171</v>
      </c>
      <c r="E92" s="16" t="n">
        <v>46181</v>
      </c>
      <c r="F92" s="16" t="n">
        <v>46178</v>
      </c>
      <c r="G92" s="1" t="s">
        <v>223</v>
      </c>
      <c r="H92" s="1" t="n">
        <v>1222270</v>
      </c>
      <c r="I92" s="1" t="n">
        <v>11</v>
      </c>
      <c r="J92" s="1" t="s">
        <v>2127</v>
      </c>
      <c r="K92" s="63" t="n">
        <v>1496</v>
      </c>
      <c r="N92" s="16" t="n">
        <v>46264</v>
      </c>
      <c r="O92" s="63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2172</v>
      </c>
      <c r="D93" s="1" t="s">
        <v>2173</v>
      </c>
      <c r="E93" s="16" t="n">
        <v>46181</v>
      </c>
      <c r="F93" s="16" t="n">
        <v>46176</v>
      </c>
      <c r="G93" s="1" t="s">
        <v>212</v>
      </c>
      <c r="H93" s="1" t="n">
        <v>1221473</v>
      </c>
      <c r="I93" s="1" t="n">
        <v>11</v>
      </c>
      <c r="J93" s="1" t="s">
        <v>2127</v>
      </c>
      <c r="K93" s="63" t="n">
        <v>5009.82</v>
      </c>
      <c r="N93" s="16" t="n">
        <v>46265</v>
      </c>
      <c r="O93" s="63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2129</v>
      </c>
      <c r="D94" s="1" t="s">
        <v>2166</v>
      </c>
      <c r="E94" s="16" t="n">
        <v>46182</v>
      </c>
      <c r="F94" s="16" t="n">
        <v>46178</v>
      </c>
      <c r="G94" s="1" t="s">
        <v>295</v>
      </c>
      <c r="H94" s="1" t="n">
        <v>1226038</v>
      </c>
      <c r="I94" s="1" t="n">
        <v>11</v>
      </c>
      <c r="J94" s="1" t="s">
        <v>2127</v>
      </c>
      <c r="K94" s="63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2129</v>
      </c>
      <c r="D95" s="1" t="s">
        <v>2174</v>
      </c>
      <c r="E95" s="16" t="n">
        <v>46182</v>
      </c>
      <c r="F95" s="16" t="n">
        <v>46181</v>
      </c>
      <c r="G95" s="1" t="s">
        <v>465</v>
      </c>
      <c r="H95" s="1" t="n">
        <v>1227476</v>
      </c>
      <c r="I95" s="1" t="n">
        <v>1</v>
      </c>
      <c r="J95" s="1" t="s">
        <v>2127</v>
      </c>
      <c r="K95" s="63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2129</v>
      </c>
      <c r="D96" s="1" t="s">
        <v>2132</v>
      </c>
      <c r="E96" s="16" t="n">
        <v>46182</v>
      </c>
      <c r="F96" s="16" t="n">
        <v>46182</v>
      </c>
      <c r="G96" s="1" t="s">
        <v>130</v>
      </c>
      <c r="H96" s="1" t="n">
        <v>1227433</v>
      </c>
      <c r="I96" s="1" t="n">
        <v>1</v>
      </c>
      <c r="J96" s="1" t="s">
        <v>2127</v>
      </c>
      <c r="K96" s="63" t="n">
        <v>250</v>
      </c>
      <c r="N96" s="67" t="s">
        <v>2175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2129</v>
      </c>
      <c r="D97" s="1" t="s">
        <v>2176</v>
      </c>
      <c r="E97" s="16" t="n">
        <v>46182</v>
      </c>
      <c r="F97" s="16" t="n">
        <v>46171</v>
      </c>
      <c r="G97" s="1" t="s">
        <v>49</v>
      </c>
      <c r="H97" s="1" t="n">
        <v>1226248</v>
      </c>
      <c r="I97" s="1" t="n">
        <v>11</v>
      </c>
      <c r="J97" s="1" t="s">
        <v>2127</v>
      </c>
      <c r="K97" s="63" t="n">
        <v>1298.98</v>
      </c>
      <c r="N97" s="64" t="s">
        <v>2043</v>
      </c>
      <c r="O97" s="65" t="s">
        <v>2177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2129</v>
      </c>
      <c r="D98" s="1" t="s">
        <v>2178</v>
      </c>
      <c r="E98" s="16" t="n">
        <v>46182</v>
      </c>
      <c r="F98" s="16" t="n">
        <v>46181</v>
      </c>
      <c r="G98" s="1" t="s">
        <v>587</v>
      </c>
      <c r="H98" s="1" t="n">
        <v>1226204</v>
      </c>
      <c r="I98" s="1" t="n">
        <v>1</v>
      </c>
      <c r="J98" s="1" t="s">
        <v>2127</v>
      </c>
      <c r="K98" s="63" t="n">
        <v>263.27</v>
      </c>
      <c r="N98" s="1" t="s">
        <v>2052</v>
      </c>
      <c r="O98" s="63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2129</v>
      </c>
      <c r="D99" s="1" t="s">
        <v>2179</v>
      </c>
      <c r="E99" s="16" t="n">
        <v>46182</v>
      </c>
      <c r="F99" s="16" t="n">
        <v>46122</v>
      </c>
      <c r="G99" s="1" t="s">
        <v>2180</v>
      </c>
      <c r="H99" s="1" t="n">
        <v>1226361</v>
      </c>
      <c r="I99" s="1" t="n">
        <v>11</v>
      </c>
      <c r="J99" s="1" t="s">
        <v>2127</v>
      </c>
      <c r="K99" s="63" t="n">
        <v>436.01</v>
      </c>
      <c r="N99" s="1" t="s">
        <v>2053</v>
      </c>
      <c r="O99" s="63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2129</v>
      </c>
      <c r="D100" s="1" t="s">
        <v>2181</v>
      </c>
      <c r="E100" s="16" t="n">
        <v>46182</v>
      </c>
      <c r="F100" s="16" t="n">
        <v>46178</v>
      </c>
      <c r="G100" s="1" t="s">
        <v>419</v>
      </c>
      <c r="H100" s="1" t="n">
        <v>1226298</v>
      </c>
      <c r="I100" s="1" t="n">
        <v>11</v>
      </c>
      <c r="J100" s="1" t="s">
        <v>2127</v>
      </c>
      <c r="K100" s="63" t="n">
        <v>500</v>
      </c>
      <c r="N100" s="1" t="s">
        <v>2054</v>
      </c>
      <c r="O100" s="63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2129</v>
      </c>
      <c r="D101" s="1" t="s">
        <v>2130</v>
      </c>
      <c r="E101" s="16" t="n">
        <v>46182</v>
      </c>
      <c r="F101" s="16" t="n">
        <v>46182</v>
      </c>
      <c r="G101" s="1" t="s">
        <v>80</v>
      </c>
      <c r="H101" s="1" t="n">
        <v>1226185</v>
      </c>
      <c r="I101" s="1" t="n">
        <v>6</v>
      </c>
      <c r="J101" s="1" t="s">
        <v>2127</v>
      </c>
      <c r="K101" s="63" t="n">
        <v>155</v>
      </c>
      <c r="N101" s="68" t="s">
        <v>2071</v>
      </c>
      <c r="O101" s="63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2129</v>
      </c>
      <c r="D102" s="1" t="s">
        <v>2130</v>
      </c>
      <c r="E102" s="16" t="n">
        <v>46182</v>
      </c>
      <c r="F102" s="16" t="n">
        <v>46182</v>
      </c>
      <c r="G102" s="1" t="s">
        <v>80</v>
      </c>
      <c r="H102" s="1" t="n">
        <v>1226836</v>
      </c>
      <c r="I102" s="1" t="n">
        <v>6</v>
      </c>
      <c r="J102" s="1" t="s">
        <v>2127</v>
      </c>
      <c r="K102" s="63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2129</v>
      </c>
      <c r="D103" s="1" t="s">
        <v>2130</v>
      </c>
      <c r="E103" s="16" t="n">
        <v>46182</v>
      </c>
      <c r="F103" s="16" t="n">
        <v>46182</v>
      </c>
      <c r="G103" s="1" t="s">
        <v>80</v>
      </c>
      <c r="H103" s="1" t="n">
        <v>1227035</v>
      </c>
      <c r="I103" s="1" t="n">
        <v>6</v>
      </c>
      <c r="J103" s="1" t="s">
        <v>2127</v>
      </c>
      <c r="K103" s="63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2129</v>
      </c>
      <c r="D104" s="1" t="s">
        <v>2130</v>
      </c>
      <c r="E104" s="16" t="n">
        <v>46182</v>
      </c>
      <c r="F104" s="16" t="n">
        <v>46182</v>
      </c>
      <c r="G104" s="1" t="s">
        <v>80</v>
      </c>
      <c r="H104" s="1" t="n">
        <v>1227420</v>
      </c>
      <c r="I104" s="1" t="n">
        <v>6</v>
      </c>
      <c r="J104" s="1" t="s">
        <v>2127</v>
      </c>
      <c r="K104" s="63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2129</v>
      </c>
      <c r="D105" s="1" t="s">
        <v>2130</v>
      </c>
      <c r="E105" s="16" t="n">
        <v>46182</v>
      </c>
      <c r="F105" s="16" t="n">
        <v>46182</v>
      </c>
      <c r="G105" s="1" t="s">
        <v>80</v>
      </c>
      <c r="H105" s="1" t="n">
        <v>1226176</v>
      </c>
      <c r="I105" s="1" t="n">
        <v>2</v>
      </c>
      <c r="J105" s="1" t="s">
        <v>2127</v>
      </c>
      <c r="K105" s="63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2129</v>
      </c>
      <c r="D106" s="1" t="s">
        <v>2130</v>
      </c>
      <c r="E106" s="16" t="n">
        <v>46182</v>
      </c>
      <c r="F106" s="16" t="n">
        <v>46182</v>
      </c>
      <c r="G106" s="1" t="s">
        <v>80</v>
      </c>
      <c r="H106" s="1" t="n">
        <v>1226831</v>
      </c>
      <c r="I106" s="1" t="n">
        <v>2</v>
      </c>
      <c r="J106" s="1" t="s">
        <v>2127</v>
      </c>
      <c r="K106" s="63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2129</v>
      </c>
      <c r="D107" s="1" t="s">
        <v>2130</v>
      </c>
      <c r="E107" s="16" t="n">
        <v>46182</v>
      </c>
      <c r="F107" s="16" t="n">
        <v>46182</v>
      </c>
      <c r="G107" s="1" t="s">
        <v>80</v>
      </c>
      <c r="H107" s="1" t="n">
        <v>1227030</v>
      </c>
      <c r="I107" s="1" t="n">
        <v>2</v>
      </c>
      <c r="J107" s="1" t="s">
        <v>2127</v>
      </c>
      <c r="K107" s="63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2129</v>
      </c>
      <c r="D108" s="1" t="s">
        <v>2130</v>
      </c>
      <c r="E108" s="16" t="n">
        <v>46182</v>
      </c>
      <c r="F108" s="16" t="n">
        <v>46182</v>
      </c>
      <c r="G108" s="1" t="s">
        <v>80</v>
      </c>
      <c r="H108" s="1" t="n">
        <v>1227417</v>
      </c>
      <c r="I108" s="1" t="n">
        <v>2</v>
      </c>
      <c r="J108" s="1" t="s">
        <v>2127</v>
      </c>
      <c r="K108" s="63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2129</v>
      </c>
      <c r="D109" s="1" t="s">
        <v>2131</v>
      </c>
      <c r="E109" s="16" t="n">
        <v>46183</v>
      </c>
      <c r="F109" s="16" t="n">
        <v>46183</v>
      </c>
      <c r="G109" s="1" t="s">
        <v>112</v>
      </c>
      <c r="H109" s="1" t="n">
        <v>1235166</v>
      </c>
      <c r="I109" s="1" t="n">
        <v>1</v>
      </c>
      <c r="J109" s="1" t="s">
        <v>2127</v>
      </c>
      <c r="K109" s="63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2129</v>
      </c>
      <c r="D110" s="1" t="s">
        <v>2136</v>
      </c>
      <c r="E110" s="16" t="n">
        <v>46183</v>
      </c>
      <c r="F110" s="16" t="n">
        <v>46182</v>
      </c>
      <c r="G110" s="1" t="s">
        <v>76</v>
      </c>
      <c r="H110" s="1" t="n">
        <v>1230892</v>
      </c>
      <c r="I110" s="1" t="n">
        <v>11</v>
      </c>
      <c r="J110" s="1" t="s">
        <v>2127</v>
      </c>
      <c r="K110" s="63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2182</v>
      </c>
      <c r="D111" s="1" t="s">
        <v>2183</v>
      </c>
      <c r="E111" s="16" t="n">
        <v>46183</v>
      </c>
      <c r="F111" s="16" t="n">
        <v>46182</v>
      </c>
      <c r="G111" s="1" t="s">
        <v>720</v>
      </c>
      <c r="H111" s="1" t="n">
        <v>1232008</v>
      </c>
      <c r="I111" s="1" t="n">
        <v>11</v>
      </c>
      <c r="J111" s="1" t="s">
        <v>2127</v>
      </c>
      <c r="K111" s="63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2182</v>
      </c>
      <c r="D112" s="1" t="s">
        <v>2183</v>
      </c>
      <c r="E112" s="16" t="n">
        <v>46183</v>
      </c>
      <c r="F112" s="16" t="n">
        <v>46182</v>
      </c>
      <c r="G112" s="1" t="s">
        <v>720</v>
      </c>
      <c r="H112" s="1" t="n">
        <v>1232026</v>
      </c>
      <c r="I112" s="1" t="n">
        <v>11</v>
      </c>
      <c r="J112" s="1" t="s">
        <v>2127</v>
      </c>
      <c r="K112" s="63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2134</v>
      </c>
      <c r="D113" s="1" t="s">
        <v>2142</v>
      </c>
      <c r="E113" s="16" t="n">
        <v>46183</v>
      </c>
      <c r="F113" s="16" t="n">
        <v>46181</v>
      </c>
      <c r="G113" s="1" t="s">
        <v>133</v>
      </c>
      <c r="H113" s="1" t="n">
        <v>1230526</v>
      </c>
      <c r="I113" s="1" t="n">
        <v>1</v>
      </c>
      <c r="J113" s="1" t="s">
        <v>2127</v>
      </c>
      <c r="K113" s="63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2129</v>
      </c>
      <c r="D114" s="1" t="s">
        <v>2143</v>
      </c>
      <c r="E114" s="16" t="n">
        <v>46183</v>
      </c>
      <c r="F114" s="16" t="n">
        <v>46181</v>
      </c>
      <c r="G114" s="1" t="s">
        <v>149</v>
      </c>
      <c r="H114" s="1" t="n">
        <v>1231149</v>
      </c>
      <c r="I114" s="1" t="n">
        <v>11</v>
      </c>
      <c r="J114" s="1" t="s">
        <v>2127</v>
      </c>
      <c r="K114" s="63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2184</v>
      </c>
      <c r="D115" s="1" t="s">
        <v>2185</v>
      </c>
      <c r="E115" s="16" t="n">
        <v>46183</v>
      </c>
      <c r="F115" s="16" t="n">
        <v>46182</v>
      </c>
      <c r="G115" s="1" t="s">
        <v>445</v>
      </c>
      <c r="H115" s="1" t="n">
        <v>1230720</v>
      </c>
      <c r="I115" s="1" t="n">
        <v>11</v>
      </c>
      <c r="J115" s="1" t="s">
        <v>2127</v>
      </c>
      <c r="K115" s="63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2184</v>
      </c>
      <c r="D116" s="1" t="s">
        <v>2186</v>
      </c>
      <c r="E116" s="16" t="n">
        <v>46183</v>
      </c>
      <c r="F116" s="16" t="n">
        <v>46182</v>
      </c>
      <c r="G116" s="1" t="s">
        <v>159</v>
      </c>
      <c r="H116" s="1" t="n">
        <v>1232041</v>
      </c>
      <c r="I116" s="1" t="n">
        <v>11</v>
      </c>
      <c r="J116" s="1" t="s">
        <v>2127</v>
      </c>
      <c r="K116" s="63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2129</v>
      </c>
      <c r="D117" s="1" t="s">
        <v>2144</v>
      </c>
      <c r="E117" s="16" t="n">
        <v>46183</v>
      </c>
      <c r="F117" s="16" t="n">
        <v>46182</v>
      </c>
      <c r="G117" s="1" t="s">
        <v>170</v>
      </c>
      <c r="H117" s="1" t="n">
        <v>1231006</v>
      </c>
      <c r="I117" s="1" t="n">
        <v>11</v>
      </c>
      <c r="J117" s="1" t="s">
        <v>2127</v>
      </c>
      <c r="K117" s="63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2129</v>
      </c>
      <c r="D118" s="1" t="s">
        <v>2144</v>
      </c>
      <c r="E118" s="16" t="n">
        <v>46183</v>
      </c>
      <c r="F118" s="16" t="n">
        <v>46182</v>
      </c>
      <c r="G118" s="1" t="s">
        <v>170</v>
      </c>
      <c r="H118" s="1" t="n">
        <v>1230975</v>
      </c>
      <c r="I118" s="1" t="n">
        <v>11</v>
      </c>
      <c r="J118" s="1" t="s">
        <v>2127</v>
      </c>
      <c r="K118" s="63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2129</v>
      </c>
      <c r="D119" s="1" t="s">
        <v>2130</v>
      </c>
      <c r="E119" s="16" t="n">
        <v>46183</v>
      </c>
      <c r="F119" s="16" t="n">
        <v>46183</v>
      </c>
      <c r="G119" s="1" t="s">
        <v>80</v>
      </c>
      <c r="H119" s="1" t="n">
        <v>1230929</v>
      </c>
      <c r="I119" s="1" t="n">
        <v>6</v>
      </c>
      <c r="J119" s="1" t="s">
        <v>2127</v>
      </c>
      <c r="K119" s="63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2129</v>
      </c>
      <c r="D120" s="1" t="s">
        <v>2130</v>
      </c>
      <c r="E120" s="16" t="n">
        <v>46183</v>
      </c>
      <c r="F120" s="16" t="n">
        <v>46183</v>
      </c>
      <c r="G120" s="1" t="s">
        <v>80</v>
      </c>
      <c r="H120" s="1" t="n">
        <v>1231926</v>
      </c>
      <c r="I120" s="1" t="n">
        <v>6</v>
      </c>
      <c r="J120" s="1" t="s">
        <v>2127</v>
      </c>
      <c r="K120" s="63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2129</v>
      </c>
      <c r="D121" s="1" t="s">
        <v>2130</v>
      </c>
      <c r="E121" s="16" t="n">
        <v>46183</v>
      </c>
      <c r="F121" s="16" t="n">
        <v>46183</v>
      </c>
      <c r="G121" s="1" t="s">
        <v>80</v>
      </c>
      <c r="H121" s="1" t="n">
        <v>1230923</v>
      </c>
      <c r="I121" s="1" t="n">
        <v>2</v>
      </c>
      <c r="J121" s="1" t="s">
        <v>2127</v>
      </c>
      <c r="K121" s="63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2129</v>
      </c>
      <c r="D122" s="1" t="s">
        <v>2130</v>
      </c>
      <c r="E122" s="16" t="n">
        <v>46183</v>
      </c>
      <c r="F122" s="16" t="n">
        <v>46183</v>
      </c>
      <c r="G122" s="1" t="s">
        <v>80</v>
      </c>
      <c r="H122" s="1" t="n">
        <v>1231217</v>
      </c>
      <c r="I122" s="1" t="n">
        <v>2</v>
      </c>
      <c r="J122" s="1" t="s">
        <v>2127</v>
      </c>
      <c r="K122" s="63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2129</v>
      </c>
      <c r="D123" s="1" t="s">
        <v>2147</v>
      </c>
      <c r="E123" s="16" t="n">
        <v>46183</v>
      </c>
      <c r="F123" s="16" t="n">
        <v>46182</v>
      </c>
      <c r="G123" s="1" t="s">
        <v>125</v>
      </c>
      <c r="H123" s="1" t="n">
        <v>1231812</v>
      </c>
      <c r="I123" s="1" t="n">
        <v>1</v>
      </c>
      <c r="J123" s="1" t="s">
        <v>2127</v>
      </c>
      <c r="K123" s="63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2129</v>
      </c>
      <c r="D124" s="1" t="s">
        <v>2147</v>
      </c>
      <c r="E124" s="16" t="n">
        <v>46183</v>
      </c>
      <c r="F124" s="16" t="n">
        <v>46182</v>
      </c>
      <c r="G124" s="1" t="s">
        <v>125</v>
      </c>
      <c r="H124" s="1" t="n">
        <v>1231836</v>
      </c>
      <c r="I124" s="1" t="n">
        <v>11</v>
      </c>
      <c r="J124" s="1" t="s">
        <v>2127</v>
      </c>
      <c r="K124" s="63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2134</v>
      </c>
      <c r="D125" s="1" t="s">
        <v>2150</v>
      </c>
      <c r="E125" s="16" t="n">
        <v>46184</v>
      </c>
      <c r="F125" s="16" t="n">
        <v>46182</v>
      </c>
      <c r="G125" s="1" t="s">
        <v>179</v>
      </c>
      <c r="H125" s="1" t="n">
        <v>1236625</v>
      </c>
      <c r="I125" s="1" t="n">
        <v>1</v>
      </c>
      <c r="J125" s="1" t="s">
        <v>2127</v>
      </c>
      <c r="K125" s="63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2134</v>
      </c>
      <c r="D126" s="1" t="s">
        <v>2135</v>
      </c>
      <c r="E126" s="16" t="n">
        <v>46184</v>
      </c>
      <c r="F126" s="16" t="n">
        <v>46183</v>
      </c>
      <c r="G126" s="1" t="s">
        <v>55</v>
      </c>
      <c r="H126" s="1" t="n">
        <v>1235271</v>
      </c>
      <c r="I126" s="1" t="n">
        <v>1</v>
      </c>
      <c r="J126" s="1" t="s">
        <v>2127</v>
      </c>
      <c r="K126" s="63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2129</v>
      </c>
      <c r="D127" s="1" t="s">
        <v>2151</v>
      </c>
      <c r="E127" s="16" t="n">
        <v>46184</v>
      </c>
      <c r="F127" s="16" t="n">
        <v>46183</v>
      </c>
      <c r="G127" s="1" t="s">
        <v>274</v>
      </c>
      <c r="H127" s="1" t="n">
        <v>1235266</v>
      </c>
      <c r="I127" s="1" t="n">
        <v>1</v>
      </c>
      <c r="J127" s="1" t="s">
        <v>2127</v>
      </c>
      <c r="K127" s="63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2129</v>
      </c>
      <c r="D128" s="1" t="s">
        <v>2187</v>
      </c>
      <c r="E128" s="16" t="n">
        <v>46184</v>
      </c>
      <c r="F128" s="16" t="n">
        <v>46183</v>
      </c>
      <c r="G128" s="1" t="s">
        <v>155</v>
      </c>
      <c r="H128" s="1" t="n">
        <v>1235961</v>
      </c>
      <c r="I128" s="1" t="n">
        <v>1</v>
      </c>
      <c r="J128" s="1" t="s">
        <v>2127</v>
      </c>
      <c r="K128" s="63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2129</v>
      </c>
      <c r="D129" s="1" t="s">
        <v>2188</v>
      </c>
      <c r="E129" s="16" t="n">
        <v>46184</v>
      </c>
      <c r="F129" s="16" t="n">
        <v>46183</v>
      </c>
      <c r="G129" s="1" t="s">
        <v>278</v>
      </c>
      <c r="H129" s="1" t="n">
        <v>1235476</v>
      </c>
      <c r="I129" s="1" t="n">
        <v>11</v>
      </c>
      <c r="J129" s="1" t="s">
        <v>2127</v>
      </c>
      <c r="K129" s="63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2129</v>
      </c>
      <c r="D130" s="1" t="s">
        <v>2189</v>
      </c>
      <c r="E130" s="16" t="n">
        <v>46184</v>
      </c>
      <c r="F130" s="16" t="n">
        <v>46183</v>
      </c>
      <c r="G130" s="1" t="s">
        <v>152</v>
      </c>
      <c r="H130" s="1" t="n">
        <v>1235233</v>
      </c>
      <c r="I130" s="1" t="n">
        <v>11</v>
      </c>
      <c r="J130" s="1" t="s">
        <v>2127</v>
      </c>
      <c r="K130" s="63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2129</v>
      </c>
      <c r="D131" s="1" t="s">
        <v>2141</v>
      </c>
      <c r="E131" s="16" t="n">
        <v>46184</v>
      </c>
      <c r="F131" s="16" t="n">
        <v>46183</v>
      </c>
      <c r="G131" s="1" t="s">
        <v>53</v>
      </c>
      <c r="H131" s="1" t="n">
        <v>1235880</v>
      </c>
      <c r="I131" s="1" t="n">
        <v>11</v>
      </c>
      <c r="J131" s="1" t="s">
        <v>2127</v>
      </c>
      <c r="K131" s="63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2129</v>
      </c>
      <c r="D132" s="1" t="s">
        <v>2190</v>
      </c>
      <c r="E132" s="16" t="n">
        <v>46184</v>
      </c>
      <c r="F132" s="16" t="n">
        <v>46184</v>
      </c>
      <c r="G132" s="1" t="s">
        <v>220</v>
      </c>
      <c r="H132" s="1" t="n">
        <v>1235422</v>
      </c>
      <c r="I132" s="1" t="n">
        <v>1</v>
      </c>
      <c r="J132" s="1" t="s">
        <v>2127</v>
      </c>
      <c r="K132" s="63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2129</v>
      </c>
      <c r="D133" s="1" t="s">
        <v>2191</v>
      </c>
      <c r="E133" s="16" t="n">
        <v>46184</v>
      </c>
      <c r="F133" s="16" t="n">
        <v>46183</v>
      </c>
      <c r="G133" s="1" t="s">
        <v>60</v>
      </c>
      <c r="H133" s="1" t="n">
        <v>1235743</v>
      </c>
      <c r="I133" s="1" t="n">
        <v>11</v>
      </c>
      <c r="J133" s="1" t="s">
        <v>2127</v>
      </c>
      <c r="K133" s="63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2129</v>
      </c>
      <c r="D134" s="1" t="s">
        <v>2130</v>
      </c>
      <c r="E134" s="16" t="n">
        <v>46184</v>
      </c>
      <c r="F134" s="16" t="n">
        <v>46184</v>
      </c>
      <c r="G134" s="1" t="s">
        <v>80</v>
      </c>
      <c r="H134" s="1" t="n">
        <v>1235932</v>
      </c>
      <c r="I134" s="1" t="n">
        <v>6</v>
      </c>
      <c r="J134" s="1" t="s">
        <v>2127</v>
      </c>
      <c r="K134" s="63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2129</v>
      </c>
      <c r="D135" s="1" t="s">
        <v>2130</v>
      </c>
      <c r="E135" s="16" t="n">
        <v>46184</v>
      </c>
      <c r="F135" s="16" t="n">
        <v>46184</v>
      </c>
      <c r="G135" s="1" t="s">
        <v>80</v>
      </c>
      <c r="H135" s="1" t="n">
        <v>1235943</v>
      </c>
      <c r="I135" s="1" t="n">
        <v>6</v>
      </c>
      <c r="J135" s="1" t="s">
        <v>2127</v>
      </c>
      <c r="K135" s="63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2129</v>
      </c>
      <c r="D136" s="1" t="s">
        <v>2130</v>
      </c>
      <c r="E136" s="16" t="n">
        <v>46184</v>
      </c>
      <c r="F136" s="16" t="n">
        <v>46184</v>
      </c>
      <c r="G136" s="1" t="s">
        <v>80</v>
      </c>
      <c r="H136" s="1" t="n">
        <v>1235924</v>
      </c>
      <c r="I136" s="1" t="n">
        <v>2</v>
      </c>
      <c r="J136" s="1" t="s">
        <v>2127</v>
      </c>
      <c r="K136" s="63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2129</v>
      </c>
      <c r="D137" s="1" t="s">
        <v>2130</v>
      </c>
      <c r="E137" s="16" t="n">
        <v>46184</v>
      </c>
      <c r="F137" s="16" t="n">
        <v>46184</v>
      </c>
      <c r="G137" s="1" t="s">
        <v>80</v>
      </c>
      <c r="H137" s="1" t="n">
        <v>1235929</v>
      </c>
      <c r="I137" s="1" t="n">
        <v>2</v>
      </c>
      <c r="J137" s="1" t="s">
        <v>2127</v>
      </c>
      <c r="K137" s="63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2138</v>
      </c>
      <c r="D138" s="1" t="s">
        <v>2145</v>
      </c>
      <c r="E138" s="16" t="n">
        <v>46184</v>
      </c>
      <c r="F138" s="16" t="n">
        <v>46183</v>
      </c>
      <c r="G138" s="1" t="s">
        <v>113</v>
      </c>
      <c r="H138" s="1" t="n">
        <v>1235439</v>
      </c>
      <c r="I138" s="1" t="n">
        <v>11</v>
      </c>
      <c r="J138" s="1" t="s">
        <v>2127</v>
      </c>
      <c r="K138" s="63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2129</v>
      </c>
      <c r="D139" s="1" t="s">
        <v>2171</v>
      </c>
      <c r="E139" s="16" t="n">
        <v>46184</v>
      </c>
      <c r="F139" s="16" t="n">
        <v>46183</v>
      </c>
      <c r="G139" s="1" t="s">
        <v>223</v>
      </c>
      <c r="H139" s="1" t="n">
        <v>1235161</v>
      </c>
      <c r="I139" s="1" t="n">
        <v>11</v>
      </c>
      <c r="J139" s="1" t="s">
        <v>2127</v>
      </c>
      <c r="K139" s="63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2129</v>
      </c>
      <c r="D140" s="1" t="s">
        <v>2192</v>
      </c>
      <c r="E140" s="16" t="n">
        <v>46184</v>
      </c>
      <c r="F140" s="16" t="n">
        <v>46181</v>
      </c>
      <c r="G140" s="1" t="s">
        <v>253</v>
      </c>
      <c r="H140" s="1" t="n">
        <v>1234889</v>
      </c>
      <c r="I140" s="1" t="n">
        <v>11</v>
      </c>
      <c r="J140" s="1" t="s">
        <v>2127</v>
      </c>
      <c r="K140" s="63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2134</v>
      </c>
      <c r="D141" s="1" t="s">
        <v>2193</v>
      </c>
      <c r="E141" s="16" t="n">
        <v>46184</v>
      </c>
      <c r="F141" s="16" t="n">
        <v>46181</v>
      </c>
      <c r="G141" s="1" t="s">
        <v>592</v>
      </c>
      <c r="H141" s="1" t="n">
        <v>1235593</v>
      </c>
      <c r="I141" s="1" t="n">
        <v>11</v>
      </c>
      <c r="J141" s="1" t="s">
        <v>2127</v>
      </c>
      <c r="K141" s="63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2129</v>
      </c>
      <c r="D142" s="1" t="s">
        <v>2148</v>
      </c>
      <c r="E142" s="16" t="n">
        <v>46185</v>
      </c>
      <c r="F142" s="16" t="n">
        <v>46185</v>
      </c>
      <c r="G142" s="1" t="s">
        <v>2149</v>
      </c>
      <c r="H142" s="1" t="n">
        <v>1243882</v>
      </c>
      <c r="I142" s="1" t="n">
        <v>1</v>
      </c>
      <c r="J142" s="1" t="s">
        <v>2127</v>
      </c>
      <c r="K142" s="63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2129</v>
      </c>
      <c r="D143" s="1" t="s">
        <v>2133</v>
      </c>
      <c r="E143" s="16" t="n">
        <v>46185</v>
      </c>
      <c r="F143" s="16" t="n">
        <v>46184</v>
      </c>
      <c r="G143" s="1" t="s">
        <v>251</v>
      </c>
      <c r="H143" s="1" t="n">
        <v>1241481</v>
      </c>
      <c r="I143" s="1" t="n">
        <v>11</v>
      </c>
      <c r="J143" s="1" t="s">
        <v>2127</v>
      </c>
      <c r="K143" s="63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2125</v>
      </c>
      <c r="D144" s="1" t="s">
        <v>2126</v>
      </c>
      <c r="E144" s="16" t="n">
        <v>46185</v>
      </c>
      <c r="F144" s="16" t="n">
        <v>46184</v>
      </c>
      <c r="G144" s="1" t="s">
        <v>122</v>
      </c>
      <c r="H144" s="1" t="n">
        <v>1239812</v>
      </c>
      <c r="I144" s="1" t="n">
        <v>11</v>
      </c>
      <c r="J144" s="1" t="s">
        <v>2127</v>
      </c>
      <c r="K144" s="63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2128</v>
      </c>
      <c r="D145" s="1" t="s">
        <v>2126</v>
      </c>
      <c r="E145" s="16" t="n">
        <v>46185</v>
      </c>
      <c r="F145" s="16" t="n">
        <v>46184</v>
      </c>
      <c r="G145" s="1" t="s">
        <v>122</v>
      </c>
      <c r="H145" s="1" t="n">
        <v>1239816</v>
      </c>
      <c r="I145" s="1" t="n">
        <v>11</v>
      </c>
      <c r="J145" s="1" t="s">
        <v>2127</v>
      </c>
      <c r="K145" s="63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2129</v>
      </c>
      <c r="D146" s="1" t="s">
        <v>2187</v>
      </c>
      <c r="E146" s="16" t="n">
        <v>46185</v>
      </c>
      <c r="F146" s="16" t="n">
        <v>46183</v>
      </c>
      <c r="G146" s="1" t="s">
        <v>155</v>
      </c>
      <c r="H146" s="1" t="n">
        <v>1239995</v>
      </c>
      <c r="I146" s="1" t="n">
        <v>11</v>
      </c>
      <c r="J146" s="1" t="s">
        <v>2127</v>
      </c>
      <c r="K146" s="63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2129</v>
      </c>
      <c r="D147" s="1" t="s">
        <v>2188</v>
      </c>
      <c r="E147" s="16" t="n">
        <v>46185</v>
      </c>
      <c r="F147" s="16" t="n">
        <v>46185</v>
      </c>
      <c r="G147" s="1" t="s">
        <v>278</v>
      </c>
      <c r="H147" s="1" t="n">
        <v>1239961</v>
      </c>
      <c r="I147" s="1" t="n">
        <v>1</v>
      </c>
      <c r="J147" s="1" t="s">
        <v>2127</v>
      </c>
      <c r="K147" s="63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2129</v>
      </c>
      <c r="D148" s="1" t="s">
        <v>2132</v>
      </c>
      <c r="E148" s="16" t="n">
        <v>46185</v>
      </c>
      <c r="F148" s="16" t="n">
        <v>46185</v>
      </c>
      <c r="G148" s="1" t="s">
        <v>130</v>
      </c>
      <c r="H148" s="1" t="n">
        <v>1241326</v>
      </c>
      <c r="I148" s="1" t="n">
        <v>1</v>
      </c>
      <c r="J148" s="1" t="s">
        <v>2127</v>
      </c>
      <c r="K148" s="63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2160</v>
      </c>
      <c r="D149" s="1" t="s">
        <v>2161</v>
      </c>
      <c r="E149" s="16" t="n">
        <v>46185</v>
      </c>
      <c r="F149" s="16" t="n">
        <v>46184</v>
      </c>
      <c r="G149" s="1" t="s">
        <v>218</v>
      </c>
      <c r="H149" s="1" t="n">
        <v>1239952</v>
      </c>
      <c r="I149" s="1" t="n">
        <v>11</v>
      </c>
      <c r="J149" s="1" t="s">
        <v>2127</v>
      </c>
      <c r="K149" s="63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2129</v>
      </c>
      <c r="D150" s="1" t="s">
        <v>2143</v>
      </c>
      <c r="E150" s="16" t="n">
        <v>46185</v>
      </c>
      <c r="F150" s="16" t="n">
        <v>46184</v>
      </c>
      <c r="G150" s="1" t="s">
        <v>149</v>
      </c>
      <c r="H150" s="1" t="n">
        <v>1241462</v>
      </c>
      <c r="I150" s="1" t="n">
        <v>11</v>
      </c>
      <c r="J150" s="1" t="s">
        <v>2127</v>
      </c>
      <c r="K150" s="63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2129</v>
      </c>
      <c r="D151" s="1" t="s">
        <v>2130</v>
      </c>
      <c r="E151" s="16" t="n">
        <v>46185</v>
      </c>
      <c r="F151" s="16" t="n">
        <v>46185</v>
      </c>
      <c r="G151" s="1" t="s">
        <v>80</v>
      </c>
      <c r="H151" s="1" t="n">
        <v>1240669</v>
      </c>
      <c r="I151" s="1" t="n">
        <v>6</v>
      </c>
      <c r="J151" s="1" t="s">
        <v>2127</v>
      </c>
      <c r="K151" s="63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2129</v>
      </c>
      <c r="D152" s="1" t="s">
        <v>2130</v>
      </c>
      <c r="E152" s="16" t="n">
        <v>46185</v>
      </c>
      <c r="F152" s="16" t="n">
        <v>46185</v>
      </c>
      <c r="G152" s="1" t="s">
        <v>80</v>
      </c>
      <c r="H152" s="1" t="n">
        <v>1240678</v>
      </c>
      <c r="I152" s="1" t="n">
        <v>6</v>
      </c>
      <c r="J152" s="1" t="s">
        <v>2127</v>
      </c>
      <c r="K152" s="63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2129</v>
      </c>
      <c r="D153" s="1" t="s">
        <v>2130</v>
      </c>
      <c r="E153" s="16" t="n">
        <v>46185</v>
      </c>
      <c r="F153" s="16" t="n">
        <v>46185</v>
      </c>
      <c r="G153" s="1" t="s">
        <v>80</v>
      </c>
      <c r="H153" s="1" t="n">
        <v>1241187</v>
      </c>
      <c r="I153" s="1" t="n">
        <v>6</v>
      </c>
      <c r="J153" s="1" t="s">
        <v>2127</v>
      </c>
      <c r="K153" s="63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2129</v>
      </c>
      <c r="D154" s="1" t="s">
        <v>2130</v>
      </c>
      <c r="E154" s="16" t="n">
        <v>46185</v>
      </c>
      <c r="F154" s="16" t="n">
        <v>46185</v>
      </c>
      <c r="G154" s="1" t="s">
        <v>80</v>
      </c>
      <c r="H154" s="1" t="n">
        <v>1241320</v>
      </c>
      <c r="I154" s="1" t="n">
        <v>6</v>
      </c>
      <c r="J154" s="1" t="s">
        <v>2127</v>
      </c>
      <c r="K154" s="63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2129</v>
      </c>
      <c r="D155" s="1" t="s">
        <v>2130</v>
      </c>
      <c r="E155" s="16" t="n">
        <v>46185</v>
      </c>
      <c r="F155" s="16" t="n">
        <v>46185</v>
      </c>
      <c r="G155" s="1" t="s">
        <v>80</v>
      </c>
      <c r="H155" s="1" t="n">
        <v>1240663</v>
      </c>
      <c r="I155" s="1" t="n">
        <v>2</v>
      </c>
      <c r="J155" s="1" t="s">
        <v>2127</v>
      </c>
      <c r="K155" s="63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2129</v>
      </c>
      <c r="D156" s="1" t="s">
        <v>2130</v>
      </c>
      <c r="E156" s="16" t="n">
        <v>46185</v>
      </c>
      <c r="F156" s="16" t="n">
        <v>46185</v>
      </c>
      <c r="G156" s="1" t="s">
        <v>80</v>
      </c>
      <c r="H156" s="1" t="n">
        <v>1240667</v>
      </c>
      <c r="I156" s="1" t="n">
        <v>2</v>
      </c>
      <c r="J156" s="1" t="s">
        <v>2127</v>
      </c>
      <c r="K156" s="63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2129</v>
      </c>
      <c r="D157" s="1" t="s">
        <v>2130</v>
      </c>
      <c r="E157" s="16" t="n">
        <v>46185</v>
      </c>
      <c r="F157" s="16" t="n">
        <v>46185</v>
      </c>
      <c r="G157" s="1" t="s">
        <v>80</v>
      </c>
      <c r="H157" s="1" t="n">
        <v>1241179</v>
      </c>
      <c r="I157" s="1" t="n">
        <v>2</v>
      </c>
      <c r="J157" s="1" t="s">
        <v>2127</v>
      </c>
      <c r="K157" s="63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2129</v>
      </c>
      <c r="D158" s="1" t="s">
        <v>2130</v>
      </c>
      <c r="E158" s="16" t="n">
        <v>46185</v>
      </c>
      <c r="F158" s="16" t="n">
        <v>46185</v>
      </c>
      <c r="G158" s="1" t="s">
        <v>80</v>
      </c>
      <c r="H158" s="1" t="n">
        <v>1241307</v>
      </c>
      <c r="I158" s="1" t="n">
        <v>2</v>
      </c>
      <c r="J158" s="1" t="s">
        <v>2127</v>
      </c>
      <c r="K158" s="63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2134</v>
      </c>
      <c r="D159" s="1" t="s">
        <v>2142</v>
      </c>
      <c r="E159" s="16" t="n">
        <v>46186</v>
      </c>
      <c r="F159" s="16" t="n">
        <v>46185</v>
      </c>
      <c r="G159" s="1" t="s">
        <v>133</v>
      </c>
      <c r="H159" s="1" t="n">
        <v>1243858</v>
      </c>
      <c r="I159" s="1" t="n">
        <v>1</v>
      </c>
      <c r="J159" s="1" t="s">
        <v>2127</v>
      </c>
      <c r="K159" s="63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2129</v>
      </c>
      <c r="D160" s="1" t="s">
        <v>2130</v>
      </c>
      <c r="E160" s="16" t="n">
        <v>46186</v>
      </c>
      <c r="F160" s="16" t="n">
        <v>46186</v>
      </c>
      <c r="G160" s="1" t="s">
        <v>80</v>
      </c>
      <c r="H160" s="1" t="n">
        <v>1244190</v>
      </c>
      <c r="I160" s="1" t="n">
        <v>6</v>
      </c>
      <c r="J160" s="1" t="s">
        <v>2127</v>
      </c>
      <c r="K160" s="63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2129</v>
      </c>
      <c r="D161" s="1" t="s">
        <v>2130</v>
      </c>
      <c r="E161" s="16" t="n">
        <v>46186</v>
      </c>
      <c r="F161" s="16" t="n">
        <v>46186</v>
      </c>
      <c r="G161" s="1" t="s">
        <v>80</v>
      </c>
      <c r="H161" s="1" t="n">
        <v>1244727</v>
      </c>
      <c r="I161" s="1" t="n">
        <v>6</v>
      </c>
      <c r="J161" s="1" t="s">
        <v>2127</v>
      </c>
      <c r="K161" s="63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2129</v>
      </c>
      <c r="D162" s="1" t="s">
        <v>2130</v>
      </c>
      <c r="E162" s="16" t="n">
        <v>46186</v>
      </c>
      <c r="F162" s="16" t="n">
        <v>46186</v>
      </c>
      <c r="G162" s="1" t="s">
        <v>80</v>
      </c>
      <c r="H162" s="1" t="n">
        <v>1244179</v>
      </c>
      <c r="I162" s="1" t="n">
        <v>2</v>
      </c>
      <c r="J162" s="1" t="s">
        <v>2127</v>
      </c>
      <c r="K162" s="63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2129</v>
      </c>
      <c r="D163" s="1" t="s">
        <v>2130</v>
      </c>
      <c r="E163" s="16" t="n">
        <v>46186</v>
      </c>
      <c r="F163" s="16" t="n">
        <v>46186</v>
      </c>
      <c r="G163" s="1" t="s">
        <v>80</v>
      </c>
      <c r="H163" s="1" t="n">
        <v>1244725</v>
      </c>
      <c r="I163" s="1" t="n">
        <v>2</v>
      </c>
      <c r="J163" s="1" t="s">
        <v>2127</v>
      </c>
      <c r="K163" s="63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2138</v>
      </c>
      <c r="D164" s="1" t="s">
        <v>2145</v>
      </c>
      <c r="E164" s="16" t="n">
        <v>46186</v>
      </c>
      <c r="F164" s="16" t="n">
        <v>46183</v>
      </c>
      <c r="G164" s="1" t="s">
        <v>113</v>
      </c>
      <c r="H164" s="1" t="n">
        <v>1243902</v>
      </c>
      <c r="I164" s="1" t="n">
        <v>1</v>
      </c>
      <c r="J164" s="1" t="s">
        <v>2127</v>
      </c>
      <c r="K164" s="63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2129</v>
      </c>
      <c r="D165" s="1" t="s">
        <v>2131</v>
      </c>
      <c r="E165" s="16" t="n">
        <v>46188</v>
      </c>
      <c r="F165" s="16" t="n">
        <v>46188</v>
      </c>
      <c r="G165" s="1" t="s">
        <v>112</v>
      </c>
      <c r="H165" s="1" t="n">
        <v>1261038</v>
      </c>
      <c r="I165" s="1" t="n">
        <v>1</v>
      </c>
      <c r="J165" s="1" t="s">
        <v>2127</v>
      </c>
      <c r="K165" s="63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2129</v>
      </c>
      <c r="D166" s="1" t="s">
        <v>2165</v>
      </c>
      <c r="E166" s="16" t="n">
        <v>46188</v>
      </c>
      <c r="F166" s="16" t="n">
        <v>46185</v>
      </c>
      <c r="G166" s="1" t="s">
        <v>135</v>
      </c>
      <c r="H166" s="1" t="n">
        <v>1255101</v>
      </c>
      <c r="I166" s="1" t="n">
        <v>1</v>
      </c>
      <c r="J166" s="1" t="s">
        <v>2127</v>
      </c>
      <c r="K166" s="63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2129</v>
      </c>
      <c r="D167" s="1" t="s">
        <v>2194</v>
      </c>
      <c r="E167" s="16" t="n">
        <v>46188</v>
      </c>
      <c r="F167" s="16" t="n">
        <v>46184</v>
      </c>
      <c r="G167" s="1" t="s">
        <v>190</v>
      </c>
      <c r="H167" s="1" t="n">
        <v>1255205</v>
      </c>
      <c r="I167" s="1" t="n">
        <v>11</v>
      </c>
      <c r="J167" s="1" t="s">
        <v>2127</v>
      </c>
      <c r="K167" s="63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2129</v>
      </c>
      <c r="D168" s="1" t="s">
        <v>2195</v>
      </c>
      <c r="E168" s="16" t="n">
        <v>46188</v>
      </c>
      <c r="F168" s="16" t="n">
        <v>46185</v>
      </c>
      <c r="G168" s="1" t="s">
        <v>985</v>
      </c>
      <c r="H168" s="1" t="n">
        <v>1255841</v>
      </c>
      <c r="I168" s="1" t="n">
        <v>1</v>
      </c>
      <c r="J168" s="1" t="s">
        <v>2127</v>
      </c>
      <c r="K168" s="63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2129</v>
      </c>
      <c r="D169" s="1" t="s">
        <v>2196</v>
      </c>
      <c r="E169" s="16" t="n">
        <v>46188</v>
      </c>
      <c r="F169" s="16" t="n">
        <v>46184</v>
      </c>
      <c r="G169" s="1" t="s">
        <v>699</v>
      </c>
      <c r="H169" s="1" t="n">
        <v>1255532</v>
      </c>
      <c r="I169" s="1" t="n">
        <v>11</v>
      </c>
      <c r="J169" s="1" t="s">
        <v>2127</v>
      </c>
      <c r="K169" s="63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2129</v>
      </c>
      <c r="D170" s="1" t="s">
        <v>2197</v>
      </c>
      <c r="E170" s="16" t="n">
        <v>46188</v>
      </c>
      <c r="F170" s="16" t="n">
        <v>46185</v>
      </c>
      <c r="G170" s="1" t="s">
        <v>177</v>
      </c>
      <c r="H170" s="1" t="n">
        <v>1255920</v>
      </c>
      <c r="I170" s="1" t="n">
        <v>11</v>
      </c>
      <c r="J170" s="1" t="s">
        <v>2127</v>
      </c>
      <c r="K170" s="63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2129</v>
      </c>
      <c r="D171" s="1" t="s">
        <v>2136</v>
      </c>
      <c r="E171" s="16" t="n">
        <v>46188</v>
      </c>
      <c r="F171" s="16" t="n">
        <v>46184</v>
      </c>
      <c r="G171" s="1" t="s">
        <v>76</v>
      </c>
      <c r="H171" s="1" t="n">
        <v>1257273</v>
      </c>
      <c r="I171" s="1" t="n">
        <v>11</v>
      </c>
      <c r="J171" s="1" t="s">
        <v>2127</v>
      </c>
      <c r="K171" s="63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2129</v>
      </c>
      <c r="D172" s="1" t="s">
        <v>2136</v>
      </c>
      <c r="E172" s="16" t="n">
        <v>46188</v>
      </c>
      <c r="F172" s="16" t="n">
        <v>46185</v>
      </c>
      <c r="G172" s="1" t="s">
        <v>76</v>
      </c>
      <c r="H172" s="1" t="n">
        <v>1256645</v>
      </c>
      <c r="I172" s="1" t="n">
        <v>11</v>
      </c>
      <c r="J172" s="1" t="s">
        <v>2127</v>
      </c>
      <c r="K172" s="63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2129</v>
      </c>
      <c r="D173" s="1" t="s">
        <v>2136</v>
      </c>
      <c r="E173" s="16" t="n">
        <v>46188</v>
      </c>
      <c r="F173" s="16" t="n">
        <v>46186</v>
      </c>
      <c r="G173" s="1" t="s">
        <v>76</v>
      </c>
      <c r="H173" s="1" t="n">
        <v>1257123</v>
      </c>
      <c r="I173" s="1" t="n">
        <v>11</v>
      </c>
      <c r="J173" s="1" t="s">
        <v>2127</v>
      </c>
      <c r="K173" s="63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2129</v>
      </c>
      <c r="D174" s="1" t="s">
        <v>2136</v>
      </c>
      <c r="E174" s="16" t="n">
        <v>46188</v>
      </c>
      <c r="F174" s="16" t="n">
        <v>46188</v>
      </c>
      <c r="G174" s="1" t="s">
        <v>76</v>
      </c>
      <c r="H174" s="1" t="n">
        <v>1257215</v>
      </c>
      <c r="I174" s="1" t="n">
        <v>11</v>
      </c>
      <c r="J174" s="1" t="s">
        <v>2127</v>
      </c>
      <c r="K174" s="63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2157</v>
      </c>
      <c r="D175" s="1" t="s">
        <v>2158</v>
      </c>
      <c r="E175" s="16" t="n">
        <v>46188</v>
      </c>
      <c r="F175" s="16" t="n">
        <v>46185</v>
      </c>
      <c r="G175" s="1" t="s">
        <v>306</v>
      </c>
      <c r="H175" s="1" t="n">
        <v>1255723</v>
      </c>
      <c r="I175" s="1" t="n">
        <v>1</v>
      </c>
      <c r="J175" s="1" t="s">
        <v>2127</v>
      </c>
      <c r="K175" s="63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2184</v>
      </c>
      <c r="D176" s="1" t="s">
        <v>2185</v>
      </c>
      <c r="E176" s="16" t="n">
        <v>46188</v>
      </c>
      <c r="F176" s="16" t="n">
        <v>46184</v>
      </c>
      <c r="G176" s="1" t="s">
        <v>445</v>
      </c>
      <c r="H176" s="1" t="n">
        <v>1254803</v>
      </c>
      <c r="I176" s="1" t="n">
        <v>11</v>
      </c>
      <c r="J176" s="1" t="s">
        <v>2127</v>
      </c>
      <c r="K176" s="63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2129</v>
      </c>
      <c r="D177" s="1" t="s">
        <v>2170</v>
      </c>
      <c r="E177" s="16" t="n">
        <v>46188</v>
      </c>
      <c r="F177" s="16" t="n">
        <v>46184</v>
      </c>
      <c r="G177" s="1" t="s">
        <v>373</v>
      </c>
      <c r="H177" s="1" t="n">
        <v>1255829</v>
      </c>
      <c r="I177" s="1" t="n">
        <v>1</v>
      </c>
      <c r="J177" s="1" t="s">
        <v>2127</v>
      </c>
      <c r="K177" s="63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2129</v>
      </c>
      <c r="D178" s="1" t="s">
        <v>2130</v>
      </c>
      <c r="E178" s="16" t="n">
        <v>46188</v>
      </c>
      <c r="F178" s="16" t="n">
        <v>46188</v>
      </c>
      <c r="G178" s="1" t="s">
        <v>80</v>
      </c>
      <c r="H178" s="1" t="n">
        <v>1255650</v>
      </c>
      <c r="I178" s="1" t="n">
        <v>6</v>
      </c>
      <c r="J178" s="1" t="s">
        <v>2127</v>
      </c>
      <c r="K178" s="63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2129</v>
      </c>
      <c r="D179" s="1" t="s">
        <v>2130</v>
      </c>
      <c r="E179" s="16" t="n">
        <v>46188</v>
      </c>
      <c r="F179" s="16" t="n">
        <v>46188</v>
      </c>
      <c r="G179" s="1" t="s">
        <v>80</v>
      </c>
      <c r="H179" s="1" t="n">
        <v>1256555</v>
      </c>
      <c r="I179" s="1" t="n">
        <v>6</v>
      </c>
      <c r="J179" s="1" t="s">
        <v>2127</v>
      </c>
      <c r="K179" s="63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2129</v>
      </c>
      <c r="D180" s="1" t="s">
        <v>2130</v>
      </c>
      <c r="E180" s="16" t="n">
        <v>46188</v>
      </c>
      <c r="F180" s="16" t="n">
        <v>46188</v>
      </c>
      <c r="G180" s="1" t="s">
        <v>80</v>
      </c>
      <c r="H180" s="1" t="n">
        <v>1255621</v>
      </c>
      <c r="I180" s="1" t="n">
        <v>2</v>
      </c>
      <c r="J180" s="1" t="s">
        <v>2127</v>
      </c>
      <c r="K180" s="63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2129</v>
      </c>
      <c r="D181" s="1" t="s">
        <v>2130</v>
      </c>
      <c r="E181" s="16" t="n">
        <v>46188</v>
      </c>
      <c r="F181" s="16" t="n">
        <v>46188</v>
      </c>
      <c r="G181" s="1" t="s">
        <v>80</v>
      </c>
      <c r="H181" s="1" t="n">
        <v>1256546</v>
      </c>
      <c r="I181" s="1" t="n">
        <v>2</v>
      </c>
      <c r="J181" s="1" t="s">
        <v>2127</v>
      </c>
      <c r="K181" s="63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2134</v>
      </c>
      <c r="D182" s="1" t="s">
        <v>2198</v>
      </c>
      <c r="E182" s="16" t="n">
        <v>46188</v>
      </c>
      <c r="F182" s="16" t="n">
        <v>46184</v>
      </c>
      <c r="G182" s="1" t="s">
        <v>693</v>
      </c>
      <c r="H182" s="1" t="n">
        <v>1257058</v>
      </c>
      <c r="I182" s="1" t="n">
        <v>11</v>
      </c>
      <c r="J182" s="1" t="s">
        <v>2127</v>
      </c>
      <c r="K182" s="63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2129</v>
      </c>
      <c r="D183" s="1" t="s">
        <v>2166</v>
      </c>
      <c r="E183" s="16" t="n">
        <v>46189</v>
      </c>
      <c r="F183" s="16" t="n">
        <v>46185</v>
      </c>
      <c r="G183" s="1" t="s">
        <v>295</v>
      </c>
      <c r="H183" s="1" t="n">
        <v>1260175</v>
      </c>
      <c r="I183" s="1" t="n">
        <v>1</v>
      </c>
      <c r="J183" s="1" t="s">
        <v>2127</v>
      </c>
      <c r="K183" s="63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2129</v>
      </c>
      <c r="D184" s="1" t="s">
        <v>2166</v>
      </c>
      <c r="E184" s="16" t="n">
        <v>46189</v>
      </c>
      <c r="F184" s="16" t="n">
        <v>46185</v>
      </c>
      <c r="G184" s="1" t="s">
        <v>295</v>
      </c>
      <c r="H184" s="1" t="n">
        <v>1260136</v>
      </c>
      <c r="I184" s="1" t="n">
        <v>1</v>
      </c>
      <c r="J184" s="1" t="s">
        <v>2127</v>
      </c>
      <c r="K184" s="63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2182</v>
      </c>
      <c r="D185" s="1" t="s">
        <v>2199</v>
      </c>
      <c r="E185" s="16" t="n">
        <v>46189</v>
      </c>
      <c r="F185" s="16" t="n">
        <v>46186</v>
      </c>
      <c r="G185" s="1" t="s">
        <v>269</v>
      </c>
      <c r="H185" s="1" t="n">
        <v>1260481</v>
      </c>
      <c r="I185" s="1" t="n">
        <v>11</v>
      </c>
      <c r="J185" s="1" t="s">
        <v>2127</v>
      </c>
      <c r="K185" s="63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2125</v>
      </c>
      <c r="D186" s="1" t="s">
        <v>2126</v>
      </c>
      <c r="E186" s="16" t="n">
        <v>46189</v>
      </c>
      <c r="F186" s="16" t="n">
        <v>46185</v>
      </c>
      <c r="G186" s="1" t="s">
        <v>122</v>
      </c>
      <c r="H186" s="1" t="n">
        <v>1260165</v>
      </c>
      <c r="I186" s="1" t="n">
        <v>11</v>
      </c>
      <c r="J186" s="1" t="s">
        <v>2127</v>
      </c>
      <c r="K186" s="63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2128</v>
      </c>
      <c r="D187" s="1" t="s">
        <v>2126</v>
      </c>
      <c r="E187" s="16" t="n">
        <v>46189</v>
      </c>
      <c r="F187" s="16" t="n">
        <v>46185</v>
      </c>
      <c r="G187" s="1" t="s">
        <v>122</v>
      </c>
      <c r="H187" s="1" t="n">
        <v>1260147</v>
      </c>
      <c r="I187" s="1" t="n">
        <v>11</v>
      </c>
      <c r="J187" s="1" t="s">
        <v>2127</v>
      </c>
      <c r="K187" s="63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2129</v>
      </c>
      <c r="D188" s="1" t="s">
        <v>2136</v>
      </c>
      <c r="E188" s="16" t="n">
        <v>46189</v>
      </c>
      <c r="F188" s="16" t="n">
        <v>46182</v>
      </c>
      <c r="G188" s="1" t="s">
        <v>76</v>
      </c>
      <c r="H188" s="1" t="n">
        <v>1260117</v>
      </c>
      <c r="I188" s="1" t="n">
        <v>11</v>
      </c>
      <c r="J188" s="1" t="s">
        <v>2127</v>
      </c>
      <c r="K188" s="63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2129</v>
      </c>
      <c r="D189" s="1" t="s">
        <v>2132</v>
      </c>
      <c r="E189" s="16" t="n">
        <v>46189</v>
      </c>
      <c r="F189" s="16" t="n">
        <v>46189</v>
      </c>
      <c r="G189" s="1" t="s">
        <v>130</v>
      </c>
      <c r="H189" s="1" t="n">
        <v>1261684</v>
      </c>
      <c r="I189" s="1" t="n">
        <v>1</v>
      </c>
      <c r="J189" s="1" t="s">
        <v>2127</v>
      </c>
      <c r="K189" s="63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2129</v>
      </c>
      <c r="D190" s="1" t="s">
        <v>2200</v>
      </c>
      <c r="E190" s="16" t="n">
        <v>46189</v>
      </c>
      <c r="F190" s="16" t="n">
        <v>46184</v>
      </c>
      <c r="G190" s="1" t="s">
        <v>697</v>
      </c>
      <c r="H190" s="1" t="n">
        <v>1260641</v>
      </c>
      <c r="I190" s="1" t="n">
        <v>11</v>
      </c>
      <c r="J190" s="1" t="s">
        <v>2127</v>
      </c>
      <c r="K190" s="63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2134</v>
      </c>
      <c r="D191" s="1" t="s">
        <v>2140</v>
      </c>
      <c r="E191" s="16" t="n">
        <v>46189</v>
      </c>
      <c r="F191" s="16" t="n">
        <v>46189</v>
      </c>
      <c r="G191" s="1" t="s">
        <v>183</v>
      </c>
      <c r="H191" s="1" t="n">
        <v>1264909</v>
      </c>
      <c r="I191" s="1" t="n">
        <v>1</v>
      </c>
      <c r="J191" s="1" t="s">
        <v>2127</v>
      </c>
      <c r="K191" s="63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2138</v>
      </c>
      <c r="D192" s="1" t="s">
        <v>2167</v>
      </c>
      <c r="E192" s="16" t="n">
        <v>46189</v>
      </c>
      <c r="F192" s="16" t="n">
        <v>46188</v>
      </c>
      <c r="G192" s="1" t="s">
        <v>351</v>
      </c>
      <c r="H192" s="1" t="n">
        <v>1261084</v>
      </c>
      <c r="I192" s="1" t="n">
        <v>1</v>
      </c>
      <c r="J192" s="1" t="s">
        <v>2127</v>
      </c>
      <c r="K192" s="63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2129</v>
      </c>
      <c r="D193" s="1" t="s">
        <v>2167</v>
      </c>
      <c r="E193" s="16" t="n">
        <v>46189</v>
      </c>
      <c r="F193" s="16" t="n">
        <v>46188</v>
      </c>
      <c r="G193" s="1" t="s">
        <v>351</v>
      </c>
      <c r="H193" s="1" t="n">
        <v>1261074</v>
      </c>
      <c r="I193" s="1" t="n">
        <v>1</v>
      </c>
      <c r="J193" s="1" t="s">
        <v>2127</v>
      </c>
      <c r="K193" s="63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2129</v>
      </c>
      <c r="D194" s="1" t="s">
        <v>2201</v>
      </c>
      <c r="E194" s="16" t="n">
        <v>46189</v>
      </c>
      <c r="F194" s="16" t="n">
        <v>46176</v>
      </c>
      <c r="G194" s="1" t="s">
        <v>554</v>
      </c>
      <c r="H194" s="1" t="n">
        <v>1260206</v>
      </c>
      <c r="I194" s="1" t="n">
        <v>11</v>
      </c>
      <c r="J194" s="1" t="s">
        <v>2127</v>
      </c>
      <c r="K194" s="63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2129</v>
      </c>
      <c r="D195" s="1" t="s">
        <v>2143</v>
      </c>
      <c r="E195" s="16" t="n">
        <v>46189</v>
      </c>
      <c r="F195" s="16" t="n">
        <v>46188</v>
      </c>
      <c r="G195" s="1" t="s">
        <v>149</v>
      </c>
      <c r="H195" s="1" t="n">
        <v>1261089</v>
      </c>
      <c r="I195" s="1" t="n">
        <v>11</v>
      </c>
      <c r="J195" s="1" t="s">
        <v>2127</v>
      </c>
      <c r="K195" s="63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2129</v>
      </c>
      <c r="D196" s="1" t="s">
        <v>2144</v>
      </c>
      <c r="E196" s="16" t="n">
        <v>46189</v>
      </c>
      <c r="F196" s="16" t="n">
        <v>46189</v>
      </c>
      <c r="G196" s="1" t="s">
        <v>170</v>
      </c>
      <c r="H196" s="1" t="n">
        <v>1261789</v>
      </c>
      <c r="I196" s="1" t="n">
        <v>1</v>
      </c>
      <c r="J196" s="1" t="s">
        <v>2127</v>
      </c>
      <c r="K196" s="63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2129</v>
      </c>
      <c r="D197" s="1" t="s">
        <v>2144</v>
      </c>
      <c r="E197" s="16" t="n">
        <v>46189</v>
      </c>
      <c r="F197" s="16" t="n">
        <v>46189</v>
      </c>
      <c r="G197" s="1" t="s">
        <v>170</v>
      </c>
      <c r="H197" s="1" t="n">
        <v>1261767</v>
      </c>
      <c r="I197" s="1" t="n">
        <v>1</v>
      </c>
      <c r="J197" s="1" t="s">
        <v>2127</v>
      </c>
      <c r="K197" s="63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2129</v>
      </c>
      <c r="D198" s="1" t="s">
        <v>2130</v>
      </c>
      <c r="E198" s="16" t="n">
        <v>46189</v>
      </c>
      <c r="F198" s="16" t="n">
        <v>46189</v>
      </c>
      <c r="G198" s="1" t="s">
        <v>80</v>
      </c>
      <c r="H198" s="1" t="n">
        <v>1260352</v>
      </c>
      <c r="I198" s="1" t="n">
        <v>6</v>
      </c>
      <c r="J198" s="1" t="s">
        <v>2127</v>
      </c>
      <c r="K198" s="63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2129</v>
      </c>
      <c r="D199" s="1" t="s">
        <v>2130</v>
      </c>
      <c r="E199" s="16" t="n">
        <v>46189</v>
      </c>
      <c r="F199" s="16" t="n">
        <v>46189</v>
      </c>
      <c r="G199" s="1" t="s">
        <v>80</v>
      </c>
      <c r="H199" s="1" t="n">
        <v>1260804</v>
      </c>
      <c r="I199" s="1" t="n">
        <v>6</v>
      </c>
      <c r="J199" s="1" t="s">
        <v>2127</v>
      </c>
      <c r="K199" s="63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2129</v>
      </c>
      <c r="D200" s="1" t="s">
        <v>2130</v>
      </c>
      <c r="E200" s="16" t="n">
        <v>46189</v>
      </c>
      <c r="F200" s="16" t="n">
        <v>46189</v>
      </c>
      <c r="G200" s="1" t="s">
        <v>80</v>
      </c>
      <c r="H200" s="1" t="n">
        <v>1261666</v>
      </c>
      <c r="I200" s="1" t="n">
        <v>6</v>
      </c>
      <c r="J200" s="1" t="s">
        <v>2127</v>
      </c>
      <c r="K200" s="63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2129</v>
      </c>
      <c r="D201" s="1" t="s">
        <v>2130</v>
      </c>
      <c r="E201" s="16" t="n">
        <v>46189</v>
      </c>
      <c r="F201" s="16" t="n">
        <v>46189</v>
      </c>
      <c r="G201" s="1" t="s">
        <v>80</v>
      </c>
      <c r="H201" s="1" t="n">
        <v>1260342</v>
      </c>
      <c r="I201" s="1" t="n">
        <v>2</v>
      </c>
      <c r="J201" s="1" t="s">
        <v>2127</v>
      </c>
      <c r="K201" s="63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2134</v>
      </c>
      <c r="D202" s="1" t="s">
        <v>2130</v>
      </c>
      <c r="E202" s="16" t="n">
        <v>46189</v>
      </c>
      <c r="F202" s="16" t="n">
        <v>46189</v>
      </c>
      <c r="G202" s="1" t="s">
        <v>80</v>
      </c>
      <c r="H202" s="1" t="n">
        <v>1260786</v>
      </c>
      <c r="I202" s="1" t="n">
        <v>2</v>
      </c>
      <c r="J202" s="1" t="s">
        <v>2127</v>
      </c>
      <c r="K202" s="63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2129</v>
      </c>
      <c r="D203" s="1" t="s">
        <v>2130</v>
      </c>
      <c r="E203" s="16" t="n">
        <v>46189</v>
      </c>
      <c r="F203" s="16" t="n">
        <v>46189</v>
      </c>
      <c r="G203" s="1" t="s">
        <v>80</v>
      </c>
      <c r="H203" s="1" t="n">
        <v>1261640</v>
      </c>
      <c r="I203" s="1" t="n">
        <v>2</v>
      </c>
      <c r="J203" s="1" t="s">
        <v>2127</v>
      </c>
      <c r="K203" s="63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2138</v>
      </c>
      <c r="D204" s="1" t="s">
        <v>2202</v>
      </c>
      <c r="E204" s="16" t="n">
        <v>46189</v>
      </c>
      <c r="F204" s="16" t="n">
        <v>46184</v>
      </c>
      <c r="G204" s="1" t="s">
        <v>266</v>
      </c>
      <c r="H204" s="1" t="n">
        <v>1260715</v>
      </c>
      <c r="I204" s="1" t="n">
        <v>11</v>
      </c>
      <c r="J204" s="1" t="s">
        <v>2127</v>
      </c>
      <c r="K204" s="63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2203</v>
      </c>
      <c r="D205" s="1" t="s">
        <v>2204</v>
      </c>
      <c r="E205" s="16" t="n">
        <v>46189</v>
      </c>
      <c r="F205" s="16" t="n">
        <v>46188</v>
      </c>
      <c r="G205" s="1" t="s">
        <v>161</v>
      </c>
      <c r="H205" s="1" t="n">
        <v>1261103</v>
      </c>
      <c r="I205" s="1" t="n">
        <v>11</v>
      </c>
      <c r="J205" s="1" t="s">
        <v>2127</v>
      </c>
      <c r="K205" s="63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2129</v>
      </c>
      <c r="D206" s="1" t="s">
        <v>2146</v>
      </c>
      <c r="E206" s="16" t="n">
        <v>46189</v>
      </c>
      <c r="F206" s="16" t="n">
        <v>46182</v>
      </c>
      <c r="G206" s="1" t="s">
        <v>120</v>
      </c>
      <c r="H206" s="1" t="n">
        <v>1261839</v>
      </c>
      <c r="I206" s="1" t="n">
        <v>1</v>
      </c>
      <c r="J206" s="1" t="s">
        <v>2127</v>
      </c>
      <c r="K206" s="63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2129</v>
      </c>
      <c r="D207" s="1" t="s">
        <v>2146</v>
      </c>
      <c r="E207" s="16" t="n">
        <v>46189</v>
      </c>
      <c r="F207" s="16" t="n">
        <v>46189</v>
      </c>
      <c r="G207" s="1" t="s">
        <v>120</v>
      </c>
      <c r="H207" s="1" t="n">
        <v>1262266</v>
      </c>
      <c r="I207" s="1" t="n">
        <v>1</v>
      </c>
      <c r="J207" s="1" t="s">
        <v>2127</v>
      </c>
      <c r="K207" s="63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2134</v>
      </c>
      <c r="D208" s="1" t="s">
        <v>2205</v>
      </c>
      <c r="E208" s="16" t="n">
        <v>46190</v>
      </c>
      <c r="F208" s="16" t="n">
        <v>46189</v>
      </c>
      <c r="G208" s="1" t="s">
        <v>809</v>
      </c>
      <c r="H208" s="1" t="n">
        <v>1265595</v>
      </c>
      <c r="I208" s="1" t="n">
        <v>1</v>
      </c>
      <c r="J208" s="1" t="s">
        <v>2127</v>
      </c>
      <c r="K208" s="63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2129</v>
      </c>
      <c r="D209" s="1" t="s">
        <v>2206</v>
      </c>
      <c r="E209" s="16" t="n">
        <v>46190</v>
      </c>
      <c r="F209" s="16" t="n">
        <v>46190</v>
      </c>
      <c r="G209" s="1" t="s">
        <v>247</v>
      </c>
      <c r="H209" s="1" t="n">
        <v>1265498</v>
      </c>
      <c r="I209" s="1" t="n">
        <v>11</v>
      </c>
      <c r="J209" s="1" t="s">
        <v>2127</v>
      </c>
      <c r="K209" s="63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2125</v>
      </c>
      <c r="D210" s="1" t="s">
        <v>2126</v>
      </c>
      <c r="E210" s="16" t="n">
        <v>46190</v>
      </c>
      <c r="F210" s="16" t="n">
        <v>46189</v>
      </c>
      <c r="G210" s="1" t="s">
        <v>122</v>
      </c>
      <c r="H210" s="1" t="n">
        <v>1265510</v>
      </c>
      <c r="I210" s="1" t="n">
        <v>11</v>
      </c>
      <c r="J210" s="1" t="s">
        <v>2127</v>
      </c>
      <c r="K210" s="63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2128</v>
      </c>
      <c r="D211" s="1" t="s">
        <v>2126</v>
      </c>
      <c r="E211" s="16" t="n">
        <v>46190</v>
      </c>
      <c r="F211" s="16" t="n">
        <v>46189</v>
      </c>
      <c r="G211" s="1" t="s">
        <v>122</v>
      </c>
      <c r="H211" s="1" t="n">
        <v>1265518</v>
      </c>
      <c r="I211" s="1" t="n">
        <v>11</v>
      </c>
      <c r="J211" s="1" t="s">
        <v>2127</v>
      </c>
      <c r="K211" s="63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2129</v>
      </c>
      <c r="D212" s="1" t="s">
        <v>2176</v>
      </c>
      <c r="E212" s="16" t="n">
        <v>46190</v>
      </c>
      <c r="F212" s="16" t="n">
        <v>46189</v>
      </c>
      <c r="G212" s="1" t="s">
        <v>49</v>
      </c>
      <c r="H212" s="1" t="n">
        <v>1265837</v>
      </c>
      <c r="I212" s="1" t="n">
        <v>11</v>
      </c>
      <c r="J212" s="1" t="s">
        <v>2127</v>
      </c>
      <c r="K212" s="63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2138</v>
      </c>
      <c r="D213" s="1" t="s">
        <v>2139</v>
      </c>
      <c r="E213" s="16" t="n">
        <v>46190</v>
      </c>
      <c r="F213" s="16" t="n">
        <v>46188</v>
      </c>
      <c r="G213" s="1" t="s">
        <v>339</v>
      </c>
      <c r="H213" s="1" t="n">
        <v>1264733</v>
      </c>
      <c r="I213" s="1" t="n">
        <v>11</v>
      </c>
      <c r="J213" s="1" t="s">
        <v>2127</v>
      </c>
      <c r="K213" s="63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2129</v>
      </c>
      <c r="D214" s="1" t="s">
        <v>2207</v>
      </c>
      <c r="E214" s="16" t="n">
        <v>46190</v>
      </c>
      <c r="F214" s="16" t="n">
        <v>46188</v>
      </c>
      <c r="G214" s="1" t="s">
        <v>807</v>
      </c>
      <c r="H214" s="1" t="n">
        <v>1265467</v>
      </c>
      <c r="I214" s="1" t="n">
        <v>11</v>
      </c>
      <c r="J214" s="1" t="s">
        <v>2127</v>
      </c>
      <c r="K214" s="63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2129</v>
      </c>
      <c r="D215" s="1" t="s">
        <v>2208</v>
      </c>
      <c r="E215" s="16" t="n">
        <v>46190</v>
      </c>
      <c r="F215" s="16" t="n">
        <v>46189</v>
      </c>
      <c r="G215" s="1" t="s">
        <v>807</v>
      </c>
      <c r="H215" s="1" t="n">
        <v>1265472</v>
      </c>
      <c r="I215" s="1" t="n">
        <v>11</v>
      </c>
      <c r="J215" s="1" t="s">
        <v>2127</v>
      </c>
      <c r="K215" s="63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2129</v>
      </c>
      <c r="D216" s="1" t="s">
        <v>2141</v>
      </c>
      <c r="E216" s="16" t="n">
        <v>46190</v>
      </c>
      <c r="F216" s="16" t="n">
        <v>46189</v>
      </c>
      <c r="G216" s="1" t="s">
        <v>53</v>
      </c>
      <c r="H216" s="1" t="n">
        <v>1265573</v>
      </c>
      <c r="I216" s="1" t="n">
        <v>11</v>
      </c>
      <c r="J216" s="1" t="s">
        <v>2127</v>
      </c>
      <c r="K216" s="63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2129</v>
      </c>
      <c r="D217" s="1" t="s">
        <v>2143</v>
      </c>
      <c r="E217" s="16" t="n">
        <v>46190</v>
      </c>
      <c r="F217" s="16" t="n">
        <v>46189</v>
      </c>
      <c r="G217" s="1" t="s">
        <v>149</v>
      </c>
      <c r="H217" s="1" t="n">
        <v>1265507</v>
      </c>
      <c r="I217" s="1" t="n">
        <v>11</v>
      </c>
      <c r="J217" s="1" t="s">
        <v>2127</v>
      </c>
      <c r="K217" s="63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2129</v>
      </c>
      <c r="D218" s="1" t="s">
        <v>2144</v>
      </c>
      <c r="E218" s="16" t="n">
        <v>46190</v>
      </c>
      <c r="F218" s="16" t="n">
        <v>46190</v>
      </c>
      <c r="G218" s="1" t="s">
        <v>170</v>
      </c>
      <c r="H218" s="1" t="n">
        <v>1266217</v>
      </c>
      <c r="I218" s="1" t="n">
        <v>11</v>
      </c>
      <c r="J218" s="1" t="s">
        <v>2127</v>
      </c>
      <c r="K218" s="63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2129</v>
      </c>
      <c r="D219" s="1" t="s">
        <v>2130</v>
      </c>
      <c r="E219" s="16" t="n">
        <v>46190</v>
      </c>
      <c r="F219" s="16" t="n">
        <v>46190</v>
      </c>
      <c r="G219" s="1" t="s">
        <v>80</v>
      </c>
      <c r="H219" s="1" t="n">
        <v>1265526</v>
      </c>
      <c r="I219" s="1" t="n">
        <v>6</v>
      </c>
      <c r="J219" s="1" t="s">
        <v>2127</v>
      </c>
      <c r="K219" s="63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2129</v>
      </c>
      <c r="D220" s="1" t="s">
        <v>2130</v>
      </c>
      <c r="E220" s="16" t="n">
        <v>46190</v>
      </c>
      <c r="F220" s="16" t="n">
        <v>46190</v>
      </c>
      <c r="G220" s="1" t="s">
        <v>80</v>
      </c>
      <c r="H220" s="1" t="n">
        <v>1265523</v>
      </c>
      <c r="I220" s="1" t="n">
        <v>2</v>
      </c>
      <c r="J220" s="1" t="s">
        <v>2127</v>
      </c>
      <c r="K220" s="63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2129</v>
      </c>
      <c r="D221" s="1" t="s">
        <v>2171</v>
      </c>
      <c r="E221" s="16" t="n">
        <v>46190</v>
      </c>
      <c r="F221" s="16" t="n">
        <v>46189</v>
      </c>
      <c r="G221" s="1" t="s">
        <v>223</v>
      </c>
      <c r="H221" s="1" t="n">
        <v>1264983</v>
      </c>
      <c r="I221" s="1" t="n">
        <v>11</v>
      </c>
      <c r="J221" s="1" t="s">
        <v>2127</v>
      </c>
      <c r="K221" s="63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2129</v>
      </c>
      <c r="D222" s="1" t="s">
        <v>2147</v>
      </c>
      <c r="E222" s="16" t="n">
        <v>46190</v>
      </c>
      <c r="F222" s="16" t="n">
        <v>46189</v>
      </c>
      <c r="G222" s="1" t="s">
        <v>125</v>
      </c>
      <c r="H222" s="1" t="n">
        <v>1266199</v>
      </c>
      <c r="I222" s="1" t="n">
        <v>1</v>
      </c>
      <c r="J222" s="1" t="s">
        <v>2127</v>
      </c>
      <c r="K222" s="63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2129</v>
      </c>
      <c r="D223" s="1" t="s">
        <v>2147</v>
      </c>
      <c r="E223" s="16" t="n">
        <v>46190</v>
      </c>
      <c r="F223" s="16" t="n">
        <v>46189</v>
      </c>
      <c r="G223" s="1" t="s">
        <v>125</v>
      </c>
      <c r="H223" s="1" t="n">
        <v>1266218</v>
      </c>
      <c r="I223" s="1" t="n">
        <v>11</v>
      </c>
      <c r="J223" s="1" t="s">
        <v>2127</v>
      </c>
      <c r="K223" s="63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2134</v>
      </c>
      <c r="D224" s="1" t="s">
        <v>2150</v>
      </c>
      <c r="E224" s="16" t="n">
        <v>46191</v>
      </c>
      <c r="F224" s="16" t="n">
        <v>46189</v>
      </c>
      <c r="G224" s="1" t="s">
        <v>179</v>
      </c>
      <c r="H224" s="1" t="n">
        <v>1268668</v>
      </c>
      <c r="I224" s="1" t="n">
        <v>1</v>
      </c>
      <c r="J224" s="1" t="s">
        <v>2127</v>
      </c>
      <c r="K224" s="63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2129</v>
      </c>
      <c r="D225" s="1" t="s">
        <v>2197</v>
      </c>
      <c r="E225" s="16" t="n">
        <v>46191</v>
      </c>
      <c r="F225" s="16" t="n">
        <v>46191</v>
      </c>
      <c r="G225" s="1" t="s">
        <v>177</v>
      </c>
      <c r="H225" s="1" t="n">
        <v>1268707</v>
      </c>
      <c r="I225" s="1" t="n">
        <v>11</v>
      </c>
      <c r="J225" s="1" t="s">
        <v>2127</v>
      </c>
      <c r="K225" s="63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2129</v>
      </c>
      <c r="D226" s="1" t="s">
        <v>2151</v>
      </c>
      <c r="E226" s="16" t="n">
        <v>46191</v>
      </c>
      <c r="F226" s="16" t="n">
        <v>46190</v>
      </c>
      <c r="G226" s="1" t="s">
        <v>274</v>
      </c>
      <c r="H226" s="1" t="n">
        <v>1269330</v>
      </c>
      <c r="I226" s="1" t="n">
        <v>1</v>
      </c>
      <c r="J226" s="1" t="s">
        <v>2127</v>
      </c>
      <c r="K226" s="63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2129</v>
      </c>
      <c r="D227" s="1" t="s">
        <v>2163</v>
      </c>
      <c r="E227" s="16" t="n">
        <v>46191</v>
      </c>
      <c r="F227" s="16" t="n">
        <v>46191</v>
      </c>
      <c r="G227" s="1" t="s">
        <v>2164</v>
      </c>
      <c r="H227" s="1" t="n">
        <v>1270052</v>
      </c>
      <c r="I227" s="1" t="n">
        <v>1</v>
      </c>
      <c r="J227" s="1" t="s">
        <v>2127</v>
      </c>
      <c r="K227" s="63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2129</v>
      </c>
      <c r="D228" s="1" t="s">
        <v>2130</v>
      </c>
      <c r="E228" s="16" t="n">
        <v>46191</v>
      </c>
      <c r="F228" s="16" t="n">
        <v>46191</v>
      </c>
      <c r="G228" s="1" t="s">
        <v>80</v>
      </c>
      <c r="H228" s="1" t="n">
        <v>1269055</v>
      </c>
      <c r="I228" s="1" t="n">
        <v>6</v>
      </c>
      <c r="J228" s="1" t="s">
        <v>2127</v>
      </c>
      <c r="K228" s="63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2129</v>
      </c>
      <c r="D229" s="1" t="s">
        <v>2130</v>
      </c>
      <c r="E229" s="16" t="n">
        <v>46191</v>
      </c>
      <c r="F229" s="16" t="n">
        <v>46191</v>
      </c>
      <c r="G229" s="1" t="s">
        <v>80</v>
      </c>
      <c r="H229" s="1" t="n">
        <v>1269127</v>
      </c>
      <c r="I229" s="1" t="n">
        <v>6</v>
      </c>
      <c r="J229" s="1" t="s">
        <v>2127</v>
      </c>
      <c r="K229" s="63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2129</v>
      </c>
      <c r="D230" s="1" t="s">
        <v>2130</v>
      </c>
      <c r="E230" s="16" t="n">
        <v>46191</v>
      </c>
      <c r="F230" s="16" t="n">
        <v>46191</v>
      </c>
      <c r="G230" s="1" t="s">
        <v>80</v>
      </c>
      <c r="H230" s="1" t="n">
        <v>1269133</v>
      </c>
      <c r="I230" s="1" t="n">
        <v>6</v>
      </c>
      <c r="J230" s="1" t="s">
        <v>2127</v>
      </c>
      <c r="K230" s="63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2129</v>
      </c>
      <c r="D231" s="1" t="s">
        <v>2130</v>
      </c>
      <c r="E231" s="16" t="n">
        <v>46191</v>
      </c>
      <c r="F231" s="16" t="n">
        <v>46191</v>
      </c>
      <c r="G231" s="1" t="s">
        <v>80</v>
      </c>
      <c r="H231" s="1" t="n">
        <v>1269049</v>
      </c>
      <c r="I231" s="1" t="n">
        <v>2</v>
      </c>
      <c r="J231" s="1" t="s">
        <v>2127</v>
      </c>
      <c r="K231" s="63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2129</v>
      </c>
      <c r="D232" s="1" t="s">
        <v>2130</v>
      </c>
      <c r="E232" s="16" t="n">
        <v>46191</v>
      </c>
      <c r="F232" s="16" t="n">
        <v>46191</v>
      </c>
      <c r="G232" s="1" t="s">
        <v>80</v>
      </c>
      <c r="H232" s="1" t="n">
        <v>1269123</v>
      </c>
      <c r="I232" s="1" t="n">
        <v>2</v>
      </c>
      <c r="J232" s="1" t="s">
        <v>2127</v>
      </c>
      <c r="K232" s="63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2129</v>
      </c>
      <c r="D233" s="1" t="s">
        <v>2130</v>
      </c>
      <c r="E233" s="16" t="n">
        <v>46191</v>
      </c>
      <c r="F233" s="16" t="n">
        <v>46191</v>
      </c>
      <c r="G233" s="1" t="s">
        <v>80</v>
      </c>
      <c r="H233" s="1" t="n">
        <v>1269125</v>
      </c>
      <c r="I233" s="1" t="n">
        <v>2</v>
      </c>
      <c r="J233" s="1" t="s">
        <v>2127</v>
      </c>
      <c r="K233" s="63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2129</v>
      </c>
      <c r="D234" s="1" t="s">
        <v>2209</v>
      </c>
      <c r="E234" s="16" t="n">
        <v>46191</v>
      </c>
      <c r="F234" s="16" t="n">
        <v>46191</v>
      </c>
      <c r="G234" s="1" t="s">
        <v>195</v>
      </c>
      <c r="H234" s="1" t="n">
        <v>1269359</v>
      </c>
      <c r="I234" s="1" t="n">
        <v>39</v>
      </c>
      <c r="J234" s="1" t="s">
        <v>2127</v>
      </c>
      <c r="K234" s="63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2129</v>
      </c>
      <c r="D235" s="1" t="s">
        <v>2210</v>
      </c>
      <c r="E235" s="16" t="n">
        <v>46191</v>
      </c>
      <c r="F235" s="16" t="n">
        <v>46190</v>
      </c>
      <c r="G235" s="1" t="s">
        <v>393</v>
      </c>
      <c r="H235" s="1" t="n">
        <v>1269375</v>
      </c>
      <c r="I235" s="1" t="n">
        <v>11</v>
      </c>
      <c r="J235" s="1" t="s">
        <v>2127</v>
      </c>
      <c r="K235" s="63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2129</v>
      </c>
      <c r="D236" s="1" t="s">
        <v>2148</v>
      </c>
      <c r="E236" s="16" t="n">
        <v>46192</v>
      </c>
      <c r="F236" s="16" t="n">
        <v>46192</v>
      </c>
      <c r="G236" s="1" t="s">
        <v>2149</v>
      </c>
      <c r="H236" s="1" t="n">
        <v>1279589</v>
      </c>
      <c r="I236" s="1" t="n">
        <v>1</v>
      </c>
      <c r="J236" s="1" t="s">
        <v>2127</v>
      </c>
      <c r="K236" s="63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2129</v>
      </c>
      <c r="D237" s="1" t="s">
        <v>2188</v>
      </c>
      <c r="E237" s="16" t="n">
        <v>46192</v>
      </c>
      <c r="F237" s="16" t="n">
        <v>46192</v>
      </c>
      <c r="G237" s="1" t="s">
        <v>278</v>
      </c>
      <c r="H237" s="1" t="n">
        <v>1273027</v>
      </c>
      <c r="I237" s="1" t="n">
        <v>1</v>
      </c>
      <c r="J237" s="1" t="s">
        <v>2127</v>
      </c>
      <c r="K237" s="63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2129</v>
      </c>
      <c r="D238" s="1" t="s">
        <v>2136</v>
      </c>
      <c r="E238" s="16" t="n">
        <v>46192</v>
      </c>
      <c r="F238" s="16" t="n">
        <v>46189</v>
      </c>
      <c r="G238" s="1" t="s">
        <v>76</v>
      </c>
      <c r="H238" s="1" t="n">
        <v>1272824</v>
      </c>
      <c r="I238" s="1" t="n">
        <v>11</v>
      </c>
      <c r="J238" s="1" t="s">
        <v>2127</v>
      </c>
      <c r="K238" s="63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2129</v>
      </c>
      <c r="D239" s="1" t="s">
        <v>2136</v>
      </c>
      <c r="E239" s="16" t="n">
        <v>46192</v>
      </c>
      <c r="F239" s="16" t="n">
        <v>46189</v>
      </c>
      <c r="G239" s="1" t="s">
        <v>76</v>
      </c>
      <c r="H239" s="1" t="n">
        <v>1272767</v>
      </c>
      <c r="I239" s="1" t="n">
        <v>11</v>
      </c>
      <c r="J239" s="1" t="s">
        <v>2127</v>
      </c>
      <c r="K239" s="63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2129</v>
      </c>
      <c r="D240" s="1" t="s">
        <v>2132</v>
      </c>
      <c r="E240" s="16" t="n">
        <v>46192</v>
      </c>
      <c r="F240" s="16" t="n">
        <v>46192</v>
      </c>
      <c r="G240" s="1" t="s">
        <v>130</v>
      </c>
      <c r="H240" s="1" t="n">
        <v>1273904</v>
      </c>
      <c r="I240" s="1" t="n">
        <v>1</v>
      </c>
      <c r="J240" s="1" t="s">
        <v>2127</v>
      </c>
      <c r="K240" s="63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2129</v>
      </c>
      <c r="D241" s="1" t="s">
        <v>2176</v>
      </c>
      <c r="E241" s="16" t="n">
        <v>46192</v>
      </c>
      <c r="F241" s="16" t="n">
        <v>46189</v>
      </c>
      <c r="G241" s="1" t="s">
        <v>49</v>
      </c>
      <c r="H241" s="1" t="n">
        <v>1273275</v>
      </c>
      <c r="I241" s="1" t="n">
        <v>11</v>
      </c>
      <c r="J241" s="1" t="s">
        <v>2127</v>
      </c>
      <c r="K241" s="63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2129</v>
      </c>
      <c r="D242" s="1" t="s">
        <v>2176</v>
      </c>
      <c r="E242" s="16" t="n">
        <v>46192</v>
      </c>
      <c r="F242" s="16" t="n">
        <v>46189</v>
      </c>
      <c r="G242" s="1" t="s">
        <v>49</v>
      </c>
      <c r="H242" s="1" t="n">
        <v>1273315</v>
      </c>
      <c r="I242" s="1" t="n">
        <v>11</v>
      </c>
      <c r="J242" s="1" t="s">
        <v>2127</v>
      </c>
      <c r="K242" s="63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2129</v>
      </c>
      <c r="D243" s="1" t="s">
        <v>2176</v>
      </c>
      <c r="E243" s="16" t="n">
        <v>46192</v>
      </c>
      <c r="F243" s="16" t="n">
        <v>46189</v>
      </c>
      <c r="G243" s="1" t="s">
        <v>49</v>
      </c>
      <c r="H243" s="1" t="n">
        <v>1273054</v>
      </c>
      <c r="I243" s="1" t="n">
        <v>11</v>
      </c>
      <c r="J243" s="1" t="s">
        <v>2127</v>
      </c>
      <c r="K243" s="63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2129</v>
      </c>
      <c r="D244" s="1" t="s">
        <v>2176</v>
      </c>
      <c r="E244" s="16" t="n">
        <v>46192</v>
      </c>
      <c r="F244" s="16" t="n">
        <v>46189</v>
      </c>
      <c r="G244" s="1" t="s">
        <v>49</v>
      </c>
      <c r="H244" s="1" t="n">
        <v>1272906</v>
      </c>
      <c r="I244" s="1" t="n">
        <v>11</v>
      </c>
      <c r="J244" s="1" t="s">
        <v>2127</v>
      </c>
      <c r="K244" s="63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2160</v>
      </c>
      <c r="D245" s="1" t="s">
        <v>2161</v>
      </c>
      <c r="E245" s="16" t="n">
        <v>46192</v>
      </c>
      <c r="F245" s="16" t="n">
        <v>46191</v>
      </c>
      <c r="G245" s="1" t="s">
        <v>218</v>
      </c>
      <c r="H245" s="1" t="n">
        <v>1272666</v>
      </c>
      <c r="I245" s="1" t="n">
        <v>11</v>
      </c>
      <c r="J245" s="1" t="s">
        <v>2127</v>
      </c>
      <c r="K245" s="63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2182</v>
      </c>
      <c r="D246" s="1" t="s">
        <v>2183</v>
      </c>
      <c r="E246" s="16" t="n">
        <v>46192</v>
      </c>
      <c r="F246" s="16" t="n">
        <v>46186</v>
      </c>
      <c r="G246" s="1" t="s">
        <v>720</v>
      </c>
      <c r="H246" s="1" t="n">
        <v>1274289</v>
      </c>
      <c r="I246" s="1" t="n">
        <v>11</v>
      </c>
      <c r="J246" s="1" t="s">
        <v>2127</v>
      </c>
      <c r="K246" s="63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2129</v>
      </c>
      <c r="D247" s="1" t="s">
        <v>2191</v>
      </c>
      <c r="E247" s="16" t="n">
        <v>46192</v>
      </c>
      <c r="F247" s="16" t="n">
        <v>46189</v>
      </c>
      <c r="G247" s="1" t="s">
        <v>60</v>
      </c>
      <c r="H247" s="1" t="n">
        <v>1274333</v>
      </c>
      <c r="I247" s="1" t="n">
        <v>11</v>
      </c>
      <c r="J247" s="1" t="s">
        <v>2127</v>
      </c>
      <c r="K247" s="63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2184</v>
      </c>
      <c r="D248" s="1" t="s">
        <v>2185</v>
      </c>
      <c r="E248" s="16" t="n">
        <v>46192</v>
      </c>
      <c r="F248" s="16" t="n">
        <v>46190</v>
      </c>
      <c r="G248" s="1" t="s">
        <v>445</v>
      </c>
      <c r="H248" s="1" t="n">
        <v>1272672</v>
      </c>
      <c r="I248" s="1" t="n">
        <v>11</v>
      </c>
      <c r="J248" s="1" t="s">
        <v>2127</v>
      </c>
      <c r="K248" s="63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2129</v>
      </c>
      <c r="D249" s="1" t="s">
        <v>2130</v>
      </c>
      <c r="E249" s="16" t="n">
        <v>46192</v>
      </c>
      <c r="F249" s="16" t="n">
        <v>46192</v>
      </c>
      <c r="G249" s="1" t="s">
        <v>80</v>
      </c>
      <c r="H249" s="1" t="n">
        <v>1272871</v>
      </c>
      <c r="I249" s="1" t="n">
        <v>6</v>
      </c>
      <c r="J249" s="1" t="s">
        <v>2127</v>
      </c>
      <c r="K249" s="63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2129</v>
      </c>
      <c r="D250" s="1" t="s">
        <v>2130</v>
      </c>
      <c r="E250" s="16" t="n">
        <v>46192</v>
      </c>
      <c r="F250" s="16" t="n">
        <v>46192</v>
      </c>
      <c r="G250" s="1" t="s">
        <v>80</v>
      </c>
      <c r="H250" s="1" t="n">
        <v>1273898</v>
      </c>
      <c r="I250" s="1" t="n">
        <v>6</v>
      </c>
      <c r="J250" s="1" t="s">
        <v>2127</v>
      </c>
      <c r="K250" s="63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2129</v>
      </c>
      <c r="D251" s="1" t="s">
        <v>2130</v>
      </c>
      <c r="E251" s="16" t="n">
        <v>46192</v>
      </c>
      <c r="F251" s="16" t="n">
        <v>46192</v>
      </c>
      <c r="G251" s="1" t="s">
        <v>80</v>
      </c>
      <c r="H251" s="1" t="n">
        <v>1272869</v>
      </c>
      <c r="I251" s="1" t="n">
        <v>2</v>
      </c>
      <c r="J251" s="1" t="s">
        <v>2127</v>
      </c>
      <c r="K251" s="63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2129</v>
      </c>
      <c r="D252" s="1" t="s">
        <v>2130</v>
      </c>
      <c r="E252" s="16" t="n">
        <v>46192</v>
      </c>
      <c r="F252" s="16" t="n">
        <v>46192</v>
      </c>
      <c r="G252" s="1" t="s">
        <v>80</v>
      </c>
      <c r="H252" s="1" t="n">
        <v>1273889</v>
      </c>
      <c r="I252" s="1" t="n">
        <v>2</v>
      </c>
      <c r="J252" s="1" t="s">
        <v>2127</v>
      </c>
      <c r="K252" s="63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2129</v>
      </c>
      <c r="D253" s="1" t="s">
        <v>2146</v>
      </c>
      <c r="E253" s="16" t="n">
        <v>46192</v>
      </c>
      <c r="F253" s="16" t="n">
        <v>46192</v>
      </c>
      <c r="G253" s="1" t="s">
        <v>120</v>
      </c>
      <c r="H253" s="1" t="n">
        <v>1274409</v>
      </c>
      <c r="I253" s="1" t="n">
        <v>1</v>
      </c>
      <c r="J253" s="1" t="s">
        <v>2127</v>
      </c>
      <c r="K253" s="63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2172</v>
      </c>
      <c r="D254" s="1" t="s">
        <v>2173</v>
      </c>
      <c r="E254" s="16" t="n">
        <v>46192</v>
      </c>
      <c r="F254" s="16" t="n">
        <v>46190</v>
      </c>
      <c r="G254" s="1" t="s">
        <v>212</v>
      </c>
      <c r="H254" s="1" t="n">
        <v>1272699</v>
      </c>
      <c r="I254" s="1" t="n">
        <v>11</v>
      </c>
      <c r="J254" s="1" t="s">
        <v>2127</v>
      </c>
      <c r="K254" s="63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2157</v>
      </c>
      <c r="D255" s="1" t="s">
        <v>2158</v>
      </c>
      <c r="E255" s="16" t="n">
        <v>46193</v>
      </c>
      <c r="F255" s="16" t="n">
        <v>46192</v>
      </c>
      <c r="G255" s="1" t="s">
        <v>306</v>
      </c>
      <c r="H255" s="1" t="n">
        <v>1279218</v>
      </c>
      <c r="I255" s="1" t="n">
        <v>1</v>
      </c>
      <c r="J255" s="1" t="s">
        <v>2127</v>
      </c>
      <c r="K255" s="63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2129</v>
      </c>
      <c r="D256" s="1" t="s">
        <v>2167</v>
      </c>
      <c r="E256" s="16" t="n">
        <v>46193</v>
      </c>
      <c r="F256" s="16" t="n">
        <v>46193</v>
      </c>
      <c r="G256" s="1" t="s">
        <v>351</v>
      </c>
      <c r="H256" s="1" t="n">
        <v>1279197</v>
      </c>
      <c r="I256" s="1" t="n">
        <v>1</v>
      </c>
      <c r="J256" s="1" t="s">
        <v>2127</v>
      </c>
      <c r="K256" s="63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2129</v>
      </c>
      <c r="D257" s="1" t="s">
        <v>2211</v>
      </c>
      <c r="E257" s="16" t="n">
        <v>46193</v>
      </c>
      <c r="F257" s="16" t="n">
        <v>46192</v>
      </c>
      <c r="G257" s="1" t="s">
        <v>937</v>
      </c>
      <c r="H257" s="1" t="n">
        <v>1279772</v>
      </c>
      <c r="I257" s="1" t="n">
        <v>1</v>
      </c>
      <c r="J257" s="1" t="s">
        <v>2127</v>
      </c>
      <c r="K257" s="63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2129</v>
      </c>
      <c r="D258" s="1" t="s">
        <v>2212</v>
      </c>
      <c r="E258" s="16" t="n">
        <v>46193</v>
      </c>
      <c r="F258" s="16" t="n">
        <v>46190</v>
      </c>
      <c r="G258" s="1" t="s">
        <v>255</v>
      </c>
      <c r="H258" s="1" t="n">
        <v>1279758</v>
      </c>
      <c r="I258" s="1" t="n">
        <v>11</v>
      </c>
      <c r="J258" s="1" t="s">
        <v>2127</v>
      </c>
      <c r="K258" s="63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2129</v>
      </c>
      <c r="D259" s="1" t="s">
        <v>2130</v>
      </c>
      <c r="E259" s="16" t="n">
        <v>46193</v>
      </c>
      <c r="F259" s="16" t="n">
        <v>46193</v>
      </c>
      <c r="G259" s="1" t="s">
        <v>80</v>
      </c>
      <c r="H259" s="1" t="n">
        <v>1279605</v>
      </c>
      <c r="I259" s="1" t="n">
        <v>6</v>
      </c>
      <c r="J259" s="1" t="s">
        <v>2127</v>
      </c>
      <c r="K259" s="63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2129</v>
      </c>
      <c r="D260" s="1" t="s">
        <v>2130</v>
      </c>
      <c r="E260" s="16" t="n">
        <v>46193</v>
      </c>
      <c r="F260" s="16" t="n">
        <v>46193</v>
      </c>
      <c r="G260" s="1" t="s">
        <v>80</v>
      </c>
      <c r="H260" s="1" t="n">
        <v>1279635</v>
      </c>
      <c r="I260" s="1" t="n">
        <v>6</v>
      </c>
      <c r="J260" s="1" t="s">
        <v>2127</v>
      </c>
      <c r="K260" s="63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2129</v>
      </c>
      <c r="D261" s="1" t="s">
        <v>2130</v>
      </c>
      <c r="E261" s="16" t="n">
        <v>46193</v>
      </c>
      <c r="F261" s="16" t="n">
        <v>46193</v>
      </c>
      <c r="G261" s="1" t="s">
        <v>80</v>
      </c>
      <c r="H261" s="1" t="n">
        <v>1279595</v>
      </c>
      <c r="I261" s="1" t="n">
        <v>2</v>
      </c>
      <c r="J261" s="1" t="s">
        <v>2127</v>
      </c>
      <c r="K261" s="63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2129</v>
      </c>
      <c r="D262" s="1" t="s">
        <v>2130</v>
      </c>
      <c r="E262" s="16" t="n">
        <v>46193</v>
      </c>
      <c r="F262" s="16" t="n">
        <v>46193</v>
      </c>
      <c r="G262" s="1" t="s">
        <v>80</v>
      </c>
      <c r="H262" s="1" t="n">
        <v>1279622</v>
      </c>
      <c r="I262" s="1" t="n">
        <v>2</v>
      </c>
      <c r="J262" s="1" t="s">
        <v>2127</v>
      </c>
      <c r="K262" s="63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2129</v>
      </c>
      <c r="D263" s="1" t="s">
        <v>2165</v>
      </c>
      <c r="E263" s="16" t="n">
        <v>46195</v>
      </c>
      <c r="F263" s="16" t="n">
        <v>46192</v>
      </c>
      <c r="G263" s="1" t="s">
        <v>135</v>
      </c>
      <c r="H263" s="1" t="n">
        <v>1288971</v>
      </c>
      <c r="I263" s="1" t="n">
        <v>1</v>
      </c>
      <c r="J263" s="1" t="s">
        <v>2127</v>
      </c>
      <c r="K263" s="63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2182</v>
      </c>
      <c r="D264" s="1" t="s">
        <v>2199</v>
      </c>
      <c r="E264" s="16" t="n">
        <v>46195</v>
      </c>
      <c r="F264" s="16" t="n">
        <v>46193</v>
      </c>
      <c r="G264" s="1" t="s">
        <v>269</v>
      </c>
      <c r="H264" s="1" t="n">
        <v>1289014</v>
      </c>
      <c r="I264" s="1" t="n">
        <v>11</v>
      </c>
      <c r="J264" s="1" t="s">
        <v>2127</v>
      </c>
      <c r="K264" s="63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2138</v>
      </c>
      <c r="D265" s="1" t="s">
        <v>2213</v>
      </c>
      <c r="E265" s="16" t="n">
        <v>46195</v>
      </c>
      <c r="F265" s="16" t="n">
        <v>46191</v>
      </c>
      <c r="G265" s="1" t="s">
        <v>260</v>
      </c>
      <c r="H265" s="1" t="n">
        <v>1289122</v>
      </c>
      <c r="I265" s="1" t="n">
        <v>11</v>
      </c>
      <c r="J265" s="1" t="s">
        <v>2127</v>
      </c>
      <c r="K265" s="63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2129</v>
      </c>
      <c r="D266" s="1" t="s">
        <v>2136</v>
      </c>
      <c r="E266" s="16" t="n">
        <v>46195</v>
      </c>
      <c r="F266" s="16" t="n">
        <v>46191</v>
      </c>
      <c r="G266" s="1" t="s">
        <v>76</v>
      </c>
      <c r="H266" s="1" t="n">
        <v>1289505</v>
      </c>
      <c r="I266" s="1" t="n">
        <v>11</v>
      </c>
      <c r="J266" s="1" t="s">
        <v>2127</v>
      </c>
      <c r="K266" s="63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2157</v>
      </c>
      <c r="D267" s="1" t="s">
        <v>2158</v>
      </c>
      <c r="E267" s="16" t="n">
        <v>46195</v>
      </c>
      <c r="F267" s="16" t="n">
        <v>46193</v>
      </c>
      <c r="G267" s="1" t="s">
        <v>306</v>
      </c>
      <c r="H267" s="1" t="n">
        <v>1289305</v>
      </c>
      <c r="I267" s="1" t="n">
        <v>1</v>
      </c>
      <c r="J267" s="1" t="s">
        <v>2127</v>
      </c>
      <c r="K267" s="63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2129</v>
      </c>
      <c r="D268" s="1" t="s">
        <v>2176</v>
      </c>
      <c r="E268" s="16" t="n">
        <v>46195</v>
      </c>
      <c r="F268" s="16" t="n">
        <v>46189</v>
      </c>
      <c r="G268" s="1" t="s">
        <v>49</v>
      </c>
      <c r="H268" s="1" t="n">
        <v>1289363</v>
      </c>
      <c r="I268" s="1" t="n">
        <v>11</v>
      </c>
      <c r="J268" s="1" t="s">
        <v>2127</v>
      </c>
      <c r="K268" s="63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2129</v>
      </c>
      <c r="D269" s="1" t="s">
        <v>2214</v>
      </c>
      <c r="E269" s="16" t="n">
        <v>46195</v>
      </c>
      <c r="F269" s="16" t="n">
        <v>46193</v>
      </c>
      <c r="G269" s="1" t="s">
        <v>320</v>
      </c>
      <c r="H269" s="1" t="n">
        <v>1290660</v>
      </c>
      <c r="I269" s="1" t="n">
        <v>11</v>
      </c>
      <c r="J269" s="1" t="s">
        <v>2127</v>
      </c>
      <c r="K269" s="63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2129</v>
      </c>
      <c r="D270" s="1" t="s">
        <v>2170</v>
      </c>
      <c r="E270" s="16" t="n">
        <v>46195</v>
      </c>
      <c r="F270" s="16" t="n">
        <v>46191</v>
      </c>
      <c r="G270" s="1" t="s">
        <v>373</v>
      </c>
      <c r="H270" s="1" t="n">
        <v>1289332</v>
      </c>
      <c r="I270" s="1" t="n">
        <v>1</v>
      </c>
      <c r="J270" s="1" t="s">
        <v>2127</v>
      </c>
      <c r="K270" s="63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2129</v>
      </c>
      <c r="D271" s="1" t="s">
        <v>2170</v>
      </c>
      <c r="E271" s="16" t="n">
        <v>46195</v>
      </c>
      <c r="F271" s="16" t="n">
        <v>46191</v>
      </c>
      <c r="G271" s="1" t="s">
        <v>373</v>
      </c>
      <c r="H271" s="1" t="n">
        <v>1289338</v>
      </c>
      <c r="I271" s="1" t="n">
        <v>1</v>
      </c>
      <c r="J271" s="1" t="s">
        <v>2127</v>
      </c>
      <c r="K271" s="63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2129</v>
      </c>
      <c r="D272" s="1" t="s">
        <v>2130</v>
      </c>
      <c r="E272" s="16" t="n">
        <v>46195</v>
      </c>
      <c r="F272" s="16" t="n">
        <v>46195</v>
      </c>
      <c r="G272" s="1" t="s">
        <v>80</v>
      </c>
      <c r="H272" s="1" t="n">
        <v>1289186</v>
      </c>
      <c r="I272" s="1" t="n">
        <v>6</v>
      </c>
      <c r="J272" s="1" t="s">
        <v>2127</v>
      </c>
      <c r="K272" s="63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2129</v>
      </c>
      <c r="D273" s="1" t="s">
        <v>2130</v>
      </c>
      <c r="E273" s="16" t="n">
        <v>46195</v>
      </c>
      <c r="F273" s="16" t="n">
        <v>46195</v>
      </c>
      <c r="G273" s="1" t="s">
        <v>80</v>
      </c>
      <c r="H273" s="1" t="n">
        <v>1289537</v>
      </c>
      <c r="I273" s="1" t="n">
        <v>6</v>
      </c>
      <c r="J273" s="1" t="s">
        <v>2127</v>
      </c>
      <c r="K273" s="63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2129</v>
      </c>
      <c r="D274" s="1" t="s">
        <v>2130</v>
      </c>
      <c r="E274" s="16" t="n">
        <v>46195</v>
      </c>
      <c r="F274" s="16" t="n">
        <v>46195</v>
      </c>
      <c r="G274" s="1" t="s">
        <v>80</v>
      </c>
      <c r="H274" s="1" t="n">
        <v>1289182</v>
      </c>
      <c r="I274" s="1" t="n">
        <v>2</v>
      </c>
      <c r="J274" s="1" t="s">
        <v>2127</v>
      </c>
      <c r="K274" s="63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2129</v>
      </c>
      <c r="D275" s="1" t="s">
        <v>2130</v>
      </c>
      <c r="E275" s="16" t="n">
        <v>46195</v>
      </c>
      <c r="F275" s="16" t="n">
        <v>46195</v>
      </c>
      <c r="G275" s="1" t="s">
        <v>80</v>
      </c>
      <c r="H275" s="1" t="n">
        <v>1289534</v>
      </c>
      <c r="I275" s="1" t="n">
        <v>2</v>
      </c>
      <c r="J275" s="1" t="s">
        <v>2127</v>
      </c>
      <c r="K275" s="63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2129</v>
      </c>
      <c r="D276" s="1" t="s">
        <v>2130</v>
      </c>
      <c r="E276" s="16" t="n">
        <v>46195</v>
      </c>
      <c r="F276" s="16" t="n">
        <v>46195</v>
      </c>
      <c r="G276" s="1" t="s">
        <v>80</v>
      </c>
      <c r="H276" s="1" t="n">
        <v>1290135</v>
      </c>
      <c r="I276" s="1" t="n">
        <v>2</v>
      </c>
      <c r="J276" s="1" t="s">
        <v>2127</v>
      </c>
      <c r="K276" s="63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2129</v>
      </c>
      <c r="D277" s="1" t="s">
        <v>2155</v>
      </c>
      <c r="E277" s="16" t="n">
        <v>46195</v>
      </c>
      <c r="F277" s="16" t="n">
        <v>46192</v>
      </c>
      <c r="G277" s="1" t="s">
        <v>404</v>
      </c>
      <c r="H277" s="1" t="n">
        <v>1289691</v>
      </c>
      <c r="I277" s="1" t="n">
        <v>11</v>
      </c>
      <c r="J277" s="1" t="s">
        <v>2127</v>
      </c>
      <c r="K277" s="63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2182</v>
      </c>
      <c r="D278" s="1" t="s">
        <v>2215</v>
      </c>
      <c r="E278" s="16" t="n">
        <v>46195</v>
      </c>
      <c r="F278" s="16" t="n">
        <v>46179</v>
      </c>
      <c r="G278" s="1" t="s">
        <v>2216</v>
      </c>
      <c r="H278" s="1" t="n">
        <v>1289649</v>
      </c>
      <c r="I278" s="1" t="n">
        <v>11</v>
      </c>
      <c r="J278" s="1" t="s">
        <v>2127</v>
      </c>
      <c r="K278" s="63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2182</v>
      </c>
      <c r="D279" s="1" t="s">
        <v>2215</v>
      </c>
      <c r="E279" s="16" t="n">
        <v>46195</v>
      </c>
      <c r="F279" s="16" t="n">
        <v>46186</v>
      </c>
      <c r="G279" s="1" t="s">
        <v>2216</v>
      </c>
      <c r="H279" s="1" t="n">
        <v>1289650</v>
      </c>
      <c r="I279" s="1" t="n">
        <v>11</v>
      </c>
      <c r="J279" s="1" t="s">
        <v>2127</v>
      </c>
      <c r="K279" s="63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2182</v>
      </c>
      <c r="D280" s="1" t="s">
        <v>2215</v>
      </c>
      <c r="E280" s="16" t="n">
        <v>46195</v>
      </c>
      <c r="F280" s="16" t="n">
        <v>46193</v>
      </c>
      <c r="G280" s="1" t="s">
        <v>2216</v>
      </c>
      <c r="H280" s="1" t="n">
        <v>1289657</v>
      </c>
      <c r="I280" s="1" t="n">
        <v>11</v>
      </c>
      <c r="J280" s="1" t="s">
        <v>2127</v>
      </c>
      <c r="K280" s="63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2182</v>
      </c>
      <c r="D281" s="1" t="s">
        <v>2215</v>
      </c>
      <c r="E281" s="16" t="n">
        <v>46195</v>
      </c>
      <c r="F281" s="16" t="n">
        <v>46194</v>
      </c>
      <c r="G281" s="1" t="s">
        <v>2216</v>
      </c>
      <c r="H281" s="1" t="n">
        <v>1289655</v>
      </c>
      <c r="I281" s="1" t="n">
        <v>11</v>
      </c>
      <c r="J281" s="1" t="s">
        <v>2127</v>
      </c>
      <c r="K281" s="63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2129</v>
      </c>
      <c r="D282" s="1" t="s">
        <v>2131</v>
      </c>
      <c r="E282" s="16" t="n">
        <v>46196</v>
      </c>
      <c r="F282" s="16" t="n">
        <v>46196</v>
      </c>
      <c r="G282" s="1" t="s">
        <v>112</v>
      </c>
      <c r="H282" s="1" t="n">
        <v>1298961</v>
      </c>
      <c r="I282" s="1" t="n">
        <v>1</v>
      </c>
      <c r="J282" s="1" t="s">
        <v>2127</v>
      </c>
      <c r="K282" s="63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2182</v>
      </c>
      <c r="D283" s="1" t="s">
        <v>2217</v>
      </c>
      <c r="E283" s="16" t="n">
        <v>46196</v>
      </c>
      <c r="F283" s="16" t="n">
        <v>46195</v>
      </c>
      <c r="G283" s="1" t="s">
        <v>812</v>
      </c>
      <c r="H283" s="1" t="n">
        <v>1293973</v>
      </c>
      <c r="I283" s="1" t="n">
        <v>11</v>
      </c>
      <c r="J283" s="1" t="s">
        <v>2127</v>
      </c>
      <c r="K283" s="63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2129</v>
      </c>
      <c r="D284" s="1" t="s">
        <v>2152</v>
      </c>
      <c r="E284" s="16" t="n">
        <v>46196</v>
      </c>
      <c r="F284" s="16" t="n">
        <v>46195</v>
      </c>
      <c r="G284" s="1" t="s">
        <v>41</v>
      </c>
      <c r="H284" s="1" t="n">
        <v>1293881</v>
      </c>
      <c r="I284" s="1" t="n">
        <v>11</v>
      </c>
      <c r="J284" s="1" t="s">
        <v>2127</v>
      </c>
      <c r="K284" s="63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2129</v>
      </c>
      <c r="D285" s="1" t="s">
        <v>2212</v>
      </c>
      <c r="E285" s="16" t="n">
        <v>46196</v>
      </c>
      <c r="F285" s="16" t="n">
        <v>46120</v>
      </c>
      <c r="G285" s="1" t="s">
        <v>255</v>
      </c>
      <c r="H285" s="1" t="n">
        <v>1392262</v>
      </c>
      <c r="I285" s="1" t="n">
        <v>11</v>
      </c>
      <c r="J285" s="1" t="s">
        <v>2127</v>
      </c>
      <c r="K285" s="63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2129</v>
      </c>
      <c r="D286" s="1" t="s">
        <v>2190</v>
      </c>
      <c r="E286" s="16" t="n">
        <v>46196</v>
      </c>
      <c r="F286" s="16" t="n">
        <v>46195</v>
      </c>
      <c r="G286" s="1" t="s">
        <v>220</v>
      </c>
      <c r="H286" s="1" t="n">
        <v>1293646</v>
      </c>
      <c r="I286" s="1" t="n">
        <v>1</v>
      </c>
      <c r="J286" s="1" t="s">
        <v>2127</v>
      </c>
      <c r="K286" s="63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2129</v>
      </c>
      <c r="D287" s="1" t="s">
        <v>2130</v>
      </c>
      <c r="E287" s="16" t="n">
        <v>46196</v>
      </c>
      <c r="F287" s="16" t="n">
        <v>46196</v>
      </c>
      <c r="G287" s="1" t="s">
        <v>80</v>
      </c>
      <c r="H287" s="1" t="n">
        <v>1294628</v>
      </c>
      <c r="I287" s="1" t="n">
        <v>6</v>
      </c>
      <c r="J287" s="1" t="s">
        <v>2127</v>
      </c>
      <c r="K287" s="63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2129</v>
      </c>
      <c r="D288" s="1" t="s">
        <v>2130</v>
      </c>
      <c r="E288" s="16" t="n">
        <v>46196</v>
      </c>
      <c r="F288" s="16" t="n">
        <v>46196</v>
      </c>
      <c r="G288" s="1" t="s">
        <v>80</v>
      </c>
      <c r="H288" s="1" t="n">
        <v>1294636</v>
      </c>
      <c r="I288" s="1" t="n">
        <v>6</v>
      </c>
      <c r="J288" s="1" t="s">
        <v>2127</v>
      </c>
      <c r="K288" s="63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2129</v>
      </c>
      <c r="D289" s="1" t="s">
        <v>2130</v>
      </c>
      <c r="E289" s="16" t="n">
        <v>46196</v>
      </c>
      <c r="F289" s="16" t="n">
        <v>46196</v>
      </c>
      <c r="G289" s="1" t="s">
        <v>80</v>
      </c>
      <c r="H289" s="1" t="n">
        <v>1294641</v>
      </c>
      <c r="I289" s="1" t="n">
        <v>6</v>
      </c>
      <c r="J289" s="1" t="s">
        <v>2127</v>
      </c>
      <c r="K289" s="63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2129</v>
      </c>
      <c r="D290" s="1" t="s">
        <v>2130</v>
      </c>
      <c r="E290" s="16" t="n">
        <v>46196</v>
      </c>
      <c r="F290" s="16" t="n">
        <v>46196</v>
      </c>
      <c r="G290" s="1" t="s">
        <v>80</v>
      </c>
      <c r="H290" s="1" t="n">
        <v>1295664</v>
      </c>
      <c r="I290" s="1" t="n">
        <v>6</v>
      </c>
      <c r="J290" s="1" t="s">
        <v>2127</v>
      </c>
      <c r="K290" s="63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2129</v>
      </c>
      <c r="D291" s="1" t="s">
        <v>2130</v>
      </c>
      <c r="E291" s="16" t="n">
        <v>46196</v>
      </c>
      <c r="F291" s="16" t="n">
        <v>46196</v>
      </c>
      <c r="G291" s="1" t="s">
        <v>80</v>
      </c>
      <c r="H291" s="1" t="n">
        <v>1294598</v>
      </c>
      <c r="I291" s="1" t="n">
        <v>2</v>
      </c>
      <c r="J291" s="1" t="s">
        <v>2127</v>
      </c>
      <c r="K291" s="63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2129</v>
      </c>
      <c r="D292" s="1" t="s">
        <v>2130</v>
      </c>
      <c r="E292" s="16" t="n">
        <v>46196</v>
      </c>
      <c r="F292" s="16" t="n">
        <v>46196</v>
      </c>
      <c r="G292" s="1" t="s">
        <v>80</v>
      </c>
      <c r="H292" s="1" t="n">
        <v>1294609</v>
      </c>
      <c r="I292" s="1" t="n">
        <v>2</v>
      </c>
      <c r="J292" s="1" t="s">
        <v>2127</v>
      </c>
      <c r="K292" s="63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2129</v>
      </c>
      <c r="D293" s="1" t="s">
        <v>2130</v>
      </c>
      <c r="E293" s="16" t="n">
        <v>46196</v>
      </c>
      <c r="F293" s="16" t="n">
        <v>46196</v>
      </c>
      <c r="G293" s="1" t="s">
        <v>80</v>
      </c>
      <c r="H293" s="1" t="n">
        <v>1294623</v>
      </c>
      <c r="I293" s="1" t="n">
        <v>2</v>
      </c>
      <c r="J293" s="1" t="s">
        <v>2127</v>
      </c>
      <c r="K293" s="63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2129</v>
      </c>
      <c r="D294" s="1" t="s">
        <v>2130</v>
      </c>
      <c r="E294" s="16" t="n">
        <v>46196</v>
      </c>
      <c r="F294" s="16" t="n">
        <v>46196</v>
      </c>
      <c r="G294" s="1" t="s">
        <v>80</v>
      </c>
      <c r="H294" s="1" t="n">
        <v>1295658</v>
      </c>
      <c r="I294" s="1" t="n">
        <v>2</v>
      </c>
      <c r="J294" s="1" t="s">
        <v>2127</v>
      </c>
      <c r="K294" s="63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2129</v>
      </c>
      <c r="D295" s="1" t="s">
        <v>2218</v>
      </c>
      <c r="E295" s="16" t="n">
        <v>46197</v>
      </c>
      <c r="F295" s="16" t="n">
        <v>46195</v>
      </c>
      <c r="G295" s="1" t="s">
        <v>608</v>
      </c>
      <c r="H295" s="1" t="n">
        <v>1299087</v>
      </c>
      <c r="I295" s="1" t="n">
        <v>1</v>
      </c>
      <c r="J295" s="1" t="s">
        <v>2127</v>
      </c>
      <c r="K295" s="63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2129</v>
      </c>
      <c r="D296" s="1" t="s">
        <v>2218</v>
      </c>
      <c r="E296" s="16" t="n">
        <v>46197</v>
      </c>
      <c r="F296" s="16" t="n">
        <v>46195</v>
      </c>
      <c r="G296" s="1" t="s">
        <v>608</v>
      </c>
      <c r="H296" s="1" t="n">
        <v>1299098</v>
      </c>
      <c r="I296" s="1" t="n">
        <v>1</v>
      </c>
      <c r="J296" s="1" t="s">
        <v>2127</v>
      </c>
      <c r="K296" s="63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2129</v>
      </c>
      <c r="D297" s="1" t="s">
        <v>2219</v>
      </c>
      <c r="E297" s="16" t="n">
        <v>46197</v>
      </c>
      <c r="F297" s="16" t="n">
        <v>46193</v>
      </c>
      <c r="G297" s="1" t="s">
        <v>654</v>
      </c>
      <c r="H297" s="1" t="n">
        <v>1300045</v>
      </c>
      <c r="I297" s="1" t="n">
        <v>11</v>
      </c>
      <c r="J297" s="1" t="s">
        <v>2127</v>
      </c>
      <c r="K297" s="63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2134</v>
      </c>
      <c r="D298" s="1" t="s">
        <v>2150</v>
      </c>
      <c r="E298" s="16" t="n">
        <v>46197</v>
      </c>
      <c r="F298" s="16" t="n">
        <v>46196</v>
      </c>
      <c r="G298" s="1" t="s">
        <v>179</v>
      </c>
      <c r="H298" s="1" t="n">
        <v>1300139</v>
      </c>
      <c r="I298" s="1" t="n">
        <v>11</v>
      </c>
      <c r="J298" s="1" t="s">
        <v>2127</v>
      </c>
      <c r="K298" s="63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2125</v>
      </c>
      <c r="D299" s="1" t="s">
        <v>2126</v>
      </c>
      <c r="E299" s="16" t="n">
        <v>46197</v>
      </c>
      <c r="F299" s="16" t="n">
        <v>46196</v>
      </c>
      <c r="G299" s="1" t="s">
        <v>122</v>
      </c>
      <c r="H299" s="1" t="n">
        <v>1300098</v>
      </c>
      <c r="I299" s="1" t="n">
        <v>11</v>
      </c>
      <c r="J299" s="1" t="s">
        <v>2127</v>
      </c>
      <c r="K299" s="63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2128</v>
      </c>
      <c r="D300" s="1" t="s">
        <v>2126</v>
      </c>
      <c r="E300" s="16" t="n">
        <v>46197</v>
      </c>
      <c r="F300" s="16" t="n">
        <v>46196</v>
      </c>
      <c r="G300" s="1" t="s">
        <v>122</v>
      </c>
      <c r="H300" s="1" t="n">
        <v>1300079</v>
      </c>
      <c r="I300" s="1" t="n">
        <v>11</v>
      </c>
      <c r="J300" s="1" t="s">
        <v>2127</v>
      </c>
      <c r="K300" s="63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2134</v>
      </c>
      <c r="D301" s="1" t="s">
        <v>2220</v>
      </c>
      <c r="E301" s="16" t="n">
        <v>46197</v>
      </c>
      <c r="F301" s="16" t="n">
        <v>46190</v>
      </c>
      <c r="G301" s="1" t="s">
        <v>2221</v>
      </c>
      <c r="H301" s="1" t="n">
        <v>1299871</v>
      </c>
      <c r="I301" s="1" t="n">
        <v>39</v>
      </c>
      <c r="J301" s="1" t="s">
        <v>2127</v>
      </c>
      <c r="K301" s="63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2184</v>
      </c>
      <c r="D302" s="1" t="s">
        <v>2222</v>
      </c>
      <c r="E302" s="16" t="n">
        <v>46197</v>
      </c>
      <c r="F302" s="16" t="n">
        <v>46195</v>
      </c>
      <c r="G302" s="1" t="s">
        <v>941</v>
      </c>
      <c r="H302" s="1" t="n">
        <v>1299563</v>
      </c>
      <c r="I302" s="1" t="n">
        <v>11</v>
      </c>
      <c r="J302" s="1" t="s">
        <v>2127</v>
      </c>
      <c r="K302" s="63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2129</v>
      </c>
      <c r="D303" s="1" t="s">
        <v>2152</v>
      </c>
      <c r="E303" s="16" t="n">
        <v>46197</v>
      </c>
      <c r="F303" s="16" t="n">
        <v>46195</v>
      </c>
      <c r="G303" s="1" t="s">
        <v>41</v>
      </c>
      <c r="H303" s="1" t="n">
        <v>1299978</v>
      </c>
      <c r="I303" s="1" t="n">
        <v>11</v>
      </c>
      <c r="J303" s="1" t="s">
        <v>2127</v>
      </c>
      <c r="K303" s="63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2129</v>
      </c>
      <c r="D304" s="1" t="s">
        <v>2152</v>
      </c>
      <c r="E304" s="16" t="n">
        <v>46197</v>
      </c>
      <c r="F304" s="16" t="n">
        <v>46195</v>
      </c>
      <c r="G304" s="1" t="s">
        <v>41</v>
      </c>
      <c r="H304" s="1" t="n">
        <v>1299985</v>
      </c>
      <c r="I304" s="1" t="n">
        <v>11</v>
      </c>
      <c r="J304" s="1" t="s">
        <v>2127</v>
      </c>
      <c r="K304" s="63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2129</v>
      </c>
      <c r="D305" s="1" t="s">
        <v>2143</v>
      </c>
      <c r="E305" s="16" t="n">
        <v>46197</v>
      </c>
      <c r="F305" s="16" t="n">
        <v>46195</v>
      </c>
      <c r="G305" s="1" t="s">
        <v>149</v>
      </c>
      <c r="H305" s="1" t="n">
        <v>1300001</v>
      </c>
      <c r="I305" s="1" t="n">
        <v>11</v>
      </c>
      <c r="J305" s="1" t="s">
        <v>2127</v>
      </c>
      <c r="K305" s="63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2129</v>
      </c>
      <c r="D306" s="1" t="s">
        <v>2223</v>
      </c>
      <c r="E306" s="16" t="n">
        <v>46197</v>
      </c>
      <c r="F306" s="16" t="n">
        <v>46114</v>
      </c>
      <c r="G306" s="1" t="s">
        <v>2224</v>
      </c>
      <c r="H306" s="1" t="n">
        <v>1392258</v>
      </c>
      <c r="I306" s="1" t="n">
        <v>11</v>
      </c>
      <c r="J306" s="1" t="s">
        <v>2127</v>
      </c>
      <c r="K306" s="63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2129</v>
      </c>
      <c r="D307" s="1" t="s">
        <v>2130</v>
      </c>
      <c r="E307" s="16" t="n">
        <v>46197</v>
      </c>
      <c r="F307" s="16" t="n">
        <v>46197</v>
      </c>
      <c r="G307" s="1" t="s">
        <v>80</v>
      </c>
      <c r="H307" s="1" t="n">
        <v>1299260</v>
      </c>
      <c r="I307" s="1" t="n">
        <v>6</v>
      </c>
      <c r="J307" s="1" t="s">
        <v>2127</v>
      </c>
      <c r="K307" s="63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2129</v>
      </c>
      <c r="D308" s="1" t="s">
        <v>2130</v>
      </c>
      <c r="E308" s="16" t="n">
        <v>46197</v>
      </c>
      <c r="F308" s="16" t="n">
        <v>46197</v>
      </c>
      <c r="G308" s="1" t="s">
        <v>80</v>
      </c>
      <c r="H308" s="1" t="n">
        <v>1299271</v>
      </c>
      <c r="I308" s="1" t="n">
        <v>6</v>
      </c>
      <c r="J308" s="1" t="s">
        <v>2127</v>
      </c>
      <c r="K308" s="63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2129</v>
      </c>
      <c r="D309" s="1" t="s">
        <v>2130</v>
      </c>
      <c r="E309" s="16" t="n">
        <v>46197</v>
      </c>
      <c r="F309" s="16" t="n">
        <v>46197</v>
      </c>
      <c r="G309" s="1" t="s">
        <v>80</v>
      </c>
      <c r="H309" s="1" t="n">
        <v>1299421</v>
      </c>
      <c r="I309" s="1" t="n">
        <v>6</v>
      </c>
      <c r="J309" s="1" t="s">
        <v>2127</v>
      </c>
      <c r="K309" s="63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2129</v>
      </c>
      <c r="D310" s="1" t="s">
        <v>2130</v>
      </c>
      <c r="E310" s="16" t="n">
        <v>46197</v>
      </c>
      <c r="F310" s="16" t="n">
        <v>46197</v>
      </c>
      <c r="G310" s="1" t="s">
        <v>80</v>
      </c>
      <c r="H310" s="1" t="n">
        <v>1299251</v>
      </c>
      <c r="I310" s="1" t="n">
        <v>2</v>
      </c>
      <c r="J310" s="1" t="s">
        <v>2127</v>
      </c>
      <c r="K310" s="63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2129</v>
      </c>
      <c r="D311" s="1" t="s">
        <v>2130</v>
      </c>
      <c r="E311" s="16" t="n">
        <v>46197</v>
      </c>
      <c r="F311" s="16" t="n">
        <v>46197</v>
      </c>
      <c r="G311" s="1" t="s">
        <v>80</v>
      </c>
      <c r="H311" s="1" t="n">
        <v>1299267</v>
      </c>
      <c r="I311" s="1" t="n">
        <v>2</v>
      </c>
      <c r="J311" s="1" t="s">
        <v>2127</v>
      </c>
      <c r="K311" s="63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2138</v>
      </c>
      <c r="D312" s="1" t="s">
        <v>2145</v>
      </c>
      <c r="E312" s="16" t="n">
        <v>46197</v>
      </c>
      <c r="F312" s="16" t="n">
        <v>46196</v>
      </c>
      <c r="G312" s="1" t="s">
        <v>113</v>
      </c>
      <c r="H312" s="1" t="n">
        <v>1299213</v>
      </c>
      <c r="I312" s="1" t="n">
        <v>1</v>
      </c>
      <c r="J312" s="1" t="s">
        <v>2127</v>
      </c>
      <c r="K312" s="63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2129</v>
      </c>
      <c r="D313" s="1" t="s">
        <v>2156</v>
      </c>
      <c r="E313" s="16" t="n">
        <v>46197</v>
      </c>
      <c r="F313" s="16" t="n">
        <v>46197</v>
      </c>
      <c r="G313" s="1" t="s">
        <v>198</v>
      </c>
      <c r="H313" s="1" t="n">
        <v>1298980</v>
      </c>
      <c r="I313" s="1" t="n">
        <v>1</v>
      </c>
      <c r="J313" s="1" t="s">
        <v>2127</v>
      </c>
      <c r="K313" s="63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2129</v>
      </c>
      <c r="D314" s="1" t="s">
        <v>2225</v>
      </c>
      <c r="E314" s="16" t="n">
        <v>46197</v>
      </c>
      <c r="F314" s="16" t="n">
        <v>46114</v>
      </c>
      <c r="G314" s="1" t="s">
        <v>57</v>
      </c>
      <c r="H314" s="1" t="n">
        <v>1392280</v>
      </c>
      <c r="I314" s="1" t="n">
        <v>11</v>
      </c>
      <c r="J314" s="1" t="s">
        <v>2127</v>
      </c>
      <c r="K314" s="63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2129</v>
      </c>
      <c r="D315" s="1" t="s">
        <v>2133</v>
      </c>
      <c r="E315" s="16" t="n">
        <v>46198</v>
      </c>
      <c r="F315" s="16" t="n">
        <v>46196</v>
      </c>
      <c r="G315" s="1" t="s">
        <v>251</v>
      </c>
      <c r="H315" s="1" t="n">
        <v>1305382</v>
      </c>
      <c r="I315" s="1" t="n">
        <v>11</v>
      </c>
      <c r="J315" s="1" t="s">
        <v>2127</v>
      </c>
      <c r="K315" s="63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2129</v>
      </c>
      <c r="D316" s="1" t="s">
        <v>2226</v>
      </c>
      <c r="E316" s="16" t="n">
        <v>46198</v>
      </c>
      <c r="F316" s="16" t="n">
        <v>46197</v>
      </c>
      <c r="G316" s="1" t="s">
        <v>167</v>
      </c>
      <c r="H316" s="1" t="n">
        <v>1304495</v>
      </c>
      <c r="I316" s="1" t="n">
        <v>1</v>
      </c>
      <c r="J316" s="1" t="s">
        <v>2127</v>
      </c>
      <c r="K316" s="63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2129</v>
      </c>
      <c r="D317" s="1" t="s">
        <v>2151</v>
      </c>
      <c r="E317" s="16" t="n">
        <v>46198</v>
      </c>
      <c r="F317" s="16" t="n">
        <v>46197</v>
      </c>
      <c r="G317" s="1" t="s">
        <v>274</v>
      </c>
      <c r="H317" s="1" t="n">
        <v>1304475</v>
      </c>
      <c r="I317" s="1" t="n">
        <v>1</v>
      </c>
      <c r="J317" s="1" t="s">
        <v>2127</v>
      </c>
      <c r="K317" s="63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2129</v>
      </c>
      <c r="D318" s="1" t="s">
        <v>2227</v>
      </c>
      <c r="E318" s="16" t="n">
        <v>46198</v>
      </c>
      <c r="F318" s="16" t="n">
        <v>46195</v>
      </c>
      <c r="G318" s="1" t="s">
        <v>946</v>
      </c>
      <c r="H318" s="1" t="n">
        <v>1305315</v>
      </c>
      <c r="I318" s="1" t="n">
        <v>11</v>
      </c>
      <c r="J318" s="1" t="s">
        <v>2127</v>
      </c>
      <c r="K318" s="63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2129</v>
      </c>
      <c r="D319" s="1" t="s">
        <v>2141</v>
      </c>
      <c r="E319" s="16" t="n">
        <v>46198</v>
      </c>
      <c r="F319" s="16" t="n">
        <v>46196</v>
      </c>
      <c r="G319" s="1" t="s">
        <v>53</v>
      </c>
      <c r="H319" s="1" t="n">
        <v>1305411</v>
      </c>
      <c r="I319" s="1" t="n">
        <v>11</v>
      </c>
      <c r="J319" s="1" t="s">
        <v>2127</v>
      </c>
      <c r="K319" s="63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2129</v>
      </c>
      <c r="D320" s="1" t="s">
        <v>2144</v>
      </c>
      <c r="E320" s="16" t="n">
        <v>46198</v>
      </c>
      <c r="F320" s="16" t="n">
        <v>46197</v>
      </c>
      <c r="G320" s="1" t="s">
        <v>170</v>
      </c>
      <c r="H320" s="1" t="n">
        <v>1304462</v>
      </c>
      <c r="I320" s="1" t="n">
        <v>11</v>
      </c>
      <c r="J320" s="1" t="s">
        <v>2127</v>
      </c>
      <c r="K320" s="63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2129</v>
      </c>
      <c r="D321" s="1" t="s">
        <v>2130</v>
      </c>
      <c r="E321" s="16" t="n">
        <v>46198</v>
      </c>
      <c r="F321" s="16" t="n">
        <v>46198</v>
      </c>
      <c r="G321" s="1" t="s">
        <v>80</v>
      </c>
      <c r="H321" s="1" t="n">
        <v>1304906</v>
      </c>
      <c r="I321" s="1" t="n">
        <v>6</v>
      </c>
      <c r="J321" s="1" t="s">
        <v>2127</v>
      </c>
      <c r="K321" s="63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2129</v>
      </c>
      <c r="D322" s="1" t="s">
        <v>2130</v>
      </c>
      <c r="E322" s="16" t="n">
        <v>46198</v>
      </c>
      <c r="F322" s="16" t="n">
        <v>46198</v>
      </c>
      <c r="G322" s="1" t="s">
        <v>80</v>
      </c>
      <c r="H322" s="1" t="n">
        <v>1304885</v>
      </c>
      <c r="I322" s="1" t="n">
        <v>2</v>
      </c>
      <c r="J322" s="1" t="s">
        <v>2127</v>
      </c>
      <c r="K322" s="63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2182</v>
      </c>
      <c r="D323" s="1" t="s">
        <v>2215</v>
      </c>
      <c r="E323" s="16" t="n">
        <v>46198</v>
      </c>
      <c r="F323" s="16" t="n">
        <v>46142</v>
      </c>
      <c r="G323" s="1" t="s">
        <v>2216</v>
      </c>
      <c r="H323" s="1" t="n">
        <v>1392270</v>
      </c>
      <c r="I323" s="1" t="n">
        <v>11</v>
      </c>
      <c r="J323" s="1" t="s">
        <v>2127</v>
      </c>
      <c r="K323" s="63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2129</v>
      </c>
      <c r="D324" s="1" t="s">
        <v>2146</v>
      </c>
      <c r="E324" s="16" t="n">
        <v>46198</v>
      </c>
      <c r="F324" s="16" t="n">
        <v>46196</v>
      </c>
      <c r="G324" s="1" t="s">
        <v>120</v>
      </c>
      <c r="H324" s="1" t="n">
        <v>1304468</v>
      </c>
      <c r="I324" s="1" t="n">
        <v>1</v>
      </c>
      <c r="J324" s="1" t="s">
        <v>2127</v>
      </c>
      <c r="K324" s="63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2129</v>
      </c>
      <c r="D325" s="1" t="s">
        <v>2147</v>
      </c>
      <c r="E325" s="16" t="n">
        <v>46198</v>
      </c>
      <c r="F325" s="16" t="n">
        <v>46196</v>
      </c>
      <c r="G325" s="1" t="s">
        <v>125</v>
      </c>
      <c r="H325" s="1" t="n">
        <v>1304379</v>
      </c>
      <c r="I325" s="1" t="n">
        <v>11</v>
      </c>
      <c r="J325" s="1" t="s">
        <v>2127</v>
      </c>
      <c r="K325" s="63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2129</v>
      </c>
      <c r="D326" s="1" t="s">
        <v>2147</v>
      </c>
      <c r="E326" s="16" t="n">
        <v>46198</v>
      </c>
      <c r="F326" s="16" t="n">
        <v>46196</v>
      </c>
      <c r="G326" s="1" t="s">
        <v>125</v>
      </c>
      <c r="H326" s="1" t="n">
        <v>1304360</v>
      </c>
      <c r="I326" s="1" t="n">
        <v>1</v>
      </c>
      <c r="J326" s="1" t="s">
        <v>2127</v>
      </c>
      <c r="K326" s="63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2138</v>
      </c>
      <c r="D327" s="1" t="s">
        <v>2228</v>
      </c>
      <c r="E327" s="16" t="n">
        <v>46198</v>
      </c>
      <c r="F327" s="16" t="n">
        <v>46196</v>
      </c>
      <c r="G327" s="1" t="s">
        <v>174</v>
      </c>
      <c r="H327" s="1" t="n">
        <v>1304429</v>
      </c>
      <c r="I327" s="1" t="n">
        <v>11</v>
      </c>
      <c r="J327" s="1" t="s">
        <v>2127</v>
      </c>
      <c r="K327" s="63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2129</v>
      </c>
      <c r="D328" s="1" t="s">
        <v>2148</v>
      </c>
      <c r="E328" s="16" t="n">
        <v>46199</v>
      </c>
      <c r="F328" s="16" t="n">
        <v>46199</v>
      </c>
      <c r="G328" s="1" t="s">
        <v>2149</v>
      </c>
      <c r="H328" s="1" t="n">
        <v>1312429</v>
      </c>
      <c r="I328" s="1" t="n">
        <v>1</v>
      </c>
      <c r="J328" s="1" t="s">
        <v>2127</v>
      </c>
      <c r="K328" s="63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2129</v>
      </c>
      <c r="D329" s="1" t="s">
        <v>2132</v>
      </c>
      <c r="E329" s="16" t="n">
        <v>46199</v>
      </c>
      <c r="F329" s="16" t="n">
        <v>46199</v>
      </c>
      <c r="G329" s="1" t="s">
        <v>130</v>
      </c>
      <c r="H329" s="1" t="n">
        <v>1309963</v>
      </c>
      <c r="I329" s="1" t="n">
        <v>1</v>
      </c>
      <c r="J329" s="1" t="s">
        <v>2127</v>
      </c>
      <c r="K329" s="63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2129</v>
      </c>
      <c r="D330" s="1" t="s">
        <v>2130</v>
      </c>
      <c r="E330" s="16" t="n">
        <v>46199</v>
      </c>
      <c r="F330" s="16" t="n">
        <v>46199</v>
      </c>
      <c r="G330" s="1" t="s">
        <v>80</v>
      </c>
      <c r="H330" s="1" t="n">
        <v>1309148</v>
      </c>
      <c r="I330" s="1" t="n">
        <v>6</v>
      </c>
      <c r="J330" s="1" t="s">
        <v>2127</v>
      </c>
      <c r="K330" s="63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2129</v>
      </c>
      <c r="D331" s="1" t="s">
        <v>2130</v>
      </c>
      <c r="E331" s="16" t="n">
        <v>46199</v>
      </c>
      <c r="F331" s="16" t="n">
        <v>46199</v>
      </c>
      <c r="G331" s="1" t="s">
        <v>80</v>
      </c>
      <c r="H331" s="1" t="n">
        <v>1309164</v>
      </c>
      <c r="I331" s="1" t="n">
        <v>6</v>
      </c>
      <c r="J331" s="1" t="s">
        <v>2127</v>
      </c>
      <c r="K331" s="63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2129</v>
      </c>
      <c r="D332" s="1" t="s">
        <v>2130</v>
      </c>
      <c r="E332" s="16" t="n">
        <v>46199</v>
      </c>
      <c r="F332" s="16" t="n">
        <v>46199</v>
      </c>
      <c r="G332" s="1" t="s">
        <v>80</v>
      </c>
      <c r="H332" s="1" t="n">
        <v>1309941</v>
      </c>
      <c r="I332" s="1" t="n">
        <v>6</v>
      </c>
      <c r="J332" s="1" t="s">
        <v>2127</v>
      </c>
      <c r="K332" s="63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2129</v>
      </c>
      <c r="D333" s="1" t="s">
        <v>2130</v>
      </c>
      <c r="E333" s="16" t="n">
        <v>46199</v>
      </c>
      <c r="F333" s="16" t="n">
        <v>46199</v>
      </c>
      <c r="G333" s="1" t="s">
        <v>80</v>
      </c>
      <c r="H333" s="1" t="n">
        <v>1309143</v>
      </c>
      <c r="I333" s="1" t="n">
        <v>2</v>
      </c>
      <c r="J333" s="1" t="s">
        <v>2127</v>
      </c>
      <c r="K333" s="63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2129</v>
      </c>
      <c r="D334" s="1" t="s">
        <v>2130</v>
      </c>
      <c r="E334" s="16" t="n">
        <v>46199</v>
      </c>
      <c r="F334" s="16" t="n">
        <v>46199</v>
      </c>
      <c r="G334" s="1" t="s">
        <v>80</v>
      </c>
      <c r="H334" s="1" t="n">
        <v>1309144</v>
      </c>
      <c r="I334" s="1" t="n">
        <v>2</v>
      </c>
      <c r="J334" s="1" t="s">
        <v>2127</v>
      </c>
      <c r="K334" s="63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2129</v>
      </c>
      <c r="D335" s="1" t="s">
        <v>2130</v>
      </c>
      <c r="E335" s="16" t="n">
        <v>46199</v>
      </c>
      <c r="F335" s="16" t="n">
        <v>46199</v>
      </c>
      <c r="G335" s="1" t="s">
        <v>80</v>
      </c>
      <c r="H335" s="1" t="n">
        <v>1309933</v>
      </c>
      <c r="I335" s="1" t="n">
        <v>2</v>
      </c>
      <c r="J335" s="1" t="s">
        <v>2127</v>
      </c>
      <c r="K335" s="63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2129</v>
      </c>
      <c r="D336" s="1" t="s">
        <v>2218</v>
      </c>
      <c r="E336" s="16" t="n">
        <v>46200</v>
      </c>
      <c r="F336" s="16" t="n">
        <v>46198</v>
      </c>
      <c r="G336" s="1" t="s">
        <v>608</v>
      </c>
      <c r="H336" s="1" t="n">
        <v>1312295</v>
      </c>
      <c r="I336" s="1" t="n">
        <v>1</v>
      </c>
      <c r="J336" s="1" t="s">
        <v>2127</v>
      </c>
      <c r="K336" s="63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2129</v>
      </c>
      <c r="D337" s="1" t="s">
        <v>2188</v>
      </c>
      <c r="E337" s="16" t="n">
        <v>46200</v>
      </c>
      <c r="F337" s="16" t="n">
        <v>46199</v>
      </c>
      <c r="G337" s="1" t="s">
        <v>278</v>
      </c>
      <c r="H337" s="1" t="n">
        <v>1312290</v>
      </c>
      <c r="I337" s="1" t="n">
        <v>1</v>
      </c>
      <c r="J337" s="1" t="s">
        <v>2127</v>
      </c>
      <c r="K337" s="63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2129</v>
      </c>
      <c r="D338" s="1" t="s">
        <v>2229</v>
      </c>
      <c r="E338" s="16" t="n">
        <v>46200</v>
      </c>
      <c r="F338" s="16" t="n">
        <v>46197</v>
      </c>
      <c r="G338" s="1" t="s">
        <v>1006</v>
      </c>
      <c r="H338" s="1" t="n">
        <v>1312510</v>
      </c>
      <c r="I338" s="1" t="n">
        <v>11</v>
      </c>
      <c r="J338" s="1" t="s">
        <v>2127</v>
      </c>
      <c r="K338" s="63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2138</v>
      </c>
      <c r="D339" s="1" t="s">
        <v>2167</v>
      </c>
      <c r="E339" s="16" t="n">
        <v>46200</v>
      </c>
      <c r="F339" s="16" t="n">
        <v>46200</v>
      </c>
      <c r="G339" s="1" t="s">
        <v>351</v>
      </c>
      <c r="H339" s="1" t="n">
        <v>1312535</v>
      </c>
      <c r="I339" s="1" t="n">
        <v>1</v>
      </c>
      <c r="J339" s="1" t="s">
        <v>2127</v>
      </c>
      <c r="K339" s="63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2129</v>
      </c>
      <c r="D340" s="1" t="s">
        <v>2167</v>
      </c>
      <c r="E340" s="16" t="n">
        <v>46200</v>
      </c>
      <c r="F340" s="16" t="n">
        <v>46200</v>
      </c>
      <c r="G340" s="1" t="s">
        <v>351</v>
      </c>
      <c r="H340" s="1" t="n">
        <v>1312539</v>
      </c>
      <c r="I340" s="1" t="n">
        <v>1</v>
      </c>
      <c r="J340" s="1" t="s">
        <v>2127</v>
      </c>
      <c r="K340" s="63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2129</v>
      </c>
      <c r="D341" s="1" t="s">
        <v>2230</v>
      </c>
      <c r="E341" s="16" t="n">
        <v>46200</v>
      </c>
      <c r="F341" s="16" t="n">
        <v>46199</v>
      </c>
      <c r="G341" s="1" t="s">
        <v>716</v>
      </c>
      <c r="H341" s="1" t="n">
        <v>1321565</v>
      </c>
      <c r="I341" s="1" t="n">
        <v>1</v>
      </c>
      <c r="J341" s="1" t="s">
        <v>2127</v>
      </c>
      <c r="K341" s="63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2129</v>
      </c>
      <c r="D342" s="1" t="s">
        <v>2143</v>
      </c>
      <c r="E342" s="16" t="n">
        <v>46200</v>
      </c>
      <c r="F342" s="16" t="n">
        <v>46198</v>
      </c>
      <c r="G342" s="1" t="s">
        <v>149</v>
      </c>
      <c r="H342" s="1" t="n">
        <v>1312623</v>
      </c>
      <c r="I342" s="1" t="n">
        <v>11</v>
      </c>
      <c r="J342" s="1" t="s">
        <v>2127</v>
      </c>
      <c r="K342" s="63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2138</v>
      </c>
      <c r="D343" s="1" t="s">
        <v>2231</v>
      </c>
      <c r="E343" s="16" t="n">
        <v>46200</v>
      </c>
      <c r="F343" s="16" t="n">
        <v>46197</v>
      </c>
      <c r="G343" s="1" t="s">
        <v>165</v>
      </c>
      <c r="H343" s="1" t="n">
        <v>1312455</v>
      </c>
      <c r="I343" s="1" t="n">
        <v>11</v>
      </c>
      <c r="J343" s="1" t="s">
        <v>2127</v>
      </c>
      <c r="K343" s="63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2129</v>
      </c>
      <c r="D344" s="1" t="s">
        <v>2130</v>
      </c>
      <c r="E344" s="16" t="n">
        <v>46200</v>
      </c>
      <c r="F344" s="16" t="n">
        <v>46200</v>
      </c>
      <c r="G344" s="1" t="s">
        <v>80</v>
      </c>
      <c r="H344" s="1" t="n">
        <v>1312572</v>
      </c>
      <c r="I344" s="1" t="n">
        <v>6</v>
      </c>
      <c r="J344" s="1" t="s">
        <v>2127</v>
      </c>
      <c r="K344" s="63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2129</v>
      </c>
      <c r="D345" s="1" t="s">
        <v>2130</v>
      </c>
      <c r="E345" s="16" t="n">
        <v>46200</v>
      </c>
      <c r="F345" s="16" t="n">
        <v>46200</v>
      </c>
      <c r="G345" s="1" t="s">
        <v>80</v>
      </c>
      <c r="H345" s="1" t="n">
        <v>1313262</v>
      </c>
      <c r="I345" s="1" t="n">
        <v>6</v>
      </c>
      <c r="J345" s="1" t="s">
        <v>2127</v>
      </c>
      <c r="K345" s="63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2129</v>
      </c>
      <c r="D346" s="1" t="s">
        <v>2130</v>
      </c>
      <c r="E346" s="16" t="n">
        <v>46200</v>
      </c>
      <c r="F346" s="16" t="n">
        <v>46200</v>
      </c>
      <c r="G346" s="1" t="s">
        <v>80</v>
      </c>
      <c r="H346" s="1" t="n">
        <v>1312564</v>
      </c>
      <c r="I346" s="1" t="n">
        <v>2</v>
      </c>
      <c r="J346" s="1" t="s">
        <v>2127</v>
      </c>
      <c r="K346" s="63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2129</v>
      </c>
      <c r="D347" s="1" t="s">
        <v>2130</v>
      </c>
      <c r="E347" s="16" t="n">
        <v>46200</v>
      </c>
      <c r="F347" s="16" t="n">
        <v>46200</v>
      </c>
      <c r="G347" s="1" t="s">
        <v>80</v>
      </c>
      <c r="H347" s="1" t="n">
        <v>1313251</v>
      </c>
      <c r="I347" s="1" t="n">
        <v>2</v>
      </c>
      <c r="J347" s="1" t="s">
        <v>2127</v>
      </c>
      <c r="K347" s="63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2129</v>
      </c>
      <c r="D348" s="1" t="s">
        <v>2165</v>
      </c>
      <c r="E348" s="16" t="n">
        <v>46202</v>
      </c>
      <c r="F348" s="16" t="n">
        <v>46199</v>
      </c>
      <c r="G348" s="1" t="s">
        <v>135</v>
      </c>
      <c r="H348" s="1" t="n">
        <v>1321563</v>
      </c>
      <c r="I348" s="1" t="n">
        <v>1</v>
      </c>
      <c r="J348" s="1" t="s">
        <v>2127</v>
      </c>
      <c r="K348" s="63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2129</v>
      </c>
      <c r="D349" s="1" t="s">
        <v>2136</v>
      </c>
      <c r="E349" s="16" t="n">
        <v>46202</v>
      </c>
      <c r="F349" s="16" t="n">
        <v>46197</v>
      </c>
      <c r="G349" s="1" t="s">
        <v>76</v>
      </c>
      <c r="H349" s="1" t="n">
        <v>1321809</v>
      </c>
      <c r="I349" s="1" t="n">
        <v>11</v>
      </c>
      <c r="J349" s="1" t="s">
        <v>2127</v>
      </c>
      <c r="K349" s="63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2129</v>
      </c>
      <c r="D350" s="1" t="s">
        <v>2136</v>
      </c>
      <c r="E350" s="16" t="n">
        <v>46202</v>
      </c>
      <c r="F350" s="16" t="n">
        <v>46198</v>
      </c>
      <c r="G350" s="1" t="s">
        <v>76</v>
      </c>
      <c r="H350" s="1" t="n">
        <v>1321918</v>
      </c>
      <c r="I350" s="1" t="n">
        <v>11</v>
      </c>
      <c r="J350" s="1" t="s">
        <v>2127</v>
      </c>
      <c r="K350" s="63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2129</v>
      </c>
      <c r="D351" s="1" t="s">
        <v>2136</v>
      </c>
      <c r="E351" s="16" t="n">
        <v>46202</v>
      </c>
      <c r="F351" s="16" t="n">
        <v>46199</v>
      </c>
      <c r="G351" s="1" t="s">
        <v>76</v>
      </c>
      <c r="H351" s="1" t="n">
        <v>1321883</v>
      </c>
      <c r="I351" s="1" t="n">
        <v>11</v>
      </c>
      <c r="J351" s="1" t="s">
        <v>2127</v>
      </c>
      <c r="K351" s="63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2129</v>
      </c>
      <c r="D352" s="1" t="s">
        <v>2136</v>
      </c>
      <c r="E352" s="16" t="n">
        <v>46202</v>
      </c>
      <c r="F352" s="16" t="n">
        <v>46200</v>
      </c>
      <c r="G352" s="1" t="s">
        <v>76</v>
      </c>
      <c r="H352" s="1" t="n">
        <v>1321647</v>
      </c>
      <c r="I352" s="1" t="n">
        <v>11</v>
      </c>
      <c r="J352" s="1" t="s">
        <v>2127</v>
      </c>
      <c r="K352" s="63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2129</v>
      </c>
      <c r="D353" s="1" t="s">
        <v>2200</v>
      </c>
      <c r="E353" s="16" t="n">
        <v>46202</v>
      </c>
      <c r="F353" s="16" t="n">
        <v>46198</v>
      </c>
      <c r="G353" s="1" t="s">
        <v>697</v>
      </c>
      <c r="H353" s="1" t="n">
        <v>1322021</v>
      </c>
      <c r="I353" s="1" t="n">
        <v>11</v>
      </c>
      <c r="J353" s="1" t="s">
        <v>2127</v>
      </c>
      <c r="K353" s="63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2203</v>
      </c>
      <c r="D354" s="1" t="s">
        <v>2232</v>
      </c>
      <c r="E354" s="16" t="n">
        <v>46202</v>
      </c>
      <c r="F354" s="16" t="n">
        <v>46196</v>
      </c>
      <c r="G354" s="1" t="s">
        <v>854</v>
      </c>
      <c r="H354" s="1" t="n">
        <v>1321754</v>
      </c>
      <c r="I354" s="1" t="n">
        <v>11</v>
      </c>
      <c r="J354" s="1" t="s">
        <v>2127</v>
      </c>
      <c r="K354" s="63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2037</v>
      </c>
      <c r="D355" s="1" t="s">
        <v>2232</v>
      </c>
      <c r="E355" s="16" t="n">
        <v>46202</v>
      </c>
      <c r="F355" s="16" t="n">
        <v>46196</v>
      </c>
      <c r="G355" s="1" t="s">
        <v>854</v>
      </c>
      <c r="H355" s="1" t="n">
        <v>1321723</v>
      </c>
      <c r="I355" s="1" t="n">
        <v>11</v>
      </c>
      <c r="J355" s="1" t="s">
        <v>2127</v>
      </c>
      <c r="K355" s="63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2129</v>
      </c>
      <c r="D356" s="1" t="s">
        <v>2163</v>
      </c>
      <c r="E356" s="16" t="n">
        <v>46202</v>
      </c>
      <c r="F356" s="16" t="n">
        <v>46200</v>
      </c>
      <c r="G356" s="1" t="s">
        <v>2164</v>
      </c>
      <c r="H356" s="1" t="n">
        <v>1322109</v>
      </c>
      <c r="I356" s="1" t="n">
        <v>1</v>
      </c>
      <c r="J356" s="1" t="s">
        <v>2127</v>
      </c>
      <c r="K356" s="63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2129</v>
      </c>
      <c r="D357" s="1" t="s">
        <v>2191</v>
      </c>
      <c r="E357" s="16" t="n">
        <v>46202</v>
      </c>
      <c r="F357" s="16" t="n">
        <v>46198</v>
      </c>
      <c r="G357" s="1" t="s">
        <v>60</v>
      </c>
      <c r="H357" s="1" t="n">
        <v>1322168</v>
      </c>
      <c r="I357" s="1" t="n">
        <v>11</v>
      </c>
      <c r="J357" s="1" t="s">
        <v>2127</v>
      </c>
      <c r="K357" s="63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2129</v>
      </c>
      <c r="D358" s="1" t="s">
        <v>2130</v>
      </c>
      <c r="E358" s="16" t="n">
        <v>46202</v>
      </c>
      <c r="F358" s="16" t="n">
        <v>46202</v>
      </c>
      <c r="G358" s="1" t="s">
        <v>80</v>
      </c>
      <c r="H358" s="1" t="n">
        <v>1321970</v>
      </c>
      <c r="I358" s="1" t="n">
        <v>6</v>
      </c>
      <c r="J358" s="1" t="s">
        <v>2127</v>
      </c>
      <c r="K358" s="63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2129</v>
      </c>
      <c r="D359" s="1" t="s">
        <v>2130</v>
      </c>
      <c r="E359" s="16" t="n">
        <v>46202</v>
      </c>
      <c r="F359" s="16" t="n">
        <v>46202</v>
      </c>
      <c r="G359" s="1" t="s">
        <v>80</v>
      </c>
      <c r="H359" s="1" t="n">
        <v>1321985</v>
      </c>
      <c r="I359" s="1" t="n">
        <v>6</v>
      </c>
      <c r="J359" s="1" t="s">
        <v>2127</v>
      </c>
      <c r="K359" s="63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2129</v>
      </c>
      <c r="D360" s="1" t="s">
        <v>2130</v>
      </c>
      <c r="E360" s="16" t="n">
        <v>46202</v>
      </c>
      <c r="F360" s="16" t="n">
        <v>46202</v>
      </c>
      <c r="G360" s="1" t="s">
        <v>80</v>
      </c>
      <c r="H360" s="1" t="n">
        <v>1322132</v>
      </c>
      <c r="I360" s="1" t="n">
        <v>6</v>
      </c>
      <c r="J360" s="1" t="s">
        <v>2127</v>
      </c>
      <c r="K360" s="63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2129</v>
      </c>
      <c r="D361" s="1" t="s">
        <v>2130</v>
      </c>
      <c r="E361" s="16" t="n">
        <v>46202</v>
      </c>
      <c r="F361" s="16" t="n">
        <v>46202</v>
      </c>
      <c r="G361" s="1" t="s">
        <v>80</v>
      </c>
      <c r="H361" s="1" t="n">
        <v>1321958</v>
      </c>
      <c r="I361" s="1" t="n">
        <v>2</v>
      </c>
      <c r="J361" s="1" t="s">
        <v>2127</v>
      </c>
      <c r="K361" s="63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2129</v>
      </c>
      <c r="D362" s="1" t="s">
        <v>2130</v>
      </c>
      <c r="E362" s="16" t="n">
        <v>46202</v>
      </c>
      <c r="F362" s="16" t="n">
        <v>46202</v>
      </c>
      <c r="G362" s="1" t="s">
        <v>80</v>
      </c>
      <c r="H362" s="1" t="n">
        <v>1321964</v>
      </c>
      <c r="I362" s="1" t="n">
        <v>2</v>
      </c>
      <c r="J362" s="1" t="s">
        <v>2127</v>
      </c>
      <c r="K362" s="63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2129</v>
      </c>
      <c r="D363" s="1" t="s">
        <v>2130</v>
      </c>
      <c r="E363" s="16" t="n">
        <v>46202</v>
      </c>
      <c r="F363" s="16" t="n">
        <v>46202</v>
      </c>
      <c r="G363" s="1" t="s">
        <v>80</v>
      </c>
      <c r="H363" s="1" t="n">
        <v>1322116</v>
      </c>
      <c r="I363" s="1" t="n">
        <v>2</v>
      </c>
      <c r="J363" s="1" t="s">
        <v>2127</v>
      </c>
      <c r="K363" s="63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2129</v>
      </c>
      <c r="D364" s="1" t="s">
        <v>2131</v>
      </c>
      <c r="E364" s="16" t="n">
        <v>46203</v>
      </c>
      <c r="F364" s="16" t="n">
        <v>46203</v>
      </c>
      <c r="G364" s="1" t="s">
        <v>112</v>
      </c>
      <c r="H364" s="1" t="n">
        <v>1333698</v>
      </c>
      <c r="I364" s="1" t="n">
        <v>1</v>
      </c>
      <c r="J364" s="1" t="s">
        <v>2127</v>
      </c>
      <c r="K364" s="63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2125</v>
      </c>
      <c r="D365" s="1" t="s">
        <v>2126</v>
      </c>
      <c r="E365" s="16" t="n">
        <v>46203</v>
      </c>
      <c r="F365" s="16" t="n">
        <v>46202</v>
      </c>
      <c r="G365" s="1" t="s">
        <v>122</v>
      </c>
      <c r="H365" s="1" t="n">
        <v>1330757</v>
      </c>
      <c r="I365" s="1" t="n">
        <v>11</v>
      </c>
      <c r="J365" s="1" t="s">
        <v>2127</v>
      </c>
      <c r="K365" s="63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2128</v>
      </c>
      <c r="D366" s="1" t="s">
        <v>2126</v>
      </c>
      <c r="E366" s="16" t="n">
        <v>46203</v>
      </c>
      <c r="F366" s="16" t="n">
        <v>46202</v>
      </c>
      <c r="G366" s="1" t="s">
        <v>122</v>
      </c>
      <c r="H366" s="1" t="n">
        <v>1330767</v>
      </c>
      <c r="I366" s="1" t="n">
        <v>11</v>
      </c>
      <c r="J366" s="1" t="s">
        <v>2127</v>
      </c>
      <c r="K366" s="63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2129</v>
      </c>
      <c r="D367" s="1" t="s">
        <v>2197</v>
      </c>
      <c r="E367" s="16" t="n">
        <v>46203</v>
      </c>
      <c r="F367" s="16" t="n">
        <v>46203</v>
      </c>
      <c r="G367" s="1" t="s">
        <v>177</v>
      </c>
      <c r="H367" s="1" t="n">
        <v>1335347</v>
      </c>
      <c r="I367" s="1" t="n">
        <v>11</v>
      </c>
      <c r="J367" s="1" t="s">
        <v>2127</v>
      </c>
      <c r="K367" s="63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2129</v>
      </c>
      <c r="D368" s="1" t="s">
        <v>2136</v>
      </c>
      <c r="E368" s="16" t="n">
        <v>46203</v>
      </c>
      <c r="F368" s="16" t="n">
        <v>46203</v>
      </c>
      <c r="G368" s="1" t="s">
        <v>76</v>
      </c>
      <c r="H368" s="1" t="n">
        <v>1329978</v>
      </c>
      <c r="I368" s="1" t="n">
        <v>11</v>
      </c>
      <c r="J368" s="1" t="s">
        <v>2127</v>
      </c>
      <c r="K368" s="63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2129</v>
      </c>
      <c r="D369" s="1" t="s">
        <v>2132</v>
      </c>
      <c r="E369" s="16" t="n">
        <v>46203</v>
      </c>
      <c r="F369" s="16" t="n">
        <v>46203</v>
      </c>
      <c r="G369" s="1" t="s">
        <v>130</v>
      </c>
      <c r="H369" s="1" t="n">
        <v>1330504</v>
      </c>
      <c r="I369" s="1" t="n">
        <v>1</v>
      </c>
      <c r="J369" s="1" t="s">
        <v>2127</v>
      </c>
      <c r="K369" s="63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2129</v>
      </c>
      <c r="D370" s="1" t="s">
        <v>2233</v>
      </c>
      <c r="E370" s="16" t="n">
        <v>46203</v>
      </c>
      <c r="F370" s="16" t="n">
        <v>46199</v>
      </c>
      <c r="G370" s="1" t="s">
        <v>1069</v>
      </c>
      <c r="H370" s="1" t="n">
        <v>1334004</v>
      </c>
      <c r="I370" s="1" t="n">
        <v>11</v>
      </c>
      <c r="J370" s="1" t="s">
        <v>2127</v>
      </c>
      <c r="K370" s="63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2134</v>
      </c>
      <c r="D371" s="1" t="s">
        <v>2140</v>
      </c>
      <c r="E371" s="16" t="n">
        <v>46203</v>
      </c>
      <c r="F371" s="16" t="n">
        <v>46203</v>
      </c>
      <c r="G371" s="1" t="s">
        <v>183</v>
      </c>
      <c r="H371" s="1" t="n">
        <v>1333686</v>
      </c>
      <c r="I371" s="1" t="n">
        <v>1</v>
      </c>
      <c r="J371" s="1" t="s">
        <v>2127</v>
      </c>
      <c r="K371" s="63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2138</v>
      </c>
      <c r="D372" s="1" t="s">
        <v>2234</v>
      </c>
      <c r="E372" s="16" t="n">
        <v>46203</v>
      </c>
      <c r="F372" s="16" t="n">
        <v>46202</v>
      </c>
      <c r="G372" s="1" t="s">
        <v>1263</v>
      </c>
      <c r="H372" s="1" t="n">
        <v>1334000</v>
      </c>
      <c r="I372" s="1" t="n">
        <v>1</v>
      </c>
      <c r="J372" s="1" t="s">
        <v>2127</v>
      </c>
      <c r="K372" s="63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2129</v>
      </c>
      <c r="D373" s="1" t="s">
        <v>2168</v>
      </c>
      <c r="E373" s="16" t="n">
        <v>46203</v>
      </c>
      <c r="F373" s="16" t="n">
        <v>46203</v>
      </c>
      <c r="G373" s="1" t="s">
        <v>417</v>
      </c>
      <c r="H373" s="1" t="n">
        <v>1330737</v>
      </c>
      <c r="I373" s="1" t="n">
        <v>1</v>
      </c>
      <c r="J373" s="1" t="s">
        <v>2127</v>
      </c>
      <c r="K373" s="63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2184</v>
      </c>
      <c r="D374" s="1" t="s">
        <v>2186</v>
      </c>
      <c r="E374" s="16" t="n">
        <v>46203</v>
      </c>
      <c r="F374" s="16" t="n">
        <v>46202</v>
      </c>
      <c r="G374" s="1" t="s">
        <v>159</v>
      </c>
      <c r="H374" s="1" t="n">
        <v>1333932</v>
      </c>
      <c r="I374" s="1" t="n">
        <v>39</v>
      </c>
      <c r="J374" s="1" t="s">
        <v>2127</v>
      </c>
      <c r="K374" s="63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2129</v>
      </c>
      <c r="D375" s="1" t="s">
        <v>2130</v>
      </c>
      <c r="E375" s="16" t="n">
        <v>46203</v>
      </c>
      <c r="F375" s="16" t="n">
        <v>46203</v>
      </c>
      <c r="G375" s="1" t="s">
        <v>80</v>
      </c>
      <c r="H375" s="1" t="n">
        <v>1328808</v>
      </c>
      <c r="I375" s="1" t="n">
        <v>6</v>
      </c>
      <c r="J375" s="1" t="s">
        <v>2127</v>
      </c>
      <c r="K375" s="63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2129</v>
      </c>
      <c r="D376" s="1" t="s">
        <v>2130</v>
      </c>
      <c r="E376" s="16" t="n">
        <v>46203</v>
      </c>
      <c r="F376" s="16" t="n">
        <v>46203</v>
      </c>
      <c r="G376" s="1" t="s">
        <v>80</v>
      </c>
      <c r="H376" s="1" t="n">
        <v>1328832</v>
      </c>
      <c r="I376" s="1" t="n">
        <v>6</v>
      </c>
      <c r="J376" s="1" t="s">
        <v>2127</v>
      </c>
      <c r="K376" s="63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2129</v>
      </c>
      <c r="D377" s="1" t="s">
        <v>2130</v>
      </c>
      <c r="E377" s="16" t="n">
        <v>46203</v>
      </c>
      <c r="F377" s="16" t="n">
        <v>46203</v>
      </c>
      <c r="G377" s="1" t="s">
        <v>80</v>
      </c>
      <c r="H377" s="1" t="n">
        <v>1330496</v>
      </c>
      <c r="I377" s="1" t="n">
        <v>6</v>
      </c>
      <c r="J377" s="1" t="s">
        <v>2127</v>
      </c>
      <c r="K377" s="63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2129</v>
      </c>
      <c r="D378" s="1" t="s">
        <v>2130</v>
      </c>
      <c r="E378" s="16" t="n">
        <v>46203</v>
      </c>
      <c r="F378" s="16" t="n">
        <v>46203</v>
      </c>
      <c r="G378" s="1" t="s">
        <v>80</v>
      </c>
      <c r="H378" s="1" t="n">
        <v>1330566</v>
      </c>
      <c r="I378" s="1" t="n">
        <v>6</v>
      </c>
      <c r="J378" s="1" t="s">
        <v>2127</v>
      </c>
      <c r="K378" s="63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2129</v>
      </c>
      <c r="D379" s="1" t="s">
        <v>2130</v>
      </c>
      <c r="E379" s="16" t="n">
        <v>46203</v>
      </c>
      <c r="F379" s="16" t="n">
        <v>46203</v>
      </c>
      <c r="G379" s="1" t="s">
        <v>80</v>
      </c>
      <c r="H379" s="1" t="n">
        <v>1328802</v>
      </c>
      <c r="I379" s="1" t="n">
        <v>2</v>
      </c>
      <c r="J379" s="1" t="s">
        <v>2127</v>
      </c>
      <c r="K379" s="63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2129</v>
      </c>
      <c r="D380" s="1" t="s">
        <v>2130</v>
      </c>
      <c r="E380" s="16" t="n">
        <v>46203</v>
      </c>
      <c r="F380" s="16" t="n">
        <v>46203</v>
      </c>
      <c r="G380" s="1" t="s">
        <v>80</v>
      </c>
      <c r="H380" s="1" t="n">
        <v>1328829</v>
      </c>
      <c r="I380" s="1" t="n">
        <v>2</v>
      </c>
      <c r="J380" s="1" t="s">
        <v>2127</v>
      </c>
      <c r="K380" s="63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2129</v>
      </c>
      <c r="D381" s="1" t="s">
        <v>2130</v>
      </c>
      <c r="E381" s="16" t="n">
        <v>46203</v>
      </c>
      <c r="F381" s="16" t="n">
        <v>46203</v>
      </c>
      <c r="G381" s="1" t="s">
        <v>80</v>
      </c>
      <c r="H381" s="1" t="n">
        <v>1330487</v>
      </c>
      <c r="I381" s="1" t="n">
        <v>2</v>
      </c>
      <c r="J381" s="1" t="s">
        <v>2127</v>
      </c>
      <c r="K381" s="63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2129</v>
      </c>
      <c r="D382" s="1" t="s">
        <v>2130</v>
      </c>
      <c r="E382" s="16" t="n">
        <v>46203</v>
      </c>
      <c r="F382" s="16" t="n">
        <v>46203</v>
      </c>
      <c r="G382" s="1" t="s">
        <v>80</v>
      </c>
      <c r="H382" s="1" t="n">
        <v>1330562</v>
      </c>
      <c r="I382" s="1" t="n">
        <v>2</v>
      </c>
      <c r="J382" s="1" t="s">
        <v>2127</v>
      </c>
      <c r="K382" s="63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2138</v>
      </c>
      <c r="D383" s="1" t="s">
        <v>2235</v>
      </c>
      <c r="E383" s="16" t="n">
        <v>46203</v>
      </c>
      <c r="F383" s="16" t="n">
        <v>46202</v>
      </c>
      <c r="G383" s="1" t="s">
        <v>284</v>
      </c>
      <c r="H383" s="1" t="n">
        <v>1333986</v>
      </c>
      <c r="I383" s="1" t="n">
        <v>11</v>
      </c>
      <c r="J383" s="1" t="s">
        <v>2127</v>
      </c>
      <c r="K383" s="63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2182</v>
      </c>
      <c r="D384" s="1" t="s">
        <v>2215</v>
      </c>
      <c r="E384" s="16" t="n">
        <v>46203</v>
      </c>
      <c r="F384" s="16" t="n">
        <v>46203</v>
      </c>
      <c r="G384" s="1" t="s">
        <v>2216</v>
      </c>
      <c r="H384" s="1" t="n">
        <v>1334186</v>
      </c>
      <c r="I384" s="1" t="n">
        <v>11</v>
      </c>
      <c r="J384" s="1" t="s">
        <v>2127</v>
      </c>
      <c r="K384" s="63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2129</v>
      </c>
      <c r="D385" s="1" t="s">
        <v>2171</v>
      </c>
      <c r="E385" s="16" t="n">
        <v>46203</v>
      </c>
      <c r="F385" s="16" t="n">
        <v>46202</v>
      </c>
      <c r="G385" s="1" t="s">
        <v>223</v>
      </c>
      <c r="H385" s="1" t="n">
        <v>1328873</v>
      </c>
      <c r="I385" s="1" t="n">
        <v>11</v>
      </c>
      <c r="J385" s="1" t="s">
        <v>2127</v>
      </c>
      <c r="K385" s="63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2129</v>
      </c>
      <c r="D386" s="1" t="s">
        <v>2171</v>
      </c>
      <c r="E386" s="16" t="n">
        <v>46203</v>
      </c>
      <c r="F386" s="16" t="n">
        <v>46202</v>
      </c>
      <c r="G386" s="1" t="s">
        <v>223</v>
      </c>
      <c r="H386" s="1" t="n">
        <v>1329841</v>
      </c>
      <c r="I386" s="1" t="n">
        <v>11</v>
      </c>
      <c r="J386" s="1" t="s">
        <v>2127</v>
      </c>
      <c r="K386" s="63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2129</v>
      </c>
      <c r="D387" s="1" t="s">
        <v>2225</v>
      </c>
      <c r="E387" s="16" t="n">
        <v>46203</v>
      </c>
      <c r="F387" s="16" t="n">
        <v>46195</v>
      </c>
      <c r="G387" s="1" t="s">
        <v>57</v>
      </c>
      <c r="H387" s="1" t="n">
        <v>1335475</v>
      </c>
      <c r="I387" s="1" t="n">
        <v>11</v>
      </c>
      <c r="J387" s="1" t="s">
        <v>2127</v>
      </c>
      <c r="K387" s="63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2134</v>
      </c>
      <c r="D388" s="1" t="s">
        <v>2150</v>
      </c>
      <c r="E388" s="16" t="n">
        <v>46204</v>
      </c>
      <c r="F388" s="16" t="n">
        <v>46204</v>
      </c>
      <c r="G388" s="1" t="s">
        <v>179</v>
      </c>
      <c r="H388" s="1" t="n">
        <v>1335390</v>
      </c>
      <c r="I388" s="1" t="n">
        <v>11</v>
      </c>
      <c r="J388" s="1" t="s">
        <v>2127</v>
      </c>
      <c r="K388" s="63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2129</v>
      </c>
      <c r="D389" s="1" t="s">
        <v>2136</v>
      </c>
      <c r="E389" s="16" t="n">
        <v>46204</v>
      </c>
      <c r="F389" s="16" t="n">
        <v>46204</v>
      </c>
      <c r="G389" s="1" t="s">
        <v>76</v>
      </c>
      <c r="H389" s="1" t="n">
        <v>1335571</v>
      </c>
      <c r="I389" s="1" t="n">
        <v>11</v>
      </c>
      <c r="J389" s="1" t="s">
        <v>2127</v>
      </c>
      <c r="K389" s="63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2184</v>
      </c>
      <c r="D390" s="1" t="s">
        <v>2236</v>
      </c>
      <c r="E390" s="16" t="n">
        <v>46204</v>
      </c>
      <c r="F390" s="16" t="n">
        <v>46204</v>
      </c>
      <c r="G390" s="1" t="s">
        <v>778</v>
      </c>
      <c r="H390" s="1" t="n">
        <v>1340515</v>
      </c>
      <c r="I390" s="1" t="n">
        <v>1</v>
      </c>
      <c r="J390" s="1" t="s">
        <v>2127</v>
      </c>
      <c r="K390" s="63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2129</v>
      </c>
      <c r="D391" s="1" t="s">
        <v>2144</v>
      </c>
      <c r="E391" s="16" t="n">
        <v>46204</v>
      </c>
      <c r="F391" s="16" t="n">
        <v>46204</v>
      </c>
      <c r="G391" s="1" t="s">
        <v>170</v>
      </c>
      <c r="H391" s="1" t="n">
        <v>1335395</v>
      </c>
      <c r="I391" s="1" t="n">
        <v>11</v>
      </c>
      <c r="J391" s="1" t="s">
        <v>2127</v>
      </c>
      <c r="K391" s="63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2129</v>
      </c>
      <c r="D392" s="1" t="s">
        <v>2144</v>
      </c>
      <c r="E392" s="16" t="n">
        <v>46204</v>
      </c>
      <c r="F392" s="16" t="n">
        <v>46204</v>
      </c>
      <c r="G392" s="1" t="s">
        <v>170</v>
      </c>
      <c r="H392" s="1" t="n">
        <v>1335420</v>
      </c>
      <c r="I392" s="1" t="n">
        <v>11</v>
      </c>
      <c r="J392" s="1" t="s">
        <v>2127</v>
      </c>
      <c r="K392" s="63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2129</v>
      </c>
      <c r="D393" s="1" t="s">
        <v>2144</v>
      </c>
      <c r="E393" s="16" t="n">
        <v>46204</v>
      </c>
      <c r="F393" s="16" t="n">
        <v>46204</v>
      </c>
      <c r="G393" s="1" t="s">
        <v>170</v>
      </c>
      <c r="H393" s="1" t="n">
        <v>1335400</v>
      </c>
      <c r="I393" s="1" t="n">
        <v>11</v>
      </c>
      <c r="J393" s="1" t="s">
        <v>2127</v>
      </c>
      <c r="K393" s="63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2129</v>
      </c>
      <c r="D394" s="1" t="s">
        <v>2130</v>
      </c>
      <c r="E394" s="16" t="n">
        <v>46204</v>
      </c>
      <c r="F394" s="16" t="n">
        <v>46204</v>
      </c>
      <c r="G394" s="1" t="s">
        <v>80</v>
      </c>
      <c r="H394" s="1" t="n">
        <v>1334160</v>
      </c>
      <c r="I394" s="1" t="n">
        <v>6</v>
      </c>
      <c r="J394" s="1" t="s">
        <v>2127</v>
      </c>
      <c r="K394" s="63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2129</v>
      </c>
      <c r="D395" s="1" t="s">
        <v>2130</v>
      </c>
      <c r="E395" s="16" t="n">
        <v>46204</v>
      </c>
      <c r="F395" s="16" t="n">
        <v>46204</v>
      </c>
      <c r="G395" s="1" t="s">
        <v>80</v>
      </c>
      <c r="H395" s="1" t="n">
        <v>1334149</v>
      </c>
      <c r="I395" s="1" t="n">
        <v>2</v>
      </c>
      <c r="J395" s="1" t="s">
        <v>2127</v>
      </c>
      <c r="K395" s="63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2129</v>
      </c>
      <c r="D396" s="1" t="s">
        <v>2147</v>
      </c>
      <c r="E396" s="16" t="n">
        <v>46204</v>
      </c>
      <c r="F396" s="16" t="n">
        <v>46204</v>
      </c>
      <c r="G396" s="1" t="s">
        <v>125</v>
      </c>
      <c r="H396" s="1" t="n">
        <v>1335459</v>
      </c>
      <c r="I396" s="1" t="n">
        <v>11</v>
      </c>
      <c r="J396" s="1" t="s">
        <v>2127</v>
      </c>
      <c r="K396" s="63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2129</v>
      </c>
      <c r="D397" s="1" t="s">
        <v>2147</v>
      </c>
      <c r="E397" s="16" t="n">
        <v>46204</v>
      </c>
      <c r="F397" s="16" t="n">
        <v>46204</v>
      </c>
      <c r="G397" s="1" t="s">
        <v>125</v>
      </c>
      <c r="H397" s="1" t="n">
        <v>1334336</v>
      </c>
      <c r="I397" s="1" t="n">
        <v>11</v>
      </c>
      <c r="J397" s="1" t="s">
        <v>2127</v>
      </c>
      <c r="K397" s="63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2129</v>
      </c>
      <c r="D398" s="1" t="s">
        <v>2151</v>
      </c>
      <c r="E398" s="16" t="n">
        <v>46205</v>
      </c>
      <c r="F398" s="16" t="n">
        <v>46204</v>
      </c>
      <c r="G398" s="1" t="s">
        <v>274</v>
      </c>
      <c r="H398" s="1" t="n">
        <v>1339278</v>
      </c>
      <c r="I398" s="1" t="n">
        <v>1</v>
      </c>
      <c r="J398" s="1" t="s">
        <v>2127</v>
      </c>
      <c r="K398" s="63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2129</v>
      </c>
      <c r="D399" s="1" t="s">
        <v>2136</v>
      </c>
      <c r="E399" s="16" t="n">
        <v>46205</v>
      </c>
      <c r="F399" s="16" t="n">
        <v>46205</v>
      </c>
      <c r="G399" s="1" t="s">
        <v>76</v>
      </c>
      <c r="H399" s="1" t="n">
        <v>1339492</v>
      </c>
      <c r="I399" s="1" t="n">
        <v>11</v>
      </c>
      <c r="J399" s="1" t="s">
        <v>2127</v>
      </c>
      <c r="K399" s="63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2129</v>
      </c>
      <c r="D400" s="1" t="s">
        <v>2189</v>
      </c>
      <c r="E400" s="16" t="n">
        <v>46205</v>
      </c>
      <c r="F400" s="16" t="n">
        <v>46205</v>
      </c>
      <c r="G400" s="1" t="s">
        <v>152</v>
      </c>
      <c r="H400" s="1" t="n">
        <v>1340327</v>
      </c>
      <c r="I400" s="1" t="n">
        <v>39</v>
      </c>
      <c r="J400" s="1" t="s">
        <v>2127</v>
      </c>
      <c r="K400" s="63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2160</v>
      </c>
      <c r="D401" s="1" t="s">
        <v>2237</v>
      </c>
      <c r="E401" s="16" t="n">
        <v>46205</v>
      </c>
      <c r="F401" s="16" t="n">
        <v>46205</v>
      </c>
      <c r="G401" s="1" t="s">
        <v>953</v>
      </c>
      <c r="H401" s="1" t="n">
        <v>1340628</v>
      </c>
      <c r="I401" s="1" t="n">
        <v>11</v>
      </c>
      <c r="J401" s="1" t="s">
        <v>2127</v>
      </c>
      <c r="K401" s="63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2129</v>
      </c>
      <c r="D402" s="1" t="s">
        <v>2130</v>
      </c>
      <c r="E402" s="16" t="n">
        <v>46205</v>
      </c>
      <c r="F402" s="16" t="n">
        <v>46205</v>
      </c>
      <c r="G402" s="1" t="s">
        <v>80</v>
      </c>
      <c r="H402" s="1" t="n">
        <v>1338913</v>
      </c>
      <c r="I402" s="1" t="n">
        <v>6</v>
      </c>
      <c r="J402" s="1" t="s">
        <v>2127</v>
      </c>
      <c r="K402" s="63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2129</v>
      </c>
      <c r="D403" s="1" t="s">
        <v>2130</v>
      </c>
      <c r="E403" s="16" t="n">
        <v>46205</v>
      </c>
      <c r="F403" s="16" t="n">
        <v>46205</v>
      </c>
      <c r="G403" s="1" t="s">
        <v>80</v>
      </c>
      <c r="H403" s="1" t="n">
        <v>1339067</v>
      </c>
      <c r="I403" s="1" t="n">
        <v>6</v>
      </c>
      <c r="J403" s="1" t="s">
        <v>2127</v>
      </c>
      <c r="K403" s="63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2129</v>
      </c>
      <c r="D404" s="1" t="s">
        <v>2130</v>
      </c>
      <c r="E404" s="16" t="n">
        <v>46205</v>
      </c>
      <c r="F404" s="16" t="n">
        <v>46205</v>
      </c>
      <c r="G404" s="1" t="s">
        <v>80</v>
      </c>
      <c r="H404" s="1" t="n">
        <v>1339084</v>
      </c>
      <c r="I404" s="1" t="n">
        <v>6</v>
      </c>
      <c r="J404" s="1" t="s">
        <v>2127</v>
      </c>
      <c r="K404" s="63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2129</v>
      </c>
      <c r="D405" s="1" t="s">
        <v>2130</v>
      </c>
      <c r="E405" s="16" t="n">
        <v>46205</v>
      </c>
      <c r="F405" s="16" t="n">
        <v>46205</v>
      </c>
      <c r="G405" s="1" t="s">
        <v>80</v>
      </c>
      <c r="H405" s="1" t="n">
        <v>1340380</v>
      </c>
      <c r="I405" s="1" t="n">
        <v>6</v>
      </c>
      <c r="J405" s="1" t="s">
        <v>2127</v>
      </c>
      <c r="K405" s="63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2129</v>
      </c>
      <c r="D406" s="1" t="s">
        <v>2130</v>
      </c>
      <c r="E406" s="16" t="n">
        <v>46205</v>
      </c>
      <c r="F406" s="16" t="n">
        <v>46205</v>
      </c>
      <c r="G406" s="1" t="s">
        <v>80</v>
      </c>
      <c r="H406" s="1" t="n">
        <v>1338903</v>
      </c>
      <c r="I406" s="1" t="n">
        <v>2</v>
      </c>
      <c r="J406" s="1" t="s">
        <v>2127</v>
      </c>
      <c r="K406" s="63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2129</v>
      </c>
      <c r="D407" s="1" t="s">
        <v>2130</v>
      </c>
      <c r="E407" s="16" t="n">
        <v>46205</v>
      </c>
      <c r="F407" s="16" t="n">
        <v>46205</v>
      </c>
      <c r="G407" s="1" t="s">
        <v>80</v>
      </c>
      <c r="H407" s="1" t="n">
        <v>1338911</v>
      </c>
      <c r="I407" s="1" t="n">
        <v>2</v>
      </c>
      <c r="J407" s="1" t="s">
        <v>2127</v>
      </c>
      <c r="K407" s="63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2129</v>
      </c>
      <c r="D408" s="1" t="s">
        <v>2130</v>
      </c>
      <c r="E408" s="16" t="n">
        <v>46205</v>
      </c>
      <c r="F408" s="16" t="n">
        <v>46205</v>
      </c>
      <c r="G408" s="1" t="s">
        <v>80</v>
      </c>
      <c r="H408" s="1" t="n">
        <v>1339062</v>
      </c>
      <c r="I408" s="1" t="n">
        <v>2</v>
      </c>
      <c r="J408" s="1" t="s">
        <v>2127</v>
      </c>
      <c r="K408" s="63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2129</v>
      </c>
      <c r="D409" s="1" t="s">
        <v>2130</v>
      </c>
      <c r="E409" s="16" t="n">
        <v>46205</v>
      </c>
      <c r="F409" s="16" t="n">
        <v>46205</v>
      </c>
      <c r="G409" s="1" t="s">
        <v>80</v>
      </c>
      <c r="H409" s="1" t="n">
        <v>1340373</v>
      </c>
      <c r="I409" s="1" t="n">
        <v>2</v>
      </c>
      <c r="J409" s="1" t="s">
        <v>2127</v>
      </c>
      <c r="K409" s="63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2138</v>
      </c>
      <c r="D410" s="1" t="s">
        <v>2202</v>
      </c>
      <c r="E410" s="16" t="n">
        <v>46205</v>
      </c>
      <c r="F410" s="16" t="n">
        <v>46204</v>
      </c>
      <c r="G410" s="1" t="s">
        <v>266</v>
      </c>
      <c r="H410" s="1" t="n">
        <v>1340340</v>
      </c>
      <c r="I410" s="1" t="n">
        <v>11</v>
      </c>
      <c r="J410" s="1" t="s">
        <v>2127</v>
      </c>
      <c r="K410" s="63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2129</v>
      </c>
      <c r="D411" s="1" t="s">
        <v>2238</v>
      </c>
      <c r="E411" s="16" t="n">
        <v>46205</v>
      </c>
      <c r="F411" s="16" t="n">
        <v>46203</v>
      </c>
      <c r="G411" s="1" t="s">
        <v>208</v>
      </c>
      <c r="H411" s="1" t="n">
        <v>1340699</v>
      </c>
      <c r="I411" s="1" t="n">
        <v>11</v>
      </c>
      <c r="J411" s="1" t="s">
        <v>2127</v>
      </c>
      <c r="K411" s="63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2172</v>
      </c>
      <c r="D412" s="1" t="s">
        <v>2173</v>
      </c>
      <c r="E412" s="16" t="n">
        <v>46205</v>
      </c>
      <c r="F412" s="16" t="n">
        <v>46203</v>
      </c>
      <c r="G412" s="1" t="s">
        <v>212</v>
      </c>
      <c r="H412" s="1" t="n">
        <v>1340311</v>
      </c>
      <c r="I412" s="1" t="n">
        <v>11</v>
      </c>
      <c r="J412" s="1" t="s">
        <v>2127</v>
      </c>
      <c r="K412" s="63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2129</v>
      </c>
      <c r="D413" s="1" t="s">
        <v>2148</v>
      </c>
      <c r="E413" s="16" t="n">
        <v>46206</v>
      </c>
      <c r="F413" s="16" t="n">
        <v>46206</v>
      </c>
      <c r="G413" s="1" t="s">
        <v>2149</v>
      </c>
      <c r="H413" s="1" t="n">
        <v>1348284</v>
      </c>
      <c r="I413" s="1" t="n">
        <v>1</v>
      </c>
      <c r="J413" s="1" t="s">
        <v>2127</v>
      </c>
      <c r="K413" s="63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2129</v>
      </c>
      <c r="D414" s="1" t="s">
        <v>2239</v>
      </c>
      <c r="E414" s="16" t="n">
        <v>46206</v>
      </c>
      <c r="F414" s="16" t="n">
        <v>46204</v>
      </c>
      <c r="G414" s="1" t="s">
        <v>1082</v>
      </c>
      <c r="H414" s="1" t="n">
        <v>1344034</v>
      </c>
      <c r="I414" s="1" t="n">
        <v>11</v>
      </c>
      <c r="J414" s="1" t="s">
        <v>2127</v>
      </c>
      <c r="K414" s="63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2129</v>
      </c>
      <c r="D415" s="1" t="s">
        <v>2188</v>
      </c>
      <c r="E415" s="16" t="n">
        <v>46206</v>
      </c>
      <c r="F415" s="16" t="n">
        <v>46206</v>
      </c>
      <c r="G415" s="1" t="s">
        <v>278</v>
      </c>
      <c r="H415" s="1" t="n">
        <v>1345337</v>
      </c>
      <c r="I415" s="1" t="n">
        <v>1</v>
      </c>
      <c r="J415" s="1" t="s">
        <v>2127</v>
      </c>
      <c r="K415" s="63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2129</v>
      </c>
      <c r="D416" s="1" t="s">
        <v>2132</v>
      </c>
      <c r="E416" s="16" t="n">
        <v>46206</v>
      </c>
      <c r="F416" s="16" t="n">
        <v>46206</v>
      </c>
      <c r="G416" s="1" t="s">
        <v>130</v>
      </c>
      <c r="H416" s="1" t="n">
        <v>1345215</v>
      </c>
      <c r="I416" s="1" t="n">
        <v>1</v>
      </c>
      <c r="J416" s="1" t="s">
        <v>2127</v>
      </c>
      <c r="K416" s="63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2160</v>
      </c>
      <c r="D417" s="1" t="s">
        <v>2161</v>
      </c>
      <c r="E417" s="16" t="n">
        <v>46206</v>
      </c>
      <c r="F417" s="16" t="n">
        <v>46205</v>
      </c>
      <c r="G417" s="1" t="s">
        <v>218</v>
      </c>
      <c r="H417" s="1" t="n">
        <v>1343844</v>
      </c>
      <c r="I417" s="1" t="n">
        <v>1</v>
      </c>
      <c r="J417" s="1" t="s">
        <v>2127</v>
      </c>
      <c r="K417" s="63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2138</v>
      </c>
      <c r="D418" s="1" t="s">
        <v>2167</v>
      </c>
      <c r="E418" s="16" t="n">
        <v>46206</v>
      </c>
      <c r="F418" s="16" t="n">
        <v>46205</v>
      </c>
      <c r="G418" s="1" t="s">
        <v>351</v>
      </c>
      <c r="H418" s="1" t="n">
        <v>1345375</v>
      </c>
      <c r="I418" s="1" t="n">
        <v>1</v>
      </c>
      <c r="J418" s="1" t="s">
        <v>2127</v>
      </c>
      <c r="K418" s="63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2129</v>
      </c>
      <c r="D419" s="1" t="s">
        <v>2167</v>
      </c>
      <c r="E419" s="16" t="n">
        <v>46206</v>
      </c>
      <c r="F419" s="16" t="n">
        <v>46205</v>
      </c>
      <c r="G419" s="1" t="s">
        <v>351</v>
      </c>
      <c r="H419" s="1" t="n">
        <v>1345381</v>
      </c>
      <c r="I419" s="1" t="n">
        <v>1</v>
      </c>
      <c r="J419" s="1" t="s">
        <v>2127</v>
      </c>
      <c r="K419" s="63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2129</v>
      </c>
      <c r="D420" s="1" t="s">
        <v>2167</v>
      </c>
      <c r="E420" s="16" t="n">
        <v>46206</v>
      </c>
      <c r="F420" s="16" t="n">
        <v>46205</v>
      </c>
      <c r="G420" s="1" t="s">
        <v>351</v>
      </c>
      <c r="H420" s="1" t="n">
        <v>1345367</v>
      </c>
      <c r="I420" s="1" t="n">
        <v>1</v>
      </c>
      <c r="J420" s="1" t="s">
        <v>2127</v>
      </c>
      <c r="K420" s="63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2184</v>
      </c>
      <c r="D421" s="1" t="s">
        <v>2240</v>
      </c>
      <c r="E421" s="16" t="n">
        <v>46206</v>
      </c>
      <c r="F421" s="16" t="n">
        <v>46204</v>
      </c>
      <c r="G421" s="1" t="s">
        <v>1076</v>
      </c>
      <c r="H421" s="1" t="n">
        <v>1344200</v>
      </c>
      <c r="I421" s="1" t="n">
        <v>11</v>
      </c>
      <c r="J421" s="1" t="s">
        <v>2127</v>
      </c>
      <c r="K421" s="63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2129</v>
      </c>
      <c r="D422" s="1" t="s">
        <v>2130</v>
      </c>
      <c r="E422" s="16" t="n">
        <v>46206</v>
      </c>
      <c r="F422" s="16" t="n">
        <v>46206</v>
      </c>
      <c r="G422" s="1" t="s">
        <v>80</v>
      </c>
      <c r="H422" s="1" t="n">
        <v>1343820</v>
      </c>
      <c r="I422" s="1" t="n">
        <v>6</v>
      </c>
      <c r="J422" s="1" t="s">
        <v>2127</v>
      </c>
      <c r="K422" s="63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2129</v>
      </c>
      <c r="D423" s="1" t="s">
        <v>2130</v>
      </c>
      <c r="E423" s="16" t="n">
        <v>46206</v>
      </c>
      <c r="F423" s="16" t="n">
        <v>46206</v>
      </c>
      <c r="G423" s="1" t="s">
        <v>80</v>
      </c>
      <c r="H423" s="1" t="n">
        <v>1345210</v>
      </c>
      <c r="I423" s="1" t="n">
        <v>6</v>
      </c>
      <c r="J423" s="1" t="s">
        <v>2127</v>
      </c>
      <c r="K423" s="63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2129</v>
      </c>
      <c r="D424" s="1" t="s">
        <v>2130</v>
      </c>
      <c r="E424" s="16" t="n">
        <v>46206</v>
      </c>
      <c r="F424" s="16" t="n">
        <v>46206</v>
      </c>
      <c r="G424" s="1" t="s">
        <v>80</v>
      </c>
      <c r="H424" s="1" t="n">
        <v>1345528</v>
      </c>
      <c r="I424" s="1" t="n">
        <v>6</v>
      </c>
      <c r="J424" s="1" t="s">
        <v>2127</v>
      </c>
      <c r="K424" s="63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2129</v>
      </c>
      <c r="D425" s="1" t="s">
        <v>2130</v>
      </c>
      <c r="E425" s="16" t="n">
        <v>46206</v>
      </c>
      <c r="F425" s="16" t="n">
        <v>46206</v>
      </c>
      <c r="G425" s="1" t="s">
        <v>80</v>
      </c>
      <c r="H425" s="1" t="n">
        <v>1343817</v>
      </c>
      <c r="I425" s="1" t="n">
        <v>2</v>
      </c>
      <c r="J425" s="1" t="s">
        <v>2127</v>
      </c>
      <c r="K425" s="63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2129</v>
      </c>
      <c r="D426" s="1" t="s">
        <v>2130</v>
      </c>
      <c r="E426" s="16" t="n">
        <v>46206</v>
      </c>
      <c r="F426" s="16" t="n">
        <v>46206</v>
      </c>
      <c r="G426" s="1" t="s">
        <v>80</v>
      </c>
      <c r="H426" s="1" t="n">
        <v>1345206</v>
      </c>
      <c r="I426" s="1" t="n">
        <v>2</v>
      </c>
      <c r="J426" s="1" t="s">
        <v>2127</v>
      </c>
      <c r="K426" s="63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2129</v>
      </c>
      <c r="D427" s="1" t="s">
        <v>2130</v>
      </c>
      <c r="E427" s="16" t="n">
        <v>46206</v>
      </c>
      <c r="F427" s="16" t="n">
        <v>46206</v>
      </c>
      <c r="G427" s="1" t="s">
        <v>80</v>
      </c>
      <c r="H427" s="1" t="n">
        <v>1345515</v>
      </c>
      <c r="I427" s="1" t="n">
        <v>2</v>
      </c>
      <c r="J427" s="1" t="s">
        <v>2127</v>
      </c>
      <c r="K427" s="63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2129</v>
      </c>
      <c r="D428" s="1" t="s">
        <v>2171</v>
      </c>
      <c r="E428" s="16" t="n">
        <v>46206</v>
      </c>
      <c r="F428" s="16" t="n">
        <v>46205</v>
      </c>
      <c r="G428" s="1" t="s">
        <v>223</v>
      </c>
      <c r="H428" s="1" t="n">
        <v>1343950</v>
      </c>
      <c r="I428" s="1" t="n">
        <v>11</v>
      </c>
      <c r="J428" s="1" t="s">
        <v>2127</v>
      </c>
      <c r="K428" s="63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2129</v>
      </c>
      <c r="D429" s="1" t="s">
        <v>2136</v>
      </c>
      <c r="E429" s="16" t="n">
        <v>46207</v>
      </c>
      <c r="F429" s="16" t="n">
        <v>46206</v>
      </c>
      <c r="G429" s="1" t="s">
        <v>76</v>
      </c>
      <c r="H429" s="1" t="n">
        <v>1348490</v>
      </c>
      <c r="I429" s="1" t="n">
        <v>11</v>
      </c>
      <c r="J429" s="1" t="s">
        <v>2127</v>
      </c>
      <c r="K429" s="63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2138</v>
      </c>
      <c r="D430" s="1" t="s">
        <v>2139</v>
      </c>
      <c r="E430" s="16" t="n">
        <v>46207</v>
      </c>
      <c r="F430" s="16" t="n">
        <v>46205</v>
      </c>
      <c r="G430" s="1" t="s">
        <v>339</v>
      </c>
      <c r="H430" s="1" t="n">
        <v>1348312</v>
      </c>
      <c r="I430" s="1" t="n">
        <v>1</v>
      </c>
      <c r="J430" s="1" t="s">
        <v>2127</v>
      </c>
      <c r="K430" s="63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2129</v>
      </c>
      <c r="D431" s="1" t="s">
        <v>2170</v>
      </c>
      <c r="E431" s="16" t="n">
        <v>46207</v>
      </c>
      <c r="F431" s="16" t="n">
        <v>46206</v>
      </c>
      <c r="G431" s="1" t="s">
        <v>373</v>
      </c>
      <c r="H431" s="1" t="n">
        <v>1348423</v>
      </c>
      <c r="I431" s="1" t="n">
        <v>11</v>
      </c>
      <c r="J431" s="1" t="s">
        <v>2127</v>
      </c>
      <c r="K431" s="63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2129</v>
      </c>
      <c r="D432" s="1" t="s">
        <v>2170</v>
      </c>
      <c r="E432" s="16" t="n">
        <v>46207</v>
      </c>
      <c r="F432" s="16" t="n">
        <v>46206</v>
      </c>
      <c r="G432" s="1" t="s">
        <v>373</v>
      </c>
      <c r="H432" s="1" t="n">
        <v>1348387</v>
      </c>
      <c r="I432" s="1" t="n">
        <v>1</v>
      </c>
      <c r="J432" s="1" t="s">
        <v>2127</v>
      </c>
      <c r="K432" s="63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2129</v>
      </c>
      <c r="D433" s="1" t="s">
        <v>2130</v>
      </c>
      <c r="E433" s="16" t="n">
        <v>46207</v>
      </c>
      <c r="F433" s="16" t="n">
        <v>46207</v>
      </c>
      <c r="G433" s="1" t="s">
        <v>80</v>
      </c>
      <c r="H433" s="1" t="n">
        <v>1348268</v>
      </c>
      <c r="I433" s="1" t="n">
        <v>6</v>
      </c>
      <c r="J433" s="1" t="s">
        <v>2127</v>
      </c>
      <c r="K433" s="63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2129</v>
      </c>
      <c r="D434" s="1" t="s">
        <v>2130</v>
      </c>
      <c r="E434" s="16" t="n">
        <v>46207</v>
      </c>
      <c r="F434" s="16" t="n">
        <v>46207</v>
      </c>
      <c r="G434" s="1" t="s">
        <v>80</v>
      </c>
      <c r="H434" s="1" t="n">
        <v>1348265</v>
      </c>
      <c r="I434" s="1" t="n">
        <v>2</v>
      </c>
      <c r="J434" s="1" t="s">
        <v>2127</v>
      </c>
      <c r="K434" s="63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2129</v>
      </c>
      <c r="D435" s="1" t="s">
        <v>2146</v>
      </c>
      <c r="E435" s="16" t="n">
        <v>46207</v>
      </c>
      <c r="F435" s="16" t="n">
        <v>46206</v>
      </c>
      <c r="G435" s="1" t="s">
        <v>120</v>
      </c>
      <c r="H435" s="1" t="n">
        <v>1348394</v>
      </c>
      <c r="I435" s="1" t="n">
        <v>1</v>
      </c>
      <c r="J435" s="1" t="s">
        <v>2127</v>
      </c>
      <c r="K435" s="63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2129</v>
      </c>
      <c r="D436" s="1" t="s">
        <v>2148</v>
      </c>
      <c r="E436" s="16" t="n">
        <v>46209</v>
      </c>
      <c r="F436" s="16" t="n">
        <v>46207</v>
      </c>
      <c r="G436" s="1" t="s">
        <v>2149</v>
      </c>
      <c r="H436" s="1" t="n">
        <v>1364295</v>
      </c>
      <c r="I436" s="1" t="n">
        <v>1</v>
      </c>
      <c r="J436" s="1" t="s">
        <v>2127</v>
      </c>
      <c r="K436" s="63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2129</v>
      </c>
      <c r="D437" s="1" t="s">
        <v>2165</v>
      </c>
      <c r="E437" s="16" t="n">
        <v>46209</v>
      </c>
      <c r="F437" s="16" t="n">
        <v>46206</v>
      </c>
      <c r="G437" s="1" t="s">
        <v>135</v>
      </c>
      <c r="H437" s="1" t="n">
        <v>1359957</v>
      </c>
      <c r="I437" s="1" t="n">
        <v>1</v>
      </c>
      <c r="J437" s="1" t="s">
        <v>2127</v>
      </c>
      <c r="K437" s="63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2129</v>
      </c>
      <c r="D438" s="1" t="s">
        <v>2166</v>
      </c>
      <c r="E438" s="16" t="n">
        <v>46209</v>
      </c>
      <c r="F438" s="16" t="n">
        <v>46205</v>
      </c>
      <c r="G438" s="1" t="s">
        <v>295</v>
      </c>
      <c r="H438" s="1" t="n">
        <v>1360583</v>
      </c>
      <c r="I438" s="1" t="n">
        <v>1</v>
      </c>
      <c r="J438" s="1" t="s">
        <v>2127</v>
      </c>
      <c r="K438" s="63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2129</v>
      </c>
      <c r="D439" s="1" t="s">
        <v>2136</v>
      </c>
      <c r="E439" s="16" t="n">
        <v>46209</v>
      </c>
      <c r="F439" s="16" t="n">
        <v>46207</v>
      </c>
      <c r="G439" s="1" t="s">
        <v>76</v>
      </c>
      <c r="H439" s="1" t="n">
        <v>1361321</v>
      </c>
      <c r="I439" s="1" t="n">
        <v>11</v>
      </c>
      <c r="J439" s="1" t="s">
        <v>2127</v>
      </c>
      <c r="K439" s="63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2129</v>
      </c>
      <c r="D440" s="1" t="s">
        <v>2136</v>
      </c>
      <c r="E440" s="16" t="n">
        <v>46209</v>
      </c>
      <c r="F440" s="16" t="n">
        <v>46207</v>
      </c>
      <c r="G440" s="1" t="s">
        <v>76</v>
      </c>
      <c r="H440" s="1" t="n">
        <v>1361385</v>
      </c>
      <c r="I440" s="1" t="n">
        <v>11</v>
      </c>
      <c r="J440" s="1" t="s">
        <v>2127</v>
      </c>
      <c r="K440" s="63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2157</v>
      </c>
      <c r="D441" s="1" t="s">
        <v>2158</v>
      </c>
      <c r="E441" s="16" t="n">
        <v>46209</v>
      </c>
      <c r="F441" s="16" t="n">
        <v>46205</v>
      </c>
      <c r="G441" s="1" t="s">
        <v>306</v>
      </c>
      <c r="H441" s="1" t="n">
        <v>1360820</v>
      </c>
      <c r="I441" s="1" t="n">
        <v>1</v>
      </c>
      <c r="J441" s="1" t="s">
        <v>2127</v>
      </c>
      <c r="K441" s="63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2129</v>
      </c>
      <c r="D442" s="1" t="s">
        <v>2130</v>
      </c>
      <c r="E442" s="16" t="n">
        <v>46209</v>
      </c>
      <c r="F442" s="16" t="n">
        <v>46209</v>
      </c>
      <c r="G442" s="1" t="s">
        <v>80</v>
      </c>
      <c r="H442" s="1" t="n">
        <v>1359860</v>
      </c>
      <c r="I442" s="1" t="n">
        <v>6</v>
      </c>
      <c r="J442" s="1" t="s">
        <v>2127</v>
      </c>
      <c r="K442" s="63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2129</v>
      </c>
      <c r="D443" s="1" t="s">
        <v>2130</v>
      </c>
      <c r="E443" s="16" t="n">
        <v>46209</v>
      </c>
      <c r="F443" s="16" t="n">
        <v>46209</v>
      </c>
      <c r="G443" s="1" t="s">
        <v>80</v>
      </c>
      <c r="H443" s="1" t="n">
        <v>1359935</v>
      </c>
      <c r="I443" s="1" t="n">
        <v>6</v>
      </c>
      <c r="J443" s="1" t="s">
        <v>2127</v>
      </c>
      <c r="K443" s="63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2129</v>
      </c>
      <c r="D444" s="1" t="s">
        <v>2130</v>
      </c>
      <c r="E444" s="16" t="n">
        <v>46209</v>
      </c>
      <c r="F444" s="16" t="n">
        <v>46209</v>
      </c>
      <c r="G444" s="1" t="s">
        <v>80</v>
      </c>
      <c r="H444" s="1" t="n">
        <v>1359849</v>
      </c>
      <c r="I444" s="1" t="n">
        <v>2</v>
      </c>
      <c r="J444" s="1" t="s">
        <v>2127</v>
      </c>
      <c r="K444" s="63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2129</v>
      </c>
      <c r="D445" s="1" t="s">
        <v>2130</v>
      </c>
      <c r="E445" s="16" t="n">
        <v>46209</v>
      </c>
      <c r="F445" s="16" t="n">
        <v>46209</v>
      </c>
      <c r="G445" s="1" t="s">
        <v>80</v>
      </c>
      <c r="H445" s="1" t="n">
        <v>1359854</v>
      </c>
      <c r="I445" s="1" t="n">
        <v>2</v>
      </c>
      <c r="J445" s="1" t="s">
        <v>2127</v>
      </c>
      <c r="K445" s="63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2138</v>
      </c>
      <c r="D446" s="1" t="s">
        <v>2241</v>
      </c>
      <c r="E446" s="16" t="n">
        <v>46209</v>
      </c>
      <c r="F446" s="16" t="n">
        <v>46205</v>
      </c>
      <c r="G446" s="1" t="s">
        <v>335</v>
      </c>
      <c r="H446" s="1" t="n">
        <v>1360025</v>
      </c>
      <c r="I446" s="1" t="n">
        <v>11</v>
      </c>
      <c r="J446" s="1" t="s">
        <v>2127</v>
      </c>
      <c r="K446" s="63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2182</v>
      </c>
      <c r="D447" s="1" t="s">
        <v>2215</v>
      </c>
      <c r="E447" s="16" t="n">
        <v>46209</v>
      </c>
      <c r="F447" s="16" t="n">
        <v>46207</v>
      </c>
      <c r="G447" s="1" t="s">
        <v>2216</v>
      </c>
      <c r="H447" s="1" t="n">
        <v>1361453</v>
      </c>
      <c r="I447" s="1" t="n">
        <v>11</v>
      </c>
      <c r="J447" s="1" t="s">
        <v>2127</v>
      </c>
      <c r="K447" s="63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2129</v>
      </c>
      <c r="D448" s="1" t="s">
        <v>2131</v>
      </c>
      <c r="E448" s="16" t="n">
        <v>46210</v>
      </c>
      <c r="F448" s="16" t="n">
        <v>46210</v>
      </c>
      <c r="G448" s="1" t="s">
        <v>112</v>
      </c>
      <c r="H448" s="1" t="n">
        <v>1368925</v>
      </c>
      <c r="I448" s="1" t="n">
        <v>1</v>
      </c>
      <c r="J448" s="1" t="s">
        <v>2127</v>
      </c>
      <c r="K448" s="63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2129</v>
      </c>
      <c r="D449" s="1" t="s">
        <v>2132</v>
      </c>
      <c r="E449" s="16" t="n">
        <v>46210</v>
      </c>
      <c r="F449" s="16" t="n">
        <v>46210</v>
      </c>
      <c r="G449" s="1" t="s">
        <v>130</v>
      </c>
      <c r="H449" s="1" t="n">
        <v>1365675</v>
      </c>
      <c r="I449" s="1" t="n">
        <v>1</v>
      </c>
      <c r="J449" s="1" t="s">
        <v>2127</v>
      </c>
      <c r="K449" s="63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2129</v>
      </c>
      <c r="D450" s="1" t="s">
        <v>2162</v>
      </c>
      <c r="E450" s="16" t="n">
        <v>46210</v>
      </c>
      <c r="F450" s="16" t="n">
        <v>46210</v>
      </c>
      <c r="G450" s="1" t="s">
        <v>264</v>
      </c>
      <c r="H450" s="1" t="n">
        <v>1365270</v>
      </c>
      <c r="I450" s="1" t="n">
        <v>11</v>
      </c>
      <c r="J450" s="1" t="s">
        <v>2127</v>
      </c>
      <c r="K450" s="63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2129</v>
      </c>
      <c r="D451" s="1" t="s">
        <v>2141</v>
      </c>
      <c r="E451" s="16" t="n">
        <v>46210</v>
      </c>
      <c r="F451" s="16" t="n">
        <v>46205</v>
      </c>
      <c r="G451" s="1" t="s">
        <v>53</v>
      </c>
      <c r="H451" s="1" t="n">
        <v>1364423</v>
      </c>
      <c r="I451" s="1" t="n">
        <v>11</v>
      </c>
      <c r="J451" s="1" t="s">
        <v>2127</v>
      </c>
      <c r="K451" s="63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2129</v>
      </c>
      <c r="D452" s="1" t="s">
        <v>2130</v>
      </c>
      <c r="E452" s="16" t="n">
        <v>46210</v>
      </c>
      <c r="F452" s="16" t="n">
        <v>46210</v>
      </c>
      <c r="G452" s="1" t="s">
        <v>80</v>
      </c>
      <c r="H452" s="1" t="n">
        <v>1364769</v>
      </c>
      <c r="I452" s="1" t="n">
        <v>6</v>
      </c>
      <c r="J452" s="1" t="s">
        <v>2127</v>
      </c>
      <c r="K452" s="63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2129</v>
      </c>
      <c r="D453" s="1" t="s">
        <v>2130</v>
      </c>
      <c r="E453" s="16" t="n">
        <v>46210</v>
      </c>
      <c r="F453" s="16" t="n">
        <v>46210</v>
      </c>
      <c r="G453" s="1" t="s">
        <v>80</v>
      </c>
      <c r="H453" s="1" t="n">
        <v>1364787</v>
      </c>
      <c r="I453" s="1" t="n">
        <v>6</v>
      </c>
      <c r="J453" s="1" t="s">
        <v>2127</v>
      </c>
      <c r="K453" s="63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2129</v>
      </c>
      <c r="D454" s="1" t="s">
        <v>2130</v>
      </c>
      <c r="E454" s="16" t="n">
        <v>46210</v>
      </c>
      <c r="F454" s="16" t="n">
        <v>46210</v>
      </c>
      <c r="G454" s="1" t="s">
        <v>80</v>
      </c>
      <c r="H454" s="1" t="n">
        <v>1365736</v>
      </c>
      <c r="I454" s="1" t="n">
        <v>6</v>
      </c>
      <c r="J454" s="1" t="s">
        <v>2127</v>
      </c>
      <c r="K454" s="63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2129</v>
      </c>
      <c r="D455" s="1" t="s">
        <v>2130</v>
      </c>
      <c r="E455" s="16" t="n">
        <v>46210</v>
      </c>
      <c r="F455" s="16" t="n">
        <v>46210</v>
      </c>
      <c r="G455" s="1" t="s">
        <v>80</v>
      </c>
      <c r="H455" s="1" t="n">
        <v>1364758</v>
      </c>
      <c r="I455" s="1" t="n">
        <v>2</v>
      </c>
      <c r="J455" s="1" t="s">
        <v>2127</v>
      </c>
      <c r="K455" s="63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2129</v>
      </c>
      <c r="D456" s="1" t="s">
        <v>2130</v>
      </c>
      <c r="E456" s="16" t="n">
        <v>46210</v>
      </c>
      <c r="F456" s="16" t="n">
        <v>46210</v>
      </c>
      <c r="G456" s="1" t="s">
        <v>80</v>
      </c>
      <c r="H456" s="1" t="n">
        <v>1364765</v>
      </c>
      <c r="I456" s="1" t="n">
        <v>2</v>
      </c>
      <c r="J456" s="1" t="s">
        <v>2127</v>
      </c>
      <c r="K456" s="63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2129</v>
      </c>
      <c r="D457" s="1" t="s">
        <v>2130</v>
      </c>
      <c r="E457" s="16" t="n">
        <v>46210</v>
      </c>
      <c r="F457" s="16" t="n">
        <v>46210</v>
      </c>
      <c r="G457" s="1" t="s">
        <v>80</v>
      </c>
      <c r="H457" s="1" t="n">
        <v>1365598</v>
      </c>
      <c r="I457" s="1" t="n">
        <v>2</v>
      </c>
      <c r="J457" s="1" t="s">
        <v>2127</v>
      </c>
      <c r="K457" s="63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2203</v>
      </c>
      <c r="D458" s="1" t="s">
        <v>2204</v>
      </c>
      <c r="E458" s="16" t="n">
        <v>46210</v>
      </c>
      <c r="F458" s="16" t="n">
        <v>46209</v>
      </c>
      <c r="G458" s="1" t="s">
        <v>161</v>
      </c>
      <c r="H458" s="1" t="n">
        <v>1364926</v>
      </c>
      <c r="I458" s="1" t="n">
        <v>1</v>
      </c>
      <c r="J458" s="1" t="s">
        <v>2127</v>
      </c>
      <c r="K458" s="63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2129</v>
      </c>
      <c r="D459" s="1" t="s">
        <v>2143</v>
      </c>
      <c r="E459" s="16" t="n">
        <v>46211</v>
      </c>
      <c r="F459" s="16" t="n">
        <v>46209</v>
      </c>
      <c r="G459" s="1" t="s">
        <v>149</v>
      </c>
      <c r="H459" s="1" t="n">
        <v>1369286</v>
      </c>
      <c r="I459" s="1" t="n">
        <v>1</v>
      </c>
      <c r="J459" s="1" t="s">
        <v>2127</v>
      </c>
      <c r="K459" s="63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2129</v>
      </c>
      <c r="D460" s="1" t="s">
        <v>2130</v>
      </c>
      <c r="E460" s="16" t="n">
        <v>46211</v>
      </c>
      <c r="F460" s="16" t="n">
        <v>46211</v>
      </c>
      <c r="G460" s="1" t="s">
        <v>80</v>
      </c>
      <c r="H460" s="1" t="n">
        <v>1369076</v>
      </c>
      <c r="I460" s="1" t="n">
        <v>6</v>
      </c>
      <c r="J460" s="1" t="s">
        <v>2127</v>
      </c>
      <c r="K460" s="63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2129</v>
      </c>
      <c r="D461" s="1" t="s">
        <v>2130</v>
      </c>
      <c r="E461" s="16" t="n">
        <v>46211</v>
      </c>
      <c r="F461" s="16" t="n">
        <v>46211</v>
      </c>
      <c r="G461" s="1" t="s">
        <v>80</v>
      </c>
      <c r="H461" s="1" t="n">
        <v>1369254</v>
      </c>
      <c r="I461" s="1" t="n">
        <v>6</v>
      </c>
      <c r="J461" s="1" t="s">
        <v>2127</v>
      </c>
      <c r="K461" s="63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2129</v>
      </c>
      <c r="D462" s="1" t="s">
        <v>2130</v>
      </c>
      <c r="E462" s="16" t="n">
        <v>46211</v>
      </c>
      <c r="F462" s="16" t="n">
        <v>46211</v>
      </c>
      <c r="G462" s="1" t="s">
        <v>80</v>
      </c>
      <c r="H462" s="1" t="n">
        <v>1369319</v>
      </c>
      <c r="I462" s="1" t="n">
        <v>6</v>
      </c>
      <c r="J462" s="1" t="s">
        <v>2127</v>
      </c>
      <c r="K462" s="63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2129</v>
      </c>
      <c r="D463" s="1" t="s">
        <v>2130</v>
      </c>
      <c r="E463" s="16" t="n">
        <v>46211</v>
      </c>
      <c r="F463" s="16" t="n">
        <v>46211</v>
      </c>
      <c r="G463" s="1" t="s">
        <v>80</v>
      </c>
      <c r="H463" s="1" t="n">
        <v>1369071</v>
      </c>
      <c r="I463" s="1" t="n">
        <v>2</v>
      </c>
      <c r="J463" s="1" t="s">
        <v>2127</v>
      </c>
      <c r="K463" s="63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2129</v>
      </c>
      <c r="D464" s="1" t="s">
        <v>2130</v>
      </c>
      <c r="E464" s="16" t="n">
        <v>46211</v>
      </c>
      <c r="F464" s="16" t="n">
        <v>46211</v>
      </c>
      <c r="G464" s="1" t="s">
        <v>80</v>
      </c>
      <c r="H464" s="1" t="n">
        <v>1369250</v>
      </c>
      <c r="I464" s="1" t="n">
        <v>2</v>
      </c>
      <c r="J464" s="1" t="s">
        <v>2127</v>
      </c>
      <c r="K464" s="63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2129</v>
      </c>
      <c r="D465" s="1" t="s">
        <v>2130</v>
      </c>
      <c r="E465" s="16" t="n">
        <v>46211</v>
      </c>
      <c r="F465" s="16" t="n">
        <v>46211</v>
      </c>
      <c r="G465" s="1" t="s">
        <v>80</v>
      </c>
      <c r="H465" s="1" t="n">
        <v>1369310</v>
      </c>
      <c r="I465" s="1" t="n">
        <v>2</v>
      </c>
      <c r="J465" s="1" t="s">
        <v>2127</v>
      </c>
      <c r="K465" s="63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2129</v>
      </c>
      <c r="D466" s="1" t="s">
        <v>2146</v>
      </c>
      <c r="E466" s="16" t="n">
        <v>46211</v>
      </c>
      <c r="F466" s="16" t="n">
        <v>46210</v>
      </c>
      <c r="G466" s="1" t="s">
        <v>120</v>
      </c>
      <c r="H466" s="1" t="n">
        <v>1369267</v>
      </c>
      <c r="I466" s="1" t="n">
        <v>1</v>
      </c>
      <c r="J466" s="1" t="s">
        <v>2127</v>
      </c>
      <c r="K466" s="63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2134</v>
      </c>
      <c r="D467" s="1" t="s">
        <v>2150</v>
      </c>
      <c r="E467" s="16" t="n">
        <v>46212</v>
      </c>
      <c r="F467" s="16" t="n">
        <v>46210</v>
      </c>
      <c r="G467" s="1" t="s">
        <v>179</v>
      </c>
      <c r="H467" s="1" t="n">
        <v>1374789</v>
      </c>
      <c r="I467" s="1" t="n">
        <v>1</v>
      </c>
      <c r="J467" s="1" t="s">
        <v>2127</v>
      </c>
      <c r="K467" s="63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2125</v>
      </c>
      <c r="D468" s="1" t="s">
        <v>2126</v>
      </c>
      <c r="E468" s="16" t="n">
        <v>46212</v>
      </c>
      <c r="F468" s="16" t="n">
        <v>46210</v>
      </c>
      <c r="G468" s="1" t="s">
        <v>122</v>
      </c>
      <c r="H468" s="1" t="n">
        <v>1374068</v>
      </c>
      <c r="I468" s="1" t="n">
        <v>11</v>
      </c>
      <c r="J468" s="1" t="s">
        <v>2127</v>
      </c>
      <c r="K468" s="63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2125</v>
      </c>
      <c r="D469" s="1" t="s">
        <v>2126</v>
      </c>
      <c r="E469" s="16" t="n">
        <v>46212</v>
      </c>
      <c r="F469" s="16" t="n">
        <v>46210</v>
      </c>
      <c r="G469" s="1" t="s">
        <v>122</v>
      </c>
      <c r="H469" s="1" t="n">
        <v>1374007</v>
      </c>
      <c r="I469" s="1" t="n">
        <v>11</v>
      </c>
      <c r="J469" s="1" t="s">
        <v>2127</v>
      </c>
      <c r="K469" s="63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2125</v>
      </c>
      <c r="D470" s="1" t="s">
        <v>2126</v>
      </c>
      <c r="E470" s="16" t="n">
        <v>46212</v>
      </c>
      <c r="F470" s="16" t="n">
        <v>46210</v>
      </c>
      <c r="G470" s="1" t="s">
        <v>122</v>
      </c>
      <c r="H470" s="1" t="n">
        <v>1374079</v>
      </c>
      <c r="I470" s="1" t="n">
        <v>11</v>
      </c>
      <c r="J470" s="1" t="s">
        <v>2127</v>
      </c>
      <c r="K470" s="63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2125</v>
      </c>
      <c r="D471" s="1" t="s">
        <v>2126</v>
      </c>
      <c r="E471" s="16" t="n">
        <v>46212</v>
      </c>
      <c r="F471" s="16" t="n">
        <v>46210</v>
      </c>
      <c r="G471" s="1" t="s">
        <v>122</v>
      </c>
      <c r="H471" s="1" t="n">
        <v>1374052</v>
      </c>
      <c r="I471" s="1" t="n">
        <v>11</v>
      </c>
      <c r="J471" s="1" t="s">
        <v>2127</v>
      </c>
      <c r="K471" s="63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2128</v>
      </c>
      <c r="D472" s="1" t="s">
        <v>2126</v>
      </c>
      <c r="E472" s="16" t="n">
        <v>46212</v>
      </c>
      <c r="F472" s="16" t="n">
        <v>46210</v>
      </c>
      <c r="G472" s="1" t="s">
        <v>122</v>
      </c>
      <c r="H472" s="1" t="n">
        <v>1374020</v>
      </c>
      <c r="I472" s="1" t="n">
        <v>11</v>
      </c>
      <c r="J472" s="1" t="s">
        <v>2127</v>
      </c>
      <c r="K472" s="63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2129</v>
      </c>
      <c r="D473" s="1" t="s">
        <v>2151</v>
      </c>
      <c r="E473" s="16" t="n">
        <v>46212</v>
      </c>
      <c r="F473" s="16" t="n">
        <v>46211</v>
      </c>
      <c r="G473" s="1" t="s">
        <v>274</v>
      </c>
      <c r="H473" s="1" t="n">
        <v>1373741</v>
      </c>
      <c r="I473" s="1" t="n">
        <v>1</v>
      </c>
      <c r="J473" s="1" t="s">
        <v>2127</v>
      </c>
      <c r="K473" s="63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2138</v>
      </c>
      <c r="D474" s="1" t="s">
        <v>2213</v>
      </c>
      <c r="E474" s="16" t="n">
        <v>46212</v>
      </c>
      <c r="F474" s="16" t="n">
        <v>46212</v>
      </c>
      <c r="G474" s="1" t="s">
        <v>260</v>
      </c>
      <c r="H474" s="1" t="n">
        <v>1375202</v>
      </c>
      <c r="I474" s="1" t="n">
        <v>11</v>
      </c>
      <c r="J474" s="1" t="s">
        <v>2127</v>
      </c>
      <c r="K474" s="63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2129</v>
      </c>
      <c r="D475" s="1" t="s">
        <v>2136</v>
      </c>
      <c r="E475" s="16" t="n">
        <v>46212</v>
      </c>
      <c r="F475" s="16" t="n">
        <v>46210</v>
      </c>
      <c r="G475" s="1" t="s">
        <v>76</v>
      </c>
      <c r="H475" s="1" t="n">
        <v>1374742</v>
      </c>
      <c r="I475" s="1" t="n">
        <v>11</v>
      </c>
      <c r="J475" s="1" t="s">
        <v>2127</v>
      </c>
      <c r="K475" s="63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2129</v>
      </c>
      <c r="D476" s="1" t="s">
        <v>2136</v>
      </c>
      <c r="E476" s="16" t="n">
        <v>46212</v>
      </c>
      <c r="F476" s="16" t="n">
        <v>46211</v>
      </c>
      <c r="G476" s="1" t="s">
        <v>76</v>
      </c>
      <c r="H476" s="1" t="n">
        <v>1374666</v>
      </c>
      <c r="I476" s="1" t="n">
        <v>11</v>
      </c>
      <c r="J476" s="1" t="s">
        <v>2127</v>
      </c>
      <c r="K476" s="63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2129</v>
      </c>
      <c r="D477" s="1" t="s">
        <v>2137</v>
      </c>
      <c r="E477" s="16" t="n">
        <v>46212</v>
      </c>
      <c r="F477" s="16" t="n">
        <v>46210</v>
      </c>
      <c r="G477" s="1" t="s">
        <v>408</v>
      </c>
      <c r="H477" s="1" t="n">
        <v>1374139</v>
      </c>
      <c r="I477" s="1" t="n">
        <v>11</v>
      </c>
      <c r="J477" s="1" t="s">
        <v>2127</v>
      </c>
      <c r="K477" s="63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2129</v>
      </c>
      <c r="D478" s="1" t="s">
        <v>2167</v>
      </c>
      <c r="E478" s="16" t="n">
        <v>46212</v>
      </c>
      <c r="F478" s="16" t="n">
        <v>46211</v>
      </c>
      <c r="G478" s="1" t="s">
        <v>351</v>
      </c>
      <c r="H478" s="1" t="n">
        <v>1373932</v>
      </c>
      <c r="I478" s="1" t="n">
        <v>11</v>
      </c>
      <c r="J478" s="1" t="s">
        <v>2127</v>
      </c>
      <c r="K478" s="63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2129</v>
      </c>
      <c r="D479" s="1" t="s">
        <v>2168</v>
      </c>
      <c r="E479" s="16" t="n">
        <v>46212</v>
      </c>
      <c r="F479" s="16" t="n">
        <v>46211</v>
      </c>
      <c r="G479" s="1" t="s">
        <v>417</v>
      </c>
      <c r="H479" s="1" t="n">
        <v>1373711</v>
      </c>
      <c r="I479" s="1" t="n">
        <v>1</v>
      </c>
      <c r="J479" s="1" t="s">
        <v>2127</v>
      </c>
      <c r="K479" s="63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2129</v>
      </c>
      <c r="D480" s="1" t="s">
        <v>2144</v>
      </c>
      <c r="E480" s="16" t="n">
        <v>46212</v>
      </c>
      <c r="F480" s="16" t="n">
        <v>46211</v>
      </c>
      <c r="G480" s="1" t="s">
        <v>170</v>
      </c>
      <c r="H480" s="1" t="n">
        <v>1373972</v>
      </c>
      <c r="I480" s="1" t="n">
        <v>11</v>
      </c>
      <c r="J480" s="1" t="s">
        <v>2127</v>
      </c>
      <c r="K480" s="63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2138</v>
      </c>
      <c r="D481" s="1" t="s">
        <v>2231</v>
      </c>
      <c r="E481" s="16" t="n">
        <v>46212</v>
      </c>
      <c r="F481" s="16" t="n">
        <v>46210</v>
      </c>
      <c r="G481" s="1" t="s">
        <v>165</v>
      </c>
      <c r="H481" s="1" t="n">
        <v>1373914</v>
      </c>
      <c r="I481" s="1" t="n">
        <v>11</v>
      </c>
      <c r="J481" s="1" t="s">
        <v>2127</v>
      </c>
      <c r="K481" s="63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2129</v>
      </c>
      <c r="D482" s="1" t="s">
        <v>2130</v>
      </c>
      <c r="E482" s="16" t="n">
        <v>46212</v>
      </c>
      <c r="F482" s="16" t="n">
        <v>46212</v>
      </c>
      <c r="G482" s="1" t="s">
        <v>80</v>
      </c>
      <c r="H482" s="1" t="n">
        <v>1375165</v>
      </c>
      <c r="I482" s="1" t="n">
        <v>6</v>
      </c>
      <c r="J482" s="1" t="s">
        <v>2127</v>
      </c>
      <c r="K482" s="63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2138</v>
      </c>
      <c r="D483" s="1" t="s">
        <v>2145</v>
      </c>
      <c r="E483" s="16" t="n">
        <v>46212</v>
      </c>
      <c r="F483" s="16" t="n">
        <v>46211</v>
      </c>
      <c r="G483" s="1" t="s">
        <v>113</v>
      </c>
      <c r="H483" s="1" t="n">
        <v>1374958</v>
      </c>
      <c r="I483" s="1" t="n">
        <v>11</v>
      </c>
      <c r="J483" s="1" t="s">
        <v>2127</v>
      </c>
      <c r="K483" s="63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2129</v>
      </c>
      <c r="D484" s="1" t="s">
        <v>2192</v>
      </c>
      <c r="E484" s="16" t="n">
        <v>46212</v>
      </c>
      <c r="F484" s="16" t="n">
        <v>46211</v>
      </c>
      <c r="G484" s="1" t="s">
        <v>253</v>
      </c>
      <c r="H484" s="1" t="n">
        <v>1374197</v>
      </c>
      <c r="I484" s="1" t="n">
        <v>11</v>
      </c>
      <c r="J484" s="1" t="s">
        <v>2127</v>
      </c>
      <c r="K484" s="63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2129</v>
      </c>
      <c r="D485" s="1" t="s">
        <v>2147</v>
      </c>
      <c r="E485" s="16" t="n">
        <v>46212</v>
      </c>
      <c r="F485" s="16" t="n">
        <v>46210</v>
      </c>
      <c r="G485" s="1" t="s">
        <v>125</v>
      </c>
      <c r="H485" s="1" t="n">
        <v>1373990</v>
      </c>
      <c r="I485" s="1" t="n">
        <v>11</v>
      </c>
      <c r="J485" s="1" t="s">
        <v>2127</v>
      </c>
      <c r="K485" s="63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2129</v>
      </c>
      <c r="D486" s="1" t="s">
        <v>2147</v>
      </c>
      <c r="E486" s="16" t="n">
        <v>46212</v>
      </c>
      <c r="F486" s="16" t="n">
        <v>46210</v>
      </c>
      <c r="G486" s="1" t="s">
        <v>125</v>
      </c>
      <c r="H486" s="1" t="n">
        <v>1373726</v>
      </c>
      <c r="I486" s="1" t="n">
        <v>1</v>
      </c>
      <c r="J486" s="1" t="s">
        <v>2127</v>
      </c>
      <c r="K486" s="63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2129</v>
      </c>
      <c r="D487" s="1" t="s">
        <v>2148</v>
      </c>
      <c r="E487" s="16" t="n">
        <v>46213</v>
      </c>
      <c r="F487" s="16" t="n">
        <v>46213</v>
      </c>
      <c r="G487" s="1" t="s">
        <v>2149</v>
      </c>
      <c r="H487" s="1" t="n">
        <v>1381927</v>
      </c>
      <c r="I487" s="1" t="n">
        <v>1</v>
      </c>
      <c r="J487" s="1" t="s">
        <v>2127</v>
      </c>
      <c r="K487" s="63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2129</v>
      </c>
      <c r="D488" s="1" t="s">
        <v>2188</v>
      </c>
      <c r="E488" s="16" t="n">
        <v>46213</v>
      </c>
      <c r="F488" s="16" t="n">
        <v>46213</v>
      </c>
      <c r="G488" s="1" t="s">
        <v>278</v>
      </c>
      <c r="H488" s="1" t="n">
        <v>1376572</v>
      </c>
      <c r="I488" s="1" t="n">
        <v>1</v>
      </c>
      <c r="J488" s="1" t="s">
        <v>2127</v>
      </c>
      <c r="K488" s="63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2129</v>
      </c>
      <c r="D489" s="1" t="s">
        <v>2132</v>
      </c>
      <c r="E489" s="16" t="n">
        <v>46213</v>
      </c>
      <c r="F489" s="16" t="n">
        <v>46213</v>
      </c>
      <c r="G489" s="1" t="s">
        <v>130</v>
      </c>
      <c r="H489" s="1" t="n">
        <v>1377031</v>
      </c>
      <c r="I489" s="1" t="n">
        <v>1</v>
      </c>
      <c r="J489" s="1" t="s">
        <v>2127</v>
      </c>
      <c r="K489" s="63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2160</v>
      </c>
      <c r="D490" s="1" t="s">
        <v>2161</v>
      </c>
      <c r="E490" s="16" t="n">
        <v>46213</v>
      </c>
      <c r="F490" s="16" t="n">
        <v>46212</v>
      </c>
      <c r="G490" s="1" t="s">
        <v>218</v>
      </c>
      <c r="H490" s="1" t="n">
        <v>1376524</v>
      </c>
      <c r="I490" s="1" t="n">
        <v>1</v>
      </c>
      <c r="J490" s="1" t="s">
        <v>2127</v>
      </c>
      <c r="K490" s="63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2129</v>
      </c>
      <c r="D491" s="1" t="s">
        <v>2178</v>
      </c>
      <c r="E491" s="16" t="n">
        <v>46213</v>
      </c>
      <c r="F491" s="16" t="n">
        <v>46212</v>
      </c>
      <c r="G491" s="1" t="s">
        <v>587</v>
      </c>
      <c r="H491" s="1" t="n">
        <v>1376528</v>
      </c>
      <c r="I491" s="1" t="n">
        <v>1</v>
      </c>
      <c r="J491" s="1" t="s">
        <v>2127</v>
      </c>
      <c r="K491" s="63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2129</v>
      </c>
      <c r="D492" s="1" t="s">
        <v>2163</v>
      </c>
      <c r="E492" s="16" t="n">
        <v>46213</v>
      </c>
      <c r="F492" s="16" t="n">
        <v>46213</v>
      </c>
      <c r="G492" s="1" t="s">
        <v>2164</v>
      </c>
      <c r="H492" s="1" t="n">
        <v>1377144</v>
      </c>
      <c r="I492" s="1" t="n">
        <v>1</v>
      </c>
      <c r="J492" s="1" t="s">
        <v>2127</v>
      </c>
      <c r="K492" s="63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2129</v>
      </c>
      <c r="D493" s="1" t="s">
        <v>2130</v>
      </c>
      <c r="E493" s="16" t="n">
        <v>46213</v>
      </c>
      <c r="F493" s="16" t="n">
        <v>46213</v>
      </c>
      <c r="G493" s="1" t="s">
        <v>80</v>
      </c>
      <c r="H493" s="1" t="n">
        <v>1376565</v>
      </c>
      <c r="I493" s="1" t="n">
        <v>6</v>
      </c>
      <c r="J493" s="1" t="s">
        <v>2127</v>
      </c>
      <c r="K493" s="63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2129</v>
      </c>
      <c r="D494" s="1" t="s">
        <v>2130</v>
      </c>
      <c r="E494" s="16" t="n">
        <v>46213</v>
      </c>
      <c r="F494" s="16" t="n">
        <v>46213</v>
      </c>
      <c r="G494" s="1" t="s">
        <v>80</v>
      </c>
      <c r="H494" s="1" t="n">
        <v>1377013</v>
      </c>
      <c r="I494" s="1" t="n">
        <v>6</v>
      </c>
      <c r="J494" s="1" t="s">
        <v>2127</v>
      </c>
      <c r="K494" s="63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2134</v>
      </c>
      <c r="D495" s="1" t="s">
        <v>2242</v>
      </c>
      <c r="E495" s="16" t="n">
        <v>46213</v>
      </c>
      <c r="F495" s="16" t="n">
        <v>46213</v>
      </c>
      <c r="G495" s="1" t="s">
        <v>920</v>
      </c>
      <c r="H495" s="1" t="n">
        <v>1424658</v>
      </c>
      <c r="I495" s="1" t="n">
        <v>1</v>
      </c>
      <c r="J495" s="1" t="s">
        <v>2127</v>
      </c>
      <c r="K495" s="63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2172</v>
      </c>
      <c r="D496" s="1" t="s">
        <v>2173</v>
      </c>
      <c r="E496" s="16" t="n">
        <v>46213</v>
      </c>
      <c r="F496" s="16" t="n">
        <v>46211</v>
      </c>
      <c r="G496" s="1" t="s">
        <v>212</v>
      </c>
      <c r="H496" s="1" t="n">
        <v>1377211</v>
      </c>
      <c r="I496" s="1" t="n">
        <v>11</v>
      </c>
      <c r="J496" s="1" t="s">
        <v>2127</v>
      </c>
      <c r="K496" s="63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2134</v>
      </c>
      <c r="D497" s="1" t="s">
        <v>2198</v>
      </c>
      <c r="E497" s="16" t="n">
        <v>46213</v>
      </c>
      <c r="F497" s="16" t="n">
        <v>46212</v>
      </c>
      <c r="G497" s="1" t="s">
        <v>693</v>
      </c>
      <c r="H497" s="1" t="n">
        <v>1377180</v>
      </c>
      <c r="I497" s="1" t="n">
        <v>11</v>
      </c>
      <c r="J497" s="1" t="s">
        <v>2127</v>
      </c>
      <c r="K497" s="63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2138</v>
      </c>
      <c r="D498" s="1" t="s">
        <v>2243</v>
      </c>
      <c r="E498" s="16" t="n">
        <v>46214</v>
      </c>
      <c r="F498" s="16" t="n">
        <v>46211</v>
      </c>
      <c r="G498" s="1" t="s">
        <v>1114</v>
      </c>
      <c r="H498" s="1" t="n">
        <v>1382125</v>
      </c>
      <c r="I498" s="1" t="n">
        <v>11</v>
      </c>
      <c r="J498" s="1" t="s">
        <v>2127</v>
      </c>
      <c r="K498" s="63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2129</v>
      </c>
      <c r="D499" s="1" t="s">
        <v>2130</v>
      </c>
      <c r="E499" s="16" t="n">
        <v>46214</v>
      </c>
      <c r="F499" s="16" t="n">
        <v>46214</v>
      </c>
      <c r="G499" s="1" t="s">
        <v>80</v>
      </c>
      <c r="H499" s="1" t="n">
        <v>1381976</v>
      </c>
      <c r="I499" s="1" t="n">
        <v>6</v>
      </c>
      <c r="J499" s="1" t="s">
        <v>2127</v>
      </c>
      <c r="K499" s="63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2129</v>
      </c>
      <c r="D500" s="1" t="s">
        <v>2130</v>
      </c>
      <c r="E500" s="16" t="n">
        <v>46214</v>
      </c>
      <c r="F500" s="16" t="n">
        <v>46214</v>
      </c>
      <c r="G500" s="1" t="s">
        <v>80</v>
      </c>
      <c r="H500" s="1" t="n">
        <v>1381983</v>
      </c>
      <c r="I500" s="1" t="n">
        <v>6</v>
      </c>
      <c r="J500" s="1" t="s">
        <v>2127</v>
      </c>
      <c r="K500" s="63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2129</v>
      </c>
      <c r="D501" s="1" t="s">
        <v>2130</v>
      </c>
      <c r="E501" s="16" t="n">
        <v>46214</v>
      </c>
      <c r="F501" s="16" t="n">
        <v>46214</v>
      </c>
      <c r="G501" s="1" t="s">
        <v>80</v>
      </c>
      <c r="H501" s="1" t="n">
        <v>1381991</v>
      </c>
      <c r="I501" s="1" t="n">
        <v>6</v>
      </c>
      <c r="J501" s="1" t="s">
        <v>2127</v>
      </c>
      <c r="K501" s="63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2129</v>
      </c>
      <c r="D502" s="1" t="s">
        <v>2130</v>
      </c>
      <c r="E502" s="16" t="n">
        <v>46214</v>
      </c>
      <c r="F502" s="16" t="n">
        <v>46214</v>
      </c>
      <c r="G502" s="1" t="s">
        <v>80</v>
      </c>
      <c r="H502" s="1" t="n">
        <v>1382178</v>
      </c>
      <c r="I502" s="1" t="n">
        <v>6</v>
      </c>
      <c r="J502" s="1" t="s">
        <v>2127</v>
      </c>
      <c r="K502" s="63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2129</v>
      </c>
      <c r="D503" s="1" t="s">
        <v>2146</v>
      </c>
      <c r="E503" s="16" t="n">
        <v>46214</v>
      </c>
      <c r="F503" s="16" t="n">
        <v>46213</v>
      </c>
      <c r="G503" s="1" t="s">
        <v>120</v>
      </c>
      <c r="H503" s="1" t="n">
        <v>1382154</v>
      </c>
      <c r="I503" s="1" t="n">
        <v>1</v>
      </c>
      <c r="J503" s="1" t="s">
        <v>2127</v>
      </c>
      <c r="K503" s="63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2129</v>
      </c>
      <c r="D504" s="1" t="s">
        <v>2165</v>
      </c>
      <c r="E504" s="16" t="n">
        <v>46216</v>
      </c>
      <c r="F504" s="16" t="n">
        <v>46213</v>
      </c>
      <c r="G504" s="1" t="s">
        <v>135</v>
      </c>
      <c r="H504" s="1" t="n">
        <v>1392368</v>
      </c>
      <c r="I504" s="1" t="n">
        <v>1</v>
      </c>
      <c r="J504" s="1" t="s">
        <v>2127</v>
      </c>
      <c r="K504" s="63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2129</v>
      </c>
      <c r="D505" s="1" t="s">
        <v>2174</v>
      </c>
      <c r="E505" s="16" t="n">
        <v>46216</v>
      </c>
      <c r="F505" s="16" t="n">
        <v>46213</v>
      </c>
      <c r="G505" s="1" t="s">
        <v>465</v>
      </c>
      <c r="H505" s="1" t="n">
        <v>1392661</v>
      </c>
      <c r="I505" s="1" t="n">
        <v>11</v>
      </c>
      <c r="J505" s="1" t="s">
        <v>2127</v>
      </c>
      <c r="K505" s="63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2125</v>
      </c>
      <c r="D506" s="1" t="s">
        <v>2126</v>
      </c>
      <c r="E506" s="16" t="n">
        <v>46216</v>
      </c>
      <c r="F506" s="16" t="n">
        <v>46212</v>
      </c>
      <c r="G506" s="1" t="s">
        <v>122</v>
      </c>
      <c r="H506" s="1" t="n">
        <v>1392599</v>
      </c>
      <c r="I506" s="1" t="n">
        <v>11</v>
      </c>
      <c r="J506" s="1" t="s">
        <v>2127</v>
      </c>
      <c r="K506" s="63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2128</v>
      </c>
      <c r="D507" s="1" t="s">
        <v>2126</v>
      </c>
      <c r="E507" s="16" t="n">
        <v>46216</v>
      </c>
      <c r="F507" s="16" t="n">
        <v>46212</v>
      </c>
      <c r="G507" s="1" t="s">
        <v>122</v>
      </c>
      <c r="H507" s="1" t="n">
        <v>1392607</v>
      </c>
      <c r="I507" s="1" t="n">
        <v>11</v>
      </c>
      <c r="J507" s="1" t="s">
        <v>2127</v>
      </c>
      <c r="K507" s="63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2129</v>
      </c>
      <c r="D508" s="1" t="s">
        <v>2136</v>
      </c>
      <c r="E508" s="16" t="n">
        <v>46216</v>
      </c>
      <c r="F508" s="16" t="n">
        <v>46212</v>
      </c>
      <c r="G508" s="1" t="s">
        <v>76</v>
      </c>
      <c r="H508" s="1" t="n">
        <v>1393501</v>
      </c>
      <c r="I508" s="1" t="n">
        <v>11</v>
      </c>
      <c r="J508" s="1" t="s">
        <v>2127</v>
      </c>
      <c r="K508" s="63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2129</v>
      </c>
      <c r="D509" s="1" t="s">
        <v>2136</v>
      </c>
      <c r="E509" s="16" t="n">
        <v>46216</v>
      </c>
      <c r="F509" s="16" t="n">
        <v>46216</v>
      </c>
      <c r="G509" s="1" t="s">
        <v>76</v>
      </c>
      <c r="H509" s="1" t="n">
        <v>1392709</v>
      </c>
      <c r="I509" s="1" t="n">
        <v>11</v>
      </c>
      <c r="J509" s="1" t="s">
        <v>2127</v>
      </c>
      <c r="K509" s="63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2129</v>
      </c>
      <c r="D510" s="1" t="s">
        <v>2244</v>
      </c>
      <c r="E510" s="16" t="n">
        <v>46216</v>
      </c>
      <c r="F510" s="16" t="n">
        <v>46212</v>
      </c>
      <c r="G510" s="1" t="s">
        <v>359</v>
      </c>
      <c r="H510" s="1" t="n">
        <v>1392615</v>
      </c>
      <c r="I510" s="1" t="n">
        <v>11</v>
      </c>
      <c r="J510" s="1" t="s">
        <v>2127</v>
      </c>
      <c r="K510" s="63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2134</v>
      </c>
      <c r="D511" s="1" t="s">
        <v>2140</v>
      </c>
      <c r="E511" s="16" t="n">
        <v>46216</v>
      </c>
      <c r="F511" s="16" t="n">
        <v>46216</v>
      </c>
      <c r="G511" s="1" t="s">
        <v>183</v>
      </c>
      <c r="H511" s="1" t="n">
        <v>1397144</v>
      </c>
      <c r="I511" s="1" t="n">
        <v>1</v>
      </c>
      <c r="J511" s="1" t="s">
        <v>2127</v>
      </c>
      <c r="K511" s="63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2129</v>
      </c>
      <c r="D512" s="1" t="s">
        <v>2201</v>
      </c>
      <c r="E512" s="16" t="n">
        <v>46216</v>
      </c>
      <c r="F512" s="16" t="n">
        <v>46212</v>
      </c>
      <c r="G512" s="1" t="s">
        <v>554</v>
      </c>
      <c r="H512" s="1" t="n">
        <v>1392652</v>
      </c>
      <c r="I512" s="1" t="n">
        <v>11</v>
      </c>
      <c r="J512" s="1" t="s">
        <v>2127</v>
      </c>
      <c r="K512" s="63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2129</v>
      </c>
      <c r="D513" s="1" t="s">
        <v>2130</v>
      </c>
      <c r="E513" s="16" t="n">
        <v>46216</v>
      </c>
      <c r="F513" s="16" t="n">
        <v>46216</v>
      </c>
      <c r="G513" s="1" t="s">
        <v>80</v>
      </c>
      <c r="H513" s="1" t="n">
        <v>1392372</v>
      </c>
      <c r="I513" s="1" t="n">
        <v>6</v>
      </c>
      <c r="J513" s="1" t="s">
        <v>2127</v>
      </c>
      <c r="K513" s="63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2129</v>
      </c>
      <c r="D514" s="1" t="s">
        <v>2130</v>
      </c>
      <c r="E514" s="16" t="n">
        <v>46216</v>
      </c>
      <c r="F514" s="16" t="n">
        <v>46216</v>
      </c>
      <c r="G514" s="1" t="s">
        <v>80</v>
      </c>
      <c r="H514" s="1" t="n">
        <v>1392588</v>
      </c>
      <c r="I514" s="1" t="n">
        <v>6</v>
      </c>
      <c r="J514" s="1" t="s">
        <v>2127</v>
      </c>
      <c r="K514" s="63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2129</v>
      </c>
      <c r="D515" s="1" t="s">
        <v>2131</v>
      </c>
      <c r="E515" s="16" t="n">
        <v>46217</v>
      </c>
      <c r="F515" s="16" t="n">
        <v>46217</v>
      </c>
      <c r="G515" s="1" t="s">
        <v>112</v>
      </c>
      <c r="H515" s="1" t="n">
        <v>1444110</v>
      </c>
      <c r="I515" s="1" t="n">
        <v>1</v>
      </c>
      <c r="J515" s="1" t="s">
        <v>2127</v>
      </c>
      <c r="K515" s="63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2129</v>
      </c>
      <c r="D516" s="1" t="s">
        <v>2130</v>
      </c>
      <c r="E516" s="16" t="n">
        <v>46217</v>
      </c>
      <c r="F516" s="16" t="n">
        <v>46217</v>
      </c>
      <c r="G516" s="1" t="s">
        <v>80</v>
      </c>
      <c r="H516" s="1" t="n">
        <v>1396965</v>
      </c>
      <c r="I516" s="1" t="n">
        <v>6</v>
      </c>
      <c r="J516" s="1" t="s">
        <v>2127</v>
      </c>
      <c r="K516" s="63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2129</v>
      </c>
      <c r="D517" s="1" t="s">
        <v>2130</v>
      </c>
      <c r="E517" s="16" t="n">
        <v>46217</v>
      </c>
      <c r="F517" s="16" t="n">
        <v>46217</v>
      </c>
      <c r="G517" s="1" t="s">
        <v>80</v>
      </c>
      <c r="H517" s="1" t="n">
        <v>1397726</v>
      </c>
      <c r="I517" s="1" t="n">
        <v>6</v>
      </c>
      <c r="J517" s="1" t="s">
        <v>2127</v>
      </c>
      <c r="K517" s="63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2134</v>
      </c>
      <c r="D518" s="1" t="s">
        <v>2150</v>
      </c>
      <c r="E518" s="16" t="n">
        <v>46218</v>
      </c>
      <c r="F518" s="16" t="n">
        <v>46217</v>
      </c>
      <c r="G518" s="1" t="s">
        <v>179</v>
      </c>
      <c r="H518" s="1" t="n">
        <v>1402869</v>
      </c>
      <c r="I518" s="1" t="n">
        <v>11</v>
      </c>
      <c r="J518" s="1" t="s">
        <v>2127</v>
      </c>
      <c r="K518" s="63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2129</v>
      </c>
      <c r="D519" s="1" t="s">
        <v>2170</v>
      </c>
      <c r="E519" s="16" t="n">
        <v>46218</v>
      </c>
      <c r="F519" s="16" t="n">
        <v>46213</v>
      </c>
      <c r="G519" s="1" t="s">
        <v>373</v>
      </c>
      <c r="H519" s="1" t="n">
        <v>1402507</v>
      </c>
      <c r="I519" s="1" t="n">
        <v>11</v>
      </c>
      <c r="J519" s="1" t="s">
        <v>2127</v>
      </c>
      <c r="K519" s="63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2129</v>
      </c>
      <c r="D520" s="1" t="s">
        <v>2170</v>
      </c>
      <c r="E520" s="16" t="n">
        <v>46218</v>
      </c>
      <c r="F520" s="16" t="n">
        <v>46213</v>
      </c>
      <c r="G520" s="1" t="s">
        <v>373</v>
      </c>
      <c r="H520" s="1" t="n">
        <v>1402454</v>
      </c>
      <c r="I520" s="1" t="n">
        <v>11</v>
      </c>
      <c r="J520" s="1" t="s">
        <v>2127</v>
      </c>
      <c r="K520" s="63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2129</v>
      </c>
      <c r="D521" s="1" t="s">
        <v>2144</v>
      </c>
      <c r="E521" s="16" t="n">
        <v>46218</v>
      </c>
      <c r="F521" s="16" t="n">
        <v>46218</v>
      </c>
      <c r="G521" s="1" t="s">
        <v>170</v>
      </c>
      <c r="H521" s="1" t="n">
        <v>1402430</v>
      </c>
      <c r="I521" s="1" t="n">
        <v>11</v>
      </c>
      <c r="J521" s="1" t="s">
        <v>2127</v>
      </c>
      <c r="K521" s="63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2129</v>
      </c>
      <c r="D522" s="1" t="s">
        <v>2144</v>
      </c>
      <c r="E522" s="16" t="n">
        <v>46218</v>
      </c>
      <c r="F522" s="16" t="n">
        <v>46218</v>
      </c>
      <c r="G522" s="1" t="s">
        <v>170</v>
      </c>
      <c r="H522" s="1" t="n">
        <v>1402539</v>
      </c>
      <c r="I522" s="1" t="n">
        <v>11</v>
      </c>
      <c r="J522" s="1" t="s">
        <v>2127</v>
      </c>
      <c r="K522" s="63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2129</v>
      </c>
      <c r="D523" s="1" t="s">
        <v>2130</v>
      </c>
      <c r="E523" s="16" t="n">
        <v>46218</v>
      </c>
      <c r="F523" s="16" t="n">
        <v>46218</v>
      </c>
      <c r="G523" s="1" t="s">
        <v>80</v>
      </c>
      <c r="H523" s="1" t="n">
        <v>1401503</v>
      </c>
      <c r="I523" s="1" t="n">
        <v>6</v>
      </c>
      <c r="J523" s="1" t="s">
        <v>2127</v>
      </c>
      <c r="K523" s="63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2129</v>
      </c>
      <c r="D524" s="1" t="s">
        <v>2130</v>
      </c>
      <c r="E524" s="16" t="n">
        <v>46218</v>
      </c>
      <c r="F524" s="16" t="n">
        <v>46218</v>
      </c>
      <c r="G524" s="1" t="s">
        <v>80</v>
      </c>
      <c r="H524" s="1" t="n">
        <v>1401558</v>
      </c>
      <c r="I524" s="1" t="n">
        <v>6</v>
      </c>
      <c r="J524" s="1" t="s">
        <v>2127</v>
      </c>
      <c r="K524" s="63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2129</v>
      </c>
      <c r="D525" s="1" t="s">
        <v>2146</v>
      </c>
      <c r="E525" s="16" t="n">
        <v>46218</v>
      </c>
      <c r="F525" s="16" t="n">
        <v>46217</v>
      </c>
      <c r="G525" s="1" t="s">
        <v>120</v>
      </c>
      <c r="H525" s="1" t="n">
        <v>1401608</v>
      </c>
      <c r="I525" s="1" t="n">
        <v>11</v>
      </c>
      <c r="J525" s="1" t="s">
        <v>2127</v>
      </c>
      <c r="K525" s="63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2129</v>
      </c>
      <c r="D526" s="1" t="s">
        <v>2151</v>
      </c>
      <c r="E526" s="16" t="n">
        <v>46219</v>
      </c>
      <c r="F526" s="16" t="n">
        <v>46218</v>
      </c>
      <c r="G526" s="1" t="s">
        <v>274</v>
      </c>
      <c r="H526" s="1" t="n">
        <v>1407135</v>
      </c>
      <c r="I526" s="1" t="n">
        <v>11</v>
      </c>
      <c r="J526" s="1" t="s">
        <v>2127</v>
      </c>
      <c r="K526" s="63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2129</v>
      </c>
      <c r="D527" s="1" t="s">
        <v>2130</v>
      </c>
      <c r="E527" s="16" t="n">
        <v>46219</v>
      </c>
      <c r="F527" s="16" t="n">
        <v>46219</v>
      </c>
      <c r="G527" s="1" t="s">
        <v>80</v>
      </c>
      <c r="H527" s="1" t="n">
        <v>1406312</v>
      </c>
      <c r="I527" s="1" t="n">
        <v>6</v>
      </c>
      <c r="J527" s="1" t="s">
        <v>2127</v>
      </c>
      <c r="K527" s="63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2129</v>
      </c>
      <c r="D528" s="1" t="s">
        <v>2130</v>
      </c>
      <c r="E528" s="16" t="n">
        <v>46219</v>
      </c>
      <c r="F528" s="16" t="n">
        <v>46219</v>
      </c>
      <c r="G528" s="1" t="s">
        <v>80</v>
      </c>
      <c r="H528" s="1" t="n">
        <v>1406334</v>
      </c>
      <c r="I528" s="1" t="n">
        <v>6</v>
      </c>
      <c r="J528" s="1" t="s">
        <v>2127</v>
      </c>
      <c r="K528" s="63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2129</v>
      </c>
      <c r="D529" s="1" t="s">
        <v>2130</v>
      </c>
      <c r="E529" s="16" t="n">
        <v>46219</v>
      </c>
      <c r="F529" s="16" t="n">
        <v>46219</v>
      </c>
      <c r="G529" s="1" t="s">
        <v>80</v>
      </c>
      <c r="H529" s="1" t="n">
        <v>1407101</v>
      </c>
      <c r="I529" s="1" t="n">
        <v>6</v>
      </c>
      <c r="J529" s="1" t="s">
        <v>2127</v>
      </c>
      <c r="K529" s="63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2129</v>
      </c>
      <c r="D530" s="1" t="s">
        <v>2130</v>
      </c>
      <c r="E530" s="16" t="n">
        <v>46219</v>
      </c>
      <c r="F530" s="16" t="n">
        <v>46219</v>
      </c>
      <c r="G530" s="1" t="s">
        <v>80</v>
      </c>
      <c r="H530" s="1" t="n">
        <v>1407116</v>
      </c>
      <c r="I530" s="1" t="n">
        <v>6</v>
      </c>
      <c r="J530" s="1" t="s">
        <v>2127</v>
      </c>
      <c r="K530" s="63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2129</v>
      </c>
      <c r="D531" s="1" t="s">
        <v>2245</v>
      </c>
      <c r="E531" s="16" t="n">
        <v>46219</v>
      </c>
      <c r="F531" s="16" t="n">
        <v>46216</v>
      </c>
      <c r="G531" s="1" t="s">
        <v>2246</v>
      </c>
      <c r="H531" s="1" t="n">
        <v>1407079</v>
      </c>
      <c r="I531" s="1" t="n">
        <v>11</v>
      </c>
      <c r="J531" s="1" t="s">
        <v>2127</v>
      </c>
      <c r="K531" s="63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2129</v>
      </c>
      <c r="D532" s="1" t="s">
        <v>2148</v>
      </c>
      <c r="E532" s="16" t="n">
        <v>46220</v>
      </c>
      <c r="F532" s="16" t="n">
        <v>46220</v>
      </c>
      <c r="G532" s="1" t="s">
        <v>2149</v>
      </c>
      <c r="H532" s="1" t="n">
        <v>1424243</v>
      </c>
      <c r="I532" s="1" t="n">
        <v>1</v>
      </c>
      <c r="J532" s="1" t="s">
        <v>2127</v>
      </c>
      <c r="K532" s="63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2129</v>
      </c>
      <c r="D533" s="1" t="s">
        <v>2219</v>
      </c>
      <c r="E533" s="16" t="n">
        <v>46220</v>
      </c>
      <c r="F533" s="16" t="n">
        <v>46219</v>
      </c>
      <c r="G533" s="1" t="s">
        <v>654</v>
      </c>
      <c r="H533" s="1" t="n">
        <v>1410623</v>
      </c>
      <c r="I533" s="1" t="n">
        <v>11</v>
      </c>
      <c r="J533" s="1" t="s">
        <v>2127</v>
      </c>
      <c r="K533" s="63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2182</v>
      </c>
      <c r="D534" s="1" t="s">
        <v>2199</v>
      </c>
      <c r="E534" s="16" t="n">
        <v>46220</v>
      </c>
      <c r="F534" s="16" t="n">
        <v>46219</v>
      </c>
      <c r="G534" s="1" t="s">
        <v>269</v>
      </c>
      <c r="H534" s="1" t="n">
        <v>1410354</v>
      </c>
      <c r="I534" s="1" t="n">
        <v>11</v>
      </c>
      <c r="J534" s="1" t="s">
        <v>2127</v>
      </c>
      <c r="K534" s="63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2125</v>
      </c>
      <c r="D535" s="1" t="s">
        <v>2126</v>
      </c>
      <c r="E535" s="16" t="n">
        <v>46220</v>
      </c>
      <c r="F535" s="16" t="n">
        <v>46218</v>
      </c>
      <c r="G535" s="1" t="s">
        <v>122</v>
      </c>
      <c r="H535" s="1" t="n">
        <v>1411917</v>
      </c>
      <c r="I535" s="1" t="n">
        <v>11</v>
      </c>
      <c r="J535" s="1" t="s">
        <v>2127</v>
      </c>
      <c r="K535" s="63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2128</v>
      </c>
      <c r="D536" s="1" t="s">
        <v>2126</v>
      </c>
      <c r="E536" s="16" t="n">
        <v>46220</v>
      </c>
      <c r="F536" s="16" t="n">
        <v>46218</v>
      </c>
      <c r="G536" s="1" t="s">
        <v>122</v>
      </c>
      <c r="H536" s="1" t="n">
        <v>1411923</v>
      </c>
      <c r="I536" s="1" t="n">
        <v>11</v>
      </c>
      <c r="J536" s="1" t="s">
        <v>2127</v>
      </c>
      <c r="K536" s="63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2129</v>
      </c>
      <c r="D537" s="1" t="s">
        <v>2132</v>
      </c>
      <c r="E537" s="16" t="n">
        <v>46220</v>
      </c>
      <c r="F537" s="16" t="n">
        <v>46220</v>
      </c>
      <c r="G537" s="1" t="s">
        <v>130</v>
      </c>
      <c r="H537" s="1" t="n">
        <v>1411812</v>
      </c>
      <c r="I537" s="1" t="n">
        <v>11</v>
      </c>
      <c r="J537" s="1" t="s">
        <v>2127</v>
      </c>
      <c r="K537" s="63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2138</v>
      </c>
      <c r="D538" s="1" t="s">
        <v>2139</v>
      </c>
      <c r="E538" s="16" t="n">
        <v>46220</v>
      </c>
      <c r="F538" s="16" t="n">
        <v>46219</v>
      </c>
      <c r="G538" s="1" t="s">
        <v>339</v>
      </c>
      <c r="H538" s="1" t="n">
        <v>1411960</v>
      </c>
      <c r="I538" s="1" t="n">
        <v>11</v>
      </c>
      <c r="J538" s="1" t="s">
        <v>2127</v>
      </c>
      <c r="K538" s="63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2129</v>
      </c>
      <c r="D539" s="1" t="s">
        <v>2247</v>
      </c>
      <c r="E539" s="16" t="n">
        <v>46220</v>
      </c>
      <c r="F539" s="16" t="n">
        <v>46219</v>
      </c>
      <c r="G539" s="1" t="s">
        <v>1333</v>
      </c>
      <c r="H539" s="1" t="n">
        <v>1411954</v>
      </c>
      <c r="I539" s="1" t="n">
        <v>11</v>
      </c>
      <c r="J539" s="1" t="s">
        <v>2127</v>
      </c>
      <c r="K539" s="63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2129</v>
      </c>
      <c r="D540" s="1" t="s">
        <v>2130</v>
      </c>
      <c r="E540" s="16" t="n">
        <v>46220</v>
      </c>
      <c r="F540" s="16" t="n">
        <v>46220</v>
      </c>
      <c r="G540" s="1" t="s">
        <v>80</v>
      </c>
      <c r="H540" s="1" t="n">
        <v>1410416</v>
      </c>
      <c r="I540" s="1" t="n">
        <v>6</v>
      </c>
      <c r="J540" s="1" t="s">
        <v>2127</v>
      </c>
      <c r="K540" s="63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2129</v>
      </c>
      <c r="D541" s="1" t="s">
        <v>2130</v>
      </c>
      <c r="E541" s="16" t="n">
        <v>46220</v>
      </c>
      <c r="F541" s="16" t="n">
        <v>46220</v>
      </c>
      <c r="G541" s="1" t="s">
        <v>80</v>
      </c>
      <c r="H541" s="1" t="n">
        <v>1411637</v>
      </c>
      <c r="I541" s="1" t="n">
        <v>6</v>
      </c>
      <c r="J541" s="1" t="s">
        <v>2127</v>
      </c>
      <c r="K541" s="63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2129</v>
      </c>
      <c r="D542" s="1" t="s">
        <v>2248</v>
      </c>
      <c r="E542" s="16" t="n">
        <v>46220</v>
      </c>
      <c r="F542" s="16" t="n">
        <v>46216</v>
      </c>
      <c r="G542" s="1" t="s">
        <v>1267</v>
      </c>
      <c r="H542" s="1" t="n">
        <v>1411970</v>
      </c>
      <c r="I542" s="1" t="n">
        <v>11</v>
      </c>
      <c r="J542" s="1" t="s">
        <v>2127</v>
      </c>
      <c r="K542" s="63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2129</v>
      </c>
      <c r="D543" s="1" t="s">
        <v>2148</v>
      </c>
      <c r="E543" s="16" t="n">
        <v>46221</v>
      </c>
      <c r="F543" s="16" t="n">
        <v>46221</v>
      </c>
      <c r="G543" s="1" t="s">
        <v>2149</v>
      </c>
      <c r="H543" s="1" t="n">
        <v>1423876</v>
      </c>
      <c r="I543" s="1" t="n">
        <v>1</v>
      </c>
      <c r="J543" s="1" t="s">
        <v>2127</v>
      </c>
      <c r="K543" s="63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2129</v>
      </c>
      <c r="D544" s="1" t="s">
        <v>2136</v>
      </c>
      <c r="E544" s="16" t="n">
        <v>46221</v>
      </c>
      <c r="F544" s="16" t="n">
        <v>46217</v>
      </c>
      <c r="G544" s="1" t="s">
        <v>76</v>
      </c>
      <c r="H544" s="1" t="n">
        <v>1414659</v>
      </c>
      <c r="I544" s="1" t="n">
        <v>11</v>
      </c>
      <c r="J544" s="1" t="s">
        <v>2127</v>
      </c>
      <c r="K544" s="63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2129</v>
      </c>
      <c r="D545" s="1" t="s">
        <v>2136</v>
      </c>
      <c r="E545" s="16" t="n">
        <v>46221</v>
      </c>
      <c r="F545" s="16" t="n">
        <v>46220</v>
      </c>
      <c r="G545" s="1" t="s">
        <v>76</v>
      </c>
      <c r="H545" s="1" t="n">
        <v>1414729</v>
      </c>
      <c r="I545" s="1" t="n">
        <v>11</v>
      </c>
      <c r="J545" s="1" t="s">
        <v>2127</v>
      </c>
      <c r="K545" s="63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2157</v>
      </c>
      <c r="D546" s="1" t="s">
        <v>2158</v>
      </c>
      <c r="E546" s="16" t="n">
        <v>46221</v>
      </c>
      <c r="F546" s="16" t="n">
        <v>46212</v>
      </c>
      <c r="G546" s="1" t="s">
        <v>306</v>
      </c>
      <c r="H546" s="1" t="n">
        <v>1414878</v>
      </c>
      <c r="I546" s="1" t="n">
        <v>11</v>
      </c>
      <c r="J546" s="1" t="s">
        <v>2127</v>
      </c>
      <c r="K546" s="63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2184</v>
      </c>
      <c r="D547" s="1" t="s">
        <v>2249</v>
      </c>
      <c r="E547" s="16" t="n">
        <v>46221</v>
      </c>
      <c r="F547" s="16" t="n">
        <v>46216</v>
      </c>
      <c r="G547" s="1" t="s">
        <v>1328</v>
      </c>
      <c r="H547" s="1" t="n">
        <v>1414805</v>
      </c>
      <c r="I547" s="1" t="n">
        <v>11</v>
      </c>
      <c r="J547" s="1" t="s">
        <v>2127</v>
      </c>
      <c r="K547" s="63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2250</v>
      </c>
      <c r="D548" s="1" t="s">
        <v>2251</v>
      </c>
      <c r="E548" s="16" t="n">
        <v>46221</v>
      </c>
      <c r="F548" s="16" t="n">
        <v>46221</v>
      </c>
      <c r="G548" s="1" t="s">
        <v>1345</v>
      </c>
      <c r="H548" s="1" t="n">
        <v>1415953</v>
      </c>
      <c r="I548" s="1" t="n">
        <v>11</v>
      </c>
      <c r="J548" s="1" t="s">
        <v>2127</v>
      </c>
      <c r="K548" s="63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2129</v>
      </c>
      <c r="D549" s="1" t="s">
        <v>2130</v>
      </c>
      <c r="E549" s="16" t="n">
        <v>46221</v>
      </c>
      <c r="F549" s="16" t="n">
        <v>46221</v>
      </c>
      <c r="G549" s="1" t="s">
        <v>80</v>
      </c>
      <c r="H549" s="1" t="n">
        <v>1414511</v>
      </c>
      <c r="I549" s="1" t="n">
        <v>6</v>
      </c>
      <c r="J549" s="1" t="s">
        <v>2127</v>
      </c>
      <c r="K549" s="63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2129</v>
      </c>
      <c r="D550" s="1" t="s">
        <v>2130</v>
      </c>
      <c r="E550" s="16" t="n">
        <v>46221</v>
      </c>
      <c r="F550" s="16" t="n">
        <v>46221</v>
      </c>
      <c r="G550" s="1" t="s">
        <v>80</v>
      </c>
      <c r="H550" s="1" t="n">
        <v>1414758</v>
      </c>
      <c r="I550" s="1" t="n">
        <v>6</v>
      </c>
      <c r="J550" s="1" t="s">
        <v>2127</v>
      </c>
      <c r="K550" s="63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2129</v>
      </c>
      <c r="D551" s="1" t="s">
        <v>2146</v>
      </c>
      <c r="E551" s="16" t="n">
        <v>46221</v>
      </c>
      <c r="F551" s="16" t="n">
        <v>46220</v>
      </c>
      <c r="G551" s="1" t="s">
        <v>120</v>
      </c>
      <c r="H551" s="1" t="n">
        <v>1414568</v>
      </c>
      <c r="I551" s="1" t="n">
        <v>11</v>
      </c>
      <c r="J551" s="1" t="s">
        <v>2127</v>
      </c>
      <c r="K551" s="63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2129</v>
      </c>
      <c r="D552" s="1" t="s">
        <v>2131</v>
      </c>
      <c r="E552" s="16" t="n">
        <v>46223</v>
      </c>
      <c r="F552" s="16" t="n">
        <v>46223</v>
      </c>
      <c r="G552" s="1" t="s">
        <v>112</v>
      </c>
      <c r="H552" s="1" t="n">
        <v>1427384</v>
      </c>
      <c r="I552" s="1" t="n">
        <v>1</v>
      </c>
      <c r="J552" s="1" t="s">
        <v>2127</v>
      </c>
      <c r="K552" s="63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2129</v>
      </c>
      <c r="D553" s="1" t="s">
        <v>2165</v>
      </c>
      <c r="E553" s="16" t="n">
        <v>46223</v>
      </c>
      <c r="F553" s="16" t="n">
        <v>46220</v>
      </c>
      <c r="G553" s="1" t="s">
        <v>135</v>
      </c>
      <c r="H553" s="1" t="n">
        <v>1424588</v>
      </c>
      <c r="I553" s="1" t="n">
        <v>11</v>
      </c>
      <c r="J553" s="1" t="s">
        <v>2127</v>
      </c>
      <c r="K553" s="63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2129</v>
      </c>
      <c r="D554" s="1" t="s">
        <v>2188</v>
      </c>
      <c r="E554" s="16" t="n">
        <v>46223</v>
      </c>
      <c r="F554" s="16" t="n">
        <v>46221</v>
      </c>
      <c r="G554" s="1" t="s">
        <v>278</v>
      </c>
      <c r="H554" s="1" t="n">
        <v>1424585</v>
      </c>
      <c r="I554" s="1" t="n">
        <v>11</v>
      </c>
      <c r="J554" s="1" t="s">
        <v>2127</v>
      </c>
      <c r="K554" s="63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2184</v>
      </c>
      <c r="D555" s="1" t="s">
        <v>2222</v>
      </c>
      <c r="E555" s="16" t="n">
        <v>46223</v>
      </c>
      <c r="F555" s="16" t="n">
        <v>46219</v>
      </c>
      <c r="G555" s="1" t="s">
        <v>941</v>
      </c>
      <c r="H555" s="1" t="n">
        <v>1424662</v>
      </c>
      <c r="I555" s="1" t="n">
        <v>11</v>
      </c>
      <c r="J555" s="1" t="s">
        <v>2127</v>
      </c>
      <c r="K555" s="63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2184</v>
      </c>
      <c r="D556" s="1" t="s">
        <v>2222</v>
      </c>
      <c r="E556" s="16" t="n">
        <v>46223</v>
      </c>
      <c r="F556" s="16" t="n">
        <v>46220</v>
      </c>
      <c r="G556" s="1" t="s">
        <v>941</v>
      </c>
      <c r="H556" s="1" t="n">
        <v>1424578</v>
      </c>
      <c r="I556" s="1" t="n">
        <v>11</v>
      </c>
      <c r="J556" s="1" t="s">
        <v>2127</v>
      </c>
      <c r="K556" s="63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2129</v>
      </c>
      <c r="D557" s="1" t="s">
        <v>2176</v>
      </c>
      <c r="E557" s="16" t="n">
        <v>46223</v>
      </c>
      <c r="F557" s="16" t="n">
        <v>46216</v>
      </c>
      <c r="G557" s="1" t="s">
        <v>49</v>
      </c>
      <c r="H557" s="1" t="n">
        <v>1424596</v>
      </c>
      <c r="I557" s="1" t="n">
        <v>11</v>
      </c>
      <c r="J557" s="1" t="s">
        <v>2127</v>
      </c>
      <c r="K557" s="63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2129</v>
      </c>
      <c r="D558" s="1" t="s">
        <v>2212</v>
      </c>
      <c r="E558" s="16" t="n">
        <v>46223</v>
      </c>
      <c r="F558" s="16" t="n">
        <v>46212</v>
      </c>
      <c r="G558" s="1" t="s">
        <v>255</v>
      </c>
      <c r="H558" s="1" t="n">
        <v>1424941</v>
      </c>
      <c r="I558" s="1" t="n">
        <v>11</v>
      </c>
      <c r="J558" s="1" t="s">
        <v>2127</v>
      </c>
      <c r="K558" s="63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2129</v>
      </c>
      <c r="D559" s="1" t="s">
        <v>2130</v>
      </c>
      <c r="E559" s="16" t="n">
        <v>46223</v>
      </c>
      <c r="F559" s="16" t="n">
        <v>46223</v>
      </c>
      <c r="G559" s="1" t="s">
        <v>80</v>
      </c>
      <c r="H559" s="1" t="n">
        <v>1424514</v>
      </c>
      <c r="I559" s="1" t="n">
        <v>6</v>
      </c>
      <c r="J559" s="1" t="s">
        <v>2127</v>
      </c>
      <c r="K559" s="63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2129</v>
      </c>
      <c r="D560" s="1" t="s">
        <v>2130</v>
      </c>
      <c r="E560" s="16" t="n">
        <v>46223</v>
      </c>
      <c r="F560" s="16" t="n">
        <v>46223</v>
      </c>
      <c r="G560" s="1" t="s">
        <v>80</v>
      </c>
      <c r="H560" s="1" t="n">
        <v>1424519</v>
      </c>
      <c r="I560" s="1" t="n">
        <v>6</v>
      </c>
      <c r="J560" s="1" t="s">
        <v>2127</v>
      </c>
      <c r="K560" s="63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2129</v>
      </c>
      <c r="D561" s="1" t="s">
        <v>2252</v>
      </c>
      <c r="E561" s="16" t="n">
        <v>46223</v>
      </c>
      <c r="F561" s="16" t="n">
        <v>46216</v>
      </c>
      <c r="G561" s="1" t="s">
        <v>1245</v>
      </c>
      <c r="H561" s="1" t="n">
        <v>1424885</v>
      </c>
      <c r="I561" s="1" t="n">
        <v>11</v>
      </c>
      <c r="J561" s="1" t="s">
        <v>2127</v>
      </c>
      <c r="K561" s="63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2125</v>
      </c>
      <c r="D562" s="1" t="s">
        <v>2126</v>
      </c>
      <c r="E562" s="16" t="n">
        <v>46224</v>
      </c>
      <c r="F562" s="16" t="n">
        <v>46223</v>
      </c>
      <c r="G562" s="1" t="s">
        <v>122</v>
      </c>
      <c r="H562" s="1" t="n">
        <v>1427598</v>
      </c>
      <c r="I562" s="1" t="n">
        <v>11</v>
      </c>
      <c r="J562" s="1" t="s">
        <v>2127</v>
      </c>
      <c r="K562" s="63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2128</v>
      </c>
      <c r="D563" s="1" t="s">
        <v>2126</v>
      </c>
      <c r="E563" s="16" t="n">
        <v>46224</v>
      </c>
      <c r="F563" s="16" t="n">
        <v>46223</v>
      </c>
      <c r="G563" s="1" t="s">
        <v>122</v>
      </c>
      <c r="H563" s="1" t="n">
        <v>1427584</v>
      </c>
      <c r="I563" s="1" t="n">
        <v>11</v>
      </c>
      <c r="J563" s="1" t="s">
        <v>2127</v>
      </c>
      <c r="K563" s="63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2129</v>
      </c>
      <c r="D564" s="1" t="s">
        <v>2136</v>
      </c>
      <c r="E564" s="16" t="n">
        <v>46224</v>
      </c>
      <c r="F564" s="16" t="n">
        <v>46223</v>
      </c>
      <c r="G564" s="1" t="s">
        <v>76</v>
      </c>
      <c r="H564" s="1" t="n">
        <v>1427494</v>
      </c>
      <c r="I564" s="1" t="n">
        <v>11</v>
      </c>
      <c r="J564" s="1" t="s">
        <v>2127</v>
      </c>
      <c r="K564" s="63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2129</v>
      </c>
      <c r="D565" s="1" t="s">
        <v>2214</v>
      </c>
      <c r="E565" s="16" t="n">
        <v>46224</v>
      </c>
      <c r="F565" s="16" t="n">
        <v>46224</v>
      </c>
      <c r="G565" s="1" t="s">
        <v>320</v>
      </c>
      <c r="H565" s="1" t="n">
        <v>1427793</v>
      </c>
      <c r="I565" s="1" t="n">
        <v>11</v>
      </c>
      <c r="J565" s="1" t="s">
        <v>2127</v>
      </c>
      <c r="K565" s="63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2129</v>
      </c>
      <c r="D566" s="1" t="s">
        <v>2130</v>
      </c>
      <c r="E566" s="16" t="n">
        <v>46224</v>
      </c>
      <c r="F566" s="16" t="n">
        <v>46224</v>
      </c>
      <c r="G566" s="1" t="s">
        <v>80</v>
      </c>
      <c r="H566" s="1" t="n">
        <v>1427540</v>
      </c>
      <c r="I566" s="1" t="n">
        <v>6</v>
      </c>
      <c r="J566" s="1" t="s">
        <v>2127</v>
      </c>
      <c r="K566" s="63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2129</v>
      </c>
      <c r="D567" s="1" t="s">
        <v>2130</v>
      </c>
      <c r="E567" s="16" t="n">
        <v>46224</v>
      </c>
      <c r="F567" s="16" t="n">
        <v>46224</v>
      </c>
      <c r="G567" s="1" t="s">
        <v>80</v>
      </c>
      <c r="H567" s="1" t="n">
        <v>1427553</v>
      </c>
      <c r="I567" s="1" t="n">
        <v>6</v>
      </c>
      <c r="J567" s="1" t="s">
        <v>2127</v>
      </c>
      <c r="K567" s="63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2129</v>
      </c>
      <c r="D568" s="1" t="s">
        <v>2130</v>
      </c>
      <c r="E568" s="16" t="n">
        <v>46224</v>
      </c>
      <c r="F568" s="16" t="n">
        <v>46224</v>
      </c>
      <c r="G568" s="1" t="s">
        <v>80</v>
      </c>
      <c r="H568" s="1" t="n">
        <v>1428430</v>
      </c>
      <c r="I568" s="1" t="n">
        <v>6</v>
      </c>
      <c r="J568" s="1" t="s">
        <v>2127</v>
      </c>
      <c r="K568" s="63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2129</v>
      </c>
      <c r="D569" s="1" t="s">
        <v>2130</v>
      </c>
      <c r="E569" s="16" t="n">
        <v>46224</v>
      </c>
      <c r="F569" s="16" t="n">
        <v>46224</v>
      </c>
      <c r="G569" s="1" t="s">
        <v>80</v>
      </c>
      <c r="H569" s="1" t="n">
        <v>1428532</v>
      </c>
      <c r="I569" s="1" t="n">
        <v>6</v>
      </c>
      <c r="J569" s="1" t="s">
        <v>2127</v>
      </c>
      <c r="K569" s="63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2134</v>
      </c>
      <c r="D570" s="1" t="s">
        <v>2150</v>
      </c>
      <c r="E570" s="16" t="n">
        <v>46225</v>
      </c>
      <c r="F570" s="16" t="n">
        <v>46224</v>
      </c>
      <c r="G570" s="1" t="s">
        <v>179</v>
      </c>
      <c r="H570" s="1" t="n">
        <v>1434433</v>
      </c>
      <c r="I570" s="1" t="n">
        <v>11</v>
      </c>
      <c r="J570" s="1" t="s">
        <v>2127</v>
      </c>
      <c r="K570" s="63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2129</v>
      </c>
      <c r="D571" s="1" t="s">
        <v>2206</v>
      </c>
      <c r="E571" s="16" t="n">
        <v>46225</v>
      </c>
      <c r="F571" s="16" t="n">
        <v>46224</v>
      </c>
      <c r="G571" s="1" t="s">
        <v>247</v>
      </c>
      <c r="H571" s="1" t="n">
        <v>1434455</v>
      </c>
      <c r="I571" s="1" t="n">
        <v>11</v>
      </c>
      <c r="J571" s="1" t="s">
        <v>2127</v>
      </c>
      <c r="K571" s="63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2129</v>
      </c>
      <c r="D572" s="1" t="s">
        <v>2197</v>
      </c>
      <c r="E572" s="16" t="n">
        <v>46225</v>
      </c>
      <c r="F572" s="16" t="n">
        <v>46225</v>
      </c>
      <c r="G572" s="1" t="s">
        <v>177</v>
      </c>
      <c r="H572" s="1" t="n">
        <v>1434422</v>
      </c>
      <c r="I572" s="1" t="n">
        <v>11</v>
      </c>
      <c r="J572" s="1" t="s">
        <v>2127</v>
      </c>
      <c r="K572" s="63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2129</v>
      </c>
      <c r="D573" s="1" t="s">
        <v>2132</v>
      </c>
      <c r="E573" s="16" t="n">
        <v>46225</v>
      </c>
      <c r="F573" s="16" t="n">
        <v>46224</v>
      </c>
      <c r="G573" s="1" t="s">
        <v>130</v>
      </c>
      <c r="H573" s="1" t="n">
        <v>1434157</v>
      </c>
      <c r="I573" s="1" t="n">
        <v>11</v>
      </c>
      <c r="J573" s="1" t="s">
        <v>2127</v>
      </c>
      <c r="K573" s="63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2250</v>
      </c>
      <c r="D574" s="1" t="s">
        <v>2251</v>
      </c>
      <c r="E574" s="16" t="n">
        <v>46225</v>
      </c>
      <c r="F574" s="16" t="n">
        <v>46224</v>
      </c>
      <c r="G574" s="1" t="s">
        <v>1345</v>
      </c>
      <c r="H574" s="1" t="n">
        <v>1434491</v>
      </c>
      <c r="I574" s="1" t="n">
        <v>11</v>
      </c>
      <c r="J574" s="1" t="s">
        <v>2127</v>
      </c>
      <c r="K574" s="63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2129</v>
      </c>
      <c r="D575" s="1" t="s">
        <v>2167</v>
      </c>
      <c r="E575" s="16" t="n">
        <v>46225</v>
      </c>
      <c r="F575" s="16" t="n">
        <v>46224</v>
      </c>
      <c r="G575" s="1" t="s">
        <v>351</v>
      </c>
      <c r="H575" s="1" t="n">
        <v>1434550</v>
      </c>
      <c r="I575" s="1" t="n">
        <v>11</v>
      </c>
      <c r="J575" s="1" t="s">
        <v>2127</v>
      </c>
      <c r="K575" s="63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2129</v>
      </c>
      <c r="D576" s="1" t="s">
        <v>2163</v>
      </c>
      <c r="E576" s="16" t="n">
        <v>46225</v>
      </c>
      <c r="F576" s="16" t="n">
        <v>46225</v>
      </c>
      <c r="G576" s="1" t="s">
        <v>410</v>
      </c>
      <c r="H576" s="1" t="n">
        <v>1435893</v>
      </c>
      <c r="I576" s="1" t="n">
        <v>11</v>
      </c>
      <c r="J576" s="1" t="s">
        <v>2127</v>
      </c>
      <c r="K576" s="63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2129</v>
      </c>
      <c r="D577" s="1" t="s">
        <v>2168</v>
      </c>
      <c r="E577" s="16" t="n">
        <v>46225</v>
      </c>
      <c r="F577" s="16" t="n">
        <v>46225</v>
      </c>
      <c r="G577" s="1" t="s">
        <v>417</v>
      </c>
      <c r="H577" s="1" t="n">
        <v>1435854</v>
      </c>
      <c r="I577" s="1" t="n">
        <v>11</v>
      </c>
      <c r="J577" s="1" t="s">
        <v>2127</v>
      </c>
      <c r="K577" s="63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2129</v>
      </c>
      <c r="D578" s="1" t="s">
        <v>2143</v>
      </c>
      <c r="E578" s="16" t="n">
        <v>46225</v>
      </c>
      <c r="F578" s="16" t="n">
        <v>46223</v>
      </c>
      <c r="G578" s="1" t="s">
        <v>67</v>
      </c>
      <c r="H578" s="1" t="n">
        <v>1434600</v>
      </c>
      <c r="I578" s="1" t="n">
        <v>11</v>
      </c>
      <c r="J578" s="1" t="s">
        <v>2127</v>
      </c>
      <c r="K578" s="63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2129</v>
      </c>
      <c r="D579" s="1" t="s">
        <v>2214</v>
      </c>
      <c r="E579" s="16" t="n">
        <v>46225</v>
      </c>
      <c r="F579" s="16" t="n">
        <v>46225</v>
      </c>
      <c r="G579" s="1" t="s">
        <v>320</v>
      </c>
      <c r="H579" s="1" t="n">
        <v>1434692</v>
      </c>
      <c r="I579" s="1" t="n">
        <v>11</v>
      </c>
      <c r="J579" s="1" t="s">
        <v>2127</v>
      </c>
      <c r="K579" s="63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2129</v>
      </c>
      <c r="D580" s="1" t="s">
        <v>2130</v>
      </c>
      <c r="E580" s="16" t="n">
        <v>46225</v>
      </c>
      <c r="F580" s="16" t="n">
        <v>46225</v>
      </c>
      <c r="G580" s="1" t="s">
        <v>80</v>
      </c>
      <c r="H580" s="1" t="n">
        <v>1434141</v>
      </c>
      <c r="I580" s="1" t="n">
        <v>6</v>
      </c>
      <c r="J580" s="1" t="s">
        <v>2127</v>
      </c>
      <c r="K580" s="63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2129</v>
      </c>
      <c r="D581" s="1" t="s">
        <v>2130</v>
      </c>
      <c r="E581" s="16" t="n">
        <v>46225</v>
      </c>
      <c r="F581" s="16" t="n">
        <v>46225</v>
      </c>
      <c r="G581" s="1" t="s">
        <v>80</v>
      </c>
      <c r="H581" s="1" t="n">
        <v>1434171</v>
      </c>
      <c r="I581" s="1" t="n">
        <v>6</v>
      </c>
      <c r="J581" s="1" t="s">
        <v>2127</v>
      </c>
      <c r="K581" s="63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2129</v>
      </c>
      <c r="D582" s="1" t="s">
        <v>2130</v>
      </c>
      <c r="E582" s="16" t="n">
        <v>46225</v>
      </c>
      <c r="F582" s="16" t="n">
        <v>46225</v>
      </c>
      <c r="G582" s="1" t="s">
        <v>80</v>
      </c>
      <c r="H582" s="1" t="n">
        <v>1434672</v>
      </c>
      <c r="I582" s="1" t="n">
        <v>6</v>
      </c>
      <c r="J582" s="1" t="s">
        <v>2127</v>
      </c>
      <c r="K582" s="63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2203</v>
      </c>
      <c r="D583" s="1" t="s">
        <v>2204</v>
      </c>
      <c r="E583" s="16" t="n">
        <v>46225</v>
      </c>
      <c r="F583" s="16" t="n">
        <v>46224</v>
      </c>
      <c r="G583" s="1" t="s">
        <v>161</v>
      </c>
      <c r="H583" s="1" t="n">
        <v>1434537</v>
      </c>
      <c r="I583" s="1" t="n">
        <v>11</v>
      </c>
      <c r="J583" s="1" t="s">
        <v>2127</v>
      </c>
      <c r="K583" s="63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2129</v>
      </c>
      <c r="D584" s="1" t="s">
        <v>2146</v>
      </c>
      <c r="E584" s="16" t="n">
        <v>46225</v>
      </c>
      <c r="F584" s="16" t="n">
        <v>46224</v>
      </c>
      <c r="G584" s="1" t="s">
        <v>120</v>
      </c>
      <c r="H584" s="1" t="n">
        <v>1434437</v>
      </c>
      <c r="I584" s="1" t="n">
        <v>11</v>
      </c>
      <c r="J584" s="1" t="s">
        <v>2127</v>
      </c>
      <c r="K584" s="63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2129</v>
      </c>
      <c r="D585" s="1" t="s">
        <v>2156</v>
      </c>
      <c r="E585" s="16" t="n">
        <v>46225</v>
      </c>
      <c r="F585" s="16" t="n">
        <v>46224</v>
      </c>
      <c r="G585" s="1" t="s">
        <v>198</v>
      </c>
      <c r="H585" s="1" t="n">
        <v>1434477</v>
      </c>
      <c r="I585" s="1" t="n">
        <v>11</v>
      </c>
      <c r="J585" s="1" t="s">
        <v>2127</v>
      </c>
      <c r="K585" s="63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2129</v>
      </c>
      <c r="D586" s="1" t="s">
        <v>2151</v>
      </c>
      <c r="E586" s="16" t="n">
        <v>46226</v>
      </c>
      <c r="F586" s="16" t="n">
        <v>46225</v>
      </c>
      <c r="G586" s="1" t="s">
        <v>274</v>
      </c>
      <c r="H586" s="1" t="n">
        <v>1439107</v>
      </c>
      <c r="I586" s="1" t="n">
        <v>11</v>
      </c>
      <c r="J586" s="1" t="s">
        <v>2127</v>
      </c>
      <c r="K586" s="63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2129</v>
      </c>
      <c r="D587" s="1" t="s">
        <v>2141</v>
      </c>
      <c r="E587" s="16" t="n">
        <v>46226</v>
      </c>
      <c r="F587" s="16" t="n">
        <v>46224</v>
      </c>
      <c r="G587" s="1" t="s">
        <v>53</v>
      </c>
      <c r="H587" s="1" t="n">
        <v>1439240</v>
      </c>
      <c r="I587" s="1" t="n">
        <v>11</v>
      </c>
      <c r="J587" s="1" t="s">
        <v>2127</v>
      </c>
      <c r="K587" s="63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2129</v>
      </c>
      <c r="D588" s="1" t="s">
        <v>2191</v>
      </c>
      <c r="E588" s="16" t="n">
        <v>46226</v>
      </c>
      <c r="F588" s="16" t="n">
        <v>46225</v>
      </c>
      <c r="G588" s="1" t="s">
        <v>60</v>
      </c>
      <c r="H588" s="1" t="n">
        <v>1439176</v>
      </c>
      <c r="I588" s="1" t="n">
        <v>11</v>
      </c>
      <c r="J588" s="1" t="s">
        <v>2127</v>
      </c>
      <c r="K588" s="63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2129</v>
      </c>
      <c r="D589" s="1" t="s">
        <v>2143</v>
      </c>
      <c r="E589" s="16" t="n">
        <v>46226</v>
      </c>
      <c r="F589" s="16" t="n">
        <v>46223</v>
      </c>
      <c r="G589" s="1" t="s">
        <v>67</v>
      </c>
      <c r="H589" s="1" t="n">
        <v>1439112</v>
      </c>
      <c r="I589" s="1" t="n">
        <v>11</v>
      </c>
      <c r="J589" s="1" t="s">
        <v>2127</v>
      </c>
      <c r="K589" s="63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2129</v>
      </c>
      <c r="D590" s="1" t="s">
        <v>2144</v>
      </c>
      <c r="E590" s="16" t="n">
        <v>46226</v>
      </c>
      <c r="F590" s="16" t="n">
        <v>46225</v>
      </c>
      <c r="G590" s="1" t="s">
        <v>170</v>
      </c>
      <c r="H590" s="1" t="n">
        <v>1439096</v>
      </c>
      <c r="I590" s="1" t="n">
        <v>11</v>
      </c>
      <c r="J590" s="1" t="s">
        <v>2127</v>
      </c>
      <c r="K590" s="63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2129</v>
      </c>
      <c r="D591" s="1" t="s">
        <v>2130</v>
      </c>
      <c r="E591" s="16" t="n">
        <v>46226</v>
      </c>
      <c r="F591" s="16" t="n">
        <v>46226</v>
      </c>
      <c r="G591" s="1" t="s">
        <v>80</v>
      </c>
      <c r="H591" s="1" t="n">
        <v>1438893</v>
      </c>
      <c r="I591" s="1" t="n">
        <v>6</v>
      </c>
      <c r="J591" s="1" t="s">
        <v>2127</v>
      </c>
      <c r="K591" s="63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2129</v>
      </c>
      <c r="D592" s="1" t="s">
        <v>2130</v>
      </c>
      <c r="E592" s="16" t="n">
        <v>46226</v>
      </c>
      <c r="F592" s="16" t="n">
        <v>46226</v>
      </c>
      <c r="G592" s="1" t="s">
        <v>80</v>
      </c>
      <c r="H592" s="1" t="n">
        <v>1439290</v>
      </c>
      <c r="I592" s="1" t="n">
        <v>6</v>
      </c>
      <c r="J592" s="1" t="s">
        <v>2127</v>
      </c>
      <c r="K592" s="63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2129</v>
      </c>
      <c r="D593" s="1" t="s">
        <v>2130</v>
      </c>
      <c r="E593" s="16" t="n">
        <v>46226</v>
      </c>
      <c r="F593" s="16" t="n">
        <v>46226</v>
      </c>
      <c r="G593" s="1" t="s">
        <v>80</v>
      </c>
      <c r="H593" s="1" t="n">
        <v>1439345</v>
      </c>
      <c r="I593" s="1" t="n">
        <v>6</v>
      </c>
      <c r="J593" s="1" t="s">
        <v>2127</v>
      </c>
      <c r="K593" s="63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2129</v>
      </c>
      <c r="D594" s="1" t="s">
        <v>2147</v>
      </c>
      <c r="E594" s="16" t="n">
        <v>46226</v>
      </c>
      <c r="F594" s="16" t="n">
        <v>46224</v>
      </c>
      <c r="G594" s="1" t="s">
        <v>125</v>
      </c>
      <c r="H594" s="1" t="n">
        <v>1438994</v>
      </c>
      <c r="I594" s="1" t="n">
        <v>11</v>
      </c>
      <c r="J594" s="1" t="s">
        <v>2127</v>
      </c>
      <c r="K594" s="63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2129</v>
      </c>
      <c r="D595" s="1" t="s">
        <v>2174</v>
      </c>
      <c r="E595" s="16" t="n">
        <v>46227</v>
      </c>
      <c r="F595" s="16" t="n">
        <v>46226</v>
      </c>
      <c r="G595" s="1" t="s">
        <v>465</v>
      </c>
      <c r="H595" s="1" t="n">
        <v>1444063</v>
      </c>
      <c r="I595" s="1" t="n">
        <v>11</v>
      </c>
      <c r="J595" s="1" t="s">
        <v>2127</v>
      </c>
      <c r="K595" s="63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2129</v>
      </c>
      <c r="D596" s="1" t="s">
        <v>2132</v>
      </c>
      <c r="E596" s="16" t="n">
        <v>46227</v>
      </c>
      <c r="F596" s="16" t="n">
        <v>46227</v>
      </c>
      <c r="G596" s="1" t="s">
        <v>130</v>
      </c>
      <c r="H596" s="1" t="n">
        <v>1458293</v>
      </c>
      <c r="I596" s="1" t="n">
        <v>11</v>
      </c>
      <c r="J596" s="1" t="s">
        <v>2127</v>
      </c>
      <c r="K596" s="63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2129</v>
      </c>
      <c r="D597" s="1" t="s">
        <v>2152</v>
      </c>
      <c r="E597" s="16" t="n">
        <v>46227</v>
      </c>
      <c r="F597" s="16" t="n">
        <v>46227</v>
      </c>
      <c r="G597" s="1" t="s">
        <v>41</v>
      </c>
      <c r="H597" s="1" t="n">
        <v>1443966</v>
      </c>
      <c r="I597" s="1" t="n">
        <v>11</v>
      </c>
      <c r="J597" s="1" t="s">
        <v>2127</v>
      </c>
      <c r="K597" s="63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2160</v>
      </c>
      <c r="D598" s="1" t="s">
        <v>2161</v>
      </c>
      <c r="E598" s="16" t="n">
        <v>46227</v>
      </c>
      <c r="F598" s="16" t="n">
        <v>46226</v>
      </c>
      <c r="G598" s="1" t="s">
        <v>218</v>
      </c>
      <c r="H598" s="1" t="n">
        <v>1443620</v>
      </c>
      <c r="I598" s="1" t="n">
        <v>11</v>
      </c>
      <c r="J598" s="1" t="s">
        <v>2127</v>
      </c>
      <c r="K598" s="63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2129</v>
      </c>
      <c r="D599" s="1" t="s">
        <v>2253</v>
      </c>
      <c r="E599" s="16" t="n">
        <v>46227</v>
      </c>
      <c r="F599" s="16" t="n">
        <v>46226</v>
      </c>
      <c r="G599" s="1" t="s">
        <v>1232</v>
      </c>
      <c r="H599" s="1" t="n">
        <v>1443311</v>
      </c>
      <c r="I599" s="1" t="n">
        <v>11</v>
      </c>
      <c r="J599" s="1" t="s">
        <v>2127</v>
      </c>
      <c r="K599" s="63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2129</v>
      </c>
      <c r="D600" s="1" t="s">
        <v>2148</v>
      </c>
      <c r="E600" s="16" t="n">
        <v>46227</v>
      </c>
      <c r="F600" s="16" t="n">
        <v>46227</v>
      </c>
      <c r="G600" s="1" t="s">
        <v>227</v>
      </c>
      <c r="H600" s="1" t="n">
        <v>1443995</v>
      </c>
      <c r="I600" s="1" t="n">
        <v>1</v>
      </c>
      <c r="J600" s="1" t="s">
        <v>2127</v>
      </c>
      <c r="K600" s="63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2129</v>
      </c>
      <c r="D601" s="1" t="s">
        <v>2130</v>
      </c>
      <c r="E601" s="16" t="n">
        <v>46227</v>
      </c>
      <c r="F601" s="16" t="n">
        <v>46227</v>
      </c>
      <c r="G601" s="1" t="s">
        <v>80</v>
      </c>
      <c r="H601" s="1" t="n">
        <v>1443567</v>
      </c>
      <c r="I601" s="1" t="n">
        <v>6</v>
      </c>
      <c r="J601" s="1" t="s">
        <v>2127</v>
      </c>
      <c r="K601" s="63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2129</v>
      </c>
      <c r="D602" s="1" t="s">
        <v>2130</v>
      </c>
      <c r="E602" s="16" t="n">
        <v>46227</v>
      </c>
      <c r="F602" s="16" t="n">
        <v>46227</v>
      </c>
      <c r="G602" s="1" t="s">
        <v>80</v>
      </c>
      <c r="H602" s="1" t="n">
        <v>1443631</v>
      </c>
      <c r="I602" s="1" t="n">
        <v>6</v>
      </c>
      <c r="J602" s="1" t="s">
        <v>2127</v>
      </c>
      <c r="K602" s="63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2129</v>
      </c>
      <c r="D603" s="1" t="s">
        <v>2130</v>
      </c>
      <c r="E603" s="16" t="n">
        <v>46227</v>
      </c>
      <c r="F603" s="16" t="n">
        <v>46227</v>
      </c>
      <c r="G603" s="1" t="s">
        <v>80</v>
      </c>
      <c r="H603" s="1" t="n">
        <v>1443697</v>
      </c>
      <c r="I603" s="1" t="n">
        <v>6</v>
      </c>
      <c r="J603" s="1" t="s">
        <v>2127</v>
      </c>
      <c r="K603" s="63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2129</v>
      </c>
      <c r="D604" s="1" t="s">
        <v>2130</v>
      </c>
      <c r="E604" s="16" t="n">
        <v>46227</v>
      </c>
      <c r="F604" s="16" t="n">
        <v>46227</v>
      </c>
      <c r="G604" s="1" t="s">
        <v>80</v>
      </c>
      <c r="H604" s="1" t="n">
        <v>1445099</v>
      </c>
      <c r="I604" s="1" t="n">
        <v>6</v>
      </c>
      <c r="J604" s="1" t="s">
        <v>2127</v>
      </c>
      <c r="K604" s="63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2129</v>
      </c>
      <c r="D605" s="1" t="s">
        <v>2131</v>
      </c>
      <c r="E605" s="16" t="n">
        <v>46228</v>
      </c>
      <c r="F605" s="16" t="n">
        <v>46228</v>
      </c>
      <c r="G605" s="1" t="s">
        <v>112</v>
      </c>
      <c r="H605" s="1" t="n">
        <v>1463278</v>
      </c>
      <c r="I605" s="1" t="n">
        <v>1</v>
      </c>
      <c r="J605" s="1" t="s">
        <v>2127</v>
      </c>
      <c r="K605" s="63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2182</v>
      </c>
      <c r="D606" s="1" t="s">
        <v>2199</v>
      </c>
      <c r="E606" s="16" t="n">
        <v>46228</v>
      </c>
      <c r="F606" s="16" t="n">
        <v>46228</v>
      </c>
      <c r="G606" s="1" t="s">
        <v>269</v>
      </c>
      <c r="H606" s="1" t="n">
        <v>1449653</v>
      </c>
      <c r="I606" s="1" t="n">
        <v>11</v>
      </c>
      <c r="J606" s="1" t="s">
        <v>2127</v>
      </c>
      <c r="K606" s="63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2125</v>
      </c>
      <c r="D607" s="1" t="s">
        <v>2126</v>
      </c>
      <c r="E607" s="16" t="n">
        <v>46228</v>
      </c>
      <c r="F607" s="16" t="n">
        <v>46226</v>
      </c>
      <c r="G607" s="1" t="s">
        <v>122</v>
      </c>
      <c r="H607" s="1" t="n">
        <v>1448634</v>
      </c>
      <c r="I607" s="1" t="n">
        <v>11</v>
      </c>
      <c r="J607" s="1" t="s">
        <v>2127</v>
      </c>
      <c r="K607" s="63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2128</v>
      </c>
      <c r="D608" s="1" t="s">
        <v>2126</v>
      </c>
      <c r="E608" s="16" t="n">
        <v>46228</v>
      </c>
      <c r="F608" s="16" t="n">
        <v>46226</v>
      </c>
      <c r="G608" s="1" t="s">
        <v>122</v>
      </c>
      <c r="H608" s="1" t="n">
        <v>1448667</v>
      </c>
      <c r="I608" s="1" t="n">
        <v>11</v>
      </c>
      <c r="J608" s="1" t="s">
        <v>2127</v>
      </c>
      <c r="K608" s="63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2129</v>
      </c>
      <c r="D609" s="1" t="s">
        <v>2136</v>
      </c>
      <c r="E609" s="16" t="n">
        <v>46228</v>
      </c>
      <c r="F609" s="16" t="n">
        <v>46227</v>
      </c>
      <c r="G609" s="1" t="s">
        <v>76</v>
      </c>
      <c r="H609" s="1" t="n">
        <v>1448865</v>
      </c>
      <c r="I609" s="1" t="n">
        <v>11</v>
      </c>
      <c r="J609" s="1" t="s">
        <v>2127</v>
      </c>
      <c r="K609" s="63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2129</v>
      </c>
      <c r="D610" s="1" t="s">
        <v>2176</v>
      </c>
      <c r="E610" s="16" t="n">
        <v>46228</v>
      </c>
      <c r="F610" s="16" t="n">
        <v>46224</v>
      </c>
      <c r="G610" s="1" t="s">
        <v>49</v>
      </c>
      <c r="H610" s="1" t="n">
        <v>1448593</v>
      </c>
      <c r="I610" s="1" t="n">
        <v>11</v>
      </c>
      <c r="J610" s="1" t="s">
        <v>2127</v>
      </c>
      <c r="K610" s="63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2129</v>
      </c>
      <c r="D611" s="1" t="s">
        <v>2170</v>
      </c>
      <c r="E611" s="16" t="n">
        <v>46228</v>
      </c>
      <c r="F611" s="16" t="n">
        <v>46226</v>
      </c>
      <c r="G611" s="1" t="s">
        <v>373</v>
      </c>
      <c r="H611" s="1" t="n">
        <v>1448607</v>
      </c>
      <c r="I611" s="1" t="n">
        <v>11</v>
      </c>
      <c r="J611" s="1" t="s">
        <v>2127</v>
      </c>
      <c r="K611" s="63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2129</v>
      </c>
      <c r="D612" s="1" t="s">
        <v>2130</v>
      </c>
      <c r="E612" s="16" t="n">
        <v>46228</v>
      </c>
      <c r="F612" s="16" t="n">
        <v>46228</v>
      </c>
      <c r="G612" s="1" t="s">
        <v>80</v>
      </c>
      <c r="H612" s="1" t="n">
        <v>1448526</v>
      </c>
      <c r="I612" s="1" t="n">
        <v>6</v>
      </c>
      <c r="J612" s="1" t="s">
        <v>2127</v>
      </c>
      <c r="K612" s="63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2129</v>
      </c>
      <c r="D613" s="1" t="s">
        <v>2130</v>
      </c>
      <c r="E613" s="16" t="n">
        <v>46228</v>
      </c>
      <c r="F613" s="16" t="n">
        <v>46228</v>
      </c>
      <c r="G613" s="1" t="s">
        <v>80</v>
      </c>
      <c r="H613" s="1" t="n">
        <v>1448555</v>
      </c>
      <c r="I613" s="1" t="n">
        <v>6</v>
      </c>
      <c r="J613" s="1" t="s">
        <v>2127</v>
      </c>
      <c r="K613" s="63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2129</v>
      </c>
      <c r="D614" s="1" t="s">
        <v>2254</v>
      </c>
      <c r="E614" s="16" t="n">
        <v>46228</v>
      </c>
      <c r="F614" s="16" t="n">
        <v>46205</v>
      </c>
      <c r="G614" s="1" t="s">
        <v>1254</v>
      </c>
      <c r="H614" s="1" t="n">
        <v>1448727</v>
      </c>
      <c r="I614" s="1" t="n">
        <v>39</v>
      </c>
      <c r="J614" s="1" t="s">
        <v>2127</v>
      </c>
      <c r="K614" s="63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2129</v>
      </c>
      <c r="D615" s="1" t="s">
        <v>2255</v>
      </c>
      <c r="E615" s="16" t="n">
        <v>46228</v>
      </c>
      <c r="F615" s="16" t="n">
        <v>46227</v>
      </c>
      <c r="G615" s="1" t="s">
        <v>1707</v>
      </c>
      <c r="H615" s="1" t="n">
        <v>1448714</v>
      </c>
      <c r="I615" s="1" t="n">
        <v>39</v>
      </c>
      <c r="J615" s="1" t="s">
        <v>2127</v>
      </c>
      <c r="K615" s="63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2129</v>
      </c>
      <c r="D616" s="1" t="s">
        <v>2146</v>
      </c>
      <c r="E616" s="16" t="n">
        <v>46228</v>
      </c>
      <c r="F616" s="16" t="n">
        <v>46227</v>
      </c>
      <c r="G616" s="1" t="s">
        <v>120</v>
      </c>
      <c r="H616" s="1" t="n">
        <v>1448709</v>
      </c>
      <c r="I616" s="1" t="n">
        <v>11</v>
      </c>
      <c r="J616" s="1" t="s">
        <v>2127</v>
      </c>
      <c r="K616" s="63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2129</v>
      </c>
      <c r="D617" s="1" t="s">
        <v>2214</v>
      </c>
      <c r="E617" s="16" t="n">
        <v>46230</v>
      </c>
      <c r="F617" s="16" t="n">
        <v>46228</v>
      </c>
      <c r="G617" s="1" t="s">
        <v>320</v>
      </c>
      <c r="H617" s="1" t="n">
        <v>1463460</v>
      </c>
      <c r="I617" s="1" t="n">
        <v>11</v>
      </c>
      <c r="J617" s="1" t="s">
        <v>2127</v>
      </c>
      <c r="K617" s="63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2129</v>
      </c>
      <c r="D618" s="1" t="s">
        <v>2130</v>
      </c>
      <c r="E618" s="16" t="n">
        <v>46230</v>
      </c>
      <c r="F618" s="16" t="n">
        <v>46230</v>
      </c>
      <c r="G618" s="1" t="s">
        <v>80</v>
      </c>
      <c r="H618" s="1" t="n">
        <v>1458828</v>
      </c>
      <c r="I618" s="1" t="n">
        <v>6</v>
      </c>
      <c r="J618" s="1" t="s">
        <v>2127</v>
      </c>
      <c r="K618" s="63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2182</v>
      </c>
      <c r="D619" s="1" t="s">
        <v>2215</v>
      </c>
      <c r="E619" s="16" t="n">
        <v>46230</v>
      </c>
      <c r="F619" s="16" t="n">
        <v>46228</v>
      </c>
      <c r="G619" s="1" t="s">
        <v>2216</v>
      </c>
      <c r="H619" s="1" t="n">
        <v>1458307</v>
      </c>
      <c r="I619" s="1" t="n">
        <v>11</v>
      </c>
      <c r="J619" s="1" t="s">
        <v>2127</v>
      </c>
      <c r="K619" s="63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2129</v>
      </c>
      <c r="D620" s="1" t="s">
        <v>2165</v>
      </c>
      <c r="E620" s="16" t="n">
        <v>46231</v>
      </c>
      <c r="F620" s="16" t="n">
        <v>46227</v>
      </c>
      <c r="G620" s="1" t="s">
        <v>135</v>
      </c>
      <c r="H620" s="1" t="n">
        <v>1463684</v>
      </c>
      <c r="I620" s="1" t="n">
        <v>11</v>
      </c>
      <c r="J620" s="1" t="s">
        <v>2127</v>
      </c>
      <c r="K620" s="63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2129</v>
      </c>
      <c r="D621" s="1" t="s">
        <v>2165</v>
      </c>
      <c r="E621" s="16" t="n">
        <v>46231</v>
      </c>
      <c r="F621" s="16" t="n">
        <v>46230</v>
      </c>
      <c r="G621" s="1" t="s">
        <v>135</v>
      </c>
      <c r="H621" s="1" t="n">
        <v>1464672</v>
      </c>
      <c r="I621" s="1" t="n">
        <v>11</v>
      </c>
      <c r="J621" s="1" t="s">
        <v>2127</v>
      </c>
      <c r="K621" s="63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2129</v>
      </c>
      <c r="D622" s="1" t="s">
        <v>2136</v>
      </c>
      <c r="E622" s="16" t="n">
        <v>46231</v>
      </c>
      <c r="F622" s="16" t="n">
        <v>46230</v>
      </c>
      <c r="G622" s="1" t="s">
        <v>76</v>
      </c>
      <c r="H622" s="1" t="n">
        <v>1463531</v>
      </c>
      <c r="I622" s="1" t="n">
        <v>11</v>
      </c>
      <c r="J622" s="1" t="s">
        <v>2127</v>
      </c>
      <c r="K622" s="63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2129</v>
      </c>
      <c r="D623" s="1" t="s">
        <v>2152</v>
      </c>
      <c r="E623" s="16" t="n">
        <v>46231</v>
      </c>
      <c r="F623" s="16" t="n">
        <v>46228</v>
      </c>
      <c r="G623" s="1" t="s">
        <v>41</v>
      </c>
      <c r="H623" s="1" t="n">
        <v>1465307</v>
      </c>
      <c r="I623" s="1" t="n">
        <v>11</v>
      </c>
      <c r="J623" s="1" t="s">
        <v>2127</v>
      </c>
      <c r="K623" s="63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2129</v>
      </c>
      <c r="D624" s="1" t="s">
        <v>2152</v>
      </c>
      <c r="E624" s="16" t="n">
        <v>46231</v>
      </c>
      <c r="F624" s="16" t="n">
        <v>46228</v>
      </c>
      <c r="G624" s="1" t="s">
        <v>41</v>
      </c>
      <c r="H624" s="1" t="n">
        <v>1463575</v>
      </c>
      <c r="I624" s="1" t="n">
        <v>11</v>
      </c>
      <c r="J624" s="1" t="s">
        <v>2127</v>
      </c>
      <c r="K624" s="63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2129</v>
      </c>
      <c r="D625" s="1" t="s">
        <v>2256</v>
      </c>
      <c r="E625" s="16" t="n">
        <v>46231</v>
      </c>
      <c r="F625" s="16" t="n">
        <v>46229</v>
      </c>
      <c r="G625" s="1" t="s">
        <v>497</v>
      </c>
      <c r="H625" s="1" t="n">
        <v>1463584</v>
      </c>
      <c r="I625" s="1" t="n">
        <v>11</v>
      </c>
      <c r="J625" s="1" t="s">
        <v>2127</v>
      </c>
      <c r="K625" s="63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2129</v>
      </c>
      <c r="D626" s="1" t="s">
        <v>2253</v>
      </c>
      <c r="E626" s="16" t="n">
        <v>46231</v>
      </c>
      <c r="F626" s="16" t="n">
        <v>46231</v>
      </c>
      <c r="G626" s="1" t="s">
        <v>1232</v>
      </c>
      <c r="H626" s="1" t="n">
        <v>1465420</v>
      </c>
      <c r="I626" s="1" t="n">
        <v>11</v>
      </c>
      <c r="J626" s="1" t="s">
        <v>2127</v>
      </c>
      <c r="K626" s="63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2129</v>
      </c>
      <c r="D627" s="1" t="s">
        <v>2130</v>
      </c>
      <c r="E627" s="16" t="n">
        <v>46231</v>
      </c>
      <c r="F627" s="16" t="n">
        <v>46231</v>
      </c>
      <c r="G627" s="1" t="s">
        <v>80</v>
      </c>
      <c r="H627" s="1" t="n">
        <v>1464707</v>
      </c>
      <c r="I627" s="1" t="n">
        <v>6</v>
      </c>
      <c r="J627" s="1" t="s">
        <v>2127</v>
      </c>
      <c r="K627" s="63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2129</v>
      </c>
      <c r="D628" s="1" t="s">
        <v>2130</v>
      </c>
      <c r="E628" s="16" t="n">
        <v>46231</v>
      </c>
      <c r="F628" s="16" t="n">
        <v>46231</v>
      </c>
      <c r="G628" s="1" t="s">
        <v>80</v>
      </c>
      <c r="H628" s="1" t="n">
        <v>1464750</v>
      </c>
      <c r="I628" s="1" t="n">
        <v>6</v>
      </c>
      <c r="J628" s="1" t="s">
        <v>2127</v>
      </c>
      <c r="K628" s="63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2129</v>
      </c>
      <c r="D629" s="1" t="s">
        <v>2130</v>
      </c>
      <c r="E629" s="16" t="n">
        <v>46231</v>
      </c>
      <c r="F629" s="16" t="n">
        <v>46231</v>
      </c>
      <c r="G629" s="1" t="s">
        <v>80</v>
      </c>
      <c r="H629" s="1" t="n">
        <v>1465112</v>
      </c>
      <c r="I629" s="1" t="n">
        <v>6</v>
      </c>
      <c r="J629" s="1" t="s">
        <v>2127</v>
      </c>
      <c r="K629" s="63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2134</v>
      </c>
      <c r="D630" s="1" t="s">
        <v>2205</v>
      </c>
      <c r="E630" s="16" t="n">
        <v>46232</v>
      </c>
      <c r="F630" s="16" t="n">
        <v>46230</v>
      </c>
      <c r="G630" s="1" t="s">
        <v>809</v>
      </c>
      <c r="H630" s="1" t="n">
        <v>1468123</v>
      </c>
      <c r="I630" s="1" t="n">
        <v>11</v>
      </c>
      <c r="J630" s="1" t="s">
        <v>2127</v>
      </c>
      <c r="K630" s="63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2182</v>
      </c>
      <c r="D631" s="1" t="s">
        <v>2199</v>
      </c>
      <c r="E631" s="16" t="n">
        <v>46232</v>
      </c>
      <c r="F631" s="16" t="n">
        <v>46232</v>
      </c>
      <c r="G631" s="1" t="s">
        <v>269</v>
      </c>
      <c r="H631" s="1" t="n">
        <v>1470000</v>
      </c>
      <c r="I631" s="1" t="n">
        <v>11</v>
      </c>
      <c r="J631" s="1" t="s">
        <v>2127</v>
      </c>
      <c r="K631" s="63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2134</v>
      </c>
      <c r="D632" s="1" t="s">
        <v>2257</v>
      </c>
      <c r="E632" s="16" t="n">
        <v>46232</v>
      </c>
      <c r="F632" s="16" t="n">
        <v>46229</v>
      </c>
      <c r="G632" s="1" t="s">
        <v>1368</v>
      </c>
      <c r="H632" s="1" t="n">
        <v>1468668</v>
      </c>
      <c r="I632" s="1" t="n">
        <v>11</v>
      </c>
      <c r="J632" s="1" t="s">
        <v>2127</v>
      </c>
      <c r="K632" s="63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2129</v>
      </c>
      <c r="D633" s="1" t="s">
        <v>2144</v>
      </c>
      <c r="E633" s="16" t="n">
        <v>46232</v>
      </c>
      <c r="F633" s="16" t="n">
        <v>46231</v>
      </c>
      <c r="G633" s="1" t="s">
        <v>170</v>
      </c>
      <c r="H633" s="1" t="n">
        <v>1468639</v>
      </c>
      <c r="I633" s="1" t="n">
        <v>11</v>
      </c>
      <c r="J633" s="1" t="s">
        <v>2127</v>
      </c>
      <c r="K633" s="63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2129</v>
      </c>
      <c r="D634" s="1" t="s">
        <v>2144</v>
      </c>
      <c r="E634" s="16" t="n">
        <v>46232</v>
      </c>
      <c r="F634" s="16" t="n">
        <v>46232</v>
      </c>
      <c r="G634" s="1" t="s">
        <v>170</v>
      </c>
      <c r="H634" s="1" t="n">
        <v>1469527</v>
      </c>
      <c r="I634" s="1" t="n">
        <v>11</v>
      </c>
      <c r="J634" s="1" t="s">
        <v>2127</v>
      </c>
      <c r="K634" s="63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2129</v>
      </c>
      <c r="D635" s="1" t="s">
        <v>2130</v>
      </c>
      <c r="E635" s="16" t="n">
        <v>46232</v>
      </c>
      <c r="F635" s="16" t="n">
        <v>46232</v>
      </c>
      <c r="G635" s="1" t="s">
        <v>80</v>
      </c>
      <c r="H635" s="1" t="n">
        <v>1468153</v>
      </c>
      <c r="I635" s="1" t="n">
        <v>6</v>
      </c>
      <c r="J635" s="1" t="s">
        <v>2127</v>
      </c>
      <c r="K635" s="63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2129</v>
      </c>
      <c r="D636" s="1" t="s">
        <v>2219</v>
      </c>
      <c r="E636" s="16" t="n">
        <v>46233</v>
      </c>
      <c r="F636" s="16" t="n">
        <v>46232</v>
      </c>
      <c r="G636" s="1" t="s">
        <v>654</v>
      </c>
      <c r="H636" s="1" t="n">
        <v>1473290</v>
      </c>
      <c r="I636" s="1" t="n">
        <v>11</v>
      </c>
      <c r="J636" s="1" t="s">
        <v>2127</v>
      </c>
      <c r="K636" s="63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2134</v>
      </c>
      <c r="D637" s="1" t="s">
        <v>2150</v>
      </c>
      <c r="E637" s="16" t="n">
        <v>46233</v>
      </c>
      <c r="F637" s="16" t="n">
        <v>46231</v>
      </c>
      <c r="G637" s="1" t="s">
        <v>179</v>
      </c>
      <c r="H637" s="1" t="n">
        <v>1472869</v>
      </c>
      <c r="I637" s="1" t="n">
        <v>11</v>
      </c>
      <c r="J637" s="1" t="s">
        <v>2127</v>
      </c>
      <c r="K637" s="63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2129</v>
      </c>
      <c r="D638" s="1" t="s">
        <v>2151</v>
      </c>
      <c r="E638" s="16" t="n">
        <v>46233</v>
      </c>
      <c r="F638" s="16" t="n">
        <v>46232</v>
      </c>
      <c r="G638" s="1" t="s">
        <v>274</v>
      </c>
      <c r="H638" s="1" t="n">
        <v>1472954</v>
      </c>
      <c r="I638" s="1" t="n">
        <v>11</v>
      </c>
      <c r="J638" s="1" t="s">
        <v>2127</v>
      </c>
      <c r="K638" s="63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2129</v>
      </c>
      <c r="D639" s="1" t="s">
        <v>2136</v>
      </c>
      <c r="E639" s="16" t="n">
        <v>46233</v>
      </c>
      <c r="F639" s="16" t="n">
        <v>46231</v>
      </c>
      <c r="G639" s="1" t="s">
        <v>76</v>
      </c>
      <c r="H639" s="1" t="n">
        <v>1473945</v>
      </c>
      <c r="I639" s="1" t="n">
        <v>11</v>
      </c>
      <c r="J639" s="1" t="s">
        <v>2127</v>
      </c>
      <c r="K639" s="63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2129</v>
      </c>
      <c r="D640" s="1" t="s">
        <v>2137</v>
      </c>
      <c r="E640" s="16" t="n">
        <v>46233</v>
      </c>
      <c r="F640" s="16" t="n">
        <v>46231</v>
      </c>
      <c r="G640" s="1" t="s">
        <v>408</v>
      </c>
      <c r="H640" s="1" t="n">
        <v>1473829</v>
      </c>
      <c r="I640" s="1" t="n">
        <v>11</v>
      </c>
      <c r="J640" s="1" t="s">
        <v>2127</v>
      </c>
      <c r="K640" s="63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2129</v>
      </c>
      <c r="D641" s="1" t="s">
        <v>2189</v>
      </c>
      <c r="E641" s="16" t="n">
        <v>46233</v>
      </c>
      <c r="F641" s="16" t="n">
        <v>46232</v>
      </c>
      <c r="G641" s="1" t="s">
        <v>152</v>
      </c>
      <c r="H641" s="1" t="n">
        <v>1473099</v>
      </c>
      <c r="I641" s="1" t="n">
        <v>39</v>
      </c>
      <c r="J641" s="1" t="s">
        <v>2127</v>
      </c>
      <c r="K641" s="63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2138</v>
      </c>
      <c r="D642" s="1" t="s">
        <v>2167</v>
      </c>
      <c r="E642" s="16" t="n">
        <v>46233</v>
      </c>
      <c r="F642" s="16" t="n">
        <v>46233</v>
      </c>
      <c r="G642" s="1" t="s">
        <v>351</v>
      </c>
      <c r="H642" s="1" t="n">
        <v>1474210</v>
      </c>
      <c r="I642" s="1" t="n">
        <v>11</v>
      </c>
      <c r="J642" s="1" t="s">
        <v>2127</v>
      </c>
      <c r="K642" s="63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2129</v>
      </c>
      <c r="D643" s="1" t="s">
        <v>2167</v>
      </c>
      <c r="E643" s="16" t="n">
        <v>46233</v>
      </c>
      <c r="F643" s="16" t="n">
        <v>46233</v>
      </c>
      <c r="G643" s="1" t="s">
        <v>351</v>
      </c>
      <c r="H643" s="1" t="n">
        <v>1474202</v>
      </c>
      <c r="I643" s="1" t="n">
        <v>11</v>
      </c>
      <c r="J643" s="1" t="s">
        <v>2127</v>
      </c>
      <c r="K643" s="63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2129</v>
      </c>
      <c r="D644" s="1" t="s">
        <v>2211</v>
      </c>
      <c r="E644" s="16" t="n">
        <v>46233</v>
      </c>
      <c r="F644" s="16" t="n">
        <v>46232</v>
      </c>
      <c r="G644" s="1" t="s">
        <v>937</v>
      </c>
      <c r="H644" s="1" t="n">
        <v>1472897</v>
      </c>
      <c r="I644" s="1" t="n">
        <v>11</v>
      </c>
      <c r="J644" s="1" t="s">
        <v>2127</v>
      </c>
      <c r="K644" s="63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2129</v>
      </c>
      <c r="D645" s="1" t="s">
        <v>2258</v>
      </c>
      <c r="E645" s="16" t="n">
        <v>46233</v>
      </c>
      <c r="F645" s="16" t="n">
        <v>46231</v>
      </c>
      <c r="G645" s="1" t="s">
        <v>1563</v>
      </c>
      <c r="H645" s="1" t="n">
        <v>1473107</v>
      </c>
      <c r="I645" s="1" t="n">
        <v>39</v>
      </c>
      <c r="J645" s="1" t="s">
        <v>2127</v>
      </c>
      <c r="K645" s="63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2129</v>
      </c>
      <c r="D646" s="1" t="s">
        <v>2143</v>
      </c>
      <c r="E646" s="16" t="n">
        <v>46233</v>
      </c>
      <c r="F646" s="16" t="n">
        <v>46231</v>
      </c>
      <c r="G646" s="1" t="s">
        <v>67</v>
      </c>
      <c r="H646" s="1" t="n">
        <v>1472944</v>
      </c>
      <c r="I646" s="1" t="n">
        <v>11</v>
      </c>
      <c r="J646" s="1" t="s">
        <v>2127</v>
      </c>
      <c r="K646" s="63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2129</v>
      </c>
      <c r="D647" s="1" t="s">
        <v>2214</v>
      </c>
      <c r="E647" s="16" t="n">
        <v>46233</v>
      </c>
      <c r="F647" s="16" t="n">
        <v>46233</v>
      </c>
      <c r="G647" s="1" t="s">
        <v>320</v>
      </c>
      <c r="H647" s="1" t="n">
        <v>1474012</v>
      </c>
      <c r="I647" s="1" t="n">
        <v>11</v>
      </c>
      <c r="J647" s="1" t="s">
        <v>2127</v>
      </c>
      <c r="K647" s="63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2129</v>
      </c>
      <c r="D648" s="1" t="s">
        <v>2130</v>
      </c>
      <c r="E648" s="16" t="n">
        <v>46233</v>
      </c>
      <c r="F648" s="16" t="n">
        <v>46233</v>
      </c>
      <c r="G648" s="1" t="s">
        <v>80</v>
      </c>
      <c r="H648" s="1" t="n">
        <v>1473118</v>
      </c>
      <c r="I648" s="1" t="n">
        <v>6</v>
      </c>
      <c r="J648" s="1" t="s">
        <v>2127</v>
      </c>
      <c r="K648" s="63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2129</v>
      </c>
      <c r="D649" s="1" t="s">
        <v>2130</v>
      </c>
      <c r="E649" s="16" t="n">
        <v>46233</v>
      </c>
      <c r="F649" s="16" t="n">
        <v>46233</v>
      </c>
      <c r="G649" s="1" t="s">
        <v>80</v>
      </c>
      <c r="H649" s="1" t="n">
        <v>1473140</v>
      </c>
      <c r="I649" s="1" t="n">
        <v>6</v>
      </c>
      <c r="J649" s="1" t="s">
        <v>2127</v>
      </c>
      <c r="K649" s="63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2129</v>
      </c>
      <c r="D650" s="1" t="s">
        <v>2130</v>
      </c>
      <c r="E650" s="16" t="n">
        <v>46233</v>
      </c>
      <c r="F650" s="16" t="n">
        <v>46233</v>
      </c>
      <c r="G650" s="1" t="s">
        <v>80</v>
      </c>
      <c r="H650" s="1" t="n">
        <v>1473157</v>
      </c>
      <c r="I650" s="1" t="n">
        <v>6</v>
      </c>
      <c r="J650" s="1" t="s">
        <v>2127</v>
      </c>
      <c r="K650" s="63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2138</v>
      </c>
      <c r="D651" s="1" t="s">
        <v>2202</v>
      </c>
      <c r="E651" s="16" t="n">
        <v>46233</v>
      </c>
      <c r="F651" s="16" t="n">
        <v>46231</v>
      </c>
      <c r="G651" s="1" t="s">
        <v>266</v>
      </c>
      <c r="H651" s="1" t="n">
        <v>1473017</v>
      </c>
      <c r="I651" s="1" t="n">
        <v>11</v>
      </c>
      <c r="J651" s="1" t="s">
        <v>2127</v>
      </c>
      <c r="K651" s="63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2129</v>
      </c>
      <c r="D652" s="1" t="s">
        <v>2146</v>
      </c>
      <c r="E652" s="16" t="n">
        <v>46233</v>
      </c>
      <c r="F652" s="16" t="n">
        <v>46231</v>
      </c>
      <c r="G652" s="1" t="s">
        <v>120</v>
      </c>
      <c r="H652" s="1" t="n">
        <v>1472860</v>
      </c>
      <c r="I652" s="1" t="n">
        <v>11</v>
      </c>
      <c r="J652" s="1" t="s">
        <v>2127</v>
      </c>
      <c r="K652" s="63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2129</v>
      </c>
      <c r="D653" s="1" t="s">
        <v>2147</v>
      </c>
      <c r="E653" s="16" t="n">
        <v>46233</v>
      </c>
      <c r="F653" s="16" t="n">
        <v>46226</v>
      </c>
      <c r="G653" s="1" t="s">
        <v>125</v>
      </c>
      <c r="H653" s="1" t="n">
        <v>1473301</v>
      </c>
      <c r="I653" s="1" t="n">
        <v>11</v>
      </c>
      <c r="J653" s="1" t="s">
        <v>2127</v>
      </c>
      <c r="K653" s="63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2129</v>
      </c>
      <c r="D654" s="1" t="s">
        <v>2259</v>
      </c>
      <c r="E654" s="16" t="n">
        <v>46234</v>
      </c>
      <c r="F654" s="16" t="n">
        <v>46231</v>
      </c>
      <c r="G654" s="1" t="s">
        <v>630</v>
      </c>
      <c r="H654" s="1" t="n">
        <v>1482021</v>
      </c>
      <c r="I654" s="1" t="n">
        <v>11</v>
      </c>
      <c r="J654" s="1" t="s">
        <v>2127</v>
      </c>
      <c r="K654" s="63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2125</v>
      </c>
      <c r="D655" s="1" t="s">
        <v>2126</v>
      </c>
      <c r="E655" s="16" t="n">
        <v>46234</v>
      </c>
      <c r="F655" s="16" t="n">
        <v>46232</v>
      </c>
      <c r="G655" s="1" t="s">
        <v>122</v>
      </c>
      <c r="H655" s="1" t="n">
        <v>1478146</v>
      </c>
      <c r="I655" s="1" t="n">
        <v>11</v>
      </c>
      <c r="J655" s="1" t="s">
        <v>2127</v>
      </c>
      <c r="K655" s="63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2128</v>
      </c>
      <c r="D656" s="1" t="s">
        <v>2126</v>
      </c>
      <c r="E656" s="16" t="n">
        <v>46234</v>
      </c>
      <c r="F656" s="16" t="n">
        <v>46232</v>
      </c>
      <c r="G656" s="1" t="s">
        <v>122</v>
      </c>
      <c r="H656" s="1" t="n">
        <v>1478126</v>
      </c>
      <c r="I656" s="1" t="n">
        <v>11</v>
      </c>
      <c r="J656" s="1" t="s">
        <v>2127</v>
      </c>
      <c r="K656" s="63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2129</v>
      </c>
      <c r="D657" s="1" t="s">
        <v>2197</v>
      </c>
      <c r="E657" s="16" t="n">
        <v>46234</v>
      </c>
      <c r="F657" s="16" t="n">
        <v>46233</v>
      </c>
      <c r="G657" s="1" t="s">
        <v>177</v>
      </c>
      <c r="H657" s="1" t="n">
        <v>1478774</v>
      </c>
      <c r="I657" s="1" t="n">
        <v>11</v>
      </c>
      <c r="J657" s="1" t="s">
        <v>2127</v>
      </c>
      <c r="K657" s="63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2129</v>
      </c>
      <c r="D658" s="1" t="s">
        <v>2132</v>
      </c>
      <c r="E658" s="16" t="n">
        <v>46234</v>
      </c>
      <c r="F658" s="16" t="n">
        <v>46234</v>
      </c>
      <c r="G658" s="1" t="s">
        <v>130</v>
      </c>
      <c r="H658" s="1" t="n">
        <v>1492716</v>
      </c>
      <c r="I658" s="1" t="n">
        <v>11</v>
      </c>
      <c r="J658" s="1" t="s">
        <v>2127</v>
      </c>
      <c r="K658" s="63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2134</v>
      </c>
      <c r="D659" s="1" t="s">
        <v>2159</v>
      </c>
      <c r="E659" s="16" t="n">
        <v>46234</v>
      </c>
      <c r="F659" s="16" t="n">
        <v>46231</v>
      </c>
      <c r="G659" s="1" t="s">
        <v>541</v>
      </c>
      <c r="H659" s="1" t="n">
        <v>1477812</v>
      </c>
      <c r="I659" s="1" t="n">
        <v>39</v>
      </c>
      <c r="J659" s="1" t="s">
        <v>2127</v>
      </c>
      <c r="K659" s="63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2129</v>
      </c>
      <c r="D660" s="1" t="s">
        <v>2152</v>
      </c>
      <c r="E660" s="16" t="n">
        <v>46234</v>
      </c>
      <c r="F660" s="16" t="n">
        <v>46233</v>
      </c>
      <c r="G660" s="1" t="s">
        <v>41</v>
      </c>
      <c r="H660" s="1" t="n">
        <v>1482463</v>
      </c>
      <c r="I660" s="1" t="n">
        <v>11</v>
      </c>
      <c r="J660" s="1" t="s">
        <v>2127</v>
      </c>
      <c r="K660" s="63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2138</v>
      </c>
      <c r="D661" s="1" t="s">
        <v>2139</v>
      </c>
      <c r="E661" s="16" t="n">
        <v>46234</v>
      </c>
      <c r="F661" s="16" t="n">
        <v>46233</v>
      </c>
      <c r="G661" s="1" t="s">
        <v>339</v>
      </c>
      <c r="H661" s="1" t="n">
        <v>1478677</v>
      </c>
      <c r="I661" s="1" t="n">
        <v>11</v>
      </c>
      <c r="J661" s="1" t="s">
        <v>2127</v>
      </c>
      <c r="K661" s="63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2160</v>
      </c>
      <c r="D662" s="1" t="s">
        <v>2161</v>
      </c>
      <c r="E662" s="16" t="n">
        <v>46234</v>
      </c>
      <c r="F662" s="16" t="n">
        <v>46233</v>
      </c>
      <c r="G662" s="1" t="s">
        <v>218</v>
      </c>
      <c r="H662" s="1" t="n">
        <v>1477825</v>
      </c>
      <c r="I662" s="1" t="n">
        <v>11</v>
      </c>
      <c r="J662" s="1" t="s">
        <v>2127</v>
      </c>
      <c r="K662" s="63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2129</v>
      </c>
      <c r="D663" s="1" t="s">
        <v>2163</v>
      </c>
      <c r="E663" s="16" t="n">
        <v>46234</v>
      </c>
      <c r="F663" s="16" t="n">
        <v>46234</v>
      </c>
      <c r="G663" s="1" t="s">
        <v>410</v>
      </c>
      <c r="H663" s="1" t="n">
        <v>1478713</v>
      </c>
      <c r="I663" s="1" t="n">
        <v>11</v>
      </c>
      <c r="J663" s="1" t="s">
        <v>2127</v>
      </c>
      <c r="K663" s="63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2129</v>
      </c>
      <c r="D664" s="1" t="s">
        <v>2148</v>
      </c>
      <c r="E664" s="16" t="n">
        <v>46234</v>
      </c>
      <c r="F664" s="16" t="n">
        <v>46234</v>
      </c>
      <c r="G664" s="1" t="s">
        <v>227</v>
      </c>
      <c r="H664" s="1" t="n">
        <v>1481673</v>
      </c>
      <c r="I664" s="1" t="n">
        <v>1</v>
      </c>
      <c r="J664" s="1" t="s">
        <v>2127</v>
      </c>
      <c r="K664" s="63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2129</v>
      </c>
      <c r="D665" s="1" t="s">
        <v>2191</v>
      </c>
      <c r="E665" s="16" t="n">
        <v>46234</v>
      </c>
      <c r="F665" s="16" t="n">
        <v>46232</v>
      </c>
      <c r="G665" s="1" t="s">
        <v>60</v>
      </c>
      <c r="H665" s="1" t="n">
        <v>1477998</v>
      </c>
      <c r="I665" s="1" t="n">
        <v>11</v>
      </c>
      <c r="J665" s="1" t="s">
        <v>2127</v>
      </c>
      <c r="K665" s="63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2260</v>
      </c>
      <c r="D666" s="1" t="s">
        <v>2261</v>
      </c>
      <c r="E666" s="16" t="n">
        <v>46234</v>
      </c>
      <c r="F666" s="16" t="n">
        <v>46233</v>
      </c>
      <c r="G666" s="1" t="s">
        <v>159</v>
      </c>
      <c r="H666" s="1" t="n">
        <v>1477836</v>
      </c>
      <c r="I666" s="1" t="n">
        <v>39</v>
      </c>
      <c r="J666" s="1" t="s">
        <v>2127</v>
      </c>
      <c r="K666" s="63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2129</v>
      </c>
      <c r="D667" s="1" t="s">
        <v>2170</v>
      </c>
      <c r="E667" s="16" t="n">
        <v>46234</v>
      </c>
      <c r="F667" s="16" t="n">
        <v>46230</v>
      </c>
      <c r="G667" s="1" t="s">
        <v>373</v>
      </c>
      <c r="H667" s="1" t="n">
        <v>1477551</v>
      </c>
      <c r="I667" s="1" t="n">
        <v>11</v>
      </c>
      <c r="J667" s="1" t="s">
        <v>2127</v>
      </c>
      <c r="K667" s="63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2129</v>
      </c>
      <c r="D668" s="1" t="s">
        <v>2170</v>
      </c>
      <c r="E668" s="16" t="n">
        <v>46234</v>
      </c>
      <c r="F668" s="16" t="n">
        <v>46230</v>
      </c>
      <c r="G668" s="1" t="s">
        <v>373</v>
      </c>
      <c r="H668" s="1" t="n">
        <v>1478791</v>
      </c>
      <c r="I668" s="1" t="n">
        <v>11</v>
      </c>
      <c r="J668" s="1" t="s">
        <v>2127</v>
      </c>
      <c r="K668" s="63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2129</v>
      </c>
      <c r="D669" s="1" t="s">
        <v>2170</v>
      </c>
      <c r="E669" s="16" t="n">
        <v>46234</v>
      </c>
      <c r="F669" s="16" t="n">
        <v>46231</v>
      </c>
      <c r="G669" s="1" t="s">
        <v>373</v>
      </c>
      <c r="H669" s="1" t="n">
        <v>1477737</v>
      </c>
      <c r="I669" s="1" t="n">
        <v>11</v>
      </c>
      <c r="J669" s="1" t="s">
        <v>2127</v>
      </c>
      <c r="K669" s="63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2129</v>
      </c>
      <c r="D670" s="1" t="s">
        <v>2130</v>
      </c>
      <c r="E670" s="16" t="n">
        <v>46234</v>
      </c>
      <c r="F670" s="16" t="n">
        <v>46234</v>
      </c>
      <c r="G670" s="1" t="s">
        <v>80</v>
      </c>
      <c r="H670" s="1" t="n">
        <v>1478165</v>
      </c>
      <c r="I670" s="1" t="n">
        <v>6</v>
      </c>
      <c r="J670" s="1" t="s">
        <v>2127</v>
      </c>
      <c r="K670" s="63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2129</v>
      </c>
      <c r="D671" s="1" t="s">
        <v>2130</v>
      </c>
      <c r="E671" s="16" t="n">
        <v>46234</v>
      </c>
      <c r="F671" s="16" t="n">
        <v>46234</v>
      </c>
      <c r="G671" s="1" t="s">
        <v>80</v>
      </c>
      <c r="H671" s="1" t="n">
        <v>1478173</v>
      </c>
      <c r="I671" s="1" t="n">
        <v>6</v>
      </c>
      <c r="J671" s="1" t="s">
        <v>2127</v>
      </c>
      <c r="K671" s="63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2129</v>
      </c>
      <c r="D672" s="1" t="s">
        <v>2130</v>
      </c>
      <c r="E672" s="16" t="n">
        <v>46234</v>
      </c>
      <c r="F672" s="16" t="n">
        <v>46234</v>
      </c>
      <c r="G672" s="1" t="s">
        <v>80</v>
      </c>
      <c r="H672" s="1" t="n">
        <v>1478620</v>
      </c>
      <c r="I672" s="1" t="n">
        <v>6</v>
      </c>
      <c r="J672" s="1" t="s">
        <v>2127</v>
      </c>
      <c r="K672" s="63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2138</v>
      </c>
      <c r="D673" s="1" t="s">
        <v>2241</v>
      </c>
      <c r="E673" s="16" t="n">
        <v>46234</v>
      </c>
      <c r="F673" s="16" t="n">
        <v>46232</v>
      </c>
      <c r="G673" s="1" t="s">
        <v>335</v>
      </c>
      <c r="H673" s="1" t="n">
        <v>1477887</v>
      </c>
      <c r="I673" s="1" t="n">
        <v>11</v>
      </c>
      <c r="J673" s="1" t="s">
        <v>2127</v>
      </c>
      <c r="K673" s="63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2129</v>
      </c>
      <c r="D674" s="1" t="s">
        <v>2146</v>
      </c>
      <c r="E674" s="16" t="n">
        <v>46234</v>
      </c>
      <c r="F674" s="16" t="n">
        <v>46234</v>
      </c>
      <c r="G674" s="1" t="s">
        <v>120</v>
      </c>
      <c r="H674" s="1" t="n">
        <v>1481658</v>
      </c>
      <c r="I674" s="1" t="n">
        <v>11</v>
      </c>
      <c r="J674" s="1" t="s">
        <v>2127</v>
      </c>
      <c r="K674" s="63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2172</v>
      </c>
      <c r="D675" s="1" t="s">
        <v>2173</v>
      </c>
      <c r="E675" s="16" t="n">
        <v>46234</v>
      </c>
      <c r="F675" s="16" t="n">
        <v>46233</v>
      </c>
      <c r="G675" s="1" t="s">
        <v>212</v>
      </c>
      <c r="H675" s="1" t="n">
        <v>1495113</v>
      </c>
      <c r="I675" s="1" t="n">
        <v>11</v>
      </c>
      <c r="J675" s="1" t="s">
        <v>2127</v>
      </c>
      <c r="K675" s="63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2138</v>
      </c>
      <c r="D676" s="1" t="s">
        <v>2228</v>
      </c>
      <c r="E676" s="16" t="n">
        <v>46234</v>
      </c>
      <c r="F676" s="16" t="n">
        <v>46232</v>
      </c>
      <c r="G676" s="1" t="s">
        <v>174</v>
      </c>
      <c r="H676" s="1" t="n">
        <v>1478218</v>
      </c>
      <c r="I676" s="1" t="n">
        <v>11</v>
      </c>
      <c r="J676" s="1" t="s">
        <v>2127</v>
      </c>
      <c r="K676" s="63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2129</v>
      </c>
      <c r="D677" s="1" t="s">
        <v>2131</v>
      </c>
      <c r="E677" s="16" t="n">
        <v>46235</v>
      </c>
      <c r="F677" s="16" t="n">
        <v>46235</v>
      </c>
      <c r="G677" s="1" t="s">
        <v>112</v>
      </c>
      <c r="H677" s="1" t="n">
        <v>1492757</v>
      </c>
      <c r="I677" s="1" t="n">
        <v>1</v>
      </c>
      <c r="J677" s="1" t="s">
        <v>2127</v>
      </c>
      <c r="K677" s="63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2129</v>
      </c>
      <c r="D678" s="1" t="s">
        <v>2130</v>
      </c>
      <c r="E678" s="16" t="n">
        <v>46235</v>
      </c>
      <c r="F678" s="16" t="n">
        <v>46235</v>
      </c>
      <c r="G678" s="1" t="s">
        <v>80</v>
      </c>
      <c r="H678" s="1" t="n">
        <v>1482174</v>
      </c>
      <c r="I678" s="1" t="n">
        <v>6</v>
      </c>
      <c r="J678" s="1" t="s">
        <v>2127</v>
      </c>
      <c r="K678" s="63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2129</v>
      </c>
      <c r="D679" s="1" t="s">
        <v>2130</v>
      </c>
      <c r="E679" s="16" t="n">
        <v>46235</v>
      </c>
      <c r="F679" s="16" t="n">
        <v>46235</v>
      </c>
      <c r="G679" s="1" t="s">
        <v>80</v>
      </c>
      <c r="H679" s="1" t="n">
        <v>1482195</v>
      </c>
      <c r="I679" s="1" t="n">
        <v>6</v>
      </c>
      <c r="J679" s="1" t="s">
        <v>2127</v>
      </c>
      <c r="K679" s="63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2129</v>
      </c>
      <c r="D680" s="1" t="s">
        <v>2130</v>
      </c>
      <c r="E680" s="16" t="n">
        <v>46235</v>
      </c>
      <c r="F680" s="16" t="n">
        <v>46235</v>
      </c>
      <c r="G680" s="1" t="s">
        <v>80</v>
      </c>
      <c r="H680" s="1" t="n">
        <v>1482544</v>
      </c>
      <c r="I680" s="1" t="n">
        <v>6</v>
      </c>
      <c r="J680" s="1" t="s">
        <v>2127</v>
      </c>
      <c r="K680" s="63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2134</v>
      </c>
      <c r="D681" s="1" t="s">
        <v>2140</v>
      </c>
      <c r="E681" s="16" t="n">
        <v>46236</v>
      </c>
      <c r="F681" s="16" t="n">
        <v>46232</v>
      </c>
      <c r="G681" s="1" t="s">
        <v>183</v>
      </c>
      <c r="H681" s="1" t="n">
        <v>1493184</v>
      </c>
      <c r="I681" s="1" t="n">
        <v>1</v>
      </c>
      <c r="J681" s="1" t="s">
        <v>2127</v>
      </c>
      <c r="K681" s="63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2129</v>
      </c>
      <c r="D682" s="1" t="s">
        <v>2188</v>
      </c>
      <c r="E682" s="16" t="n">
        <v>46237</v>
      </c>
      <c r="F682" s="16" t="n">
        <v>46235</v>
      </c>
      <c r="G682" s="1" t="s">
        <v>278</v>
      </c>
      <c r="H682" s="1" t="n">
        <v>1493319</v>
      </c>
      <c r="I682" s="1" t="n">
        <v>11</v>
      </c>
      <c r="J682" s="1" t="s">
        <v>2127</v>
      </c>
      <c r="K682" s="63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2129</v>
      </c>
      <c r="D683" s="1" t="s">
        <v>2136</v>
      </c>
      <c r="E683" s="16" t="n">
        <v>46237</v>
      </c>
      <c r="F683" s="16" t="n">
        <v>46237</v>
      </c>
      <c r="G683" s="1" t="s">
        <v>76</v>
      </c>
      <c r="H683" s="1" t="n">
        <v>1493653</v>
      </c>
      <c r="I683" s="1" t="n">
        <v>11</v>
      </c>
      <c r="J683" s="1" t="s">
        <v>2127</v>
      </c>
      <c r="K683" s="63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2157</v>
      </c>
      <c r="D684" s="1" t="s">
        <v>2158</v>
      </c>
      <c r="E684" s="16" t="n">
        <v>46237</v>
      </c>
      <c r="F684" s="16" t="n">
        <v>46234</v>
      </c>
      <c r="G684" s="1" t="s">
        <v>306</v>
      </c>
      <c r="H684" s="1" t="n">
        <v>1495681</v>
      </c>
      <c r="I684" s="1" t="n">
        <v>11</v>
      </c>
      <c r="J684" s="1" t="s">
        <v>2127</v>
      </c>
      <c r="K684" s="63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2129</v>
      </c>
      <c r="D685" s="1" t="s">
        <v>2152</v>
      </c>
      <c r="E685" s="16" t="n">
        <v>46237</v>
      </c>
      <c r="F685" s="16" t="n">
        <v>46234</v>
      </c>
      <c r="G685" s="1" t="s">
        <v>41</v>
      </c>
      <c r="H685" s="1" t="n">
        <v>1495374</v>
      </c>
      <c r="I685" s="1" t="n">
        <v>11</v>
      </c>
      <c r="J685" s="1" t="s">
        <v>2127</v>
      </c>
      <c r="K685" s="63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2129</v>
      </c>
      <c r="D686" s="1" t="s">
        <v>2176</v>
      </c>
      <c r="E686" s="16" t="n">
        <v>46237</v>
      </c>
      <c r="F686" s="16" t="n">
        <v>46233</v>
      </c>
      <c r="G686" s="1" t="s">
        <v>49</v>
      </c>
      <c r="H686" s="1" t="n">
        <v>1495607</v>
      </c>
      <c r="I686" s="1" t="n">
        <v>11</v>
      </c>
      <c r="J686" s="1" t="s">
        <v>2127</v>
      </c>
      <c r="K686" s="63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2129</v>
      </c>
      <c r="D687" s="1" t="s">
        <v>2253</v>
      </c>
      <c r="E687" s="16" t="n">
        <v>46237</v>
      </c>
      <c r="F687" s="16" t="n">
        <v>46235</v>
      </c>
      <c r="G687" s="1" t="s">
        <v>1232</v>
      </c>
      <c r="H687" s="1" t="n">
        <v>1492848</v>
      </c>
      <c r="I687" s="1" t="n">
        <v>11</v>
      </c>
      <c r="J687" s="1" t="s">
        <v>2127</v>
      </c>
      <c r="K687" s="63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2129</v>
      </c>
      <c r="D688" s="1" t="s">
        <v>2214</v>
      </c>
      <c r="E688" s="16" t="n">
        <v>46237</v>
      </c>
      <c r="F688" s="16" t="n">
        <v>46235</v>
      </c>
      <c r="G688" s="1" t="s">
        <v>320</v>
      </c>
      <c r="H688" s="1" t="n">
        <v>1493583</v>
      </c>
      <c r="I688" s="1" t="n">
        <v>11</v>
      </c>
      <c r="J688" s="1" t="s">
        <v>2127</v>
      </c>
      <c r="K688" s="63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2129</v>
      </c>
      <c r="D689" s="1" t="s">
        <v>2130</v>
      </c>
      <c r="E689" s="16" t="n">
        <v>46237</v>
      </c>
      <c r="F689" s="16" t="n">
        <v>46237</v>
      </c>
      <c r="G689" s="1" t="s">
        <v>80</v>
      </c>
      <c r="H689" s="1" t="n">
        <v>1492729</v>
      </c>
      <c r="I689" s="1" t="n">
        <v>6</v>
      </c>
      <c r="J689" s="1" t="s">
        <v>2127</v>
      </c>
      <c r="K689" s="63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2129</v>
      </c>
      <c r="D690" s="1" t="s">
        <v>2130</v>
      </c>
      <c r="E690" s="16" t="n">
        <v>46237</v>
      </c>
      <c r="F690" s="16" t="n">
        <v>46237</v>
      </c>
      <c r="G690" s="1" t="s">
        <v>80</v>
      </c>
      <c r="H690" s="1" t="n">
        <v>1492790</v>
      </c>
      <c r="I690" s="1" t="n">
        <v>6</v>
      </c>
      <c r="J690" s="1" t="s">
        <v>2127</v>
      </c>
      <c r="K690" s="63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2129</v>
      </c>
      <c r="D691" s="1" t="s">
        <v>2130</v>
      </c>
      <c r="E691" s="16" t="n">
        <v>46237</v>
      </c>
      <c r="F691" s="16" t="n">
        <v>46237</v>
      </c>
      <c r="G691" s="1" t="s">
        <v>80</v>
      </c>
      <c r="H691" s="1" t="n">
        <v>1493149</v>
      </c>
      <c r="I691" s="1" t="n">
        <v>6</v>
      </c>
      <c r="J691" s="1" t="s">
        <v>2127</v>
      </c>
      <c r="K691" s="63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2262</v>
      </c>
      <c r="D692" s="1" t="s">
        <v>2263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2127</v>
      </c>
      <c r="K692" s="63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2138</v>
      </c>
      <c r="D693" s="1" t="s">
        <v>2213</v>
      </c>
      <c r="E693" s="16" t="n">
        <v>46238</v>
      </c>
      <c r="F693" s="16" t="n">
        <v>46238</v>
      </c>
      <c r="G693" s="1" t="s">
        <v>260</v>
      </c>
      <c r="H693" s="1" t="n">
        <v>1499585</v>
      </c>
      <c r="I693" s="1" t="n">
        <v>11</v>
      </c>
      <c r="J693" s="1" t="s">
        <v>2127</v>
      </c>
      <c r="K693" s="63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2129</v>
      </c>
      <c r="D694" s="1" t="s">
        <v>2132</v>
      </c>
      <c r="E694" s="16" t="n">
        <v>46238</v>
      </c>
      <c r="F694" s="16" t="n">
        <v>46238</v>
      </c>
      <c r="G694" s="1" t="s">
        <v>130</v>
      </c>
      <c r="H694" s="1" t="n">
        <v>1500502</v>
      </c>
      <c r="I694" s="1" t="n">
        <v>11</v>
      </c>
      <c r="J694" s="1" t="s">
        <v>2127</v>
      </c>
      <c r="K694" s="63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2129</v>
      </c>
      <c r="D695" s="1" t="s">
        <v>2170</v>
      </c>
      <c r="E695" s="16" t="n">
        <v>46238</v>
      </c>
      <c r="F695" s="16" t="n">
        <v>46233</v>
      </c>
      <c r="G695" s="1" t="s">
        <v>373</v>
      </c>
      <c r="H695" s="1" t="n">
        <v>1498762</v>
      </c>
      <c r="I695" s="1" t="n">
        <v>11</v>
      </c>
      <c r="J695" s="1" t="s">
        <v>2127</v>
      </c>
      <c r="K695" s="63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2129</v>
      </c>
      <c r="D696" s="1" t="s">
        <v>2130</v>
      </c>
      <c r="E696" s="16" t="n">
        <v>46238</v>
      </c>
      <c r="F696" s="16" t="n">
        <v>46238</v>
      </c>
      <c r="G696" s="1" t="s">
        <v>80</v>
      </c>
      <c r="H696" s="1" t="n">
        <v>1499322</v>
      </c>
      <c r="I696" s="1" t="n">
        <v>6</v>
      </c>
      <c r="J696" s="1" t="s">
        <v>2127</v>
      </c>
      <c r="K696" s="63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2129</v>
      </c>
      <c r="D697" s="1" t="s">
        <v>2130</v>
      </c>
      <c r="E697" s="16" t="n">
        <v>46238</v>
      </c>
      <c r="F697" s="16" t="n">
        <v>46238</v>
      </c>
      <c r="G697" s="1" t="s">
        <v>80</v>
      </c>
      <c r="H697" s="1" t="n">
        <v>1500139</v>
      </c>
      <c r="I697" s="1" t="n">
        <v>6</v>
      </c>
      <c r="J697" s="1" t="s">
        <v>2127</v>
      </c>
      <c r="K697" s="63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2129</v>
      </c>
      <c r="D698" s="1" t="s">
        <v>2130</v>
      </c>
      <c r="E698" s="16" t="n">
        <v>46238</v>
      </c>
      <c r="F698" s="16" t="n">
        <v>46238</v>
      </c>
      <c r="G698" s="1" t="s">
        <v>80</v>
      </c>
      <c r="H698" s="1" t="n">
        <v>1500491</v>
      </c>
      <c r="I698" s="1" t="n">
        <v>6</v>
      </c>
      <c r="J698" s="1" t="s">
        <v>2127</v>
      </c>
      <c r="K698" s="63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2138</v>
      </c>
      <c r="D699" s="1" t="s">
        <v>2145</v>
      </c>
      <c r="E699" s="16" t="n">
        <v>46238</v>
      </c>
      <c r="F699" s="16" t="n">
        <v>46237</v>
      </c>
      <c r="G699" s="1" t="s">
        <v>113</v>
      </c>
      <c r="H699" s="1" t="n">
        <v>1500474</v>
      </c>
      <c r="I699" s="1" t="n">
        <v>11</v>
      </c>
      <c r="J699" s="1" t="s">
        <v>2127</v>
      </c>
      <c r="K699" s="63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2129</v>
      </c>
      <c r="D700" s="1" t="s">
        <v>2264</v>
      </c>
      <c r="E700" s="16" t="n">
        <v>46238</v>
      </c>
      <c r="F700" s="16" t="n">
        <v>46237</v>
      </c>
      <c r="G700" s="1" t="s">
        <v>1613</v>
      </c>
      <c r="H700" s="1" t="n">
        <v>1500409</v>
      </c>
      <c r="I700" s="1" t="n">
        <v>11</v>
      </c>
      <c r="J700" s="1" t="s">
        <v>2127</v>
      </c>
      <c r="K700" s="63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2129</v>
      </c>
      <c r="D701" s="1" t="s">
        <v>2226</v>
      </c>
      <c r="E701" s="16" t="n">
        <v>46239</v>
      </c>
      <c r="F701" s="16" t="n">
        <v>46238</v>
      </c>
      <c r="G701" s="1" t="s">
        <v>167</v>
      </c>
      <c r="H701" s="1" t="n">
        <v>1503543</v>
      </c>
      <c r="I701" s="1" t="n">
        <v>11</v>
      </c>
      <c r="J701" s="1" t="s">
        <v>2127</v>
      </c>
      <c r="K701" s="63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2134</v>
      </c>
      <c r="D702" s="1" t="s">
        <v>2150</v>
      </c>
      <c r="E702" s="16" t="n">
        <v>46239</v>
      </c>
      <c r="F702" s="16" t="n">
        <v>46238</v>
      </c>
      <c r="G702" s="1" t="s">
        <v>179</v>
      </c>
      <c r="H702" s="1" t="n">
        <v>1504810</v>
      </c>
      <c r="I702" s="1" t="n">
        <v>11</v>
      </c>
      <c r="J702" s="1" t="s">
        <v>2127</v>
      </c>
      <c r="K702" s="63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2128</v>
      </c>
      <c r="D703" s="1" t="s">
        <v>2126</v>
      </c>
      <c r="E703" s="16" t="n">
        <v>46239</v>
      </c>
      <c r="F703" s="16" t="n">
        <v>46237</v>
      </c>
      <c r="G703" s="1" t="s">
        <v>122</v>
      </c>
      <c r="H703" s="1" t="n">
        <v>1504252</v>
      </c>
      <c r="I703" s="1" t="n">
        <v>11</v>
      </c>
      <c r="J703" s="1" t="s">
        <v>2127</v>
      </c>
      <c r="K703" s="63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2129</v>
      </c>
      <c r="D704" s="1" t="s">
        <v>2197</v>
      </c>
      <c r="E704" s="16" t="n">
        <v>46239</v>
      </c>
      <c r="F704" s="16" t="n">
        <v>46239</v>
      </c>
      <c r="G704" s="1" t="s">
        <v>177</v>
      </c>
      <c r="H704" s="1" t="n">
        <v>1504665</v>
      </c>
      <c r="I704" s="1" t="n">
        <v>11</v>
      </c>
      <c r="J704" s="1" t="s">
        <v>2127</v>
      </c>
      <c r="K704" s="63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2129</v>
      </c>
      <c r="D705" s="1" t="s">
        <v>2136</v>
      </c>
      <c r="E705" s="16" t="n">
        <v>46239</v>
      </c>
      <c r="F705" s="16" t="n">
        <v>46238</v>
      </c>
      <c r="G705" s="1" t="s">
        <v>76</v>
      </c>
      <c r="H705" s="1" t="n">
        <v>1503390</v>
      </c>
      <c r="I705" s="1" t="n">
        <v>11</v>
      </c>
      <c r="J705" s="1" t="s">
        <v>2127</v>
      </c>
      <c r="K705" s="63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2129</v>
      </c>
      <c r="D706" s="1" t="s">
        <v>2152</v>
      </c>
      <c r="E706" s="16" t="n">
        <v>46239</v>
      </c>
      <c r="F706" s="16" t="n">
        <v>46234</v>
      </c>
      <c r="G706" s="1" t="s">
        <v>41</v>
      </c>
      <c r="H706" s="1" t="n">
        <v>1504644</v>
      </c>
      <c r="I706" s="1" t="n">
        <v>11</v>
      </c>
      <c r="J706" s="1" t="s">
        <v>2127</v>
      </c>
      <c r="K706" s="63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2129</v>
      </c>
      <c r="D707" s="1" t="s">
        <v>2265</v>
      </c>
      <c r="E707" s="16" t="n">
        <v>46239</v>
      </c>
      <c r="F707" s="16" t="n">
        <v>46239</v>
      </c>
      <c r="G707" s="1" t="s">
        <v>1506</v>
      </c>
      <c r="H707" s="1" t="n">
        <v>1504783</v>
      </c>
      <c r="I707" s="1" t="n">
        <v>11</v>
      </c>
      <c r="J707" s="1" t="s">
        <v>2127</v>
      </c>
      <c r="K707" s="63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2129</v>
      </c>
      <c r="D708" s="1" t="s">
        <v>2266</v>
      </c>
      <c r="E708" s="16" t="n">
        <v>46239</v>
      </c>
      <c r="F708" s="16" t="n">
        <v>46237</v>
      </c>
      <c r="G708" s="1" t="s">
        <v>262</v>
      </c>
      <c r="H708" s="1" t="n">
        <v>1503445</v>
      </c>
      <c r="I708" s="1" t="n">
        <v>11</v>
      </c>
      <c r="J708" s="1" t="s">
        <v>2127</v>
      </c>
      <c r="K708" s="63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2129</v>
      </c>
      <c r="D709" s="1" t="s">
        <v>2253</v>
      </c>
      <c r="E709" s="16" t="n">
        <v>46239</v>
      </c>
      <c r="F709" s="16" t="n">
        <v>46238</v>
      </c>
      <c r="G709" s="1" t="s">
        <v>1232</v>
      </c>
      <c r="H709" s="1" t="n">
        <v>1503220</v>
      </c>
      <c r="I709" s="1" t="n">
        <v>11</v>
      </c>
      <c r="J709" s="1" t="s">
        <v>2127</v>
      </c>
      <c r="K709" s="63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2129</v>
      </c>
      <c r="D710" s="1" t="s">
        <v>2143</v>
      </c>
      <c r="E710" s="16" t="n">
        <v>46239</v>
      </c>
      <c r="F710" s="16" t="n">
        <v>46234</v>
      </c>
      <c r="G710" s="1" t="s">
        <v>67</v>
      </c>
      <c r="H710" s="1" t="n">
        <v>1504751</v>
      </c>
      <c r="I710" s="1" t="n">
        <v>11</v>
      </c>
      <c r="J710" s="1" t="s">
        <v>2127</v>
      </c>
      <c r="K710" s="63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2129</v>
      </c>
      <c r="D711" s="1" t="s">
        <v>2144</v>
      </c>
      <c r="E711" s="16" t="n">
        <v>46239</v>
      </c>
      <c r="F711" s="16" t="n">
        <v>46239</v>
      </c>
      <c r="G711" s="1" t="s">
        <v>170</v>
      </c>
      <c r="H711" s="1" t="n">
        <v>1504755</v>
      </c>
      <c r="I711" s="1" t="n">
        <v>11</v>
      </c>
      <c r="J711" s="1" t="s">
        <v>2127</v>
      </c>
      <c r="K711" s="63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2129</v>
      </c>
      <c r="D712" s="1" t="s">
        <v>2144</v>
      </c>
      <c r="E712" s="16" t="n">
        <v>46239</v>
      </c>
      <c r="F712" s="16" t="n">
        <v>46239</v>
      </c>
      <c r="G712" s="1" t="s">
        <v>170</v>
      </c>
      <c r="H712" s="1" t="n">
        <v>1504724</v>
      </c>
      <c r="I712" s="1" t="n">
        <v>11</v>
      </c>
      <c r="J712" s="1" t="s">
        <v>2127</v>
      </c>
      <c r="K712" s="63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2129</v>
      </c>
      <c r="D713" s="1" t="s">
        <v>2130</v>
      </c>
      <c r="E713" s="16" t="n">
        <v>46239</v>
      </c>
      <c r="F713" s="16" t="n">
        <v>46239</v>
      </c>
      <c r="G713" s="1" t="s">
        <v>80</v>
      </c>
      <c r="H713" s="1" t="n">
        <v>1503410</v>
      </c>
      <c r="I713" s="1" t="n">
        <v>6</v>
      </c>
      <c r="J713" s="1" t="s">
        <v>2127</v>
      </c>
      <c r="K713" s="63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2129</v>
      </c>
      <c r="D714" s="1" t="s">
        <v>2130</v>
      </c>
      <c r="E714" s="16" t="n">
        <v>46239</v>
      </c>
      <c r="F714" s="16" t="n">
        <v>46239</v>
      </c>
      <c r="G714" s="1" t="s">
        <v>80</v>
      </c>
      <c r="H714" s="1" t="n">
        <v>1504610</v>
      </c>
      <c r="I714" s="1" t="n">
        <v>6</v>
      </c>
      <c r="J714" s="1" t="s">
        <v>2127</v>
      </c>
      <c r="K714" s="63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2203</v>
      </c>
      <c r="D715" s="1" t="s">
        <v>2204</v>
      </c>
      <c r="E715" s="16" t="n">
        <v>46239</v>
      </c>
      <c r="F715" s="16" t="n">
        <v>46238</v>
      </c>
      <c r="G715" s="1" t="s">
        <v>161</v>
      </c>
      <c r="H715" s="1" t="n">
        <v>1504260</v>
      </c>
      <c r="I715" s="1" t="n">
        <v>11</v>
      </c>
      <c r="J715" s="1" t="s">
        <v>2127</v>
      </c>
      <c r="K715" s="63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2129</v>
      </c>
      <c r="D716" s="1" t="s">
        <v>2146</v>
      </c>
      <c r="E716" s="16" t="n">
        <v>46239</v>
      </c>
      <c r="F716" s="16" t="n">
        <v>46238</v>
      </c>
      <c r="G716" s="1" t="s">
        <v>120</v>
      </c>
      <c r="H716" s="1" t="n">
        <v>1503230</v>
      </c>
      <c r="I716" s="1" t="n">
        <v>11</v>
      </c>
      <c r="J716" s="1" t="s">
        <v>2127</v>
      </c>
      <c r="K716" s="63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2129</v>
      </c>
      <c r="D717" s="1" t="s">
        <v>2147</v>
      </c>
      <c r="E717" s="16" t="n">
        <v>46239</v>
      </c>
      <c r="F717" s="16" t="n">
        <v>46238</v>
      </c>
      <c r="G717" s="1" t="s">
        <v>125</v>
      </c>
      <c r="H717" s="1" t="n">
        <v>1504826</v>
      </c>
      <c r="I717" s="1" t="n">
        <v>11</v>
      </c>
      <c r="J717" s="1" t="s">
        <v>2127</v>
      </c>
      <c r="K717" s="63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2129</v>
      </c>
      <c r="D718" s="1" t="s">
        <v>2147</v>
      </c>
      <c r="E718" s="16" t="n">
        <v>46239</v>
      </c>
      <c r="F718" s="16" t="n">
        <v>46238</v>
      </c>
      <c r="G718" s="1" t="s">
        <v>125</v>
      </c>
      <c r="H718" s="1" t="n">
        <v>1504916</v>
      </c>
      <c r="I718" s="1" t="n">
        <v>11</v>
      </c>
      <c r="J718" s="1" t="s">
        <v>2127</v>
      </c>
      <c r="K718" s="63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2134</v>
      </c>
      <c r="D719" s="1" t="s">
        <v>2193</v>
      </c>
      <c r="E719" s="16" t="n">
        <v>46239</v>
      </c>
      <c r="F719" s="16" t="n">
        <v>46238</v>
      </c>
      <c r="G719" s="1" t="s">
        <v>592</v>
      </c>
      <c r="H719" s="1" t="n">
        <v>1504697</v>
      </c>
      <c r="I719" s="1" t="n">
        <v>11</v>
      </c>
      <c r="J719" s="1" t="s">
        <v>2127</v>
      </c>
      <c r="K719" s="63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2129</v>
      </c>
      <c r="D720" s="1" t="s">
        <v>2151</v>
      </c>
      <c r="E720" s="16" t="n">
        <v>46240</v>
      </c>
      <c r="F720" s="16" t="n">
        <v>46239</v>
      </c>
      <c r="G720" s="1" t="s">
        <v>274</v>
      </c>
      <c r="H720" s="1" t="n">
        <v>1509906</v>
      </c>
      <c r="I720" s="1" t="n">
        <v>11</v>
      </c>
      <c r="J720" s="1" t="s">
        <v>2127</v>
      </c>
      <c r="K720" s="63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2129</v>
      </c>
      <c r="D721" s="1" t="s">
        <v>2136</v>
      </c>
      <c r="E721" s="16" t="n">
        <v>46240</v>
      </c>
      <c r="F721" s="16" t="n">
        <v>46239</v>
      </c>
      <c r="G721" s="1" t="s">
        <v>76</v>
      </c>
      <c r="H721" s="1" t="n">
        <v>1507910</v>
      </c>
      <c r="I721" s="1" t="n">
        <v>11</v>
      </c>
      <c r="J721" s="1" t="s">
        <v>2127</v>
      </c>
      <c r="K721" s="63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2129</v>
      </c>
      <c r="D722" s="1" t="s">
        <v>2152</v>
      </c>
      <c r="E722" s="16" t="n">
        <v>46240</v>
      </c>
      <c r="F722" s="16" t="n">
        <v>46234</v>
      </c>
      <c r="G722" s="1" t="s">
        <v>41</v>
      </c>
      <c r="H722" s="1" t="n">
        <v>1509875</v>
      </c>
      <c r="I722" s="1" t="n">
        <v>11</v>
      </c>
      <c r="J722" s="1" t="s">
        <v>2127</v>
      </c>
      <c r="K722" s="63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2129</v>
      </c>
      <c r="D723" s="1" t="s">
        <v>2162</v>
      </c>
      <c r="E723" s="16" t="n">
        <v>46240</v>
      </c>
      <c r="F723" s="16" t="n">
        <v>46239</v>
      </c>
      <c r="G723" s="1" t="s">
        <v>264</v>
      </c>
      <c r="H723" s="1" t="n">
        <v>1509935</v>
      </c>
      <c r="I723" s="1" t="n">
        <v>11</v>
      </c>
      <c r="J723" s="1" t="s">
        <v>2127</v>
      </c>
      <c r="K723" s="63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2129</v>
      </c>
      <c r="D724" s="1" t="s">
        <v>2162</v>
      </c>
      <c r="E724" s="16" t="n">
        <v>46240</v>
      </c>
      <c r="F724" s="16" t="n">
        <v>46239</v>
      </c>
      <c r="G724" s="1" t="s">
        <v>264</v>
      </c>
      <c r="H724" s="1" t="n">
        <v>1508193</v>
      </c>
      <c r="I724" s="1" t="n">
        <v>11</v>
      </c>
      <c r="J724" s="1" t="s">
        <v>2127</v>
      </c>
      <c r="K724" s="63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2129</v>
      </c>
      <c r="D725" s="1" t="s">
        <v>2208</v>
      </c>
      <c r="E725" s="16" t="n">
        <v>46240</v>
      </c>
      <c r="F725" s="16" t="n">
        <v>46239</v>
      </c>
      <c r="G725" s="1" t="s">
        <v>807</v>
      </c>
      <c r="H725" s="1" t="n">
        <v>1509731</v>
      </c>
      <c r="I725" s="1" t="n">
        <v>11</v>
      </c>
      <c r="J725" s="1" t="s">
        <v>2127</v>
      </c>
      <c r="K725" s="63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2129</v>
      </c>
      <c r="D726" s="1" t="s">
        <v>2143</v>
      </c>
      <c r="E726" s="16" t="n">
        <v>46240</v>
      </c>
      <c r="F726" s="16" t="n">
        <v>46237</v>
      </c>
      <c r="G726" s="1" t="s">
        <v>67</v>
      </c>
      <c r="H726" s="1" t="n">
        <v>1507970</v>
      </c>
      <c r="I726" s="1" t="n">
        <v>11</v>
      </c>
      <c r="J726" s="1" t="s">
        <v>2127</v>
      </c>
      <c r="K726" s="63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2138</v>
      </c>
      <c r="D727" s="1" t="s">
        <v>2231</v>
      </c>
      <c r="E727" s="16" t="n">
        <v>46240</v>
      </c>
      <c r="F727" s="16" t="n">
        <v>46239</v>
      </c>
      <c r="G727" s="1" t="s">
        <v>165</v>
      </c>
      <c r="H727" s="1" t="n">
        <v>1509768</v>
      </c>
      <c r="I727" s="1" t="n">
        <v>11</v>
      </c>
      <c r="J727" s="1" t="s">
        <v>2127</v>
      </c>
      <c r="K727" s="63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2129</v>
      </c>
      <c r="D728" s="1" t="s">
        <v>2130</v>
      </c>
      <c r="E728" s="16" t="n">
        <v>46240</v>
      </c>
      <c r="F728" s="16" t="n">
        <v>46240</v>
      </c>
      <c r="G728" s="1" t="s">
        <v>80</v>
      </c>
      <c r="H728" s="1" t="n">
        <v>1507944</v>
      </c>
      <c r="I728" s="1" t="n">
        <v>6</v>
      </c>
      <c r="J728" s="1" t="s">
        <v>2127</v>
      </c>
      <c r="K728" s="63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2129</v>
      </c>
      <c r="D729" s="1" t="s">
        <v>2130</v>
      </c>
      <c r="E729" s="16" t="n">
        <v>46240</v>
      </c>
      <c r="F729" s="16" t="n">
        <v>46240</v>
      </c>
      <c r="G729" s="1" t="s">
        <v>80</v>
      </c>
      <c r="H729" s="1" t="n">
        <v>1509300</v>
      </c>
      <c r="I729" s="1" t="n">
        <v>6</v>
      </c>
      <c r="J729" s="1" t="s">
        <v>2127</v>
      </c>
      <c r="K729" s="63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2129</v>
      </c>
      <c r="D730" s="1" t="s">
        <v>2156</v>
      </c>
      <c r="E730" s="16" t="n">
        <v>46240</v>
      </c>
      <c r="F730" s="16" t="n">
        <v>46240</v>
      </c>
      <c r="G730" s="1" t="s">
        <v>198</v>
      </c>
      <c r="H730" s="1" t="n">
        <v>1509918</v>
      </c>
      <c r="I730" s="1" t="n">
        <v>11</v>
      </c>
      <c r="J730" s="1" t="s">
        <v>2127</v>
      </c>
      <c r="K730" s="63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2129</v>
      </c>
      <c r="D731" s="1" t="s">
        <v>2133</v>
      </c>
      <c r="E731" s="16" t="n">
        <v>46241</v>
      </c>
      <c r="F731" s="16" t="n">
        <v>46239</v>
      </c>
      <c r="G731" s="1" t="s">
        <v>251</v>
      </c>
      <c r="H731" s="1" t="n">
        <v>1512786</v>
      </c>
      <c r="I731" s="1" t="n">
        <v>11</v>
      </c>
      <c r="J731" s="1" t="s">
        <v>2127</v>
      </c>
      <c r="K731" s="63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2125</v>
      </c>
      <c r="D732" s="1" t="s">
        <v>2126</v>
      </c>
      <c r="E732" s="16" t="n">
        <v>46241</v>
      </c>
      <c r="F732" s="16" t="n">
        <v>46237</v>
      </c>
      <c r="G732" s="1" t="s">
        <v>122</v>
      </c>
      <c r="H732" s="1" t="n">
        <v>1513334</v>
      </c>
      <c r="I732" s="1" t="n">
        <v>11</v>
      </c>
      <c r="J732" s="1" t="s">
        <v>2127</v>
      </c>
      <c r="K732" s="63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2128</v>
      </c>
      <c r="D733" s="1" t="s">
        <v>2126</v>
      </c>
      <c r="E733" s="16" t="n">
        <v>46241</v>
      </c>
      <c r="F733" s="16" t="n">
        <v>46237</v>
      </c>
      <c r="G733" s="1" t="s">
        <v>122</v>
      </c>
      <c r="H733" s="1" t="n">
        <v>1513316</v>
      </c>
      <c r="I733" s="1" t="n">
        <v>11</v>
      </c>
      <c r="J733" s="1" t="s">
        <v>2127</v>
      </c>
      <c r="K733" s="63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2129</v>
      </c>
      <c r="D734" s="1" t="s">
        <v>2187</v>
      </c>
      <c r="E734" s="16" t="n">
        <v>46241</v>
      </c>
      <c r="F734" s="16" t="n">
        <v>46239</v>
      </c>
      <c r="G734" s="1" t="s">
        <v>155</v>
      </c>
      <c r="H734" s="1" t="n">
        <v>1513044</v>
      </c>
      <c r="I734" s="1" t="n">
        <v>11</v>
      </c>
      <c r="J734" s="1" t="s">
        <v>2127</v>
      </c>
      <c r="K734" s="63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2129</v>
      </c>
      <c r="D735" s="1" t="s">
        <v>2188</v>
      </c>
      <c r="E735" s="16" t="n">
        <v>46241</v>
      </c>
      <c r="F735" s="16" t="n">
        <v>46241</v>
      </c>
      <c r="G735" s="1" t="s">
        <v>278</v>
      </c>
      <c r="H735" s="1" t="n">
        <v>1513580</v>
      </c>
      <c r="I735" s="1" t="n">
        <v>11</v>
      </c>
      <c r="J735" s="1" t="s">
        <v>2127</v>
      </c>
      <c r="K735" s="63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2129</v>
      </c>
      <c r="D736" s="1" t="s">
        <v>2136</v>
      </c>
      <c r="E736" s="16" t="n">
        <v>46241</v>
      </c>
      <c r="F736" s="16" t="n">
        <v>46240</v>
      </c>
      <c r="G736" s="1" t="s">
        <v>76</v>
      </c>
      <c r="H736" s="1" t="n">
        <v>1513497</v>
      </c>
      <c r="I736" s="1" t="n">
        <v>11</v>
      </c>
      <c r="J736" s="1" t="s">
        <v>2127</v>
      </c>
      <c r="K736" s="63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2129</v>
      </c>
      <c r="D737" s="1" t="s">
        <v>2136</v>
      </c>
      <c r="E737" s="16" t="n">
        <v>46241</v>
      </c>
      <c r="F737" s="16" t="n">
        <v>46241</v>
      </c>
      <c r="G737" s="1" t="s">
        <v>76</v>
      </c>
      <c r="H737" s="1" t="n">
        <v>1514543</v>
      </c>
      <c r="I737" s="1" t="n">
        <v>11</v>
      </c>
      <c r="J737" s="1" t="s">
        <v>2127</v>
      </c>
      <c r="K737" s="63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2160</v>
      </c>
      <c r="D738" s="1" t="s">
        <v>2161</v>
      </c>
      <c r="E738" s="16" t="n">
        <v>46241</v>
      </c>
      <c r="F738" s="16" t="n">
        <v>46240</v>
      </c>
      <c r="G738" s="1" t="s">
        <v>218</v>
      </c>
      <c r="H738" s="1" t="n">
        <v>1512692</v>
      </c>
      <c r="I738" s="1" t="n">
        <v>11</v>
      </c>
      <c r="J738" s="1" t="s">
        <v>2127</v>
      </c>
      <c r="K738" s="63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2138</v>
      </c>
      <c r="D739" s="1" t="s">
        <v>2234</v>
      </c>
      <c r="E739" s="16" t="n">
        <v>46241</v>
      </c>
      <c r="F739" s="16" t="n">
        <v>46238</v>
      </c>
      <c r="G739" s="1" t="s">
        <v>1263</v>
      </c>
      <c r="H739" s="1" t="n">
        <v>1513402</v>
      </c>
      <c r="I739" s="1" t="n">
        <v>11</v>
      </c>
      <c r="J739" s="1" t="s">
        <v>2127</v>
      </c>
      <c r="K739" s="63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2129</v>
      </c>
      <c r="D740" s="1" t="s">
        <v>2148</v>
      </c>
      <c r="E740" s="16" t="n">
        <v>46241</v>
      </c>
      <c r="F740" s="16" t="n">
        <v>46241</v>
      </c>
      <c r="G740" s="1" t="s">
        <v>227</v>
      </c>
      <c r="H740" s="1" t="n">
        <v>1518028</v>
      </c>
      <c r="I740" s="1" t="n">
        <v>1</v>
      </c>
      <c r="J740" s="1" t="s">
        <v>2127</v>
      </c>
      <c r="K740" s="63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2129</v>
      </c>
      <c r="D741" s="1" t="s">
        <v>2191</v>
      </c>
      <c r="E741" s="16" t="n">
        <v>46241</v>
      </c>
      <c r="F741" s="16" t="n">
        <v>46239</v>
      </c>
      <c r="G741" s="1" t="s">
        <v>60</v>
      </c>
      <c r="H741" s="1" t="n">
        <v>1512636</v>
      </c>
      <c r="I741" s="1" t="n">
        <v>11</v>
      </c>
      <c r="J741" s="1" t="s">
        <v>2127</v>
      </c>
      <c r="K741" s="63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2129</v>
      </c>
      <c r="D742" s="1" t="s">
        <v>2130</v>
      </c>
      <c r="E742" s="16" t="n">
        <v>46241</v>
      </c>
      <c r="F742" s="16" t="n">
        <v>46241</v>
      </c>
      <c r="G742" s="1" t="s">
        <v>80</v>
      </c>
      <c r="H742" s="1" t="n">
        <v>1513176</v>
      </c>
      <c r="I742" s="1" t="n">
        <v>6</v>
      </c>
      <c r="J742" s="1" t="s">
        <v>2127</v>
      </c>
      <c r="K742" s="63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2129</v>
      </c>
      <c r="D743" s="1" t="s">
        <v>2130</v>
      </c>
      <c r="E743" s="16" t="n">
        <v>46241</v>
      </c>
      <c r="F743" s="16" t="n">
        <v>46241</v>
      </c>
      <c r="G743" s="1" t="s">
        <v>80</v>
      </c>
      <c r="H743" s="1" t="n">
        <v>1513572</v>
      </c>
      <c r="I743" s="1" t="n">
        <v>6</v>
      </c>
      <c r="J743" s="1" t="s">
        <v>2127</v>
      </c>
      <c r="K743" s="63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2129</v>
      </c>
      <c r="D744" s="1" t="s">
        <v>2130</v>
      </c>
      <c r="E744" s="16" t="n">
        <v>46241</v>
      </c>
      <c r="F744" s="16" t="n">
        <v>46241</v>
      </c>
      <c r="G744" s="1" t="s">
        <v>80</v>
      </c>
      <c r="H744" s="1" t="n">
        <v>1514452</v>
      </c>
      <c r="I744" s="1" t="n">
        <v>6</v>
      </c>
      <c r="J744" s="1" t="s">
        <v>2127</v>
      </c>
      <c r="K744" s="63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2134</v>
      </c>
      <c r="D745" s="1" t="s">
        <v>2198</v>
      </c>
      <c r="E745" s="16" t="n">
        <v>46241</v>
      </c>
      <c r="F745" s="16" t="n">
        <v>46240</v>
      </c>
      <c r="G745" s="1" t="s">
        <v>693</v>
      </c>
      <c r="H745" s="1" t="n">
        <v>1513585</v>
      </c>
      <c r="I745" s="1" t="n">
        <v>11</v>
      </c>
      <c r="J745" s="1" t="s">
        <v>2127</v>
      </c>
      <c r="K745" s="63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2129</v>
      </c>
      <c r="D746" s="1" t="s">
        <v>2131</v>
      </c>
      <c r="E746" s="16" t="n">
        <v>46242</v>
      </c>
      <c r="F746" s="16" t="n">
        <v>46242</v>
      </c>
      <c r="G746" s="1" t="s">
        <v>112</v>
      </c>
      <c r="H746" s="1" t="n">
        <v>1537157</v>
      </c>
      <c r="I746" s="1" t="n">
        <v>1</v>
      </c>
      <c r="J746" s="1" t="s">
        <v>2127</v>
      </c>
      <c r="K746" s="63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2129</v>
      </c>
      <c r="D747" s="1" t="s">
        <v>2267</v>
      </c>
      <c r="E747" s="16" t="n">
        <v>46242</v>
      </c>
      <c r="F747" s="16" t="n">
        <v>46234</v>
      </c>
      <c r="G747" s="1" t="s">
        <v>163</v>
      </c>
      <c r="H747" s="1" t="n">
        <v>1517566</v>
      </c>
      <c r="I747" s="1" t="n">
        <v>11</v>
      </c>
      <c r="J747" s="1" t="s">
        <v>2127</v>
      </c>
      <c r="K747" s="63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2129</v>
      </c>
      <c r="D748" s="1" t="s">
        <v>2130</v>
      </c>
      <c r="E748" s="16" t="n">
        <v>46242</v>
      </c>
      <c r="F748" s="16" t="n">
        <v>46242</v>
      </c>
      <c r="G748" s="1" t="s">
        <v>80</v>
      </c>
      <c r="H748" s="1" t="n">
        <v>1517825</v>
      </c>
      <c r="I748" s="1" t="n">
        <v>6</v>
      </c>
      <c r="J748" s="1" t="s">
        <v>2127</v>
      </c>
      <c r="K748" s="63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2129</v>
      </c>
      <c r="D749" s="1" t="s">
        <v>2130</v>
      </c>
      <c r="E749" s="16" t="n">
        <v>46242</v>
      </c>
      <c r="F749" s="16" t="n">
        <v>46242</v>
      </c>
      <c r="G749" s="1" t="s">
        <v>80</v>
      </c>
      <c r="H749" s="1" t="n">
        <v>1518069</v>
      </c>
      <c r="I749" s="1" t="n">
        <v>6</v>
      </c>
      <c r="J749" s="1" t="s">
        <v>2127</v>
      </c>
      <c r="K749" s="63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2129</v>
      </c>
      <c r="D750" s="1" t="s">
        <v>2130</v>
      </c>
      <c r="E750" s="16" t="n">
        <v>46242</v>
      </c>
      <c r="F750" s="16" t="n">
        <v>46242</v>
      </c>
      <c r="G750" s="1" t="s">
        <v>80</v>
      </c>
      <c r="H750" s="1" t="n">
        <v>1518495</v>
      </c>
      <c r="I750" s="1" t="n">
        <v>6</v>
      </c>
      <c r="J750" s="1" t="s">
        <v>2127</v>
      </c>
      <c r="K750" s="63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2129</v>
      </c>
      <c r="D751" s="1" t="s">
        <v>2146</v>
      </c>
      <c r="E751" s="16" t="n">
        <v>46242</v>
      </c>
      <c r="F751" s="16" t="n">
        <v>46241</v>
      </c>
      <c r="G751" s="1" t="s">
        <v>120</v>
      </c>
      <c r="H751" s="1" t="n">
        <v>1517746</v>
      </c>
      <c r="I751" s="1" t="n">
        <v>11</v>
      </c>
      <c r="J751" s="1" t="s">
        <v>2127</v>
      </c>
      <c r="K751" s="63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2129</v>
      </c>
      <c r="D752" s="1" t="s">
        <v>2165</v>
      </c>
      <c r="E752" s="16" t="n">
        <v>46244</v>
      </c>
      <c r="F752" s="16" t="n">
        <v>46241</v>
      </c>
      <c r="G752" s="1" t="s">
        <v>135</v>
      </c>
      <c r="H752" s="1" t="n">
        <v>1528925</v>
      </c>
      <c r="I752" s="1" t="n">
        <v>11</v>
      </c>
      <c r="J752" s="1" t="s">
        <v>2127</v>
      </c>
      <c r="K752" s="63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2129</v>
      </c>
      <c r="D753" s="1" t="s">
        <v>2136</v>
      </c>
      <c r="E753" s="16" t="n">
        <v>46244</v>
      </c>
      <c r="F753" s="16" t="n">
        <v>46244</v>
      </c>
      <c r="G753" s="1" t="s">
        <v>76</v>
      </c>
      <c r="H753" s="1" t="n">
        <v>1530224</v>
      </c>
      <c r="I753" s="1" t="n">
        <v>11</v>
      </c>
      <c r="J753" s="1" t="s">
        <v>2127</v>
      </c>
      <c r="K753" s="63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2129</v>
      </c>
      <c r="D754" s="1" t="s">
        <v>2253</v>
      </c>
      <c r="E754" s="16" t="n">
        <v>46244</v>
      </c>
      <c r="F754" s="16" t="n">
        <v>46241</v>
      </c>
      <c r="G754" s="1" t="s">
        <v>1232</v>
      </c>
      <c r="H754" s="1" t="n">
        <v>1528893</v>
      </c>
      <c r="I754" s="1" t="n">
        <v>11</v>
      </c>
      <c r="J754" s="1" t="s">
        <v>2127</v>
      </c>
      <c r="K754" s="63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2129</v>
      </c>
      <c r="D755" s="1" t="s">
        <v>2130</v>
      </c>
      <c r="E755" s="16" t="n">
        <v>46244</v>
      </c>
      <c r="F755" s="16" t="n">
        <v>46244</v>
      </c>
      <c r="G755" s="1" t="s">
        <v>80</v>
      </c>
      <c r="H755" s="1" t="n">
        <v>1529106</v>
      </c>
      <c r="I755" s="1" t="n">
        <v>6</v>
      </c>
      <c r="J755" s="1" t="s">
        <v>2127</v>
      </c>
      <c r="K755" s="63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2129</v>
      </c>
      <c r="D756" s="1" t="s">
        <v>2130</v>
      </c>
      <c r="E756" s="16" t="n">
        <v>46244</v>
      </c>
      <c r="F756" s="16" t="n">
        <v>46244</v>
      </c>
      <c r="G756" s="1" t="s">
        <v>80</v>
      </c>
      <c r="H756" s="1" t="n">
        <v>1530108</v>
      </c>
      <c r="I756" s="1" t="n">
        <v>6</v>
      </c>
      <c r="J756" s="1" t="s">
        <v>2127</v>
      </c>
      <c r="K756" s="63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2129</v>
      </c>
      <c r="D757" s="1" t="s">
        <v>2132</v>
      </c>
      <c r="E757" s="16" t="n">
        <v>46245</v>
      </c>
      <c r="F757" s="16" t="n">
        <v>46245</v>
      </c>
      <c r="G757" s="1" t="s">
        <v>130</v>
      </c>
      <c r="H757" s="1" t="n">
        <v>1532682</v>
      </c>
      <c r="I757" s="1" t="n">
        <v>11</v>
      </c>
      <c r="J757" s="1" t="s">
        <v>2127</v>
      </c>
      <c r="K757" s="63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2182</v>
      </c>
      <c r="D758" s="1" t="s">
        <v>2183</v>
      </c>
      <c r="E758" s="16" t="n">
        <v>46245</v>
      </c>
      <c r="F758" s="16" t="n">
        <v>46242</v>
      </c>
      <c r="G758" s="1" t="s">
        <v>720</v>
      </c>
      <c r="H758" s="1" t="n">
        <v>1532019</v>
      </c>
      <c r="I758" s="1" t="n">
        <v>11</v>
      </c>
      <c r="J758" s="1" t="s">
        <v>2127</v>
      </c>
      <c r="K758" s="63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2129</v>
      </c>
      <c r="D759" s="1" t="s">
        <v>2214</v>
      </c>
      <c r="E759" s="16" t="n">
        <v>46245</v>
      </c>
      <c r="F759" s="16" t="n">
        <v>46242</v>
      </c>
      <c r="G759" s="1" t="s">
        <v>320</v>
      </c>
      <c r="H759" s="1" t="n">
        <v>1531852</v>
      </c>
      <c r="I759" s="1" t="n">
        <v>11</v>
      </c>
      <c r="J759" s="1" t="s">
        <v>2127</v>
      </c>
      <c r="K759" s="63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2129</v>
      </c>
      <c r="D760" s="1" t="s">
        <v>2130</v>
      </c>
      <c r="E760" s="16" t="n">
        <v>46245</v>
      </c>
      <c r="F760" s="16" t="n">
        <v>46245</v>
      </c>
      <c r="G760" s="1" t="s">
        <v>80</v>
      </c>
      <c r="H760" s="1" t="n">
        <v>1531894</v>
      </c>
      <c r="I760" s="1" t="n">
        <v>6</v>
      </c>
      <c r="J760" s="1" t="s">
        <v>2127</v>
      </c>
      <c r="K760" s="63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2129</v>
      </c>
      <c r="D761" s="1" t="s">
        <v>2130</v>
      </c>
      <c r="E761" s="16" t="n">
        <v>46245</v>
      </c>
      <c r="F761" s="16" t="n">
        <v>46245</v>
      </c>
      <c r="G761" s="1" t="s">
        <v>80</v>
      </c>
      <c r="H761" s="1" t="n">
        <v>1531906</v>
      </c>
      <c r="I761" s="1" t="n">
        <v>6</v>
      </c>
      <c r="J761" s="1" t="s">
        <v>2127</v>
      </c>
      <c r="K761" s="63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2129</v>
      </c>
      <c r="D762" s="1" t="s">
        <v>2130</v>
      </c>
      <c r="E762" s="16" t="n">
        <v>46245</v>
      </c>
      <c r="F762" s="16" t="n">
        <v>46245</v>
      </c>
      <c r="G762" s="1" t="s">
        <v>80</v>
      </c>
      <c r="H762" s="1" t="n">
        <v>1532652</v>
      </c>
      <c r="I762" s="1" t="n">
        <v>6</v>
      </c>
      <c r="J762" s="1" t="s">
        <v>2127</v>
      </c>
      <c r="K762" s="63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2129</v>
      </c>
      <c r="D763" s="1" t="s">
        <v>2130</v>
      </c>
      <c r="E763" s="16" t="n">
        <v>46245</v>
      </c>
      <c r="F763" s="16" t="n">
        <v>46245</v>
      </c>
      <c r="G763" s="1" t="s">
        <v>80</v>
      </c>
      <c r="H763" s="1" t="n">
        <v>1532675</v>
      </c>
      <c r="I763" s="1" t="n">
        <v>6</v>
      </c>
      <c r="J763" s="1" t="s">
        <v>2127</v>
      </c>
      <c r="K763" s="63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2129</v>
      </c>
      <c r="D764" s="1" t="s">
        <v>2131</v>
      </c>
      <c r="E764" s="16" t="n">
        <v>46246</v>
      </c>
      <c r="F764" s="16" t="n">
        <v>46246</v>
      </c>
      <c r="G764" s="1" t="s">
        <v>112</v>
      </c>
      <c r="H764" s="1" t="n">
        <v>1542752</v>
      </c>
      <c r="I764" s="1" t="n">
        <v>1</v>
      </c>
      <c r="J764" s="1" t="s">
        <v>2127</v>
      </c>
      <c r="K764" s="63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2129</v>
      </c>
      <c r="D765" s="1" t="s">
        <v>2165</v>
      </c>
      <c r="E765" s="16" t="n">
        <v>46246</v>
      </c>
      <c r="F765" s="16" t="n">
        <v>46245</v>
      </c>
      <c r="G765" s="1" t="s">
        <v>135</v>
      </c>
      <c r="H765" s="1" t="n">
        <v>1537166</v>
      </c>
      <c r="I765" s="1" t="n">
        <v>11</v>
      </c>
      <c r="J765" s="1" t="s">
        <v>2127</v>
      </c>
      <c r="K765" s="63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2129</v>
      </c>
      <c r="D766" s="1" t="s">
        <v>2136</v>
      </c>
      <c r="E766" s="16" t="n">
        <v>46246</v>
      </c>
      <c r="F766" s="16" t="n">
        <v>46245</v>
      </c>
      <c r="G766" s="1" t="s">
        <v>76</v>
      </c>
      <c r="H766" s="1" t="n">
        <v>1537245</v>
      </c>
      <c r="I766" s="1" t="n">
        <v>11</v>
      </c>
      <c r="J766" s="1" t="s">
        <v>2127</v>
      </c>
      <c r="K766" s="63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2129</v>
      </c>
      <c r="D767" s="1" t="s">
        <v>2253</v>
      </c>
      <c r="E767" s="16" t="n">
        <v>46246</v>
      </c>
      <c r="F767" s="16" t="n">
        <v>46245</v>
      </c>
      <c r="G767" s="1" t="s">
        <v>1232</v>
      </c>
      <c r="H767" s="1" t="n">
        <v>1536888</v>
      </c>
      <c r="I767" s="1" t="n">
        <v>11</v>
      </c>
      <c r="J767" s="1" t="s">
        <v>2127</v>
      </c>
      <c r="K767" s="63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2129</v>
      </c>
      <c r="D768" s="1" t="s">
        <v>2163</v>
      </c>
      <c r="E768" s="16" t="n">
        <v>46246</v>
      </c>
      <c r="F768" s="16" t="n">
        <v>46245</v>
      </c>
      <c r="G768" s="1" t="s">
        <v>410</v>
      </c>
      <c r="H768" s="1" t="n">
        <v>1537259</v>
      </c>
      <c r="I768" s="1" t="n">
        <v>11</v>
      </c>
      <c r="J768" s="1" t="s">
        <v>2127</v>
      </c>
      <c r="K768" s="63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2129</v>
      </c>
      <c r="D769" s="1" t="s">
        <v>2191</v>
      </c>
      <c r="E769" s="16" t="n">
        <v>46246</v>
      </c>
      <c r="F769" s="16" t="n">
        <v>46245</v>
      </c>
      <c r="G769" s="1" t="s">
        <v>60</v>
      </c>
      <c r="H769" s="1" t="n">
        <v>1537214</v>
      </c>
      <c r="I769" s="1" t="n">
        <v>11</v>
      </c>
      <c r="J769" s="1" t="s">
        <v>2127</v>
      </c>
      <c r="K769" s="63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2129</v>
      </c>
      <c r="D770" s="1" t="s">
        <v>2130</v>
      </c>
      <c r="E770" s="16" t="n">
        <v>46246</v>
      </c>
      <c r="F770" s="16" t="n">
        <v>46246</v>
      </c>
      <c r="G770" s="1" t="s">
        <v>80</v>
      </c>
      <c r="H770" s="1" t="n">
        <v>1536866</v>
      </c>
      <c r="I770" s="1" t="n">
        <v>6</v>
      </c>
      <c r="J770" s="1" t="s">
        <v>2127</v>
      </c>
      <c r="K770" s="63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2203</v>
      </c>
      <c r="D771" s="1" t="s">
        <v>2204</v>
      </c>
      <c r="E771" s="16" t="n">
        <v>46246</v>
      </c>
      <c r="F771" s="16" t="n">
        <v>46245</v>
      </c>
      <c r="G771" s="1" t="s">
        <v>161</v>
      </c>
      <c r="H771" s="1" t="n">
        <v>1537178</v>
      </c>
      <c r="I771" s="1" t="n">
        <v>11</v>
      </c>
      <c r="J771" s="1" t="s">
        <v>2127</v>
      </c>
      <c r="K771" s="63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2129</v>
      </c>
      <c r="D772" s="1" t="s">
        <v>2146</v>
      </c>
      <c r="E772" s="16" t="n">
        <v>46246</v>
      </c>
      <c r="F772" s="16" t="n">
        <v>46245</v>
      </c>
      <c r="G772" s="1" t="s">
        <v>120</v>
      </c>
      <c r="H772" s="1" t="n">
        <v>1537258</v>
      </c>
      <c r="I772" s="1" t="n">
        <v>11</v>
      </c>
      <c r="J772" s="1" t="s">
        <v>2127</v>
      </c>
      <c r="K772" s="63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2129</v>
      </c>
      <c r="D773" s="1" t="s">
        <v>2147</v>
      </c>
      <c r="E773" s="16" t="n">
        <v>46246</v>
      </c>
      <c r="F773" s="16" t="n">
        <v>46245</v>
      </c>
      <c r="G773" s="1" t="s">
        <v>125</v>
      </c>
      <c r="H773" s="1" t="n">
        <v>1537346</v>
      </c>
      <c r="I773" s="1" t="n">
        <v>11</v>
      </c>
      <c r="J773" s="1" t="s">
        <v>2127</v>
      </c>
      <c r="K773" s="63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2129</v>
      </c>
      <c r="D774" s="1" t="s">
        <v>2147</v>
      </c>
      <c r="E774" s="16" t="n">
        <v>46246</v>
      </c>
      <c r="F774" s="16" t="n">
        <v>46245</v>
      </c>
      <c r="G774" s="1" t="s">
        <v>125</v>
      </c>
      <c r="H774" s="1" t="n">
        <v>1537354</v>
      </c>
      <c r="I774" s="1" t="n">
        <v>11</v>
      </c>
      <c r="J774" s="1" t="s">
        <v>2127</v>
      </c>
      <c r="K774" s="63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2129</v>
      </c>
      <c r="D775" s="1" t="s">
        <v>2151</v>
      </c>
      <c r="E775" s="16" t="n">
        <v>46247</v>
      </c>
      <c r="F775" s="16" t="n">
        <v>46246</v>
      </c>
      <c r="G775" s="1" t="s">
        <v>274</v>
      </c>
      <c r="H775" s="1" t="n">
        <v>1543090</v>
      </c>
      <c r="I775" s="1" t="n">
        <v>11</v>
      </c>
      <c r="J775" s="1" t="s">
        <v>2127</v>
      </c>
      <c r="K775" s="63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2129</v>
      </c>
      <c r="D776" s="1" t="s">
        <v>2176</v>
      </c>
      <c r="E776" s="16" t="n">
        <v>46247</v>
      </c>
      <c r="F776" s="16" t="n">
        <v>46244</v>
      </c>
      <c r="G776" s="1" t="s">
        <v>49</v>
      </c>
      <c r="H776" s="1" t="n">
        <v>1540574</v>
      </c>
      <c r="I776" s="1" t="n">
        <v>11</v>
      </c>
      <c r="J776" s="1" t="s">
        <v>2127</v>
      </c>
      <c r="K776" s="63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2129</v>
      </c>
      <c r="D777" s="1" t="s">
        <v>2176</v>
      </c>
      <c r="E777" s="16" t="n">
        <v>46247</v>
      </c>
      <c r="F777" s="16" t="n">
        <v>46244</v>
      </c>
      <c r="G777" s="1" t="s">
        <v>49</v>
      </c>
      <c r="H777" s="1" t="n">
        <v>1540596</v>
      </c>
      <c r="I777" s="1" t="n">
        <v>11</v>
      </c>
      <c r="J777" s="1" t="s">
        <v>2127</v>
      </c>
      <c r="K777" s="63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2129</v>
      </c>
      <c r="D778" s="1" t="s">
        <v>2200</v>
      </c>
      <c r="E778" s="16" t="n">
        <v>46247</v>
      </c>
      <c r="F778" s="16" t="n">
        <v>46244</v>
      </c>
      <c r="G778" s="1" t="s">
        <v>697</v>
      </c>
      <c r="H778" s="1" t="n">
        <v>1540662</v>
      </c>
      <c r="I778" s="1" t="n">
        <v>11</v>
      </c>
      <c r="J778" s="1" t="s">
        <v>2127</v>
      </c>
      <c r="K778" s="63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2138</v>
      </c>
      <c r="D779" s="1" t="s">
        <v>2139</v>
      </c>
      <c r="E779" s="16" t="n">
        <v>46247</v>
      </c>
      <c r="F779" s="16" t="n">
        <v>46246</v>
      </c>
      <c r="G779" s="1" t="s">
        <v>339</v>
      </c>
      <c r="H779" s="1" t="n">
        <v>1543181</v>
      </c>
      <c r="I779" s="1" t="n">
        <v>11</v>
      </c>
      <c r="J779" s="1" t="s">
        <v>2127</v>
      </c>
      <c r="K779" s="63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2129</v>
      </c>
      <c r="D780" s="1" t="s">
        <v>2212</v>
      </c>
      <c r="E780" s="16" t="n">
        <v>46247</v>
      </c>
      <c r="F780" s="16" t="n">
        <v>46241</v>
      </c>
      <c r="G780" s="1" t="s">
        <v>255</v>
      </c>
      <c r="H780" s="1" t="n">
        <v>1543673</v>
      </c>
      <c r="I780" s="1" t="n">
        <v>11</v>
      </c>
      <c r="J780" s="1" t="s">
        <v>2127</v>
      </c>
      <c r="K780" s="63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2129</v>
      </c>
      <c r="D781" s="1" t="s">
        <v>2143</v>
      </c>
      <c r="E781" s="16" t="n">
        <v>46247</v>
      </c>
      <c r="F781" s="16" t="n">
        <v>46240</v>
      </c>
      <c r="G781" s="1" t="s">
        <v>67</v>
      </c>
      <c r="H781" s="1" t="n">
        <v>1543250</v>
      </c>
      <c r="I781" s="1" t="n">
        <v>11</v>
      </c>
      <c r="J781" s="1" t="s">
        <v>2127</v>
      </c>
      <c r="K781" s="63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2129</v>
      </c>
      <c r="D782" s="1" t="s">
        <v>2144</v>
      </c>
      <c r="E782" s="16" t="n">
        <v>46247</v>
      </c>
      <c r="F782" s="16" t="n">
        <v>46247</v>
      </c>
      <c r="G782" s="1" t="s">
        <v>170</v>
      </c>
      <c r="H782" s="1" t="n">
        <v>1543302</v>
      </c>
      <c r="I782" s="1" t="n">
        <v>11</v>
      </c>
      <c r="J782" s="1" t="s">
        <v>2127</v>
      </c>
      <c r="K782" s="63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2129</v>
      </c>
      <c r="D783" s="1" t="s">
        <v>2130</v>
      </c>
      <c r="E783" s="16" t="n">
        <v>46247</v>
      </c>
      <c r="F783" s="16" t="n">
        <v>46247</v>
      </c>
      <c r="G783" s="1" t="s">
        <v>80</v>
      </c>
      <c r="H783" s="1" t="n">
        <v>1540694</v>
      </c>
      <c r="I783" s="1" t="n">
        <v>6</v>
      </c>
      <c r="J783" s="1" t="s">
        <v>2127</v>
      </c>
      <c r="K783" s="63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2129</v>
      </c>
      <c r="D784" s="1" t="s">
        <v>2130</v>
      </c>
      <c r="E784" s="16" t="n">
        <v>46247</v>
      </c>
      <c r="F784" s="16" t="n">
        <v>46247</v>
      </c>
      <c r="G784" s="1" t="s">
        <v>80</v>
      </c>
      <c r="H784" s="1" t="n">
        <v>1540703</v>
      </c>
      <c r="I784" s="1" t="n">
        <v>6</v>
      </c>
      <c r="J784" s="1" t="s">
        <v>2127</v>
      </c>
      <c r="K784" s="63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2129</v>
      </c>
      <c r="D785" s="1" t="s">
        <v>2130</v>
      </c>
      <c r="E785" s="16" t="n">
        <v>46247</v>
      </c>
      <c r="F785" s="16" t="n">
        <v>46247</v>
      </c>
      <c r="G785" s="1" t="s">
        <v>80</v>
      </c>
      <c r="H785" s="1" t="n">
        <v>1542717</v>
      </c>
      <c r="I785" s="1" t="n">
        <v>6</v>
      </c>
      <c r="J785" s="1" t="s">
        <v>2127</v>
      </c>
      <c r="K785" s="63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2138</v>
      </c>
      <c r="D786" s="1" t="s">
        <v>2145</v>
      </c>
      <c r="E786" s="16" t="n">
        <v>46247</v>
      </c>
      <c r="F786" s="16" t="n">
        <v>46246</v>
      </c>
      <c r="G786" s="1" t="s">
        <v>113</v>
      </c>
      <c r="H786" s="1" t="n">
        <v>1543807</v>
      </c>
      <c r="I786" s="1" t="n">
        <v>11</v>
      </c>
      <c r="J786" s="1" t="s">
        <v>2127</v>
      </c>
      <c r="K786" s="63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2129</v>
      </c>
      <c r="D787" s="1" t="s">
        <v>2194</v>
      </c>
      <c r="E787" s="16" t="n">
        <v>46248</v>
      </c>
      <c r="F787" s="16" t="n">
        <v>46245</v>
      </c>
      <c r="G787" s="1" t="s">
        <v>190</v>
      </c>
      <c r="H787" s="1" t="n">
        <v>1546430</v>
      </c>
      <c r="I787" s="1" t="n">
        <v>11</v>
      </c>
      <c r="J787" s="1" t="s">
        <v>2127</v>
      </c>
      <c r="K787" s="63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2129</v>
      </c>
      <c r="D788" s="1" t="s">
        <v>2196</v>
      </c>
      <c r="E788" s="16" t="n">
        <v>46248</v>
      </c>
      <c r="F788" s="16" t="n">
        <v>46245</v>
      </c>
      <c r="G788" s="1" t="s">
        <v>699</v>
      </c>
      <c r="H788" s="1" t="n">
        <v>1547227</v>
      </c>
      <c r="I788" s="1" t="n">
        <v>11</v>
      </c>
      <c r="J788" s="1" t="s">
        <v>2127</v>
      </c>
      <c r="K788" s="63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2129</v>
      </c>
      <c r="D789" s="1" t="s">
        <v>2206</v>
      </c>
      <c r="E789" s="16" t="n">
        <v>46248</v>
      </c>
      <c r="F789" s="16" t="n">
        <v>46247</v>
      </c>
      <c r="G789" s="1" t="s">
        <v>247</v>
      </c>
      <c r="H789" s="1" t="n">
        <v>1545702</v>
      </c>
      <c r="I789" s="1" t="n">
        <v>11</v>
      </c>
      <c r="J789" s="1" t="s">
        <v>2127</v>
      </c>
      <c r="K789" s="63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2129</v>
      </c>
      <c r="D790" s="1" t="s">
        <v>2188</v>
      </c>
      <c r="E790" s="16" t="n">
        <v>46248</v>
      </c>
      <c r="F790" s="16" t="n">
        <v>46248</v>
      </c>
      <c r="G790" s="1" t="s">
        <v>278</v>
      </c>
      <c r="H790" s="1" t="n">
        <v>1546799</v>
      </c>
      <c r="I790" s="1" t="n">
        <v>11</v>
      </c>
      <c r="J790" s="1" t="s">
        <v>2127</v>
      </c>
      <c r="K790" s="63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2129</v>
      </c>
      <c r="D791" s="1" t="s">
        <v>2136</v>
      </c>
      <c r="E791" s="16" t="n">
        <v>46248</v>
      </c>
      <c r="F791" s="16" t="n">
        <v>46247</v>
      </c>
      <c r="G791" s="1" t="s">
        <v>76</v>
      </c>
      <c r="H791" s="1" t="n">
        <v>1545649</v>
      </c>
      <c r="I791" s="1" t="n">
        <v>11</v>
      </c>
      <c r="J791" s="1" t="s">
        <v>2127</v>
      </c>
      <c r="K791" s="63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2129</v>
      </c>
      <c r="D792" s="1" t="s">
        <v>2136</v>
      </c>
      <c r="E792" s="16" t="n">
        <v>46248</v>
      </c>
      <c r="F792" s="16" t="n">
        <v>46248</v>
      </c>
      <c r="G792" s="1" t="s">
        <v>76</v>
      </c>
      <c r="H792" s="1" t="n">
        <v>1546721</v>
      </c>
      <c r="I792" s="1" t="n">
        <v>11</v>
      </c>
      <c r="J792" s="1" t="s">
        <v>2127</v>
      </c>
      <c r="K792" s="63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2129</v>
      </c>
      <c r="D793" s="1" t="s">
        <v>2132</v>
      </c>
      <c r="E793" s="16" t="n">
        <v>46248</v>
      </c>
      <c r="F793" s="16" t="n">
        <v>46248</v>
      </c>
      <c r="G793" s="1" t="s">
        <v>130</v>
      </c>
      <c r="H793" s="1" t="n">
        <v>1546687</v>
      </c>
      <c r="I793" s="1" t="n">
        <v>11</v>
      </c>
      <c r="J793" s="1" t="s">
        <v>2127</v>
      </c>
      <c r="K793" s="63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2160</v>
      </c>
      <c r="D794" s="1" t="s">
        <v>2161</v>
      </c>
      <c r="E794" s="16" t="n">
        <v>46248</v>
      </c>
      <c r="F794" s="16" t="n">
        <v>46247</v>
      </c>
      <c r="G794" s="1" t="s">
        <v>218</v>
      </c>
      <c r="H794" s="1" t="n">
        <v>1545751</v>
      </c>
      <c r="I794" s="1" t="n">
        <v>11</v>
      </c>
      <c r="J794" s="1" t="s">
        <v>2127</v>
      </c>
      <c r="K794" s="63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2134</v>
      </c>
      <c r="D795" s="1" t="s">
        <v>2140</v>
      </c>
      <c r="E795" s="16" t="n">
        <v>46248</v>
      </c>
      <c r="F795" s="16" t="n">
        <v>46246</v>
      </c>
      <c r="G795" s="1" t="s">
        <v>183</v>
      </c>
      <c r="H795" s="1" t="n">
        <v>1551170</v>
      </c>
      <c r="I795" s="1" t="n">
        <v>1</v>
      </c>
      <c r="J795" s="1" t="s">
        <v>2127</v>
      </c>
      <c r="K795" s="63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2134</v>
      </c>
      <c r="D796" s="1" t="s">
        <v>2167</v>
      </c>
      <c r="E796" s="16" t="n">
        <v>46248</v>
      </c>
      <c r="F796" s="16" t="n">
        <v>46247</v>
      </c>
      <c r="G796" s="1" t="s">
        <v>351</v>
      </c>
      <c r="H796" s="1" t="n">
        <v>1545796</v>
      </c>
      <c r="I796" s="1" t="n">
        <v>11</v>
      </c>
      <c r="J796" s="1" t="s">
        <v>2127</v>
      </c>
      <c r="K796" s="63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2129</v>
      </c>
      <c r="D797" s="1" t="s">
        <v>2148</v>
      </c>
      <c r="E797" s="16" t="n">
        <v>46248</v>
      </c>
      <c r="F797" s="16" t="n">
        <v>46248</v>
      </c>
      <c r="G797" s="1" t="s">
        <v>227</v>
      </c>
      <c r="H797" s="1" t="n">
        <v>1551713</v>
      </c>
      <c r="I797" s="1" t="n">
        <v>1</v>
      </c>
      <c r="J797" s="1" t="s">
        <v>2127</v>
      </c>
      <c r="K797" s="63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2129</v>
      </c>
      <c r="D798" s="1" t="s">
        <v>2268</v>
      </c>
      <c r="E798" s="16" t="n">
        <v>46248</v>
      </c>
      <c r="F798" s="16" t="n">
        <v>46247</v>
      </c>
      <c r="G798" s="1" t="s">
        <v>1623</v>
      </c>
      <c r="H798" s="1" t="n">
        <v>1545820</v>
      </c>
      <c r="I798" s="1" t="n">
        <v>11</v>
      </c>
      <c r="J798" s="1" t="s">
        <v>2127</v>
      </c>
      <c r="K798" s="63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2129</v>
      </c>
      <c r="D799" s="1" t="s">
        <v>2130</v>
      </c>
      <c r="E799" s="16" t="n">
        <v>46248</v>
      </c>
      <c r="F799" s="16" t="n">
        <v>46248</v>
      </c>
      <c r="G799" s="1" t="s">
        <v>80</v>
      </c>
      <c r="H799" s="1" t="n">
        <v>1545577</v>
      </c>
      <c r="I799" s="1" t="n">
        <v>6</v>
      </c>
      <c r="J799" s="1" t="s">
        <v>2127</v>
      </c>
      <c r="K799" s="63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2129</v>
      </c>
      <c r="D800" s="1" t="s">
        <v>2130</v>
      </c>
      <c r="E800" s="16" t="n">
        <v>46248</v>
      </c>
      <c r="F800" s="16" t="n">
        <v>46248</v>
      </c>
      <c r="G800" s="1" t="s">
        <v>80</v>
      </c>
      <c r="H800" s="1" t="n">
        <v>1545585</v>
      </c>
      <c r="I800" s="1" t="n">
        <v>6</v>
      </c>
      <c r="J800" s="1" t="s">
        <v>2127</v>
      </c>
      <c r="K800" s="63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2129</v>
      </c>
      <c r="D801" s="1" t="s">
        <v>2130</v>
      </c>
      <c r="E801" s="16" t="n">
        <v>46248</v>
      </c>
      <c r="F801" s="16" t="n">
        <v>46248</v>
      </c>
      <c r="G801" s="1" t="s">
        <v>80</v>
      </c>
      <c r="H801" s="1" t="n">
        <v>1545836</v>
      </c>
      <c r="I801" s="1" t="n">
        <v>6</v>
      </c>
      <c r="J801" s="1" t="s">
        <v>2127</v>
      </c>
      <c r="K801" s="63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2129</v>
      </c>
      <c r="D802" s="1" t="s">
        <v>2130</v>
      </c>
      <c r="E802" s="16" t="n">
        <v>46248</v>
      </c>
      <c r="F802" s="16" t="n">
        <v>46248</v>
      </c>
      <c r="G802" s="1" t="s">
        <v>80</v>
      </c>
      <c r="H802" s="1" t="n">
        <v>1546217</v>
      </c>
      <c r="I802" s="1" t="n">
        <v>6</v>
      </c>
      <c r="J802" s="1" t="s">
        <v>2127</v>
      </c>
      <c r="K802" s="63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2129</v>
      </c>
      <c r="D803" s="1" t="s">
        <v>2130</v>
      </c>
      <c r="E803" s="16" t="n">
        <v>46248</v>
      </c>
      <c r="F803" s="16" t="n">
        <v>46248</v>
      </c>
      <c r="G803" s="1" t="s">
        <v>80</v>
      </c>
      <c r="H803" s="1" t="n">
        <v>1547299</v>
      </c>
      <c r="I803" s="1" t="n">
        <v>6</v>
      </c>
      <c r="J803" s="1" t="s">
        <v>2127</v>
      </c>
      <c r="K803" s="63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2129</v>
      </c>
      <c r="D804" s="1" t="s">
        <v>2133</v>
      </c>
      <c r="E804" s="16" t="n">
        <v>46249</v>
      </c>
      <c r="F804" s="16" t="n">
        <v>46247</v>
      </c>
      <c r="G804" s="1" t="s">
        <v>251</v>
      </c>
      <c r="H804" s="1" t="n">
        <v>1551823</v>
      </c>
      <c r="I804" s="1" t="n">
        <v>11</v>
      </c>
      <c r="J804" s="1" t="s">
        <v>2127</v>
      </c>
      <c r="K804" s="63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2129</v>
      </c>
      <c r="D805" s="1" t="s">
        <v>2197</v>
      </c>
      <c r="E805" s="16" t="n">
        <v>46249</v>
      </c>
      <c r="F805" s="16" t="n">
        <v>46248</v>
      </c>
      <c r="G805" s="1" t="s">
        <v>177</v>
      </c>
      <c r="H805" s="1" t="n">
        <v>1552217</v>
      </c>
      <c r="I805" s="1" t="n">
        <v>11</v>
      </c>
      <c r="J805" s="1" t="s">
        <v>2127</v>
      </c>
      <c r="K805" s="63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2157</v>
      </c>
      <c r="D806" s="1" t="s">
        <v>2158</v>
      </c>
      <c r="E806" s="16" t="n">
        <v>46249</v>
      </c>
      <c r="F806" s="16" t="n">
        <v>46247</v>
      </c>
      <c r="G806" s="1" t="s">
        <v>306</v>
      </c>
      <c r="H806" s="1" t="n">
        <v>1552097</v>
      </c>
      <c r="I806" s="1" t="n">
        <v>11</v>
      </c>
      <c r="J806" s="1" t="s">
        <v>2127</v>
      </c>
      <c r="K806" s="63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2129</v>
      </c>
      <c r="D807" s="1" t="s">
        <v>2141</v>
      </c>
      <c r="E807" s="16" t="n">
        <v>46249</v>
      </c>
      <c r="F807" s="16" t="n">
        <v>46248</v>
      </c>
      <c r="G807" s="1" t="s">
        <v>53</v>
      </c>
      <c r="H807" s="1" t="n">
        <v>1551655</v>
      </c>
      <c r="I807" s="1" t="n">
        <v>11</v>
      </c>
      <c r="J807" s="1" t="s">
        <v>2127</v>
      </c>
      <c r="K807" s="63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2129</v>
      </c>
      <c r="D808" s="1" t="s">
        <v>2130</v>
      </c>
      <c r="E808" s="16" t="n">
        <v>46249</v>
      </c>
      <c r="F808" s="16" t="n">
        <v>46249</v>
      </c>
      <c r="G808" s="1" t="s">
        <v>80</v>
      </c>
      <c r="H808" s="1" t="n">
        <v>1552235</v>
      </c>
      <c r="I808" s="1" t="n">
        <v>6</v>
      </c>
      <c r="J808" s="1" t="s">
        <v>2127</v>
      </c>
      <c r="K808" s="63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2129</v>
      </c>
      <c r="D809" s="1" t="s">
        <v>2146</v>
      </c>
      <c r="E809" s="16" t="n">
        <v>46249</v>
      </c>
      <c r="F809" s="16" t="n">
        <v>46248</v>
      </c>
      <c r="G809" s="1" t="s">
        <v>120</v>
      </c>
      <c r="H809" s="1" t="n">
        <v>1551619</v>
      </c>
      <c r="I809" s="1" t="n">
        <v>11</v>
      </c>
      <c r="J809" s="1" t="s">
        <v>2127</v>
      </c>
      <c r="K809" s="63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2129</v>
      </c>
      <c r="D810" s="1" t="s">
        <v>2136</v>
      </c>
      <c r="E810" s="16" t="n">
        <v>46251</v>
      </c>
      <c r="F810" s="16" t="n">
        <v>46249</v>
      </c>
      <c r="G810" s="1" t="s">
        <v>76</v>
      </c>
      <c r="H810" s="1" t="n">
        <v>1562389</v>
      </c>
      <c r="I810" s="1" t="n">
        <v>11</v>
      </c>
      <c r="J810" s="1" t="s">
        <v>2127</v>
      </c>
      <c r="K810" s="63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2129</v>
      </c>
      <c r="D811" s="1" t="s">
        <v>2136</v>
      </c>
      <c r="E811" s="16" t="n">
        <v>46251</v>
      </c>
      <c r="F811" s="16" t="n">
        <v>46249</v>
      </c>
      <c r="G811" s="1" t="s">
        <v>76</v>
      </c>
      <c r="H811" s="1" t="n">
        <v>1562344</v>
      </c>
      <c r="I811" s="1" t="n">
        <v>11</v>
      </c>
      <c r="J811" s="1" t="s">
        <v>2127</v>
      </c>
      <c r="K811" s="63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2129</v>
      </c>
      <c r="D812" s="1" t="s">
        <v>2136</v>
      </c>
      <c r="E812" s="16" t="n">
        <v>46251</v>
      </c>
      <c r="F812" s="16" t="n">
        <v>46251</v>
      </c>
      <c r="G812" s="1" t="s">
        <v>76</v>
      </c>
      <c r="H812" s="1" t="n">
        <v>1562441</v>
      </c>
      <c r="I812" s="1" t="n">
        <v>11</v>
      </c>
      <c r="J812" s="1" t="s">
        <v>2127</v>
      </c>
      <c r="K812" s="63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2129</v>
      </c>
      <c r="D813" s="1" t="s">
        <v>2253</v>
      </c>
      <c r="E813" s="16" t="n">
        <v>46251</v>
      </c>
      <c r="F813" s="16" t="n">
        <v>46249</v>
      </c>
      <c r="G813" s="1" t="s">
        <v>1232</v>
      </c>
      <c r="H813" s="1" t="n">
        <v>1560760</v>
      </c>
      <c r="I813" s="1" t="n">
        <v>11</v>
      </c>
      <c r="J813" s="1" t="s">
        <v>2127</v>
      </c>
      <c r="K813" s="63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2129</v>
      </c>
      <c r="D814" s="1" t="s">
        <v>2130</v>
      </c>
      <c r="E814" s="16" t="n">
        <v>46251</v>
      </c>
      <c r="F814" s="16" t="n">
        <v>46251</v>
      </c>
      <c r="G814" s="1" t="s">
        <v>80</v>
      </c>
      <c r="H814" s="1" t="n">
        <v>1560742</v>
      </c>
      <c r="I814" s="1" t="n">
        <v>6</v>
      </c>
      <c r="J814" s="1" t="s">
        <v>2127</v>
      </c>
      <c r="K814" s="63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2129</v>
      </c>
      <c r="D815" s="1" t="s">
        <v>2130</v>
      </c>
      <c r="E815" s="16" t="n">
        <v>46251</v>
      </c>
      <c r="F815" s="16" t="n">
        <v>46251</v>
      </c>
      <c r="G815" s="1" t="s">
        <v>80</v>
      </c>
      <c r="H815" s="1" t="n">
        <v>1560801</v>
      </c>
      <c r="I815" s="1" t="n">
        <v>6</v>
      </c>
      <c r="J815" s="1" t="s">
        <v>2127</v>
      </c>
      <c r="K815" s="63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2129</v>
      </c>
      <c r="D816" s="1" t="s">
        <v>2165</v>
      </c>
      <c r="E816" s="16" t="n">
        <v>46252</v>
      </c>
      <c r="F816" s="16" t="n">
        <v>46251</v>
      </c>
      <c r="G816" s="1" t="s">
        <v>135</v>
      </c>
      <c r="H816" s="1" t="n">
        <v>1568167</v>
      </c>
      <c r="I816" s="1" t="n">
        <v>11</v>
      </c>
      <c r="J816" s="1" t="s">
        <v>2127</v>
      </c>
      <c r="K816" s="63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2129</v>
      </c>
      <c r="D817" s="1" t="s">
        <v>2195</v>
      </c>
      <c r="E817" s="16" t="n">
        <v>46252</v>
      </c>
      <c r="F817" s="16" t="n">
        <v>46247</v>
      </c>
      <c r="G817" s="1" t="s">
        <v>985</v>
      </c>
      <c r="H817" s="1" t="n">
        <v>1568087</v>
      </c>
      <c r="I817" s="1" t="n">
        <v>11</v>
      </c>
      <c r="J817" s="1" t="s">
        <v>2127</v>
      </c>
      <c r="K817" s="63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2129</v>
      </c>
      <c r="D818" s="1" t="s">
        <v>2132</v>
      </c>
      <c r="E818" s="16" t="n">
        <v>46252</v>
      </c>
      <c r="F818" s="16" t="n">
        <v>46252</v>
      </c>
      <c r="G818" s="1" t="s">
        <v>130</v>
      </c>
      <c r="H818" s="1" t="n">
        <v>1567599</v>
      </c>
      <c r="I818" s="1" t="n">
        <v>11</v>
      </c>
      <c r="J818" s="1" t="s">
        <v>2127</v>
      </c>
      <c r="K818" s="63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2129</v>
      </c>
      <c r="D819" s="1" t="s">
        <v>2152</v>
      </c>
      <c r="E819" s="16" t="n">
        <v>46252</v>
      </c>
      <c r="F819" s="16" t="n">
        <v>46248</v>
      </c>
      <c r="G819" s="1" t="s">
        <v>41</v>
      </c>
      <c r="H819" s="1" t="n">
        <v>1566840</v>
      </c>
      <c r="I819" s="1" t="n">
        <v>11</v>
      </c>
      <c r="J819" s="1" t="s">
        <v>2127</v>
      </c>
      <c r="K819" s="63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2160</v>
      </c>
      <c r="D820" s="1" t="s">
        <v>2237</v>
      </c>
      <c r="E820" s="16" t="n">
        <v>46252</v>
      </c>
      <c r="F820" s="16" t="n">
        <v>46251</v>
      </c>
      <c r="G820" s="1" t="s">
        <v>953</v>
      </c>
      <c r="H820" s="1" t="n">
        <v>1566528</v>
      </c>
      <c r="I820" s="1" t="n">
        <v>11</v>
      </c>
      <c r="J820" s="1" t="s">
        <v>2127</v>
      </c>
      <c r="K820" s="63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2269</v>
      </c>
      <c r="D821" s="1" t="s">
        <v>2270</v>
      </c>
      <c r="E821" s="16" t="n">
        <v>46252</v>
      </c>
      <c r="F821" s="16" t="n">
        <v>46252</v>
      </c>
      <c r="G821" s="1" t="s">
        <v>1606</v>
      </c>
      <c r="H821" s="1" t="n">
        <v>1567582</v>
      </c>
      <c r="I821" s="1" t="n">
        <v>1</v>
      </c>
      <c r="J821" s="1" t="s">
        <v>2127</v>
      </c>
      <c r="K821" s="63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2129</v>
      </c>
      <c r="D822" s="1" t="s">
        <v>2190</v>
      </c>
      <c r="E822" s="16" t="n">
        <v>46252</v>
      </c>
      <c r="F822" s="16" t="n">
        <v>46247</v>
      </c>
      <c r="G822" s="1" t="s">
        <v>220</v>
      </c>
      <c r="H822" s="1" t="n">
        <v>1566029</v>
      </c>
      <c r="I822" s="1" t="n">
        <v>11</v>
      </c>
      <c r="J822" s="1" t="s">
        <v>2127</v>
      </c>
      <c r="K822" s="63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2129</v>
      </c>
      <c r="D823" s="1" t="s">
        <v>2268</v>
      </c>
      <c r="E823" s="16" t="n">
        <v>46252</v>
      </c>
      <c r="F823" s="16" t="n">
        <v>46246</v>
      </c>
      <c r="G823" s="1" t="s">
        <v>1623</v>
      </c>
      <c r="H823" s="1" t="n">
        <v>1566897</v>
      </c>
      <c r="I823" s="1" t="n">
        <v>11</v>
      </c>
      <c r="J823" s="1" t="s">
        <v>2127</v>
      </c>
      <c r="K823" s="63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2184</v>
      </c>
      <c r="D824" s="1" t="s">
        <v>2186</v>
      </c>
      <c r="E824" s="16" t="n">
        <v>46252</v>
      </c>
      <c r="F824" s="16" t="n">
        <v>46238</v>
      </c>
      <c r="G824" s="1" t="s">
        <v>159</v>
      </c>
      <c r="H824" s="1" t="n">
        <v>1566204</v>
      </c>
      <c r="I824" s="1" t="n">
        <v>11</v>
      </c>
      <c r="J824" s="1" t="s">
        <v>2127</v>
      </c>
      <c r="K824" s="63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2129</v>
      </c>
      <c r="D825" s="1" t="s">
        <v>2170</v>
      </c>
      <c r="E825" s="16" t="n">
        <v>46252</v>
      </c>
      <c r="F825" s="16" t="n">
        <v>46247</v>
      </c>
      <c r="G825" s="1" t="s">
        <v>373</v>
      </c>
      <c r="H825" s="1" t="n">
        <v>1567991</v>
      </c>
      <c r="I825" s="1" t="n">
        <v>11</v>
      </c>
      <c r="J825" s="1" t="s">
        <v>2127</v>
      </c>
      <c r="K825" s="63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2129</v>
      </c>
      <c r="D826" s="1" t="s">
        <v>2170</v>
      </c>
      <c r="E826" s="16" t="n">
        <v>46252</v>
      </c>
      <c r="F826" s="16" t="n">
        <v>46251</v>
      </c>
      <c r="G826" s="1" t="s">
        <v>373</v>
      </c>
      <c r="H826" s="1" t="n">
        <v>1566379</v>
      </c>
      <c r="I826" s="1" t="n">
        <v>11</v>
      </c>
      <c r="J826" s="1" t="s">
        <v>2127</v>
      </c>
      <c r="K826" s="63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2129</v>
      </c>
      <c r="D827" s="1" t="s">
        <v>2170</v>
      </c>
      <c r="E827" s="16" t="n">
        <v>46252</v>
      </c>
      <c r="F827" s="16" t="n">
        <v>46251</v>
      </c>
      <c r="G827" s="1" t="s">
        <v>373</v>
      </c>
      <c r="H827" s="1" t="n">
        <v>1568019</v>
      </c>
      <c r="I827" s="1" t="n">
        <v>11</v>
      </c>
      <c r="J827" s="1" t="s">
        <v>2127</v>
      </c>
      <c r="K827" s="63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2129</v>
      </c>
      <c r="D828" s="1" t="s">
        <v>2144</v>
      </c>
      <c r="E828" s="16" t="n">
        <v>46252</v>
      </c>
      <c r="F828" s="16" t="n">
        <v>46252</v>
      </c>
      <c r="G828" s="1" t="s">
        <v>170</v>
      </c>
      <c r="H828" s="1" t="n">
        <v>1567968</v>
      </c>
      <c r="I828" s="1" t="n">
        <v>11</v>
      </c>
      <c r="J828" s="1" t="s">
        <v>2127</v>
      </c>
      <c r="K828" s="63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2138</v>
      </c>
      <c r="D829" s="1" t="s">
        <v>2231</v>
      </c>
      <c r="E829" s="16" t="n">
        <v>46252</v>
      </c>
      <c r="F829" s="16" t="n">
        <v>46248</v>
      </c>
      <c r="G829" s="1" t="s">
        <v>165</v>
      </c>
      <c r="H829" s="1" t="n">
        <v>1566492</v>
      </c>
      <c r="I829" s="1" t="n">
        <v>11</v>
      </c>
      <c r="J829" s="1" t="s">
        <v>2127</v>
      </c>
      <c r="K829" s="63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2129</v>
      </c>
      <c r="D830" s="1" t="s">
        <v>2130</v>
      </c>
      <c r="E830" s="16" t="n">
        <v>46252</v>
      </c>
      <c r="F830" s="16" t="n">
        <v>46252</v>
      </c>
      <c r="G830" s="1" t="s">
        <v>80</v>
      </c>
      <c r="H830" s="1" t="n">
        <v>1566572</v>
      </c>
      <c r="I830" s="1" t="n">
        <v>6</v>
      </c>
      <c r="J830" s="1" t="s">
        <v>2127</v>
      </c>
      <c r="K830" s="63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2129</v>
      </c>
      <c r="D831" s="1" t="s">
        <v>2130</v>
      </c>
      <c r="E831" s="16" t="n">
        <v>46252</v>
      </c>
      <c r="F831" s="16" t="n">
        <v>46252</v>
      </c>
      <c r="G831" s="1" t="s">
        <v>80</v>
      </c>
      <c r="H831" s="1" t="n">
        <v>1567636</v>
      </c>
      <c r="I831" s="1" t="n">
        <v>6</v>
      </c>
      <c r="J831" s="1" t="s">
        <v>2127</v>
      </c>
      <c r="K831" s="63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2129</v>
      </c>
      <c r="D832" s="1" t="s">
        <v>2130</v>
      </c>
      <c r="E832" s="16" t="n">
        <v>46252</v>
      </c>
      <c r="F832" s="16" t="n">
        <v>46252</v>
      </c>
      <c r="G832" s="1" t="s">
        <v>80</v>
      </c>
      <c r="H832" s="1" t="n">
        <v>1567678</v>
      </c>
      <c r="I832" s="1" t="n">
        <v>6</v>
      </c>
      <c r="J832" s="1" t="s">
        <v>2127</v>
      </c>
      <c r="K832" s="63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2129</v>
      </c>
      <c r="D833" s="1" t="s">
        <v>2271</v>
      </c>
      <c r="E833" s="16" t="n">
        <v>46252</v>
      </c>
      <c r="F833" s="16" t="n">
        <v>46248</v>
      </c>
      <c r="G833" s="1" t="s">
        <v>1919</v>
      </c>
      <c r="H833" s="1" t="n">
        <v>1567784</v>
      </c>
      <c r="I833" s="1" t="n">
        <v>11</v>
      </c>
      <c r="J833" s="1" t="s">
        <v>2127</v>
      </c>
      <c r="K833" s="63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2129</v>
      </c>
      <c r="D834" s="1" t="s">
        <v>2192</v>
      </c>
      <c r="E834" s="16" t="n">
        <v>46252</v>
      </c>
      <c r="F834" s="16" t="n">
        <v>46251</v>
      </c>
      <c r="G834" s="1" t="s">
        <v>253</v>
      </c>
      <c r="H834" s="1" t="n">
        <v>1567749</v>
      </c>
      <c r="I834" s="1" t="n">
        <v>11</v>
      </c>
      <c r="J834" s="1" t="s">
        <v>2127</v>
      </c>
      <c r="K834" s="63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2134</v>
      </c>
      <c r="D835" s="1" t="s">
        <v>2150</v>
      </c>
      <c r="E835" s="16" t="n">
        <v>46253</v>
      </c>
      <c r="F835" s="16" t="n">
        <v>46252</v>
      </c>
      <c r="G835" s="1" t="s">
        <v>179</v>
      </c>
      <c r="H835" s="1" t="n">
        <v>1572771</v>
      </c>
      <c r="I835" s="1" t="n">
        <v>11</v>
      </c>
      <c r="J835" s="1" t="s">
        <v>2127</v>
      </c>
      <c r="K835" s="63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2129</v>
      </c>
      <c r="D836" s="1" t="s">
        <v>2272</v>
      </c>
      <c r="E836" s="16" t="n">
        <v>46253</v>
      </c>
      <c r="F836" s="16" t="n">
        <v>46252</v>
      </c>
      <c r="G836" s="1" t="s">
        <v>1749</v>
      </c>
      <c r="H836" s="1" t="n">
        <v>1572862</v>
      </c>
      <c r="I836" s="1" t="n">
        <v>11</v>
      </c>
      <c r="J836" s="1" t="s">
        <v>2127</v>
      </c>
      <c r="K836" s="63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2250</v>
      </c>
      <c r="D837" s="1" t="s">
        <v>2251</v>
      </c>
      <c r="E837" s="16" t="n">
        <v>46253</v>
      </c>
      <c r="F837" s="16" t="n">
        <v>46253</v>
      </c>
      <c r="G837" s="1" t="s">
        <v>1345</v>
      </c>
      <c r="H837" s="1" t="n">
        <v>1572950</v>
      </c>
      <c r="I837" s="1" t="n">
        <v>11</v>
      </c>
      <c r="J837" s="1" t="s">
        <v>2127</v>
      </c>
      <c r="K837" s="63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2138</v>
      </c>
      <c r="D838" s="1" t="s">
        <v>2243</v>
      </c>
      <c r="E838" s="16" t="n">
        <v>46253</v>
      </c>
      <c r="F838" s="16" t="n">
        <v>46253</v>
      </c>
      <c r="G838" s="1" t="s">
        <v>1114</v>
      </c>
      <c r="H838" s="1" t="n">
        <v>1573201</v>
      </c>
      <c r="I838" s="1" t="n">
        <v>11</v>
      </c>
      <c r="J838" s="1" t="s">
        <v>2127</v>
      </c>
      <c r="K838" s="63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2129</v>
      </c>
      <c r="D839" s="1" t="s">
        <v>2214</v>
      </c>
      <c r="E839" s="16" t="n">
        <v>46253</v>
      </c>
      <c r="F839" s="16" t="n">
        <v>46252</v>
      </c>
      <c r="G839" s="1" t="s">
        <v>320</v>
      </c>
      <c r="H839" s="1" t="n">
        <v>1572727</v>
      </c>
      <c r="I839" s="1" t="n">
        <v>11</v>
      </c>
      <c r="J839" s="1" t="s">
        <v>2127</v>
      </c>
      <c r="K839" s="63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2129</v>
      </c>
      <c r="D840" s="1" t="s">
        <v>2170</v>
      </c>
      <c r="E840" s="16" t="n">
        <v>46253</v>
      </c>
      <c r="F840" s="16" t="n">
        <v>46252</v>
      </c>
      <c r="G840" s="1" t="s">
        <v>373</v>
      </c>
      <c r="H840" s="1" t="n">
        <v>1572785</v>
      </c>
      <c r="I840" s="1" t="n">
        <v>11</v>
      </c>
      <c r="J840" s="1" t="s">
        <v>2127</v>
      </c>
      <c r="K840" s="63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2129</v>
      </c>
      <c r="D841" s="1" t="s">
        <v>2144</v>
      </c>
      <c r="E841" s="16" t="n">
        <v>46253</v>
      </c>
      <c r="F841" s="16" t="n">
        <v>46253</v>
      </c>
      <c r="G841" s="1" t="s">
        <v>170</v>
      </c>
      <c r="H841" s="1" t="n">
        <v>1573212</v>
      </c>
      <c r="I841" s="1" t="n">
        <v>11</v>
      </c>
      <c r="J841" s="1" t="s">
        <v>2127</v>
      </c>
      <c r="K841" s="63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2129</v>
      </c>
      <c r="D842" s="1" t="s">
        <v>2130</v>
      </c>
      <c r="E842" s="16" t="n">
        <v>46253</v>
      </c>
      <c r="F842" s="16" t="n">
        <v>46253</v>
      </c>
      <c r="G842" s="1" t="s">
        <v>80</v>
      </c>
      <c r="H842" s="1" t="n">
        <v>1572636</v>
      </c>
      <c r="I842" s="1" t="n">
        <v>6</v>
      </c>
      <c r="J842" s="1" t="s">
        <v>2127</v>
      </c>
      <c r="K842" s="63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2129</v>
      </c>
      <c r="D843" s="1" t="s">
        <v>2130</v>
      </c>
      <c r="E843" s="16" t="n">
        <v>46253</v>
      </c>
      <c r="F843" s="16" t="n">
        <v>46253</v>
      </c>
      <c r="G843" s="1" t="s">
        <v>80</v>
      </c>
      <c r="H843" s="1" t="n">
        <v>1572665</v>
      </c>
      <c r="I843" s="1" t="n">
        <v>6</v>
      </c>
      <c r="J843" s="1" t="s">
        <v>2127</v>
      </c>
      <c r="K843" s="63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2129</v>
      </c>
      <c r="D844" s="1" t="s">
        <v>2147</v>
      </c>
      <c r="E844" s="16" t="n">
        <v>46253</v>
      </c>
      <c r="F844" s="16" t="n">
        <v>46252</v>
      </c>
      <c r="G844" s="1" t="s">
        <v>125</v>
      </c>
      <c r="H844" s="1" t="n">
        <v>1572847</v>
      </c>
      <c r="I844" s="1" t="n">
        <v>11</v>
      </c>
      <c r="J844" s="1" t="s">
        <v>2127</v>
      </c>
      <c r="K844" s="63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2129</v>
      </c>
      <c r="D845" s="1" t="s">
        <v>2147</v>
      </c>
      <c r="E845" s="16" t="n">
        <v>46253</v>
      </c>
      <c r="F845" s="16" t="n">
        <v>46252</v>
      </c>
      <c r="G845" s="1" t="s">
        <v>125</v>
      </c>
      <c r="H845" s="1" t="n">
        <v>1572817</v>
      </c>
      <c r="I845" s="1" t="n">
        <v>11</v>
      </c>
      <c r="J845" s="1" t="s">
        <v>2127</v>
      </c>
      <c r="K845" s="63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2129</v>
      </c>
      <c r="D846" s="1" t="s">
        <v>2151</v>
      </c>
      <c r="E846" s="16" t="n">
        <v>46254</v>
      </c>
      <c r="F846" s="16" t="n">
        <v>46253</v>
      </c>
      <c r="G846" s="1" t="s">
        <v>274</v>
      </c>
      <c r="H846" s="1" t="n">
        <v>1575828</v>
      </c>
      <c r="I846" s="1" t="n">
        <v>11</v>
      </c>
      <c r="J846" s="1" t="s">
        <v>2127</v>
      </c>
      <c r="K846" s="63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2129</v>
      </c>
      <c r="D847" s="1" t="s">
        <v>2176</v>
      </c>
      <c r="E847" s="16" t="n">
        <v>46254</v>
      </c>
      <c r="F847" s="16" t="n">
        <v>46251</v>
      </c>
      <c r="G847" s="1" t="s">
        <v>49</v>
      </c>
      <c r="H847" s="1" t="n">
        <v>1575872</v>
      </c>
      <c r="I847" s="1" t="n">
        <v>11</v>
      </c>
      <c r="J847" s="1" t="s">
        <v>2127</v>
      </c>
      <c r="K847" s="63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2129</v>
      </c>
      <c r="D848" s="1" t="s">
        <v>2253</v>
      </c>
      <c r="E848" s="16" t="n">
        <v>46254</v>
      </c>
      <c r="F848" s="16" t="n">
        <v>46251</v>
      </c>
      <c r="G848" s="1" t="s">
        <v>1232</v>
      </c>
      <c r="H848" s="1" t="n">
        <v>1575689</v>
      </c>
      <c r="I848" s="1" t="n">
        <v>11</v>
      </c>
      <c r="J848" s="1" t="s">
        <v>2127</v>
      </c>
      <c r="K848" s="63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2129</v>
      </c>
      <c r="D849" s="1" t="s">
        <v>2273</v>
      </c>
      <c r="E849" s="16" t="n">
        <v>46254</v>
      </c>
      <c r="F849" s="16" t="n">
        <v>46248</v>
      </c>
      <c r="G849" s="1" t="s">
        <v>1603</v>
      </c>
      <c r="H849" s="1" t="n">
        <v>1576191</v>
      </c>
      <c r="I849" s="1" t="n">
        <v>11</v>
      </c>
      <c r="J849" s="1" t="s">
        <v>2127</v>
      </c>
      <c r="K849" s="63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2184</v>
      </c>
      <c r="D850" s="1" t="s">
        <v>2186</v>
      </c>
      <c r="E850" s="16" t="n">
        <v>46254</v>
      </c>
      <c r="F850" s="16" t="n">
        <v>46239</v>
      </c>
      <c r="G850" s="1" t="s">
        <v>159</v>
      </c>
      <c r="H850" s="1" t="n">
        <v>1575937</v>
      </c>
      <c r="I850" s="1" t="n">
        <v>11</v>
      </c>
      <c r="J850" s="1" t="s">
        <v>2127</v>
      </c>
      <c r="K850" s="63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2129</v>
      </c>
      <c r="D851" s="1" t="s">
        <v>2130</v>
      </c>
      <c r="E851" s="16" t="n">
        <v>46254</v>
      </c>
      <c r="F851" s="16" t="n">
        <v>46254</v>
      </c>
      <c r="G851" s="1" t="s">
        <v>80</v>
      </c>
      <c r="H851" s="1" t="n">
        <v>1575752</v>
      </c>
      <c r="I851" s="1" t="n">
        <v>6</v>
      </c>
      <c r="J851" s="1" t="s">
        <v>2127</v>
      </c>
      <c r="K851" s="63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2129</v>
      </c>
      <c r="D852" s="1" t="s">
        <v>2130</v>
      </c>
      <c r="E852" s="16" t="n">
        <v>46254</v>
      </c>
      <c r="F852" s="16" t="n">
        <v>46254</v>
      </c>
      <c r="G852" s="1" t="s">
        <v>80</v>
      </c>
      <c r="H852" s="1" t="n">
        <v>1575781</v>
      </c>
      <c r="I852" s="1" t="n">
        <v>6</v>
      </c>
      <c r="J852" s="1" t="s">
        <v>2127</v>
      </c>
      <c r="K852" s="63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2129</v>
      </c>
      <c r="D853" s="1" t="s">
        <v>2130</v>
      </c>
      <c r="E853" s="16" t="n">
        <v>46254</v>
      </c>
      <c r="F853" s="16" t="n">
        <v>46254</v>
      </c>
      <c r="G853" s="1" t="s">
        <v>80</v>
      </c>
      <c r="H853" s="1" t="n">
        <v>1575807</v>
      </c>
      <c r="I853" s="1" t="n">
        <v>6</v>
      </c>
      <c r="J853" s="1" t="s">
        <v>2127</v>
      </c>
      <c r="K853" s="63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2129</v>
      </c>
      <c r="D854" s="1" t="s">
        <v>2130</v>
      </c>
      <c r="E854" s="16" t="n">
        <v>46254</v>
      </c>
      <c r="F854" s="16" t="n">
        <v>46254</v>
      </c>
      <c r="G854" s="1" t="s">
        <v>80</v>
      </c>
      <c r="H854" s="1" t="n">
        <v>1576169</v>
      </c>
      <c r="I854" s="1" t="n">
        <v>6</v>
      </c>
      <c r="J854" s="1" t="s">
        <v>2127</v>
      </c>
      <c r="K854" s="63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2086</v>
      </c>
      <c r="C1" s="1" t="s">
        <v>2274</v>
      </c>
      <c r="D1" s="1" t="s">
        <v>2275</v>
      </c>
      <c r="E1" s="1" t="s">
        <v>2276</v>
      </c>
      <c r="F1" s="1" t="s">
        <v>13</v>
      </c>
      <c r="I1" s="1" t="s">
        <v>2277</v>
      </c>
      <c r="J1" s="1" t="s">
        <v>2278</v>
      </c>
      <c r="K1" s="1" t="s">
        <v>2279</v>
      </c>
      <c r="L1" s="1" t="s">
        <v>2280</v>
      </c>
      <c r="N1" s="1" t="s">
        <v>2281</v>
      </c>
      <c r="O1" s="1" t="s">
        <v>2282</v>
      </c>
    </row>
    <row r="2" customFormat="false" ht="15" hidden="false" customHeight="true" outlineLevel="0" collapsed="false">
      <c r="A2" s="1" t="n">
        <v>3</v>
      </c>
      <c r="B2" s="15" t="n">
        <v>46174</v>
      </c>
      <c r="C2" s="1" t="n">
        <v>2</v>
      </c>
      <c r="D2" s="1" t="s">
        <v>2283</v>
      </c>
      <c r="E2" s="1" t="n">
        <v>42</v>
      </c>
      <c r="F2" s="1" t="s">
        <v>80</v>
      </c>
      <c r="I2" s="1" t="n">
        <v>10601</v>
      </c>
      <c r="J2" s="1" t="n">
        <v>109791</v>
      </c>
      <c r="K2" s="1" t="n">
        <v>9667</v>
      </c>
      <c r="L2" s="1" t="s">
        <v>2284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5" t="n">
        <v>46174</v>
      </c>
      <c r="C3" s="1" t="n">
        <v>2</v>
      </c>
      <c r="D3" s="1" t="s">
        <v>2283</v>
      </c>
      <c r="E3" s="1" t="n">
        <v>42</v>
      </c>
      <c r="F3" s="1" t="s">
        <v>80</v>
      </c>
      <c r="I3" s="1" t="n">
        <v>10601</v>
      </c>
      <c r="J3" s="1" t="n">
        <v>37359</v>
      </c>
      <c r="K3" s="1" t="n">
        <v>55526</v>
      </c>
      <c r="L3" s="1" t="s">
        <v>2285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5" t="n">
        <v>46174</v>
      </c>
      <c r="C4" s="1" t="n">
        <v>2</v>
      </c>
      <c r="D4" s="1" t="s">
        <v>2283</v>
      </c>
      <c r="E4" s="1" t="n">
        <v>42</v>
      </c>
      <c r="F4" s="1" t="s">
        <v>80</v>
      </c>
      <c r="I4" s="1" t="n">
        <v>10601</v>
      </c>
      <c r="J4" s="1" t="n">
        <v>37361</v>
      </c>
      <c r="K4" s="1" t="n">
        <v>2240817</v>
      </c>
      <c r="L4" s="1" t="s">
        <v>2286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5" t="n">
        <v>46174</v>
      </c>
      <c r="C5" s="1" t="n">
        <v>2</v>
      </c>
      <c r="D5" s="1" t="s">
        <v>2283</v>
      </c>
      <c r="E5" s="1" t="n">
        <v>42</v>
      </c>
      <c r="F5" s="1" t="s">
        <v>80</v>
      </c>
      <c r="I5" s="1" t="n">
        <v>10602</v>
      </c>
      <c r="J5" s="1" t="n">
        <v>100103</v>
      </c>
      <c r="K5" s="1" t="n">
        <v>104</v>
      </c>
      <c r="L5" s="1" t="s">
        <v>2287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5" t="n">
        <v>46174</v>
      </c>
      <c r="C6" s="1" t="n">
        <v>2</v>
      </c>
      <c r="D6" s="1" t="s">
        <v>2283</v>
      </c>
      <c r="E6" s="1" t="n">
        <v>42</v>
      </c>
      <c r="F6" s="1" t="s">
        <v>80</v>
      </c>
      <c r="I6" s="1" t="n">
        <v>10603</v>
      </c>
      <c r="J6" s="1" t="n">
        <v>72679</v>
      </c>
      <c r="K6" s="1" t="n">
        <v>246</v>
      </c>
      <c r="L6" s="1" t="s">
        <v>2288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5" t="n">
        <v>46174</v>
      </c>
      <c r="C7" s="1" t="n">
        <v>6</v>
      </c>
      <c r="D7" s="1" t="s">
        <v>2289</v>
      </c>
      <c r="E7" s="1" t="n">
        <v>42</v>
      </c>
      <c r="F7" s="1" t="s">
        <v>80</v>
      </c>
      <c r="I7" s="1" t="n">
        <v>4219</v>
      </c>
      <c r="J7" s="1" t="n">
        <v>109791</v>
      </c>
      <c r="K7" s="1" t="n">
        <v>9667</v>
      </c>
      <c r="L7" s="1" t="s">
        <v>2284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5" t="n">
        <v>46174</v>
      </c>
      <c r="C8" s="1" t="n">
        <v>6</v>
      </c>
      <c r="D8" s="1" t="s">
        <v>2289</v>
      </c>
      <c r="E8" s="1" t="n">
        <v>42</v>
      </c>
      <c r="F8" s="1" t="s">
        <v>80</v>
      </c>
      <c r="I8" s="1" t="n">
        <v>4219</v>
      </c>
      <c r="J8" s="1" t="n">
        <v>37359</v>
      </c>
      <c r="K8" s="1" t="n">
        <v>55526</v>
      </c>
      <c r="L8" s="1" t="s">
        <v>2285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5" t="n">
        <v>46174</v>
      </c>
      <c r="C9" s="1" t="n">
        <v>6</v>
      </c>
      <c r="D9" s="1" t="s">
        <v>2289</v>
      </c>
      <c r="E9" s="1" t="n">
        <v>42</v>
      </c>
      <c r="F9" s="1" t="s">
        <v>80</v>
      </c>
      <c r="I9" s="1" t="n">
        <v>4219</v>
      </c>
      <c r="J9" s="1" t="n">
        <v>37361</v>
      </c>
      <c r="K9" s="1" t="n">
        <v>2240817</v>
      </c>
      <c r="L9" s="1" t="s">
        <v>2286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5" t="n">
        <v>46174</v>
      </c>
      <c r="C10" s="1" t="n">
        <v>6</v>
      </c>
      <c r="D10" s="1" t="s">
        <v>2289</v>
      </c>
      <c r="E10" s="1" t="n">
        <v>42</v>
      </c>
      <c r="F10" s="1" t="s">
        <v>80</v>
      </c>
      <c r="I10" s="1" t="n">
        <v>4220</v>
      </c>
      <c r="J10" s="1" t="n">
        <v>100103</v>
      </c>
      <c r="K10" s="1" t="n">
        <v>104</v>
      </c>
      <c r="L10" s="1" t="s">
        <v>2287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5" t="n">
        <v>46174</v>
      </c>
      <c r="C11" s="1" t="n">
        <v>6</v>
      </c>
      <c r="D11" s="1" t="s">
        <v>2289</v>
      </c>
      <c r="E11" s="1" t="n">
        <v>42</v>
      </c>
      <c r="F11" s="1" t="s">
        <v>80</v>
      </c>
      <c r="I11" s="1" t="n">
        <v>4221</v>
      </c>
      <c r="J11" s="1" t="n">
        <v>72679</v>
      </c>
      <c r="K11" s="1" t="n">
        <v>246</v>
      </c>
      <c r="L11" s="1" t="s">
        <v>2288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5" t="n">
        <v>46174</v>
      </c>
      <c r="C12" s="1" t="n">
        <v>11</v>
      </c>
      <c r="D12" s="1" t="s">
        <v>2290</v>
      </c>
      <c r="E12" s="1" t="n">
        <v>1705</v>
      </c>
      <c r="F12" s="1" t="s">
        <v>122</v>
      </c>
      <c r="I12" s="1" t="n">
        <v>1144721</v>
      </c>
      <c r="J12" s="1" t="n">
        <v>104029</v>
      </c>
      <c r="K12" s="1" t="n">
        <v>7896045512317</v>
      </c>
      <c r="L12" s="1" t="s">
        <v>2291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5" t="n">
        <v>46174</v>
      </c>
      <c r="C13" s="1" t="n">
        <v>11</v>
      </c>
      <c r="D13" s="1" t="s">
        <v>2290</v>
      </c>
      <c r="E13" s="1" t="n">
        <v>1705</v>
      </c>
      <c r="F13" s="1" t="s">
        <v>122</v>
      </c>
      <c r="I13" s="1" t="n">
        <v>1144721</v>
      </c>
      <c r="J13" s="1" t="n">
        <v>24324</v>
      </c>
      <c r="K13" s="1" t="n">
        <v>70847022015</v>
      </c>
      <c r="L13" s="1" t="s">
        <v>2292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5" t="n">
        <v>46174</v>
      </c>
      <c r="C14" s="1" t="n">
        <v>11</v>
      </c>
      <c r="D14" s="1" t="s">
        <v>2290</v>
      </c>
      <c r="E14" s="1" t="n">
        <v>1705</v>
      </c>
      <c r="F14" s="1" t="s">
        <v>122</v>
      </c>
      <c r="I14" s="1" t="n">
        <v>1144721</v>
      </c>
      <c r="J14" s="1" t="n">
        <v>25136</v>
      </c>
      <c r="K14" s="1" t="n">
        <v>70847022206</v>
      </c>
      <c r="L14" s="1" t="s">
        <v>2293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5" t="n">
        <v>46174</v>
      </c>
      <c r="C15" s="1" t="n">
        <v>11</v>
      </c>
      <c r="D15" s="1" t="s">
        <v>2290</v>
      </c>
      <c r="E15" s="1" t="n">
        <v>1705</v>
      </c>
      <c r="F15" s="1" t="s">
        <v>122</v>
      </c>
      <c r="I15" s="1" t="n">
        <v>1144721</v>
      </c>
      <c r="J15" s="1" t="n">
        <v>29747</v>
      </c>
      <c r="K15" s="1" t="n">
        <v>70847022305</v>
      </c>
      <c r="L15" s="1" t="s">
        <v>2294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5" t="n">
        <v>46174</v>
      </c>
      <c r="C16" s="1" t="n">
        <v>11</v>
      </c>
      <c r="D16" s="1" t="s">
        <v>2290</v>
      </c>
      <c r="E16" s="1" t="n">
        <v>1705</v>
      </c>
      <c r="F16" s="1" t="s">
        <v>122</v>
      </c>
      <c r="I16" s="1" t="n">
        <v>1144721</v>
      </c>
      <c r="J16" s="1" t="n">
        <v>47082</v>
      </c>
      <c r="K16" s="1" t="n">
        <v>1220000250031</v>
      </c>
      <c r="L16" s="1" t="s">
        <v>2295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5" t="n">
        <v>46174</v>
      </c>
      <c r="C17" s="1" t="n">
        <v>11</v>
      </c>
      <c r="D17" s="1" t="s">
        <v>2290</v>
      </c>
      <c r="E17" s="1" t="n">
        <v>1705</v>
      </c>
      <c r="F17" s="1" t="s">
        <v>122</v>
      </c>
      <c r="I17" s="1" t="n">
        <v>1144721</v>
      </c>
      <c r="J17" s="1" t="n">
        <v>54315</v>
      </c>
      <c r="K17" s="1" t="n">
        <v>1220000250222</v>
      </c>
      <c r="L17" s="1" t="s">
        <v>2296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5" t="n">
        <v>46174</v>
      </c>
      <c r="C18" s="1" t="n">
        <v>11</v>
      </c>
      <c r="D18" s="1" t="s">
        <v>2290</v>
      </c>
      <c r="E18" s="1" t="n">
        <v>1705</v>
      </c>
      <c r="F18" s="1" t="s">
        <v>122</v>
      </c>
      <c r="I18" s="1" t="n">
        <v>1144721</v>
      </c>
      <c r="J18" s="1" t="n">
        <v>61087</v>
      </c>
      <c r="K18" s="1" t="n">
        <v>7894900500035</v>
      </c>
      <c r="L18" s="1" t="s">
        <v>2297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5" t="n">
        <v>46174</v>
      </c>
      <c r="C19" s="1" t="n">
        <v>11</v>
      </c>
      <c r="D19" s="1" t="s">
        <v>2290</v>
      </c>
      <c r="E19" s="1" t="n">
        <v>1705</v>
      </c>
      <c r="F19" s="1" t="s">
        <v>122</v>
      </c>
      <c r="I19" s="1" t="n">
        <v>1144721</v>
      </c>
      <c r="J19" s="1" t="n">
        <v>74598</v>
      </c>
      <c r="K19" s="1" t="n">
        <v>7898938890113</v>
      </c>
      <c r="L19" s="1" t="s">
        <v>2298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5" t="n">
        <v>46174</v>
      </c>
      <c r="C20" s="1" t="n">
        <v>11</v>
      </c>
      <c r="D20" s="1" t="s">
        <v>2290</v>
      </c>
      <c r="E20" s="1" t="n">
        <v>1705</v>
      </c>
      <c r="F20" s="1" t="s">
        <v>122</v>
      </c>
      <c r="I20" s="1" t="n">
        <v>1144721</v>
      </c>
      <c r="J20" s="1" t="n">
        <v>77914</v>
      </c>
      <c r="K20" s="1" t="n">
        <v>7894900530001</v>
      </c>
      <c r="L20" s="1" t="s">
        <v>2299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5" t="n">
        <v>46174</v>
      </c>
      <c r="C21" s="1" t="n">
        <v>11</v>
      </c>
      <c r="D21" s="1" t="s">
        <v>2290</v>
      </c>
      <c r="E21" s="1" t="n">
        <v>1705</v>
      </c>
      <c r="F21" s="1" t="s">
        <v>122</v>
      </c>
      <c r="I21" s="1" t="n">
        <v>1144721</v>
      </c>
      <c r="J21" s="1" t="n">
        <v>78241</v>
      </c>
      <c r="K21" s="1" t="n">
        <v>7898938890120</v>
      </c>
      <c r="L21" s="1" t="s">
        <v>2300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5" t="n">
        <v>46174</v>
      </c>
      <c r="C22" s="1" t="n">
        <v>11</v>
      </c>
      <c r="D22" s="1" t="s">
        <v>2290</v>
      </c>
      <c r="E22" s="1" t="n">
        <v>1705</v>
      </c>
      <c r="F22" s="1" t="s">
        <v>122</v>
      </c>
      <c r="I22" s="1" t="n">
        <v>1144721</v>
      </c>
      <c r="J22" s="1" t="n">
        <v>80695</v>
      </c>
      <c r="K22" s="1" t="n">
        <v>7894900509809</v>
      </c>
      <c r="L22" s="1" t="s">
        <v>2301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5" t="n">
        <v>46174</v>
      </c>
      <c r="C23" s="1" t="n">
        <v>11</v>
      </c>
      <c r="D23" s="1" t="s">
        <v>2290</v>
      </c>
      <c r="E23" s="1" t="n">
        <v>1705</v>
      </c>
      <c r="F23" s="1" t="s">
        <v>122</v>
      </c>
      <c r="I23" s="1" t="n">
        <v>1144721</v>
      </c>
      <c r="J23" s="1" t="n">
        <v>80906</v>
      </c>
      <c r="K23" s="1" t="n">
        <v>7894900509700</v>
      </c>
      <c r="L23" s="1" t="s">
        <v>2302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5" t="n">
        <v>46174</v>
      </c>
      <c r="C24" s="1" t="n">
        <v>11</v>
      </c>
      <c r="D24" s="1" t="s">
        <v>2290</v>
      </c>
      <c r="E24" s="1" t="n">
        <v>1705</v>
      </c>
      <c r="F24" s="1" t="s">
        <v>122</v>
      </c>
      <c r="I24" s="1" t="n">
        <v>1858819</v>
      </c>
      <c r="J24" s="1" t="n">
        <v>103139</v>
      </c>
      <c r="K24" s="1" t="n">
        <v>7894900051759</v>
      </c>
      <c r="L24" s="1" t="s">
        <v>2303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5" t="n">
        <v>46174</v>
      </c>
      <c r="C25" s="1" t="n">
        <v>11</v>
      </c>
      <c r="D25" s="1" t="s">
        <v>2290</v>
      </c>
      <c r="E25" s="1" t="n">
        <v>1705</v>
      </c>
      <c r="F25" s="1" t="s">
        <v>122</v>
      </c>
      <c r="I25" s="1" t="n">
        <v>1858819</v>
      </c>
      <c r="J25" s="1" t="n">
        <v>103140</v>
      </c>
      <c r="K25" s="1" t="n">
        <v>7894900031751</v>
      </c>
      <c r="L25" s="1" t="s">
        <v>2304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5" t="n">
        <v>46174</v>
      </c>
      <c r="C26" s="1" t="n">
        <v>11</v>
      </c>
      <c r="D26" s="1" t="s">
        <v>2290</v>
      </c>
      <c r="E26" s="1" t="n">
        <v>1705</v>
      </c>
      <c r="F26" s="1" t="s">
        <v>122</v>
      </c>
      <c r="I26" s="1" t="n">
        <v>1858819</v>
      </c>
      <c r="J26" s="1" t="n">
        <v>103142</v>
      </c>
      <c r="K26" s="1" t="n">
        <v>7894900011753</v>
      </c>
      <c r="L26" s="1" t="s">
        <v>2305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5" t="n">
        <v>46174</v>
      </c>
      <c r="C27" s="1" t="n">
        <v>11</v>
      </c>
      <c r="D27" s="1" t="s">
        <v>2290</v>
      </c>
      <c r="E27" s="1" t="n">
        <v>1705</v>
      </c>
      <c r="F27" s="1" t="s">
        <v>122</v>
      </c>
      <c r="I27" s="1" t="n">
        <v>1858819</v>
      </c>
      <c r="J27" s="1" t="n">
        <v>103145</v>
      </c>
      <c r="K27" s="1" t="n">
        <v>7894900051513</v>
      </c>
      <c r="L27" s="1" t="s">
        <v>2306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5" t="n">
        <v>46174</v>
      </c>
      <c r="C28" s="1" t="n">
        <v>11</v>
      </c>
      <c r="D28" s="1" t="s">
        <v>2290</v>
      </c>
      <c r="E28" s="1" t="n">
        <v>1705</v>
      </c>
      <c r="F28" s="1" t="s">
        <v>122</v>
      </c>
      <c r="I28" s="1" t="n">
        <v>1858819</v>
      </c>
      <c r="J28" s="1" t="n">
        <v>105323</v>
      </c>
      <c r="K28" s="1" t="n">
        <v>7894900701753</v>
      </c>
      <c r="L28" s="1" t="s">
        <v>2307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5" t="n">
        <v>46174</v>
      </c>
      <c r="C29" s="1" t="n">
        <v>11</v>
      </c>
      <c r="D29" s="1" t="s">
        <v>2290</v>
      </c>
      <c r="E29" s="1" t="n">
        <v>1705</v>
      </c>
      <c r="F29" s="1" t="s">
        <v>122</v>
      </c>
      <c r="I29" s="1" t="n">
        <v>1858819</v>
      </c>
      <c r="J29" s="1" t="n">
        <v>18192</v>
      </c>
      <c r="K29" s="1" t="n">
        <v>7894900320015</v>
      </c>
      <c r="L29" s="1" t="s">
        <v>2308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5" t="n">
        <v>46174</v>
      </c>
      <c r="C30" s="1" t="n">
        <v>11</v>
      </c>
      <c r="D30" s="1" t="s">
        <v>2290</v>
      </c>
      <c r="E30" s="1" t="n">
        <v>1705</v>
      </c>
      <c r="F30" s="1" t="s">
        <v>122</v>
      </c>
      <c r="I30" s="1" t="n">
        <v>1858819</v>
      </c>
      <c r="J30" s="1" t="n">
        <v>21426</v>
      </c>
      <c r="K30" s="1" t="n">
        <v>7894900014211</v>
      </c>
      <c r="L30" s="1" t="s">
        <v>2309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5" t="n">
        <v>46174</v>
      </c>
      <c r="C31" s="1" t="n">
        <v>11</v>
      </c>
      <c r="D31" s="1" t="s">
        <v>2290</v>
      </c>
      <c r="E31" s="1" t="n">
        <v>1705</v>
      </c>
      <c r="F31" s="1" t="s">
        <v>122</v>
      </c>
      <c r="I31" s="1" t="n">
        <v>1858819</v>
      </c>
      <c r="J31" s="1" t="n">
        <v>31367</v>
      </c>
      <c r="K31" s="1" t="n">
        <v>7894900704211</v>
      </c>
      <c r="L31" s="1" t="s">
        <v>2310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5" t="n">
        <v>46174</v>
      </c>
      <c r="C32" s="1" t="n">
        <v>11</v>
      </c>
      <c r="D32" s="1" t="s">
        <v>2290</v>
      </c>
      <c r="E32" s="1" t="n">
        <v>1705</v>
      </c>
      <c r="F32" s="1" t="s">
        <v>122</v>
      </c>
      <c r="I32" s="1" t="n">
        <v>1858819</v>
      </c>
      <c r="J32" s="1" t="n">
        <v>32086</v>
      </c>
      <c r="K32" s="1" t="n">
        <v>7894900027037</v>
      </c>
      <c r="L32" s="1" t="s">
        <v>2311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5" t="n">
        <v>46174</v>
      </c>
      <c r="C33" s="1" t="n">
        <v>11</v>
      </c>
      <c r="D33" s="1" t="s">
        <v>2290</v>
      </c>
      <c r="E33" s="1" t="n">
        <v>1705</v>
      </c>
      <c r="F33" s="1" t="s">
        <v>122</v>
      </c>
      <c r="I33" s="1" t="n">
        <v>1858819</v>
      </c>
      <c r="J33" s="1" t="n">
        <v>33864</v>
      </c>
      <c r="K33" s="1" t="n">
        <v>7894900556162</v>
      </c>
      <c r="L33" s="1" t="s">
        <v>2312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5" t="n">
        <v>46174</v>
      </c>
      <c r="C34" s="1" t="n">
        <v>11</v>
      </c>
      <c r="D34" s="1" t="s">
        <v>2290</v>
      </c>
      <c r="E34" s="1" t="n">
        <v>1705</v>
      </c>
      <c r="F34" s="1" t="s">
        <v>122</v>
      </c>
      <c r="I34" s="1" t="n">
        <v>1858819</v>
      </c>
      <c r="J34" s="1" t="n">
        <v>34629</v>
      </c>
      <c r="K34" s="1" t="n">
        <v>7894900027020</v>
      </c>
      <c r="L34" s="1" t="s">
        <v>2313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5" t="n">
        <v>46174</v>
      </c>
      <c r="C35" s="1" t="n">
        <v>11</v>
      </c>
      <c r="D35" s="1" t="s">
        <v>2290</v>
      </c>
      <c r="E35" s="1" t="n">
        <v>1705</v>
      </c>
      <c r="F35" s="1" t="s">
        <v>122</v>
      </c>
      <c r="I35" s="1" t="n">
        <v>1858819</v>
      </c>
      <c r="J35" s="1" t="n">
        <v>37279</v>
      </c>
      <c r="K35" s="1" t="n">
        <v>7894900027013</v>
      </c>
      <c r="L35" s="1" t="s">
        <v>2305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5" t="n">
        <v>46174</v>
      </c>
      <c r="C36" s="1" t="n">
        <v>11</v>
      </c>
      <c r="D36" s="1" t="s">
        <v>2290</v>
      </c>
      <c r="E36" s="1" t="n">
        <v>1705</v>
      </c>
      <c r="F36" s="1" t="s">
        <v>122</v>
      </c>
      <c r="I36" s="1" t="n">
        <v>1858819</v>
      </c>
      <c r="J36" s="1" t="n">
        <v>38978</v>
      </c>
      <c r="K36" s="1" t="n">
        <v>7894900034097</v>
      </c>
      <c r="L36" s="1" t="s">
        <v>2314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5" t="n">
        <v>46174</v>
      </c>
      <c r="C37" s="1" t="n">
        <v>11</v>
      </c>
      <c r="D37" s="1" t="s">
        <v>2290</v>
      </c>
      <c r="E37" s="1" t="n">
        <v>1705</v>
      </c>
      <c r="F37" s="1" t="s">
        <v>122</v>
      </c>
      <c r="I37" s="1" t="n">
        <v>1858819</v>
      </c>
      <c r="J37" s="1" t="n">
        <v>38984</v>
      </c>
      <c r="K37" s="1" t="n">
        <v>7894900027457</v>
      </c>
      <c r="L37" s="1" t="s">
        <v>2315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5" t="n">
        <v>46174</v>
      </c>
      <c r="C38" s="1" t="n">
        <v>11</v>
      </c>
      <c r="D38" s="1" t="s">
        <v>2290</v>
      </c>
      <c r="E38" s="1" t="n">
        <v>1705</v>
      </c>
      <c r="F38" s="1" t="s">
        <v>122</v>
      </c>
      <c r="I38" s="1" t="n">
        <v>1858819</v>
      </c>
      <c r="J38" s="1" t="n">
        <v>38985</v>
      </c>
      <c r="K38" s="1" t="n">
        <v>7894900044096</v>
      </c>
      <c r="L38" s="1" t="s">
        <v>2316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5" t="n">
        <v>46175</v>
      </c>
      <c r="C39" s="1" t="n">
        <v>1</v>
      </c>
      <c r="D39" s="1" t="s">
        <v>2317</v>
      </c>
      <c r="E39" s="1" t="n">
        <v>10043</v>
      </c>
      <c r="F39" s="1" t="s">
        <v>112</v>
      </c>
      <c r="I39" s="1" t="n">
        <v>677</v>
      </c>
      <c r="J39" s="1" t="n">
        <v>52096</v>
      </c>
      <c r="K39" s="1" t="n">
        <v>144315</v>
      </c>
      <c r="L39" s="1" t="s">
        <v>2318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5" t="n">
        <v>46175</v>
      </c>
      <c r="C40" s="1" t="n">
        <v>1</v>
      </c>
      <c r="D40" s="1" t="s">
        <v>2317</v>
      </c>
      <c r="E40" s="1" t="n">
        <v>1615</v>
      </c>
      <c r="F40" s="1" t="s">
        <v>130</v>
      </c>
      <c r="I40" s="1" t="n">
        <v>14606</v>
      </c>
      <c r="J40" s="1" t="n">
        <v>55350</v>
      </c>
      <c r="K40" s="1" t="n">
        <v>609963080076</v>
      </c>
      <c r="L40" s="1" t="s">
        <v>2319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5" t="n">
        <v>46175</v>
      </c>
      <c r="C41" s="1" t="n">
        <v>2</v>
      </c>
      <c r="D41" s="1" t="s">
        <v>2283</v>
      </c>
      <c r="E41" s="1" t="n">
        <v>42</v>
      </c>
      <c r="F41" s="1" t="s">
        <v>80</v>
      </c>
      <c r="I41" s="1" t="n">
        <v>20601</v>
      </c>
      <c r="J41" s="1" t="n">
        <v>109791</v>
      </c>
      <c r="K41" s="1" t="n">
        <v>9667</v>
      </c>
      <c r="L41" s="1" t="s">
        <v>2284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5" t="n">
        <v>46175</v>
      </c>
      <c r="C42" s="1" t="n">
        <v>2</v>
      </c>
      <c r="D42" s="1" t="s">
        <v>2283</v>
      </c>
      <c r="E42" s="1" t="n">
        <v>42</v>
      </c>
      <c r="F42" s="1" t="s">
        <v>80</v>
      </c>
      <c r="I42" s="1" t="n">
        <v>20601</v>
      </c>
      <c r="J42" s="1" t="n">
        <v>37359</v>
      </c>
      <c r="K42" s="1" t="n">
        <v>55526</v>
      </c>
      <c r="L42" s="1" t="s">
        <v>2285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5" t="n">
        <v>46175</v>
      </c>
      <c r="C43" s="1" t="n">
        <v>2</v>
      </c>
      <c r="D43" s="1" t="s">
        <v>2283</v>
      </c>
      <c r="E43" s="1" t="n">
        <v>42</v>
      </c>
      <c r="F43" s="1" t="s">
        <v>80</v>
      </c>
      <c r="I43" s="1" t="n">
        <v>20601</v>
      </c>
      <c r="J43" s="1" t="n">
        <v>37361</v>
      </c>
      <c r="K43" s="1" t="n">
        <v>2240817</v>
      </c>
      <c r="L43" s="1" t="s">
        <v>2286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5" t="n">
        <v>46175</v>
      </c>
      <c r="C44" s="1" t="n">
        <v>2</v>
      </c>
      <c r="D44" s="1" t="s">
        <v>2283</v>
      </c>
      <c r="E44" s="1" t="n">
        <v>42</v>
      </c>
      <c r="F44" s="1" t="s">
        <v>80</v>
      </c>
      <c r="I44" s="1" t="n">
        <v>20602</v>
      </c>
      <c r="J44" s="1" t="n">
        <v>100062</v>
      </c>
      <c r="K44" s="1" t="n">
        <v>63</v>
      </c>
      <c r="L44" s="1" t="s">
        <v>2320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5" t="n">
        <v>46175</v>
      </c>
      <c r="C45" s="1" t="n">
        <v>2</v>
      </c>
      <c r="D45" s="1" t="s">
        <v>2283</v>
      </c>
      <c r="E45" s="1" t="n">
        <v>42</v>
      </c>
      <c r="F45" s="1" t="s">
        <v>80</v>
      </c>
      <c r="I45" s="1" t="n">
        <v>20602</v>
      </c>
      <c r="J45" s="1" t="n">
        <v>100104</v>
      </c>
      <c r="K45" s="1" t="n">
        <v>105</v>
      </c>
      <c r="L45" s="1" t="s">
        <v>2321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5" t="n">
        <v>46175</v>
      </c>
      <c r="C46" s="1" t="n">
        <v>2</v>
      </c>
      <c r="D46" s="1" t="s">
        <v>2283</v>
      </c>
      <c r="E46" s="1" t="n">
        <v>42</v>
      </c>
      <c r="F46" s="1" t="s">
        <v>80</v>
      </c>
      <c r="I46" s="1" t="n">
        <v>20602</v>
      </c>
      <c r="J46" s="1" t="n">
        <v>100105</v>
      </c>
      <c r="K46" s="1" t="n">
        <v>106</v>
      </c>
      <c r="L46" s="1" t="s">
        <v>2322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5" t="n">
        <v>46175</v>
      </c>
      <c r="C47" s="1" t="n">
        <v>2</v>
      </c>
      <c r="D47" s="1" t="s">
        <v>2283</v>
      </c>
      <c r="E47" s="1" t="n">
        <v>42</v>
      </c>
      <c r="F47" s="1" t="s">
        <v>80</v>
      </c>
      <c r="I47" s="1" t="n">
        <v>20602</v>
      </c>
      <c r="J47" s="1" t="n">
        <v>100107</v>
      </c>
      <c r="K47" s="1" t="n">
        <v>108</v>
      </c>
      <c r="L47" s="1" t="s">
        <v>2323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5" t="n">
        <v>46175</v>
      </c>
      <c r="C48" s="1" t="n">
        <v>2</v>
      </c>
      <c r="D48" s="1" t="s">
        <v>2283</v>
      </c>
      <c r="E48" s="1" t="n">
        <v>42</v>
      </c>
      <c r="F48" s="1" t="s">
        <v>80</v>
      </c>
      <c r="I48" s="1" t="n">
        <v>20602</v>
      </c>
      <c r="J48" s="1" t="n">
        <v>100109</v>
      </c>
      <c r="K48" s="1" t="n">
        <v>110</v>
      </c>
      <c r="L48" s="1" t="s">
        <v>2324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5" t="n">
        <v>46175</v>
      </c>
      <c r="C49" s="1" t="n">
        <v>2</v>
      </c>
      <c r="D49" s="1" t="s">
        <v>2283</v>
      </c>
      <c r="E49" s="1" t="n">
        <v>42</v>
      </c>
      <c r="F49" s="1" t="s">
        <v>80</v>
      </c>
      <c r="I49" s="1" t="n">
        <v>20602</v>
      </c>
      <c r="J49" s="1" t="n">
        <v>100112</v>
      </c>
      <c r="K49" s="1" t="n">
        <v>113</v>
      </c>
      <c r="L49" s="1" t="s">
        <v>2325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5" t="n">
        <v>46175</v>
      </c>
      <c r="C50" s="1" t="n">
        <v>2</v>
      </c>
      <c r="D50" s="1" t="s">
        <v>2283</v>
      </c>
      <c r="E50" s="1" t="n">
        <v>42</v>
      </c>
      <c r="F50" s="1" t="s">
        <v>80</v>
      </c>
      <c r="I50" s="1" t="n">
        <v>20602</v>
      </c>
      <c r="J50" s="1" t="n">
        <v>100113</v>
      </c>
      <c r="K50" s="1" t="n">
        <v>114</v>
      </c>
      <c r="L50" s="1" t="s">
        <v>2326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5" t="n">
        <v>46175</v>
      </c>
      <c r="C51" s="1" t="n">
        <v>2</v>
      </c>
      <c r="D51" s="1" t="s">
        <v>2283</v>
      </c>
      <c r="E51" s="1" t="n">
        <v>42</v>
      </c>
      <c r="F51" s="1" t="s">
        <v>80</v>
      </c>
      <c r="I51" s="1" t="n">
        <v>20602</v>
      </c>
      <c r="J51" s="1" t="n">
        <v>100116</v>
      </c>
      <c r="K51" s="1" t="n">
        <v>117</v>
      </c>
      <c r="L51" s="1" t="s">
        <v>2327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5" t="n">
        <v>46175</v>
      </c>
      <c r="C52" s="1" t="n">
        <v>2</v>
      </c>
      <c r="D52" s="1" t="s">
        <v>2283</v>
      </c>
      <c r="E52" s="1" t="n">
        <v>42</v>
      </c>
      <c r="F52" s="1" t="s">
        <v>80</v>
      </c>
      <c r="I52" s="1" t="n">
        <v>20602</v>
      </c>
      <c r="J52" s="1" t="n">
        <v>100118</v>
      </c>
      <c r="K52" s="1" t="n">
        <v>119</v>
      </c>
      <c r="L52" s="1" t="s">
        <v>2328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5" t="n">
        <v>46175</v>
      </c>
      <c r="C53" s="1" t="n">
        <v>2</v>
      </c>
      <c r="D53" s="1" t="s">
        <v>2283</v>
      </c>
      <c r="E53" s="1" t="n">
        <v>42</v>
      </c>
      <c r="F53" s="1" t="s">
        <v>80</v>
      </c>
      <c r="I53" s="1" t="n">
        <v>20602</v>
      </c>
      <c r="J53" s="1" t="n">
        <v>100121</v>
      </c>
      <c r="K53" s="1" t="n">
        <v>122</v>
      </c>
      <c r="L53" s="1" t="s">
        <v>2329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5" t="n">
        <v>46175</v>
      </c>
      <c r="C54" s="1" t="n">
        <v>2</v>
      </c>
      <c r="D54" s="1" t="s">
        <v>2283</v>
      </c>
      <c r="E54" s="1" t="n">
        <v>42</v>
      </c>
      <c r="F54" s="1" t="s">
        <v>80</v>
      </c>
      <c r="I54" s="1" t="n">
        <v>20602</v>
      </c>
      <c r="J54" s="1" t="n">
        <v>100122</v>
      </c>
      <c r="K54" s="1" t="n">
        <v>123</v>
      </c>
      <c r="L54" s="1" t="s">
        <v>2330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5" t="n">
        <v>46175</v>
      </c>
      <c r="C55" s="1" t="n">
        <v>2</v>
      </c>
      <c r="D55" s="1" t="s">
        <v>2283</v>
      </c>
      <c r="E55" s="1" t="n">
        <v>42</v>
      </c>
      <c r="F55" s="1" t="s">
        <v>80</v>
      </c>
      <c r="I55" s="1" t="n">
        <v>20602</v>
      </c>
      <c r="J55" s="1" t="n">
        <v>100130</v>
      </c>
      <c r="K55" s="1" t="n">
        <v>131</v>
      </c>
      <c r="L55" s="1" t="s">
        <v>2331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5" t="n">
        <v>46175</v>
      </c>
      <c r="C56" s="1" t="n">
        <v>2</v>
      </c>
      <c r="D56" s="1" t="s">
        <v>2283</v>
      </c>
      <c r="E56" s="1" t="n">
        <v>42</v>
      </c>
      <c r="F56" s="1" t="s">
        <v>80</v>
      </c>
      <c r="I56" s="1" t="n">
        <v>20602</v>
      </c>
      <c r="J56" s="1" t="n">
        <v>100133</v>
      </c>
      <c r="K56" s="1" t="n">
        <v>134</v>
      </c>
      <c r="L56" s="1" t="s">
        <v>2332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5" t="n">
        <v>46175</v>
      </c>
      <c r="C57" s="1" t="n">
        <v>2</v>
      </c>
      <c r="D57" s="1" t="s">
        <v>2283</v>
      </c>
      <c r="E57" s="1" t="n">
        <v>42</v>
      </c>
      <c r="F57" s="1" t="s">
        <v>80</v>
      </c>
      <c r="I57" s="1" t="n">
        <v>20602</v>
      </c>
      <c r="J57" s="1" t="n">
        <v>100138</v>
      </c>
      <c r="K57" s="1" t="n">
        <v>139</v>
      </c>
      <c r="L57" s="1" t="s">
        <v>2333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5" t="n">
        <v>46175</v>
      </c>
      <c r="C58" s="1" t="n">
        <v>2</v>
      </c>
      <c r="D58" s="1" t="s">
        <v>2283</v>
      </c>
      <c r="E58" s="1" t="n">
        <v>42</v>
      </c>
      <c r="F58" s="1" t="s">
        <v>80</v>
      </c>
      <c r="I58" s="1" t="n">
        <v>20602</v>
      </c>
      <c r="J58" s="1" t="n">
        <v>110142</v>
      </c>
      <c r="K58" s="1" t="n">
        <v>16699</v>
      </c>
      <c r="L58" s="1" t="s">
        <v>2334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5" t="n">
        <v>46175</v>
      </c>
      <c r="C59" s="1" t="n">
        <v>6</v>
      </c>
      <c r="D59" s="1" t="s">
        <v>2289</v>
      </c>
      <c r="E59" s="1" t="n">
        <v>42</v>
      </c>
      <c r="F59" s="1" t="s">
        <v>80</v>
      </c>
      <c r="I59" s="1" t="n">
        <v>4222</v>
      </c>
      <c r="J59" s="1" t="n">
        <v>109791</v>
      </c>
      <c r="K59" s="1" t="n">
        <v>9667</v>
      </c>
      <c r="L59" s="1" t="s">
        <v>2284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5" t="n">
        <v>46175</v>
      </c>
      <c r="C60" s="1" t="n">
        <v>6</v>
      </c>
      <c r="D60" s="1" t="s">
        <v>2289</v>
      </c>
      <c r="E60" s="1" t="n">
        <v>42</v>
      </c>
      <c r="F60" s="1" t="s">
        <v>80</v>
      </c>
      <c r="I60" s="1" t="n">
        <v>4222</v>
      </c>
      <c r="J60" s="1" t="n">
        <v>37359</v>
      </c>
      <c r="K60" s="1" t="n">
        <v>55526</v>
      </c>
      <c r="L60" s="1" t="s">
        <v>2285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5" t="n">
        <v>46175</v>
      </c>
      <c r="C61" s="1" t="n">
        <v>6</v>
      </c>
      <c r="D61" s="1" t="s">
        <v>2289</v>
      </c>
      <c r="E61" s="1" t="n">
        <v>42</v>
      </c>
      <c r="F61" s="1" t="s">
        <v>80</v>
      </c>
      <c r="I61" s="1" t="n">
        <v>4222</v>
      </c>
      <c r="J61" s="1" t="n">
        <v>37361</v>
      </c>
      <c r="K61" s="1" t="n">
        <v>2240817</v>
      </c>
      <c r="L61" s="1" t="s">
        <v>2286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5" t="n">
        <v>46175</v>
      </c>
      <c r="C62" s="1" t="n">
        <v>6</v>
      </c>
      <c r="D62" s="1" t="s">
        <v>2289</v>
      </c>
      <c r="E62" s="1" t="n">
        <v>42</v>
      </c>
      <c r="F62" s="1" t="s">
        <v>80</v>
      </c>
      <c r="I62" s="1" t="n">
        <v>4223</v>
      </c>
      <c r="J62" s="1" t="n">
        <v>100062</v>
      </c>
      <c r="K62" s="1" t="n">
        <v>63</v>
      </c>
      <c r="L62" s="1" t="s">
        <v>2320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5" t="n">
        <v>46175</v>
      </c>
      <c r="C63" s="1" t="n">
        <v>6</v>
      </c>
      <c r="D63" s="1" t="s">
        <v>2289</v>
      </c>
      <c r="E63" s="1" t="n">
        <v>42</v>
      </c>
      <c r="F63" s="1" t="s">
        <v>80</v>
      </c>
      <c r="I63" s="1" t="n">
        <v>4223</v>
      </c>
      <c r="J63" s="1" t="n">
        <v>100104</v>
      </c>
      <c r="K63" s="1" t="n">
        <v>105</v>
      </c>
      <c r="L63" s="1" t="s">
        <v>2321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5" t="n">
        <v>46175</v>
      </c>
      <c r="C64" s="1" t="n">
        <v>6</v>
      </c>
      <c r="D64" s="1" t="s">
        <v>2289</v>
      </c>
      <c r="E64" s="1" t="n">
        <v>42</v>
      </c>
      <c r="F64" s="1" t="s">
        <v>80</v>
      </c>
      <c r="I64" s="1" t="n">
        <v>4223</v>
      </c>
      <c r="J64" s="1" t="n">
        <v>100105</v>
      </c>
      <c r="K64" s="1" t="n">
        <v>106</v>
      </c>
      <c r="L64" s="1" t="s">
        <v>2322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5" t="n">
        <v>46175</v>
      </c>
      <c r="C65" s="1" t="n">
        <v>6</v>
      </c>
      <c r="D65" s="1" t="s">
        <v>2289</v>
      </c>
      <c r="E65" s="1" t="n">
        <v>42</v>
      </c>
      <c r="F65" s="1" t="s">
        <v>80</v>
      </c>
      <c r="I65" s="1" t="n">
        <v>4223</v>
      </c>
      <c r="J65" s="1" t="n">
        <v>100107</v>
      </c>
      <c r="K65" s="1" t="n">
        <v>108</v>
      </c>
      <c r="L65" s="1" t="s">
        <v>2323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5" t="n">
        <v>46175</v>
      </c>
      <c r="C66" s="1" t="n">
        <v>6</v>
      </c>
      <c r="D66" s="1" t="s">
        <v>2289</v>
      </c>
      <c r="E66" s="1" t="n">
        <v>42</v>
      </c>
      <c r="F66" s="1" t="s">
        <v>80</v>
      </c>
      <c r="I66" s="1" t="n">
        <v>4223</v>
      </c>
      <c r="J66" s="1" t="n">
        <v>100109</v>
      </c>
      <c r="K66" s="1" t="n">
        <v>110</v>
      </c>
      <c r="L66" s="1" t="s">
        <v>2324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5" t="n">
        <v>46175</v>
      </c>
      <c r="C67" s="1" t="n">
        <v>6</v>
      </c>
      <c r="D67" s="1" t="s">
        <v>2289</v>
      </c>
      <c r="E67" s="1" t="n">
        <v>42</v>
      </c>
      <c r="F67" s="1" t="s">
        <v>80</v>
      </c>
      <c r="I67" s="1" t="n">
        <v>4223</v>
      </c>
      <c r="J67" s="1" t="n">
        <v>100112</v>
      </c>
      <c r="K67" s="1" t="n">
        <v>113</v>
      </c>
      <c r="L67" s="1" t="s">
        <v>2325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5" t="n">
        <v>46175</v>
      </c>
      <c r="C68" s="1" t="n">
        <v>6</v>
      </c>
      <c r="D68" s="1" t="s">
        <v>2289</v>
      </c>
      <c r="E68" s="1" t="n">
        <v>42</v>
      </c>
      <c r="F68" s="1" t="s">
        <v>80</v>
      </c>
      <c r="I68" s="1" t="n">
        <v>4223</v>
      </c>
      <c r="J68" s="1" t="n">
        <v>100113</v>
      </c>
      <c r="K68" s="1" t="n">
        <v>114</v>
      </c>
      <c r="L68" s="1" t="s">
        <v>2326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5" t="n">
        <v>46175</v>
      </c>
      <c r="C69" s="1" t="n">
        <v>6</v>
      </c>
      <c r="D69" s="1" t="s">
        <v>2289</v>
      </c>
      <c r="E69" s="1" t="n">
        <v>42</v>
      </c>
      <c r="F69" s="1" t="s">
        <v>80</v>
      </c>
      <c r="I69" s="1" t="n">
        <v>4223</v>
      </c>
      <c r="J69" s="1" t="n">
        <v>100116</v>
      </c>
      <c r="K69" s="1" t="n">
        <v>117</v>
      </c>
      <c r="L69" s="1" t="s">
        <v>2327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5" t="n">
        <v>46175</v>
      </c>
      <c r="C70" s="1" t="n">
        <v>6</v>
      </c>
      <c r="D70" s="1" t="s">
        <v>2289</v>
      </c>
      <c r="E70" s="1" t="n">
        <v>42</v>
      </c>
      <c r="F70" s="1" t="s">
        <v>80</v>
      </c>
      <c r="I70" s="1" t="n">
        <v>4223</v>
      </c>
      <c r="J70" s="1" t="n">
        <v>100118</v>
      </c>
      <c r="K70" s="1" t="n">
        <v>119</v>
      </c>
      <c r="L70" s="1" t="s">
        <v>2328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5" t="n">
        <v>46175</v>
      </c>
      <c r="C71" s="1" t="n">
        <v>6</v>
      </c>
      <c r="D71" s="1" t="s">
        <v>2289</v>
      </c>
      <c r="E71" s="1" t="n">
        <v>42</v>
      </c>
      <c r="F71" s="1" t="s">
        <v>80</v>
      </c>
      <c r="I71" s="1" t="n">
        <v>4223</v>
      </c>
      <c r="J71" s="1" t="n">
        <v>100121</v>
      </c>
      <c r="K71" s="1" t="n">
        <v>122</v>
      </c>
      <c r="L71" s="1" t="s">
        <v>2329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5" t="n">
        <v>46175</v>
      </c>
      <c r="C72" s="1" t="n">
        <v>6</v>
      </c>
      <c r="D72" s="1" t="s">
        <v>2289</v>
      </c>
      <c r="E72" s="1" t="n">
        <v>42</v>
      </c>
      <c r="F72" s="1" t="s">
        <v>80</v>
      </c>
      <c r="I72" s="1" t="n">
        <v>4223</v>
      </c>
      <c r="J72" s="1" t="n">
        <v>100122</v>
      </c>
      <c r="K72" s="1" t="n">
        <v>123</v>
      </c>
      <c r="L72" s="1" t="s">
        <v>2330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5" t="n">
        <v>46175</v>
      </c>
      <c r="C73" s="1" t="n">
        <v>6</v>
      </c>
      <c r="D73" s="1" t="s">
        <v>2289</v>
      </c>
      <c r="E73" s="1" t="n">
        <v>42</v>
      </c>
      <c r="F73" s="1" t="s">
        <v>80</v>
      </c>
      <c r="I73" s="1" t="n">
        <v>4223</v>
      </c>
      <c r="J73" s="1" t="n">
        <v>100130</v>
      </c>
      <c r="K73" s="1" t="n">
        <v>131</v>
      </c>
      <c r="L73" s="1" t="s">
        <v>2331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5" t="n">
        <v>46175</v>
      </c>
      <c r="C74" s="1" t="n">
        <v>6</v>
      </c>
      <c r="D74" s="1" t="s">
        <v>2289</v>
      </c>
      <c r="E74" s="1" t="n">
        <v>42</v>
      </c>
      <c r="F74" s="1" t="s">
        <v>80</v>
      </c>
      <c r="I74" s="1" t="n">
        <v>4223</v>
      </c>
      <c r="J74" s="1" t="n">
        <v>100133</v>
      </c>
      <c r="K74" s="1" t="n">
        <v>134</v>
      </c>
      <c r="L74" s="1" t="s">
        <v>2332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5" t="n">
        <v>46175</v>
      </c>
      <c r="C75" s="1" t="n">
        <v>6</v>
      </c>
      <c r="D75" s="1" t="s">
        <v>2289</v>
      </c>
      <c r="E75" s="1" t="n">
        <v>42</v>
      </c>
      <c r="F75" s="1" t="s">
        <v>80</v>
      </c>
      <c r="I75" s="1" t="n">
        <v>4223</v>
      </c>
      <c r="J75" s="1" t="n">
        <v>100138</v>
      </c>
      <c r="K75" s="1" t="n">
        <v>139</v>
      </c>
      <c r="L75" s="1" t="s">
        <v>2333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5" t="n">
        <v>46175</v>
      </c>
      <c r="C76" s="1" t="n">
        <v>6</v>
      </c>
      <c r="D76" s="1" t="s">
        <v>2289</v>
      </c>
      <c r="E76" s="1" t="n">
        <v>42</v>
      </c>
      <c r="F76" s="1" t="s">
        <v>80</v>
      </c>
      <c r="I76" s="1" t="n">
        <v>4223</v>
      </c>
      <c r="J76" s="1" t="n">
        <v>110142</v>
      </c>
      <c r="K76" s="1" t="n">
        <v>16699</v>
      </c>
      <c r="L76" s="1" t="s">
        <v>2334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5" t="n">
        <v>46176</v>
      </c>
      <c r="C77" s="1" t="n">
        <v>1</v>
      </c>
      <c r="D77" s="1" t="s">
        <v>2317</v>
      </c>
      <c r="E77" s="1" t="n">
        <v>978</v>
      </c>
      <c r="F77" s="1" t="s">
        <v>183</v>
      </c>
      <c r="I77" s="1" t="n">
        <v>241</v>
      </c>
      <c r="J77" s="1" t="n">
        <v>61368</v>
      </c>
      <c r="K77" s="1" t="n">
        <v>2257907</v>
      </c>
      <c r="L77" s="1" t="s">
        <v>2335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5" t="n">
        <v>46176</v>
      </c>
      <c r="C78" s="1" t="n">
        <v>1</v>
      </c>
      <c r="D78" s="1" t="s">
        <v>2317</v>
      </c>
      <c r="E78" s="1" t="n">
        <v>978</v>
      </c>
      <c r="F78" s="1" t="s">
        <v>183</v>
      </c>
      <c r="I78" s="1" t="n">
        <v>241</v>
      </c>
      <c r="J78" s="1" t="n">
        <v>61378</v>
      </c>
      <c r="K78" s="1" t="n">
        <v>2257914</v>
      </c>
      <c r="L78" s="1" t="s">
        <v>2336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5" t="n">
        <v>46176</v>
      </c>
      <c r="C79" s="1" t="n">
        <v>1</v>
      </c>
      <c r="D79" s="1" t="s">
        <v>2317</v>
      </c>
      <c r="E79" s="1" t="n">
        <v>978</v>
      </c>
      <c r="F79" s="1" t="s">
        <v>183</v>
      </c>
      <c r="I79" s="1" t="n">
        <v>241</v>
      </c>
      <c r="J79" s="1" t="n">
        <v>61379</v>
      </c>
      <c r="K79" s="1" t="n">
        <v>2257921</v>
      </c>
      <c r="L79" s="1" t="s">
        <v>2337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5" t="n">
        <v>46176</v>
      </c>
      <c r="C80" s="1" t="n">
        <v>1</v>
      </c>
      <c r="D80" s="1" t="s">
        <v>2317</v>
      </c>
      <c r="E80" s="1" t="n">
        <v>978</v>
      </c>
      <c r="F80" s="1" t="s">
        <v>183</v>
      </c>
      <c r="I80" s="1" t="n">
        <v>241</v>
      </c>
      <c r="J80" s="1" t="n">
        <v>62178</v>
      </c>
      <c r="K80" s="1" t="n">
        <v>144599</v>
      </c>
      <c r="L80" s="1" t="s">
        <v>2338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5" t="n">
        <v>46176</v>
      </c>
      <c r="C81" s="1" t="n">
        <v>1</v>
      </c>
      <c r="D81" s="1" t="s">
        <v>2317</v>
      </c>
      <c r="E81" s="1" t="n">
        <v>1038</v>
      </c>
      <c r="F81" s="1" t="s">
        <v>133</v>
      </c>
      <c r="I81" s="1" t="n">
        <v>5933</v>
      </c>
      <c r="J81" s="1" t="n">
        <v>61580</v>
      </c>
      <c r="K81" s="1" t="n">
        <v>2258157</v>
      </c>
      <c r="L81" s="1" t="s">
        <v>2339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5" t="n">
        <v>46176</v>
      </c>
      <c r="C82" s="1" t="n">
        <v>1</v>
      </c>
      <c r="D82" s="1" t="s">
        <v>2317</v>
      </c>
      <c r="E82" s="1" t="n">
        <v>1378</v>
      </c>
      <c r="F82" s="1" t="s">
        <v>120</v>
      </c>
      <c r="I82" s="1" t="n">
        <v>17581</v>
      </c>
      <c r="J82" s="1" t="n">
        <v>74061</v>
      </c>
      <c r="K82" s="1" t="n">
        <v>42882264255</v>
      </c>
      <c r="L82" s="1" t="s">
        <v>2340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5" t="n">
        <v>46176</v>
      </c>
      <c r="C83" s="1" t="n">
        <v>1</v>
      </c>
      <c r="D83" s="1" t="s">
        <v>2317</v>
      </c>
      <c r="E83" s="1" t="n">
        <v>1378</v>
      </c>
      <c r="F83" s="1" t="s">
        <v>120</v>
      </c>
      <c r="I83" s="1" t="n">
        <v>17581</v>
      </c>
      <c r="J83" s="1" t="n">
        <v>74063</v>
      </c>
      <c r="K83" s="1" t="n">
        <v>42882264262</v>
      </c>
      <c r="L83" s="1" t="s">
        <v>2341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5" t="n">
        <v>46176</v>
      </c>
      <c r="C84" s="1" t="n">
        <v>1</v>
      </c>
      <c r="D84" s="1" t="s">
        <v>2317</v>
      </c>
      <c r="E84" s="1" t="n">
        <v>1378</v>
      </c>
      <c r="F84" s="1" t="s">
        <v>120</v>
      </c>
      <c r="I84" s="1" t="n">
        <v>17581</v>
      </c>
      <c r="J84" s="1" t="n">
        <v>74064</v>
      </c>
      <c r="K84" s="1" t="n">
        <v>42882264279</v>
      </c>
      <c r="L84" s="1" t="s">
        <v>2342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5" t="n">
        <v>46176</v>
      </c>
      <c r="C85" s="1" t="n">
        <v>1</v>
      </c>
      <c r="D85" s="1" t="s">
        <v>2317</v>
      </c>
      <c r="E85" s="1" t="n">
        <v>1378</v>
      </c>
      <c r="F85" s="1" t="s">
        <v>120</v>
      </c>
      <c r="I85" s="1" t="n">
        <v>17581</v>
      </c>
      <c r="J85" s="1" t="n">
        <v>74065</v>
      </c>
      <c r="K85" s="1" t="n">
        <v>602883558090</v>
      </c>
      <c r="L85" s="1" t="s">
        <v>2343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5" t="n">
        <v>46176</v>
      </c>
      <c r="C86" s="1" t="n">
        <v>1</v>
      </c>
      <c r="D86" s="1" t="s">
        <v>2317</v>
      </c>
      <c r="E86" s="1" t="n">
        <v>1378</v>
      </c>
      <c r="F86" s="1" t="s">
        <v>120</v>
      </c>
      <c r="I86" s="1" t="n">
        <v>17581</v>
      </c>
      <c r="J86" s="1" t="n">
        <v>77994</v>
      </c>
      <c r="K86" s="1" t="n">
        <v>780117</v>
      </c>
      <c r="L86" s="1" t="s">
        <v>2344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5" t="n">
        <v>46176</v>
      </c>
      <c r="C87" s="1" t="n">
        <v>2</v>
      </c>
      <c r="D87" s="1" t="s">
        <v>2283</v>
      </c>
      <c r="E87" s="1" t="n">
        <v>42</v>
      </c>
      <c r="F87" s="1" t="s">
        <v>80</v>
      </c>
      <c r="I87" s="1" t="n">
        <v>30601</v>
      </c>
      <c r="J87" s="1" t="n">
        <v>109791</v>
      </c>
      <c r="K87" s="1" t="n">
        <v>9667</v>
      </c>
      <c r="L87" s="1" t="s">
        <v>2284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5" t="n">
        <v>46176</v>
      </c>
      <c r="C88" s="1" t="n">
        <v>2</v>
      </c>
      <c r="D88" s="1" t="s">
        <v>2283</v>
      </c>
      <c r="E88" s="1" t="n">
        <v>42</v>
      </c>
      <c r="F88" s="1" t="s">
        <v>80</v>
      </c>
      <c r="I88" s="1" t="n">
        <v>30601</v>
      </c>
      <c r="J88" s="1" t="n">
        <v>37359</v>
      </c>
      <c r="K88" s="1" t="n">
        <v>55526</v>
      </c>
      <c r="L88" s="1" t="s">
        <v>2285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5" t="n">
        <v>46176</v>
      </c>
      <c r="C89" s="1" t="n">
        <v>2</v>
      </c>
      <c r="D89" s="1" t="s">
        <v>2283</v>
      </c>
      <c r="E89" s="1" t="n">
        <v>42</v>
      </c>
      <c r="F89" s="1" t="s">
        <v>80</v>
      </c>
      <c r="I89" s="1" t="n">
        <v>30601</v>
      </c>
      <c r="J89" s="1" t="n">
        <v>37361</v>
      </c>
      <c r="K89" s="1" t="n">
        <v>2240817</v>
      </c>
      <c r="L89" s="1" t="s">
        <v>2286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5" t="n">
        <v>46176</v>
      </c>
      <c r="C90" s="1" t="n">
        <v>6</v>
      </c>
      <c r="D90" s="1" t="s">
        <v>2289</v>
      </c>
      <c r="E90" s="1" t="n">
        <v>42</v>
      </c>
      <c r="F90" s="1" t="s">
        <v>80</v>
      </c>
      <c r="I90" s="1" t="n">
        <v>4224</v>
      </c>
      <c r="J90" s="1" t="n">
        <v>109791</v>
      </c>
      <c r="K90" s="1" t="n">
        <v>9667</v>
      </c>
      <c r="L90" s="1" t="s">
        <v>2284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5" t="n">
        <v>46176</v>
      </c>
      <c r="C91" s="1" t="n">
        <v>6</v>
      </c>
      <c r="D91" s="1" t="s">
        <v>2289</v>
      </c>
      <c r="E91" s="1" t="n">
        <v>42</v>
      </c>
      <c r="F91" s="1" t="s">
        <v>80</v>
      </c>
      <c r="I91" s="1" t="n">
        <v>4224</v>
      </c>
      <c r="J91" s="1" t="n">
        <v>37359</v>
      </c>
      <c r="K91" s="1" t="n">
        <v>55526</v>
      </c>
      <c r="L91" s="1" t="s">
        <v>2285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5" t="n">
        <v>46176</v>
      </c>
      <c r="C92" s="1" t="n">
        <v>6</v>
      </c>
      <c r="D92" s="1" t="s">
        <v>2289</v>
      </c>
      <c r="E92" s="1" t="n">
        <v>42</v>
      </c>
      <c r="F92" s="1" t="s">
        <v>80</v>
      </c>
      <c r="I92" s="1" t="n">
        <v>4224</v>
      </c>
      <c r="J92" s="1" t="n">
        <v>37361</v>
      </c>
      <c r="K92" s="1" t="n">
        <v>2240817</v>
      </c>
      <c r="L92" s="1" t="s">
        <v>2286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5" t="n">
        <v>46176</v>
      </c>
      <c r="C93" s="1" t="n">
        <v>11</v>
      </c>
      <c r="D93" s="1" t="s">
        <v>2290</v>
      </c>
      <c r="E93" s="1" t="n">
        <v>1814</v>
      </c>
      <c r="F93" s="1" t="s">
        <v>339</v>
      </c>
      <c r="I93" s="1" t="n">
        <v>26483</v>
      </c>
      <c r="J93" s="1" t="n">
        <v>25090</v>
      </c>
      <c r="K93" s="1" t="n">
        <v>7898951519152</v>
      </c>
      <c r="L93" s="1" t="s">
        <v>2345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5" t="n">
        <v>46176</v>
      </c>
      <c r="C94" s="1" t="n">
        <v>11</v>
      </c>
      <c r="D94" s="1" t="s">
        <v>2290</v>
      </c>
      <c r="E94" s="1" t="n">
        <v>1814</v>
      </c>
      <c r="F94" s="1" t="s">
        <v>339</v>
      </c>
      <c r="I94" s="1" t="n">
        <v>26483</v>
      </c>
      <c r="J94" s="1" t="n">
        <v>25091</v>
      </c>
      <c r="K94" s="1" t="n">
        <v>7898951519176</v>
      </c>
      <c r="L94" s="1" t="s">
        <v>2346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5" t="n">
        <v>46176</v>
      </c>
      <c r="C95" s="1" t="n">
        <v>11</v>
      </c>
      <c r="D95" s="1" t="s">
        <v>2290</v>
      </c>
      <c r="E95" s="1" t="n">
        <v>1814</v>
      </c>
      <c r="F95" s="1" t="s">
        <v>339</v>
      </c>
      <c r="I95" s="1" t="n">
        <v>26483</v>
      </c>
      <c r="J95" s="1" t="n">
        <v>25093</v>
      </c>
      <c r="K95" s="1" t="n">
        <v>7898951519169</v>
      </c>
      <c r="L95" s="1" t="s">
        <v>2347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5" t="n">
        <v>46176</v>
      </c>
      <c r="C96" s="1" t="n">
        <v>11</v>
      </c>
      <c r="D96" s="1" t="s">
        <v>2290</v>
      </c>
      <c r="E96" s="1" t="n">
        <v>1814</v>
      </c>
      <c r="F96" s="1" t="s">
        <v>339</v>
      </c>
      <c r="I96" s="1" t="n">
        <v>26483</v>
      </c>
      <c r="J96" s="1" t="n">
        <v>25095</v>
      </c>
      <c r="K96" s="1" t="n">
        <v>7898951519145</v>
      </c>
      <c r="L96" s="1" t="s">
        <v>2348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5" t="n">
        <v>46176</v>
      </c>
      <c r="C97" s="1" t="n">
        <v>11</v>
      </c>
      <c r="D97" s="1" t="s">
        <v>2290</v>
      </c>
      <c r="E97" s="1" t="n">
        <v>1814</v>
      </c>
      <c r="F97" s="1" t="s">
        <v>339</v>
      </c>
      <c r="I97" s="1" t="n">
        <v>26483</v>
      </c>
      <c r="J97" s="1" t="n">
        <v>25097</v>
      </c>
      <c r="K97" s="1" t="n">
        <v>7898951519121</v>
      </c>
      <c r="L97" s="1" t="s">
        <v>2349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5" t="n">
        <v>46176</v>
      </c>
      <c r="C98" s="1" t="n">
        <v>11</v>
      </c>
      <c r="D98" s="1" t="s">
        <v>2290</v>
      </c>
      <c r="E98" s="1" t="n">
        <v>1814</v>
      </c>
      <c r="F98" s="1" t="s">
        <v>339</v>
      </c>
      <c r="I98" s="1" t="n">
        <v>26483</v>
      </c>
      <c r="J98" s="1" t="n">
        <v>25134</v>
      </c>
      <c r="K98" s="1" t="n">
        <v>7898951519114</v>
      </c>
      <c r="L98" s="1" t="s">
        <v>2350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5" t="n">
        <v>46176</v>
      </c>
      <c r="C99" s="1" t="n">
        <v>11</v>
      </c>
      <c r="D99" s="1" t="s">
        <v>2290</v>
      </c>
      <c r="E99" s="1" t="n">
        <v>1814</v>
      </c>
      <c r="F99" s="1" t="s">
        <v>339</v>
      </c>
      <c r="I99" s="1" t="n">
        <v>26483</v>
      </c>
      <c r="J99" s="1" t="n">
        <v>25757</v>
      </c>
      <c r="K99" s="1" t="n">
        <v>7898951519107</v>
      </c>
      <c r="L99" s="1" t="s">
        <v>2351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5" t="n">
        <v>46176</v>
      </c>
      <c r="C100" s="1" t="n">
        <v>11</v>
      </c>
      <c r="D100" s="1" t="s">
        <v>2290</v>
      </c>
      <c r="E100" s="1" t="n">
        <v>1814</v>
      </c>
      <c r="F100" s="1" t="s">
        <v>339</v>
      </c>
      <c r="I100" s="1" t="n">
        <v>26483</v>
      </c>
      <c r="J100" s="1" t="n">
        <v>39927</v>
      </c>
      <c r="K100" s="1" t="n">
        <v>7898951519077</v>
      </c>
      <c r="L100" s="1" t="s">
        <v>2352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5" t="n">
        <v>46176</v>
      </c>
      <c r="C101" s="1" t="n">
        <v>11</v>
      </c>
      <c r="D101" s="1" t="s">
        <v>2290</v>
      </c>
      <c r="E101" s="1" t="n">
        <v>1814</v>
      </c>
      <c r="F101" s="1" t="s">
        <v>339</v>
      </c>
      <c r="I101" s="1" t="n">
        <v>26483</v>
      </c>
      <c r="J101" s="1" t="n">
        <v>39928</v>
      </c>
      <c r="K101" s="1" t="n">
        <v>7898951519015</v>
      </c>
      <c r="L101" s="1" t="s">
        <v>2353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5" t="n">
        <v>46176</v>
      </c>
      <c r="C102" s="1" t="n">
        <v>11</v>
      </c>
      <c r="D102" s="1" t="s">
        <v>2290</v>
      </c>
      <c r="E102" s="1" t="n">
        <v>1814</v>
      </c>
      <c r="F102" s="1" t="s">
        <v>339</v>
      </c>
      <c r="I102" s="1" t="n">
        <v>26483</v>
      </c>
      <c r="J102" s="1" t="n">
        <v>39929</v>
      </c>
      <c r="K102" s="1" t="n">
        <v>7898951519039</v>
      </c>
      <c r="L102" s="1" t="s">
        <v>2354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5" t="n">
        <v>46176</v>
      </c>
      <c r="C103" s="1" t="n">
        <v>11</v>
      </c>
      <c r="D103" s="1" t="s">
        <v>2290</v>
      </c>
      <c r="E103" s="1" t="n">
        <v>1814</v>
      </c>
      <c r="F103" s="1" t="s">
        <v>339</v>
      </c>
      <c r="I103" s="1" t="n">
        <v>26483</v>
      </c>
      <c r="J103" s="1" t="n">
        <v>39930</v>
      </c>
      <c r="K103" s="1" t="n">
        <v>7898951519060</v>
      </c>
      <c r="L103" s="1" t="s">
        <v>2355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5" t="n">
        <v>46176</v>
      </c>
      <c r="C104" s="1" t="n">
        <v>11</v>
      </c>
      <c r="D104" s="1" t="s">
        <v>2290</v>
      </c>
      <c r="E104" s="1" t="n">
        <v>1814</v>
      </c>
      <c r="F104" s="1" t="s">
        <v>339</v>
      </c>
      <c r="I104" s="1" t="n">
        <v>26483</v>
      </c>
      <c r="J104" s="1" t="n">
        <v>39932</v>
      </c>
      <c r="K104" s="1" t="n">
        <v>7898951519091</v>
      </c>
      <c r="L104" s="1" t="s">
        <v>2356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5" t="n">
        <v>46176</v>
      </c>
      <c r="C105" s="1" t="n">
        <v>11</v>
      </c>
      <c r="D105" s="1" t="s">
        <v>2290</v>
      </c>
      <c r="E105" s="1" t="n">
        <v>1814</v>
      </c>
      <c r="F105" s="1" t="s">
        <v>339</v>
      </c>
      <c r="I105" s="1" t="n">
        <v>26483</v>
      </c>
      <c r="J105" s="1" t="n">
        <v>39935</v>
      </c>
      <c r="K105" s="1" t="n">
        <v>7898951519053</v>
      </c>
      <c r="L105" s="1" t="s">
        <v>2357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5" t="n">
        <v>46176</v>
      </c>
      <c r="C106" s="1" t="n">
        <v>11</v>
      </c>
      <c r="D106" s="1" t="s">
        <v>2290</v>
      </c>
      <c r="E106" s="1" t="n">
        <v>1814</v>
      </c>
      <c r="F106" s="1" t="s">
        <v>339</v>
      </c>
      <c r="I106" s="1" t="n">
        <v>26483</v>
      </c>
      <c r="J106" s="1" t="n">
        <v>39936</v>
      </c>
      <c r="K106" s="1" t="n">
        <v>7898951519084</v>
      </c>
      <c r="L106" s="1" t="s">
        <v>2358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5" t="n">
        <v>46176</v>
      </c>
      <c r="C107" s="1" t="n">
        <v>11</v>
      </c>
      <c r="D107" s="1" t="s">
        <v>2290</v>
      </c>
      <c r="E107" s="1" t="n">
        <v>1814</v>
      </c>
      <c r="F107" s="1" t="s">
        <v>339</v>
      </c>
      <c r="I107" s="1" t="n">
        <v>26483</v>
      </c>
      <c r="J107" s="1" t="n">
        <v>39937</v>
      </c>
      <c r="K107" s="1" t="n">
        <v>7898951519022</v>
      </c>
      <c r="L107" s="1" t="s">
        <v>2359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5" t="n">
        <v>46176</v>
      </c>
      <c r="C108" s="1" t="n">
        <v>11</v>
      </c>
      <c r="D108" s="1" t="s">
        <v>2290</v>
      </c>
      <c r="E108" s="1" t="n">
        <v>1723</v>
      </c>
      <c r="F108" s="1" t="s">
        <v>76</v>
      </c>
      <c r="I108" s="1" t="n">
        <v>170804</v>
      </c>
      <c r="J108" s="1" t="n">
        <v>29079</v>
      </c>
      <c r="K108" s="1" t="n">
        <v>55515</v>
      </c>
      <c r="L108" s="1" t="s">
        <v>2360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5" t="n">
        <v>46176</v>
      </c>
      <c r="C109" s="1" t="n">
        <v>11</v>
      </c>
      <c r="D109" s="1" t="s">
        <v>2290</v>
      </c>
      <c r="E109" s="1" t="n">
        <v>1723</v>
      </c>
      <c r="F109" s="1" t="s">
        <v>76</v>
      </c>
      <c r="I109" s="1" t="n">
        <v>170804</v>
      </c>
      <c r="J109" s="1" t="n">
        <v>77455</v>
      </c>
      <c r="K109" s="1" t="n">
        <v>774567</v>
      </c>
      <c r="L109" s="1" t="s">
        <v>2361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5" t="n">
        <v>46176</v>
      </c>
      <c r="C110" s="1" t="n">
        <v>11</v>
      </c>
      <c r="D110" s="1" t="s">
        <v>2290</v>
      </c>
      <c r="E110" s="1" t="n">
        <v>1723</v>
      </c>
      <c r="F110" s="1" t="s">
        <v>76</v>
      </c>
      <c r="I110" s="1" t="n">
        <v>170868</v>
      </c>
      <c r="J110" s="1" t="n">
        <v>29079</v>
      </c>
      <c r="K110" s="1" t="n">
        <v>55515</v>
      </c>
      <c r="L110" s="1" t="s">
        <v>2360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5" t="n">
        <v>46176</v>
      </c>
      <c r="C111" s="1" t="n">
        <v>11</v>
      </c>
      <c r="D111" s="1" t="s">
        <v>2290</v>
      </c>
      <c r="E111" s="1" t="n">
        <v>1723</v>
      </c>
      <c r="F111" s="1" t="s">
        <v>76</v>
      </c>
      <c r="I111" s="1" t="n">
        <v>170919</v>
      </c>
      <c r="J111" s="1" t="n">
        <v>29079</v>
      </c>
      <c r="K111" s="1" t="n">
        <v>55515</v>
      </c>
      <c r="L111" s="1" t="s">
        <v>2360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5" t="n">
        <v>46176</v>
      </c>
      <c r="C112" s="1" t="n">
        <v>11</v>
      </c>
      <c r="D112" s="1" t="s">
        <v>2290</v>
      </c>
      <c r="E112" s="1" t="n">
        <v>1723</v>
      </c>
      <c r="F112" s="1" t="s">
        <v>76</v>
      </c>
      <c r="I112" s="1" t="n">
        <v>170919</v>
      </c>
      <c r="J112" s="1" t="n">
        <v>29080</v>
      </c>
      <c r="K112" s="1" t="n">
        <v>55516</v>
      </c>
      <c r="L112" s="1" t="s">
        <v>2362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5" t="n">
        <v>46176</v>
      </c>
      <c r="C113" s="1" t="n">
        <v>11</v>
      </c>
      <c r="D113" s="1" t="s">
        <v>2290</v>
      </c>
      <c r="E113" s="1" t="n">
        <v>1723</v>
      </c>
      <c r="F113" s="1" t="s">
        <v>76</v>
      </c>
      <c r="I113" s="1" t="n">
        <v>170919</v>
      </c>
      <c r="J113" s="1" t="n">
        <v>110231</v>
      </c>
      <c r="K113" s="1" t="n">
        <v>38306</v>
      </c>
      <c r="L113" s="1" t="s">
        <v>2363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5" t="n">
        <v>46176</v>
      </c>
      <c r="C114" s="1" t="n">
        <v>11</v>
      </c>
      <c r="D114" s="1" t="s">
        <v>2290</v>
      </c>
      <c r="E114" s="1" t="n">
        <v>1706</v>
      </c>
      <c r="F114" s="1" t="s">
        <v>55</v>
      </c>
      <c r="I114" s="1" t="n">
        <v>202006</v>
      </c>
      <c r="J114" s="1" t="n">
        <v>57639</v>
      </c>
      <c r="K114" s="1" t="n">
        <v>7896004006277</v>
      </c>
      <c r="L114" s="1" t="s">
        <v>2364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5" t="n">
        <v>46176</v>
      </c>
      <c r="C115" s="1" t="n">
        <v>11</v>
      </c>
      <c r="D115" s="1" t="s">
        <v>2290</v>
      </c>
      <c r="E115" s="1" t="n">
        <v>1706</v>
      </c>
      <c r="F115" s="1" t="s">
        <v>55</v>
      </c>
      <c r="I115" s="1" t="n">
        <v>202006</v>
      </c>
      <c r="J115" s="1" t="n">
        <v>61667</v>
      </c>
      <c r="K115" s="1" t="n">
        <v>7896004006284</v>
      </c>
      <c r="L115" s="1" t="s">
        <v>2365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5" t="n">
        <v>46176</v>
      </c>
      <c r="C116" s="1" t="n">
        <v>11</v>
      </c>
      <c r="D116" s="1" t="s">
        <v>2290</v>
      </c>
      <c r="E116" s="1" t="n">
        <v>1706</v>
      </c>
      <c r="F116" s="1" t="s">
        <v>55</v>
      </c>
      <c r="I116" s="1" t="n">
        <v>202006</v>
      </c>
      <c r="J116" s="1" t="n">
        <v>79990</v>
      </c>
      <c r="K116" s="1" t="n">
        <v>7896004010083</v>
      </c>
      <c r="L116" s="1" t="s">
        <v>2366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5" t="n">
        <v>46176</v>
      </c>
      <c r="C117" s="1" t="n">
        <v>11</v>
      </c>
      <c r="D117" s="1" t="s">
        <v>2290</v>
      </c>
      <c r="E117" s="1" t="n">
        <v>1706</v>
      </c>
      <c r="F117" s="1" t="s">
        <v>55</v>
      </c>
      <c r="I117" s="1" t="n">
        <v>202006</v>
      </c>
      <c r="J117" s="1" t="n">
        <v>81125</v>
      </c>
      <c r="K117" s="1" t="n">
        <v>7896004012162</v>
      </c>
      <c r="L117" s="1" t="s">
        <v>2367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5" t="n">
        <v>46176</v>
      </c>
      <c r="C118" s="1" t="n">
        <v>11</v>
      </c>
      <c r="D118" s="1" t="s">
        <v>2290</v>
      </c>
      <c r="E118" s="1" t="n">
        <v>1605</v>
      </c>
      <c r="F118" s="1" t="s">
        <v>113</v>
      </c>
      <c r="I118" s="1" t="n">
        <v>212641</v>
      </c>
      <c r="J118" s="1" t="n">
        <v>102577</v>
      </c>
      <c r="K118" s="1" t="n">
        <v>7898080640222</v>
      </c>
      <c r="L118" s="1" t="s">
        <v>2368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5" t="n">
        <v>46176</v>
      </c>
      <c r="C119" s="1" t="n">
        <v>11</v>
      </c>
      <c r="D119" s="1" t="s">
        <v>2290</v>
      </c>
      <c r="E119" s="1" t="n">
        <v>1605</v>
      </c>
      <c r="F119" s="1" t="s">
        <v>113</v>
      </c>
      <c r="I119" s="1" t="n">
        <v>212641</v>
      </c>
      <c r="J119" s="1" t="n">
        <v>103330</v>
      </c>
      <c r="K119" s="1" t="n">
        <v>7898080640239</v>
      </c>
      <c r="L119" s="1" t="s">
        <v>2369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5" t="n">
        <v>46176</v>
      </c>
      <c r="C120" s="1" t="n">
        <v>11</v>
      </c>
      <c r="D120" s="1" t="s">
        <v>2290</v>
      </c>
      <c r="E120" s="1" t="n">
        <v>1605</v>
      </c>
      <c r="F120" s="1" t="s">
        <v>113</v>
      </c>
      <c r="I120" s="1" t="n">
        <v>212641</v>
      </c>
      <c r="J120" s="1" t="n">
        <v>10811</v>
      </c>
      <c r="K120" s="1" t="n">
        <v>7891999941879</v>
      </c>
      <c r="L120" s="1" t="s">
        <v>2370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5" t="n">
        <v>46176</v>
      </c>
      <c r="C121" s="1" t="n">
        <v>11</v>
      </c>
      <c r="D121" s="1" t="s">
        <v>2290</v>
      </c>
      <c r="E121" s="1" t="n">
        <v>1605</v>
      </c>
      <c r="F121" s="1" t="s">
        <v>113</v>
      </c>
      <c r="I121" s="1" t="n">
        <v>212641</v>
      </c>
      <c r="J121" s="1" t="n">
        <v>10812</v>
      </c>
      <c r="K121" s="1" t="n">
        <v>7891999100047</v>
      </c>
      <c r="L121" s="1" t="s">
        <v>2371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5" t="n">
        <v>46176</v>
      </c>
      <c r="C122" s="1" t="n">
        <v>11</v>
      </c>
      <c r="D122" s="1" t="s">
        <v>2290</v>
      </c>
      <c r="E122" s="1" t="n">
        <v>1605</v>
      </c>
      <c r="F122" s="1" t="s">
        <v>113</v>
      </c>
      <c r="I122" s="1" t="n">
        <v>212641</v>
      </c>
      <c r="J122" s="1" t="n">
        <v>11158</v>
      </c>
      <c r="K122" s="1" t="n">
        <v>7891999340108</v>
      </c>
      <c r="L122" s="1" t="s">
        <v>2372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5" t="n">
        <v>46176</v>
      </c>
      <c r="C123" s="1" t="n">
        <v>11</v>
      </c>
      <c r="D123" s="1" t="s">
        <v>2290</v>
      </c>
      <c r="E123" s="1" t="n">
        <v>1605</v>
      </c>
      <c r="F123" s="1" t="s">
        <v>113</v>
      </c>
      <c r="I123" s="1" t="n">
        <v>212641</v>
      </c>
      <c r="J123" s="1" t="n">
        <v>26145</v>
      </c>
      <c r="K123" s="1" t="n">
        <v>7896096007688</v>
      </c>
      <c r="L123" s="1" t="s">
        <v>2373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5" t="n">
        <v>46176</v>
      </c>
      <c r="C124" s="1" t="n">
        <v>11</v>
      </c>
      <c r="D124" s="1" t="s">
        <v>2290</v>
      </c>
      <c r="E124" s="1" t="n">
        <v>1605</v>
      </c>
      <c r="F124" s="1" t="s">
        <v>113</v>
      </c>
      <c r="I124" s="1" t="n">
        <v>212641</v>
      </c>
      <c r="J124" s="1" t="n">
        <v>28453</v>
      </c>
      <c r="K124" s="1" t="n">
        <v>7891999100016</v>
      </c>
      <c r="L124" s="1" t="s">
        <v>2374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5" t="n">
        <v>46176</v>
      </c>
      <c r="C125" s="1" t="n">
        <v>11</v>
      </c>
      <c r="D125" s="1" t="s">
        <v>2290</v>
      </c>
      <c r="E125" s="1" t="n">
        <v>1734</v>
      </c>
      <c r="F125" s="1" t="s">
        <v>125</v>
      </c>
      <c r="I125" s="1" t="n">
        <v>252736</v>
      </c>
      <c r="J125" s="1" t="n">
        <v>38211</v>
      </c>
      <c r="K125" s="1" t="n">
        <v>7898055450450</v>
      </c>
      <c r="L125" s="1" t="s">
        <v>2375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5" t="n">
        <v>46176</v>
      </c>
      <c r="C126" s="1" t="n">
        <v>11</v>
      </c>
      <c r="D126" s="1" t="s">
        <v>2290</v>
      </c>
      <c r="E126" s="1" t="n">
        <v>1734</v>
      </c>
      <c r="F126" s="1" t="s">
        <v>125</v>
      </c>
      <c r="I126" s="1" t="n">
        <v>252736</v>
      </c>
      <c r="J126" s="1" t="n">
        <v>38222</v>
      </c>
      <c r="K126" s="1" t="n">
        <v>7898055450863</v>
      </c>
      <c r="L126" s="1" t="s">
        <v>2376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5" t="n">
        <v>46176</v>
      </c>
      <c r="C127" s="1" t="n">
        <v>11</v>
      </c>
      <c r="D127" s="1" t="s">
        <v>2290</v>
      </c>
      <c r="E127" s="1" t="n">
        <v>1734</v>
      </c>
      <c r="F127" s="1" t="s">
        <v>125</v>
      </c>
      <c r="I127" s="1" t="n">
        <v>252736</v>
      </c>
      <c r="J127" s="1" t="n">
        <v>38791</v>
      </c>
      <c r="K127" s="1" t="n">
        <v>7898055450931</v>
      </c>
      <c r="L127" s="1" t="s">
        <v>2377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5" t="n">
        <v>46176</v>
      </c>
      <c r="C128" s="1" t="n">
        <v>11</v>
      </c>
      <c r="D128" s="1" t="s">
        <v>2290</v>
      </c>
      <c r="E128" s="1" t="n">
        <v>1734</v>
      </c>
      <c r="F128" s="1" t="s">
        <v>125</v>
      </c>
      <c r="I128" s="1" t="n">
        <v>252736</v>
      </c>
      <c r="J128" s="1" t="n">
        <v>39028</v>
      </c>
      <c r="K128" s="1" t="n">
        <v>7898055450368</v>
      </c>
      <c r="L128" s="1" t="s">
        <v>2378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5" t="n">
        <v>46176</v>
      </c>
      <c r="C129" s="1" t="n">
        <v>11</v>
      </c>
      <c r="D129" s="1" t="s">
        <v>2290</v>
      </c>
      <c r="E129" s="1" t="n">
        <v>1734</v>
      </c>
      <c r="F129" s="1" t="s">
        <v>125</v>
      </c>
      <c r="I129" s="1" t="n">
        <v>252736</v>
      </c>
      <c r="J129" s="1" t="n">
        <v>40731</v>
      </c>
      <c r="K129" s="1" t="n">
        <v>7898055451150</v>
      </c>
      <c r="L129" s="1" t="s">
        <v>2379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5" t="n">
        <v>46176</v>
      </c>
      <c r="C130" s="1" t="n">
        <v>11</v>
      </c>
      <c r="D130" s="1" t="s">
        <v>2290</v>
      </c>
      <c r="E130" s="1" t="n">
        <v>1734</v>
      </c>
      <c r="F130" s="1" t="s">
        <v>125</v>
      </c>
      <c r="I130" s="1" t="n">
        <v>252736</v>
      </c>
      <c r="J130" s="1" t="n">
        <v>81025</v>
      </c>
      <c r="K130" s="1" t="n">
        <v>7898055455714</v>
      </c>
      <c r="L130" s="1" t="s">
        <v>2380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5" t="n">
        <v>46176</v>
      </c>
      <c r="C131" s="1" t="n">
        <v>11</v>
      </c>
      <c r="D131" s="1" t="s">
        <v>2290</v>
      </c>
      <c r="E131" s="1" t="n">
        <v>1734</v>
      </c>
      <c r="F131" s="1" t="s">
        <v>125</v>
      </c>
      <c r="I131" s="1" t="n">
        <v>252737</v>
      </c>
      <c r="J131" s="1" t="n">
        <v>38209</v>
      </c>
      <c r="K131" s="1" t="n">
        <v>7898055451761</v>
      </c>
      <c r="L131" s="1" t="s">
        <v>2381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5" t="n">
        <v>46176</v>
      </c>
      <c r="C132" s="1" t="n">
        <v>11</v>
      </c>
      <c r="D132" s="1" t="s">
        <v>2290</v>
      </c>
      <c r="E132" s="1" t="n">
        <v>1734</v>
      </c>
      <c r="F132" s="1" t="s">
        <v>125</v>
      </c>
      <c r="I132" s="1" t="n">
        <v>252737</v>
      </c>
      <c r="J132" s="1" t="n">
        <v>38213</v>
      </c>
      <c r="K132" s="1" t="n">
        <v>7898055450023</v>
      </c>
      <c r="L132" s="1" t="s">
        <v>2382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5" t="n">
        <v>46176</v>
      </c>
      <c r="C133" s="1" t="n">
        <v>11</v>
      </c>
      <c r="D133" s="1" t="s">
        <v>2290</v>
      </c>
      <c r="E133" s="1" t="n">
        <v>1734</v>
      </c>
      <c r="F133" s="1" t="s">
        <v>125</v>
      </c>
      <c r="I133" s="1" t="n">
        <v>252737</v>
      </c>
      <c r="J133" s="1" t="n">
        <v>38220</v>
      </c>
      <c r="K133" s="1" t="n">
        <v>7898055452355</v>
      </c>
      <c r="L133" s="1" t="s">
        <v>2382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5" t="n">
        <v>46176</v>
      </c>
      <c r="C134" s="1" t="n">
        <v>11</v>
      </c>
      <c r="D134" s="1" t="s">
        <v>2290</v>
      </c>
      <c r="E134" s="1" t="n">
        <v>1734</v>
      </c>
      <c r="F134" s="1" t="s">
        <v>125</v>
      </c>
      <c r="I134" s="1" t="n">
        <v>252737</v>
      </c>
      <c r="J134" s="1" t="n">
        <v>39259</v>
      </c>
      <c r="K134" s="1" t="n">
        <v>7898055450085</v>
      </c>
      <c r="L134" s="1" t="s">
        <v>2383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5" t="n">
        <v>46176</v>
      </c>
      <c r="C135" s="1" t="n">
        <v>11</v>
      </c>
      <c r="D135" s="1" t="s">
        <v>2290</v>
      </c>
      <c r="E135" s="1" t="n">
        <v>1734</v>
      </c>
      <c r="F135" s="1" t="s">
        <v>125</v>
      </c>
      <c r="I135" s="1" t="n">
        <v>252737</v>
      </c>
      <c r="J135" s="1" t="n">
        <v>39447</v>
      </c>
      <c r="K135" s="1" t="n">
        <v>7898055450139</v>
      </c>
      <c r="L135" s="1" t="s">
        <v>2384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5" t="n">
        <v>46176</v>
      </c>
      <c r="C136" s="1" t="n">
        <v>11</v>
      </c>
      <c r="D136" s="1" t="s">
        <v>2290</v>
      </c>
      <c r="E136" s="1" t="n">
        <v>1734</v>
      </c>
      <c r="F136" s="1" t="s">
        <v>125</v>
      </c>
      <c r="I136" s="1" t="n">
        <v>252737</v>
      </c>
      <c r="J136" s="1" t="n">
        <v>39448</v>
      </c>
      <c r="K136" s="1" t="n">
        <v>7898055450016</v>
      </c>
      <c r="L136" s="1" t="s">
        <v>2385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5" t="n">
        <v>46176</v>
      </c>
      <c r="C137" s="1" t="n">
        <v>11</v>
      </c>
      <c r="D137" s="1" t="s">
        <v>2290</v>
      </c>
      <c r="E137" s="1" t="n">
        <v>1734</v>
      </c>
      <c r="F137" s="1" t="s">
        <v>125</v>
      </c>
      <c r="I137" s="1" t="n">
        <v>252737</v>
      </c>
      <c r="J137" s="1" t="n">
        <v>40955</v>
      </c>
      <c r="K137" s="1" t="n">
        <v>7898055450283</v>
      </c>
      <c r="L137" s="1" t="s">
        <v>2386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5" t="n">
        <v>46176</v>
      </c>
      <c r="C138" s="1" t="n">
        <v>11</v>
      </c>
      <c r="D138" s="1" t="s">
        <v>2290</v>
      </c>
      <c r="E138" s="1" t="n">
        <v>1734</v>
      </c>
      <c r="F138" s="1" t="s">
        <v>125</v>
      </c>
      <c r="I138" s="1" t="n">
        <v>252737</v>
      </c>
      <c r="J138" s="1" t="n">
        <v>56815</v>
      </c>
      <c r="K138" s="1" t="n">
        <v>7898055455165</v>
      </c>
      <c r="L138" s="1" t="s">
        <v>2387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5" t="n">
        <v>46176</v>
      </c>
      <c r="C139" s="1" t="n">
        <v>11</v>
      </c>
      <c r="D139" s="1" t="s">
        <v>2290</v>
      </c>
      <c r="E139" s="1" t="n">
        <v>1734</v>
      </c>
      <c r="F139" s="1" t="s">
        <v>125</v>
      </c>
      <c r="I139" s="1" t="n">
        <v>252737</v>
      </c>
      <c r="J139" s="1" t="n">
        <v>57021</v>
      </c>
      <c r="K139" s="1" t="n">
        <v>7898055455189</v>
      </c>
      <c r="L139" s="1" t="s">
        <v>2388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5" t="n">
        <v>46176</v>
      </c>
      <c r="C140" s="1" t="n">
        <v>11</v>
      </c>
      <c r="D140" s="1" t="s">
        <v>2290</v>
      </c>
      <c r="E140" s="1" t="n">
        <v>1734</v>
      </c>
      <c r="F140" s="1" t="s">
        <v>125</v>
      </c>
      <c r="I140" s="1" t="n">
        <v>252737</v>
      </c>
      <c r="J140" s="1" t="n">
        <v>78071</v>
      </c>
      <c r="K140" s="1" t="n">
        <v>7898055455622</v>
      </c>
      <c r="L140" s="1" t="s">
        <v>2389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5" t="n">
        <v>46176</v>
      </c>
      <c r="C141" s="1" t="n">
        <v>11</v>
      </c>
      <c r="D141" s="1" t="s">
        <v>2290</v>
      </c>
      <c r="E141" s="1" t="n">
        <v>1815</v>
      </c>
      <c r="F141" s="1" t="s">
        <v>53</v>
      </c>
      <c r="I141" s="1" t="n">
        <v>385060</v>
      </c>
      <c r="J141" s="1" t="n">
        <v>100024</v>
      </c>
      <c r="K141" s="1" t="n">
        <v>25</v>
      </c>
      <c r="L141" s="1" t="s">
        <v>2390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5" t="n">
        <v>46176</v>
      </c>
      <c r="C142" s="1" t="n">
        <v>11</v>
      </c>
      <c r="D142" s="1" t="s">
        <v>2290</v>
      </c>
      <c r="E142" s="1" t="n">
        <v>1815</v>
      </c>
      <c r="F142" s="1" t="s">
        <v>53</v>
      </c>
      <c r="I142" s="1" t="n">
        <v>385060</v>
      </c>
      <c r="J142" s="1" t="n">
        <v>100035</v>
      </c>
      <c r="K142" s="1" t="n">
        <v>36</v>
      </c>
      <c r="L142" s="1" t="s">
        <v>2391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5" t="n">
        <v>46176</v>
      </c>
      <c r="C143" s="1" t="n">
        <v>11</v>
      </c>
      <c r="D143" s="1" t="s">
        <v>2290</v>
      </c>
      <c r="E143" s="1" t="n">
        <v>1815</v>
      </c>
      <c r="F143" s="1" t="s">
        <v>53</v>
      </c>
      <c r="I143" s="1" t="n">
        <v>385060</v>
      </c>
      <c r="J143" s="1" t="n">
        <v>24024</v>
      </c>
      <c r="K143" s="1" t="n">
        <v>7896116900432</v>
      </c>
      <c r="L143" s="1" t="s">
        <v>2392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5" t="n">
        <v>46176</v>
      </c>
      <c r="C144" s="1" t="n">
        <v>11</v>
      </c>
      <c r="D144" s="1" t="s">
        <v>2290</v>
      </c>
      <c r="E144" s="1" t="n">
        <v>1815</v>
      </c>
      <c r="F144" s="1" t="s">
        <v>53</v>
      </c>
      <c r="I144" s="1" t="n">
        <v>385060</v>
      </c>
      <c r="J144" s="1" t="n">
        <v>24025</v>
      </c>
      <c r="K144" s="1" t="n">
        <v>7896116900050</v>
      </c>
      <c r="L144" s="1" t="s">
        <v>2393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5" t="n">
        <v>46176</v>
      </c>
      <c r="C145" s="1" t="n">
        <v>11</v>
      </c>
      <c r="D145" s="1" t="s">
        <v>2290</v>
      </c>
      <c r="E145" s="1" t="n">
        <v>1815</v>
      </c>
      <c r="F145" s="1" t="s">
        <v>53</v>
      </c>
      <c r="I145" s="1" t="n">
        <v>385060</v>
      </c>
      <c r="J145" s="1" t="n">
        <v>31798</v>
      </c>
      <c r="K145" s="1" t="n">
        <v>7898922012392</v>
      </c>
      <c r="L145" s="1" t="s">
        <v>2394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5" t="n">
        <v>46176</v>
      </c>
      <c r="C146" s="1" t="n">
        <v>11</v>
      </c>
      <c r="D146" s="1" t="s">
        <v>2290</v>
      </c>
      <c r="E146" s="1" t="n">
        <v>1815</v>
      </c>
      <c r="F146" s="1" t="s">
        <v>53</v>
      </c>
      <c r="I146" s="1" t="n">
        <v>385060</v>
      </c>
      <c r="J146" s="1" t="n">
        <v>33534</v>
      </c>
      <c r="K146" s="1" t="n">
        <v>7898922012408</v>
      </c>
      <c r="L146" s="1" t="s">
        <v>2395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5" t="n">
        <v>46176</v>
      </c>
      <c r="C147" s="1" t="n">
        <v>11</v>
      </c>
      <c r="D147" s="1" t="s">
        <v>2290</v>
      </c>
      <c r="E147" s="1" t="n">
        <v>1815</v>
      </c>
      <c r="F147" s="1" t="s">
        <v>53</v>
      </c>
      <c r="I147" s="1" t="n">
        <v>385060</v>
      </c>
      <c r="J147" s="1" t="n">
        <v>110191</v>
      </c>
      <c r="K147" s="1" t="n">
        <v>37402</v>
      </c>
      <c r="L147" s="1" t="s">
        <v>2396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5" t="n">
        <v>46176</v>
      </c>
      <c r="C148" s="1" t="n">
        <v>11</v>
      </c>
      <c r="D148" s="1" t="s">
        <v>2290</v>
      </c>
      <c r="E148" s="1" t="n">
        <v>1815</v>
      </c>
      <c r="F148" s="1" t="s">
        <v>53</v>
      </c>
      <c r="I148" s="1" t="n">
        <v>385060</v>
      </c>
      <c r="J148" s="1" t="n">
        <v>38540</v>
      </c>
      <c r="K148" s="1" t="n">
        <v>7894904015108</v>
      </c>
      <c r="L148" s="1" t="s">
        <v>2397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5" t="n">
        <v>46176</v>
      </c>
      <c r="C149" s="1" t="n">
        <v>11</v>
      </c>
      <c r="D149" s="1" t="s">
        <v>2290</v>
      </c>
      <c r="E149" s="1" t="n">
        <v>1718</v>
      </c>
      <c r="F149" s="1" t="s">
        <v>408</v>
      </c>
      <c r="I149" s="1" t="n">
        <v>671810</v>
      </c>
      <c r="J149" s="1" t="n">
        <v>11265</v>
      </c>
      <c r="K149" s="1" t="n">
        <v>7622300119621</v>
      </c>
      <c r="L149" s="1" t="s">
        <v>2398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5" t="n">
        <v>46176</v>
      </c>
      <c r="C150" s="1" t="n">
        <v>11</v>
      </c>
      <c r="D150" s="1" t="s">
        <v>2290</v>
      </c>
      <c r="E150" s="1" t="n">
        <v>1718</v>
      </c>
      <c r="F150" s="1" t="s">
        <v>408</v>
      </c>
      <c r="I150" s="1" t="n">
        <v>671810</v>
      </c>
      <c r="J150" s="1" t="n">
        <v>26009</v>
      </c>
      <c r="K150" s="1" t="n">
        <v>7622210661661</v>
      </c>
      <c r="L150" s="1" t="s">
        <v>2399</v>
      </c>
      <c r="N150" s="1" t="n">
        <v>12</v>
      </c>
      <c r="O150" s="1" t="n">
        <v>60.24</v>
      </c>
    </row>
    <row r="151" customFormat="false" ht="15" hidden="false" customHeight="true" outlineLevel="0" collapsed="false">
      <c r="A151" s="1" t="n">
        <v>3</v>
      </c>
      <c r="B151" s="15" t="n">
        <v>46176</v>
      </c>
      <c r="C151" s="1" t="n">
        <v>11</v>
      </c>
      <c r="D151" s="1" t="s">
        <v>2290</v>
      </c>
      <c r="E151" s="1" t="n">
        <v>1718</v>
      </c>
      <c r="F151" s="1" t="s">
        <v>408</v>
      </c>
      <c r="I151" s="1" t="n">
        <v>671810</v>
      </c>
      <c r="J151" s="1" t="n">
        <v>21275</v>
      </c>
      <c r="K151" s="1" t="n">
        <v>7622300830151</v>
      </c>
      <c r="L151" s="1" t="s">
        <v>2400</v>
      </c>
      <c r="N151" s="1" t="n">
        <v>24</v>
      </c>
      <c r="O151" s="1" t="n">
        <v>88.56</v>
      </c>
    </row>
    <row r="152" customFormat="false" ht="15" hidden="false" customHeight="true" outlineLevel="0" collapsed="false">
      <c r="A152" s="1" t="n">
        <v>3</v>
      </c>
      <c r="B152" s="15" t="n">
        <v>46176</v>
      </c>
      <c r="C152" s="1" t="n">
        <v>11</v>
      </c>
      <c r="D152" s="1" t="s">
        <v>2290</v>
      </c>
      <c r="E152" s="1" t="n">
        <v>1718</v>
      </c>
      <c r="F152" s="1" t="s">
        <v>408</v>
      </c>
      <c r="I152" s="1" t="n">
        <v>671810</v>
      </c>
      <c r="J152" s="1" t="n">
        <v>22869</v>
      </c>
      <c r="K152" s="1" t="n">
        <v>7622300873554</v>
      </c>
      <c r="L152" s="1" t="s">
        <v>2401</v>
      </c>
      <c r="N152" s="1" t="n">
        <v>12</v>
      </c>
      <c r="O152" s="1" t="n">
        <v>44.28</v>
      </c>
    </row>
    <row r="153" customFormat="false" ht="15" hidden="false" customHeight="true" outlineLevel="0" collapsed="false">
      <c r="A153" s="1" t="n">
        <v>3</v>
      </c>
      <c r="B153" s="15" t="n">
        <v>46176</v>
      </c>
      <c r="C153" s="1" t="n">
        <v>11</v>
      </c>
      <c r="D153" s="1" t="s">
        <v>2290</v>
      </c>
      <c r="E153" s="1" t="n">
        <v>1718</v>
      </c>
      <c r="F153" s="1" t="s">
        <v>408</v>
      </c>
      <c r="I153" s="1" t="n">
        <v>671810</v>
      </c>
      <c r="J153" s="1" t="n">
        <v>23714</v>
      </c>
      <c r="K153" s="1" t="n">
        <v>7622300988470</v>
      </c>
      <c r="L153" s="1" t="s">
        <v>2402</v>
      </c>
      <c r="N153" s="1" t="n">
        <v>96</v>
      </c>
      <c r="O153" s="1" t="n">
        <v>372</v>
      </c>
    </row>
    <row r="154" customFormat="false" ht="15" hidden="false" customHeight="true" outlineLevel="0" collapsed="false">
      <c r="A154" s="1" t="n">
        <v>3</v>
      </c>
      <c r="B154" s="15" t="n">
        <v>46176</v>
      </c>
      <c r="C154" s="1" t="n">
        <v>11</v>
      </c>
      <c r="D154" s="1" t="s">
        <v>2290</v>
      </c>
      <c r="E154" s="1" t="n">
        <v>1718</v>
      </c>
      <c r="F154" s="1" t="s">
        <v>408</v>
      </c>
      <c r="I154" s="1" t="n">
        <v>671810</v>
      </c>
      <c r="J154" s="1" t="n">
        <v>24049</v>
      </c>
      <c r="K154" s="1" t="n">
        <v>7622300990701</v>
      </c>
      <c r="L154" s="1" t="s">
        <v>2403</v>
      </c>
      <c r="N154" s="1" t="n">
        <v>22</v>
      </c>
      <c r="O154" s="1" t="n">
        <v>110.44</v>
      </c>
    </row>
    <row r="155" customFormat="false" ht="15" hidden="false" customHeight="true" outlineLevel="0" collapsed="false">
      <c r="A155" s="1" t="n">
        <v>3</v>
      </c>
      <c r="B155" s="15" t="n">
        <v>46176</v>
      </c>
      <c r="C155" s="1" t="n">
        <v>11</v>
      </c>
      <c r="D155" s="1" t="s">
        <v>2290</v>
      </c>
      <c r="E155" s="1" t="n">
        <v>1718</v>
      </c>
      <c r="F155" s="1" t="s">
        <v>408</v>
      </c>
      <c r="I155" s="1" t="n">
        <v>671810</v>
      </c>
      <c r="J155" s="1" t="n">
        <v>24066</v>
      </c>
      <c r="K155" s="1" t="n">
        <v>7622300989408</v>
      </c>
      <c r="L155" s="1" t="s">
        <v>2404</v>
      </c>
      <c r="N155" s="1" t="n">
        <v>12</v>
      </c>
      <c r="O155" s="1" t="n">
        <v>44.28</v>
      </c>
    </row>
    <row r="156" customFormat="false" ht="15" hidden="false" customHeight="true" outlineLevel="0" collapsed="false">
      <c r="A156" s="1" t="n">
        <v>3</v>
      </c>
      <c r="B156" s="15" t="n">
        <v>46176</v>
      </c>
      <c r="C156" s="1" t="n">
        <v>11</v>
      </c>
      <c r="D156" s="1" t="s">
        <v>2290</v>
      </c>
      <c r="E156" s="1" t="n">
        <v>1718</v>
      </c>
      <c r="F156" s="1" t="s">
        <v>408</v>
      </c>
      <c r="I156" s="1" t="n">
        <v>671810</v>
      </c>
      <c r="J156" s="1" t="n">
        <v>24226</v>
      </c>
      <c r="K156" s="1" t="n">
        <v>7622210641632</v>
      </c>
      <c r="L156" s="1" t="s">
        <v>2403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5" t="n">
        <v>46176</v>
      </c>
      <c r="C157" s="1" t="n">
        <v>11</v>
      </c>
      <c r="D157" s="1" t="s">
        <v>2290</v>
      </c>
      <c r="E157" s="1" t="n">
        <v>1718</v>
      </c>
      <c r="F157" s="1" t="s">
        <v>408</v>
      </c>
      <c r="I157" s="1" t="n">
        <v>671810</v>
      </c>
      <c r="J157" s="1" t="n">
        <v>24526</v>
      </c>
      <c r="K157" s="1" t="n">
        <v>7622210644534</v>
      </c>
      <c r="L157" s="1" t="s">
        <v>2405</v>
      </c>
      <c r="N157" s="1" t="n">
        <v>12</v>
      </c>
      <c r="O157" s="1" t="n">
        <v>60.24</v>
      </c>
    </row>
    <row r="158" customFormat="false" ht="15" hidden="false" customHeight="true" outlineLevel="0" collapsed="false">
      <c r="A158" s="1" t="n">
        <v>3</v>
      </c>
      <c r="B158" s="15" t="n">
        <v>46176</v>
      </c>
      <c r="C158" s="1" t="n">
        <v>11</v>
      </c>
      <c r="D158" s="1" t="s">
        <v>2290</v>
      </c>
      <c r="E158" s="1" t="n">
        <v>1718</v>
      </c>
      <c r="F158" s="1" t="s">
        <v>408</v>
      </c>
      <c r="I158" s="1" t="n">
        <v>671810</v>
      </c>
      <c r="J158" s="1" t="n">
        <v>25387</v>
      </c>
      <c r="K158" s="1" t="n">
        <v>7622210411501</v>
      </c>
      <c r="L158" s="1" t="s">
        <v>2406</v>
      </c>
      <c r="N158" s="1" t="n">
        <v>18</v>
      </c>
      <c r="O158" s="1" t="n">
        <v>62.75</v>
      </c>
    </row>
    <row r="159" customFormat="false" ht="15" hidden="false" customHeight="true" outlineLevel="0" collapsed="false">
      <c r="A159" s="1" t="n">
        <v>3</v>
      </c>
      <c r="B159" s="15" t="n">
        <v>46176</v>
      </c>
      <c r="C159" s="1" t="n">
        <v>11</v>
      </c>
      <c r="D159" s="1" t="s">
        <v>2290</v>
      </c>
      <c r="E159" s="1" t="n">
        <v>1718</v>
      </c>
      <c r="F159" s="1" t="s">
        <v>408</v>
      </c>
      <c r="I159" s="1" t="n">
        <v>671810</v>
      </c>
      <c r="J159" s="1" t="n">
        <v>25460</v>
      </c>
      <c r="K159" s="1" t="n">
        <v>7622210661609</v>
      </c>
      <c r="L159" s="1" t="s">
        <v>2407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5" t="n">
        <v>46176</v>
      </c>
      <c r="C160" s="1" t="n">
        <v>11</v>
      </c>
      <c r="D160" s="1" t="s">
        <v>2290</v>
      </c>
      <c r="E160" s="1" t="n">
        <v>1718</v>
      </c>
      <c r="F160" s="1" t="s">
        <v>408</v>
      </c>
      <c r="I160" s="1" t="n">
        <v>671810</v>
      </c>
      <c r="J160" s="1" t="n">
        <v>28595</v>
      </c>
      <c r="K160" s="1" t="n">
        <v>78939318</v>
      </c>
      <c r="L160" s="1" t="s">
        <v>2408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5" t="n">
        <v>46176</v>
      </c>
      <c r="C161" s="1" t="n">
        <v>11</v>
      </c>
      <c r="D161" s="1" t="s">
        <v>2290</v>
      </c>
      <c r="E161" s="1" t="n">
        <v>1718</v>
      </c>
      <c r="F161" s="1" t="s">
        <v>408</v>
      </c>
      <c r="I161" s="1" t="n">
        <v>671810</v>
      </c>
      <c r="J161" s="1" t="n">
        <v>37772</v>
      </c>
      <c r="K161" s="1" t="n">
        <v>78939301</v>
      </c>
      <c r="L161" s="1" t="s">
        <v>2409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5" t="n">
        <v>46176</v>
      </c>
      <c r="C162" s="1" t="n">
        <v>11</v>
      </c>
      <c r="D162" s="1" t="s">
        <v>2290</v>
      </c>
      <c r="E162" s="1" t="n">
        <v>1718</v>
      </c>
      <c r="F162" s="1" t="s">
        <v>408</v>
      </c>
      <c r="I162" s="1" t="n">
        <v>671810</v>
      </c>
      <c r="J162" s="1" t="n">
        <v>38441</v>
      </c>
      <c r="K162" s="1" t="n">
        <v>7622210566409</v>
      </c>
      <c r="L162" s="1" t="s">
        <v>2410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5" t="n">
        <v>46176</v>
      </c>
      <c r="C163" s="1" t="n">
        <v>11</v>
      </c>
      <c r="D163" s="1" t="s">
        <v>2290</v>
      </c>
      <c r="E163" s="1" t="n">
        <v>1718</v>
      </c>
      <c r="F163" s="1" t="s">
        <v>408</v>
      </c>
      <c r="I163" s="1" t="n">
        <v>671810</v>
      </c>
      <c r="J163" s="1" t="n">
        <v>39155</v>
      </c>
      <c r="K163" s="1" t="n">
        <v>7622210933454</v>
      </c>
      <c r="L163" s="1" t="s">
        <v>2411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5" t="n">
        <v>46176</v>
      </c>
      <c r="C164" s="1" t="n">
        <v>11</v>
      </c>
      <c r="D164" s="1" t="s">
        <v>2290</v>
      </c>
      <c r="E164" s="1" t="n">
        <v>1718</v>
      </c>
      <c r="F164" s="1" t="s">
        <v>408</v>
      </c>
      <c r="I164" s="1" t="n">
        <v>671810</v>
      </c>
      <c r="J164" s="1" t="n">
        <v>45647</v>
      </c>
      <c r="K164" s="1" t="n">
        <v>7622210566331</v>
      </c>
      <c r="L164" s="1" t="s">
        <v>2412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15" t="n">
        <v>46176</v>
      </c>
      <c r="C165" s="1" t="n">
        <v>11</v>
      </c>
      <c r="D165" s="1" t="s">
        <v>2290</v>
      </c>
      <c r="E165" s="1" t="n">
        <v>1718</v>
      </c>
      <c r="F165" s="1" t="s">
        <v>408</v>
      </c>
      <c r="I165" s="1" t="n">
        <v>671810</v>
      </c>
      <c r="J165" s="1" t="n">
        <v>52731</v>
      </c>
      <c r="K165" s="1" t="n">
        <v>7622210674050</v>
      </c>
      <c r="L165" s="1" t="s">
        <v>2413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15" t="n">
        <v>46176</v>
      </c>
      <c r="C166" s="1" t="n">
        <v>11</v>
      </c>
      <c r="D166" s="1" t="s">
        <v>2290</v>
      </c>
      <c r="E166" s="1" t="n">
        <v>1718</v>
      </c>
      <c r="F166" s="1" t="s">
        <v>408</v>
      </c>
      <c r="I166" s="1" t="n">
        <v>671810</v>
      </c>
      <c r="J166" s="1" t="n">
        <v>52732</v>
      </c>
      <c r="K166" s="1" t="n">
        <v>7622210673831</v>
      </c>
      <c r="L166" s="1" t="s">
        <v>2414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5" t="n">
        <v>46176</v>
      </c>
      <c r="C167" s="1" t="n">
        <v>11</v>
      </c>
      <c r="D167" s="1" t="s">
        <v>2290</v>
      </c>
      <c r="E167" s="1" t="n">
        <v>1718</v>
      </c>
      <c r="F167" s="1" t="s">
        <v>408</v>
      </c>
      <c r="I167" s="1" t="n">
        <v>671810</v>
      </c>
      <c r="J167" s="1" t="n">
        <v>52734</v>
      </c>
      <c r="K167" s="1" t="n">
        <v>7622210674395</v>
      </c>
      <c r="L167" s="1" t="s">
        <v>2415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5" t="n">
        <v>46176</v>
      </c>
      <c r="C168" s="1" t="n">
        <v>11</v>
      </c>
      <c r="D168" s="1" t="s">
        <v>2290</v>
      </c>
      <c r="E168" s="1" t="n">
        <v>1718</v>
      </c>
      <c r="F168" s="1" t="s">
        <v>408</v>
      </c>
      <c r="I168" s="1" t="n">
        <v>671810</v>
      </c>
      <c r="J168" s="1" t="n">
        <v>53290</v>
      </c>
      <c r="K168" s="1" t="n">
        <v>7622210674319</v>
      </c>
      <c r="L168" s="1" t="s">
        <v>2416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5" t="n">
        <v>46176</v>
      </c>
      <c r="C169" s="1" t="n">
        <v>11</v>
      </c>
      <c r="D169" s="1" t="s">
        <v>2290</v>
      </c>
      <c r="E169" s="1" t="n">
        <v>1718</v>
      </c>
      <c r="F169" s="1" t="s">
        <v>408</v>
      </c>
      <c r="I169" s="1" t="n">
        <v>671810</v>
      </c>
      <c r="J169" s="1" t="n">
        <v>71600</v>
      </c>
      <c r="K169" s="1" t="n">
        <v>7622210534576</v>
      </c>
      <c r="L169" s="1" t="s">
        <v>2417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5" t="n">
        <v>46176</v>
      </c>
      <c r="C170" s="1" t="n">
        <v>11</v>
      </c>
      <c r="D170" s="1" t="s">
        <v>2290</v>
      </c>
      <c r="E170" s="1" t="n">
        <v>1718</v>
      </c>
      <c r="F170" s="1" t="s">
        <v>408</v>
      </c>
      <c r="I170" s="1" t="n">
        <v>671810</v>
      </c>
      <c r="J170" s="1" t="n">
        <v>75083</v>
      </c>
      <c r="K170" s="1" t="n">
        <v>7622202256691</v>
      </c>
      <c r="L170" s="1" t="s">
        <v>2418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5" t="n">
        <v>46176</v>
      </c>
      <c r="C171" s="1" t="n">
        <v>11</v>
      </c>
      <c r="D171" s="1" t="s">
        <v>2290</v>
      </c>
      <c r="E171" s="1" t="n">
        <v>1718</v>
      </c>
      <c r="F171" s="1" t="s">
        <v>408</v>
      </c>
      <c r="I171" s="1" t="n">
        <v>671810</v>
      </c>
      <c r="J171" s="1" t="n">
        <v>75086</v>
      </c>
      <c r="K171" s="1" t="n">
        <v>7622202256721</v>
      </c>
      <c r="L171" s="1" t="s">
        <v>2419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5" t="n">
        <v>46176</v>
      </c>
      <c r="C172" s="1" t="n">
        <v>11</v>
      </c>
      <c r="D172" s="1" t="s">
        <v>2290</v>
      </c>
      <c r="E172" s="1" t="n">
        <v>1718</v>
      </c>
      <c r="F172" s="1" t="s">
        <v>408</v>
      </c>
      <c r="I172" s="1" t="n">
        <v>671810</v>
      </c>
      <c r="J172" s="1" t="n">
        <v>75087</v>
      </c>
      <c r="K172" s="1" t="n">
        <v>7622202258459</v>
      </c>
      <c r="L172" s="1" t="s">
        <v>2420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5" t="n">
        <v>46176</v>
      </c>
      <c r="C173" s="1" t="n">
        <v>11</v>
      </c>
      <c r="D173" s="1" t="s">
        <v>2290</v>
      </c>
      <c r="E173" s="1" t="n">
        <v>1718</v>
      </c>
      <c r="F173" s="1" t="s">
        <v>408</v>
      </c>
      <c r="I173" s="1" t="n">
        <v>671810</v>
      </c>
      <c r="J173" s="1" t="n">
        <v>76907</v>
      </c>
      <c r="K173" s="1" t="n">
        <v>7622202301391</v>
      </c>
      <c r="L173" s="1" t="s">
        <v>2421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5" t="n">
        <v>46176</v>
      </c>
      <c r="C174" s="1" t="n">
        <v>11</v>
      </c>
      <c r="D174" s="1" t="s">
        <v>2290</v>
      </c>
      <c r="E174" s="1" t="n">
        <v>1718</v>
      </c>
      <c r="F174" s="1" t="s">
        <v>408</v>
      </c>
      <c r="I174" s="1" t="n">
        <v>671810</v>
      </c>
      <c r="J174" s="1" t="n">
        <v>79620</v>
      </c>
      <c r="K174" s="1" t="n">
        <v>7622210567550</v>
      </c>
      <c r="L174" s="1" t="s">
        <v>2422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5" t="n">
        <v>46176</v>
      </c>
      <c r="C175" s="1" t="n">
        <v>11</v>
      </c>
      <c r="D175" s="1" t="s">
        <v>2290</v>
      </c>
      <c r="E175" s="1" t="n">
        <v>1718</v>
      </c>
      <c r="F175" s="1" t="s">
        <v>408</v>
      </c>
      <c r="I175" s="1" t="n">
        <v>671810</v>
      </c>
      <c r="J175" s="1" t="n">
        <v>79825</v>
      </c>
      <c r="K175" s="1" t="n">
        <v>7622210674357</v>
      </c>
      <c r="L175" s="1" t="s">
        <v>2423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5" t="n">
        <v>46176</v>
      </c>
      <c r="C176" s="1" t="n">
        <v>11</v>
      </c>
      <c r="D176" s="1" t="s">
        <v>2290</v>
      </c>
      <c r="E176" s="1" t="n">
        <v>1659</v>
      </c>
      <c r="F176" s="1" t="s">
        <v>251</v>
      </c>
      <c r="I176" s="1" t="n">
        <v>876315</v>
      </c>
      <c r="J176" s="1" t="n">
        <v>103381</v>
      </c>
      <c r="K176" s="1" t="n">
        <v>7896006412656</v>
      </c>
      <c r="L176" s="1" t="s">
        <v>2424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5" t="n">
        <v>46176</v>
      </c>
      <c r="C177" s="1" t="n">
        <v>11</v>
      </c>
      <c r="D177" s="1" t="s">
        <v>2290</v>
      </c>
      <c r="E177" s="1" t="n">
        <v>1659</v>
      </c>
      <c r="F177" s="1" t="s">
        <v>251</v>
      </c>
      <c r="I177" s="1" t="n">
        <v>876315</v>
      </c>
      <c r="J177" s="1" t="n">
        <v>103382</v>
      </c>
      <c r="K177" s="1" t="n">
        <v>7896006400035</v>
      </c>
      <c r="L177" s="1" t="s">
        <v>2425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5" t="n">
        <v>46176</v>
      </c>
      <c r="C178" s="1" t="n">
        <v>11</v>
      </c>
      <c r="D178" s="1" t="s">
        <v>2290</v>
      </c>
      <c r="E178" s="1" t="n">
        <v>1659</v>
      </c>
      <c r="F178" s="1" t="s">
        <v>251</v>
      </c>
      <c r="I178" s="1" t="n">
        <v>876315</v>
      </c>
      <c r="J178" s="1" t="n">
        <v>103386</v>
      </c>
      <c r="K178" s="1" t="n">
        <v>7896006413851</v>
      </c>
      <c r="L178" s="1" t="s">
        <v>2426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5" t="n">
        <v>46176</v>
      </c>
      <c r="C179" s="1" t="n">
        <v>11</v>
      </c>
      <c r="D179" s="1" t="s">
        <v>2290</v>
      </c>
      <c r="E179" s="1" t="n">
        <v>1659</v>
      </c>
      <c r="F179" s="1" t="s">
        <v>251</v>
      </c>
      <c r="I179" s="1" t="n">
        <v>876315</v>
      </c>
      <c r="J179" s="1" t="n">
        <v>105721</v>
      </c>
      <c r="K179" s="1" t="n">
        <v>7896006420415</v>
      </c>
      <c r="L179" s="1" t="s">
        <v>2427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5" t="n">
        <v>46176</v>
      </c>
      <c r="C180" s="1" t="n">
        <v>11</v>
      </c>
      <c r="D180" s="1" t="s">
        <v>2290</v>
      </c>
      <c r="E180" s="1" t="n">
        <v>1659</v>
      </c>
      <c r="F180" s="1" t="s">
        <v>251</v>
      </c>
      <c r="I180" s="1" t="n">
        <v>876315</v>
      </c>
      <c r="J180" s="1" t="n">
        <v>25488</v>
      </c>
      <c r="K180" s="1" t="n">
        <v>7898031171201</v>
      </c>
      <c r="L180" s="1" t="s">
        <v>2428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5" t="n">
        <v>46176</v>
      </c>
      <c r="C181" s="1" t="n">
        <v>11</v>
      </c>
      <c r="D181" s="1" t="s">
        <v>2290</v>
      </c>
      <c r="E181" s="1" t="n">
        <v>1659</v>
      </c>
      <c r="F181" s="1" t="s">
        <v>251</v>
      </c>
      <c r="I181" s="1" t="n">
        <v>876315</v>
      </c>
      <c r="J181" s="1" t="n">
        <v>31059</v>
      </c>
      <c r="K181" s="1" t="n">
        <v>7898962794142</v>
      </c>
      <c r="L181" s="1" t="s">
        <v>2429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5" t="n">
        <v>46176</v>
      </c>
      <c r="C182" s="1" t="n">
        <v>11</v>
      </c>
      <c r="D182" s="1" t="s">
        <v>2290</v>
      </c>
      <c r="E182" s="1" t="n">
        <v>1659</v>
      </c>
      <c r="F182" s="1" t="s">
        <v>251</v>
      </c>
      <c r="I182" s="1" t="n">
        <v>876315</v>
      </c>
      <c r="J182" s="1" t="n">
        <v>46545</v>
      </c>
      <c r="K182" s="1" t="n">
        <v>7898962794234</v>
      </c>
      <c r="L182" s="1" t="s">
        <v>2430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5" t="n">
        <v>46176</v>
      </c>
      <c r="C183" s="1" t="n">
        <v>11</v>
      </c>
      <c r="D183" s="1" t="s">
        <v>2290</v>
      </c>
      <c r="E183" s="1" t="n">
        <v>1659</v>
      </c>
      <c r="F183" s="1" t="s">
        <v>251</v>
      </c>
      <c r="I183" s="1" t="n">
        <v>876315</v>
      </c>
      <c r="J183" s="1" t="n">
        <v>76557</v>
      </c>
      <c r="K183" s="1" t="n">
        <v>7898031174691</v>
      </c>
      <c r="L183" s="1" t="s">
        <v>2431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5" t="n">
        <v>46176</v>
      </c>
      <c r="C184" s="1" t="n">
        <v>11</v>
      </c>
      <c r="D184" s="1" t="s">
        <v>2290</v>
      </c>
      <c r="E184" s="1" t="n">
        <v>1740</v>
      </c>
      <c r="F184" s="1" t="s">
        <v>170</v>
      </c>
      <c r="I184" s="1" t="n">
        <v>1232607</v>
      </c>
      <c r="J184" s="1" t="n">
        <v>100036</v>
      </c>
      <c r="K184" s="1" t="n">
        <v>37</v>
      </c>
      <c r="L184" s="1" t="s">
        <v>2432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5" t="n">
        <v>46176</v>
      </c>
      <c r="C185" s="1" t="n">
        <v>11</v>
      </c>
      <c r="D185" s="1" t="s">
        <v>2290</v>
      </c>
      <c r="E185" s="1" t="n">
        <v>1740</v>
      </c>
      <c r="F185" s="1" t="s">
        <v>170</v>
      </c>
      <c r="I185" s="1" t="n">
        <v>1232607</v>
      </c>
      <c r="J185" s="1" t="n">
        <v>110530</v>
      </c>
      <c r="K185" s="1" t="n">
        <v>57638</v>
      </c>
      <c r="L185" s="1" t="s">
        <v>2433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5" t="n">
        <v>46176</v>
      </c>
      <c r="C186" s="1" t="n">
        <v>11</v>
      </c>
      <c r="D186" s="1" t="s">
        <v>2290</v>
      </c>
      <c r="E186" s="1" t="n">
        <v>1672</v>
      </c>
      <c r="F186" s="1" t="s">
        <v>67</v>
      </c>
      <c r="I186" s="1" t="n">
        <v>1360790</v>
      </c>
      <c r="J186" s="1" t="n">
        <v>101308</v>
      </c>
      <c r="K186" s="1" t="n">
        <v>7896579330098</v>
      </c>
      <c r="L186" s="1" t="s">
        <v>2434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5" t="n">
        <v>46176</v>
      </c>
      <c r="C187" s="1" t="n">
        <v>11</v>
      </c>
      <c r="D187" s="1" t="s">
        <v>2290</v>
      </c>
      <c r="E187" s="1" t="n">
        <v>1672</v>
      </c>
      <c r="F187" s="1" t="s">
        <v>67</v>
      </c>
      <c r="I187" s="1" t="n">
        <v>1360790</v>
      </c>
      <c r="J187" s="1" t="n">
        <v>37507</v>
      </c>
      <c r="K187" s="1" t="n">
        <v>7896579310854</v>
      </c>
      <c r="L187" s="1" t="s">
        <v>2435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5" t="n">
        <v>46176</v>
      </c>
      <c r="C188" s="1" t="n">
        <v>22</v>
      </c>
      <c r="D188" s="1" t="s">
        <v>2436</v>
      </c>
      <c r="E188" s="1" t="n">
        <v>42</v>
      </c>
      <c r="F188" s="1" t="s">
        <v>80</v>
      </c>
      <c r="I188" s="1" t="n">
        <v>4226</v>
      </c>
      <c r="J188" s="1" t="n">
        <v>100006</v>
      </c>
      <c r="K188" s="1" t="n">
        <v>7</v>
      </c>
      <c r="L188" s="1" t="s">
        <v>2437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5" t="n">
        <v>46176</v>
      </c>
      <c r="C189" s="1" t="n">
        <v>22</v>
      </c>
      <c r="D189" s="1" t="s">
        <v>2436</v>
      </c>
      <c r="E189" s="1" t="n">
        <v>42</v>
      </c>
      <c r="F189" s="1" t="s">
        <v>80</v>
      </c>
      <c r="I189" s="1" t="n">
        <v>4226</v>
      </c>
      <c r="J189" s="1" t="n">
        <v>100006</v>
      </c>
      <c r="K189" s="1" t="n">
        <v>7</v>
      </c>
      <c r="L189" s="1" t="s">
        <v>2437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5" t="n">
        <v>46176</v>
      </c>
      <c r="C190" s="1" t="n">
        <v>22</v>
      </c>
      <c r="D190" s="1" t="s">
        <v>2436</v>
      </c>
      <c r="E190" s="1" t="n">
        <v>42</v>
      </c>
      <c r="F190" s="1" t="s">
        <v>80</v>
      </c>
      <c r="I190" s="1" t="n">
        <v>4226</v>
      </c>
      <c r="J190" s="1" t="n">
        <v>100008</v>
      </c>
      <c r="K190" s="1" t="n">
        <v>9</v>
      </c>
      <c r="L190" s="1" t="s">
        <v>2438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5" t="n">
        <v>46176</v>
      </c>
      <c r="C191" s="1" t="n">
        <v>22</v>
      </c>
      <c r="D191" s="1" t="s">
        <v>2436</v>
      </c>
      <c r="E191" s="1" t="n">
        <v>42</v>
      </c>
      <c r="F191" s="1" t="s">
        <v>80</v>
      </c>
      <c r="I191" s="1" t="n">
        <v>4226</v>
      </c>
      <c r="J191" s="1" t="n">
        <v>100008</v>
      </c>
      <c r="K191" s="1" t="n">
        <v>9</v>
      </c>
      <c r="L191" s="1" t="s">
        <v>2438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5" t="n">
        <v>46176</v>
      </c>
      <c r="C192" s="1" t="n">
        <v>22</v>
      </c>
      <c r="D192" s="1" t="s">
        <v>2436</v>
      </c>
      <c r="E192" s="1" t="n">
        <v>42</v>
      </c>
      <c r="F192" s="1" t="s">
        <v>80</v>
      </c>
      <c r="I192" s="1" t="n">
        <v>4226</v>
      </c>
      <c r="J192" s="1" t="n">
        <v>100010</v>
      </c>
      <c r="K192" s="1" t="n">
        <v>11</v>
      </c>
      <c r="L192" s="1" t="s">
        <v>2439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5" t="n">
        <v>46176</v>
      </c>
      <c r="C193" s="1" t="n">
        <v>22</v>
      </c>
      <c r="D193" s="1" t="s">
        <v>2436</v>
      </c>
      <c r="E193" s="1" t="n">
        <v>42</v>
      </c>
      <c r="F193" s="1" t="s">
        <v>80</v>
      </c>
      <c r="I193" s="1" t="n">
        <v>4226</v>
      </c>
      <c r="J193" s="1" t="n">
        <v>100011</v>
      </c>
      <c r="K193" s="1" t="n">
        <v>12</v>
      </c>
      <c r="L193" s="1" t="s">
        <v>2440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5" t="n">
        <v>46176</v>
      </c>
      <c r="C194" s="1" t="n">
        <v>22</v>
      </c>
      <c r="D194" s="1" t="s">
        <v>2436</v>
      </c>
      <c r="E194" s="1" t="n">
        <v>42</v>
      </c>
      <c r="F194" s="1" t="s">
        <v>80</v>
      </c>
      <c r="I194" s="1" t="n">
        <v>4226</v>
      </c>
      <c r="J194" s="1" t="n">
        <v>100012</v>
      </c>
      <c r="K194" s="1" t="n">
        <v>13</v>
      </c>
      <c r="L194" s="1" t="s">
        <v>2441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5" t="n">
        <v>46176</v>
      </c>
      <c r="C195" s="1" t="n">
        <v>22</v>
      </c>
      <c r="D195" s="1" t="s">
        <v>2436</v>
      </c>
      <c r="E195" s="1" t="n">
        <v>42</v>
      </c>
      <c r="F195" s="1" t="s">
        <v>80</v>
      </c>
      <c r="I195" s="1" t="n">
        <v>4226</v>
      </c>
      <c r="J195" s="1" t="n">
        <v>100013</v>
      </c>
      <c r="K195" s="1" t="n">
        <v>14</v>
      </c>
      <c r="L195" s="1" t="s">
        <v>2442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5" t="n">
        <v>46176</v>
      </c>
      <c r="C196" s="1" t="n">
        <v>22</v>
      </c>
      <c r="D196" s="1" t="s">
        <v>2436</v>
      </c>
      <c r="E196" s="1" t="n">
        <v>42</v>
      </c>
      <c r="F196" s="1" t="s">
        <v>80</v>
      </c>
      <c r="I196" s="1" t="n">
        <v>4226</v>
      </c>
      <c r="J196" s="1" t="n">
        <v>100014</v>
      </c>
      <c r="K196" s="1" t="n">
        <v>15</v>
      </c>
      <c r="L196" s="1" t="s">
        <v>2443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5" t="n">
        <v>46176</v>
      </c>
      <c r="C197" s="1" t="n">
        <v>22</v>
      </c>
      <c r="D197" s="1" t="s">
        <v>2436</v>
      </c>
      <c r="E197" s="1" t="n">
        <v>42</v>
      </c>
      <c r="F197" s="1" t="s">
        <v>80</v>
      </c>
      <c r="I197" s="1" t="n">
        <v>4226</v>
      </c>
      <c r="J197" s="1" t="n">
        <v>100015</v>
      </c>
      <c r="K197" s="1" t="n">
        <v>16</v>
      </c>
      <c r="L197" s="1" t="s">
        <v>2444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5" t="n">
        <v>46176</v>
      </c>
      <c r="C198" s="1" t="n">
        <v>22</v>
      </c>
      <c r="D198" s="1" t="s">
        <v>2436</v>
      </c>
      <c r="E198" s="1" t="n">
        <v>42</v>
      </c>
      <c r="F198" s="1" t="s">
        <v>80</v>
      </c>
      <c r="I198" s="1" t="n">
        <v>4226</v>
      </c>
      <c r="J198" s="1" t="n">
        <v>100016</v>
      </c>
      <c r="K198" s="1" t="n">
        <v>17</v>
      </c>
      <c r="L198" s="1" t="s">
        <v>2445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5" t="n">
        <v>46176</v>
      </c>
      <c r="C199" s="1" t="n">
        <v>22</v>
      </c>
      <c r="D199" s="1" t="s">
        <v>2436</v>
      </c>
      <c r="E199" s="1" t="n">
        <v>42</v>
      </c>
      <c r="F199" s="1" t="s">
        <v>80</v>
      </c>
      <c r="I199" s="1" t="n">
        <v>4226</v>
      </c>
      <c r="J199" s="1" t="n">
        <v>100017</v>
      </c>
      <c r="K199" s="1" t="n">
        <v>18</v>
      </c>
      <c r="L199" s="1" t="s">
        <v>2446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5" t="n">
        <v>46176</v>
      </c>
      <c r="C200" s="1" t="n">
        <v>22</v>
      </c>
      <c r="D200" s="1" t="s">
        <v>2436</v>
      </c>
      <c r="E200" s="1" t="n">
        <v>42</v>
      </c>
      <c r="F200" s="1" t="s">
        <v>80</v>
      </c>
      <c r="I200" s="1" t="n">
        <v>4226</v>
      </c>
      <c r="J200" s="1" t="n">
        <v>100053</v>
      </c>
      <c r="K200" s="1" t="n">
        <v>54</v>
      </c>
      <c r="L200" s="1" t="s">
        <v>2447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5" t="n">
        <v>46176</v>
      </c>
      <c r="C201" s="1" t="n">
        <v>22</v>
      </c>
      <c r="D201" s="1" t="s">
        <v>2436</v>
      </c>
      <c r="E201" s="1" t="n">
        <v>42</v>
      </c>
      <c r="F201" s="1" t="s">
        <v>80</v>
      </c>
      <c r="I201" s="1" t="n">
        <v>4226</v>
      </c>
      <c r="J201" s="1" t="n">
        <v>100053</v>
      </c>
      <c r="K201" s="1" t="n">
        <v>54</v>
      </c>
      <c r="L201" s="1" t="s">
        <v>2447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5" t="n">
        <v>46176</v>
      </c>
      <c r="C202" s="1" t="n">
        <v>22</v>
      </c>
      <c r="D202" s="1" t="s">
        <v>2436</v>
      </c>
      <c r="E202" s="1" t="n">
        <v>42</v>
      </c>
      <c r="F202" s="1" t="s">
        <v>80</v>
      </c>
      <c r="I202" s="1" t="n">
        <v>4226</v>
      </c>
      <c r="J202" s="1" t="n">
        <v>100638</v>
      </c>
      <c r="K202" s="1" t="n">
        <v>508</v>
      </c>
      <c r="L202" s="1" t="s">
        <v>2448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5" t="n">
        <v>46176</v>
      </c>
      <c r="C203" s="1" t="n">
        <v>22</v>
      </c>
      <c r="D203" s="1" t="s">
        <v>2436</v>
      </c>
      <c r="E203" s="1" t="n">
        <v>42</v>
      </c>
      <c r="F203" s="1" t="s">
        <v>80</v>
      </c>
      <c r="I203" s="1" t="n">
        <v>4226</v>
      </c>
      <c r="J203" s="1" t="n">
        <v>100638</v>
      </c>
      <c r="K203" s="1" t="n">
        <v>508</v>
      </c>
      <c r="L203" s="1" t="s">
        <v>2448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5" t="n">
        <v>46176</v>
      </c>
      <c r="C204" s="1" t="n">
        <v>22</v>
      </c>
      <c r="D204" s="1" t="s">
        <v>2436</v>
      </c>
      <c r="E204" s="1" t="n">
        <v>42</v>
      </c>
      <c r="F204" s="1" t="s">
        <v>80</v>
      </c>
      <c r="I204" s="1" t="n">
        <v>4226</v>
      </c>
      <c r="J204" s="1" t="n">
        <v>100520</v>
      </c>
      <c r="K204" s="1" t="n">
        <v>507</v>
      </c>
      <c r="L204" s="1" t="s">
        <v>2449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5" t="n">
        <v>46176</v>
      </c>
      <c r="C205" s="1" t="n">
        <v>22</v>
      </c>
      <c r="D205" s="1" t="s">
        <v>2436</v>
      </c>
      <c r="E205" s="1" t="n">
        <v>42</v>
      </c>
      <c r="F205" s="1" t="s">
        <v>80</v>
      </c>
      <c r="I205" s="1" t="n">
        <v>4226</v>
      </c>
      <c r="J205" s="1" t="n">
        <v>100520</v>
      </c>
      <c r="K205" s="1" t="n">
        <v>507</v>
      </c>
      <c r="L205" s="1" t="s">
        <v>2449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5" t="n">
        <v>46176</v>
      </c>
      <c r="C206" s="1" t="n">
        <v>22</v>
      </c>
      <c r="D206" s="1" t="s">
        <v>2436</v>
      </c>
      <c r="E206" s="1" t="n">
        <v>42</v>
      </c>
      <c r="F206" s="1" t="s">
        <v>80</v>
      </c>
      <c r="I206" s="1" t="n">
        <v>4226</v>
      </c>
      <c r="J206" s="1" t="n">
        <v>110455</v>
      </c>
      <c r="K206" s="1" t="n">
        <v>53212</v>
      </c>
      <c r="L206" s="1" t="s">
        <v>2450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5" t="n">
        <v>46176</v>
      </c>
      <c r="C207" s="1" t="n">
        <v>22</v>
      </c>
      <c r="D207" s="1" t="s">
        <v>2436</v>
      </c>
      <c r="E207" s="1" t="n">
        <v>42</v>
      </c>
      <c r="F207" s="1" t="s">
        <v>80</v>
      </c>
      <c r="I207" s="1" t="n">
        <v>4226</v>
      </c>
      <c r="J207" s="1" t="n">
        <v>110455</v>
      </c>
      <c r="K207" s="1" t="n">
        <v>53212</v>
      </c>
      <c r="L207" s="1" t="s">
        <v>2450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5" t="n">
        <v>46176</v>
      </c>
      <c r="C208" s="1" t="n">
        <v>22</v>
      </c>
      <c r="D208" s="1" t="s">
        <v>2436</v>
      </c>
      <c r="E208" s="1" t="n">
        <v>42</v>
      </c>
      <c r="F208" s="1" t="s">
        <v>80</v>
      </c>
      <c r="I208" s="1" t="n">
        <v>4228</v>
      </c>
      <c r="J208" s="1" t="n">
        <v>100000</v>
      </c>
      <c r="K208" s="1" t="n">
        <v>1</v>
      </c>
      <c r="L208" s="1" t="s">
        <v>2451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5" t="n">
        <v>46176</v>
      </c>
      <c r="C209" s="1" t="n">
        <v>22</v>
      </c>
      <c r="D209" s="1" t="s">
        <v>2436</v>
      </c>
      <c r="E209" s="1" t="n">
        <v>42</v>
      </c>
      <c r="F209" s="1" t="s">
        <v>80</v>
      </c>
      <c r="I209" s="1" t="n">
        <v>4228</v>
      </c>
      <c r="J209" s="1" t="n">
        <v>100000</v>
      </c>
      <c r="K209" s="1" t="n">
        <v>1</v>
      </c>
      <c r="L209" s="1" t="s">
        <v>2451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5" t="n">
        <v>46176</v>
      </c>
      <c r="C210" s="1" t="n">
        <v>22</v>
      </c>
      <c r="D210" s="1" t="s">
        <v>2436</v>
      </c>
      <c r="E210" s="1" t="n">
        <v>42</v>
      </c>
      <c r="F210" s="1" t="s">
        <v>80</v>
      </c>
      <c r="I210" s="1" t="n">
        <v>4228</v>
      </c>
      <c r="J210" s="1" t="n">
        <v>100001</v>
      </c>
      <c r="K210" s="1" t="n">
        <v>2</v>
      </c>
      <c r="L210" s="1" t="s">
        <v>2452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5" t="n">
        <v>46176</v>
      </c>
      <c r="C211" s="1" t="n">
        <v>22</v>
      </c>
      <c r="D211" s="1" t="s">
        <v>2436</v>
      </c>
      <c r="E211" s="1" t="n">
        <v>42</v>
      </c>
      <c r="F211" s="1" t="s">
        <v>80</v>
      </c>
      <c r="I211" s="1" t="n">
        <v>4228</v>
      </c>
      <c r="J211" s="1" t="n">
        <v>100002</v>
      </c>
      <c r="K211" s="1" t="n">
        <v>3</v>
      </c>
      <c r="L211" s="1" t="s">
        <v>2453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5" t="n">
        <v>46176</v>
      </c>
      <c r="C212" s="1" t="n">
        <v>22</v>
      </c>
      <c r="D212" s="1" t="s">
        <v>2436</v>
      </c>
      <c r="E212" s="1" t="n">
        <v>42</v>
      </c>
      <c r="F212" s="1" t="s">
        <v>80</v>
      </c>
      <c r="I212" s="1" t="n">
        <v>4228</v>
      </c>
      <c r="J212" s="1" t="n">
        <v>100003</v>
      </c>
      <c r="K212" s="1" t="n">
        <v>4</v>
      </c>
      <c r="L212" s="1" t="s">
        <v>2454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5" t="n">
        <v>46176</v>
      </c>
      <c r="C213" s="1" t="n">
        <v>22</v>
      </c>
      <c r="D213" s="1" t="s">
        <v>2436</v>
      </c>
      <c r="E213" s="1" t="n">
        <v>42</v>
      </c>
      <c r="F213" s="1" t="s">
        <v>80</v>
      </c>
      <c r="I213" s="1" t="n">
        <v>4228</v>
      </c>
      <c r="J213" s="1" t="n">
        <v>100006</v>
      </c>
      <c r="K213" s="1" t="n">
        <v>7</v>
      </c>
      <c r="L213" s="1" t="s">
        <v>2437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5" t="n">
        <v>46176</v>
      </c>
      <c r="C214" s="1" t="n">
        <v>22</v>
      </c>
      <c r="D214" s="1" t="s">
        <v>2436</v>
      </c>
      <c r="E214" s="1" t="n">
        <v>42</v>
      </c>
      <c r="F214" s="1" t="s">
        <v>80</v>
      </c>
      <c r="I214" s="1" t="n">
        <v>4228</v>
      </c>
      <c r="J214" s="1" t="n">
        <v>100006</v>
      </c>
      <c r="K214" s="1" t="n">
        <v>7</v>
      </c>
      <c r="L214" s="1" t="s">
        <v>2437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5" t="n">
        <v>46176</v>
      </c>
      <c r="C215" s="1" t="n">
        <v>22</v>
      </c>
      <c r="D215" s="1" t="s">
        <v>2436</v>
      </c>
      <c r="E215" s="1" t="n">
        <v>42</v>
      </c>
      <c r="F215" s="1" t="s">
        <v>80</v>
      </c>
      <c r="I215" s="1" t="n">
        <v>4228</v>
      </c>
      <c r="J215" s="1" t="n">
        <v>100007</v>
      </c>
      <c r="K215" s="1" t="n">
        <v>8</v>
      </c>
      <c r="L215" s="1" t="s">
        <v>2455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5" t="n">
        <v>46176</v>
      </c>
      <c r="C216" s="1" t="n">
        <v>22</v>
      </c>
      <c r="D216" s="1" t="s">
        <v>2436</v>
      </c>
      <c r="E216" s="1" t="n">
        <v>42</v>
      </c>
      <c r="F216" s="1" t="s">
        <v>80</v>
      </c>
      <c r="I216" s="1" t="n">
        <v>4228</v>
      </c>
      <c r="J216" s="1" t="n">
        <v>100008</v>
      </c>
      <c r="K216" s="1" t="n">
        <v>9</v>
      </c>
      <c r="L216" s="1" t="s">
        <v>2438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5" t="n">
        <v>46176</v>
      </c>
      <c r="C217" s="1" t="n">
        <v>22</v>
      </c>
      <c r="D217" s="1" t="s">
        <v>2436</v>
      </c>
      <c r="E217" s="1" t="n">
        <v>42</v>
      </c>
      <c r="F217" s="1" t="s">
        <v>80</v>
      </c>
      <c r="I217" s="1" t="n">
        <v>4228</v>
      </c>
      <c r="J217" s="1" t="n">
        <v>100010</v>
      </c>
      <c r="K217" s="1" t="n">
        <v>11</v>
      </c>
      <c r="L217" s="1" t="s">
        <v>2439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5" t="n">
        <v>46176</v>
      </c>
      <c r="C218" s="1" t="n">
        <v>22</v>
      </c>
      <c r="D218" s="1" t="s">
        <v>2436</v>
      </c>
      <c r="E218" s="1" t="n">
        <v>42</v>
      </c>
      <c r="F218" s="1" t="s">
        <v>80</v>
      </c>
      <c r="I218" s="1" t="n">
        <v>4228</v>
      </c>
      <c r="J218" s="1" t="n">
        <v>100010</v>
      </c>
      <c r="K218" s="1" t="n">
        <v>11</v>
      </c>
      <c r="L218" s="1" t="s">
        <v>2439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5" t="n">
        <v>46176</v>
      </c>
      <c r="C219" s="1" t="n">
        <v>22</v>
      </c>
      <c r="D219" s="1" t="s">
        <v>2436</v>
      </c>
      <c r="E219" s="1" t="n">
        <v>42</v>
      </c>
      <c r="F219" s="1" t="s">
        <v>80</v>
      </c>
      <c r="I219" s="1" t="n">
        <v>4228</v>
      </c>
      <c r="J219" s="1" t="n">
        <v>100011</v>
      </c>
      <c r="K219" s="1" t="n">
        <v>12</v>
      </c>
      <c r="L219" s="1" t="s">
        <v>2440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5" t="n">
        <v>46176</v>
      </c>
      <c r="C220" s="1" t="n">
        <v>22</v>
      </c>
      <c r="D220" s="1" t="s">
        <v>2436</v>
      </c>
      <c r="E220" s="1" t="n">
        <v>42</v>
      </c>
      <c r="F220" s="1" t="s">
        <v>80</v>
      </c>
      <c r="I220" s="1" t="n">
        <v>4228</v>
      </c>
      <c r="J220" s="1" t="n">
        <v>100011</v>
      </c>
      <c r="K220" s="1" t="n">
        <v>12</v>
      </c>
      <c r="L220" s="1" t="s">
        <v>2440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5" t="n">
        <v>46176</v>
      </c>
      <c r="C221" s="1" t="n">
        <v>22</v>
      </c>
      <c r="D221" s="1" t="s">
        <v>2436</v>
      </c>
      <c r="E221" s="1" t="n">
        <v>42</v>
      </c>
      <c r="F221" s="1" t="s">
        <v>80</v>
      </c>
      <c r="I221" s="1" t="n">
        <v>4228</v>
      </c>
      <c r="J221" s="1" t="n">
        <v>100012</v>
      </c>
      <c r="K221" s="1" t="n">
        <v>13</v>
      </c>
      <c r="L221" s="1" t="s">
        <v>2441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5" t="n">
        <v>46176</v>
      </c>
      <c r="C222" s="1" t="n">
        <v>22</v>
      </c>
      <c r="D222" s="1" t="s">
        <v>2436</v>
      </c>
      <c r="E222" s="1" t="n">
        <v>42</v>
      </c>
      <c r="F222" s="1" t="s">
        <v>80</v>
      </c>
      <c r="I222" s="1" t="n">
        <v>4228</v>
      </c>
      <c r="J222" s="1" t="n">
        <v>100012</v>
      </c>
      <c r="K222" s="1" t="n">
        <v>13</v>
      </c>
      <c r="L222" s="1" t="s">
        <v>2441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5" t="n">
        <v>46176</v>
      </c>
      <c r="C223" s="1" t="n">
        <v>22</v>
      </c>
      <c r="D223" s="1" t="s">
        <v>2436</v>
      </c>
      <c r="E223" s="1" t="n">
        <v>42</v>
      </c>
      <c r="F223" s="1" t="s">
        <v>80</v>
      </c>
      <c r="I223" s="1" t="n">
        <v>4228</v>
      </c>
      <c r="J223" s="1" t="n">
        <v>100013</v>
      </c>
      <c r="K223" s="1" t="n">
        <v>14</v>
      </c>
      <c r="L223" s="1" t="s">
        <v>2442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5" t="n">
        <v>46176</v>
      </c>
      <c r="C224" s="1" t="n">
        <v>22</v>
      </c>
      <c r="D224" s="1" t="s">
        <v>2436</v>
      </c>
      <c r="E224" s="1" t="n">
        <v>42</v>
      </c>
      <c r="F224" s="1" t="s">
        <v>80</v>
      </c>
      <c r="I224" s="1" t="n">
        <v>4228</v>
      </c>
      <c r="J224" s="1" t="n">
        <v>100013</v>
      </c>
      <c r="K224" s="1" t="n">
        <v>14</v>
      </c>
      <c r="L224" s="1" t="s">
        <v>2442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5" t="n">
        <v>46176</v>
      </c>
      <c r="C225" s="1" t="n">
        <v>22</v>
      </c>
      <c r="D225" s="1" t="s">
        <v>2436</v>
      </c>
      <c r="E225" s="1" t="n">
        <v>42</v>
      </c>
      <c r="F225" s="1" t="s">
        <v>80</v>
      </c>
      <c r="I225" s="1" t="n">
        <v>4228</v>
      </c>
      <c r="J225" s="1" t="n">
        <v>100014</v>
      </c>
      <c r="K225" s="1" t="n">
        <v>15</v>
      </c>
      <c r="L225" s="1" t="s">
        <v>2443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5" t="n">
        <v>46176</v>
      </c>
      <c r="C226" s="1" t="n">
        <v>22</v>
      </c>
      <c r="D226" s="1" t="s">
        <v>2436</v>
      </c>
      <c r="E226" s="1" t="n">
        <v>42</v>
      </c>
      <c r="F226" s="1" t="s">
        <v>80</v>
      </c>
      <c r="I226" s="1" t="n">
        <v>4228</v>
      </c>
      <c r="J226" s="1" t="n">
        <v>100014</v>
      </c>
      <c r="K226" s="1" t="n">
        <v>15</v>
      </c>
      <c r="L226" s="1" t="s">
        <v>2443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5" t="n">
        <v>46176</v>
      </c>
      <c r="C227" s="1" t="n">
        <v>22</v>
      </c>
      <c r="D227" s="1" t="s">
        <v>2436</v>
      </c>
      <c r="E227" s="1" t="n">
        <v>42</v>
      </c>
      <c r="F227" s="1" t="s">
        <v>80</v>
      </c>
      <c r="I227" s="1" t="n">
        <v>4228</v>
      </c>
      <c r="J227" s="1" t="n">
        <v>100015</v>
      </c>
      <c r="K227" s="1" t="n">
        <v>16</v>
      </c>
      <c r="L227" s="1" t="s">
        <v>2444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5" t="n">
        <v>46176</v>
      </c>
      <c r="C228" s="1" t="n">
        <v>22</v>
      </c>
      <c r="D228" s="1" t="s">
        <v>2436</v>
      </c>
      <c r="E228" s="1" t="n">
        <v>42</v>
      </c>
      <c r="F228" s="1" t="s">
        <v>80</v>
      </c>
      <c r="I228" s="1" t="n">
        <v>4228</v>
      </c>
      <c r="J228" s="1" t="n">
        <v>100015</v>
      </c>
      <c r="K228" s="1" t="n">
        <v>16</v>
      </c>
      <c r="L228" s="1" t="s">
        <v>2444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5" t="n">
        <v>46176</v>
      </c>
      <c r="C229" s="1" t="n">
        <v>22</v>
      </c>
      <c r="D229" s="1" t="s">
        <v>2436</v>
      </c>
      <c r="E229" s="1" t="n">
        <v>42</v>
      </c>
      <c r="F229" s="1" t="s">
        <v>80</v>
      </c>
      <c r="I229" s="1" t="n">
        <v>4228</v>
      </c>
      <c r="J229" s="1" t="n">
        <v>100016</v>
      </c>
      <c r="K229" s="1" t="n">
        <v>17</v>
      </c>
      <c r="L229" s="1" t="s">
        <v>2445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5" t="n">
        <v>46176</v>
      </c>
      <c r="C230" s="1" t="n">
        <v>22</v>
      </c>
      <c r="D230" s="1" t="s">
        <v>2436</v>
      </c>
      <c r="E230" s="1" t="n">
        <v>42</v>
      </c>
      <c r="F230" s="1" t="s">
        <v>80</v>
      </c>
      <c r="I230" s="1" t="n">
        <v>4228</v>
      </c>
      <c r="J230" s="1" t="n">
        <v>100017</v>
      </c>
      <c r="K230" s="1" t="n">
        <v>18</v>
      </c>
      <c r="L230" s="1" t="s">
        <v>2446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5" t="n">
        <v>46176</v>
      </c>
      <c r="C231" s="1" t="n">
        <v>22</v>
      </c>
      <c r="D231" s="1" t="s">
        <v>2436</v>
      </c>
      <c r="E231" s="1" t="n">
        <v>42</v>
      </c>
      <c r="F231" s="1" t="s">
        <v>80</v>
      </c>
      <c r="I231" s="1" t="n">
        <v>4228</v>
      </c>
      <c r="J231" s="1" t="n">
        <v>100017</v>
      </c>
      <c r="K231" s="1" t="n">
        <v>18</v>
      </c>
      <c r="L231" s="1" t="s">
        <v>2446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5" t="n">
        <v>46176</v>
      </c>
      <c r="C232" s="1" t="n">
        <v>22</v>
      </c>
      <c r="D232" s="1" t="s">
        <v>2436</v>
      </c>
      <c r="E232" s="1" t="n">
        <v>42</v>
      </c>
      <c r="F232" s="1" t="s">
        <v>80</v>
      </c>
      <c r="I232" s="1" t="n">
        <v>4228</v>
      </c>
      <c r="J232" s="1" t="n">
        <v>100020</v>
      </c>
      <c r="K232" s="1" t="n">
        <v>21</v>
      </c>
      <c r="L232" s="1" t="s">
        <v>2456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5" t="n">
        <v>46176</v>
      </c>
      <c r="C233" s="1" t="n">
        <v>22</v>
      </c>
      <c r="D233" s="1" t="s">
        <v>2436</v>
      </c>
      <c r="E233" s="1" t="n">
        <v>42</v>
      </c>
      <c r="F233" s="1" t="s">
        <v>80</v>
      </c>
      <c r="I233" s="1" t="n">
        <v>4228</v>
      </c>
      <c r="J233" s="1" t="n">
        <v>100053</v>
      </c>
      <c r="K233" s="1" t="n">
        <v>54</v>
      </c>
      <c r="L233" s="1" t="s">
        <v>2447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5" t="n">
        <v>46176</v>
      </c>
      <c r="C234" s="1" t="n">
        <v>22</v>
      </c>
      <c r="D234" s="1" t="s">
        <v>2436</v>
      </c>
      <c r="E234" s="1" t="n">
        <v>42</v>
      </c>
      <c r="F234" s="1" t="s">
        <v>80</v>
      </c>
      <c r="I234" s="1" t="n">
        <v>4228</v>
      </c>
      <c r="J234" s="1" t="n">
        <v>100638</v>
      </c>
      <c r="K234" s="1" t="n">
        <v>508</v>
      </c>
      <c r="L234" s="1" t="s">
        <v>2448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5" t="n">
        <v>46176</v>
      </c>
      <c r="C235" s="1" t="n">
        <v>22</v>
      </c>
      <c r="D235" s="1" t="s">
        <v>2436</v>
      </c>
      <c r="E235" s="1" t="n">
        <v>42</v>
      </c>
      <c r="F235" s="1" t="s">
        <v>80</v>
      </c>
      <c r="I235" s="1" t="n">
        <v>4228</v>
      </c>
      <c r="J235" s="1" t="n">
        <v>100638</v>
      </c>
      <c r="K235" s="1" t="n">
        <v>508</v>
      </c>
      <c r="L235" s="1" t="s">
        <v>2448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5" t="n">
        <v>46176</v>
      </c>
      <c r="C236" s="1" t="n">
        <v>22</v>
      </c>
      <c r="D236" s="1" t="s">
        <v>2436</v>
      </c>
      <c r="E236" s="1" t="n">
        <v>42</v>
      </c>
      <c r="F236" s="1" t="s">
        <v>80</v>
      </c>
      <c r="I236" s="1" t="n">
        <v>4228</v>
      </c>
      <c r="J236" s="1" t="n">
        <v>100638</v>
      </c>
      <c r="K236" s="1" t="n">
        <v>508</v>
      </c>
      <c r="L236" s="1" t="s">
        <v>2448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5" t="n">
        <v>46176</v>
      </c>
      <c r="C237" s="1" t="n">
        <v>22</v>
      </c>
      <c r="D237" s="1" t="s">
        <v>2436</v>
      </c>
      <c r="E237" s="1" t="n">
        <v>42</v>
      </c>
      <c r="F237" s="1" t="s">
        <v>80</v>
      </c>
      <c r="I237" s="1" t="n">
        <v>4228</v>
      </c>
      <c r="J237" s="1" t="n">
        <v>100520</v>
      </c>
      <c r="K237" s="1" t="n">
        <v>507</v>
      </c>
      <c r="L237" s="1" t="s">
        <v>2449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5" t="n">
        <v>46176</v>
      </c>
      <c r="C238" s="1" t="n">
        <v>22</v>
      </c>
      <c r="D238" s="1" t="s">
        <v>2436</v>
      </c>
      <c r="E238" s="1" t="n">
        <v>42</v>
      </c>
      <c r="F238" s="1" t="s">
        <v>80</v>
      </c>
      <c r="I238" s="1" t="n">
        <v>4228</v>
      </c>
      <c r="J238" s="1" t="n">
        <v>100520</v>
      </c>
      <c r="K238" s="1" t="n">
        <v>507</v>
      </c>
      <c r="L238" s="1" t="s">
        <v>2449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5" t="n">
        <v>46176</v>
      </c>
      <c r="C239" s="1" t="n">
        <v>22</v>
      </c>
      <c r="D239" s="1" t="s">
        <v>2436</v>
      </c>
      <c r="E239" s="1" t="n">
        <v>42</v>
      </c>
      <c r="F239" s="1" t="s">
        <v>80</v>
      </c>
      <c r="I239" s="1" t="n">
        <v>4228</v>
      </c>
      <c r="J239" s="1" t="n">
        <v>100520</v>
      </c>
      <c r="K239" s="1" t="n">
        <v>507</v>
      </c>
      <c r="L239" s="1" t="s">
        <v>2449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5" t="n">
        <v>46176</v>
      </c>
      <c r="C240" s="1" t="n">
        <v>22</v>
      </c>
      <c r="D240" s="1" t="s">
        <v>2436</v>
      </c>
      <c r="E240" s="1" t="n">
        <v>42</v>
      </c>
      <c r="F240" s="1" t="s">
        <v>80</v>
      </c>
      <c r="I240" s="1" t="n">
        <v>4228</v>
      </c>
      <c r="J240" s="1" t="n">
        <v>110455</v>
      </c>
      <c r="K240" s="1" t="n">
        <v>53212</v>
      </c>
      <c r="L240" s="1" t="s">
        <v>2450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5" t="n">
        <v>46176</v>
      </c>
      <c r="C241" s="1" t="n">
        <v>22</v>
      </c>
      <c r="D241" s="1" t="s">
        <v>2436</v>
      </c>
      <c r="E241" s="1" t="n">
        <v>42</v>
      </c>
      <c r="F241" s="1" t="s">
        <v>80</v>
      </c>
      <c r="I241" s="1" t="n">
        <v>4228</v>
      </c>
      <c r="J241" s="1" t="n">
        <v>110455</v>
      </c>
      <c r="K241" s="1" t="n">
        <v>53212</v>
      </c>
      <c r="L241" s="1" t="s">
        <v>2450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5" t="n">
        <v>46176</v>
      </c>
      <c r="C242" s="1" t="n">
        <v>22</v>
      </c>
      <c r="D242" s="1" t="s">
        <v>2436</v>
      </c>
      <c r="E242" s="1" t="n">
        <v>42</v>
      </c>
      <c r="F242" s="1" t="s">
        <v>80</v>
      </c>
      <c r="I242" s="1" t="n">
        <v>4228</v>
      </c>
      <c r="J242" s="1" t="n">
        <v>110455</v>
      </c>
      <c r="K242" s="1" t="n">
        <v>53212</v>
      </c>
      <c r="L242" s="1" t="s">
        <v>2450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5" t="n">
        <v>46176</v>
      </c>
      <c r="C243" s="1" t="n">
        <v>22</v>
      </c>
      <c r="D243" s="1" t="s">
        <v>2436</v>
      </c>
      <c r="E243" s="1" t="n">
        <v>42</v>
      </c>
      <c r="F243" s="1" t="s">
        <v>80</v>
      </c>
      <c r="I243" s="1" t="n">
        <v>4230</v>
      </c>
      <c r="J243" s="1" t="n">
        <v>100000</v>
      </c>
      <c r="K243" s="1" t="n">
        <v>1</v>
      </c>
      <c r="L243" s="1" t="s">
        <v>2451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5" t="n">
        <v>46176</v>
      </c>
      <c r="C244" s="1" t="n">
        <v>22</v>
      </c>
      <c r="D244" s="1" t="s">
        <v>2436</v>
      </c>
      <c r="E244" s="1" t="n">
        <v>42</v>
      </c>
      <c r="F244" s="1" t="s">
        <v>80</v>
      </c>
      <c r="I244" s="1" t="n">
        <v>4230</v>
      </c>
      <c r="J244" s="1" t="n">
        <v>100006</v>
      </c>
      <c r="K244" s="1" t="n">
        <v>7</v>
      </c>
      <c r="L244" s="1" t="s">
        <v>2437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5" t="n">
        <v>46176</v>
      </c>
      <c r="C245" s="1" t="n">
        <v>22</v>
      </c>
      <c r="D245" s="1" t="s">
        <v>2436</v>
      </c>
      <c r="E245" s="1" t="n">
        <v>42</v>
      </c>
      <c r="F245" s="1" t="s">
        <v>80</v>
      </c>
      <c r="I245" s="1" t="n">
        <v>4230</v>
      </c>
      <c r="J245" s="1" t="n">
        <v>100008</v>
      </c>
      <c r="K245" s="1" t="n">
        <v>9</v>
      </c>
      <c r="L245" s="1" t="s">
        <v>2438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5" t="n">
        <v>46176</v>
      </c>
      <c r="C246" s="1" t="n">
        <v>22</v>
      </c>
      <c r="D246" s="1" t="s">
        <v>2436</v>
      </c>
      <c r="E246" s="1" t="n">
        <v>42</v>
      </c>
      <c r="F246" s="1" t="s">
        <v>80</v>
      </c>
      <c r="I246" s="1" t="n">
        <v>4230</v>
      </c>
      <c r="J246" s="1" t="n">
        <v>100010</v>
      </c>
      <c r="K246" s="1" t="n">
        <v>11</v>
      </c>
      <c r="L246" s="1" t="s">
        <v>2439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5" t="n">
        <v>46176</v>
      </c>
      <c r="C247" s="1" t="n">
        <v>22</v>
      </c>
      <c r="D247" s="1" t="s">
        <v>2436</v>
      </c>
      <c r="E247" s="1" t="n">
        <v>42</v>
      </c>
      <c r="F247" s="1" t="s">
        <v>80</v>
      </c>
      <c r="I247" s="1" t="n">
        <v>4230</v>
      </c>
      <c r="J247" s="1" t="n">
        <v>100011</v>
      </c>
      <c r="K247" s="1" t="n">
        <v>12</v>
      </c>
      <c r="L247" s="1" t="s">
        <v>2440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5" t="n">
        <v>46176</v>
      </c>
      <c r="C248" s="1" t="n">
        <v>22</v>
      </c>
      <c r="D248" s="1" t="s">
        <v>2436</v>
      </c>
      <c r="E248" s="1" t="n">
        <v>42</v>
      </c>
      <c r="F248" s="1" t="s">
        <v>80</v>
      </c>
      <c r="I248" s="1" t="n">
        <v>4230</v>
      </c>
      <c r="J248" s="1" t="n">
        <v>100012</v>
      </c>
      <c r="K248" s="1" t="n">
        <v>13</v>
      </c>
      <c r="L248" s="1" t="s">
        <v>2441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5" t="n">
        <v>46176</v>
      </c>
      <c r="C249" s="1" t="n">
        <v>22</v>
      </c>
      <c r="D249" s="1" t="s">
        <v>2436</v>
      </c>
      <c r="E249" s="1" t="n">
        <v>42</v>
      </c>
      <c r="F249" s="1" t="s">
        <v>80</v>
      </c>
      <c r="I249" s="1" t="n">
        <v>4230</v>
      </c>
      <c r="J249" s="1" t="n">
        <v>100013</v>
      </c>
      <c r="K249" s="1" t="n">
        <v>14</v>
      </c>
      <c r="L249" s="1" t="s">
        <v>2442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5" t="n">
        <v>46176</v>
      </c>
      <c r="C250" s="1" t="n">
        <v>22</v>
      </c>
      <c r="D250" s="1" t="s">
        <v>2436</v>
      </c>
      <c r="E250" s="1" t="n">
        <v>42</v>
      </c>
      <c r="F250" s="1" t="s">
        <v>80</v>
      </c>
      <c r="I250" s="1" t="n">
        <v>4230</v>
      </c>
      <c r="J250" s="1" t="n">
        <v>100014</v>
      </c>
      <c r="K250" s="1" t="n">
        <v>15</v>
      </c>
      <c r="L250" s="1" t="s">
        <v>2443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5" t="n">
        <v>46176</v>
      </c>
      <c r="C251" s="1" t="n">
        <v>22</v>
      </c>
      <c r="D251" s="1" t="s">
        <v>2436</v>
      </c>
      <c r="E251" s="1" t="n">
        <v>42</v>
      </c>
      <c r="F251" s="1" t="s">
        <v>80</v>
      </c>
      <c r="I251" s="1" t="n">
        <v>4230</v>
      </c>
      <c r="J251" s="1" t="n">
        <v>100015</v>
      </c>
      <c r="K251" s="1" t="n">
        <v>16</v>
      </c>
      <c r="L251" s="1" t="s">
        <v>2444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5" t="n">
        <v>46176</v>
      </c>
      <c r="C252" s="1" t="n">
        <v>22</v>
      </c>
      <c r="D252" s="1" t="s">
        <v>2436</v>
      </c>
      <c r="E252" s="1" t="n">
        <v>42</v>
      </c>
      <c r="F252" s="1" t="s">
        <v>80</v>
      </c>
      <c r="I252" s="1" t="n">
        <v>4230</v>
      </c>
      <c r="J252" s="1" t="n">
        <v>100016</v>
      </c>
      <c r="K252" s="1" t="n">
        <v>17</v>
      </c>
      <c r="L252" s="1" t="s">
        <v>2445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5" t="n">
        <v>46176</v>
      </c>
      <c r="C253" s="1" t="n">
        <v>22</v>
      </c>
      <c r="D253" s="1" t="s">
        <v>2436</v>
      </c>
      <c r="E253" s="1" t="n">
        <v>42</v>
      </c>
      <c r="F253" s="1" t="s">
        <v>80</v>
      </c>
      <c r="I253" s="1" t="n">
        <v>4230</v>
      </c>
      <c r="J253" s="1" t="n">
        <v>100017</v>
      </c>
      <c r="K253" s="1" t="n">
        <v>18</v>
      </c>
      <c r="L253" s="1" t="s">
        <v>2446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5" t="n">
        <v>46176</v>
      </c>
      <c r="C254" s="1" t="n">
        <v>22</v>
      </c>
      <c r="D254" s="1" t="s">
        <v>2436</v>
      </c>
      <c r="E254" s="1" t="n">
        <v>42</v>
      </c>
      <c r="F254" s="1" t="s">
        <v>80</v>
      </c>
      <c r="I254" s="1" t="n">
        <v>4230</v>
      </c>
      <c r="J254" s="1" t="n">
        <v>100020</v>
      </c>
      <c r="K254" s="1" t="n">
        <v>21</v>
      </c>
      <c r="L254" s="1" t="s">
        <v>2456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5" t="n">
        <v>46176</v>
      </c>
      <c r="C255" s="1" t="n">
        <v>22</v>
      </c>
      <c r="D255" s="1" t="s">
        <v>2436</v>
      </c>
      <c r="E255" s="1" t="n">
        <v>42</v>
      </c>
      <c r="F255" s="1" t="s">
        <v>80</v>
      </c>
      <c r="I255" s="1" t="n">
        <v>4230</v>
      </c>
      <c r="J255" s="1" t="n">
        <v>100053</v>
      </c>
      <c r="K255" s="1" t="n">
        <v>54</v>
      </c>
      <c r="L255" s="1" t="s">
        <v>2447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5" t="n">
        <v>46176</v>
      </c>
      <c r="C256" s="1" t="n">
        <v>22</v>
      </c>
      <c r="D256" s="1" t="s">
        <v>2436</v>
      </c>
      <c r="E256" s="1" t="n">
        <v>42</v>
      </c>
      <c r="F256" s="1" t="s">
        <v>80</v>
      </c>
      <c r="I256" s="1" t="n">
        <v>4230</v>
      </c>
      <c r="J256" s="1" t="n">
        <v>100638</v>
      </c>
      <c r="K256" s="1" t="n">
        <v>508</v>
      </c>
      <c r="L256" s="1" t="s">
        <v>2448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5" t="n">
        <v>46176</v>
      </c>
      <c r="C257" s="1" t="n">
        <v>22</v>
      </c>
      <c r="D257" s="1" t="s">
        <v>2436</v>
      </c>
      <c r="E257" s="1" t="n">
        <v>42</v>
      </c>
      <c r="F257" s="1" t="s">
        <v>80</v>
      </c>
      <c r="I257" s="1" t="n">
        <v>4230</v>
      </c>
      <c r="J257" s="1" t="n">
        <v>100520</v>
      </c>
      <c r="K257" s="1" t="n">
        <v>507</v>
      </c>
      <c r="L257" s="1" t="s">
        <v>2449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5" t="n">
        <v>46176</v>
      </c>
      <c r="C258" s="1" t="n">
        <v>22</v>
      </c>
      <c r="D258" s="1" t="s">
        <v>2436</v>
      </c>
      <c r="E258" s="1" t="n">
        <v>42</v>
      </c>
      <c r="F258" s="1" t="s">
        <v>80</v>
      </c>
      <c r="I258" s="1" t="n">
        <v>4230</v>
      </c>
      <c r="J258" s="1" t="n">
        <v>110455</v>
      </c>
      <c r="K258" s="1" t="n">
        <v>53212</v>
      </c>
      <c r="L258" s="1" t="s">
        <v>2450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5" t="n">
        <v>46176</v>
      </c>
      <c r="C259" s="1" t="n">
        <v>100</v>
      </c>
      <c r="D259" s="1" t="s">
        <v>2457</v>
      </c>
      <c r="E259" s="1" t="n">
        <v>42</v>
      </c>
      <c r="F259" s="1" t="s">
        <v>80</v>
      </c>
      <c r="I259" s="1" t="n">
        <v>1197053</v>
      </c>
      <c r="J259" s="1" t="n">
        <v>100006</v>
      </c>
      <c r="K259" s="1" t="n">
        <v>7</v>
      </c>
      <c r="L259" s="1" t="s">
        <v>2437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5" t="n">
        <v>46176</v>
      </c>
      <c r="C260" s="1" t="n">
        <v>100</v>
      </c>
      <c r="D260" s="1" t="s">
        <v>2457</v>
      </c>
      <c r="E260" s="1" t="n">
        <v>42</v>
      </c>
      <c r="F260" s="1" t="s">
        <v>80</v>
      </c>
      <c r="I260" s="1" t="n">
        <v>1197053</v>
      </c>
      <c r="J260" s="1" t="n">
        <v>100008</v>
      </c>
      <c r="K260" s="1" t="n">
        <v>9</v>
      </c>
      <c r="L260" s="1" t="s">
        <v>2438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5" t="n">
        <v>46176</v>
      </c>
      <c r="C261" s="1" t="n">
        <v>100</v>
      </c>
      <c r="D261" s="1" t="s">
        <v>2457</v>
      </c>
      <c r="E261" s="1" t="n">
        <v>42</v>
      </c>
      <c r="F261" s="1" t="s">
        <v>80</v>
      </c>
      <c r="I261" s="1" t="n">
        <v>1197053</v>
      </c>
      <c r="J261" s="1" t="n">
        <v>100053</v>
      </c>
      <c r="K261" s="1" t="n">
        <v>54</v>
      </c>
      <c r="L261" s="1" t="s">
        <v>2447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5" t="n">
        <v>46176</v>
      </c>
      <c r="C262" s="1" t="n">
        <v>100</v>
      </c>
      <c r="D262" s="1" t="s">
        <v>2457</v>
      </c>
      <c r="E262" s="1" t="n">
        <v>42</v>
      </c>
      <c r="F262" s="1" t="s">
        <v>80</v>
      </c>
      <c r="I262" s="1" t="n">
        <v>1197053</v>
      </c>
      <c r="J262" s="1" t="n">
        <v>100638</v>
      </c>
      <c r="K262" s="1" t="n">
        <v>508</v>
      </c>
      <c r="L262" s="1" t="s">
        <v>2448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5" t="n">
        <v>46176</v>
      </c>
      <c r="C263" s="1" t="n">
        <v>100</v>
      </c>
      <c r="D263" s="1" t="s">
        <v>2457</v>
      </c>
      <c r="E263" s="1" t="n">
        <v>42</v>
      </c>
      <c r="F263" s="1" t="s">
        <v>80</v>
      </c>
      <c r="I263" s="1" t="n">
        <v>1197053</v>
      </c>
      <c r="J263" s="1" t="n">
        <v>100520</v>
      </c>
      <c r="K263" s="1" t="n">
        <v>507</v>
      </c>
      <c r="L263" s="1" t="s">
        <v>2449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5" t="n">
        <v>46176</v>
      </c>
      <c r="C264" s="1" t="n">
        <v>100</v>
      </c>
      <c r="D264" s="1" t="s">
        <v>2457</v>
      </c>
      <c r="E264" s="1" t="n">
        <v>42</v>
      </c>
      <c r="F264" s="1" t="s">
        <v>80</v>
      </c>
      <c r="I264" s="1" t="n">
        <v>1197053</v>
      </c>
      <c r="J264" s="1" t="n">
        <v>110455</v>
      </c>
      <c r="K264" s="1" t="n">
        <v>53212</v>
      </c>
      <c r="L264" s="1" t="s">
        <v>2450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5" t="n">
        <v>46176</v>
      </c>
      <c r="C265" s="1" t="n">
        <v>100</v>
      </c>
      <c r="D265" s="1" t="s">
        <v>2457</v>
      </c>
      <c r="E265" s="1" t="n">
        <v>42</v>
      </c>
      <c r="F265" s="1" t="s">
        <v>80</v>
      </c>
      <c r="I265" s="1" t="n">
        <v>1197059</v>
      </c>
      <c r="J265" s="1" t="n">
        <v>100006</v>
      </c>
      <c r="K265" s="1" t="n">
        <v>7</v>
      </c>
      <c r="L265" s="1" t="s">
        <v>2437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5" t="n">
        <v>46176</v>
      </c>
      <c r="C266" s="1" t="n">
        <v>100</v>
      </c>
      <c r="D266" s="1" t="s">
        <v>2457</v>
      </c>
      <c r="E266" s="1" t="n">
        <v>42</v>
      </c>
      <c r="F266" s="1" t="s">
        <v>80</v>
      </c>
      <c r="I266" s="1" t="n">
        <v>1197059</v>
      </c>
      <c r="J266" s="1" t="n">
        <v>100008</v>
      </c>
      <c r="K266" s="1" t="n">
        <v>9</v>
      </c>
      <c r="L266" s="1" t="s">
        <v>2438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5" t="n">
        <v>46176</v>
      </c>
      <c r="C267" s="1" t="n">
        <v>100</v>
      </c>
      <c r="D267" s="1" t="s">
        <v>2457</v>
      </c>
      <c r="E267" s="1" t="n">
        <v>42</v>
      </c>
      <c r="F267" s="1" t="s">
        <v>80</v>
      </c>
      <c r="I267" s="1" t="n">
        <v>1197059</v>
      </c>
      <c r="J267" s="1" t="n">
        <v>100010</v>
      </c>
      <c r="K267" s="1" t="n">
        <v>11</v>
      </c>
      <c r="L267" s="1" t="s">
        <v>2439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5" t="n">
        <v>46176</v>
      </c>
      <c r="C268" s="1" t="n">
        <v>100</v>
      </c>
      <c r="D268" s="1" t="s">
        <v>2457</v>
      </c>
      <c r="E268" s="1" t="n">
        <v>42</v>
      </c>
      <c r="F268" s="1" t="s">
        <v>80</v>
      </c>
      <c r="I268" s="1" t="n">
        <v>1197059</v>
      </c>
      <c r="J268" s="1" t="n">
        <v>100011</v>
      </c>
      <c r="K268" s="1" t="n">
        <v>12</v>
      </c>
      <c r="L268" s="1" t="s">
        <v>2440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5" t="n">
        <v>46176</v>
      </c>
      <c r="C269" s="1" t="n">
        <v>100</v>
      </c>
      <c r="D269" s="1" t="s">
        <v>2457</v>
      </c>
      <c r="E269" s="1" t="n">
        <v>42</v>
      </c>
      <c r="F269" s="1" t="s">
        <v>80</v>
      </c>
      <c r="I269" s="1" t="n">
        <v>1197059</v>
      </c>
      <c r="J269" s="1" t="n">
        <v>100012</v>
      </c>
      <c r="K269" s="1" t="n">
        <v>13</v>
      </c>
      <c r="L269" s="1" t="s">
        <v>2441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5" t="n">
        <v>46176</v>
      </c>
      <c r="C270" s="1" t="n">
        <v>100</v>
      </c>
      <c r="D270" s="1" t="s">
        <v>2457</v>
      </c>
      <c r="E270" s="1" t="n">
        <v>42</v>
      </c>
      <c r="F270" s="1" t="s">
        <v>80</v>
      </c>
      <c r="I270" s="1" t="n">
        <v>1197059</v>
      </c>
      <c r="J270" s="1" t="n">
        <v>100013</v>
      </c>
      <c r="K270" s="1" t="n">
        <v>14</v>
      </c>
      <c r="L270" s="1" t="s">
        <v>2442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5" t="n">
        <v>46176</v>
      </c>
      <c r="C271" s="1" t="n">
        <v>100</v>
      </c>
      <c r="D271" s="1" t="s">
        <v>2457</v>
      </c>
      <c r="E271" s="1" t="n">
        <v>42</v>
      </c>
      <c r="F271" s="1" t="s">
        <v>80</v>
      </c>
      <c r="I271" s="1" t="n">
        <v>1197059</v>
      </c>
      <c r="J271" s="1" t="n">
        <v>100014</v>
      </c>
      <c r="K271" s="1" t="n">
        <v>15</v>
      </c>
      <c r="L271" s="1" t="s">
        <v>2443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5" t="n">
        <v>46176</v>
      </c>
      <c r="C272" s="1" t="n">
        <v>100</v>
      </c>
      <c r="D272" s="1" t="s">
        <v>2457</v>
      </c>
      <c r="E272" s="1" t="n">
        <v>42</v>
      </c>
      <c r="F272" s="1" t="s">
        <v>80</v>
      </c>
      <c r="I272" s="1" t="n">
        <v>1197059</v>
      </c>
      <c r="J272" s="1" t="n">
        <v>100015</v>
      </c>
      <c r="K272" s="1" t="n">
        <v>16</v>
      </c>
      <c r="L272" s="1" t="s">
        <v>2444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5" t="n">
        <v>46176</v>
      </c>
      <c r="C273" s="1" t="n">
        <v>100</v>
      </c>
      <c r="D273" s="1" t="s">
        <v>2457</v>
      </c>
      <c r="E273" s="1" t="n">
        <v>42</v>
      </c>
      <c r="F273" s="1" t="s">
        <v>80</v>
      </c>
      <c r="I273" s="1" t="n">
        <v>1197059</v>
      </c>
      <c r="J273" s="1" t="n">
        <v>100016</v>
      </c>
      <c r="K273" s="1" t="n">
        <v>17</v>
      </c>
      <c r="L273" s="1" t="s">
        <v>2445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5" t="n">
        <v>46176</v>
      </c>
      <c r="C274" s="1" t="n">
        <v>100</v>
      </c>
      <c r="D274" s="1" t="s">
        <v>2457</v>
      </c>
      <c r="E274" s="1" t="n">
        <v>42</v>
      </c>
      <c r="F274" s="1" t="s">
        <v>80</v>
      </c>
      <c r="I274" s="1" t="n">
        <v>1197059</v>
      </c>
      <c r="J274" s="1" t="n">
        <v>100017</v>
      </c>
      <c r="K274" s="1" t="n">
        <v>18</v>
      </c>
      <c r="L274" s="1" t="s">
        <v>2446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5" t="n">
        <v>46176</v>
      </c>
      <c r="C275" s="1" t="n">
        <v>100</v>
      </c>
      <c r="D275" s="1" t="s">
        <v>2457</v>
      </c>
      <c r="E275" s="1" t="n">
        <v>42</v>
      </c>
      <c r="F275" s="1" t="s">
        <v>80</v>
      </c>
      <c r="I275" s="1" t="n">
        <v>1197059</v>
      </c>
      <c r="J275" s="1" t="n">
        <v>100053</v>
      </c>
      <c r="K275" s="1" t="n">
        <v>54</v>
      </c>
      <c r="L275" s="1" t="s">
        <v>2447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5" t="n">
        <v>46176</v>
      </c>
      <c r="C276" s="1" t="n">
        <v>100</v>
      </c>
      <c r="D276" s="1" t="s">
        <v>2457</v>
      </c>
      <c r="E276" s="1" t="n">
        <v>42</v>
      </c>
      <c r="F276" s="1" t="s">
        <v>80</v>
      </c>
      <c r="I276" s="1" t="n">
        <v>1197059</v>
      </c>
      <c r="J276" s="1" t="n">
        <v>100638</v>
      </c>
      <c r="K276" s="1" t="n">
        <v>508</v>
      </c>
      <c r="L276" s="1" t="s">
        <v>2448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5" t="n">
        <v>46176</v>
      </c>
      <c r="C277" s="1" t="n">
        <v>100</v>
      </c>
      <c r="D277" s="1" t="s">
        <v>2457</v>
      </c>
      <c r="E277" s="1" t="n">
        <v>42</v>
      </c>
      <c r="F277" s="1" t="s">
        <v>80</v>
      </c>
      <c r="I277" s="1" t="n">
        <v>1197059</v>
      </c>
      <c r="J277" s="1" t="n">
        <v>100520</v>
      </c>
      <c r="K277" s="1" t="n">
        <v>507</v>
      </c>
      <c r="L277" s="1" t="s">
        <v>2449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5" t="n">
        <v>46176</v>
      </c>
      <c r="C278" s="1" t="n">
        <v>100</v>
      </c>
      <c r="D278" s="1" t="s">
        <v>2457</v>
      </c>
      <c r="E278" s="1" t="n">
        <v>42</v>
      </c>
      <c r="F278" s="1" t="s">
        <v>80</v>
      </c>
      <c r="I278" s="1" t="n">
        <v>1197059</v>
      </c>
      <c r="J278" s="1" t="n">
        <v>110455</v>
      </c>
      <c r="K278" s="1" t="n">
        <v>53212</v>
      </c>
      <c r="L278" s="1" t="s">
        <v>2450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5" t="n">
        <v>46176</v>
      </c>
      <c r="C279" s="1" t="n">
        <v>100</v>
      </c>
      <c r="D279" s="1" t="s">
        <v>2457</v>
      </c>
      <c r="E279" s="1" t="n">
        <v>42</v>
      </c>
      <c r="F279" s="1" t="s">
        <v>80</v>
      </c>
      <c r="I279" s="1" t="n">
        <v>1198366</v>
      </c>
      <c r="J279" s="1" t="n">
        <v>100000</v>
      </c>
      <c r="K279" s="1" t="n">
        <v>1</v>
      </c>
      <c r="L279" s="1" t="s">
        <v>2451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5" t="n">
        <v>46176</v>
      </c>
      <c r="C280" s="1" t="n">
        <v>100</v>
      </c>
      <c r="D280" s="1" t="s">
        <v>2457</v>
      </c>
      <c r="E280" s="1" t="n">
        <v>42</v>
      </c>
      <c r="F280" s="1" t="s">
        <v>80</v>
      </c>
      <c r="I280" s="1" t="n">
        <v>1198366</v>
      </c>
      <c r="J280" s="1" t="n">
        <v>100001</v>
      </c>
      <c r="K280" s="1" t="n">
        <v>2</v>
      </c>
      <c r="L280" s="1" t="s">
        <v>2452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5" t="n">
        <v>46176</v>
      </c>
      <c r="C281" s="1" t="n">
        <v>100</v>
      </c>
      <c r="D281" s="1" t="s">
        <v>2457</v>
      </c>
      <c r="E281" s="1" t="n">
        <v>42</v>
      </c>
      <c r="F281" s="1" t="s">
        <v>80</v>
      </c>
      <c r="I281" s="1" t="n">
        <v>1198366</v>
      </c>
      <c r="J281" s="1" t="n">
        <v>100002</v>
      </c>
      <c r="K281" s="1" t="n">
        <v>3</v>
      </c>
      <c r="L281" s="1" t="s">
        <v>2453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5" t="n">
        <v>46176</v>
      </c>
      <c r="C282" s="1" t="n">
        <v>100</v>
      </c>
      <c r="D282" s="1" t="s">
        <v>2457</v>
      </c>
      <c r="E282" s="1" t="n">
        <v>42</v>
      </c>
      <c r="F282" s="1" t="s">
        <v>80</v>
      </c>
      <c r="I282" s="1" t="n">
        <v>1198366</v>
      </c>
      <c r="J282" s="1" t="n">
        <v>100003</v>
      </c>
      <c r="K282" s="1" t="n">
        <v>4</v>
      </c>
      <c r="L282" s="1" t="s">
        <v>2454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5" t="n">
        <v>46176</v>
      </c>
      <c r="C283" s="1" t="n">
        <v>100</v>
      </c>
      <c r="D283" s="1" t="s">
        <v>2457</v>
      </c>
      <c r="E283" s="1" t="n">
        <v>42</v>
      </c>
      <c r="F283" s="1" t="s">
        <v>80</v>
      </c>
      <c r="I283" s="1" t="n">
        <v>1198366</v>
      </c>
      <c r="J283" s="1" t="n">
        <v>100007</v>
      </c>
      <c r="K283" s="1" t="n">
        <v>8</v>
      </c>
      <c r="L283" s="1" t="s">
        <v>2455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5" t="n">
        <v>46176</v>
      </c>
      <c r="C284" s="1" t="n">
        <v>100</v>
      </c>
      <c r="D284" s="1" t="s">
        <v>2457</v>
      </c>
      <c r="E284" s="1" t="n">
        <v>42</v>
      </c>
      <c r="F284" s="1" t="s">
        <v>80</v>
      </c>
      <c r="I284" s="1" t="n">
        <v>1198366</v>
      </c>
      <c r="J284" s="1" t="n">
        <v>100638</v>
      </c>
      <c r="K284" s="1" t="n">
        <v>508</v>
      </c>
      <c r="L284" s="1" t="s">
        <v>2448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5" t="n">
        <v>46176</v>
      </c>
      <c r="C285" s="1" t="n">
        <v>100</v>
      </c>
      <c r="D285" s="1" t="s">
        <v>2457</v>
      </c>
      <c r="E285" s="1" t="n">
        <v>42</v>
      </c>
      <c r="F285" s="1" t="s">
        <v>80</v>
      </c>
      <c r="I285" s="1" t="n">
        <v>1198366</v>
      </c>
      <c r="J285" s="1" t="n">
        <v>100520</v>
      </c>
      <c r="K285" s="1" t="n">
        <v>507</v>
      </c>
      <c r="L285" s="1" t="s">
        <v>2449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5" t="n">
        <v>46176</v>
      </c>
      <c r="C286" s="1" t="n">
        <v>100</v>
      </c>
      <c r="D286" s="1" t="s">
        <v>2457</v>
      </c>
      <c r="E286" s="1" t="n">
        <v>42</v>
      </c>
      <c r="F286" s="1" t="s">
        <v>80</v>
      </c>
      <c r="I286" s="1" t="n">
        <v>1198366</v>
      </c>
      <c r="J286" s="1" t="n">
        <v>110455</v>
      </c>
      <c r="K286" s="1" t="n">
        <v>53212</v>
      </c>
      <c r="L286" s="1" t="s">
        <v>2450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5" t="n">
        <v>46176</v>
      </c>
      <c r="C287" s="1" t="n">
        <v>100</v>
      </c>
      <c r="D287" s="1" t="s">
        <v>2457</v>
      </c>
      <c r="E287" s="1" t="n">
        <v>42</v>
      </c>
      <c r="F287" s="1" t="s">
        <v>80</v>
      </c>
      <c r="I287" s="1" t="n">
        <v>1198369</v>
      </c>
      <c r="J287" s="1" t="n">
        <v>100006</v>
      </c>
      <c r="K287" s="1" t="n">
        <v>7</v>
      </c>
      <c r="L287" s="1" t="s">
        <v>2437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5" t="n">
        <v>46176</v>
      </c>
      <c r="C288" s="1" t="n">
        <v>100</v>
      </c>
      <c r="D288" s="1" t="s">
        <v>2457</v>
      </c>
      <c r="E288" s="1" t="n">
        <v>42</v>
      </c>
      <c r="F288" s="1" t="s">
        <v>80</v>
      </c>
      <c r="I288" s="1" t="n">
        <v>1198369</v>
      </c>
      <c r="J288" s="1" t="n">
        <v>100010</v>
      </c>
      <c r="K288" s="1" t="n">
        <v>11</v>
      </c>
      <c r="L288" s="1" t="s">
        <v>2439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5" t="n">
        <v>46176</v>
      </c>
      <c r="C289" s="1" t="n">
        <v>100</v>
      </c>
      <c r="D289" s="1" t="s">
        <v>2457</v>
      </c>
      <c r="E289" s="1" t="n">
        <v>42</v>
      </c>
      <c r="F289" s="1" t="s">
        <v>80</v>
      </c>
      <c r="I289" s="1" t="n">
        <v>1198369</v>
      </c>
      <c r="J289" s="1" t="n">
        <v>100011</v>
      </c>
      <c r="K289" s="1" t="n">
        <v>12</v>
      </c>
      <c r="L289" s="1" t="s">
        <v>2440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5" t="n">
        <v>46176</v>
      </c>
      <c r="C290" s="1" t="n">
        <v>100</v>
      </c>
      <c r="D290" s="1" t="s">
        <v>2457</v>
      </c>
      <c r="E290" s="1" t="n">
        <v>42</v>
      </c>
      <c r="F290" s="1" t="s">
        <v>80</v>
      </c>
      <c r="I290" s="1" t="n">
        <v>1198369</v>
      </c>
      <c r="J290" s="1" t="n">
        <v>100012</v>
      </c>
      <c r="K290" s="1" t="n">
        <v>13</v>
      </c>
      <c r="L290" s="1" t="s">
        <v>2441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5" t="n">
        <v>46176</v>
      </c>
      <c r="C291" s="1" t="n">
        <v>100</v>
      </c>
      <c r="D291" s="1" t="s">
        <v>2457</v>
      </c>
      <c r="E291" s="1" t="n">
        <v>42</v>
      </c>
      <c r="F291" s="1" t="s">
        <v>80</v>
      </c>
      <c r="I291" s="1" t="n">
        <v>1198369</v>
      </c>
      <c r="J291" s="1" t="n">
        <v>100013</v>
      </c>
      <c r="K291" s="1" t="n">
        <v>14</v>
      </c>
      <c r="L291" s="1" t="s">
        <v>2442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5" t="n">
        <v>46176</v>
      </c>
      <c r="C292" s="1" t="n">
        <v>100</v>
      </c>
      <c r="D292" s="1" t="s">
        <v>2457</v>
      </c>
      <c r="E292" s="1" t="n">
        <v>42</v>
      </c>
      <c r="F292" s="1" t="s">
        <v>80</v>
      </c>
      <c r="I292" s="1" t="n">
        <v>1198369</v>
      </c>
      <c r="J292" s="1" t="n">
        <v>100014</v>
      </c>
      <c r="K292" s="1" t="n">
        <v>15</v>
      </c>
      <c r="L292" s="1" t="s">
        <v>2443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5" t="n">
        <v>46176</v>
      </c>
      <c r="C293" s="1" t="n">
        <v>100</v>
      </c>
      <c r="D293" s="1" t="s">
        <v>2457</v>
      </c>
      <c r="E293" s="1" t="n">
        <v>42</v>
      </c>
      <c r="F293" s="1" t="s">
        <v>80</v>
      </c>
      <c r="I293" s="1" t="n">
        <v>1198369</v>
      </c>
      <c r="J293" s="1" t="n">
        <v>100015</v>
      </c>
      <c r="K293" s="1" t="n">
        <v>16</v>
      </c>
      <c r="L293" s="1" t="s">
        <v>2444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5" t="n">
        <v>46176</v>
      </c>
      <c r="C294" s="1" t="n">
        <v>100</v>
      </c>
      <c r="D294" s="1" t="s">
        <v>2457</v>
      </c>
      <c r="E294" s="1" t="n">
        <v>42</v>
      </c>
      <c r="F294" s="1" t="s">
        <v>80</v>
      </c>
      <c r="I294" s="1" t="n">
        <v>1198369</v>
      </c>
      <c r="J294" s="1" t="n">
        <v>100017</v>
      </c>
      <c r="K294" s="1" t="n">
        <v>18</v>
      </c>
      <c r="L294" s="1" t="s">
        <v>2446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5" t="n">
        <v>46176</v>
      </c>
      <c r="C295" s="1" t="n">
        <v>100</v>
      </c>
      <c r="D295" s="1" t="s">
        <v>2457</v>
      </c>
      <c r="E295" s="1" t="n">
        <v>42</v>
      </c>
      <c r="F295" s="1" t="s">
        <v>80</v>
      </c>
      <c r="I295" s="1" t="n">
        <v>1198369</v>
      </c>
      <c r="J295" s="1" t="n">
        <v>100638</v>
      </c>
      <c r="K295" s="1" t="n">
        <v>508</v>
      </c>
      <c r="L295" s="1" t="s">
        <v>2448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5" t="n">
        <v>46176</v>
      </c>
      <c r="C296" s="1" t="n">
        <v>100</v>
      </c>
      <c r="D296" s="1" t="s">
        <v>2457</v>
      </c>
      <c r="E296" s="1" t="n">
        <v>42</v>
      </c>
      <c r="F296" s="1" t="s">
        <v>80</v>
      </c>
      <c r="I296" s="1" t="n">
        <v>1198369</v>
      </c>
      <c r="J296" s="1" t="n">
        <v>100520</v>
      </c>
      <c r="K296" s="1" t="n">
        <v>507</v>
      </c>
      <c r="L296" s="1" t="s">
        <v>2449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5" t="n">
        <v>46176</v>
      </c>
      <c r="C297" s="1" t="n">
        <v>100</v>
      </c>
      <c r="D297" s="1" t="s">
        <v>2457</v>
      </c>
      <c r="E297" s="1" t="n">
        <v>42</v>
      </c>
      <c r="F297" s="1" t="s">
        <v>80</v>
      </c>
      <c r="I297" s="1" t="n">
        <v>1198369</v>
      </c>
      <c r="J297" s="1" t="n">
        <v>110455</v>
      </c>
      <c r="K297" s="1" t="n">
        <v>53212</v>
      </c>
      <c r="L297" s="1" t="s">
        <v>2450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5" t="n">
        <v>46176</v>
      </c>
      <c r="C298" s="1" t="n">
        <v>100</v>
      </c>
      <c r="D298" s="1" t="s">
        <v>2457</v>
      </c>
      <c r="E298" s="1" t="n">
        <v>42</v>
      </c>
      <c r="F298" s="1" t="s">
        <v>80</v>
      </c>
      <c r="I298" s="1" t="n">
        <v>1198375</v>
      </c>
      <c r="J298" s="1" t="n">
        <v>100000</v>
      </c>
      <c r="K298" s="1" t="n">
        <v>1</v>
      </c>
      <c r="L298" s="1" t="s">
        <v>2451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5" t="n">
        <v>46176</v>
      </c>
      <c r="C299" s="1" t="n">
        <v>100</v>
      </c>
      <c r="D299" s="1" t="s">
        <v>2457</v>
      </c>
      <c r="E299" s="1" t="n">
        <v>42</v>
      </c>
      <c r="F299" s="1" t="s">
        <v>80</v>
      </c>
      <c r="I299" s="1" t="n">
        <v>1198375</v>
      </c>
      <c r="J299" s="1" t="n">
        <v>100006</v>
      </c>
      <c r="K299" s="1" t="n">
        <v>7</v>
      </c>
      <c r="L299" s="1" t="s">
        <v>2437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5" t="n">
        <v>46176</v>
      </c>
      <c r="C300" s="1" t="n">
        <v>100</v>
      </c>
      <c r="D300" s="1" t="s">
        <v>2457</v>
      </c>
      <c r="E300" s="1" t="n">
        <v>42</v>
      </c>
      <c r="F300" s="1" t="s">
        <v>80</v>
      </c>
      <c r="I300" s="1" t="n">
        <v>1198375</v>
      </c>
      <c r="J300" s="1" t="n">
        <v>100008</v>
      </c>
      <c r="K300" s="1" t="n">
        <v>9</v>
      </c>
      <c r="L300" s="1" t="s">
        <v>2438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5" t="n">
        <v>46176</v>
      </c>
      <c r="C301" s="1" t="n">
        <v>100</v>
      </c>
      <c r="D301" s="1" t="s">
        <v>2457</v>
      </c>
      <c r="E301" s="1" t="n">
        <v>42</v>
      </c>
      <c r="F301" s="1" t="s">
        <v>80</v>
      </c>
      <c r="I301" s="1" t="n">
        <v>1198375</v>
      </c>
      <c r="J301" s="1" t="n">
        <v>100010</v>
      </c>
      <c r="K301" s="1" t="n">
        <v>11</v>
      </c>
      <c r="L301" s="1" t="s">
        <v>2439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5" t="n">
        <v>46176</v>
      </c>
      <c r="C302" s="1" t="n">
        <v>100</v>
      </c>
      <c r="D302" s="1" t="s">
        <v>2457</v>
      </c>
      <c r="E302" s="1" t="n">
        <v>42</v>
      </c>
      <c r="F302" s="1" t="s">
        <v>80</v>
      </c>
      <c r="I302" s="1" t="n">
        <v>1198375</v>
      </c>
      <c r="J302" s="1" t="n">
        <v>100011</v>
      </c>
      <c r="K302" s="1" t="n">
        <v>12</v>
      </c>
      <c r="L302" s="1" t="s">
        <v>2440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5" t="n">
        <v>46176</v>
      </c>
      <c r="C303" s="1" t="n">
        <v>100</v>
      </c>
      <c r="D303" s="1" t="s">
        <v>2457</v>
      </c>
      <c r="E303" s="1" t="n">
        <v>42</v>
      </c>
      <c r="F303" s="1" t="s">
        <v>80</v>
      </c>
      <c r="I303" s="1" t="n">
        <v>1198375</v>
      </c>
      <c r="J303" s="1" t="n">
        <v>100012</v>
      </c>
      <c r="K303" s="1" t="n">
        <v>13</v>
      </c>
      <c r="L303" s="1" t="s">
        <v>2441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5" t="n">
        <v>46176</v>
      </c>
      <c r="C304" s="1" t="n">
        <v>100</v>
      </c>
      <c r="D304" s="1" t="s">
        <v>2457</v>
      </c>
      <c r="E304" s="1" t="n">
        <v>42</v>
      </c>
      <c r="F304" s="1" t="s">
        <v>80</v>
      </c>
      <c r="I304" s="1" t="n">
        <v>1198375</v>
      </c>
      <c r="J304" s="1" t="n">
        <v>100013</v>
      </c>
      <c r="K304" s="1" t="n">
        <v>14</v>
      </c>
      <c r="L304" s="1" t="s">
        <v>2442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5" t="n">
        <v>46176</v>
      </c>
      <c r="C305" s="1" t="n">
        <v>100</v>
      </c>
      <c r="D305" s="1" t="s">
        <v>2457</v>
      </c>
      <c r="E305" s="1" t="n">
        <v>42</v>
      </c>
      <c r="F305" s="1" t="s">
        <v>80</v>
      </c>
      <c r="I305" s="1" t="n">
        <v>1198375</v>
      </c>
      <c r="J305" s="1" t="n">
        <v>100014</v>
      </c>
      <c r="K305" s="1" t="n">
        <v>15</v>
      </c>
      <c r="L305" s="1" t="s">
        <v>2443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5" t="n">
        <v>46176</v>
      </c>
      <c r="C306" s="1" t="n">
        <v>100</v>
      </c>
      <c r="D306" s="1" t="s">
        <v>2457</v>
      </c>
      <c r="E306" s="1" t="n">
        <v>42</v>
      </c>
      <c r="F306" s="1" t="s">
        <v>80</v>
      </c>
      <c r="I306" s="1" t="n">
        <v>1198375</v>
      </c>
      <c r="J306" s="1" t="n">
        <v>100015</v>
      </c>
      <c r="K306" s="1" t="n">
        <v>16</v>
      </c>
      <c r="L306" s="1" t="s">
        <v>2444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5" t="n">
        <v>46176</v>
      </c>
      <c r="C307" s="1" t="n">
        <v>100</v>
      </c>
      <c r="D307" s="1" t="s">
        <v>2457</v>
      </c>
      <c r="E307" s="1" t="n">
        <v>42</v>
      </c>
      <c r="F307" s="1" t="s">
        <v>80</v>
      </c>
      <c r="I307" s="1" t="n">
        <v>1198375</v>
      </c>
      <c r="J307" s="1" t="n">
        <v>100016</v>
      </c>
      <c r="K307" s="1" t="n">
        <v>17</v>
      </c>
      <c r="L307" s="1" t="s">
        <v>2445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5" t="n">
        <v>46176</v>
      </c>
      <c r="C308" s="1" t="n">
        <v>100</v>
      </c>
      <c r="D308" s="1" t="s">
        <v>2457</v>
      </c>
      <c r="E308" s="1" t="n">
        <v>42</v>
      </c>
      <c r="F308" s="1" t="s">
        <v>80</v>
      </c>
      <c r="I308" s="1" t="n">
        <v>1198375</v>
      </c>
      <c r="J308" s="1" t="n">
        <v>100017</v>
      </c>
      <c r="K308" s="1" t="n">
        <v>18</v>
      </c>
      <c r="L308" s="1" t="s">
        <v>2446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5" t="n">
        <v>46176</v>
      </c>
      <c r="C309" s="1" t="n">
        <v>100</v>
      </c>
      <c r="D309" s="1" t="s">
        <v>2457</v>
      </c>
      <c r="E309" s="1" t="n">
        <v>42</v>
      </c>
      <c r="F309" s="1" t="s">
        <v>80</v>
      </c>
      <c r="I309" s="1" t="n">
        <v>1198375</v>
      </c>
      <c r="J309" s="1" t="n">
        <v>100020</v>
      </c>
      <c r="K309" s="1" t="n">
        <v>21</v>
      </c>
      <c r="L309" s="1" t="s">
        <v>2456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5" t="n">
        <v>46176</v>
      </c>
      <c r="C310" s="1" t="n">
        <v>100</v>
      </c>
      <c r="D310" s="1" t="s">
        <v>2457</v>
      </c>
      <c r="E310" s="1" t="n">
        <v>42</v>
      </c>
      <c r="F310" s="1" t="s">
        <v>80</v>
      </c>
      <c r="I310" s="1" t="n">
        <v>1198375</v>
      </c>
      <c r="J310" s="1" t="n">
        <v>100053</v>
      </c>
      <c r="K310" s="1" t="n">
        <v>54</v>
      </c>
      <c r="L310" s="1" t="s">
        <v>2447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5" t="n">
        <v>46176</v>
      </c>
      <c r="C311" s="1" t="n">
        <v>100</v>
      </c>
      <c r="D311" s="1" t="s">
        <v>2457</v>
      </c>
      <c r="E311" s="1" t="n">
        <v>42</v>
      </c>
      <c r="F311" s="1" t="s">
        <v>80</v>
      </c>
      <c r="I311" s="1" t="n">
        <v>1198375</v>
      </c>
      <c r="J311" s="1" t="n">
        <v>100638</v>
      </c>
      <c r="K311" s="1" t="n">
        <v>508</v>
      </c>
      <c r="L311" s="1" t="s">
        <v>2448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5" t="n">
        <v>46176</v>
      </c>
      <c r="C312" s="1" t="n">
        <v>100</v>
      </c>
      <c r="D312" s="1" t="s">
        <v>2457</v>
      </c>
      <c r="E312" s="1" t="n">
        <v>42</v>
      </c>
      <c r="F312" s="1" t="s">
        <v>80</v>
      </c>
      <c r="I312" s="1" t="n">
        <v>1198375</v>
      </c>
      <c r="J312" s="1" t="n">
        <v>100520</v>
      </c>
      <c r="K312" s="1" t="n">
        <v>507</v>
      </c>
      <c r="L312" s="1" t="s">
        <v>2449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5" t="n">
        <v>46176</v>
      </c>
      <c r="C313" s="1" t="n">
        <v>100</v>
      </c>
      <c r="D313" s="1" t="s">
        <v>2457</v>
      </c>
      <c r="E313" s="1" t="n">
        <v>42</v>
      </c>
      <c r="F313" s="1" t="s">
        <v>80</v>
      </c>
      <c r="I313" s="1" t="n">
        <v>1198375</v>
      </c>
      <c r="J313" s="1" t="n">
        <v>110455</v>
      </c>
      <c r="K313" s="1" t="n">
        <v>53212</v>
      </c>
      <c r="L313" s="1" t="s">
        <v>2450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5" t="n">
        <v>46176</v>
      </c>
      <c r="C314" s="1" t="n">
        <v>100</v>
      </c>
      <c r="D314" s="1" t="s">
        <v>2457</v>
      </c>
      <c r="E314" s="1" t="n">
        <v>42</v>
      </c>
      <c r="F314" s="1" t="s">
        <v>80</v>
      </c>
      <c r="I314" s="1" t="n">
        <v>1198462</v>
      </c>
      <c r="J314" s="1" t="n">
        <v>100000</v>
      </c>
      <c r="K314" s="1" t="n">
        <v>1</v>
      </c>
      <c r="L314" s="1" t="s">
        <v>2451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5" t="n">
        <v>46176</v>
      </c>
      <c r="C315" s="1" t="n">
        <v>100</v>
      </c>
      <c r="D315" s="1" t="s">
        <v>2457</v>
      </c>
      <c r="E315" s="1" t="n">
        <v>42</v>
      </c>
      <c r="F315" s="1" t="s">
        <v>80</v>
      </c>
      <c r="I315" s="1" t="n">
        <v>1198462</v>
      </c>
      <c r="J315" s="1" t="n">
        <v>100006</v>
      </c>
      <c r="K315" s="1" t="n">
        <v>7</v>
      </c>
      <c r="L315" s="1" t="s">
        <v>2437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5" t="n">
        <v>46176</v>
      </c>
      <c r="C316" s="1" t="n">
        <v>100</v>
      </c>
      <c r="D316" s="1" t="s">
        <v>2457</v>
      </c>
      <c r="E316" s="1" t="n">
        <v>42</v>
      </c>
      <c r="F316" s="1" t="s">
        <v>80</v>
      </c>
      <c r="I316" s="1" t="n">
        <v>1198462</v>
      </c>
      <c r="J316" s="1" t="n">
        <v>100008</v>
      </c>
      <c r="K316" s="1" t="n">
        <v>9</v>
      </c>
      <c r="L316" s="1" t="s">
        <v>2438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5" t="n">
        <v>46176</v>
      </c>
      <c r="C317" s="1" t="n">
        <v>100</v>
      </c>
      <c r="D317" s="1" t="s">
        <v>2457</v>
      </c>
      <c r="E317" s="1" t="n">
        <v>42</v>
      </c>
      <c r="F317" s="1" t="s">
        <v>80</v>
      </c>
      <c r="I317" s="1" t="n">
        <v>1198462</v>
      </c>
      <c r="J317" s="1" t="n">
        <v>100010</v>
      </c>
      <c r="K317" s="1" t="n">
        <v>11</v>
      </c>
      <c r="L317" s="1" t="s">
        <v>2439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5" t="n">
        <v>46176</v>
      </c>
      <c r="C318" s="1" t="n">
        <v>100</v>
      </c>
      <c r="D318" s="1" t="s">
        <v>2457</v>
      </c>
      <c r="E318" s="1" t="n">
        <v>42</v>
      </c>
      <c r="F318" s="1" t="s">
        <v>80</v>
      </c>
      <c r="I318" s="1" t="n">
        <v>1198462</v>
      </c>
      <c r="J318" s="1" t="n">
        <v>100011</v>
      </c>
      <c r="K318" s="1" t="n">
        <v>12</v>
      </c>
      <c r="L318" s="1" t="s">
        <v>2440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5" t="n">
        <v>46176</v>
      </c>
      <c r="C319" s="1" t="n">
        <v>100</v>
      </c>
      <c r="D319" s="1" t="s">
        <v>2457</v>
      </c>
      <c r="E319" s="1" t="n">
        <v>42</v>
      </c>
      <c r="F319" s="1" t="s">
        <v>80</v>
      </c>
      <c r="I319" s="1" t="n">
        <v>1198462</v>
      </c>
      <c r="J319" s="1" t="n">
        <v>100012</v>
      </c>
      <c r="K319" s="1" t="n">
        <v>13</v>
      </c>
      <c r="L319" s="1" t="s">
        <v>2441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5" t="n">
        <v>46176</v>
      </c>
      <c r="C320" s="1" t="n">
        <v>100</v>
      </c>
      <c r="D320" s="1" t="s">
        <v>2457</v>
      </c>
      <c r="E320" s="1" t="n">
        <v>42</v>
      </c>
      <c r="F320" s="1" t="s">
        <v>80</v>
      </c>
      <c r="I320" s="1" t="n">
        <v>1198462</v>
      </c>
      <c r="J320" s="1" t="n">
        <v>100013</v>
      </c>
      <c r="K320" s="1" t="n">
        <v>14</v>
      </c>
      <c r="L320" s="1" t="s">
        <v>2442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5" t="n">
        <v>46176</v>
      </c>
      <c r="C321" s="1" t="n">
        <v>100</v>
      </c>
      <c r="D321" s="1" t="s">
        <v>2457</v>
      </c>
      <c r="E321" s="1" t="n">
        <v>42</v>
      </c>
      <c r="F321" s="1" t="s">
        <v>80</v>
      </c>
      <c r="I321" s="1" t="n">
        <v>1198462</v>
      </c>
      <c r="J321" s="1" t="n">
        <v>100014</v>
      </c>
      <c r="K321" s="1" t="n">
        <v>15</v>
      </c>
      <c r="L321" s="1" t="s">
        <v>2443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5" t="n">
        <v>46176</v>
      </c>
      <c r="C322" s="1" t="n">
        <v>100</v>
      </c>
      <c r="D322" s="1" t="s">
        <v>2457</v>
      </c>
      <c r="E322" s="1" t="n">
        <v>42</v>
      </c>
      <c r="F322" s="1" t="s">
        <v>80</v>
      </c>
      <c r="I322" s="1" t="n">
        <v>1198462</v>
      </c>
      <c r="J322" s="1" t="n">
        <v>100015</v>
      </c>
      <c r="K322" s="1" t="n">
        <v>16</v>
      </c>
      <c r="L322" s="1" t="s">
        <v>2444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5" t="n">
        <v>46176</v>
      </c>
      <c r="C323" s="1" t="n">
        <v>100</v>
      </c>
      <c r="D323" s="1" t="s">
        <v>2457</v>
      </c>
      <c r="E323" s="1" t="n">
        <v>42</v>
      </c>
      <c r="F323" s="1" t="s">
        <v>80</v>
      </c>
      <c r="I323" s="1" t="n">
        <v>1198462</v>
      </c>
      <c r="J323" s="1" t="n">
        <v>100016</v>
      </c>
      <c r="K323" s="1" t="n">
        <v>17</v>
      </c>
      <c r="L323" s="1" t="s">
        <v>2445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5" t="n">
        <v>46176</v>
      </c>
      <c r="C324" s="1" t="n">
        <v>100</v>
      </c>
      <c r="D324" s="1" t="s">
        <v>2457</v>
      </c>
      <c r="E324" s="1" t="n">
        <v>42</v>
      </c>
      <c r="F324" s="1" t="s">
        <v>80</v>
      </c>
      <c r="I324" s="1" t="n">
        <v>1198462</v>
      </c>
      <c r="J324" s="1" t="n">
        <v>100017</v>
      </c>
      <c r="K324" s="1" t="n">
        <v>18</v>
      </c>
      <c r="L324" s="1" t="s">
        <v>2446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5" t="n">
        <v>46176</v>
      </c>
      <c r="C325" s="1" t="n">
        <v>100</v>
      </c>
      <c r="D325" s="1" t="s">
        <v>2457</v>
      </c>
      <c r="E325" s="1" t="n">
        <v>42</v>
      </c>
      <c r="F325" s="1" t="s">
        <v>80</v>
      </c>
      <c r="I325" s="1" t="n">
        <v>1198462</v>
      </c>
      <c r="J325" s="1" t="n">
        <v>100020</v>
      </c>
      <c r="K325" s="1" t="n">
        <v>21</v>
      </c>
      <c r="L325" s="1" t="s">
        <v>2456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5" t="n">
        <v>46176</v>
      </c>
      <c r="C326" s="1" t="n">
        <v>100</v>
      </c>
      <c r="D326" s="1" t="s">
        <v>2457</v>
      </c>
      <c r="E326" s="1" t="n">
        <v>42</v>
      </c>
      <c r="F326" s="1" t="s">
        <v>80</v>
      </c>
      <c r="I326" s="1" t="n">
        <v>1198462</v>
      </c>
      <c r="J326" s="1" t="n">
        <v>100053</v>
      </c>
      <c r="K326" s="1" t="n">
        <v>54</v>
      </c>
      <c r="L326" s="1" t="s">
        <v>2447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5" t="n">
        <v>46176</v>
      </c>
      <c r="C327" s="1" t="n">
        <v>100</v>
      </c>
      <c r="D327" s="1" t="s">
        <v>2457</v>
      </c>
      <c r="E327" s="1" t="n">
        <v>42</v>
      </c>
      <c r="F327" s="1" t="s">
        <v>80</v>
      </c>
      <c r="I327" s="1" t="n">
        <v>1198462</v>
      </c>
      <c r="J327" s="1" t="n">
        <v>100638</v>
      </c>
      <c r="K327" s="1" t="n">
        <v>508</v>
      </c>
      <c r="L327" s="1" t="s">
        <v>2448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5" t="n">
        <v>46176</v>
      </c>
      <c r="C328" s="1" t="n">
        <v>100</v>
      </c>
      <c r="D328" s="1" t="s">
        <v>2457</v>
      </c>
      <c r="E328" s="1" t="n">
        <v>42</v>
      </c>
      <c r="F328" s="1" t="s">
        <v>80</v>
      </c>
      <c r="I328" s="1" t="n">
        <v>1198462</v>
      </c>
      <c r="J328" s="1" t="n">
        <v>100520</v>
      </c>
      <c r="K328" s="1" t="n">
        <v>507</v>
      </c>
      <c r="L328" s="1" t="s">
        <v>2449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5" t="n">
        <v>46176</v>
      </c>
      <c r="C329" s="1" t="n">
        <v>100</v>
      </c>
      <c r="D329" s="1" t="s">
        <v>2457</v>
      </c>
      <c r="E329" s="1" t="n">
        <v>42</v>
      </c>
      <c r="F329" s="1" t="s">
        <v>80</v>
      </c>
      <c r="I329" s="1" t="n">
        <v>1198462</v>
      </c>
      <c r="J329" s="1" t="n">
        <v>110455</v>
      </c>
      <c r="K329" s="1" t="n">
        <v>53212</v>
      </c>
      <c r="L329" s="1" t="s">
        <v>2450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5" t="n">
        <v>46176</v>
      </c>
      <c r="C330" s="1" t="n">
        <v>100</v>
      </c>
      <c r="D330" s="1" t="s">
        <v>2457</v>
      </c>
      <c r="E330" s="1" t="n">
        <v>42</v>
      </c>
      <c r="F330" s="1" t="s">
        <v>80</v>
      </c>
      <c r="I330" s="1" t="n">
        <v>1198474</v>
      </c>
      <c r="J330" s="1" t="n">
        <v>100000</v>
      </c>
      <c r="K330" s="1" t="n">
        <v>1</v>
      </c>
      <c r="L330" s="1" t="s">
        <v>2451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5" t="n">
        <v>46176</v>
      </c>
      <c r="C331" s="1" t="n">
        <v>100</v>
      </c>
      <c r="D331" s="1" t="s">
        <v>2457</v>
      </c>
      <c r="E331" s="1" t="n">
        <v>42</v>
      </c>
      <c r="F331" s="1" t="s">
        <v>80</v>
      </c>
      <c r="I331" s="1" t="n">
        <v>1198474</v>
      </c>
      <c r="J331" s="1" t="n">
        <v>100006</v>
      </c>
      <c r="K331" s="1" t="n">
        <v>7</v>
      </c>
      <c r="L331" s="1" t="s">
        <v>2437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5" t="n">
        <v>46176</v>
      </c>
      <c r="C332" s="1" t="n">
        <v>100</v>
      </c>
      <c r="D332" s="1" t="s">
        <v>2457</v>
      </c>
      <c r="E332" s="1" t="n">
        <v>42</v>
      </c>
      <c r="F332" s="1" t="s">
        <v>80</v>
      </c>
      <c r="I332" s="1" t="n">
        <v>1198474</v>
      </c>
      <c r="J332" s="1" t="n">
        <v>100008</v>
      </c>
      <c r="K332" s="1" t="n">
        <v>9</v>
      </c>
      <c r="L332" s="1" t="s">
        <v>2438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5" t="n">
        <v>46176</v>
      </c>
      <c r="C333" s="1" t="n">
        <v>100</v>
      </c>
      <c r="D333" s="1" t="s">
        <v>2457</v>
      </c>
      <c r="E333" s="1" t="n">
        <v>42</v>
      </c>
      <c r="F333" s="1" t="s">
        <v>80</v>
      </c>
      <c r="I333" s="1" t="n">
        <v>1198474</v>
      </c>
      <c r="J333" s="1" t="n">
        <v>100010</v>
      </c>
      <c r="K333" s="1" t="n">
        <v>11</v>
      </c>
      <c r="L333" s="1" t="s">
        <v>2439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5" t="n">
        <v>46176</v>
      </c>
      <c r="C334" s="1" t="n">
        <v>100</v>
      </c>
      <c r="D334" s="1" t="s">
        <v>2457</v>
      </c>
      <c r="E334" s="1" t="n">
        <v>42</v>
      </c>
      <c r="F334" s="1" t="s">
        <v>80</v>
      </c>
      <c r="I334" s="1" t="n">
        <v>1198474</v>
      </c>
      <c r="J334" s="1" t="n">
        <v>100011</v>
      </c>
      <c r="K334" s="1" t="n">
        <v>12</v>
      </c>
      <c r="L334" s="1" t="s">
        <v>2440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5" t="n">
        <v>46176</v>
      </c>
      <c r="C335" s="1" t="n">
        <v>100</v>
      </c>
      <c r="D335" s="1" t="s">
        <v>2457</v>
      </c>
      <c r="E335" s="1" t="n">
        <v>42</v>
      </c>
      <c r="F335" s="1" t="s">
        <v>80</v>
      </c>
      <c r="I335" s="1" t="n">
        <v>1198474</v>
      </c>
      <c r="J335" s="1" t="n">
        <v>100012</v>
      </c>
      <c r="K335" s="1" t="n">
        <v>13</v>
      </c>
      <c r="L335" s="1" t="s">
        <v>2441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5" t="n">
        <v>46176</v>
      </c>
      <c r="C336" s="1" t="n">
        <v>100</v>
      </c>
      <c r="D336" s="1" t="s">
        <v>2457</v>
      </c>
      <c r="E336" s="1" t="n">
        <v>42</v>
      </c>
      <c r="F336" s="1" t="s">
        <v>80</v>
      </c>
      <c r="I336" s="1" t="n">
        <v>1198474</v>
      </c>
      <c r="J336" s="1" t="n">
        <v>100013</v>
      </c>
      <c r="K336" s="1" t="n">
        <v>14</v>
      </c>
      <c r="L336" s="1" t="s">
        <v>2442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5" t="n">
        <v>46176</v>
      </c>
      <c r="C337" s="1" t="n">
        <v>100</v>
      </c>
      <c r="D337" s="1" t="s">
        <v>2457</v>
      </c>
      <c r="E337" s="1" t="n">
        <v>42</v>
      </c>
      <c r="F337" s="1" t="s">
        <v>80</v>
      </c>
      <c r="I337" s="1" t="n">
        <v>1198474</v>
      </c>
      <c r="J337" s="1" t="n">
        <v>100014</v>
      </c>
      <c r="K337" s="1" t="n">
        <v>15</v>
      </c>
      <c r="L337" s="1" t="s">
        <v>2443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5" t="n">
        <v>46176</v>
      </c>
      <c r="C338" s="1" t="n">
        <v>100</v>
      </c>
      <c r="D338" s="1" t="s">
        <v>2457</v>
      </c>
      <c r="E338" s="1" t="n">
        <v>42</v>
      </c>
      <c r="F338" s="1" t="s">
        <v>80</v>
      </c>
      <c r="I338" s="1" t="n">
        <v>1198474</v>
      </c>
      <c r="J338" s="1" t="n">
        <v>100015</v>
      </c>
      <c r="K338" s="1" t="n">
        <v>16</v>
      </c>
      <c r="L338" s="1" t="s">
        <v>2444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5" t="n">
        <v>46176</v>
      </c>
      <c r="C339" s="1" t="n">
        <v>100</v>
      </c>
      <c r="D339" s="1" t="s">
        <v>2457</v>
      </c>
      <c r="E339" s="1" t="n">
        <v>42</v>
      </c>
      <c r="F339" s="1" t="s">
        <v>80</v>
      </c>
      <c r="I339" s="1" t="n">
        <v>1198474</v>
      </c>
      <c r="J339" s="1" t="n">
        <v>100016</v>
      </c>
      <c r="K339" s="1" t="n">
        <v>17</v>
      </c>
      <c r="L339" s="1" t="s">
        <v>2445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5" t="n">
        <v>46176</v>
      </c>
      <c r="C340" s="1" t="n">
        <v>100</v>
      </c>
      <c r="D340" s="1" t="s">
        <v>2457</v>
      </c>
      <c r="E340" s="1" t="n">
        <v>42</v>
      </c>
      <c r="F340" s="1" t="s">
        <v>80</v>
      </c>
      <c r="I340" s="1" t="n">
        <v>1198474</v>
      </c>
      <c r="J340" s="1" t="n">
        <v>100017</v>
      </c>
      <c r="K340" s="1" t="n">
        <v>18</v>
      </c>
      <c r="L340" s="1" t="s">
        <v>2446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5" t="n">
        <v>46176</v>
      </c>
      <c r="C341" s="1" t="n">
        <v>100</v>
      </c>
      <c r="D341" s="1" t="s">
        <v>2457</v>
      </c>
      <c r="E341" s="1" t="n">
        <v>42</v>
      </c>
      <c r="F341" s="1" t="s">
        <v>80</v>
      </c>
      <c r="I341" s="1" t="n">
        <v>1198474</v>
      </c>
      <c r="J341" s="1" t="n">
        <v>100020</v>
      </c>
      <c r="K341" s="1" t="n">
        <v>21</v>
      </c>
      <c r="L341" s="1" t="s">
        <v>2456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5" t="n">
        <v>46176</v>
      </c>
      <c r="C342" s="1" t="n">
        <v>100</v>
      </c>
      <c r="D342" s="1" t="s">
        <v>2457</v>
      </c>
      <c r="E342" s="1" t="n">
        <v>42</v>
      </c>
      <c r="F342" s="1" t="s">
        <v>80</v>
      </c>
      <c r="I342" s="1" t="n">
        <v>1198474</v>
      </c>
      <c r="J342" s="1" t="n">
        <v>100053</v>
      </c>
      <c r="K342" s="1" t="n">
        <v>54</v>
      </c>
      <c r="L342" s="1" t="s">
        <v>2447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5" t="n">
        <v>46176</v>
      </c>
      <c r="C343" s="1" t="n">
        <v>100</v>
      </c>
      <c r="D343" s="1" t="s">
        <v>2457</v>
      </c>
      <c r="E343" s="1" t="n">
        <v>42</v>
      </c>
      <c r="F343" s="1" t="s">
        <v>80</v>
      </c>
      <c r="I343" s="1" t="n">
        <v>1198474</v>
      </c>
      <c r="J343" s="1" t="n">
        <v>100638</v>
      </c>
      <c r="K343" s="1" t="n">
        <v>508</v>
      </c>
      <c r="L343" s="1" t="s">
        <v>2448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5" t="n">
        <v>46176</v>
      </c>
      <c r="C344" s="1" t="n">
        <v>100</v>
      </c>
      <c r="D344" s="1" t="s">
        <v>2457</v>
      </c>
      <c r="E344" s="1" t="n">
        <v>42</v>
      </c>
      <c r="F344" s="1" t="s">
        <v>80</v>
      </c>
      <c r="I344" s="1" t="n">
        <v>1198474</v>
      </c>
      <c r="J344" s="1" t="n">
        <v>100520</v>
      </c>
      <c r="K344" s="1" t="n">
        <v>507</v>
      </c>
      <c r="L344" s="1" t="s">
        <v>2449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5" t="n">
        <v>46176</v>
      </c>
      <c r="C345" s="1" t="n">
        <v>100</v>
      </c>
      <c r="D345" s="1" t="s">
        <v>2457</v>
      </c>
      <c r="E345" s="1" t="n">
        <v>42</v>
      </c>
      <c r="F345" s="1" t="s">
        <v>80</v>
      </c>
      <c r="I345" s="1" t="n">
        <v>1198474</v>
      </c>
      <c r="J345" s="1" t="n">
        <v>110455</v>
      </c>
      <c r="K345" s="1" t="n">
        <v>53212</v>
      </c>
      <c r="L345" s="1" t="s">
        <v>2450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5" t="n">
        <v>46178</v>
      </c>
      <c r="C346" s="1" t="n">
        <v>1</v>
      </c>
      <c r="D346" s="1" t="s">
        <v>2317</v>
      </c>
      <c r="E346" s="1" t="n">
        <v>10035</v>
      </c>
      <c r="F346" s="1" t="s">
        <v>227</v>
      </c>
      <c r="I346" s="1" t="n">
        <v>293</v>
      </c>
      <c r="J346" s="1" t="n">
        <v>38652</v>
      </c>
      <c r="K346" s="1" t="n">
        <v>7898994684220</v>
      </c>
      <c r="L346" s="1" t="s">
        <v>2458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5" t="n">
        <v>46178</v>
      </c>
      <c r="C347" s="1" t="n">
        <v>1</v>
      </c>
      <c r="D347" s="1" t="s">
        <v>2317</v>
      </c>
      <c r="E347" s="1" t="n">
        <v>10035</v>
      </c>
      <c r="F347" s="1" t="s">
        <v>227</v>
      </c>
      <c r="I347" s="1" t="n">
        <v>293</v>
      </c>
      <c r="J347" s="1" t="n">
        <v>38653</v>
      </c>
      <c r="K347" s="1" t="n">
        <v>7898994684275</v>
      </c>
      <c r="L347" s="1" t="s">
        <v>2459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5" t="n">
        <v>46178</v>
      </c>
      <c r="C348" s="1" t="n">
        <v>1</v>
      </c>
      <c r="D348" s="1" t="s">
        <v>2317</v>
      </c>
      <c r="E348" s="1" t="n">
        <v>10035</v>
      </c>
      <c r="F348" s="1" t="s">
        <v>227</v>
      </c>
      <c r="I348" s="1" t="n">
        <v>293</v>
      </c>
      <c r="J348" s="1" t="n">
        <v>43726</v>
      </c>
      <c r="K348" s="1" t="n">
        <v>2245461</v>
      </c>
      <c r="L348" s="1" t="s">
        <v>2460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5" t="n">
        <v>46178</v>
      </c>
      <c r="C349" s="1" t="n">
        <v>1</v>
      </c>
      <c r="D349" s="1" t="s">
        <v>2317</v>
      </c>
      <c r="E349" s="1" t="n">
        <v>1276</v>
      </c>
      <c r="F349" s="1" t="s">
        <v>404</v>
      </c>
      <c r="I349" s="1" t="n">
        <v>2868</v>
      </c>
      <c r="J349" s="1" t="n">
        <v>70254</v>
      </c>
      <c r="K349" s="1" t="n">
        <v>7902947673695</v>
      </c>
      <c r="L349" s="1" t="s">
        <v>2461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5" t="n">
        <v>46178</v>
      </c>
      <c r="C350" s="1" t="n">
        <v>1</v>
      </c>
      <c r="D350" s="1" t="s">
        <v>2317</v>
      </c>
      <c r="E350" s="1" t="n">
        <v>1276</v>
      </c>
      <c r="F350" s="1" t="s">
        <v>404</v>
      </c>
      <c r="I350" s="1" t="n">
        <v>2868</v>
      </c>
      <c r="J350" s="1" t="n">
        <v>76242</v>
      </c>
      <c r="K350" s="1" t="n">
        <v>7903056048954</v>
      </c>
      <c r="L350" s="1" t="s">
        <v>2462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5" t="n">
        <v>46178</v>
      </c>
      <c r="C351" s="1" t="n">
        <v>1</v>
      </c>
      <c r="D351" s="1" t="s">
        <v>2317</v>
      </c>
      <c r="E351" s="1" t="n">
        <v>1276</v>
      </c>
      <c r="F351" s="1" t="s">
        <v>404</v>
      </c>
      <c r="I351" s="1" t="n">
        <v>2868</v>
      </c>
      <c r="J351" s="1" t="n">
        <v>78192</v>
      </c>
      <c r="K351" s="1" t="n">
        <v>7905643455633</v>
      </c>
      <c r="L351" s="1" t="s">
        <v>2463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5" t="n">
        <v>46178</v>
      </c>
      <c r="C352" s="1" t="n">
        <v>1</v>
      </c>
      <c r="D352" s="1" t="s">
        <v>2317</v>
      </c>
      <c r="E352" s="1" t="n">
        <v>1643</v>
      </c>
      <c r="F352" s="1" t="s">
        <v>198</v>
      </c>
      <c r="I352" s="1" t="n">
        <v>10517</v>
      </c>
      <c r="J352" s="1" t="n">
        <v>63172</v>
      </c>
      <c r="K352" s="1" t="n">
        <v>7898928536526</v>
      </c>
      <c r="L352" s="1" t="s">
        <v>2464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5" t="n">
        <v>46178</v>
      </c>
      <c r="C353" s="1" t="n">
        <v>1</v>
      </c>
      <c r="D353" s="1" t="s">
        <v>2317</v>
      </c>
      <c r="E353" s="1" t="n">
        <v>1643</v>
      </c>
      <c r="F353" s="1" t="s">
        <v>198</v>
      </c>
      <c r="I353" s="1" t="n">
        <v>10517</v>
      </c>
      <c r="J353" s="1" t="n">
        <v>63904</v>
      </c>
      <c r="K353" s="1" t="n">
        <v>7898928536595</v>
      </c>
      <c r="L353" s="1" t="s">
        <v>2465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5" t="n">
        <v>46178</v>
      </c>
      <c r="C354" s="1" t="n">
        <v>1</v>
      </c>
      <c r="D354" s="1" t="s">
        <v>2317</v>
      </c>
      <c r="E354" s="1" t="n">
        <v>1643</v>
      </c>
      <c r="F354" s="1" t="s">
        <v>198</v>
      </c>
      <c r="I354" s="1" t="n">
        <v>10517</v>
      </c>
      <c r="J354" s="1" t="n">
        <v>64175</v>
      </c>
      <c r="K354" s="1" t="n">
        <v>7898928536533</v>
      </c>
      <c r="L354" s="1" t="s">
        <v>2465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5" t="n">
        <v>46178</v>
      </c>
      <c r="C355" s="1" t="n">
        <v>1</v>
      </c>
      <c r="D355" s="1" t="s">
        <v>2317</v>
      </c>
      <c r="E355" s="1" t="n">
        <v>1642</v>
      </c>
      <c r="F355" s="1" t="s">
        <v>274</v>
      </c>
      <c r="I355" s="1" t="n">
        <v>1025646</v>
      </c>
      <c r="J355" s="1" t="n">
        <v>104335</v>
      </c>
      <c r="K355" s="1" t="n">
        <v>7896289210512</v>
      </c>
      <c r="L355" s="1" t="s">
        <v>2466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5" t="n">
        <v>46178</v>
      </c>
      <c r="C356" s="1" t="n">
        <v>1</v>
      </c>
      <c r="D356" s="1" t="s">
        <v>2317</v>
      </c>
      <c r="E356" s="1" t="n">
        <v>1642</v>
      </c>
      <c r="F356" s="1" t="s">
        <v>274</v>
      </c>
      <c r="I356" s="1" t="n">
        <v>1025646</v>
      </c>
      <c r="J356" s="1" t="n">
        <v>105780</v>
      </c>
      <c r="K356" s="1" t="n">
        <v>7896289210017</v>
      </c>
      <c r="L356" s="1" t="s">
        <v>2467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5" t="n">
        <v>46178</v>
      </c>
      <c r="C357" s="1" t="n">
        <v>1</v>
      </c>
      <c r="D357" s="1" t="s">
        <v>2317</v>
      </c>
      <c r="E357" s="1" t="n">
        <v>1642</v>
      </c>
      <c r="F357" s="1" t="s">
        <v>274</v>
      </c>
      <c r="I357" s="1" t="n">
        <v>1025646</v>
      </c>
      <c r="J357" s="1" t="n">
        <v>105782</v>
      </c>
      <c r="K357" s="1" t="n">
        <v>7896289210352</v>
      </c>
      <c r="L357" s="1" t="s">
        <v>2468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5" t="n">
        <v>46178</v>
      </c>
      <c r="C358" s="1" t="n">
        <v>1</v>
      </c>
      <c r="D358" s="1" t="s">
        <v>2317</v>
      </c>
      <c r="E358" s="1" t="n">
        <v>1642</v>
      </c>
      <c r="F358" s="1" t="s">
        <v>274</v>
      </c>
      <c r="I358" s="1" t="n">
        <v>1025646</v>
      </c>
      <c r="J358" s="1" t="n">
        <v>106079</v>
      </c>
      <c r="K358" s="1" t="n">
        <v>7896289210130</v>
      </c>
      <c r="L358" s="1" t="s">
        <v>2469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5" t="n">
        <v>46178</v>
      </c>
      <c r="C359" s="1" t="n">
        <v>1</v>
      </c>
      <c r="D359" s="1" t="s">
        <v>2317</v>
      </c>
      <c r="E359" s="1" t="n">
        <v>1642</v>
      </c>
      <c r="F359" s="1" t="s">
        <v>274</v>
      </c>
      <c r="I359" s="1" t="n">
        <v>1025646</v>
      </c>
      <c r="J359" s="1" t="n">
        <v>106274</v>
      </c>
      <c r="K359" s="1" t="n">
        <v>7896289210086</v>
      </c>
      <c r="L359" s="1" t="s">
        <v>2470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5" t="n">
        <v>46178</v>
      </c>
      <c r="C360" s="1" t="n">
        <v>1</v>
      </c>
      <c r="D360" s="1" t="s">
        <v>2317</v>
      </c>
      <c r="E360" s="1" t="n">
        <v>1642</v>
      </c>
      <c r="F360" s="1" t="s">
        <v>274</v>
      </c>
      <c r="I360" s="1" t="n">
        <v>1025646</v>
      </c>
      <c r="J360" s="1" t="n">
        <v>106280</v>
      </c>
      <c r="K360" s="1" t="n">
        <v>7896289210062</v>
      </c>
      <c r="L360" s="1" t="s">
        <v>2471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5" t="n">
        <v>46178</v>
      </c>
      <c r="C361" s="1" t="n">
        <v>1</v>
      </c>
      <c r="D361" s="1" t="s">
        <v>2317</v>
      </c>
      <c r="E361" s="1" t="n">
        <v>1642</v>
      </c>
      <c r="F361" s="1" t="s">
        <v>274</v>
      </c>
      <c r="I361" s="1" t="n">
        <v>1025646</v>
      </c>
      <c r="J361" s="1" t="n">
        <v>106407</v>
      </c>
      <c r="K361" s="1" t="n">
        <v>7896289210031</v>
      </c>
      <c r="L361" s="1" t="s">
        <v>2472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5" t="n">
        <v>46178</v>
      </c>
      <c r="C362" s="1" t="n">
        <v>2</v>
      </c>
      <c r="D362" s="1" t="s">
        <v>2283</v>
      </c>
      <c r="E362" s="1" t="n">
        <v>42</v>
      </c>
      <c r="F362" s="1" t="s">
        <v>80</v>
      </c>
      <c r="I362" s="1" t="n">
        <v>50601</v>
      </c>
      <c r="J362" s="1" t="n">
        <v>109791</v>
      </c>
      <c r="K362" s="1" t="n">
        <v>9667</v>
      </c>
      <c r="L362" s="1" t="s">
        <v>2284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5" t="n">
        <v>46178</v>
      </c>
      <c r="C363" s="1" t="n">
        <v>2</v>
      </c>
      <c r="D363" s="1" t="s">
        <v>2283</v>
      </c>
      <c r="E363" s="1" t="n">
        <v>42</v>
      </c>
      <c r="F363" s="1" t="s">
        <v>80</v>
      </c>
      <c r="I363" s="1" t="n">
        <v>50601</v>
      </c>
      <c r="J363" s="1" t="n">
        <v>37359</v>
      </c>
      <c r="K363" s="1" t="n">
        <v>55526</v>
      </c>
      <c r="L363" s="1" t="s">
        <v>2285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5" t="n">
        <v>46178</v>
      </c>
      <c r="C364" s="1" t="n">
        <v>2</v>
      </c>
      <c r="D364" s="1" t="s">
        <v>2283</v>
      </c>
      <c r="E364" s="1" t="n">
        <v>42</v>
      </c>
      <c r="F364" s="1" t="s">
        <v>80</v>
      </c>
      <c r="I364" s="1" t="n">
        <v>50601</v>
      </c>
      <c r="J364" s="1" t="n">
        <v>37361</v>
      </c>
      <c r="K364" s="1" t="n">
        <v>2240817</v>
      </c>
      <c r="L364" s="1" t="s">
        <v>2286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5" t="n">
        <v>46178</v>
      </c>
      <c r="C365" s="1" t="n">
        <v>2</v>
      </c>
      <c r="D365" s="1" t="s">
        <v>2283</v>
      </c>
      <c r="E365" s="1" t="n">
        <v>42</v>
      </c>
      <c r="F365" s="1" t="s">
        <v>80</v>
      </c>
      <c r="I365" s="1" t="n">
        <v>50602</v>
      </c>
      <c r="J365" s="1" t="n">
        <v>72679</v>
      </c>
      <c r="K365" s="1" t="n">
        <v>246</v>
      </c>
      <c r="L365" s="1" t="s">
        <v>2288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5" t="n">
        <v>46178</v>
      </c>
      <c r="C366" s="1" t="n">
        <v>2</v>
      </c>
      <c r="D366" s="1" t="s">
        <v>2283</v>
      </c>
      <c r="E366" s="1" t="n">
        <v>42</v>
      </c>
      <c r="F366" s="1" t="s">
        <v>80</v>
      </c>
      <c r="I366" s="1" t="n">
        <v>50603</v>
      </c>
      <c r="J366" s="1" t="n">
        <v>109791</v>
      </c>
      <c r="K366" s="1" t="n">
        <v>9667</v>
      </c>
      <c r="L366" s="1" t="s">
        <v>2284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5" t="n">
        <v>46178</v>
      </c>
      <c r="C367" s="1" t="n">
        <v>2</v>
      </c>
      <c r="D367" s="1" t="s">
        <v>2283</v>
      </c>
      <c r="E367" s="1" t="n">
        <v>42</v>
      </c>
      <c r="F367" s="1" t="s">
        <v>80</v>
      </c>
      <c r="I367" s="1" t="n">
        <v>50603</v>
      </c>
      <c r="J367" s="1" t="n">
        <v>37359</v>
      </c>
      <c r="K367" s="1" t="n">
        <v>55526</v>
      </c>
      <c r="L367" s="1" t="s">
        <v>2285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5" t="n">
        <v>46178</v>
      </c>
      <c r="C368" s="1" t="n">
        <v>2</v>
      </c>
      <c r="D368" s="1" t="s">
        <v>2283</v>
      </c>
      <c r="E368" s="1" t="n">
        <v>42</v>
      </c>
      <c r="F368" s="1" t="s">
        <v>80</v>
      </c>
      <c r="I368" s="1" t="n">
        <v>50603</v>
      </c>
      <c r="J368" s="1" t="n">
        <v>37361</v>
      </c>
      <c r="K368" s="1" t="n">
        <v>2240817</v>
      </c>
      <c r="L368" s="1" t="s">
        <v>2286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5" t="n">
        <v>46178</v>
      </c>
      <c r="C369" s="1" t="n">
        <v>2</v>
      </c>
      <c r="D369" s="1" t="s">
        <v>2283</v>
      </c>
      <c r="E369" s="1" t="n">
        <v>42</v>
      </c>
      <c r="F369" s="1" t="s">
        <v>80</v>
      </c>
      <c r="I369" s="1" t="n">
        <v>50604</v>
      </c>
      <c r="J369" s="1" t="n">
        <v>100103</v>
      </c>
      <c r="K369" s="1" t="n">
        <v>104</v>
      </c>
      <c r="L369" s="1" t="s">
        <v>2287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5" t="n">
        <v>46178</v>
      </c>
      <c r="C370" s="1" t="n">
        <v>2</v>
      </c>
      <c r="D370" s="1" t="s">
        <v>2283</v>
      </c>
      <c r="E370" s="1" t="n">
        <v>42</v>
      </c>
      <c r="F370" s="1" t="s">
        <v>80</v>
      </c>
      <c r="I370" s="1" t="n">
        <v>50605</v>
      </c>
      <c r="J370" s="1" t="n">
        <v>100103</v>
      </c>
      <c r="K370" s="1" t="n">
        <v>104</v>
      </c>
      <c r="L370" s="1" t="s">
        <v>2287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5" t="n">
        <v>46178</v>
      </c>
      <c r="C371" s="1" t="n">
        <v>2</v>
      </c>
      <c r="D371" s="1" t="s">
        <v>2283</v>
      </c>
      <c r="E371" s="1" t="n">
        <v>42</v>
      </c>
      <c r="F371" s="1" t="s">
        <v>80</v>
      </c>
      <c r="I371" s="1" t="n">
        <v>50606</v>
      </c>
      <c r="J371" s="1" t="n">
        <v>100062</v>
      </c>
      <c r="K371" s="1" t="n">
        <v>63</v>
      </c>
      <c r="L371" s="1" t="s">
        <v>2320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5" t="n">
        <v>46178</v>
      </c>
      <c r="C372" s="1" t="n">
        <v>2</v>
      </c>
      <c r="D372" s="1" t="s">
        <v>2283</v>
      </c>
      <c r="E372" s="1" t="n">
        <v>42</v>
      </c>
      <c r="F372" s="1" t="s">
        <v>80</v>
      </c>
      <c r="I372" s="1" t="n">
        <v>50606</v>
      </c>
      <c r="J372" s="1" t="n">
        <v>100104</v>
      </c>
      <c r="K372" s="1" t="n">
        <v>105</v>
      </c>
      <c r="L372" s="1" t="s">
        <v>2321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5" t="n">
        <v>46178</v>
      </c>
      <c r="C373" s="1" t="n">
        <v>2</v>
      </c>
      <c r="D373" s="1" t="s">
        <v>2283</v>
      </c>
      <c r="E373" s="1" t="n">
        <v>42</v>
      </c>
      <c r="F373" s="1" t="s">
        <v>80</v>
      </c>
      <c r="I373" s="1" t="n">
        <v>50606</v>
      </c>
      <c r="J373" s="1" t="n">
        <v>100105</v>
      </c>
      <c r="K373" s="1" t="n">
        <v>106</v>
      </c>
      <c r="L373" s="1" t="s">
        <v>2322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5" t="n">
        <v>46178</v>
      </c>
      <c r="C374" s="1" t="n">
        <v>2</v>
      </c>
      <c r="D374" s="1" t="s">
        <v>2283</v>
      </c>
      <c r="E374" s="1" t="n">
        <v>42</v>
      </c>
      <c r="F374" s="1" t="s">
        <v>80</v>
      </c>
      <c r="I374" s="1" t="n">
        <v>50606</v>
      </c>
      <c r="J374" s="1" t="n">
        <v>100110</v>
      </c>
      <c r="K374" s="1" t="n">
        <v>111</v>
      </c>
      <c r="L374" s="1" t="s">
        <v>2473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5" t="n">
        <v>46178</v>
      </c>
      <c r="C375" s="1" t="n">
        <v>2</v>
      </c>
      <c r="D375" s="1" t="s">
        <v>2283</v>
      </c>
      <c r="E375" s="1" t="n">
        <v>42</v>
      </c>
      <c r="F375" s="1" t="s">
        <v>80</v>
      </c>
      <c r="I375" s="1" t="n">
        <v>50606</v>
      </c>
      <c r="J375" s="1" t="n">
        <v>100112</v>
      </c>
      <c r="K375" s="1" t="n">
        <v>113</v>
      </c>
      <c r="L375" s="1" t="s">
        <v>2325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5" t="n">
        <v>46178</v>
      </c>
      <c r="C376" s="1" t="n">
        <v>2</v>
      </c>
      <c r="D376" s="1" t="s">
        <v>2283</v>
      </c>
      <c r="E376" s="1" t="n">
        <v>42</v>
      </c>
      <c r="F376" s="1" t="s">
        <v>80</v>
      </c>
      <c r="I376" s="1" t="n">
        <v>50606</v>
      </c>
      <c r="J376" s="1" t="n">
        <v>100113</v>
      </c>
      <c r="K376" s="1" t="n">
        <v>114</v>
      </c>
      <c r="L376" s="1" t="s">
        <v>2326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5" t="n">
        <v>46178</v>
      </c>
      <c r="C377" s="1" t="n">
        <v>2</v>
      </c>
      <c r="D377" s="1" t="s">
        <v>2283</v>
      </c>
      <c r="E377" s="1" t="n">
        <v>42</v>
      </c>
      <c r="F377" s="1" t="s">
        <v>80</v>
      </c>
      <c r="I377" s="1" t="n">
        <v>50606</v>
      </c>
      <c r="J377" s="1" t="n">
        <v>100115</v>
      </c>
      <c r="K377" s="1" t="n">
        <v>116</v>
      </c>
      <c r="L377" s="1" t="s">
        <v>2474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5" t="n">
        <v>46178</v>
      </c>
      <c r="C378" s="1" t="n">
        <v>2</v>
      </c>
      <c r="D378" s="1" t="s">
        <v>2283</v>
      </c>
      <c r="E378" s="1" t="n">
        <v>42</v>
      </c>
      <c r="F378" s="1" t="s">
        <v>80</v>
      </c>
      <c r="I378" s="1" t="n">
        <v>50606</v>
      </c>
      <c r="J378" s="1" t="n">
        <v>100116</v>
      </c>
      <c r="K378" s="1" t="n">
        <v>117</v>
      </c>
      <c r="L378" s="1" t="s">
        <v>2327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5" t="n">
        <v>46178</v>
      </c>
      <c r="C379" s="1" t="n">
        <v>2</v>
      </c>
      <c r="D379" s="1" t="s">
        <v>2283</v>
      </c>
      <c r="E379" s="1" t="n">
        <v>42</v>
      </c>
      <c r="F379" s="1" t="s">
        <v>80</v>
      </c>
      <c r="I379" s="1" t="n">
        <v>50606</v>
      </c>
      <c r="J379" s="1" t="n">
        <v>100118</v>
      </c>
      <c r="K379" s="1" t="n">
        <v>119</v>
      </c>
      <c r="L379" s="1" t="s">
        <v>2328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5" t="n">
        <v>46178</v>
      </c>
      <c r="C380" s="1" t="n">
        <v>2</v>
      </c>
      <c r="D380" s="1" t="s">
        <v>2283</v>
      </c>
      <c r="E380" s="1" t="n">
        <v>42</v>
      </c>
      <c r="F380" s="1" t="s">
        <v>80</v>
      </c>
      <c r="I380" s="1" t="n">
        <v>50606</v>
      </c>
      <c r="J380" s="1" t="n">
        <v>100121</v>
      </c>
      <c r="K380" s="1" t="n">
        <v>122</v>
      </c>
      <c r="L380" s="1" t="s">
        <v>2329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5" t="n">
        <v>46178</v>
      </c>
      <c r="C381" s="1" t="n">
        <v>2</v>
      </c>
      <c r="D381" s="1" t="s">
        <v>2283</v>
      </c>
      <c r="E381" s="1" t="n">
        <v>42</v>
      </c>
      <c r="F381" s="1" t="s">
        <v>80</v>
      </c>
      <c r="I381" s="1" t="n">
        <v>50606</v>
      </c>
      <c r="J381" s="1" t="n">
        <v>100122</v>
      </c>
      <c r="K381" s="1" t="n">
        <v>123</v>
      </c>
      <c r="L381" s="1" t="s">
        <v>2330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5" t="n">
        <v>46178</v>
      </c>
      <c r="C382" s="1" t="n">
        <v>2</v>
      </c>
      <c r="D382" s="1" t="s">
        <v>2283</v>
      </c>
      <c r="E382" s="1" t="n">
        <v>42</v>
      </c>
      <c r="F382" s="1" t="s">
        <v>80</v>
      </c>
      <c r="I382" s="1" t="n">
        <v>50606</v>
      </c>
      <c r="J382" s="1" t="n">
        <v>100123</v>
      </c>
      <c r="K382" s="1" t="n">
        <v>124</v>
      </c>
      <c r="L382" s="1" t="s">
        <v>2475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5" t="n">
        <v>46178</v>
      </c>
      <c r="C383" s="1" t="n">
        <v>2</v>
      </c>
      <c r="D383" s="1" t="s">
        <v>2283</v>
      </c>
      <c r="E383" s="1" t="n">
        <v>42</v>
      </c>
      <c r="F383" s="1" t="s">
        <v>80</v>
      </c>
      <c r="I383" s="1" t="n">
        <v>50606</v>
      </c>
      <c r="J383" s="1" t="n">
        <v>100124</v>
      </c>
      <c r="K383" s="1" t="n">
        <v>125</v>
      </c>
      <c r="L383" s="1" t="s">
        <v>2476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5" t="n">
        <v>46178</v>
      </c>
      <c r="C384" s="1" t="n">
        <v>2</v>
      </c>
      <c r="D384" s="1" t="s">
        <v>2283</v>
      </c>
      <c r="E384" s="1" t="n">
        <v>42</v>
      </c>
      <c r="F384" s="1" t="s">
        <v>80</v>
      </c>
      <c r="I384" s="1" t="n">
        <v>50606</v>
      </c>
      <c r="J384" s="1" t="n">
        <v>100125</v>
      </c>
      <c r="K384" s="1" t="n">
        <v>126</v>
      </c>
      <c r="L384" s="1" t="s">
        <v>2477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5" t="n">
        <v>46178</v>
      </c>
      <c r="C385" s="1" t="n">
        <v>2</v>
      </c>
      <c r="D385" s="1" t="s">
        <v>2283</v>
      </c>
      <c r="E385" s="1" t="n">
        <v>42</v>
      </c>
      <c r="F385" s="1" t="s">
        <v>80</v>
      </c>
      <c r="I385" s="1" t="n">
        <v>50606</v>
      </c>
      <c r="J385" s="1" t="n">
        <v>100130</v>
      </c>
      <c r="K385" s="1" t="n">
        <v>131</v>
      </c>
      <c r="L385" s="1" t="s">
        <v>2331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5" t="n">
        <v>46178</v>
      </c>
      <c r="C386" s="1" t="n">
        <v>2</v>
      </c>
      <c r="D386" s="1" t="s">
        <v>2283</v>
      </c>
      <c r="E386" s="1" t="n">
        <v>42</v>
      </c>
      <c r="F386" s="1" t="s">
        <v>80</v>
      </c>
      <c r="I386" s="1" t="n">
        <v>50606</v>
      </c>
      <c r="J386" s="1" t="n">
        <v>110142</v>
      </c>
      <c r="K386" s="1" t="n">
        <v>16699</v>
      </c>
      <c r="L386" s="1" t="s">
        <v>2334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5" t="n">
        <v>46178</v>
      </c>
      <c r="C387" s="1" t="n">
        <v>2</v>
      </c>
      <c r="D387" s="1" t="s">
        <v>2283</v>
      </c>
      <c r="E387" s="1" t="n">
        <v>42</v>
      </c>
      <c r="F387" s="1" t="s">
        <v>80</v>
      </c>
      <c r="I387" s="1" t="n">
        <v>50606</v>
      </c>
      <c r="J387" s="1" t="n">
        <v>110265</v>
      </c>
      <c r="K387" s="1" t="n">
        <v>41346</v>
      </c>
      <c r="L387" s="1" t="s">
        <v>2478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5" t="n">
        <v>46178</v>
      </c>
      <c r="C388" s="1" t="n">
        <v>2</v>
      </c>
      <c r="D388" s="1" t="s">
        <v>2283</v>
      </c>
      <c r="E388" s="1" t="n">
        <v>42</v>
      </c>
      <c r="F388" s="1" t="s">
        <v>80</v>
      </c>
      <c r="I388" s="1" t="n">
        <v>50606</v>
      </c>
      <c r="J388" s="1" t="n">
        <v>43627</v>
      </c>
      <c r="K388" s="1" t="n">
        <v>1175</v>
      </c>
      <c r="L388" s="1" t="s">
        <v>2479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5" t="n">
        <v>46178</v>
      </c>
      <c r="C389" s="1" t="n">
        <v>6</v>
      </c>
      <c r="D389" s="1" t="s">
        <v>2289</v>
      </c>
      <c r="E389" s="1" t="n">
        <v>42</v>
      </c>
      <c r="F389" s="1" t="s">
        <v>80</v>
      </c>
      <c r="I389" s="1" t="n">
        <v>4231</v>
      </c>
      <c r="J389" s="1" t="n">
        <v>109791</v>
      </c>
      <c r="K389" s="1" t="n">
        <v>9667</v>
      </c>
      <c r="L389" s="1" t="s">
        <v>2284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5" t="n">
        <v>46178</v>
      </c>
      <c r="C390" s="1" t="n">
        <v>6</v>
      </c>
      <c r="D390" s="1" t="s">
        <v>2289</v>
      </c>
      <c r="E390" s="1" t="n">
        <v>42</v>
      </c>
      <c r="F390" s="1" t="s">
        <v>80</v>
      </c>
      <c r="I390" s="1" t="n">
        <v>4231</v>
      </c>
      <c r="J390" s="1" t="n">
        <v>37359</v>
      </c>
      <c r="K390" s="1" t="n">
        <v>55526</v>
      </c>
      <c r="L390" s="1" t="s">
        <v>2285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5" t="n">
        <v>46178</v>
      </c>
      <c r="C391" s="1" t="n">
        <v>6</v>
      </c>
      <c r="D391" s="1" t="s">
        <v>2289</v>
      </c>
      <c r="E391" s="1" t="n">
        <v>42</v>
      </c>
      <c r="F391" s="1" t="s">
        <v>80</v>
      </c>
      <c r="I391" s="1" t="n">
        <v>4231</v>
      </c>
      <c r="J391" s="1" t="n">
        <v>37361</v>
      </c>
      <c r="K391" s="1" t="n">
        <v>2240817</v>
      </c>
      <c r="L391" s="1" t="s">
        <v>2286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5" t="n">
        <v>46178</v>
      </c>
      <c r="C392" s="1" t="n">
        <v>6</v>
      </c>
      <c r="D392" s="1" t="s">
        <v>2289</v>
      </c>
      <c r="E392" s="1" t="n">
        <v>42</v>
      </c>
      <c r="F392" s="1" t="s">
        <v>80</v>
      </c>
      <c r="I392" s="1" t="n">
        <v>4232</v>
      </c>
      <c r="J392" s="1" t="n">
        <v>72679</v>
      </c>
      <c r="K392" s="1" t="n">
        <v>246</v>
      </c>
      <c r="L392" s="1" t="s">
        <v>2288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5" t="n">
        <v>46178</v>
      </c>
      <c r="C393" s="1" t="n">
        <v>6</v>
      </c>
      <c r="D393" s="1" t="s">
        <v>2289</v>
      </c>
      <c r="E393" s="1" t="n">
        <v>42</v>
      </c>
      <c r="F393" s="1" t="s">
        <v>80</v>
      </c>
      <c r="I393" s="1" t="n">
        <v>4233</v>
      </c>
      <c r="J393" s="1" t="n">
        <v>109791</v>
      </c>
      <c r="K393" s="1" t="n">
        <v>9667</v>
      </c>
      <c r="L393" s="1" t="s">
        <v>2284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5" t="n">
        <v>46178</v>
      </c>
      <c r="C394" s="1" t="n">
        <v>6</v>
      </c>
      <c r="D394" s="1" t="s">
        <v>2289</v>
      </c>
      <c r="E394" s="1" t="n">
        <v>42</v>
      </c>
      <c r="F394" s="1" t="s">
        <v>80</v>
      </c>
      <c r="I394" s="1" t="n">
        <v>4233</v>
      </c>
      <c r="J394" s="1" t="n">
        <v>37359</v>
      </c>
      <c r="K394" s="1" t="n">
        <v>55526</v>
      </c>
      <c r="L394" s="1" t="s">
        <v>2285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5" t="n">
        <v>46178</v>
      </c>
      <c r="C395" s="1" t="n">
        <v>6</v>
      </c>
      <c r="D395" s="1" t="s">
        <v>2289</v>
      </c>
      <c r="E395" s="1" t="n">
        <v>42</v>
      </c>
      <c r="F395" s="1" t="s">
        <v>80</v>
      </c>
      <c r="I395" s="1" t="n">
        <v>4233</v>
      </c>
      <c r="J395" s="1" t="n">
        <v>37361</v>
      </c>
      <c r="K395" s="1" t="n">
        <v>2240817</v>
      </c>
      <c r="L395" s="1" t="s">
        <v>2286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5" t="n">
        <v>46178</v>
      </c>
      <c r="C396" s="1" t="n">
        <v>6</v>
      </c>
      <c r="D396" s="1" t="s">
        <v>2289</v>
      </c>
      <c r="E396" s="1" t="n">
        <v>42</v>
      </c>
      <c r="F396" s="1" t="s">
        <v>80</v>
      </c>
      <c r="I396" s="1" t="n">
        <v>4240</v>
      </c>
      <c r="J396" s="1" t="n">
        <v>100103</v>
      </c>
      <c r="K396" s="1" t="n">
        <v>104</v>
      </c>
      <c r="L396" s="1" t="s">
        <v>2287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5" t="n">
        <v>46178</v>
      </c>
      <c r="C397" s="1" t="n">
        <v>6</v>
      </c>
      <c r="D397" s="1" t="s">
        <v>2289</v>
      </c>
      <c r="E397" s="1" t="n">
        <v>42</v>
      </c>
      <c r="F397" s="1" t="s">
        <v>80</v>
      </c>
      <c r="I397" s="1" t="n">
        <v>4241</v>
      </c>
      <c r="J397" s="1" t="n">
        <v>100103</v>
      </c>
      <c r="K397" s="1" t="n">
        <v>104</v>
      </c>
      <c r="L397" s="1" t="s">
        <v>2287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5" t="n">
        <v>46178</v>
      </c>
      <c r="C398" s="1" t="n">
        <v>6</v>
      </c>
      <c r="D398" s="1" t="s">
        <v>2289</v>
      </c>
      <c r="E398" s="1" t="n">
        <v>42</v>
      </c>
      <c r="F398" s="1" t="s">
        <v>80</v>
      </c>
      <c r="I398" s="1" t="n">
        <v>4242</v>
      </c>
      <c r="J398" s="1" t="n">
        <v>100062</v>
      </c>
      <c r="K398" s="1" t="n">
        <v>63</v>
      </c>
      <c r="L398" s="1" t="s">
        <v>2320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5" t="n">
        <v>46178</v>
      </c>
      <c r="C399" s="1" t="n">
        <v>6</v>
      </c>
      <c r="D399" s="1" t="s">
        <v>2289</v>
      </c>
      <c r="E399" s="1" t="n">
        <v>42</v>
      </c>
      <c r="F399" s="1" t="s">
        <v>80</v>
      </c>
      <c r="I399" s="1" t="n">
        <v>4242</v>
      </c>
      <c r="J399" s="1" t="n">
        <v>100104</v>
      </c>
      <c r="K399" s="1" t="n">
        <v>105</v>
      </c>
      <c r="L399" s="1" t="s">
        <v>2321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5" t="n">
        <v>46178</v>
      </c>
      <c r="C400" s="1" t="n">
        <v>6</v>
      </c>
      <c r="D400" s="1" t="s">
        <v>2289</v>
      </c>
      <c r="E400" s="1" t="n">
        <v>42</v>
      </c>
      <c r="F400" s="1" t="s">
        <v>80</v>
      </c>
      <c r="I400" s="1" t="n">
        <v>4242</v>
      </c>
      <c r="J400" s="1" t="n">
        <v>100105</v>
      </c>
      <c r="K400" s="1" t="n">
        <v>106</v>
      </c>
      <c r="L400" s="1" t="s">
        <v>2322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5" t="n">
        <v>46178</v>
      </c>
      <c r="C401" s="1" t="n">
        <v>6</v>
      </c>
      <c r="D401" s="1" t="s">
        <v>2289</v>
      </c>
      <c r="E401" s="1" t="n">
        <v>42</v>
      </c>
      <c r="F401" s="1" t="s">
        <v>80</v>
      </c>
      <c r="I401" s="1" t="n">
        <v>4242</v>
      </c>
      <c r="J401" s="1" t="n">
        <v>100110</v>
      </c>
      <c r="K401" s="1" t="n">
        <v>111</v>
      </c>
      <c r="L401" s="1" t="s">
        <v>2473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5" t="n">
        <v>46178</v>
      </c>
      <c r="C402" s="1" t="n">
        <v>6</v>
      </c>
      <c r="D402" s="1" t="s">
        <v>2289</v>
      </c>
      <c r="E402" s="1" t="n">
        <v>42</v>
      </c>
      <c r="F402" s="1" t="s">
        <v>80</v>
      </c>
      <c r="I402" s="1" t="n">
        <v>4242</v>
      </c>
      <c r="J402" s="1" t="n">
        <v>100112</v>
      </c>
      <c r="K402" s="1" t="n">
        <v>113</v>
      </c>
      <c r="L402" s="1" t="s">
        <v>2325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5" t="n">
        <v>46178</v>
      </c>
      <c r="C403" s="1" t="n">
        <v>6</v>
      </c>
      <c r="D403" s="1" t="s">
        <v>2289</v>
      </c>
      <c r="E403" s="1" t="n">
        <v>42</v>
      </c>
      <c r="F403" s="1" t="s">
        <v>80</v>
      </c>
      <c r="I403" s="1" t="n">
        <v>4242</v>
      </c>
      <c r="J403" s="1" t="n">
        <v>100113</v>
      </c>
      <c r="K403" s="1" t="n">
        <v>114</v>
      </c>
      <c r="L403" s="1" t="s">
        <v>2326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5" t="n">
        <v>46178</v>
      </c>
      <c r="C404" s="1" t="n">
        <v>6</v>
      </c>
      <c r="D404" s="1" t="s">
        <v>2289</v>
      </c>
      <c r="E404" s="1" t="n">
        <v>42</v>
      </c>
      <c r="F404" s="1" t="s">
        <v>80</v>
      </c>
      <c r="I404" s="1" t="n">
        <v>4242</v>
      </c>
      <c r="J404" s="1" t="n">
        <v>100115</v>
      </c>
      <c r="K404" s="1" t="n">
        <v>116</v>
      </c>
      <c r="L404" s="1" t="s">
        <v>2474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5" t="n">
        <v>46178</v>
      </c>
      <c r="C405" s="1" t="n">
        <v>6</v>
      </c>
      <c r="D405" s="1" t="s">
        <v>2289</v>
      </c>
      <c r="E405" s="1" t="n">
        <v>42</v>
      </c>
      <c r="F405" s="1" t="s">
        <v>80</v>
      </c>
      <c r="I405" s="1" t="n">
        <v>4242</v>
      </c>
      <c r="J405" s="1" t="n">
        <v>100116</v>
      </c>
      <c r="K405" s="1" t="n">
        <v>117</v>
      </c>
      <c r="L405" s="1" t="s">
        <v>2327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5" t="n">
        <v>46178</v>
      </c>
      <c r="C406" s="1" t="n">
        <v>6</v>
      </c>
      <c r="D406" s="1" t="s">
        <v>2289</v>
      </c>
      <c r="E406" s="1" t="n">
        <v>42</v>
      </c>
      <c r="F406" s="1" t="s">
        <v>80</v>
      </c>
      <c r="I406" s="1" t="n">
        <v>4242</v>
      </c>
      <c r="J406" s="1" t="n">
        <v>100118</v>
      </c>
      <c r="K406" s="1" t="n">
        <v>119</v>
      </c>
      <c r="L406" s="1" t="s">
        <v>2328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5" t="n">
        <v>46178</v>
      </c>
      <c r="C407" s="1" t="n">
        <v>6</v>
      </c>
      <c r="D407" s="1" t="s">
        <v>2289</v>
      </c>
      <c r="E407" s="1" t="n">
        <v>42</v>
      </c>
      <c r="F407" s="1" t="s">
        <v>80</v>
      </c>
      <c r="I407" s="1" t="n">
        <v>4242</v>
      </c>
      <c r="J407" s="1" t="n">
        <v>100121</v>
      </c>
      <c r="K407" s="1" t="n">
        <v>122</v>
      </c>
      <c r="L407" s="1" t="s">
        <v>2329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5" t="n">
        <v>46178</v>
      </c>
      <c r="C408" s="1" t="n">
        <v>6</v>
      </c>
      <c r="D408" s="1" t="s">
        <v>2289</v>
      </c>
      <c r="E408" s="1" t="n">
        <v>42</v>
      </c>
      <c r="F408" s="1" t="s">
        <v>80</v>
      </c>
      <c r="I408" s="1" t="n">
        <v>4242</v>
      </c>
      <c r="J408" s="1" t="n">
        <v>100122</v>
      </c>
      <c r="K408" s="1" t="n">
        <v>123</v>
      </c>
      <c r="L408" s="1" t="s">
        <v>2330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5" t="n">
        <v>46178</v>
      </c>
      <c r="C409" s="1" t="n">
        <v>6</v>
      </c>
      <c r="D409" s="1" t="s">
        <v>2289</v>
      </c>
      <c r="E409" s="1" t="n">
        <v>42</v>
      </c>
      <c r="F409" s="1" t="s">
        <v>80</v>
      </c>
      <c r="I409" s="1" t="n">
        <v>4242</v>
      </c>
      <c r="J409" s="1" t="n">
        <v>100123</v>
      </c>
      <c r="K409" s="1" t="n">
        <v>124</v>
      </c>
      <c r="L409" s="1" t="s">
        <v>2475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5" t="n">
        <v>46178</v>
      </c>
      <c r="C410" s="1" t="n">
        <v>6</v>
      </c>
      <c r="D410" s="1" t="s">
        <v>2289</v>
      </c>
      <c r="E410" s="1" t="n">
        <v>42</v>
      </c>
      <c r="F410" s="1" t="s">
        <v>80</v>
      </c>
      <c r="I410" s="1" t="n">
        <v>4242</v>
      </c>
      <c r="J410" s="1" t="n">
        <v>100124</v>
      </c>
      <c r="K410" s="1" t="n">
        <v>125</v>
      </c>
      <c r="L410" s="1" t="s">
        <v>2476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5" t="n">
        <v>46178</v>
      </c>
      <c r="C411" s="1" t="n">
        <v>6</v>
      </c>
      <c r="D411" s="1" t="s">
        <v>2289</v>
      </c>
      <c r="E411" s="1" t="n">
        <v>42</v>
      </c>
      <c r="F411" s="1" t="s">
        <v>80</v>
      </c>
      <c r="I411" s="1" t="n">
        <v>4242</v>
      </c>
      <c r="J411" s="1" t="n">
        <v>100125</v>
      </c>
      <c r="K411" s="1" t="n">
        <v>126</v>
      </c>
      <c r="L411" s="1" t="s">
        <v>2477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5" t="n">
        <v>46178</v>
      </c>
      <c r="C412" s="1" t="n">
        <v>6</v>
      </c>
      <c r="D412" s="1" t="s">
        <v>2289</v>
      </c>
      <c r="E412" s="1" t="n">
        <v>42</v>
      </c>
      <c r="F412" s="1" t="s">
        <v>80</v>
      </c>
      <c r="I412" s="1" t="n">
        <v>4242</v>
      </c>
      <c r="J412" s="1" t="n">
        <v>100130</v>
      </c>
      <c r="K412" s="1" t="n">
        <v>131</v>
      </c>
      <c r="L412" s="1" t="s">
        <v>2331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5" t="n">
        <v>46178</v>
      </c>
      <c r="C413" s="1" t="n">
        <v>6</v>
      </c>
      <c r="D413" s="1" t="s">
        <v>2289</v>
      </c>
      <c r="E413" s="1" t="n">
        <v>42</v>
      </c>
      <c r="F413" s="1" t="s">
        <v>80</v>
      </c>
      <c r="I413" s="1" t="n">
        <v>4242</v>
      </c>
      <c r="J413" s="1" t="n">
        <v>110142</v>
      </c>
      <c r="K413" s="1" t="n">
        <v>16699</v>
      </c>
      <c r="L413" s="1" t="s">
        <v>2334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5" t="n">
        <v>46178</v>
      </c>
      <c r="C414" s="1" t="n">
        <v>6</v>
      </c>
      <c r="D414" s="1" t="s">
        <v>2289</v>
      </c>
      <c r="E414" s="1" t="n">
        <v>42</v>
      </c>
      <c r="F414" s="1" t="s">
        <v>80</v>
      </c>
      <c r="I414" s="1" t="n">
        <v>4242</v>
      </c>
      <c r="J414" s="1" t="n">
        <v>110265</v>
      </c>
      <c r="K414" s="1" t="n">
        <v>41346</v>
      </c>
      <c r="L414" s="1" t="s">
        <v>2478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5" t="n">
        <v>46178</v>
      </c>
      <c r="C415" s="1" t="n">
        <v>6</v>
      </c>
      <c r="D415" s="1" t="s">
        <v>2289</v>
      </c>
      <c r="E415" s="1" t="n">
        <v>42</v>
      </c>
      <c r="F415" s="1" t="s">
        <v>80</v>
      </c>
      <c r="I415" s="1" t="n">
        <v>4242</v>
      </c>
      <c r="J415" s="1" t="n">
        <v>43627</v>
      </c>
      <c r="K415" s="1" t="n">
        <v>1175</v>
      </c>
      <c r="L415" s="1" t="s">
        <v>2479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5" t="n">
        <v>46178</v>
      </c>
      <c r="C416" s="1" t="n">
        <v>11</v>
      </c>
      <c r="D416" s="1" t="s">
        <v>2290</v>
      </c>
      <c r="E416" s="1" t="n">
        <v>666</v>
      </c>
      <c r="F416" s="1" t="s">
        <v>362</v>
      </c>
      <c r="I416" s="1" t="n">
        <v>7711</v>
      </c>
      <c r="J416" s="1" t="n">
        <v>100217</v>
      </c>
      <c r="K416" s="1" t="n">
        <v>218</v>
      </c>
      <c r="L416" s="1" t="s">
        <v>2480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5" t="n">
        <v>46178</v>
      </c>
      <c r="C417" s="1" t="n">
        <v>11</v>
      </c>
      <c r="D417" s="1" t="s">
        <v>2290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2481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5" t="n">
        <v>46178</v>
      </c>
      <c r="C418" s="1" t="n">
        <v>11</v>
      </c>
      <c r="D418" s="1" t="s">
        <v>2290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2482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5" t="n">
        <v>46178</v>
      </c>
      <c r="C419" s="1" t="n">
        <v>11</v>
      </c>
      <c r="D419" s="1" t="s">
        <v>2290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2483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5" t="n">
        <v>46178</v>
      </c>
      <c r="C420" s="1" t="n">
        <v>11</v>
      </c>
      <c r="D420" s="1" t="s">
        <v>2290</v>
      </c>
      <c r="E420" s="1" t="n">
        <v>1723</v>
      </c>
      <c r="F420" s="1" t="s">
        <v>76</v>
      </c>
      <c r="I420" s="1" t="n">
        <v>170982</v>
      </c>
      <c r="J420" s="1" t="n">
        <v>29079</v>
      </c>
      <c r="K420" s="1" t="n">
        <v>55515</v>
      </c>
      <c r="L420" s="1" t="s">
        <v>2360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5" t="n">
        <v>46178</v>
      </c>
      <c r="C421" s="1" t="n">
        <v>11</v>
      </c>
      <c r="D421" s="1" t="s">
        <v>2290</v>
      </c>
      <c r="E421" s="1" t="n">
        <v>1723</v>
      </c>
      <c r="F421" s="1" t="s">
        <v>76</v>
      </c>
      <c r="I421" s="1" t="n">
        <v>170982</v>
      </c>
      <c r="J421" s="1" t="n">
        <v>29080</v>
      </c>
      <c r="K421" s="1" t="n">
        <v>55516</v>
      </c>
      <c r="L421" s="1" t="s">
        <v>2362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5" t="n">
        <v>46178</v>
      </c>
      <c r="C422" s="1" t="n">
        <v>11</v>
      </c>
      <c r="D422" s="1" t="s">
        <v>2290</v>
      </c>
      <c r="E422" s="1" t="n">
        <v>1723</v>
      </c>
      <c r="F422" s="1" t="s">
        <v>76</v>
      </c>
      <c r="I422" s="1" t="n">
        <v>171043</v>
      </c>
      <c r="J422" s="1" t="n">
        <v>110231</v>
      </c>
      <c r="K422" s="1" t="n">
        <v>38306</v>
      </c>
      <c r="L422" s="1" t="s">
        <v>2363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5" t="n">
        <v>46178</v>
      </c>
      <c r="C423" s="1" t="n">
        <v>11</v>
      </c>
      <c r="D423" s="1" t="s">
        <v>2290</v>
      </c>
      <c r="E423" s="1" t="n">
        <v>1723</v>
      </c>
      <c r="F423" s="1" t="s">
        <v>76</v>
      </c>
      <c r="I423" s="1" t="n">
        <v>171075</v>
      </c>
      <c r="J423" s="1" t="n">
        <v>110231</v>
      </c>
      <c r="K423" s="1" t="n">
        <v>38306</v>
      </c>
      <c r="L423" s="1" t="s">
        <v>2363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5" t="n">
        <v>46178</v>
      </c>
      <c r="C424" s="1" t="n">
        <v>11</v>
      </c>
      <c r="D424" s="1" t="s">
        <v>2290</v>
      </c>
      <c r="E424" s="1" t="n">
        <v>1740</v>
      </c>
      <c r="F424" s="1" t="s">
        <v>170</v>
      </c>
      <c r="I424" s="1" t="n">
        <v>1233423</v>
      </c>
      <c r="J424" s="1" t="n">
        <v>106130</v>
      </c>
      <c r="K424" s="1" t="n">
        <v>7891000340004</v>
      </c>
      <c r="L424" s="1" t="s">
        <v>2484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5" t="n">
        <v>46178</v>
      </c>
      <c r="C425" s="1" t="n">
        <v>11</v>
      </c>
      <c r="D425" s="1" t="s">
        <v>2290</v>
      </c>
      <c r="E425" s="1" t="n">
        <v>1740</v>
      </c>
      <c r="F425" s="1" t="s">
        <v>170</v>
      </c>
      <c r="I425" s="1" t="n">
        <v>1233423</v>
      </c>
      <c r="J425" s="1" t="n">
        <v>14219</v>
      </c>
      <c r="K425" s="1" t="n">
        <v>7891000072950</v>
      </c>
      <c r="L425" s="1" t="s">
        <v>2485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5" t="n">
        <v>46178</v>
      </c>
      <c r="C426" s="1" t="n">
        <v>11</v>
      </c>
      <c r="D426" s="1" t="s">
        <v>2290</v>
      </c>
      <c r="E426" s="1" t="n">
        <v>1740</v>
      </c>
      <c r="F426" s="1" t="s">
        <v>170</v>
      </c>
      <c r="I426" s="1" t="n">
        <v>1233423</v>
      </c>
      <c r="J426" s="1" t="n">
        <v>20021</v>
      </c>
      <c r="K426" s="1" t="n">
        <v>7891000103937</v>
      </c>
      <c r="L426" s="1" t="s">
        <v>2486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5" t="n">
        <v>46178</v>
      </c>
      <c r="C427" s="1" t="n">
        <v>11</v>
      </c>
      <c r="D427" s="1" t="s">
        <v>2290</v>
      </c>
      <c r="E427" s="1" t="n">
        <v>1740</v>
      </c>
      <c r="F427" s="1" t="s">
        <v>170</v>
      </c>
      <c r="I427" s="1" t="n">
        <v>1233423</v>
      </c>
      <c r="J427" s="1" t="n">
        <v>25112</v>
      </c>
      <c r="K427" s="1" t="n">
        <v>7891000244425</v>
      </c>
      <c r="L427" s="1" t="s">
        <v>2487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5" t="n">
        <v>46178</v>
      </c>
      <c r="C428" s="1" t="n">
        <v>11</v>
      </c>
      <c r="D428" s="1" t="s">
        <v>2290</v>
      </c>
      <c r="E428" s="1" t="n">
        <v>1740</v>
      </c>
      <c r="F428" s="1" t="s">
        <v>170</v>
      </c>
      <c r="I428" s="1" t="n">
        <v>1233423</v>
      </c>
      <c r="J428" s="1" t="n">
        <v>25413</v>
      </c>
      <c r="K428" s="1" t="n">
        <v>7891000241417</v>
      </c>
      <c r="L428" s="1" t="s">
        <v>2488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5" t="n">
        <v>46178</v>
      </c>
      <c r="C429" s="1" t="n">
        <v>11</v>
      </c>
      <c r="D429" s="1" t="s">
        <v>2290</v>
      </c>
      <c r="E429" s="1" t="n">
        <v>1740</v>
      </c>
      <c r="F429" s="1" t="s">
        <v>170</v>
      </c>
      <c r="I429" s="1" t="n">
        <v>1233423</v>
      </c>
      <c r="J429" s="1" t="n">
        <v>27878</v>
      </c>
      <c r="K429" s="1" t="n">
        <v>7891000261026</v>
      </c>
      <c r="L429" s="1" t="s">
        <v>2489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5" t="n">
        <v>46178</v>
      </c>
      <c r="C430" s="1" t="n">
        <v>11</v>
      </c>
      <c r="D430" s="1" t="s">
        <v>2290</v>
      </c>
      <c r="E430" s="1" t="n">
        <v>1740</v>
      </c>
      <c r="F430" s="1" t="s">
        <v>170</v>
      </c>
      <c r="I430" s="1" t="n">
        <v>1233423</v>
      </c>
      <c r="J430" s="1" t="n">
        <v>38519</v>
      </c>
      <c r="K430" s="1" t="n">
        <v>7891000261002</v>
      </c>
      <c r="L430" s="1" t="s">
        <v>2490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5" t="n">
        <v>46178</v>
      </c>
      <c r="C431" s="1" t="n">
        <v>11</v>
      </c>
      <c r="D431" s="1" t="s">
        <v>2290</v>
      </c>
      <c r="E431" s="1" t="n">
        <v>1740</v>
      </c>
      <c r="F431" s="1" t="s">
        <v>170</v>
      </c>
      <c r="I431" s="1" t="n">
        <v>1233423</v>
      </c>
      <c r="J431" s="1" t="n">
        <v>47789</v>
      </c>
      <c r="K431" s="1" t="n">
        <v>7891000362037</v>
      </c>
      <c r="L431" s="1" t="s">
        <v>2491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5" t="n">
        <v>46178</v>
      </c>
      <c r="C432" s="1" t="n">
        <v>11</v>
      </c>
      <c r="D432" s="1" t="s">
        <v>2290</v>
      </c>
      <c r="E432" s="1" t="n">
        <v>1740</v>
      </c>
      <c r="F432" s="1" t="s">
        <v>170</v>
      </c>
      <c r="I432" s="1" t="n">
        <v>1233423</v>
      </c>
      <c r="J432" s="1" t="n">
        <v>50424</v>
      </c>
      <c r="K432" s="1" t="n">
        <v>7898953148169</v>
      </c>
      <c r="L432" s="1" t="s">
        <v>2492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5" t="n">
        <v>46178</v>
      </c>
      <c r="C433" s="1" t="n">
        <v>11</v>
      </c>
      <c r="D433" s="1" t="s">
        <v>2290</v>
      </c>
      <c r="E433" s="1" t="n">
        <v>1608</v>
      </c>
      <c r="F433" s="1" t="s">
        <v>41</v>
      </c>
      <c r="I433" s="1" t="n">
        <v>1667932</v>
      </c>
      <c r="J433" s="1" t="n">
        <v>102366</v>
      </c>
      <c r="K433" s="1" t="n">
        <v>7894321722016</v>
      </c>
      <c r="L433" s="1" t="s">
        <v>2493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5" t="n">
        <v>46178</v>
      </c>
      <c r="C434" s="1" t="n">
        <v>11</v>
      </c>
      <c r="D434" s="1" t="s">
        <v>2290</v>
      </c>
      <c r="E434" s="1" t="n">
        <v>1608</v>
      </c>
      <c r="F434" s="1" t="s">
        <v>41</v>
      </c>
      <c r="I434" s="1" t="n">
        <v>1667932</v>
      </c>
      <c r="J434" s="1" t="n">
        <v>104454</v>
      </c>
      <c r="K434" s="1" t="n">
        <v>7892840142124</v>
      </c>
      <c r="L434" s="1" t="s">
        <v>2494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5" t="n">
        <v>46178</v>
      </c>
      <c r="C435" s="1" t="n">
        <v>11</v>
      </c>
      <c r="D435" s="1" t="s">
        <v>2290</v>
      </c>
      <c r="E435" s="1" t="n">
        <v>1608</v>
      </c>
      <c r="F435" s="1" t="s">
        <v>41</v>
      </c>
      <c r="I435" s="1" t="n">
        <v>1667932</v>
      </c>
      <c r="J435" s="1" t="n">
        <v>32249</v>
      </c>
      <c r="K435" s="1" t="n">
        <v>7892840815752</v>
      </c>
      <c r="L435" s="1" t="s">
        <v>2495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5" t="n">
        <v>46178</v>
      </c>
      <c r="C436" s="1" t="n">
        <v>11</v>
      </c>
      <c r="D436" s="1" t="s">
        <v>2290</v>
      </c>
      <c r="E436" s="1" t="n">
        <v>1608</v>
      </c>
      <c r="F436" s="1" t="s">
        <v>41</v>
      </c>
      <c r="I436" s="1" t="n">
        <v>1667932</v>
      </c>
      <c r="J436" s="1" t="n">
        <v>32648</v>
      </c>
      <c r="K436" s="1" t="n">
        <v>7892840815769</v>
      </c>
      <c r="L436" s="1" t="s">
        <v>2496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5" t="n">
        <v>46178</v>
      </c>
      <c r="C437" s="1" t="n">
        <v>11</v>
      </c>
      <c r="D437" s="1" t="s">
        <v>2290</v>
      </c>
      <c r="E437" s="1" t="n">
        <v>1608</v>
      </c>
      <c r="F437" s="1" t="s">
        <v>41</v>
      </c>
      <c r="I437" s="1" t="n">
        <v>1667932</v>
      </c>
      <c r="J437" s="1" t="n">
        <v>36474</v>
      </c>
      <c r="K437" s="1" t="n">
        <v>7892840815745</v>
      </c>
      <c r="L437" s="1" t="s">
        <v>2497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5" t="n">
        <v>46178</v>
      </c>
      <c r="C438" s="1" t="n">
        <v>11</v>
      </c>
      <c r="D438" s="1" t="s">
        <v>2290</v>
      </c>
      <c r="E438" s="1" t="n">
        <v>1608</v>
      </c>
      <c r="F438" s="1" t="s">
        <v>41</v>
      </c>
      <c r="I438" s="1" t="n">
        <v>1667932</v>
      </c>
      <c r="J438" s="1" t="n">
        <v>65341</v>
      </c>
      <c r="K438" s="1" t="n">
        <v>7892840822309</v>
      </c>
      <c r="L438" s="1" t="s">
        <v>2498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15" t="n">
        <v>46178</v>
      </c>
      <c r="C439" s="1" t="n">
        <v>11</v>
      </c>
      <c r="D439" s="1" t="s">
        <v>2290</v>
      </c>
      <c r="E439" s="1" t="n">
        <v>1608</v>
      </c>
      <c r="F439" s="1" t="s">
        <v>41</v>
      </c>
      <c r="I439" s="1" t="n">
        <v>1667932</v>
      </c>
      <c r="J439" s="1" t="n">
        <v>65342</v>
      </c>
      <c r="K439" s="1" t="n">
        <v>7892840822446</v>
      </c>
      <c r="L439" s="1" t="s">
        <v>2499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15" t="n">
        <v>46178</v>
      </c>
      <c r="C440" s="1" t="n">
        <v>11</v>
      </c>
      <c r="D440" s="1" t="s">
        <v>2290</v>
      </c>
      <c r="E440" s="1" t="n">
        <v>1608</v>
      </c>
      <c r="F440" s="1" t="s">
        <v>41</v>
      </c>
      <c r="I440" s="1" t="n">
        <v>1667932</v>
      </c>
      <c r="J440" s="1" t="n">
        <v>65383</v>
      </c>
      <c r="K440" s="1" t="n">
        <v>7892840822859</v>
      </c>
      <c r="L440" s="1" t="s">
        <v>2500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15" t="n">
        <v>46178</v>
      </c>
      <c r="C441" s="1" t="n">
        <v>11</v>
      </c>
      <c r="D441" s="1" t="s">
        <v>2290</v>
      </c>
      <c r="E441" s="1" t="n">
        <v>1608</v>
      </c>
      <c r="F441" s="1" t="s">
        <v>41</v>
      </c>
      <c r="I441" s="1" t="n">
        <v>1667932</v>
      </c>
      <c r="J441" s="1" t="n">
        <v>65597</v>
      </c>
      <c r="K441" s="1" t="n">
        <v>7892840822736</v>
      </c>
      <c r="L441" s="1" t="s">
        <v>2501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5" t="n">
        <v>46178</v>
      </c>
      <c r="C442" s="1" t="n">
        <v>11</v>
      </c>
      <c r="D442" s="1" t="s">
        <v>2290</v>
      </c>
      <c r="E442" s="1" t="n">
        <v>1608</v>
      </c>
      <c r="F442" s="1" t="s">
        <v>41</v>
      </c>
      <c r="I442" s="1" t="n">
        <v>1667932</v>
      </c>
      <c r="J442" s="1" t="n">
        <v>65598</v>
      </c>
      <c r="K442" s="1" t="n">
        <v>7892840822361</v>
      </c>
      <c r="L442" s="1" t="s">
        <v>2502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5" t="n">
        <v>46178</v>
      </c>
      <c r="C443" s="1" t="n">
        <v>11</v>
      </c>
      <c r="D443" s="1" t="s">
        <v>2290</v>
      </c>
      <c r="E443" s="1" t="n">
        <v>1608</v>
      </c>
      <c r="F443" s="1" t="s">
        <v>41</v>
      </c>
      <c r="I443" s="1" t="n">
        <v>1667932</v>
      </c>
      <c r="J443" s="1" t="n">
        <v>65734</v>
      </c>
      <c r="K443" s="1" t="n">
        <v>7892840823047</v>
      </c>
      <c r="L443" s="1" t="s">
        <v>2503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5" t="n">
        <v>46178</v>
      </c>
      <c r="C444" s="1" t="n">
        <v>11</v>
      </c>
      <c r="D444" s="1" t="s">
        <v>2290</v>
      </c>
      <c r="E444" s="1" t="n">
        <v>1608</v>
      </c>
      <c r="F444" s="1" t="s">
        <v>41</v>
      </c>
      <c r="I444" s="1" t="n">
        <v>1667932</v>
      </c>
      <c r="J444" s="1" t="n">
        <v>65736</v>
      </c>
      <c r="K444" s="1" t="n">
        <v>7892840823054</v>
      </c>
      <c r="L444" s="1" t="s">
        <v>2504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5" t="n">
        <v>46178</v>
      </c>
      <c r="C445" s="1" t="n">
        <v>11</v>
      </c>
      <c r="D445" s="1" t="s">
        <v>2290</v>
      </c>
      <c r="E445" s="1" t="n">
        <v>1608</v>
      </c>
      <c r="F445" s="1" t="s">
        <v>41</v>
      </c>
      <c r="I445" s="1" t="n">
        <v>1667932</v>
      </c>
      <c r="J445" s="1" t="n">
        <v>65799</v>
      </c>
      <c r="K445" s="1" t="n">
        <v>7892840822385</v>
      </c>
      <c r="L445" s="1" t="s">
        <v>2505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5" t="n">
        <v>46178</v>
      </c>
      <c r="C446" s="1" t="n">
        <v>11</v>
      </c>
      <c r="D446" s="1" t="s">
        <v>2290</v>
      </c>
      <c r="E446" s="1" t="n">
        <v>1608</v>
      </c>
      <c r="F446" s="1" t="s">
        <v>41</v>
      </c>
      <c r="I446" s="1" t="n">
        <v>1667932</v>
      </c>
      <c r="J446" s="1" t="n">
        <v>66000</v>
      </c>
      <c r="K446" s="1" t="n">
        <v>7892840822484</v>
      </c>
      <c r="L446" s="1" t="s">
        <v>2506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5" t="n">
        <v>46178</v>
      </c>
      <c r="C447" s="1" t="n">
        <v>11</v>
      </c>
      <c r="D447" s="1" t="s">
        <v>2290</v>
      </c>
      <c r="E447" s="1" t="n">
        <v>1608</v>
      </c>
      <c r="F447" s="1" t="s">
        <v>41</v>
      </c>
      <c r="I447" s="1" t="n">
        <v>1667932</v>
      </c>
      <c r="J447" s="1" t="n">
        <v>66002</v>
      </c>
      <c r="K447" s="1" t="n">
        <v>7892840823481</v>
      </c>
      <c r="L447" s="1" t="s">
        <v>2507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5" t="n">
        <v>46178</v>
      </c>
      <c r="C448" s="1" t="n">
        <v>11</v>
      </c>
      <c r="D448" s="1" t="s">
        <v>2290</v>
      </c>
      <c r="E448" s="1" t="n">
        <v>1608</v>
      </c>
      <c r="F448" s="1" t="s">
        <v>41</v>
      </c>
      <c r="I448" s="1" t="n">
        <v>1667932</v>
      </c>
      <c r="J448" s="1" t="n">
        <v>66089</v>
      </c>
      <c r="K448" s="1" t="n">
        <v>7892840822323</v>
      </c>
      <c r="L448" s="1" t="s">
        <v>2508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5" t="n">
        <v>46178</v>
      </c>
      <c r="C449" s="1" t="n">
        <v>11</v>
      </c>
      <c r="D449" s="1" t="s">
        <v>2290</v>
      </c>
      <c r="E449" s="1" t="n">
        <v>1608</v>
      </c>
      <c r="F449" s="1" t="s">
        <v>41</v>
      </c>
      <c r="I449" s="1" t="n">
        <v>1667932</v>
      </c>
      <c r="J449" s="1" t="n">
        <v>66366</v>
      </c>
      <c r="K449" s="1" t="n">
        <v>7892840822378</v>
      </c>
      <c r="L449" s="1" t="s">
        <v>2509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5" t="n">
        <v>46178</v>
      </c>
      <c r="C450" s="1" t="n">
        <v>11</v>
      </c>
      <c r="D450" s="1" t="s">
        <v>2290</v>
      </c>
      <c r="E450" s="1" t="n">
        <v>1608</v>
      </c>
      <c r="F450" s="1" t="s">
        <v>41</v>
      </c>
      <c r="I450" s="1" t="n">
        <v>1667932</v>
      </c>
      <c r="J450" s="1" t="n">
        <v>66764</v>
      </c>
      <c r="K450" s="1" t="n">
        <v>7892840822293</v>
      </c>
      <c r="L450" s="1" t="s">
        <v>2510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5" t="n">
        <v>46178</v>
      </c>
      <c r="C451" s="1" t="n">
        <v>11</v>
      </c>
      <c r="D451" s="1" t="s">
        <v>2290</v>
      </c>
      <c r="E451" s="1" t="n">
        <v>1608</v>
      </c>
      <c r="F451" s="1" t="s">
        <v>41</v>
      </c>
      <c r="I451" s="1" t="n">
        <v>1667932</v>
      </c>
      <c r="J451" s="1" t="n">
        <v>66993</v>
      </c>
      <c r="K451" s="1" t="n">
        <v>7892840822347</v>
      </c>
      <c r="L451" s="1" t="s">
        <v>2499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5" t="n">
        <v>46178</v>
      </c>
      <c r="C452" s="1" t="n">
        <v>11</v>
      </c>
      <c r="D452" s="1" t="s">
        <v>2290</v>
      </c>
      <c r="E452" s="1" t="n">
        <v>1608</v>
      </c>
      <c r="F452" s="1" t="s">
        <v>41</v>
      </c>
      <c r="I452" s="1" t="n">
        <v>1667932</v>
      </c>
      <c r="J452" s="1" t="n">
        <v>68927</v>
      </c>
      <c r="K452" s="1" t="n">
        <v>7892840823030</v>
      </c>
      <c r="L452" s="1" t="s">
        <v>2511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5" t="n">
        <v>46178</v>
      </c>
      <c r="C453" s="1" t="n">
        <v>11</v>
      </c>
      <c r="D453" s="1" t="s">
        <v>2290</v>
      </c>
      <c r="E453" s="1" t="n">
        <v>1608</v>
      </c>
      <c r="F453" s="1" t="s">
        <v>41</v>
      </c>
      <c r="I453" s="1" t="n">
        <v>1667932</v>
      </c>
      <c r="J453" s="1" t="n">
        <v>80195</v>
      </c>
      <c r="K453" s="1" t="n">
        <v>7892840824976</v>
      </c>
      <c r="L453" s="1" t="s">
        <v>2512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5" t="n">
        <v>46178</v>
      </c>
      <c r="C454" s="1" t="n">
        <v>11</v>
      </c>
      <c r="D454" s="1" t="s">
        <v>2290</v>
      </c>
      <c r="E454" s="1" t="n">
        <v>1608</v>
      </c>
      <c r="F454" s="1" t="s">
        <v>41</v>
      </c>
      <c r="I454" s="1" t="n">
        <v>1667932</v>
      </c>
      <c r="J454" s="1" t="n">
        <v>80198</v>
      </c>
      <c r="K454" s="1" t="n">
        <v>7892840824693</v>
      </c>
      <c r="L454" s="1" t="s">
        <v>2513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5" t="n">
        <v>46178</v>
      </c>
      <c r="C455" s="1" t="n">
        <v>11</v>
      </c>
      <c r="D455" s="1" t="s">
        <v>2290</v>
      </c>
      <c r="E455" s="1" t="n">
        <v>1608</v>
      </c>
      <c r="F455" s="1" t="s">
        <v>41</v>
      </c>
      <c r="I455" s="1" t="n">
        <v>1667932</v>
      </c>
      <c r="J455" s="1" t="n">
        <v>80207</v>
      </c>
      <c r="K455" s="1" t="n">
        <v>7892840825317</v>
      </c>
      <c r="L455" s="1" t="s">
        <v>2514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5" t="n">
        <v>46178</v>
      </c>
      <c r="C456" s="1" t="n">
        <v>22</v>
      </c>
      <c r="D456" s="1" t="s">
        <v>2436</v>
      </c>
      <c r="E456" s="1" t="n">
        <v>42</v>
      </c>
      <c r="F456" s="1" t="s">
        <v>80</v>
      </c>
      <c r="I456" s="1" t="n">
        <v>4235</v>
      </c>
      <c r="J456" s="1" t="n">
        <v>100000</v>
      </c>
      <c r="K456" s="1" t="n">
        <v>1</v>
      </c>
      <c r="L456" s="1" t="s">
        <v>2451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5" t="n">
        <v>46178</v>
      </c>
      <c r="C457" s="1" t="n">
        <v>22</v>
      </c>
      <c r="D457" s="1" t="s">
        <v>2436</v>
      </c>
      <c r="E457" s="1" t="n">
        <v>42</v>
      </c>
      <c r="F457" s="1" t="s">
        <v>80</v>
      </c>
      <c r="I457" s="1" t="n">
        <v>4235</v>
      </c>
      <c r="J457" s="1" t="n">
        <v>100006</v>
      </c>
      <c r="K457" s="1" t="n">
        <v>7</v>
      </c>
      <c r="L457" s="1" t="s">
        <v>2437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5" t="n">
        <v>46178</v>
      </c>
      <c r="C458" s="1" t="n">
        <v>22</v>
      </c>
      <c r="D458" s="1" t="s">
        <v>2436</v>
      </c>
      <c r="E458" s="1" t="n">
        <v>42</v>
      </c>
      <c r="F458" s="1" t="s">
        <v>80</v>
      </c>
      <c r="I458" s="1" t="n">
        <v>4235</v>
      </c>
      <c r="J458" s="1" t="n">
        <v>100010</v>
      </c>
      <c r="K458" s="1" t="n">
        <v>11</v>
      </c>
      <c r="L458" s="1" t="s">
        <v>2439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5" t="n">
        <v>46178</v>
      </c>
      <c r="C459" s="1" t="n">
        <v>22</v>
      </c>
      <c r="D459" s="1" t="s">
        <v>2436</v>
      </c>
      <c r="E459" s="1" t="n">
        <v>42</v>
      </c>
      <c r="F459" s="1" t="s">
        <v>80</v>
      </c>
      <c r="I459" s="1" t="n">
        <v>4235</v>
      </c>
      <c r="J459" s="1" t="n">
        <v>100011</v>
      </c>
      <c r="K459" s="1" t="n">
        <v>12</v>
      </c>
      <c r="L459" s="1" t="s">
        <v>2440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5" t="n">
        <v>46178</v>
      </c>
      <c r="C460" s="1" t="n">
        <v>22</v>
      </c>
      <c r="D460" s="1" t="s">
        <v>2436</v>
      </c>
      <c r="E460" s="1" t="n">
        <v>42</v>
      </c>
      <c r="F460" s="1" t="s">
        <v>80</v>
      </c>
      <c r="I460" s="1" t="n">
        <v>4235</v>
      </c>
      <c r="J460" s="1" t="n">
        <v>100012</v>
      </c>
      <c r="K460" s="1" t="n">
        <v>13</v>
      </c>
      <c r="L460" s="1" t="s">
        <v>2441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5" t="n">
        <v>46178</v>
      </c>
      <c r="C461" s="1" t="n">
        <v>22</v>
      </c>
      <c r="D461" s="1" t="s">
        <v>2436</v>
      </c>
      <c r="E461" s="1" t="n">
        <v>42</v>
      </c>
      <c r="F461" s="1" t="s">
        <v>80</v>
      </c>
      <c r="I461" s="1" t="n">
        <v>4235</v>
      </c>
      <c r="J461" s="1" t="n">
        <v>100013</v>
      </c>
      <c r="K461" s="1" t="n">
        <v>14</v>
      </c>
      <c r="L461" s="1" t="s">
        <v>2442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5" t="n">
        <v>46178</v>
      </c>
      <c r="C462" s="1" t="n">
        <v>22</v>
      </c>
      <c r="D462" s="1" t="s">
        <v>2436</v>
      </c>
      <c r="E462" s="1" t="n">
        <v>42</v>
      </c>
      <c r="F462" s="1" t="s">
        <v>80</v>
      </c>
      <c r="I462" s="1" t="n">
        <v>4235</v>
      </c>
      <c r="J462" s="1" t="n">
        <v>100014</v>
      </c>
      <c r="K462" s="1" t="n">
        <v>15</v>
      </c>
      <c r="L462" s="1" t="s">
        <v>2443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5" t="n">
        <v>46178</v>
      </c>
      <c r="C463" s="1" t="n">
        <v>22</v>
      </c>
      <c r="D463" s="1" t="s">
        <v>2436</v>
      </c>
      <c r="E463" s="1" t="n">
        <v>42</v>
      </c>
      <c r="F463" s="1" t="s">
        <v>80</v>
      </c>
      <c r="I463" s="1" t="n">
        <v>4235</v>
      </c>
      <c r="J463" s="1" t="n">
        <v>100015</v>
      </c>
      <c r="K463" s="1" t="n">
        <v>16</v>
      </c>
      <c r="L463" s="1" t="s">
        <v>2444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5" t="n">
        <v>46178</v>
      </c>
      <c r="C464" s="1" t="n">
        <v>22</v>
      </c>
      <c r="D464" s="1" t="s">
        <v>2436</v>
      </c>
      <c r="E464" s="1" t="n">
        <v>42</v>
      </c>
      <c r="F464" s="1" t="s">
        <v>80</v>
      </c>
      <c r="I464" s="1" t="n">
        <v>4235</v>
      </c>
      <c r="J464" s="1" t="n">
        <v>100017</v>
      </c>
      <c r="K464" s="1" t="n">
        <v>18</v>
      </c>
      <c r="L464" s="1" t="s">
        <v>2446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5" t="n">
        <v>46178</v>
      </c>
      <c r="C465" s="1" t="n">
        <v>22</v>
      </c>
      <c r="D465" s="1" t="s">
        <v>2436</v>
      </c>
      <c r="E465" s="1" t="n">
        <v>42</v>
      </c>
      <c r="F465" s="1" t="s">
        <v>80</v>
      </c>
      <c r="I465" s="1" t="n">
        <v>4235</v>
      </c>
      <c r="J465" s="1" t="n">
        <v>100638</v>
      </c>
      <c r="K465" s="1" t="n">
        <v>508</v>
      </c>
      <c r="L465" s="1" t="s">
        <v>2448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5" t="n">
        <v>46178</v>
      </c>
      <c r="C466" s="1" t="n">
        <v>22</v>
      </c>
      <c r="D466" s="1" t="s">
        <v>2436</v>
      </c>
      <c r="E466" s="1" t="n">
        <v>42</v>
      </c>
      <c r="F466" s="1" t="s">
        <v>80</v>
      </c>
      <c r="I466" s="1" t="n">
        <v>4235</v>
      </c>
      <c r="J466" s="1" t="n">
        <v>100520</v>
      </c>
      <c r="K466" s="1" t="n">
        <v>507</v>
      </c>
      <c r="L466" s="1" t="s">
        <v>2449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5" t="n">
        <v>46178</v>
      </c>
      <c r="C467" s="1" t="n">
        <v>22</v>
      </c>
      <c r="D467" s="1" t="s">
        <v>2436</v>
      </c>
      <c r="E467" s="1" t="n">
        <v>42</v>
      </c>
      <c r="F467" s="1" t="s">
        <v>80</v>
      </c>
      <c r="I467" s="1" t="n">
        <v>4235</v>
      </c>
      <c r="J467" s="1" t="n">
        <v>110455</v>
      </c>
      <c r="K467" s="1" t="n">
        <v>53212</v>
      </c>
      <c r="L467" s="1" t="s">
        <v>2450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5" t="n">
        <v>46178</v>
      </c>
      <c r="C468" s="1" t="n">
        <v>22</v>
      </c>
      <c r="D468" s="1" t="s">
        <v>2436</v>
      </c>
      <c r="E468" s="1" t="n">
        <v>42</v>
      </c>
      <c r="F468" s="1" t="s">
        <v>80</v>
      </c>
      <c r="I468" s="1" t="n">
        <v>4237</v>
      </c>
      <c r="J468" s="1" t="n">
        <v>100000</v>
      </c>
      <c r="K468" s="1" t="n">
        <v>1</v>
      </c>
      <c r="L468" s="1" t="s">
        <v>2451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5" t="n">
        <v>46178</v>
      </c>
      <c r="C469" s="1" t="n">
        <v>22</v>
      </c>
      <c r="D469" s="1" t="s">
        <v>2436</v>
      </c>
      <c r="E469" s="1" t="n">
        <v>42</v>
      </c>
      <c r="F469" s="1" t="s">
        <v>80</v>
      </c>
      <c r="I469" s="1" t="n">
        <v>4237</v>
      </c>
      <c r="J469" s="1" t="n">
        <v>100000</v>
      </c>
      <c r="K469" s="1" t="n">
        <v>1</v>
      </c>
      <c r="L469" s="1" t="s">
        <v>2451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5" t="n">
        <v>46178</v>
      </c>
      <c r="C470" s="1" t="n">
        <v>22</v>
      </c>
      <c r="D470" s="1" t="s">
        <v>2436</v>
      </c>
      <c r="E470" s="1" t="n">
        <v>42</v>
      </c>
      <c r="F470" s="1" t="s">
        <v>80</v>
      </c>
      <c r="I470" s="1" t="n">
        <v>4237</v>
      </c>
      <c r="J470" s="1" t="n">
        <v>100001</v>
      </c>
      <c r="K470" s="1" t="n">
        <v>2</v>
      </c>
      <c r="L470" s="1" t="s">
        <v>2452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5" t="n">
        <v>46178</v>
      </c>
      <c r="C471" s="1" t="n">
        <v>22</v>
      </c>
      <c r="D471" s="1" t="s">
        <v>2436</v>
      </c>
      <c r="E471" s="1" t="n">
        <v>42</v>
      </c>
      <c r="F471" s="1" t="s">
        <v>80</v>
      </c>
      <c r="I471" s="1" t="n">
        <v>4237</v>
      </c>
      <c r="J471" s="1" t="n">
        <v>100002</v>
      </c>
      <c r="K471" s="1" t="n">
        <v>3</v>
      </c>
      <c r="L471" s="1" t="s">
        <v>2453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5" t="n">
        <v>46178</v>
      </c>
      <c r="C472" s="1" t="n">
        <v>22</v>
      </c>
      <c r="D472" s="1" t="s">
        <v>2436</v>
      </c>
      <c r="E472" s="1" t="n">
        <v>42</v>
      </c>
      <c r="F472" s="1" t="s">
        <v>80</v>
      </c>
      <c r="I472" s="1" t="n">
        <v>4237</v>
      </c>
      <c r="J472" s="1" t="n">
        <v>100003</v>
      </c>
      <c r="K472" s="1" t="n">
        <v>4</v>
      </c>
      <c r="L472" s="1" t="s">
        <v>2454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5" t="n">
        <v>46178</v>
      </c>
      <c r="C473" s="1" t="n">
        <v>22</v>
      </c>
      <c r="D473" s="1" t="s">
        <v>2436</v>
      </c>
      <c r="E473" s="1" t="n">
        <v>42</v>
      </c>
      <c r="F473" s="1" t="s">
        <v>80</v>
      </c>
      <c r="I473" s="1" t="n">
        <v>4237</v>
      </c>
      <c r="J473" s="1" t="n">
        <v>100006</v>
      </c>
      <c r="K473" s="1" t="n">
        <v>7</v>
      </c>
      <c r="L473" s="1" t="s">
        <v>2437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5" t="n">
        <v>46178</v>
      </c>
      <c r="C474" s="1" t="n">
        <v>22</v>
      </c>
      <c r="D474" s="1" t="s">
        <v>2436</v>
      </c>
      <c r="E474" s="1" t="n">
        <v>42</v>
      </c>
      <c r="F474" s="1" t="s">
        <v>80</v>
      </c>
      <c r="I474" s="1" t="n">
        <v>4237</v>
      </c>
      <c r="J474" s="1" t="n">
        <v>100007</v>
      </c>
      <c r="K474" s="1" t="n">
        <v>8</v>
      </c>
      <c r="L474" s="1" t="s">
        <v>2455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5" t="n">
        <v>46178</v>
      </c>
      <c r="C475" s="1" t="n">
        <v>22</v>
      </c>
      <c r="D475" s="1" t="s">
        <v>2436</v>
      </c>
      <c r="E475" s="1" t="n">
        <v>42</v>
      </c>
      <c r="F475" s="1" t="s">
        <v>80</v>
      </c>
      <c r="I475" s="1" t="n">
        <v>4237</v>
      </c>
      <c r="J475" s="1" t="n">
        <v>100008</v>
      </c>
      <c r="K475" s="1" t="n">
        <v>9</v>
      </c>
      <c r="L475" s="1" t="s">
        <v>2438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5" t="n">
        <v>46178</v>
      </c>
      <c r="C476" s="1" t="n">
        <v>22</v>
      </c>
      <c r="D476" s="1" t="s">
        <v>2436</v>
      </c>
      <c r="E476" s="1" t="n">
        <v>42</v>
      </c>
      <c r="F476" s="1" t="s">
        <v>80</v>
      </c>
      <c r="I476" s="1" t="n">
        <v>4237</v>
      </c>
      <c r="J476" s="1" t="n">
        <v>100010</v>
      </c>
      <c r="K476" s="1" t="n">
        <v>11</v>
      </c>
      <c r="L476" s="1" t="s">
        <v>2439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5" t="n">
        <v>46178</v>
      </c>
      <c r="C477" s="1" t="n">
        <v>22</v>
      </c>
      <c r="D477" s="1" t="s">
        <v>2436</v>
      </c>
      <c r="E477" s="1" t="n">
        <v>42</v>
      </c>
      <c r="F477" s="1" t="s">
        <v>80</v>
      </c>
      <c r="I477" s="1" t="n">
        <v>4237</v>
      </c>
      <c r="J477" s="1" t="n">
        <v>100011</v>
      </c>
      <c r="K477" s="1" t="n">
        <v>12</v>
      </c>
      <c r="L477" s="1" t="s">
        <v>2440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5" t="n">
        <v>46178</v>
      </c>
      <c r="C478" s="1" t="n">
        <v>22</v>
      </c>
      <c r="D478" s="1" t="s">
        <v>2436</v>
      </c>
      <c r="E478" s="1" t="n">
        <v>42</v>
      </c>
      <c r="F478" s="1" t="s">
        <v>80</v>
      </c>
      <c r="I478" s="1" t="n">
        <v>4237</v>
      </c>
      <c r="J478" s="1" t="n">
        <v>100012</v>
      </c>
      <c r="K478" s="1" t="n">
        <v>13</v>
      </c>
      <c r="L478" s="1" t="s">
        <v>2441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5" t="n">
        <v>46178</v>
      </c>
      <c r="C479" s="1" t="n">
        <v>22</v>
      </c>
      <c r="D479" s="1" t="s">
        <v>2436</v>
      </c>
      <c r="E479" s="1" t="n">
        <v>42</v>
      </c>
      <c r="F479" s="1" t="s">
        <v>80</v>
      </c>
      <c r="I479" s="1" t="n">
        <v>4237</v>
      </c>
      <c r="J479" s="1" t="n">
        <v>100013</v>
      </c>
      <c r="K479" s="1" t="n">
        <v>14</v>
      </c>
      <c r="L479" s="1" t="s">
        <v>2442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5" t="n">
        <v>46178</v>
      </c>
      <c r="C480" s="1" t="n">
        <v>22</v>
      </c>
      <c r="D480" s="1" t="s">
        <v>2436</v>
      </c>
      <c r="E480" s="1" t="n">
        <v>42</v>
      </c>
      <c r="F480" s="1" t="s">
        <v>80</v>
      </c>
      <c r="I480" s="1" t="n">
        <v>4237</v>
      </c>
      <c r="J480" s="1" t="n">
        <v>100014</v>
      </c>
      <c r="K480" s="1" t="n">
        <v>15</v>
      </c>
      <c r="L480" s="1" t="s">
        <v>2443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5" t="n">
        <v>46178</v>
      </c>
      <c r="C481" s="1" t="n">
        <v>22</v>
      </c>
      <c r="D481" s="1" t="s">
        <v>2436</v>
      </c>
      <c r="E481" s="1" t="n">
        <v>42</v>
      </c>
      <c r="F481" s="1" t="s">
        <v>80</v>
      </c>
      <c r="I481" s="1" t="n">
        <v>4237</v>
      </c>
      <c r="J481" s="1" t="n">
        <v>100015</v>
      </c>
      <c r="K481" s="1" t="n">
        <v>16</v>
      </c>
      <c r="L481" s="1" t="s">
        <v>2444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5" t="n">
        <v>46178</v>
      </c>
      <c r="C482" s="1" t="n">
        <v>22</v>
      </c>
      <c r="D482" s="1" t="s">
        <v>2436</v>
      </c>
      <c r="E482" s="1" t="n">
        <v>42</v>
      </c>
      <c r="F482" s="1" t="s">
        <v>80</v>
      </c>
      <c r="I482" s="1" t="n">
        <v>4237</v>
      </c>
      <c r="J482" s="1" t="n">
        <v>100016</v>
      </c>
      <c r="K482" s="1" t="n">
        <v>17</v>
      </c>
      <c r="L482" s="1" t="s">
        <v>2445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5" t="n">
        <v>46178</v>
      </c>
      <c r="C483" s="1" t="n">
        <v>22</v>
      </c>
      <c r="D483" s="1" t="s">
        <v>2436</v>
      </c>
      <c r="E483" s="1" t="n">
        <v>42</v>
      </c>
      <c r="F483" s="1" t="s">
        <v>80</v>
      </c>
      <c r="I483" s="1" t="n">
        <v>4237</v>
      </c>
      <c r="J483" s="1" t="n">
        <v>100017</v>
      </c>
      <c r="K483" s="1" t="n">
        <v>18</v>
      </c>
      <c r="L483" s="1" t="s">
        <v>2446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5" t="n">
        <v>46178</v>
      </c>
      <c r="C484" s="1" t="n">
        <v>22</v>
      </c>
      <c r="D484" s="1" t="s">
        <v>2436</v>
      </c>
      <c r="E484" s="1" t="n">
        <v>42</v>
      </c>
      <c r="F484" s="1" t="s">
        <v>80</v>
      </c>
      <c r="I484" s="1" t="n">
        <v>4237</v>
      </c>
      <c r="J484" s="1" t="n">
        <v>100020</v>
      </c>
      <c r="K484" s="1" t="n">
        <v>21</v>
      </c>
      <c r="L484" s="1" t="s">
        <v>2456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5" t="n">
        <v>46178</v>
      </c>
      <c r="C485" s="1" t="n">
        <v>22</v>
      </c>
      <c r="D485" s="1" t="s">
        <v>2436</v>
      </c>
      <c r="E485" s="1" t="n">
        <v>42</v>
      </c>
      <c r="F485" s="1" t="s">
        <v>80</v>
      </c>
      <c r="I485" s="1" t="n">
        <v>4237</v>
      </c>
      <c r="J485" s="1" t="n">
        <v>100638</v>
      </c>
      <c r="K485" s="1" t="n">
        <v>508</v>
      </c>
      <c r="L485" s="1" t="s">
        <v>2448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5" t="n">
        <v>46178</v>
      </c>
      <c r="C486" s="1" t="n">
        <v>22</v>
      </c>
      <c r="D486" s="1" t="s">
        <v>2436</v>
      </c>
      <c r="E486" s="1" t="n">
        <v>42</v>
      </c>
      <c r="F486" s="1" t="s">
        <v>80</v>
      </c>
      <c r="I486" s="1" t="n">
        <v>4237</v>
      </c>
      <c r="J486" s="1" t="n">
        <v>100638</v>
      </c>
      <c r="K486" s="1" t="n">
        <v>508</v>
      </c>
      <c r="L486" s="1" t="s">
        <v>2448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5" t="n">
        <v>46178</v>
      </c>
      <c r="C487" s="1" t="n">
        <v>22</v>
      </c>
      <c r="D487" s="1" t="s">
        <v>2436</v>
      </c>
      <c r="E487" s="1" t="n">
        <v>42</v>
      </c>
      <c r="F487" s="1" t="s">
        <v>80</v>
      </c>
      <c r="I487" s="1" t="n">
        <v>4237</v>
      </c>
      <c r="J487" s="1" t="n">
        <v>100520</v>
      </c>
      <c r="K487" s="1" t="n">
        <v>507</v>
      </c>
      <c r="L487" s="1" t="s">
        <v>2449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5" t="n">
        <v>46178</v>
      </c>
      <c r="C488" s="1" t="n">
        <v>22</v>
      </c>
      <c r="D488" s="1" t="s">
        <v>2436</v>
      </c>
      <c r="E488" s="1" t="n">
        <v>42</v>
      </c>
      <c r="F488" s="1" t="s">
        <v>80</v>
      </c>
      <c r="I488" s="1" t="n">
        <v>4237</v>
      </c>
      <c r="J488" s="1" t="n">
        <v>100520</v>
      </c>
      <c r="K488" s="1" t="n">
        <v>507</v>
      </c>
      <c r="L488" s="1" t="s">
        <v>2449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5" t="n">
        <v>46178</v>
      </c>
      <c r="C489" s="1" t="n">
        <v>22</v>
      </c>
      <c r="D489" s="1" t="s">
        <v>2436</v>
      </c>
      <c r="E489" s="1" t="n">
        <v>42</v>
      </c>
      <c r="F489" s="1" t="s">
        <v>80</v>
      </c>
      <c r="I489" s="1" t="n">
        <v>4237</v>
      </c>
      <c r="J489" s="1" t="n">
        <v>110455</v>
      </c>
      <c r="K489" s="1" t="n">
        <v>53212</v>
      </c>
      <c r="L489" s="1" t="s">
        <v>2450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5" t="n">
        <v>46178</v>
      </c>
      <c r="C490" s="1" t="n">
        <v>22</v>
      </c>
      <c r="D490" s="1" t="s">
        <v>2436</v>
      </c>
      <c r="E490" s="1" t="n">
        <v>42</v>
      </c>
      <c r="F490" s="1" t="s">
        <v>80</v>
      </c>
      <c r="I490" s="1" t="n">
        <v>4237</v>
      </c>
      <c r="J490" s="1" t="n">
        <v>110455</v>
      </c>
      <c r="K490" s="1" t="n">
        <v>53212</v>
      </c>
      <c r="L490" s="1" t="s">
        <v>2450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5" t="n">
        <v>46178</v>
      </c>
      <c r="C491" s="1" t="n">
        <v>22</v>
      </c>
      <c r="D491" s="1" t="s">
        <v>2436</v>
      </c>
      <c r="E491" s="1" t="n">
        <v>42</v>
      </c>
      <c r="F491" s="1" t="s">
        <v>80</v>
      </c>
      <c r="I491" s="1" t="n">
        <v>4239</v>
      </c>
      <c r="J491" s="1" t="n">
        <v>100006</v>
      </c>
      <c r="K491" s="1" t="n">
        <v>7</v>
      </c>
      <c r="L491" s="1" t="s">
        <v>2437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5" t="n">
        <v>46178</v>
      </c>
      <c r="C492" s="1" t="n">
        <v>22</v>
      </c>
      <c r="D492" s="1" t="s">
        <v>2436</v>
      </c>
      <c r="E492" s="1" t="n">
        <v>42</v>
      </c>
      <c r="F492" s="1" t="s">
        <v>80</v>
      </c>
      <c r="I492" s="1" t="n">
        <v>4239</v>
      </c>
      <c r="J492" s="1" t="n">
        <v>100010</v>
      </c>
      <c r="K492" s="1" t="n">
        <v>11</v>
      </c>
      <c r="L492" s="1" t="s">
        <v>2439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5" t="n">
        <v>46178</v>
      </c>
      <c r="C493" s="1" t="n">
        <v>22</v>
      </c>
      <c r="D493" s="1" t="s">
        <v>2436</v>
      </c>
      <c r="E493" s="1" t="n">
        <v>42</v>
      </c>
      <c r="F493" s="1" t="s">
        <v>80</v>
      </c>
      <c r="I493" s="1" t="n">
        <v>4239</v>
      </c>
      <c r="J493" s="1" t="n">
        <v>100011</v>
      </c>
      <c r="K493" s="1" t="n">
        <v>12</v>
      </c>
      <c r="L493" s="1" t="s">
        <v>2440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5" t="n">
        <v>46178</v>
      </c>
      <c r="C494" s="1" t="n">
        <v>22</v>
      </c>
      <c r="D494" s="1" t="s">
        <v>2436</v>
      </c>
      <c r="E494" s="1" t="n">
        <v>42</v>
      </c>
      <c r="F494" s="1" t="s">
        <v>80</v>
      </c>
      <c r="I494" s="1" t="n">
        <v>4239</v>
      </c>
      <c r="J494" s="1" t="n">
        <v>100012</v>
      </c>
      <c r="K494" s="1" t="n">
        <v>13</v>
      </c>
      <c r="L494" s="1" t="s">
        <v>2441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5" t="n">
        <v>46178</v>
      </c>
      <c r="C495" s="1" t="n">
        <v>22</v>
      </c>
      <c r="D495" s="1" t="s">
        <v>2436</v>
      </c>
      <c r="E495" s="1" t="n">
        <v>42</v>
      </c>
      <c r="F495" s="1" t="s">
        <v>80</v>
      </c>
      <c r="I495" s="1" t="n">
        <v>4239</v>
      </c>
      <c r="J495" s="1" t="n">
        <v>100013</v>
      </c>
      <c r="K495" s="1" t="n">
        <v>14</v>
      </c>
      <c r="L495" s="1" t="s">
        <v>2442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5" t="n">
        <v>46178</v>
      </c>
      <c r="C496" s="1" t="n">
        <v>22</v>
      </c>
      <c r="D496" s="1" t="s">
        <v>2436</v>
      </c>
      <c r="E496" s="1" t="n">
        <v>42</v>
      </c>
      <c r="F496" s="1" t="s">
        <v>80</v>
      </c>
      <c r="I496" s="1" t="n">
        <v>4239</v>
      </c>
      <c r="J496" s="1" t="n">
        <v>100014</v>
      </c>
      <c r="K496" s="1" t="n">
        <v>15</v>
      </c>
      <c r="L496" s="1" t="s">
        <v>2443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5" t="n">
        <v>46178</v>
      </c>
      <c r="C497" s="1" t="n">
        <v>22</v>
      </c>
      <c r="D497" s="1" t="s">
        <v>2436</v>
      </c>
      <c r="E497" s="1" t="n">
        <v>42</v>
      </c>
      <c r="F497" s="1" t="s">
        <v>80</v>
      </c>
      <c r="I497" s="1" t="n">
        <v>4239</v>
      </c>
      <c r="J497" s="1" t="n">
        <v>100015</v>
      </c>
      <c r="K497" s="1" t="n">
        <v>16</v>
      </c>
      <c r="L497" s="1" t="s">
        <v>2444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5" t="n">
        <v>46178</v>
      </c>
      <c r="C498" s="1" t="n">
        <v>22</v>
      </c>
      <c r="D498" s="1" t="s">
        <v>2436</v>
      </c>
      <c r="E498" s="1" t="n">
        <v>42</v>
      </c>
      <c r="F498" s="1" t="s">
        <v>80</v>
      </c>
      <c r="I498" s="1" t="n">
        <v>4239</v>
      </c>
      <c r="J498" s="1" t="n">
        <v>100017</v>
      </c>
      <c r="K498" s="1" t="n">
        <v>18</v>
      </c>
      <c r="L498" s="1" t="s">
        <v>2446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5" t="n">
        <v>46178</v>
      </c>
      <c r="C499" s="1" t="n">
        <v>22</v>
      </c>
      <c r="D499" s="1" t="s">
        <v>2436</v>
      </c>
      <c r="E499" s="1" t="n">
        <v>42</v>
      </c>
      <c r="F499" s="1" t="s">
        <v>80</v>
      </c>
      <c r="I499" s="1" t="n">
        <v>4239</v>
      </c>
      <c r="J499" s="1" t="n">
        <v>100638</v>
      </c>
      <c r="K499" s="1" t="n">
        <v>508</v>
      </c>
      <c r="L499" s="1" t="s">
        <v>2448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5" t="n">
        <v>46178</v>
      </c>
      <c r="C500" s="1" t="n">
        <v>22</v>
      </c>
      <c r="D500" s="1" t="s">
        <v>2436</v>
      </c>
      <c r="E500" s="1" t="n">
        <v>42</v>
      </c>
      <c r="F500" s="1" t="s">
        <v>80</v>
      </c>
      <c r="I500" s="1" t="n">
        <v>4239</v>
      </c>
      <c r="J500" s="1" t="n">
        <v>100520</v>
      </c>
      <c r="K500" s="1" t="n">
        <v>507</v>
      </c>
      <c r="L500" s="1" t="s">
        <v>2449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5" t="n">
        <v>46178</v>
      </c>
      <c r="C501" s="1" t="n">
        <v>22</v>
      </c>
      <c r="D501" s="1" t="s">
        <v>2436</v>
      </c>
      <c r="E501" s="1" t="n">
        <v>42</v>
      </c>
      <c r="F501" s="1" t="s">
        <v>80</v>
      </c>
      <c r="I501" s="1" t="n">
        <v>4239</v>
      </c>
      <c r="J501" s="1" t="n">
        <v>110455</v>
      </c>
      <c r="K501" s="1" t="n">
        <v>53212</v>
      </c>
      <c r="L501" s="1" t="s">
        <v>2450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5" t="n">
        <v>46178</v>
      </c>
      <c r="C502" s="1" t="n">
        <v>39</v>
      </c>
      <c r="D502" s="1" t="s">
        <v>2515</v>
      </c>
      <c r="E502" s="1" t="n">
        <v>1679</v>
      </c>
      <c r="F502" s="1" t="s">
        <v>825</v>
      </c>
      <c r="I502" s="1" t="n">
        <v>15347</v>
      </c>
      <c r="J502" s="1" t="n">
        <v>79152</v>
      </c>
      <c r="K502" s="1" t="n">
        <v>791533</v>
      </c>
      <c r="L502" s="1" t="s">
        <v>2516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5" t="n">
        <v>46178</v>
      </c>
      <c r="C503" s="1" t="n">
        <v>100</v>
      </c>
      <c r="D503" s="1" t="s">
        <v>2457</v>
      </c>
      <c r="E503" s="1" t="n">
        <v>42</v>
      </c>
      <c r="F503" s="1" t="s">
        <v>80</v>
      </c>
      <c r="I503" s="1" t="n">
        <v>1206610</v>
      </c>
      <c r="J503" s="1" t="n">
        <v>100000</v>
      </c>
      <c r="K503" s="1" t="n">
        <v>1</v>
      </c>
      <c r="L503" s="1" t="s">
        <v>2451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5" t="n">
        <v>46178</v>
      </c>
      <c r="C504" s="1" t="n">
        <v>100</v>
      </c>
      <c r="D504" s="1" t="s">
        <v>2457</v>
      </c>
      <c r="E504" s="1" t="n">
        <v>42</v>
      </c>
      <c r="F504" s="1" t="s">
        <v>80</v>
      </c>
      <c r="I504" s="1" t="n">
        <v>1206610</v>
      </c>
      <c r="J504" s="1" t="n">
        <v>100006</v>
      </c>
      <c r="K504" s="1" t="n">
        <v>7</v>
      </c>
      <c r="L504" s="1" t="s">
        <v>2437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5" t="n">
        <v>46178</v>
      </c>
      <c r="C505" s="1" t="n">
        <v>100</v>
      </c>
      <c r="D505" s="1" t="s">
        <v>2457</v>
      </c>
      <c r="E505" s="1" t="n">
        <v>42</v>
      </c>
      <c r="F505" s="1" t="s">
        <v>80</v>
      </c>
      <c r="I505" s="1" t="n">
        <v>1206610</v>
      </c>
      <c r="J505" s="1" t="n">
        <v>100010</v>
      </c>
      <c r="K505" s="1" t="n">
        <v>11</v>
      </c>
      <c r="L505" s="1" t="s">
        <v>2439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5" t="n">
        <v>46178</v>
      </c>
      <c r="C506" s="1" t="n">
        <v>100</v>
      </c>
      <c r="D506" s="1" t="s">
        <v>2457</v>
      </c>
      <c r="E506" s="1" t="n">
        <v>42</v>
      </c>
      <c r="F506" s="1" t="s">
        <v>80</v>
      </c>
      <c r="I506" s="1" t="n">
        <v>1206610</v>
      </c>
      <c r="J506" s="1" t="n">
        <v>100011</v>
      </c>
      <c r="K506" s="1" t="n">
        <v>12</v>
      </c>
      <c r="L506" s="1" t="s">
        <v>2440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5" t="n">
        <v>46178</v>
      </c>
      <c r="C507" s="1" t="n">
        <v>100</v>
      </c>
      <c r="D507" s="1" t="s">
        <v>2457</v>
      </c>
      <c r="E507" s="1" t="n">
        <v>42</v>
      </c>
      <c r="F507" s="1" t="s">
        <v>80</v>
      </c>
      <c r="I507" s="1" t="n">
        <v>1206610</v>
      </c>
      <c r="J507" s="1" t="n">
        <v>100012</v>
      </c>
      <c r="K507" s="1" t="n">
        <v>13</v>
      </c>
      <c r="L507" s="1" t="s">
        <v>2441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5" t="n">
        <v>46178</v>
      </c>
      <c r="C508" s="1" t="n">
        <v>100</v>
      </c>
      <c r="D508" s="1" t="s">
        <v>2457</v>
      </c>
      <c r="E508" s="1" t="n">
        <v>42</v>
      </c>
      <c r="F508" s="1" t="s">
        <v>80</v>
      </c>
      <c r="I508" s="1" t="n">
        <v>1206610</v>
      </c>
      <c r="J508" s="1" t="n">
        <v>100013</v>
      </c>
      <c r="K508" s="1" t="n">
        <v>14</v>
      </c>
      <c r="L508" s="1" t="s">
        <v>2442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5" t="n">
        <v>46178</v>
      </c>
      <c r="C509" s="1" t="n">
        <v>100</v>
      </c>
      <c r="D509" s="1" t="s">
        <v>2457</v>
      </c>
      <c r="E509" s="1" t="n">
        <v>42</v>
      </c>
      <c r="F509" s="1" t="s">
        <v>80</v>
      </c>
      <c r="I509" s="1" t="n">
        <v>1206610</v>
      </c>
      <c r="J509" s="1" t="n">
        <v>100014</v>
      </c>
      <c r="K509" s="1" t="n">
        <v>15</v>
      </c>
      <c r="L509" s="1" t="s">
        <v>2443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5" t="n">
        <v>46178</v>
      </c>
      <c r="C510" s="1" t="n">
        <v>100</v>
      </c>
      <c r="D510" s="1" t="s">
        <v>2457</v>
      </c>
      <c r="E510" s="1" t="n">
        <v>42</v>
      </c>
      <c r="F510" s="1" t="s">
        <v>80</v>
      </c>
      <c r="I510" s="1" t="n">
        <v>1206610</v>
      </c>
      <c r="J510" s="1" t="n">
        <v>100015</v>
      </c>
      <c r="K510" s="1" t="n">
        <v>16</v>
      </c>
      <c r="L510" s="1" t="s">
        <v>2444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5" t="n">
        <v>46178</v>
      </c>
      <c r="C511" s="1" t="n">
        <v>100</v>
      </c>
      <c r="D511" s="1" t="s">
        <v>2457</v>
      </c>
      <c r="E511" s="1" t="n">
        <v>42</v>
      </c>
      <c r="F511" s="1" t="s">
        <v>80</v>
      </c>
      <c r="I511" s="1" t="n">
        <v>1206610</v>
      </c>
      <c r="J511" s="1" t="n">
        <v>100017</v>
      </c>
      <c r="K511" s="1" t="n">
        <v>18</v>
      </c>
      <c r="L511" s="1" t="s">
        <v>2446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5" t="n">
        <v>46178</v>
      </c>
      <c r="C512" s="1" t="n">
        <v>100</v>
      </c>
      <c r="D512" s="1" t="s">
        <v>2457</v>
      </c>
      <c r="E512" s="1" t="n">
        <v>42</v>
      </c>
      <c r="F512" s="1" t="s">
        <v>80</v>
      </c>
      <c r="I512" s="1" t="n">
        <v>1206610</v>
      </c>
      <c r="J512" s="1" t="n">
        <v>100638</v>
      </c>
      <c r="K512" s="1" t="n">
        <v>508</v>
      </c>
      <c r="L512" s="1" t="s">
        <v>2448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5" t="n">
        <v>46178</v>
      </c>
      <c r="C513" s="1" t="n">
        <v>100</v>
      </c>
      <c r="D513" s="1" t="s">
        <v>2457</v>
      </c>
      <c r="E513" s="1" t="n">
        <v>42</v>
      </c>
      <c r="F513" s="1" t="s">
        <v>80</v>
      </c>
      <c r="I513" s="1" t="n">
        <v>1206610</v>
      </c>
      <c r="J513" s="1" t="n">
        <v>100520</v>
      </c>
      <c r="K513" s="1" t="n">
        <v>507</v>
      </c>
      <c r="L513" s="1" t="s">
        <v>2449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5" t="n">
        <v>46178</v>
      </c>
      <c r="C514" s="1" t="n">
        <v>100</v>
      </c>
      <c r="D514" s="1" t="s">
        <v>2457</v>
      </c>
      <c r="E514" s="1" t="n">
        <v>42</v>
      </c>
      <c r="F514" s="1" t="s">
        <v>80</v>
      </c>
      <c r="I514" s="1" t="n">
        <v>1206610</v>
      </c>
      <c r="J514" s="1" t="n">
        <v>110455</v>
      </c>
      <c r="K514" s="1" t="n">
        <v>53212</v>
      </c>
      <c r="L514" s="1" t="s">
        <v>2450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5" t="n">
        <v>46178</v>
      </c>
      <c r="C515" s="1" t="n">
        <v>100</v>
      </c>
      <c r="D515" s="1" t="s">
        <v>2457</v>
      </c>
      <c r="E515" s="1" t="n">
        <v>42</v>
      </c>
      <c r="F515" s="1" t="s">
        <v>80</v>
      </c>
      <c r="I515" s="1" t="n">
        <v>1206680</v>
      </c>
      <c r="J515" s="1" t="n">
        <v>100000</v>
      </c>
      <c r="K515" s="1" t="n">
        <v>1</v>
      </c>
      <c r="L515" s="1" t="s">
        <v>2451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5" t="n">
        <v>46178</v>
      </c>
      <c r="C516" s="1" t="n">
        <v>100</v>
      </c>
      <c r="D516" s="1" t="s">
        <v>2457</v>
      </c>
      <c r="E516" s="1" t="n">
        <v>42</v>
      </c>
      <c r="F516" s="1" t="s">
        <v>80</v>
      </c>
      <c r="I516" s="1" t="n">
        <v>1206680</v>
      </c>
      <c r="J516" s="1" t="n">
        <v>100001</v>
      </c>
      <c r="K516" s="1" t="n">
        <v>2</v>
      </c>
      <c r="L516" s="1" t="s">
        <v>2452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5" t="n">
        <v>46178</v>
      </c>
      <c r="C517" s="1" t="n">
        <v>100</v>
      </c>
      <c r="D517" s="1" t="s">
        <v>2457</v>
      </c>
      <c r="E517" s="1" t="n">
        <v>42</v>
      </c>
      <c r="F517" s="1" t="s">
        <v>80</v>
      </c>
      <c r="I517" s="1" t="n">
        <v>1206680</v>
      </c>
      <c r="J517" s="1" t="n">
        <v>100002</v>
      </c>
      <c r="K517" s="1" t="n">
        <v>3</v>
      </c>
      <c r="L517" s="1" t="s">
        <v>2453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5" t="n">
        <v>46178</v>
      </c>
      <c r="C518" s="1" t="n">
        <v>100</v>
      </c>
      <c r="D518" s="1" t="s">
        <v>2457</v>
      </c>
      <c r="E518" s="1" t="n">
        <v>42</v>
      </c>
      <c r="F518" s="1" t="s">
        <v>80</v>
      </c>
      <c r="I518" s="1" t="n">
        <v>1206680</v>
      </c>
      <c r="J518" s="1" t="n">
        <v>100003</v>
      </c>
      <c r="K518" s="1" t="n">
        <v>4</v>
      </c>
      <c r="L518" s="1" t="s">
        <v>2454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5" t="n">
        <v>46178</v>
      </c>
      <c r="C519" s="1" t="n">
        <v>100</v>
      </c>
      <c r="D519" s="1" t="s">
        <v>2457</v>
      </c>
      <c r="E519" s="1" t="n">
        <v>42</v>
      </c>
      <c r="F519" s="1" t="s">
        <v>80</v>
      </c>
      <c r="I519" s="1" t="n">
        <v>1206680</v>
      </c>
      <c r="J519" s="1" t="n">
        <v>100007</v>
      </c>
      <c r="K519" s="1" t="n">
        <v>8</v>
      </c>
      <c r="L519" s="1" t="s">
        <v>2455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5" t="n">
        <v>46178</v>
      </c>
      <c r="C520" s="1" t="n">
        <v>100</v>
      </c>
      <c r="D520" s="1" t="s">
        <v>2457</v>
      </c>
      <c r="E520" s="1" t="n">
        <v>42</v>
      </c>
      <c r="F520" s="1" t="s">
        <v>80</v>
      </c>
      <c r="I520" s="1" t="n">
        <v>1206680</v>
      </c>
      <c r="J520" s="1" t="n">
        <v>100638</v>
      </c>
      <c r="K520" s="1" t="n">
        <v>508</v>
      </c>
      <c r="L520" s="1" t="s">
        <v>2448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5" t="n">
        <v>46178</v>
      </c>
      <c r="C521" s="1" t="n">
        <v>100</v>
      </c>
      <c r="D521" s="1" t="s">
        <v>2457</v>
      </c>
      <c r="E521" s="1" t="n">
        <v>42</v>
      </c>
      <c r="F521" s="1" t="s">
        <v>80</v>
      </c>
      <c r="I521" s="1" t="n">
        <v>1206680</v>
      </c>
      <c r="J521" s="1" t="n">
        <v>100520</v>
      </c>
      <c r="K521" s="1" t="n">
        <v>507</v>
      </c>
      <c r="L521" s="1" t="s">
        <v>2449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5" t="n">
        <v>46178</v>
      </c>
      <c r="C522" s="1" t="n">
        <v>100</v>
      </c>
      <c r="D522" s="1" t="s">
        <v>2457</v>
      </c>
      <c r="E522" s="1" t="n">
        <v>42</v>
      </c>
      <c r="F522" s="1" t="s">
        <v>80</v>
      </c>
      <c r="I522" s="1" t="n">
        <v>1206680</v>
      </c>
      <c r="J522" s="1" t="n">
        <v>110455</v>
      </c>
      <c r="K522" s="1" t="n">
        <v>53212</v>
      </c>
      <c r="L522" s="1" t="s">
        <v>2450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5" t="n">
        <v>46178</v>
      </c>
      <c r="C523" s="1" t="n">
        <v>100</v>
      </c>
      <c r="D523" s="1" t="s">
        <v>2457</v>
      </c>
      <c r="E523" s="1" t="n">
        <v>42</v>
      </c>
      <c r="F523" s="1" t="s">
        <v>80</v>
      </c>
      <c r="I523" s="1" t="n">
        <v>1206683</v>
      </c>
      <c r="J523" s="1" t="n">
        <v>100000</v>
      </c>
      <c r="K523" s="1" t="n">
        <v>1</v>
      </c>
      <c r="L523" s="1" t="s">
        <v>2451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5" t="n">
        <v>46178</v>
      </c>
      <c r="C524" s="1" t="n">
        <v>100</v>
      </c>
      <c r="D524" s="1" t="s">
        <v>2457</v>
      </c>
      <c r="E524" s="1" t="n">
        <v>42</v>
      </c>
      <c r="F524" s="1" t="s">
        <v>80</v>
      </c>
      <c r="I524" s="1" t="n">
        <v>1206683</v>
      </c>
      <c r="J524" s="1" t="n">
        <v>100006</v>
      </c>
      <c r="K524" s="1" t="n">
        <v>7</v>
      </c>
      <c r="L524" s="1" t="s">
        <v>2437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5" t="n">
        <v>46178</v>
      </c>
      <c r="C525" s="1" t="n">
        <v>100</v>
      </c>
      <c r="D525" s="1" t="s">
        <v>2457</v>
      </c>
      <c r="E525" s="1" t="n">
        <v>42</v>
      </c>
      <c r="F525" s="1" t="s">
        <v>80</v>
      </c>
      <c r="I525" s="1" t="n">
        <v>1206683</v>
      </c>
      <c r="J525" s="1" t="n">
        <v>100008</v>
      </c>
      <c r="K525" s="1" t="n">
        <v>9</v>
      </c>
      <c r="L525" s="1" t="s">
        <v>2438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5" t="n">
        <v>46178</v>
      </c>
      <c r="C526" s="1" t="n">
        <v>100</v>
      </c>
      <c r="D526" s="1" t="s">
        <v>2457</v>
      </c>
      <c r="E526" s="1" t="n">
        <v>42</v>
      </c>
      <c r="F526" s="1" t="s">
        <v>80</v>
      </c>
      <c r="I526" s="1" t="n">
        <v>1206683</v>
      </c>
      <c r="J526" s="1" t="n">
        <v>100010</v>
      </c>
      <c r="K526" s="1" t="n">
        <v>11</v>
      </c>
      <c r="L526" s="1" t="s">
        <v>2439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5" t="n">
        <v>46178</v>
      </c>
      <c r="C527" s="1" t="n">
        <v>100</v>
      </c>
      <c r="D527" s="1" t="s">
        <v>2457</v>
      </c>
      <c r="E527" s="1" t="n">
        <v>42</v>
      </c>
      <c r="F527" s="1" t="s">
        <v>80</v>
      </c>
      <c r="I527" s="1" t="n">
        <v>1206683</v>
      </c>
      <c r="J527" s="1" t="n">
        <v>100011</v>
      </c>
      <c r="K527" s="1" t="n">
        <v>12</v>
      </c>
      <c r="L527" s="1" t="s">
        <v>2440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5" t="n">
        <v>46178</v>
      </c>
      <c r="C528" s="1" t="n">
        <v>100</v>
      </c>
      <c r="D528" s="1" t="s">
        <v>2457</v>
      </c>
      <c r="E528" s="1" t="n">
        <v>42</v>
      </c>
      <c r="F528" s="1" t="s">
        <v>80</v>
      </c>
      <c r="I528" s="1" t="n">
        <v>1206683</v>
      </c>
      <c r="J528" s="1" t="n">
        <v>100012</v>
      </c>
      <c r="K528" s="1" t="n">
        <v>13</v>
      </c>
      <c r="L528" s="1" t="s">
        <v>2441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5" t="n">
        <v>46178</v>
      </c>
      <c r="C529" s="1" t="n">
        <v>100</v>
      </c>
      <c r="D529" s="1" t="s">
        <v>2457</v>
      </c>
      <c r="E529" s="1" t="n">
        <v>42</v>
      </c>
      <c r="F529" s="1" t="s">
        <v>80</v>
      </c>
      <c r="I529" s="1" t="n">
        <v>1206683</v>
      </c>
      <c r="J529" s="1" t="n">
        <v>100013</v>
      </c>
      <c r="K529" s="1" t="n">
        <v>14</v>
      </c>
      <c r="L529" s="1" t="s">
        <v>2442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5" t="n">
        <v>46178</v>
      </c>
      <c r="C530" s="1" t="n">
        <v>100</v>
      </c>
      <c r="D530" s="1" t="s">
        <v>2457</v>
      </c>
      <c r="E530" s="1" t="n">
        <v>42</v>
      </c>
      <c r="F530" s="1" t="s">
        <v>80</v>
      </c>
      <c r="I530" s="1" t="n">
        <v>1206683</v>
      </c>
      <c r="J530" s="1" t="n">
        <v>100014</v>
      </c>
      <c r="K530" s="1" t="n">
        <v>15</v>
      </c>
      <c r="L530" s="1" t="s">
        <v>2443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5" t="n">
        <v>46178</v>
      </c>
      <c r="C531" s="1" t="n">
        <v>100</v>
      </c>
      <c r="D531" s="1" t="s">
        <v>2457</v>
      </c>
      <c r="E531" s="1" t="n">
        <v>42</v>
      </c>
      <c r="F531" s="1" t="s">
        <v>80</v>
      </c>
      <c r="I531" s="1" t="n">
        <v>1206683</v>
      </c>
      <c r="J531" s="1" t="n">
        <v>100015</v>
      </c>
      <c r="K531" s="1" t="n">
        <v>16</v>
      </c>
      <c r="L531" s="1" t="s">
        <v>2444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5" t="n">
        <v>46178</v>
      </c>
      <c r="C532" s="1" t="n">
        <v>100</v>
      </c>
      <c r="D532" s="1" t="s">
        <v>2457</v>
      </c>
      <c r="E532" s="1" t="n">
        <v>42</v>
      </c>
      <c r="F532" s="1" t="s">
        <v>80</v>
      </c>
      <c r="I532" s="1" t="n">
        <v>1206683</v>
      </c>
      <c r="J532" s="1" t="n">
        <v>100016</v>
      </c>
      <c r="K532" s="1" t="n">
        <v>17</v>
      </c>
      <c r="L532" s="1" t="s">
        <v>2445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5" t="n">
        <v>46178</v>
      </c>
      <c r="C533" s="1" t="n">
        <v>100</v>
      </c>
      <c r="D533" s="1" t="s">
        <v>2457</v>
      </c>
      <c r="E533" s="1" t="n">
        <v>42</v>
      </c>
      <c r="F533" s="1" t="s">
        <v>80</v>
      </c>
      <c r="I533" s="1" t="n">
        <v>1206683</v>
      </c>
      <c r="J533" s="1" t="n">
        <v>100017</v>
      </c>
      <c r="K533" s="1" t="n">
        <v>18</v>
      </c>
      <c r="L533" s="1" t="s">
        <v>2446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5" t="n">
        <v>46178</v>
      </c>
      <c r="C534" s="1" t="n">
        <v>100</v>
      </c>
      <c r="D534" s="1" t="s">
        <v>2457</v>
      </c>
      <c r="E534" s="1" t="n">
        <v>42</v>
      </c>
      <c r="F534" s="1" t="s">
        <v>80</v>
      </c>
      <c r="I534" s="1" t="n">
        <v>1206683</v>
      </c>
      <c r="J534" s="1" t="n">
        <v>100020</v>
      </c>
      <c r="K534" s="1" t="n">
        <v>21</v>
      </c>
      <c r="L534" s="1" t="s">
        <v>2456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5" t="n">
        <v>46178</v>
      </c>
      <c r="C535" s="1" t="n">
        <v>100</v>
      </c>
      <c r="D535" s="1" t="s">
        <v>2457</v>
      </c>
      <c r="E535" s="1" t="n">
        <v>42</v>
      </c>
      <c r="F535" s="1" t="s">
        <v>80</v>
      </c>
      <c r="I535" s="1" t="n">
        <v>1206683</v>
      </c>
      <c r="J535" s="1" t="n">
        <v>100638</v>
      </c>
      <c r="K535" s="1" t="n">
        <v>508</v>
      </c>
      <c r="L535" s="1" t="s">
        <v>2448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5" t="n">
        <v>46178</v>
      </c>
      <c r="C536" s="1" t="n">
        <v>100</v>
      </c>
      <c r="D536" s="1" t="s">
        <v>2457</v>
      </c>
      <c r="E536" s="1" t="n">
        <v>42</v>
      </c>
      <c r="F536" s="1" t="s">
        <v>80</v>
      </c>
      <c r="I536" s="1" t="n">
        <v>1206683</v>
      </c>
      <c r="J536" s="1" t="n">
        <v>100520</v>
      </c>
      <c r="K536" s="1" t="n">
        <v>507</v>
      </c>
      <c r="L536" s="1" t="s">
        <v>2449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5" t="n">
        <v>46178</v>
      </c>
      <c r="C537" s="1" t="n">
        <v>100</v>
      </c>
      <c r="D537" s="1" t="s">
        <v>2457</v>
      </c>
      <c r="E537" s="1" t="n">
        <v>42</v>
      </c>
      <c r="F537" s="1" t="s">
        <v>80</v>
      </c>
      <c r="I537" s="1" t="n">
        <v>1206683</v>
      </c>
      <c r="J537" s="1" t="n">
        <v>110455</v>
      </c>
      <c r="K537" s="1" t="n">
        <v>53212</v>
      </c>
      <c r="L537" s="1" t="s">
        <v>2450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5" t="n">
        <v>46178</v>
      </c>
      <c r="C538" s="1" t="n">
        <v>100</v>
      </c>
      <c r="D538" s="1" t="s">
        <v>2457</v>
      </c>
      <c r="E538" s="1" t="n">
        <v>42</v>
      </c>
      <c r="F538" s="1" t="s">
        <v>80</v>
      </c>
      <c r="I538" s="1" t="n">
        <v>1206735</v>
      </c>
      <c r="J538" s="1" t="n">
        <v>100006</v>
      </c>
      <c r="K538" s="1" t="n">
        <v>7</v>
      </c>
      <c r="L538" s="1" t="s">
        <v>2437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5" t="n">
        <v>46178</v>
      </c>
      <c r="C539" s="1" t="n">
        <v>100</v>
      </c>
      <c r="D539" s="1" t="s">
        <v>2457</v>
      </c>
      <c r="E539" s="1" t="n">
        <v>42</v>
      </c>
      <c r="F539" s="1" t="s">
        <v>80</v>
      </c>
      <c r="I539" s="1" t="n">
        <v>1206735</v>
      </c>
      <c r="J539" s="1" t="n">
        <v>100010</v>
      </c>
      <c r="K539" s="1" t="n">
        <v>11</v>
      </c>
      <c r="L539" s="1" t="s">
        <v>2439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5" t="n">
        <v>46178</v>
      </c>
      <c r="C540" s="1" t="n">
        <v>100</v>
      </c>
      <c r="D540" s="1" t="s">
        <v>2457</v>
      </c>
      <c r="E540" s="1" t="n">
        <v>42</v>
      </c>
      <c r="F540" s="1" t="s">
        <v>80</v>
      </c>
      <c r="I540" s="1" t="n">
        <v>1206735</v>
      </c>
      <c r="J540" s="1" t="n">
        <v>100011</v>
      </c>
      <c r="K540" s="1" t="n">
        <v>12</v>
      </c>
      <c r="L540" s="1" t="s">
        <v>2440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5" t="n">
        <v>46178</v>
      </c>
      <c r="C541" s="1" t="n">
        <v>100</v>
      </c>
      <c r="D541" s="1" t="s">
        <v>2457</v>
      </c>
      <c r="E541" s="1" t="n">
        <v>42</v>
      </c>
      <c r="F541" s="1" t="s">
        <v>80</v>
      </c>
      <c r="I541" s="1" t="n">
        <v>1206735</v>
      </c>
      <c r="J541" s="1" t="n">
        <v>100012</v>
      </c>
      <c r="K541" s="1" t="n">
        <v>13</v>
      </c>
      <c r="L541" s="1" t="s">
        <v>2441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5" t="n">
        <v>46178</v>
      </c>
      <c r="C542" s="1" t="n">
        <v>100</v>
      </c>
      <c r="D542" s="1" t="s">
        <v>2457</v>
      </c>
      <c r="E542" s="1" t="n">
        <v>42</v>
      </c>
      <c r="F542" s="1" t="s">
        <v>80</v>
      </c>
      <c r="I542" s="1" t="n">
        <v>1206735</v>
      </c>
      <c r="J542" s="1" t="n">
        <v>100013</v>
      </c>
      <c r="K542" s="1" t="n">
        <v>14</v>
      </c>
      <c r="L542" s="1" t="s">
        <v>2442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5" t="n">
        <v>46178</v>
      </c>
      <c r="C543" s="1" t="n">
        <v>100</v>
      </c>
      <c r="D543" s="1" t="s">
        <v>2457</v>
      </c>
      <c r="E543" s="1" t="n">
        <v>42</v>
      </c>
      <c r="F543" s="1" t="s">
        <v>80</v>
      </c>
      <c r="I543" s="1" t="n">
        <v>1206735</v>
      </c>
      <c r="J543" s="1" t="n">
        <v>100014</v>
      </c>
      <c r="K543" s="1" t="n">
        <v>15</v>
      </c>
      <c r="L543" s="1" t="s">
        <v>2443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5" t="n">
        <v>46178</v>
      </c>
      <c r="C544" s="1" t="n">
        <v>100</v>
      </c>
      <c r="D544" s="1" t="s">
        <v>2457</v>
      </c>
      <c r="E544" s="1" t="n">
        <v>42</v>
      </c>
      <c r="F544" s="1" t="s">
        <v>80</v>
      </c>
      <c r="I544" s="1" t="n">
        <v>1206735</v>
      </c>
      <c r="J544" s="1" t="n">
        <v>100015</v>
      </c>
      <c r="K544" s="1" t="n">
        <v>16</v>
      </c>
      <c r="L544" s="1" t="s">
        <v>2444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5" t="n">
        <v>46178</v>
      </c>
      <c r="C545" s="1" t="n">
        <v>100</v>
      </c>
      <c r="D545" s="1" t="s">
        <v>2457</v>
      </c>
      <c r="E545" s="1" t="n">
        <v>42</v>
      </c>
      <c r="F545" s="1" t="s">
        <v>80</v>
      </c>
      <c r="I545" s="1" t="n">
        <v>1206735</v>
      </c>
      <c r="J545" s="1" t="n">
        <v>100017</v>
      </c>
      <c r="K545" s="1" t="n">
        <v>18</v>
      </c>
      <c r="L545" s="1" t="s">
        <v>2446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5" t="n">
        <v>46178</v>
      </c>
      <c r="C546" s="1" t="n">
        <v>100</v>
      </c>
      <c r="D546" s="1" t="s">
        <v>2457</v>
      </c>
      <c r="E546" s="1" t="n">
        <v>42</v>
      </c>
      <c r="F546" s="1" t="s">
        <v>80</v>
      </c>
      <c r="I546" s="1" t="n">
        <v>1206735</v>
      </c>
      <c r="J546" s="1" t="n">
        <v>100638</v>
      </c>
      <c r="K546" s="1" t="n">
        <v>508</v>
      </c>
      <c r="L546" s="1" t="s">
        <v>2448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5" t="n">
        <v>46178</v>
      </c>
      <c r="C547" s="1" t="n">
        <v>100</v>
      </c>
      <c r="D547" s="1" t="s">
        <v>2457</v>
      </c>
      <c r="E547" s="1" t="n">
        <v>42</v>
      </c>
      <c r="F547" s="1" t="s">
        <v>80</v>
      </c>
      <c r="I547" s="1" t="n">
        <v>1206735</v>
      </c>
      <c r="J547" s="1" t="n">
        <v>100520</v>
      </c>
      <c r="K547" s="1" t="n">
        <v>507</v>
      </c>
      <c r="L547" s="1" t="s">
        <v>2449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5" t="n">
        <v>46178</v>
      </c>
      <c r="C548" s="1" t="n">
        <v>100</v>
      </c>
      <c r="D548" s="1" t="s">
        <v>2457</v>
      </c>
      <c r="E548" s="1" t="n">
        <v>42</v>
      </c>
      <c r="F548" s="1" t="s">
        <v>80</v>
      </c>
      <c r="I548" s="1" t="n">
        <v>1206735</v>
      </c>
      <c r="J548" s="1" t="n">
        <v>110455</v>
      </c>
      <c r="K548" s="1" t="n">
        <v>53212</v>
      </c>
      <c r="L548" s="1" t="s">
        <v>2450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5" t="n">
        <v>46178</v>
      </c>
      <c r="C549" s="1" t="n">
        <v>171</v>
      </c>
      <c r="D549" s="1" t="s">
        <v>2517</v>
      </c>
      <c r="E549" s="1" t="n">
        <v>1740</v>
      </c>
      <c r="F549" s="1" t="s">
        <v>170</v>
      </c>
      <c r="I549" s="1" t="n">
        <v>1233422</v>
      </c>
      <c r="J549" s="1" t="n">
        <v>16644</v>
      </c>
      <c r="K549" s="1" t="n">
        <v>7891000084663</v>
      </c>
      <c r="L549" s="1" t="s">
        <v>2518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5" t="n">
        <v>46179</v>
      </c>
      <c r="C550" s="1" t="n">
        <v>1</v>
      </c>
      <c r="D550" s="1" t="s">
        <v>2317</v>
      </c>
      <c r="E550" s="1" t="n">
        <v>10043</v>
      </c>
      <c r="F550" s="1" t="s">
        <v>112</v>
      </c>
      <c r="I550" s="1" t="n">
        <v>689</v>
      </c>
      <c r="J550" s="1" t="n">
        <v>52096</v>
      </c>
      <c r="K550" s="1" t="n">
        <v>144315</v>
      </c>
      <c r="L550" s="1" t="s">
        <v>2318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5" t="n">
        <v>46179</v>
      </c>
      <c r="C551" s="1" t="n">
        <v>1</v>
      </c>
      <c r="D551" s="1" t="s">
        <v>2317</v>
      </c>
      <c r="E551" s="1" t="n">
        <v>10063</v>
      </c>
      <c r="F551" s="1" t="s">
        <v>218</v>
      </c>
      <c r="I551" s="1" t="n">
        <v>2245</v>
      </c>
      <c r="J551" s="1" t="n">
        <v>100174</v>
      </c>
      <c r="K551" s="1" t="n">
        <v>7898141930286</v>
      </c>
      <c r="L551" s="1" t="s">
        <v>2519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5" t="n">
        <v>46179</v>
      </c>
      <c r="C552" s="1" t="n">
        <v>1</v>
      </c>
      <c r="D552" s="1" t="s">
        <v>2317</v>
      </c>
      <c r="E552" s="1" t="n">
        <v>10063</v>
      </c>
      <c r="F552" s="1" t="s">
        <v>218</v>
      </c>
      <c r="I552" s="1" t="n">
        <v>2245</v>
      </c>
      <c r="J552" s="1" t="n">
        <v>100933</v>
      </c>
      <c r="K552" s="1" t="n">
        <v>7896982100059</v>
      </c>
      <c r="L552" s="1" t="s">
        <v>2520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5" t="n">
        <v>46179</v>
      </c>
      <c r="C553" s="1" t="n">
        <v>1</v>
      </c>
      <c r="D553" s="1" t="s">
        <v>2317</v>
      </c>
      <c r="E553" s="1" t="n">
        <v>1609</v>
      </c>
      <c r="F553" s="1" t="s">
        <v>410</v>
      </c>
      <c r="I553" s="1" t="n">
        <v>5636</v>
      </c>
      <c r="J553" s="1" t="n">
        <v>102382</v>
      </c>
      <c r="K553" s="1" t="n">
        <v>7896981600673</v>
      </c>
      <c r="L553" s="1" t="s">
        <v>2521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5" t="n">
        <v>46179</v>
      </c>
      <c r="C554" s="1" t="n">
        <v>1</v>
      </c>
      <c r="D554" s="1" t="s">
        <v>2317</v>
      </c>
      <c r="E554" s="1" t="n">
        <v>1609</v>
      </c>
      <c r="F554" s="1" t="s">
        <v>410</v>
      </c>
      <c r="I554" s="1" t="n">
        <v>5636</v>
      </c>
      <c r="J554" s="1" t="n">
        <v>13225</v>
      </c>
      <c r="K554" s="1" t="n">
        <v>7896981601151</v>
      </c>
      <c r="L554" s="1" t="s">
        <v>2522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5" t="n">
        <v>46179</v>
      </c>
      <c r="C555" s="1" t="n">
        <v>1</v>
      </c>
      <c r="D555" s="1" t="s">
        <v>2317</v>
      </c>
      <c r="E555" s="1" t="n">
        <v>1609</v>
      </c>
      <c r="F555" s="1" t="s">
        <v>410</v>
      </c>
      <c r="I555" s="1" t="n">
        <v>5636</v>
      </c>
      <c r="J555" s="1" t="n">
        <v>13720</v>
      </c>
      <c r="K555" s="1" t="n">
        <v>7896981600307</v>
      </c>
      <c r="L555" s="1" t="s">
        <v>2523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5" t="n">
        <v>46179</v>
      </c>
      <c r="C556" s="1" t="n">
        <v>1</v>
      </c>
      <c r="D556" s="1" t="s">
        <v>2317</v>
      </c>
      <c r="E556" s="1" t="n">
        <v>1609</v>
      </c>
      <c r="F556" s="1" t="s">
        <v>410</v>
      </c>
      <c r="I556" s="1" t="n">
        <v>5636</v>
      </c>
      <c r="J556" s="1" t="n">
        <v>17163</v>
      </c>
      <c r="K556" s="1" t="n">
        <v>7896981600567</v>
      </c>
      <c r="L556" s="1" t="s">
        <v>2524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5" t="n">
        <v>46179</v>
      </c>
      <c r="C557" s="1" t="n">
        <v>1</v>
      </c>
      <c r="D557" s="1" t="s">
        <v>2317</v>
      </c>
      <c r="E557" s="1" t="n">
        <v>1609</v>
      </c>
      <c r="F557" s="1" t="s">
        <v>410</v>
      </c>
      <c r="I557" s="1" t="n">
        <v>5636</v>
      </c>
      <c r="J557" s="1" t="n">
        <v>18382</v>
      </c>
      <c r="K557" s="1" t="n">
        <v>7896878801190</v>
      </c>
      <c r="L557" s="1" t="s">
        <v>2525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5" t="n">
        <v>46179</v>
      </c>
      <c r="C558" s="1" t="n">
        <v>1</v>
      </c>
      <c r="D558" s="1" t="s">
        <v>2317</v>
      </c>
      <c r="E558" s="1" t="n">
        <v>1609</v>
      </c>
      <c r="F558" s="1" t="s">
        <v>410</v>
      </c>
      <c r="I558" s="1" t="n">
        <v>5636</v>
      </c>
      <c r="J558" s="1" t="n">
        <v>18384</v>
      </c>
      <c r="K558" s="1" t="n">
        <v>7896878801206</v>
      </c>
      <c r="L558" s="1" t="s">
        <v>2526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5" t="n">
        <v>46179</v>
      </c>
      <c r="C559" s="1" t="n">
        <v>1</v>
      </c>
      <c r="D559" s="1" t="s">
        <v>2317</v>
      </c>
      <c r="E559" s="1" t="n">
        <v>1609</v>
      </c>
      <c r="F559" s="1" t="s">
        <v>410</v>
      </c>
      <c r="I559" s="1" t="n">
        <v>5636</v>
      </c>
      <c r="J559" s="1" t="n">
        <v>18385</v>
      </c>
      <c r="K559" s="1" t="n">
        <v>7896878801220</v>
      </c>
      <c r="L559" s="1" t="s">
        <v>2527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5" t="n">
        <v>46179</v>
      </c>
      <c r="C560" s="1" t="n">
        <v>1</v>
      </c>
      <c r="D560" s="1" t="s">
        <v>2317</v>
      </c>
      <c r="E560" s="1" t="n">
        <v>1609</v>
      </c>
      <c r="F560" s="1" t="s">
        <v>410</v>
      </c>
      <c r="I560" s="1" t="n">
        <v>5636</v>
      </c>
      <c r="J560" s="1" t="n">
        <v>18775</v>
      </c>
      <c r="K560" s="1" t="n">
        <v>7896878801237</v>
      </c>
      <c r="L560" s="1" t="s">
        <v>2528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5" t="n">
        <v>46179</v>
      </c>
      <c r="C561" s="1" t="n">
        <v>1</v>
      </c>
      <c r="D561" s="1" t="s">
        <v>2317</v>
      </c>
      <c r="E561" s="1" t="n">
        <v>1609</v>
      </c>
      <c r="F561" s="1" t="s">
        <v>410</v>
      </c>
      <c r="I561" s="1" t="n">
        <v>5636</v>
      </c>
      <c r="J561" s="1" t="n">
        <v>18968</v>
      </c>
      <c r="K561" s="1" t="n">
        <v>7896878801244</v>
      </c>
      <c r="L561" s="1" t="s">
        <v>2529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5" t="n">
        <v>46179</v>
      </c>
      <c r="C562" s="1" t="n">
        <v>1</v>
      </c>
      <c r="D562" s="1" t="s">
        <v>2317</v>
      </c>
      <c r="E562" s="1" t="n">
        <v>1609</v>
      </c>
      <c r="F562" s="1" t="s">
        <v>410</v>
      </c>
      <c r="I562" s="1" t="n">
        <v>5636</v>
      </c>
      <c r="J562" s="1" t="n">
        <v>41614</v>
      </c>
      <c r="K562" s="1" t="n">
        <v>7896878801213</v>
      </c>
      <c r="L562" s="1" t="s">
        <v>2530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5" t="n">
        <v>46179</v>
      </c>
      <c r="C563" s="1" t="n">
        <v>1</v>
      </c>
      <c r="D563" s="1" t="s">
        <v>2317</v>
      </c>
      <c r="E563" s="1" t="n">
        <v>1378</v>
      </c>
      <c r="F563" s="1" t="s">
        <v>120</v>
      </c>
      <c r="I563" s="1" t="n">
        <v>17637</v>
      </c>
      <c r="J563" s="1" t="n">
        <v>74061</v>
      </c>
      <c r="K563" s="1" t="n">
        <v>42882264255</v>
      </c>
      <c r="L563" s="1" t="s">
        <v>2340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5" t="n">
        <v>46179</v>
      </c>
      <c r="C564" s="1" t="n">
        <v>1</v>
      </c>
      <c r="D564" s="1" t="s">
        <v>2317</v>
      </c>
      <c r="E564" s="1" t="n">
        <v>1378</v>
      </c>
      <c r="F564" s="1" t="s">
        <v>120</v>
      </c>
      <c r="I564" s="1" t="n">
        <v>17637</v>
      </c>
      <c r="J564" s="1" t="n">
        <v>74063</v>
      </c>
      <c r="K564" s="1" t="n">
        <v>42882264262</v>
      </c>
      <c r="L564" s="1" t="s">
        <v>2341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5" t="n">
        <v>46179</v>
      </c>
      <c r="C565" s="1" t="n">
        <v>1</v>
      </c>
      <c r="D565" s="1" t="s">
        <v>2317</v>
      </c>
      <c r="E565" s="1" t="n">
        <v>1378</v>
      </c>
      <c r="F565" s="1" t="s">
        <v>120</v>
      </c>
      <c r="I565" s="1" t="n">
        <v>17637</v>
      </c>
      <c r="J565" s="1" t="n">
        <v>74064</v>
      </c>
      <c r="K565" s="1" t="n">
        <v>42882264279</v>
      </c>
      <c r="L565" s="1" t="s">
        <v>2342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5" t="n">
        <v>46179</v>
      </c>
      <c r="C566" s="1" t="n">
        <v>1</v>
      </c>
      <c r="D566" s="1" t="s">
        <v>2317</v>
      </c>
      <c r="E566" s="1" t="n">
        <v>1378</v>
      </c>
      <c r="F566" s="1" t="s">
        <v>120</v>
      </c>
      <c r="I566" s="1" t="n">
        <v>17637</v>
      </c>
      <c r="J566" s="1" t="n">
        <v>74065</v>
      </c>
      <c r="K566" s="1" t="n">
        <v>602883558090</v>
      </c>
      <c r="L566" s="1" t="s">
        <v>2343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5" t="n">
        <v>46179</v>
      </c>
      <c r="C567" s="1" t="n">
        <v>1</v>
      </c>
      <c r="D567" s="1" t="s">
        <v>2317</v>
      </c>
      <c r="E567" s="1" t="n">
        <v>1378</v>
      </c>
      <c r="F567" s="1" t="s">
        <v>120</v>
      </c>
      <c r="I567" s="1" t="n">
        <v>17637</v>
      </c>
      <c r="J567" s="1" t="n">
        <v>77994</v>
      </c>
      <c r="K567" s="1" t="n">
        <v>780117</v>
      </c>
      <c r="L567" s="1" t="s">
        <v>2344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5" t="n">
        <v>46179</v>
      </c>
      <c r="C568" s="1" t="n">
        <v>1</v>
      </c>
      <c r="D568" s="1" t="s">
        <v>2317</v>
      </c>
      <c r="E568" s="1" t="n">
        <v>1621</v>
      </c>
      <c r="F568" s="1" t="s">
        <v>306</v>
      </c>
      <c r="I568" s="1" t="n">
        <v>841816</v>
      </c>
      <c r="J568" s="1" t="n">
        <v>40010</v>
      </c>
      <c r="K568" s="1" t="n">
        <v>7891991009737</v>
      </c>
      <c r="L568" s="1" t="s">
        <v>2531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5" t="n">
        <v>46179</v>
      </c>
      <c r="C569" s="1" t="n">
        <v>1</v>
      </c>
      <c r="D569" s="1" t="s">
        <v>2317</v>
      </c>
      <c r="E569" s="1" t="n">
        <v>1621</v>
      </c>
      <c r="F569" s="1" t="s">
        <v>306</v>
      </c>
      <c r="I569" s="1" t="n">
        <v>841816</v>
      </c>
      <c r="J569" s="1" t="n">
        <v>102383</v>
      </c>
      <c r="K569" s="1" t="n">
        <v>9002490225100</v>
      </c>
      <c r="L569" s="1" t="s">
        <v>2532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5" t="n">
        <v>46179</v>
      </c>
      <c r="C570" s="1" t="n">
        <v>1</v>
      </c>
      <c r="D570" s="1" t="s">
        <v>2317</v>
      </c>
      <c r="E570" s="1" t="n">
        <v>1621</v>
      </c>
      <c r="F570" s="1" t="s">
        <v>306</v>
      </c>
      <c r="I570" s="1" t="n">
        <v>841816</v>
      </c>
      <c r="J570" s="1" t="n">
        <v>103127</v>
      </c>
      <c r="K570" s="1" t="n">
        <v>7891991000826</v>
      </c>
      <c r="L570" s="1" t="s">
        <v>2533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5" t="n">
        <v>46179</v>
      </c>
      <c r="C571" s="1" t="n">
        <v>1</v>
      </c>
      <c r="D571" s="1" t="s">
        <v>2317</v>
      </c>
      <c r="E571" s="1" t="n">
        <v>1621</v>
      </c>
      <c r="F571" s="1" t="s">
        <v>306</v>
      </c>
      <c r="I571" s="1" t="n">
        <v>841816</v>
      </c>
      <c r="J571" s="1" t="n">
        <v>103128</v>
      </c>
      <c r="K571" s="1" t="n">
        <v>7891991000833</v>
      </c>
      <c r="L571" s="1" t="s">
        <v>2534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5" t="n">
        <v>46179</v>
      </c>
      <c r="C572" s="1" t="n">
        <v>1</v>
      </c>
      <c r="D572" s="1" t="s">
        <v>2317</v>
      </c>
      <c r="E572" s="1" t="n">
        <v>1621</v>
      </c>
      <c r="F572" s="1" t="s">
        <v>306</v>
      </c>
      <c r="I572" s="1" t="n">
        <v>841816</v>
      </c>
      <c r="J572" s="1" t="n">
        <v>103130</v>
      </c>
      <c r="K572" s="1" t="n">
        <v>7891149440801</v>
      </c>
      <c r="L572" s="1" t="s">
        <v>2535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5" t="n">
        <v>46179</v>
      </c>
      <c r="C573" s="1" t="n">
        <v>1</v>
      </c>
      <c r="D573" s="1" t="s">
        <v>2317</v>
      </c>
      <c r="E573" s="1" t="n">
        <v>1621</v>
      </c>
      <c r="F573" s="1" t="s">
        <v>306</v>
      </c>
      <c r="I573" s="1" t="n">
        <v>841816</v>
      </c>
      <c r="J573" s="1" t="n">
        <v>103132</v>
      </c>
      <c r="K573" s="1" t="n">
        <v>7892840800000</v>
      </c>
      <c r="L573" s="1" t="s">
        <v>2536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5" t="n">
        <v>46179</v>
      </c>
      <c r="C574" s="1" t="n">
        <v>1</v>
      </c>
      <c r="D574" s="1" t="s">
        <v>2317</v>
      </c>
      <c r="E574" s="1" t="n">
        <v>1621</v>
      </c>
      <c r="F574" s="1" t="s">
        <v>306</v>
      </c>
      <c r="I574" s="1" t="n">
        <v>841816</v>
      </c>
      <c r="J574" s="1" t="n">
        <v>103630</v>
      </c>
      <c r="K574" s="1" t="n">
        <v>7891991004107</v>
      </c>
      <c r="L574" s="1" t="s">
        <v>2537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5" t="n">
        <v>46179</v>
      </c>
      <c r="C575" s="1" t="n">
        <v>1</v>
      </c>
      <c r="D575" s="1" t="s">
        <v>2317</v>
      </c>
      <c r="E575" s="1" t="n">
        <v>1621</v>
      </c>
      <c r="F575" s="1" t="s">
        <v>306</v>
      </c>
      <c r="I575" s="1" t="n">
        <v>841816</v>
      </c>
      <c r="J575" s="1" t="n">
        <v>104358</v>
      </c>
      <c r="K575" s="1" t="n">
        <v>7891149440603</v>
      </c>
      <c r="L575" s="1" t="s">
        <v>2538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5" t="n">
        <v>46179</v>
      </c>
      <c r="C576" s="1" t="n">
        <v>1</v>
      </c>
      <c r="D576" s="1" t="s">
        <v>2317</v>
      </c>
      <c r="E576" s="1" t="n">
        <v>1621</v>
      </c>
      <c r="F576" s="1" t="s">
        <v>306</v>
      </c>
      <c r="I576" s="1" t="n">
        <v>841816</v>
      </c>
      <c r="J576" s="1" t="n">
        <v>104505</v>
      </c>
      <c r="K576" s="1" t="n">
        <v>7892840800079</v>
      </c>
      <c r="L576" s="1" t="s">
        <v>2539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5" t="n">
        <v>46179</v>
      </c>
      <c r="C577" s="1" t="n">
        <v>1</v>
      </c>
      <c r="D577" s="1" t="s">
        <v>2317</v>
      </c>
      <c r="E577" s="1" t="n">
        <v>1621</v>
      </c>
      <c r="F577" s="1" t="s">
        <v>306</v>
      </c>
      <c r="I577" s="1" t="n">
        <v>841816</v>
      </c>
      <c r="J577" s="1" t="n">
        <v>12865</v>
      </c>
      <c r="K577" s="1" t="n">
        <v>611269101713</v>
      </c>
      <c r="L577" s="1" t="s">
        <v>2540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5" t="n">
        <v>46179</v>
      </c>
      <c r="C578" s="1" t="n">
        <v>1</v>
      </c>
      <c r="D578" s="1" t="s">
        <v>2317</v>
      </c>
      <c r="E578" s="1" t="n">
        <v>1621</v>
      </c>
      <c r="F578" s="1" t="s">
        <v>306</v>
      </c>
      <c r="I578" s="1" t="n">
        <v>841816</v>
      </c>
      <c r="J578" s="1" t="n">
        <v>14352</v>
      </c>
      <c r="K578" s="1" t="n">
        <v>7891149102853</v>
      </c>
      <c r="L578" s="1" t="s">
        <v>2541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5" t="n">
        <v>46179</v>
      </c>
      <c r="C579" s="1" t="n">
        <v>1</v>
      </c>
      <c r="D579" s="1" t="s">
        <v>2317</v>
      </c>
      <c r="E579" s="1" t="n">
        <v>1621</v>
      </c>
      <c r="F579" s="1" t="s">
        <v>306</v>
      </c>
      <c r="I579" s="1" t="n">
        <v>841816</v>
      </c>
      <c r="J579" s="1" t="n">
        <v>16185</v>
      </c>
      <c r="K579" s="1" t="n">
        <v>7891149103102</v>
      </c>
      <c r="L579" s="1" t="s">
        <v>2542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5" t="n">
        <v>46179</v>
      </c>
      <c r="C580" s="1" t="n">
        <v>1</v>
      </c>
      <c r="D580" s="1" t="s">
        <v>2317</v>
      </c>
      <c r="E580" s="1" t="n">
        <v>1621</v>
      </c>
      <c r="F580" s="1" t="s">
        <v>306</v>
      </c>
      <c r="I580" s="1" t="n">
        <v>841816</v>
      </c>
      <c r="J580" s="1" t="n">
        <v>20610</v>
      </c>
      <c r="K580" s="1" t="n">
        <v>7891149105564</v>
      </c>
      <c r="L580" s="1" t="s">
        <v>2543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5" t="n">
        <v>46179</v>
      </c>
      <c r="C581" s="1" t="n">
        <v>1</v>
      </c>
      <c r="D581" s="1" t="s">
        <v>2317</v>
      </c>
      <c r="E581" s="1" t="n">
        <v>1621</v>
      </c>
      <c r="F581" s="1" t="s">
        <v>306</v>
      </c>
      <c r="I581" s="1" t="n">
        <v>841816</v>
      </c>
      <c r="J581" s="1" t="n">
        <v>22441</v>
      </c>
      <c r="K581" s="1" t="n">
        <v>9002490229160</v>
      </c>
      <c r="L581" s="1" t="s">
        <v>2544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5" t="n">
        <v>46179</v>
      </c>
      <c r="C582" s="1" t="n">
        <v>1</v>
      </c>
      <c r="D582" s="1" t="s">
        <v>2317</v>
      </c>
      <c r="E582" s="1" t="n">
        <v>1621</v>
      </c>
      <c r="F582" s="1" t="s">
        <v>306</v>
      </c>
      <c r="I582" s="1" t="n">
        <v>841816</v>
      </c>
      <c r="J582" s="1" t="n">
        <v>24129</v>
      </c>
      <c r="K582" s="1" t="n">
        <v>7891991011877</v>
      </c>
      <c r="L582" s="1" t="s">
        <v>2545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5" t="n">
        <v>46179</v>
      </c>
      <c r="C583" s="1" t="n">
        <v>1</v>
      </c>
      <c r="D583" s="1" t="s">
        <v>2317</v>
      </c>
      <c r="E583" s="1" t="n">
        <v>1621</v>
      </c>
      <c r="F583" s="1" t="s">
        <v>306</v>
      </c>
      <c r="I583" s="1" t="n">
        <v>841816</v>
      </c>
      <c r="J583" s="1" t="n">
        <v>29150</v>
      </c>
      <c r="K583" s="1" t="n">
        <v>78938816</v>
      </c>
      <c r="L583" s="1" t="s">
        <v>2546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5" t="n">
        <v>46179</v>
      </c>
      <c r="C584" s="1" t="n">
        <v>1</v>
      </c>
      <c r="D584" s="1" t="s">
        <v>2317</v>
      </c>
      <c r="E584" s="1" t="n">
        <v>1621</v>
      </c>
      <c r="F584" s="1" t="s">
        <v>306</v>
      </c>
      <c r="I584" s="1" t="n">
        <v>841816</v>
      </c>
      <c r="J584" s="1" t="n">
        <v>31032</v>
      </c>
      <c r="K584" s="1" t="n">
        <v>7891991002561</v>
      </c>
      <c r="L584" s="1" t="s">
        <v>2547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5" t="n">
        <v>46179</v>
      </c>
      <c r="C585" s="1" t="n">
        <v>1</v>
      </c>
      <c r="D585" s="1" t="s">
        <v>2317</v>
      </c>
      <c r="E585" s="1" t="n">
        <v>1621</v>
      </c>
      <c r="F585" s="1" t="s">
        <v>306</v>
      </c>
      <c r="I585" s="1" t="n">
        <v>841816</v>
      </c>
      <c r="J585" s="1" t="n">
        <v>31564</v>
      </c>
      <c r="K585" s="1" t="n">
        <v>7891149840878</v>
      </c>
      <c r="L585" s="1" t="s">
        <v>2548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5" t="n">
        <v>46179</v>
      </c>
      <c r="C586" s="1" t="n">
        <v>1</v>
      </c>
      <c r="D586" s="1" t="s">
        <v>2317</v>
      </c>
      <c r="E586" s="1" t="n">
        <v>1621</v>
      </c>
      <c r="F586" s="1" t="s">
        <v>306</v>
      </c>
      <c r="I586" s="1" t="n">
        <v>841816</v>
      </c>
      <c r="J586" s="1" t="n">
        <v>40508</v>
      </c>
      <c r="K586" s="1" t="n">
        <v>7891991301138</v>
      </c>
      <c r="L586" s="1" t="s">
        <v>2549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5" t="n">
        <v>46179</v>
      </c>
      <c r="C587" s="1" t="n">
        <v>1</v>
      </c>
      <c r="D587" s="1" t="s">
        <v>2317</v>
      </c>
      <c r="E587" s="1" t="n">
        <v>1621</v>
      </c>
      <c r="F587" s="1" t="s">
        <v>306</v>
      </c>
      <c r="I587" s="1" t="n">
        <v>841816</v>
      </c>
      <c r="J587" s="1" t="n">
        <v>48553</v>
      </c>
      <c r="K587" s="1" t="n">
        <v>7892840813444</v>
      </c>
      <c r="L587" s="1" t="s">
        <v>2550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5" t="n">
        <v>46179</v>
      </c>
      <c r="C588" s="1" t="n">
        <v>1</v>
      </c>
      <c r="D588" s="1" t="s">
        <v>2317</v>
      </c>
      <c r="E588" s="1" t="n">
        <v>1621</v>
      </c>
      <c r="F588" s="1" t="s">
        <v>306</v>
      </c>
      <c r="I588" s="1" t="n">
        <v>841816</v>
      </c>
      <c r="J588" s="1" t="n">
        <v>48997</v>
      </c>
      <c r="K588" s="1" t="n">
        <v>7891991302029</v>
      </c>
      <c r="L588" s="1" t="s">
        <v>2551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5" t="n">
        <v>46179</v>
      </c>
      <c r="C589" s="1" t="n">
        <v>1</v>
      </c>
      <c r="D589" s="1" t="s">
        <v>2317</v>
      </c>
      <c r="E589" s="1" t="n">
        <v>1621</v>
      </c>
      <c r="F589" s="1" t="s">
        <v>306</v>
      </c>
      <c r="I589" s="1" t="n">
        <v>841816</v>
      </c>
      <c r="J589" s="1" t="n">
        <v>54120</v>
      </c>
      <c r="K589" s="1" t="n">
        <v>7892840820862</v>
      </c>
      <c r="L589" s="1" t="s">
        <v>2552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5" t="n">
        <v>46179</v>
      </c>
      <c r="C590" s="1" t="n">
        <v>1</v>
      </c>
      <c r="D590" s="1" t="s">
        <v>2317</v>
      </c>
      <c r="E590" s="1" t="n">
        <v>1621</v>
      </c>
      <c r="F590" s="1" t="s">
        <v>306</v>
      </c>
      <c r="I590" s="1" t="n">
        <v>841816</v>
      </c>
      <c r="J590" s="1" t="n">
        <v>63462</v>
      </c>
      <c r="K590" s="1" t="n">
        <v>7891991306164</v>
      </c>
      <c r="L590" s="1" t="s">
        <v>2553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5" t="n">
        <v>46179</v>
      </c>
      <c r="C591" s="1" t="n">
        <v>1</v>
      </c>
      <c r="D591" s="1" t="s">
        <v>2317</v>
      </c>
      <c r="E591" s="1" t="n">
        <v>1621</v>
      </c>
      <c r="F591" s="1" t="s">
        <v>306</v>
      </c>
      <c r="I591" s="1" t="n">
        <v>841816</v>
      </c>
      <c r="J591" s="1" t="n">
        <v>73036</v>
      </c>
      <c r="K591" s="1" t="n">
        <v>7892840822019</v>
      </c>
      <c r="L591" s="1" t="s">
        <v>2554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5" t="n">
        <v>46179</v>
      </c>
      <c r="C592" s="1" t="n">
        <v>1</v>
      </c>
      <c r="D592" s="1" t="s">
        <v>2317</v>
      </c>
      <c r="E592" s="1" t="n">
        <v>1621</v>
      </c>
      <c r="F592" s="1" t="s">
        <v>306</v>
      </c>
      <c r="I592" s="1" t="n">
        <v>841816</v>
      </c>
      <c r="J592" s="1" t="n">
        <v>73319</v>
      </c>
      <c r="K592" s="1" t="n">
        <v>7891991307185</v>
      </c>
      <c r="L592" s="1" t="s">
        <v>2555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5" t="n">
        <v>46179</v>
      </c>
      <c r="C593" s="1" t="n">
        <v>1</v>
      </c>
      <c r="D593" s="1" t="s">
        <v>2317</v>
      </c>
      <c r="E593" s="1" t="n">
        <v>1621</v>
      </c>
      <c r="F593" s="1" t="s">
        <v>306</v>
      </c>
      <c r="I593" s="1" t="n">
        <v>841816</v>
      </c>
      <c r="J593" s="1" t="n">
        <v>78038</v>
      </c>
      <c r="K593" s="1" t="n">
        <v>7891991010481</v>
      </c>
      <c r="L593" s="1" t="s">
        <v>2556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5" t="n">
        <v>46179</v>
      </c>
      <c r="C594" s="1" t="n">
        <v>1</v>
      </c>
      <c r="D594" s="1" t="s">
        <v>2317</v>
      </c>
      <c r="E594" s="1" t="n">
        <v>1621</v>
      </c>
      <c r="F594" s="1" t="s">
        <v>306</v>
      </c>
      <c r="I594" s="1" t="n">
        <v>841816</v>
      </c>
      <c r="J594" s="1" t="n">
        <v>79493</v>
      </c>
      <c r="K594" s="1" t="n">
        <v>7891991002608</v>
      </c>
      <c r="L594" s="1" t="s">
        <v>2557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5" t="n">
        <v>46179</v>
      </c>
      <c r="C595" s="1" t="n">
        <v>2</v>
      </c>
      <c r="D595" s="1" t="s">
        <v>2283</v>
      </c>
      <c r="E595" s="1" t="n">
        <v>42</v>
      </c>
      <c r="F595" s="1" t="s">
        <v>80</v>
      </c>
      <c r="I595" s="1" t="n">
        <v>6064</v>
      </c>
      <c r="J595" s="1" t="n">
        <v>100103</v>
      </c>
      <c r="K595" s="1" t="n">
        <v>104</v>
      </c>
      <c r="L595" s="1" t="s">
        <v>2287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5" t="n">
        <v>46179</v>
      </c>
      <c r="C596" s="1" t="n">
        <v>2</v>
      </c>
      <c r="D596" s="1" t="s">
        <v>2283</v>
      </c>
      <c r="E596" s="1" t="n">
        <v>42</v>
      </c>
      <c r="F596" s="1" t="s">
        <v>80</v>
      </c>
      <c r="I596" s="1" t="n">
        <v>60601</v>
      </c>
      <c r="J596" s="1" t="n">
        <v>109791</v>
      </c>
      <c r="K596" s="1" t="n">
        <v>9667</v>
      </c>
      <c r="L596" s="1" t="s">
        <v>2284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5" t="n">
        <v>46179</v>
      </c>
      <c r="C597" s="1" t="n">
        <v>2</v>
      </c>
      <c r="D597" s="1" t="s">
        <v>2283</v>
      </c>
      <c r="E597" s="1" t="n">
        <v>42</v>
      </c>
      <c r="F597" s="1" t="s">
        <v>80</v>
      </c>
      <c r="I597" s="1" t="n">
        <v>60601</v>
      </c>
      <c r="J597" s="1" t="n">
        <v>37359</v>
      </c>
      <c r="K597" s="1" t="n">
        <v>55526</v>
      </c>
      <c r="L597" s="1" t="s">
        <v>2285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5" t="n">
        <v>46179</v>
      </c>
      <c r="C598" s="1" t="n">
        <v>2</v>
      </c>
      <c r="D598" s="1" t="s">
        <v>2283</v>
      </c>
      <c r="E598" s="1" t="n">
        <v>42</v>
      </c>
      <c r="F598" s="1" t="s">
        <v>80</v>
      </c>
      <c r="I598" s="1" t="n">
        <v>60601</v>
      </c>
      <c r="J598" s="1" t="n">
        <v>37361</v>
      </c>
      <c r="K598" s="1" t="n">
        <v>2240817</v>
      </c>
      <c r="L598" s="1" t="s">
        <v>2286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5" t="n">
        <v>46179</v>
      </c>
      <c r="C599" s="1" t="n">
        <v>6</v>
      </c>
      <c r="D599" s="1" t="s">
        <v>2289</v>
      </c>
      <c r="E599" s="1" t="n">
        <v>42</v>
      </c>
      <c r="F599" s="1" t="s">
        <v>80</v>
      </c>
      <c r="I599" s="1" t="n">
        <v>4243</v>
      </c>
      <c r="J599" s="1" t="n">
        <v>109791</v>
      </c>
      <c r="K599" s="1" t="n">
        <v>9667</v>
      </c>
      <c r="L599" s="1" t="s">
        <v>2284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5" t="n">
        <v>46179</v>
      </c>
      <c r="C600" s="1" t="n">
        <v>6</v>
      </c>
      <c r="D600" s="1" t="s">
        <v>2289</v>
      </c>
      <c r="E600" s="1" t="n">
        <v>42</v>
      </c>
      <c r="F600" s="1" t="s">
        <v>80</v>
      </c>
      <c r="I600" s="1" t="n">
        <v>4243</v>
      </c>
      <c r="J600" s="1" t="n">
        <v>37359</v>
      </c>
      <c r="K600" s="1" t="n">
        <v>55526</v>
      </c>
      <c r="L600" s="1" t="s">
        <v>2285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5" t="n">
        <v>46179</v>
      </c>
      <c r="C601" s="1" t="n">
        <v>6</v>
      </c>
      <c r="D601" s="1" t="s">
        <v>2289</v>
      </c>
      <c r="E601" s="1" t="n">
        <v>42</v>
      </c>
      <c r="F601" s="1" t="s">
        <v>80</v>
      </c>
      <c r="I601" s="1" t="n">
        <v>4243</v>
      </c>
      <c r="J601" s="1" t="n">
        <v>37361</v>
      </c>
      <c r="K601" s="1" t="n">
        <v>2240817</v>
      </c>
      <c r="L601" s="1" t="s">
        <v>2286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5" t="n">
        <v>46179</v>
      </c>
      <c r="C602" s="1" t="n">
        <v>6</v>
      </c>
      <c r="D602" s="1" t="s">
        <v>2289</v>
      </c>
      <c r="E602" s="1" t="n">
        <v>42</v>
      </c>
      <c r="F602" s="1" t="s">
        <v>80</v>
      </c>
      <c r="I602" s="1" t="n">
        <v>4244</v>
      </c>
      <c r="J602" s="1" t="n">
        <v>100103</v>
      </c>
      <c r="K602" s="1" t="n">
        <v>104</v>
      </c>
      <c r="L602" s="1" t="s">
        <v>2287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5" t="n">
        <v>46179</v>
      </c>
      <c r="C603" s="1" t="n">
        <v>11</v>
      </c>
      <c r="D603" s="1" t="s">
        <v>2290</v>
      </c>
      <c r="E603" s="1" t="n">
        <v>1612</v>
      </c>
      <c r="F603" s="1" t="s">
        <v>264</v>
      </c>
      <c r="I603" s="1" t="n">
        <v>2290883</v>
      </c>
      <c r="J603" s="1" t="n">
        <v>100820</v>
      </c>
      <c r="K603" s="1" t="n">
        <v>7896013100386</v>
      </c>
      <c r="L603" s="1" t="s">
        <v>2558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5" t="n">
        <v>46179</v>
      </c>
      <c r="C604" s="1" t="n">
        <v>11</v>
      </c>
      <c r="D604" s="1" t="s">
        <v>2290</v>
      </c>
      <c r="E604" s="1" t="n">
        <v>1612</v>
      </c>
      <c r="F604" s="1" t="s">
        <v>264</v>
      </c>
      <c r="I604" s="1" t="n">
        <v>2290883</v>
      </c>
      <c r="J604" s="1" t="n">
        <v>21786</v>
      </c>
      <c r="K604" s="1" t="n">
        <v>7896013105640</v>
      </c>
      <c r="L604" s="1" t="s">
        <v>2559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5" t="n">
        <v>46179</v>
      </c>
      <c r="C605" s="1" t="n">
        <v>11</v>
      </c>
      <c r="D605" s="1" t="s">
        <v>2290</v>
      </c>
      <c r="E605" s="1" t="n">
        <v>1612</v>
      </c>
      <c r="F605" s="1" t="s">
        <v>264</v>
      </c>
      <c r="I605" s="1" t="n">
        <v>2290883</v>
      </c>
      <c r="J605" s="1" t="n">
        <v>23709</v>
      </c>
      <c r="K605" s="1" t="n">
        <v>7896102583182</v>
      </c>
      <c r="L605" s="1" t="s">
        <v>2560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5" t="n">
        <v>46179</v>
      </c>
      <c r="C606" s="1" t="n">
        <v>11</v>
      </c>
      <c r="D606" s="1" t="s">
        <v>2290</v>
      </c>
      <c r="E606" s="1" t="n">
        <v>1612</v>
      </c>
      <c r="F606" s="1" t="s">
        <v>264</v>
      </c>
      <c r="I606" s="1" t="n">
        <v>2290883</v>
      </c>
      <c r="J606" s="1" t="n">
        <v>24152</v>
      </c>
      <c r="K606" s="1" t="n">
        <v>7896102584189</v>
      </c>
      <c r="L606" s="1" t="s">
        <v>2561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5" t="n">
        <v>46179</v>
      </c>
      <c r="C607" s="1" t="n">
        <v>11</v>
      </c>
      <c r="D607" s="1" t="s">
        <v>2290</v>
      </c>
      <c r="E607" s="1" t="n">
        <v>1612</v>
      </c>
      <c r="F607" s="1" t="s">
        <v>264</v>
      </c>
      <c r="I607" s="1" t="n">
        <v>2290883</v>
      </c>
      <c r="J607" s="1" t="n">
        <v>31857</v>
      </c>
      <c r="K607" s="1" t="n">
        <v>7897309408575</v>
      </c>
      <c r="L607" s="1" t="s">
        <v>2562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5" t="n">
        <v>46179</v>
      </c>
      <c r="C608" s="1" t="n">
        <v>11</v>
      </c>
      <c r="D608" s="1" t="s">
        <v>2290</v>
      </c>
      <c r="E608" s="1" t="n">
        <v>1612</v>
      </c>
      <c r="F608" s="1" t="s">
        <v>264</v>
      </c>
      <c r="I608" s="1" t="n">
        <v>2290883</v>
      </c>
      <c r="J608" s="1" t="n">
        <v>46521</v>
      </c>
      <c r="K608" s="1" t="n">
        <v>7898331012761</v>
      </c>
      <c r="L608" s="1" t="s">
        <v>2563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5" t="n">
        <v>46179</v>
      </c>
      <c r="C609" s="1" t="n">
        <v>39</v>
      </c>
      <c r="D609" s="1" t="s">
        <v>2515</v>
      </c>
      <c r="E609" s="1" t="n">
        <v>1911</v>
      </c>
      <c r="F609" s="1" t="s">
        <v>541</v>
      </c>
      <c r="I609" s="1" t="n">
        <v>3246</v>
      </c>
      <c r="J609" s="1" t="n">
        <v>54230</v>
      </c>
      <c r="K609" s="1" t="n">
        <v>325173127249</v>
      </c>
      <c r="L609" s="1" t="s">
        <v>2564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5" t="n">
        <v>46179</v>
      </c>
      <c r="C610" s="1" t="n">
        <v>39</v>
      </c>
      <c r="D610" s="1" t="s">
        <v>2515</v>
      </c>
      <c r="E610" s="1" t="n">
        <v>1911</v>
      </c>
      <c r="F610" s="1" t="s">
        <v>541</v>
      </c>
      <c r="I610" s="1" t="n">
        <v>3246</v>
      </c>
      <c r="J610" s="1" t="n">
        <v>75868</v>
      </c>
      <c r="K610" s="1" t="n">
        <v>2269238</v>
      </c>
      <c r="L610" s="1" t="s">
        <v>2565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5" t="n">
        <v>46181</v>
      </c>
      <c r="C611" s="1" t="n">
        <v>1</v>
      </c>
      <c r="D611" s="1" t="s">
        <v>2317</v>
      </c>
      <c r="E611" s="1" t="n">
        <v>642</v>
      </c>
      <c r="F611" s="1" t="s">
        <v>135</v>
      </c>
      <c r="I611" s="1" t="n">
        <v>488</v>
      </c>
      <c r="J611" s="1" t="n">
        <v>71766</v>
      </c>
      <c r="K611" s="1" t="n">
        <v>779180</v>
      </c>
      <c r="L611" s="1" t="s">
        <v>2566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5" t="n">
        <v>46181</v>
      </c>
      <c r="C612" s="1" t="n">
        <v>1</v>
      </c>
      <c r="D612" s="1" t="s">
        <v>2317</v>
      </c>
      <c r="E612" s="1" t="n">
        <v>1038</v>
      </c>
      <c r="F612" s="1" t="s">
        <v>133</v>
      </c>
      <c r="I612" s="1" t="n">
        <v>5952</v>
      </c>
      <c r="J612" s="1" t="n">
        <v>61580</v>
      </c>
      <c r="K612" s="1" t="n">
        <v>2258157</v>
      </c>
      <c r="L612" s="1" t="s">
        <v>2339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5" t="n">
        <v>46181</v>
      </c>
      <c r="C613" s="1" t="n">
        <v>1</v>
      </c>
      <c r="D613" s="1" t="s">
        <v>2317</v>
      </c>
      <c r="E613" s="1" t="n">
        <v>1722</v>
      </c>
      <c r="F613" s="1" t="s">
        <v>417</v>
      </c>
      <c r="I613" s="1" t="n">
        <v>6512</v>
      </c>
      <c r="J613" s="1" t="n">
        <v>67102</v>
      </c>
      <c r="K613" s="1" t="n">
        <v>40141707178</v>
      </c>
      <c r="L613" s="1" t="s">
        <v>2567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5" t="n">
        <v>46181</v>
      </c>
      <c r="C614" s="1" t="n">
        <v>1</v>
      </c>
      <c r="D614" s="1" t="s">
        <v>2317</v>
      </c>
      <c r="E614" s="1" t="n">
        <v>1615</v>
      </c>
      <c r="F614" s="1" t="s">
        <v>130</v>
      </c>
      <c r="I614" s="1" t="n">
        <v>14632</v>
      </c>
      <c r="J614" s="1" t="n">
        <v>100114</v>
      </c>
      <c r="K614" s="1" t="n">
        <v>115</v>
      </c>
      <c r="L614" s="1" t="s">
        <v>2568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5" t="n">
        <v>46181</v>
      </c>
      <c r="C615" s="1" t="n">
        <v>1</v>
      </c>
      <c r="D615" s="1" t="s">
        <v>2317</v>
      </c>
      <c r="E615" s="1" t="n">
        <v>1615</v>
      </c>
      <c r="F615" s="1" t="s">
        <v>130</v>
      </c>
      <c r="I615" s="1" t="n">
        <v>14632</v>
      </c>
      <c r="J615" s="1" t="n">
        <v>37771</v>
      </c>
      <c r="K615" s="1" t="n">
        <v>774574</v>
      </c>
      <c r="L615" s="1" t="s">
        <v>2569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5" t="n">
        <v>46181</v>
      </c>
      <c r="C616" s="1" t="n">
        <v>1</v>
      </c>
      <c r="D616" s="1" t="s">
        <v>2317</v>
      </c>
      <c r="E616" s="1" t="n">
        <v>1615</v>
      </c>
      <c r="F616" s="1" t="s">
        <v>130</v>
      </c>
      <c r="I616" s="1" t="n">
        <v>14632</v>
      </c>
      <c r="J616" s="1" t="n">
        <v>38520</v>
      </c>
      <c r="K616" s="1" t="n">
        <v>700083262769</v>
      </c>
      <c r="L616" s="1" t="s">
        <v>2570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5" t="n">
        <v>46181</v>
      </c>
      <c r="C617" s="1" t="n">
        <v>1</v>
      </c>
      <c r="D617" s="1" t="s">
        <v>2317</v>
      </c>
      <c r="E617" s="1" t="n">
        <v>1916</v>
      </c>
      <c r="F617" s="1" t="s">
        <v>351</v>
      </c>
      <c r="I617" s="1" t="n">
        <v>39214</v>
      </c>
      <c r="J617" s="1" t="n">
        <v>43965</v>
      </c>
      <c r="K617" s="1" t="n">
        <v>7898567710226</v>
      </c>
      <c r="L617" s="1" t="s">
        <v>2571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5" t="n">
        <v>46181</v>
      </c>
      <c r="C618" s="1" t="n">
        <v>1</v>
      </c>
      <c r="D618" s="1" t="s">
        <v>2317</v>
      </c>
      <c r="E618" s="1" t="n">
        <v>1916</v>
      </c>
      <c r="F618" s="1" t="s">
        <v>351</v>
      </c>
      <c r="I618" s="1" t="n">
        <v>39214</v>
      </c>
      <c r="J618" s="1" t="n">
        <v>47759</v>
      </c>
      <c r="K618" s="1" t="n">
        <v>7898592350336</v>
      </c>
      <c r="L618" s="1" t="s">
        <v>2572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5" t="n">
        <v>46181</v>
      </c>
      <c r="C619" s="1" t="n">
        <v>1</v>
      </c>
      <c r="D619" s="1" t="s">
        <v>2317</v>
      </c>
      <c r="E619" s="1" t="n">
        <v>1637</v>
      </c>
      <c r="F619" s="1" t="s">
        <v>295</v>
      </c>
      <c r="I619" s="1" t="n">
        <v>1888475</v>
      </c>
      <c r="J619" s="1" t="n">
        <v>24651</v>
      </c>
      <c r="K619" s="1" t="n">
        <v>78936683</v>
      </c>
      <c r="L619" s="1" t="s">
        <v>2573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5" t="n">
        <v>46181</v>
      </c>
      <c r="C620" s="1" t="n">
        <v>2</v>
      </c>
      <c r="D620" s="1" t="s">
        <v>2283</v>
      </c>
      <c r="E620" s="1" t="n">
        <v>42</v>
      </c>
      <c r="F620" s="1" t="s">
        <v>80</v>
      </c>
      <c r="I620" s="1" t="n">
        <v>80601</v>
      </c>
      <c r="J620" s="1" t="n">
        <v>109791</v>
      </c>
      <c r="K620" s="1" t="n">
        <v>9667</v>
      </c>
      <c r="L620" s="1" t="s">
        <v>2284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5" t="n">
        <v>46181</v>
      </c>
      <c r="C621" s="1" t="n">
        <v>2</v>
      </c>
      <c r="D621" s="1" t="s">
        <v>2283</v>
      </c>
      <c r="E621" s="1" t="n">
        <v>42</v>
      </c>
      <c r="F621" s="1" t="s">
        <v>80</v>
      </c>
      <c r="I621" s="1" t="n">
        <v>80601</v>
      </c>
      <c r="J621" s="1" t="n">
        <v>37359</v>
      </c>
      <c r="K621" s="1" t="n">
        <v>55526</v>
      </c>
      <c r="L621" s="1" t="s">
        <v>2285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5" t="n">
        <v>46181</v>
      </c>
      <c r="C622" s="1" t="n">
        <v>2</v>
      </c>
      <c r="D622" s="1" t="s">
        <v>2283</v>
      </c>
      <c r="E622" s="1" t="n">
        <v>42</v>
      </c>
      <c r="F622" s="1" t="s">
        <v>80</v>
      </c>
      <c r="I622" s="1" t="n">
        <v>80601</v>
      </c>
      <c r="J622" s="1" t="n">
        <v>37361</v>
      </c>
      <c r="K622" s="1" t="n">
        <v>2240817</v>
      </c>
      <c r="L622" s="1" t="s">
        <v>2286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5" t="n">
        <v>46181</v>
      </c>
      <c r="C623" s="1" t="n">
        <v>2</v>
      </c>
      <c r="D623" s="1" t="s">
        <v>2283</v>
      </c>
      <c r="E623" s="1" t="n">
        <v>42</v>
      </c>
      <c r="F623" s="1" t="s">
        <v>80</v>
      </c>
      <c r="I623" s="1" t="n">
        <v>80602</v>
      </c>
      <c r="J623" s="1" t="n">
        <v>72679</v>
      </c>
      <c r="K623" s="1" t="n">
        <v>246</v>
      </c>
      <c r="L623" s="1" t="s">
        <v>2288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5" t="n">
        <v>46181</v>
      </c>
      <c r="C624" s="1" t="n">
        <v>2</v>
      </c>
      <c r="D624" s="1" t="s">
        <v>2283</v>
      </c>
      <c r="E624" s="1" t="n">
        <v>42</v>
      </c>
      <c r="F624" s="1" t="s">
        <v>80</v>
      </c>
      <c r="I624" s="1" t="n">
        <v>80603</v>
      </c>
      <c r="J624" s="1" t="n">
        <v>100103</v>
      </c>
      <c r="K624" s="1" t="n">
        <v>104</v>
      </c>
      <c r="L624" s="1" t="s">
        <v>2287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5" t="n">
        <v>46181</v>
      </c>
      <c r="C625" s="1" t="n">
        <v>6</v>
      </c>
      <c r="D625" s="1" t="s">
        <v>2289</v>
      </c>
      <c r="E625" s="1" t="n">
        <v>42</v>
      </c>
      <c r="F625" s="1" t="s">
        <v>80</v>
      </c>
      <c r="I625" s="1" t="n">
        <v>4245</v>
      </c>
      <c r="J625" s="1" t="n">
        <v>109791</v>
      </c>
      <c r="K625" s="1" t="n">
        <v>9667</v>
      </c>
      <c r="L625" s="1" t="s">
        <v>2284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5" t="n">
        <v>46181</v>
      </c>
      <c r="C626" s="1" t="n">
        <v>6</v>
      </c>
      <c r="D626" s="1" t="s">
        <v>2289</v>
      </c>
      <c r="E626" s="1" t="n">
        <v>42</v>
      </c>
      <c r="F626" s="1" t="s">
        <v>80</v>
      </c>
      <c r="I626" s="1" t="n">
        <v>4245</v>
      </c>
      <c r="J626" s="1" t="n">
        <v>37359</v>
      </c>
      <c r="K626" s="1" t="n">
        <v>55526</v>
      </c>
      <c r="L626" s="1" t="s">
        <v>2285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5" t="n">
        <v>46181</v>
      </c>
      <c r="C627" s="1" t="n">
        <v>6</v>
      </c>
      <c r="D627" s="1" t="s">
        <v>2289</v>
      </c>
      <c r="E627" s="1" t="n">
        <v>42</v>
      </c>
      <c r="F627" s="1" t="s">
        <v>80</v>
      </c>
      <c r="I627" s="1" t="n">
        <v>4245</v>
      </c>
      <c r="J627" s="1" t="n">
        <v>37361</v>
      </c>
      <c r="K627" s="1" t="n">
        <v>2240817</v>
      </c>
      <c r="L627" s="1" t="s">
        <v>2286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5" t="n">
        <v>46181</v>
      </c>
      <c r="C628" s="1" t="n">
        <v>6</v>
      </c>
      <c r="D628" s="1" t="s">
        <v>2289</v>
      </c>
      <c r="E628" s="1" t="n">
        <v>42</v>
      </c>
      <c r="F628" s="1" t="s">
        <v>80</v>
      </c>
      <c r="I628" s="1" t="n">
        <v>4246</v>
      </c>
      <c r="J628" s="1" t="n">
        <v>72679</v>
      </c>
      <c r="K628" s="1" t="n">
        <v>246</v>
      </c>
      <c r="L628" s="1" t="s">
        <v>2288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5" t="n">
        <v>46181</v>
      </c>
      <c r="C629" s="1" t="n">
        <v>6</v>
      </c>
      <c r="D629" s="1" t="s">
        <v>2289</v>
      </c>
      <c r="E629" s="1" t="n">
        <v>42</v>
      </c>
      <c r="F629" s="1" t="s">
        <v>80</v>
      </c>
      <c r="I629" s="1" t="n">
        <v>4247</v>
      </c>
      <c r="J629" s="1" t="n">
        <v>100103</v>
      </c>
      <c r="K629" s="1" t="n">
        <v>104</v>
      </c>
      <c r="L629" s="1" t="s">
        <v>2287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5" t="n">
        <v>46181</v>
      </c>
      <c r="C630" s="1" t="n">
        <v>11</v>
      </c>
      <c r="D630" s="1" t="s">
        <v>2290</v>
      </c>
      <c r="E630" s="1" t="n">
        <v>10075</v>
      </c>
      <c r="F630" s="1" t="s">
        <v>301</v>
      </c>
      <c r="I630" s="1" t="n">
        <v>2867</v>
      </c>
      <c r="J630" s="1" t="n">
        <v>80934</v>
      </c>
      <c r="K630" s="1" t="n">
        <v>7898566788899</v>
      </c>
      <c r="L630" s="1" t="s">
        <v>2574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5" t="n">
        <v>46181</v>
      </c>
      <c r="C631" s="1" t="n">
        <v>11</v>
      </c>
      <c r="D631" s="1" t="s">
        <v>2290</v>
      </c>
      <c r="E631" s="1" t="n">
        <v>10075</v>
      </c>
      <c r="F631" s="1" t="s">
        <v>301</v>
      </c>
      <c r="I631" s="1" t="n">
        <v>2867</v>
      </c>
      <c r="J631" s="1" t="n">
        <v>80935</v>
      </c>
      <c r="K631" s="1" t="n">
        <v>7898566788769</v>
      </c>
      <c r="L631" s="1" t="s">
        <v>2575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5" t="n">
        <v>46181</v>
      </c>
      <c r="C632" s="1" t="n">
        <v>11</v>
      </c>
      <c r="D632" s="1" t="s">
        <v>2290</v>
      </c>
      <c r="E632" s="1" t="n">
        <v>10075</v>
      </c>
      <c r="F632" s="1" t="s">
        <v>301</v>
      </c>
      <c r="I632" s="1" t="n">
        <v>2867</v>
      </c>
      <c r="J632" s="1" t="n">
        <v>80936</v>
      </c>
      <c r="K632" s="1" t="n">
        <v>7898566788639</v>
      </c>
      <c r="L632" s="1" t="s">
        <v>2576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5" t="n">
        <v>46181</v>
      </c>
      <c r="C633" s="1" t="n">
        <v>11</v>
      </c>
      <c r="D633" s="1" t="s">
        <v>2290</v>
      </c>
      <c r="E633" s="1" t="n">
        <v>10075</v>
      </c>
      <c r="F633" s="1" t="s">
        <v>301</v>
      </c>
      <c r="I633" s="1" t="n">
        <v>2867</v>
      </c>
      <c r="J633" s="1" t="n">
        <v>80937</v>
      </c>
      <c r="K633" s="1" t="n">
        <v>7908512701275</v>
      </c>
      <c r="L633" s="1" t="s">
        <v>2577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5" t="n">
        <v>46181</v>
      </c>
      <c r="C634" s="1" t="n">
        <v>11</v>
      </c>
      <c r="D634" s="1" t="s">
        <v>2290</v>
      </c>
      <c r="E634" s="1" t="n">
        <v>10075</v>
      </c>
      <c r="F634" s="1" t="s">
        <v>301</v>
      </c>
      <c r="I634" s="1" t="n">
        <v>2867</v>
      </c>
      <c r="J634" s="1" t="n">
        <v>81195</v>
      </c>
      <c r="K634" s="1" t="n">
        <v>7908512700407</v>
      </c>
      <c r="L634" s="1" t="s">
        <v>2578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5" t="n">
        <v>46181</v>
      </c>
      <c r="C635" s="1" t="n">
        <v>11</v>
      </c>
      <c r="D635" s="1" t="s">
        <v>2290</v>
      </c>
      <c r="E635" s="1" t="n">
        <v>10075</v>
      </c>
      <c r="F635" s="1" t="s">
        <v>301</v>
      </c>
      <c r="I635" s="1" t="n">
        <v>2867</v>
      </c>
      <c r="J635" s="1" t="n">
        <v>81196</v>
      </c>
      <c r="K635" s="1" t="n">
        <v>7898566788738</v>
      </c>
      <c r="L635" s="1" t="s">
        <v>2579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5" t="n">
        <v>46181</v>
      </c>
      <c r="C636" s="1" t="n">
        <v>11</v>
      </c>
      <c r="D636" s="1" t="s">
        <v>2290</v>
      </c>
      <c r="E636" s="1" t="n">
        <v>10075</v>
      </c>
      <c r="F636" s="1" t="s">
        <v>301</v>
      </c>
      <c r="I636" s="1" t="n">
        <v>2867</v>
      </c>
      <c r="J636" s="1" t="n">
        <v>81197</v>
      </c>
      <c r="K636" s="1" t="n">
        <v>7898566789148</v>
      </c>
      <c r="L636" s="1" t="s">
        <v>2580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5" t="n">
        <v>46181</v>
      </c>
      <c r="C637" s="1" t="n">
        <v>11</v>
      </c>
      <c r="D637" s="1" t="s">
        <v>2290</v>
      </c>
      <c r="E637" s="1" t="n">
        <v>10075</v>
      </c>
      <c r="F637" s="1" t="s">
        <v>301</v>
      </c>
      <c r="I637" s="1" t="n">
        <v>2867</v>
      </c>
      <c r="J637" s="1" t="n">
        <v>81198</v>
      </c>
      <c r="K637" s="1" t="n">
        <v>7898566788776</v>
      </c>
      <c r="L637" s="1" t="s">
        <v>2581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5" t="n">
        <v>46181</v>
      </c>
      <c r="C638" s="1" t="n">
        <v>11</v>
      </c>
      <c r="D638" s="1" t="s">
        <v>2290</v>
      </c>
      <c r="E638" s="1" t="n">
        <v>10075</v>
      </c>
      <c r="F638" s="1" t="s">
        <v>301</v>
      </c>
      <c r="I638" s="1" t="n">
        <v>2867</v>
      </c>
      <c r="J638" s="1" t="n">
        <v>81199</v>
      </c>
      <c r="K638" s="1" t="n">
        <v>7898566789094</v>
      </c>
      <c r="L638" s="1" t="s">
        <v>2582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5" t="n">
        <v>46181</v>
      </c>
      <c r="C639" s="1" t="n">
        <v>11</v>
      </c>
      <c r="D639" s="1" t="s">
        <v>2290</v>
      </c>
      <c r="E639" s="1" t="n">
        <v>10075</v>
      </c>
      <c r="F639" s="1" t="s">
        <v>301</v>
      </c>
      <c r="I639" s="1" t="n">
        <v>2867</v>
      </c>
      <c r="J639" s="1" t="n">
        <v>81200</v>
      </c>
      <c r="K639" s="1" t="n">
        <v>7898566789476</v>
      </c>
      <c r="L639" s="1" t="s">
        <v>2583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5" t="n">
        <v>46181</v>
      </c>
      <c r="C640" s="1" t="n">
        <v>11</v>
      </c>
      <c r="D640" s="1" t="s">
        <v>2290</v>
      </c>
      <c r="E640" s="1" t="n">
        <v>754</v>
      </c>
      <c r="F640" s="1" t="s">
        <v>223</v>
      </c>
      <c r="I640" s="1" t="n">
        <v>30934</v>
      </c>
      <c r="J640" s="1" t="n">
        <v>110184</v>
      </c>
      <c r="K640" s="1" t="n">
        <v>37393</v>
      </c>
      <c r="L640" s="1" t="s">
        <v>2584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5" t="n">
        <v>46181</v>
      </c>
      <c r="C641" s="1" t="n">
        <v>11</v>
      </c>
      <c r="D641" s="1" t="s">
        <v>2290</v>
      </c>
      <c r="E641" s="1" t="n">
        <v>1723</v>
      </c>
      <c r="F641" s="1" t="s">
        <v>76</v>
      </c>
      <c r="I641" s="1" t="n">
        <v>171154</v>
      </c>
      <c r="J641" s="1" t="n">
        <v>29079</v>
      </c>
      <c r="K641" s="1" t="n">
        <v>55515</v>
      </c>
      <c r="L641" s="1" t="s">
        <v>2360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5" t="n">
        <v>46181</v>
      </c>
      <c r="C642" s="1" t="n">
        <v>11</v>
      </c>
      <c r="D642" s="1" t="s">
        <v>2290</v>
      </c>
      <c r="E642" s="1" t="n">
        <v>1723</v>
      </c>
      <c r="F642" s="1" t="s">
        <v>76</v>
      </c>
      <c r="I642" s="1" t="n">
        <v>171154</v>
      </c>
      <c r="J642" s="1" t="n">
        <v>29080</v>
      </c>
      <c r="K642" s="1" t="n">
        <v>55516</v>
      </c>
      <c r="L642" s="1" t="s">
        <v>2362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5" t="n">
        <v>46181</v>
      </c>
      <c r="C643" s="1" t="n">
        <v>11</v>
      </c>
      <c r="D643" s="1" t="s">
        <v>2290</v>
      </c>
      <c r="E643" s="1" t="n">
        <v>1723</v>
      </c>
      <c r="F643" s="1" t="s">
        <v>76</v>
      </c>
      <c r="I643" s="1" t="n">
        <v>171154</v>
      </c>
      <c r="J643" s="1" t="n">
        <v>78040</v>
      </c>
      <c r="K643" s="1" t="n">
        <v>780414</v>
      </c>
      <c r="L643" s="1" t="s">
        <v>2585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5" t="n">
        <v>46181</v>
      </c>
      <c r="C644" s="1" t="n">
        <v>11</v>
      </c>
      <c r="D644" s="1" t="s">
        <v>2290</v>
      </c>
      <c r="E644" s="1" t="n">
        <v>1815</v>
      </c>
      <c r="F644" s="1" t="s">
        <v>53</v>
      </c>
      <c r="I644" s="1" t="n">
        <v>385527</v>
      </c>
      <c r="J644" s="1" t="n">
        <v>23413</v>
      </c>
      <c r="K644" s="1" t="n">
        <v>7898542022900</v>
      </c>
      <c r="L644" s="1" t="s">
        <v>2586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5" t="n">
        <v>46181</v>
      </c>
      <c r="C645" s="1" t="n">
        <v>11</v>
      </c>
      <c r="D645" s="1" t="s">
        <v>2290</v>
      </c>
      <c r="E645" s="1" t="n">
        <v>1815</v>
      </c>
      <c r="F645" s="1" t="s">
        <v>53</v>
      </c>
      <c r="I645" s="1" t="n">
        <v>385527</v>
      </c>
      <c r="J645" s="1" t="n">
        <v>70044</v>
      </c>
      <c r="K645" s="1" t="n">
        <v>7891515220983</v>
      </c>
      <c r="L645" s="1" t="s">
        <v>2587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5" t="n">
        <v>46181</v>
      </c>
      <c r="C646" s="1" t="n">
        <v>11</v>
      </c>
      <c r="D646" s="1" t="s">
        <v>2290</v>
      </c>
      <c r="E646" s="1" t="n">
        <v>1815</v>
      </c>
      <c r="F646" s="1" t="s">
        <v>53</v>
      </c>
      <c r="I646" s="1" t="n">
        <v>385527</v>
      </c>
      <c r="J646" s="1" t="n">
        <v>79390</v>
      </c>
      <c r="K646" s="1" t="n">
        <v>512</v>
      </c>
      <c r="L646" s="1" t="s">
        <v>2588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5" t="n">
        <v>46181</v>
      </c>
      <c r="C647" s="1" t="n">
        <v>11</v>
      </c>
      <c r="D647" s="1" t="s">
        <v>2290</v>
      </c>
      <c r="E647" s="1" t="n">
        <v>1666</v>
      </c>
      <c r="F647" s="1" t="s">
        <v>212</v>
      </c>
      <c r="I647" s="1" t="n">
        <v>562566</v>
      </c>
      <c r="J647" s="1" t="n">
        <v>24990</v>
      </c>
      <c r="K647" s="1" t="n">
        <v>78935761</v>
      </c>
      <c r="L647" s="1" t="s">
        <v>2589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5" t="n">
        <v>46181</v>
      </c>
      <c r="C648" s="1" t="n">
        <v>11</v>
      </c>
      <c r="D648" s="1" t="s">
        <v>2290</v>
      </c>
      <c r="E648" s="1" t="n">
        <v>1666</v>
      </c>
      <c r="F648" s="1" t="s">
        <v>212</v>
      </c>
      <c r="I648" s="1" t="n">
        <v>562566</v>
      </c>
      <c r="J648" s="1" t="n">
        <v>25661</v>
      </c>
      <c r="K648" s="1" t="n">
        <v>7898591450686</v>
      </c>
      <c r="L648" s="1" t="s">
        <v>2590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5" t="n">
        <v>46181</v>
      </c>
      <c r="C649" s="1" t="n">
        <v>11</v>
      </c>
      <c r="D649" s="1" t="s">
        <v>2290</v>
      </c>
      <c r="E649" s="1" t="n">
        <v>1666</v>
      </c>
      <c r="F649" s="1" t="s">
        <v>212</v>
      </c>
      <c r="I649" s="1" t="n">
        <v>562566</v>
      </c>
      <c r="J649" s="1" t="n">
        <v>25662</v>
      </c>
      <c r="K649" s="1" t="n">
        <v>7898591450662</v>
      </c>
      <c r="L649" s="1" t="s">
        <v>2591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5" t="n">
        <v>46181</v>
      </c>
      <c r="C650" s="1" t="n">
        <v>11</v>
      </c>
      <c r="D650" s="1" t="s">
        <v>2290</v>
      </c>
      <c r="E650" s="1" t="n">
        <v>1666</v>
      </c>
      <c r="F650" s="1" t="s">
        <v>212</v>
      </c>
      <c r="I650" s="1" t="n">
        <v>562566</v>
      </c>
      <c r="J650" s="1" t="n">
        <v>37535</v>
      </c>
      <c r="K650" s="1" t="n">
        <v>78942073</v>
      </c>
      <c r="L650" s="1" t="s">
        <v>2592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5" t="n">
        <v>46181</v>
      </c>
      <c r="C651" s="1" t="n">
        <v>11</v>
      </c>
      <c r="D651" s="1" t="s">
        <v>2290</v>
      </c>
      <c r="E651" s="1" t="n">
        <v>1666</v>
      </c>
      <c r="F651" s="1" t="s">
        <v>212</v>
      </c>
      <c r="I651" s="1" t="n">
        <v>562566</v>
      </c>
      <c r="J651" s="1" t="n">
        <v>37536</v>
      </c>
      <c r="K651" s="1" t="n">
        <v>78942066</v>
      </c>
      <c r="L651" s="1" t="s">
        <v>2593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5" t="n">
        <v>46181</v>
      </c>
      <c r="C652" s="1" t="n">
        <v>11</v>
      </c>
      <c r="D652" s="1" t="s">
        <v>2290</v>
      </c>
      <c r="E652" s="1" t="n">
        <v>1666</v>
      </c>
      <c r="F652" s="1" t="s">
        <v>212</v>
      </c>
      <c r="I652" s="1" t="n">
        <v>562566</v>
      </c>
      <c r="J652" s="1" t="n">
        <v>40750</v>
      </c>
      <c r="K652" s="1" t="n">
        <v>78943032</v>
      </c>
      <c r="L652" s="1" t="s">
        <v>2594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5" t="n">
        <v>46181</v>
      </c>
      <c r="C653" s="1" t="n">
        <v>11</v>
      </c>
      <c r="D653" s="1" t="s">
        <v>2290</v>
      </c>
      <c r="E653" s="1" t="n">
        <v>1666</v>
      </c>
      <c r="F653" s="1" t="s">
        <v>212</v>
      </c>
      <c r="I653" s="1" t="n">
        <v>562566</v>
      </c>
      <c r="J653" s="1" t="n">
        <v>50760</v>
      </c>
      <c r="K653" s="1" t="n">
        <v>78943087</v>
      </c>
      <c r="L653" s="1" t="s">
        <v>2595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5" t="n">
        <v>46181</v>
      </c>
      <c r="C654" s="1" t="n">
        <v>11</v>
      </c>
      <c r="D654" s="1" t="s">
        <v>2290</v>
      </c>
      <c r="E654" s="1" t="n">
        <v>1666</v>
      </c>
      <c r="F654" s="1" t="s">
        <v>212</v>
      </c>
      <c r="I654" s="1" t="n">
        <v>562566</v>
      </c>
      <c r="J654" s="1" t="n">
        <v>53207</v>
      </c>
      <c r="K654" s="1" t="n">
        <v>78944480</v>
      </c>
      <c r="L654" s="1" t="s">
        <v>2596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5" t="n">
        <v>46181</v>
      </c>
      <c r="C655" s="1" t="n">
        <v>11</v>
      </c>
      <c r="D655" s="1" t="s">
        <v>2290</v>
      </c>
      <c r="E655" s="1" t="n">
        <v>1666</v>
      </c>
      <c r="F655" s="1" t="s">
        <v>212</v>
      </c>
      <c r="I655" s="1" t="n">
        <v>562566</v>
      </c>
      <c r="J655" s="1" t="n">
        <v>67009</v>
      </c>
      <c r="K655" s="1" t="n">
        <v>78944237</v>
      </c>
      <c r="L655" s="1" t="s">
        <v>2597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5" t="n">
        <v>46181</v>
      </c>
      <c r="C656" s="1" t="n">
        <v>11</v>
      </c>
      <c r="D656" s="1" t="s">
        <v>2290</v>
      </c>
      <c r="E656" s="1" t="n">
        <v>1666</v>
      </c>
      <c r="F656" s="1" t="s">
        <v>212</v>
      </c>
      <c r="I656" s="1" t="n">
        <v>562566</v>
      </c>
      <c r="J656" s="1" t="n">
        <v>67177</v>
      </c>
      <c r="K656" s="1" t="n">
        <v>78944466</v>
      </c>
      <c r="L656" s="1" t="s">
        <v>2598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5" t="n">
        <v>46181</v>
      </c>
      <c r="C657" s="1" t="n">
        <v>11</v>
      </c>
      <c r="D657" s="1" t="s">
        <v>2290</v>
      </c>
      <c r="E657" s="1" t="n">
        <v>1666</v>
      </c>
      <c r="F657" s="1" t="s">
        <v>212</v>
      </c>
      <c r="I657" s="1" t="n">
        <v>562566</v>
      </c>
      <c r="J657" s="1" t="n">
        <v>77084</v>
      </c>
      <c r="K657" s="1" t="n">
        <v>78947535</v>
      </c>
      <c r="L657" s="1" t="s">
        <v>2599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5" t="n">
        <v>46181</v>
      </c>
      <c r="C658" s="1" t="n">
        <v>11</v>
      </c>
      <c r="D658" s="1" t="s">
        <v>2290</v>
      </c>
      <c r="E658" s="1" t="n">
        <v>1666</v>
      </c>
      <c r="F658" s="1" t="s">
        <v>212</v>
      </c>
      <c r="I658" s="1" t="n">
        <v>562566</v>
      </c>
      <c r="J658" s="1" t="n">
        <v>78170</v>
      </c>
      <c r="K658" s="1" t="n">
        <v>781718</v>
      </c>
      <c r="L658" s="1" t="s">
        <v>2600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5" t="n">
        <v>46181</v>
      </c>
      <c r="C659" s="1" t="n">
        <v>11</v>
      </c>
      <c r="D659" s="1" t="s">
        <v>2290</v>
      </c>
      <c r="E659" s="1" t="n">
        <v>1718</v>
      </c>
      <c r="F659" s="1" t="s">
        <v>408</v>
      </c>
      <c r="I659" s="1" t="n">
        <v>670462</v>
      </c>
      <c r="J659" s="1" t="n">
        <v>72332</v>
      </c>
      <c r="K659" s="1" t="n">
        <v>7622210535016</v>
      </c>
      <c r="L659" s="1" t="s">
        <v>2601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5" t="n">
        <v>46181</v>
      </c>
      <c r="C660" s="1" t="n">
        <v>11</v>
      </c>
      <c r="D660" s="1" t="s">
        <v>2290</v>
      </c>
      <c r="E660" s="1" t="n">
        <v>1672</v>
      </c>
      <c r="F660" s="1" t="s">
        <v>67</v>
      </c>
      <c r="I660" s="1" t="n">
        <v>1364166</v>
      </c>
      <c r="J660" s="1" t="n">
        <v>101308</v>
      </c>
      <c r="K660" s="1" t="n">
        <v>7896579330098</v>
      </c>
      <c r="L660" s="1" t="s">
        <v>2434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5" t="n">
        <v>46181</v>
      </c>
      <c r="C661" s="1" t="n">
        <v>11</v>
      </c>
      <c r="D661" s="1" t="s">
        <v>2290</v>
      </c>
      <c r="E661" s="1" t="n">
        <v>1672</v>
      </c>
      <c r="F661" s="1" t="s">
        <v>67</v>
      </c>
      <c r="I661" s="1" t="n">
        <v>1364166</v>
      </c>
      <c r="J661" s="1" t="n">
        <v>37507</v>
      </c>
      <c r="K661" s="1" t="n">
        <v>7896579310854</v>
      </c>
      <c r="L661" s="1" t="s">
        <v>2435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5" t="n">
        <v>46181</v>
      </c>
      <c r="C662" s="1" t="n">
        <v>11</v>
      </c>
      <c r="D662" s="1" t="s">
        <v>2290</v>
      </c>
      <c r="E662" s="1" t="n">
        <v>10009</v>
      </c>
      <c r="F662" s="1" t="s">
        <v>373</v>
      </c>
      <c r="I662" s="1" t="n">
        <v>1412292</v>
      </c>
      <c r="J662" s="1" t="n">
        <v>102419</v>
      </c>
      <c r="K662" s="1" t="n">
        <v>7891000462300</v>
      </c>
      <c r="L662" s="1" t="s">
        <v>2602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5" t="n">
        <v>46181</v>
      </c>
      <c r="C663" s="1" t="n">
        <v>11</v>
      </c>
      <c r="D663" s="1" t="s">
        <v>2290</v>
      </c>
      <c r="E663" s="1" t="n">
        <v>10009</v>
      </c>
      <c r="F663" s="1" t="s">
        <v>373</v>
      </c>
      <c r="I663" s="1" t="n">
        <v>1412292</v>
      </c>
      <c r="J663" s="1" t="n">
        <v>13105</v>
      </c>
      <c r="K663" s="1" t="n">
        <v>7891000077924</v>
      </c>
      <c r="L663" s="1" t="s">
        <v>2603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15" t="n">
        <v>46181</v>
      </c>
      <c r="C664" s="1" t="n">
        <v>11</v>
      </c>
      <c r="D664" s="1" t="s">
        <v>2290</v>
      </c>
      <c r="E664" s="1" t="n">
        <v>10009</v>
      </c>
      <c r="F664" s="1" t="s">
        <v>373</v>
      </c>
      <c r="I664" s="1" t="n">
        <v>1412292</v>
      </c>
      <c r="J664" s="1" t="n">
        <v>15717</v>
      </c>
      <c r="K664" s="1" t="n">
        <v>7891000089255</v>
      </c>
      <c r="L664" s="1" t="s">
        <v>2604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15" t="n">
        <v>46181</v>
      </c>
      <c r="C665" s="1" t="n">
        <v>11</v>
      </c>
      <c r="D665" s="1" t="s">
        <v>2290</v>
      </c>
      <c r="E665" s="1" t="n">
        <v>10009</v>
      </c>
      <c r="F665" s="1" t="s">
        <v>373</v>
      </c>
      <c r="I665" s="1" t="n">
        <v>1412292</v>
      </c>
      <c r="J665" s="1" t="n">
        <v>29821</v>
      </c>
      <c r="K665" s="1" t="n">
        <v>7891000249239</v>
      </c>
      <c r="L665" s="1" t="s">
        <v>2605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5" t="n">
        <v>46181</v>
      </c>
      <c r="C666" s="1" t="n">
        <v>11</v>
      </c>
      <c r="D666" s="1" t="s">
        <v>2290</v>
      </c>
      <c r="E666" s="1" t="n">
        <v>10009</v>
      </c>
      <c r="F666" s="1" t="s">
        <v>373</v>
      </c>
      <c r="I666" s="1" t="n">
        <v>1412292</v>
      </c>
      <c r="J666" s="1" t="n">
        <v>51851</v>
      </c>
      <c r="K666" s="1" t="n">
        <v>7891000251539</v>
      </c>
      <c r="L666" s="1" t="s">
        <v>2606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5" t="n">
        <v>46181</v>
      </c>
      <c r="C667" s="1" t="n">
        <v>11</v>
      </c>
      <c r="D667" s="1" t="s">
        <v>2290</v>
      </c>
      <c r="E667" s="1" t="n">
        <v>10009</v>
      </c>
      <c r="F667" s="1" t="s">
        <v>373</v>
      </c>
      <c r="I667" s="1" t="n">
        <v>1412292</v>
      </c>
      <c r="J667" s="1" t="n">
        <v>52108</v>
      </c>
      <c r="K667" s="1" t="n">
        <v>7891000364253</v>
      </c>
      <c r="L667" s="1" t="s">
        <v>2607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5" t="n">
        <v>46181</v>
      </c>
      <c r="C668" s="1" t="n">
        <v>11</v>
      </c>
      <c r="D668" s="1" t="s">
        <v>2290</v>
      </c>
      <c r="E668" s="1" t="n">
        <v>10009</v>
      </c>
      <c r="F668" s="1" t="s">
        <v>373</v>
      </c>
      <c r="I668" s="1" t="n">
        <v>1412292</v>
      </c>
      <c r="J668" s="1" t="n">
        <v>54907</v>
      </c>
      <c r="K668" s="1" t="n">
        <v>7891000376768</v>
      </c>
      <c r="L668" s="1" t="s">
        <v>2608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5" t="n">
        <v>46181</v>
      </c>
      <c r="C669" s="1" t="n">
        <v>11</v>
      </c>
      <c r="D669" s="1" t="s">
        <v>2290</v>
      </c>
      <c r="E669" s="1" t="n">
        <v>10009</v>
      </c>
      <c r="F669" s="1" t="s">
        <v>373</v>
      </c>
      <c r="I669" s="1" t="n">
        <v>1412292</v>
      </c>
      <c r="J669" s="1" t="n">
        <v>58216</v>
      </c>
      <c r="K669" s="1" t="n">
        <v>7891000376959</v>
      </c>
      <c r="L669" s="1" t="s">
        <v>2609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5" t="n">
        <v>46181</v>
      </c>
      <c r="C670" s="1" t="n">
        <v>11</v>
      </c>
      <c r="D670" s="1" t="s">
        <v>2290</v>
      </c>
      <c r="E670" s="1" t="n">
        <v>10009</v>
      </c>
      <c r="F670" s="1" t="s">
        <v>373</v>
      </c>
      <c r="I670" s="1" t="n">
        <v>1412293</v>
      </c>
      <c r="J670" s="1" t="n">
        <v>101930</v>
      </c>
      <c r="K670" s="1" t="n">
        <v>7891000026182</v>
      </c>
      <c r="L670" s="1" t="s">
        <v>2610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5" t="n">
        <v>46181</v>
      </c>
      <c r="C671" s="1" t="n">
        <v>11</v>
      </c>
      <c r="D671" s="1" t="s">
        <v>2290</v>
      </c>
      <c r="E671" s="1" t="n">
        <v>10009</v>
      </c>
      <c r="F671" s="1" t="s">
        <v>373</v>
      </c>
      <c r="I671" s="1" t="n">
        <v>1412293</v>
      </c>
      <c r="J671" s="1" t="n">
        <v>102418</v>
      </c>
      <c r="K671" s="1" t="n">
        <v>7891000460207</v>
      </c>
      <c r="L671" s="1" t="s">
        <v>2611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5" t="n">
        <v>46181</v>
      </c>
      <c r="C672" s="1" t="n">
        <v>11</v>
      </c>
      <c r="D672" s="1" t="s">
        <v>2290</v>
      </c>
      <c r="E672" s="1" t="n">
        <v>10009</v>
      </c>
      <c r="F672" s="1" t="s">
        <v>373</v>
      </c>
      <c r="I672" s="1" t="n">
        <v>1412293</v>
      </c>
      <c r="J672" s="1" t="n">
        <v>13038</v>
      </c>
      <c r="K672" s="1" t="n">
        <v>7891000077962</v>
      </c>
      <c r="L672" s="1" t="s">
        <v>2612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5" t="n">
        <v>46181</v>
      </c>
      <c r="C673" s="1" t="n">
        <v>11</v>
      </c>
      <c r="D673" s="1" t="s">
        <v>2290</v>
      </c>
      <c r="E673" s="1" t="n">
        <v>10009</v>
      </c>
      <c r="F673" s="1" t="s">
        <v>373</v>
      </c>
      <c r="I673" s="1" t="n">
        <v>1412293</v>
      </c>
      <c r="J673" s="1" t="n">
        <v>26412</v>
      </c>
      <c r="K673" s="1" t="n">
        <v>7891000248768</v>
      </c>
      <c r="L673" s="1" t="s">
        <v>2613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5" t="n">
        <v>46181</v>
      </c>
      <c r="C674" s="1" t="n">
        <v>11</v>
      </c>
      <c r="D674" s="1" t="s">
        <v>2290</v>
      </c>
      <c r="E674" s="1" t="n">
        <v>10009</v>
      </c>
      <c r="F674" s="1" t="s">
        <v>373</v>
      </c>
      <c r="I674" s="1" t="n">
        <v>1412293</v>
      </c>
      <c r="J674" s="1" t="n">
        <v>41577</v>
      </c>
      <c r="K674" s="1" t="n">
        <v>7891000251515</v>
      </c>
      <c r="L674" s="1" t="s">
        <v>2614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5" t="n">
        <v>46181</v>
      </c>
      <c r="C675" s="1" t="n">
        <v>11</v>
      </c>
      <c r="D675" s="1" t="s">
        <v>2290</v>
      </c>
      <c r="E675" s="1" t="n">
        <v>10009</v>
      </c>
      <c r="F675" s="1" t="s">
        <v>373</v>
      </c>
      <c r="I675" s="1" t="n">
        <v>1412293</v>
      </c>
      <c r="J675" s="1" t="n">
        <v>51846</v>
      </c>
      <c r="K675" s="1" t="n">
        <v>7891000368268</v>
      </c>
      <c r="L675" s="1" t="s">
        <v>2615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5" t="n">
        <v>46181</v>
      </c>
      <c r="C676" s="1" t="n">
        <v>11</v>
      </c>
      <c r="D676" s="1" t="s">
        <v>2290</v>
      </c>
      <c r="E676" s="1" t="n">
        <v>10009</v>
      </c>
      <c r="F676" s="1" t="s">
        <v>373</v>
      </c>
      <c r="I676" s="1" t="n">
        <v>1412293</v>
      </c>
      <c r="J676" s="1" t="n">
        <v>81180</v>
      </c>
      <c r="K676" s="1" t="n">
        <v>7891000457368</v>
      </c>
      <c r="L676" s="1" t="s">
        <v>2616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5" t="n">
        <v>46181</v>
      </c>
      <c r="C677" s="1" t="n">
        <v>11</v>
      </c>
      <c r="D677" s="1" t="s">
        <v>2290</v>
      </c>
      <c r="E677" s="1" t="n">
        <v>10009</v>
      </c>
      <c r="F677" s="1" t="s">
        <v>373</v>
      </c>
      <c r="I677" s="1" t="n">
        <v>1412294</v>
      </c>
      <c r="J677" s="1" t="n">
        <v>101932</v>
      </c>
      <c r="K677" s="1" t="n">
        <v>7891000582107</v>
      </c>
      <c r="L677" s="1" t="s">
        <v>2617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5" t="n">
        <v>46181</v>
      </c>
      <c r="C678" s="1" t="n">
        <v>11</v>
      </c>
      <c r="D678" s="1" t="s">
        <v>2290</v>
      </c>
      <c r="E678" s="1" t="n">
        <v>10009</v>
      </c>
      <c r="F678" s="1" t="s">
        <v>373</v>
      </c>
      <c r="I678" s="1" t="n">
        <v>1412294</v>
      </c>
      <c r="J678" s="1" t="n">
        <v>19987</v>
      </c>
      <c r="K678" s="1" t="n">
        <v>7891000101926</v>
      </c>
      <c r="L678" s="1" t="s">
        <v>2618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5" t="n">
        <v>46181</v>
      </c>
      <c r="C679" s="1" t="n">
        <v>11</v>
      </c>
      <c r="D679" s="1" t="s">
        <v>2290</v>
      </c>
      <c r="E679" s="1" t="n">
        <v>10009</v>
      </c>
      <c r="F679" s="1" t="s">
        <v>373</v>
      </c>
      <c r="I679" s="1" t="n">
        <v>1412294</v>
      </c>
      <c r="J679" s="1" t="n">
        <v>24777</v>
      </c>
      <c r="K679" s="1" t="n">
        <v>7891000241370</v>
      </c>
      <c r="L679" s="1" t="s">
        <v>2619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5" t="n">
        <v>46181</v>
      </c>
      <c r="C680" s="1" t="n">
        <v>11</v>
      </c>
      <c r="D680" s="1" t="s">
        <v>2290</v>
      </c>
      <c r="E680" s="1" t="n">
        <v>10009</v>
      </c>
      <c r="F680" s="1" t="s">
        <v>373</v>
      </c>
      <c r="I680" s="1" t="n">
        <v>1412294</v>
      </c>
      <c r="J680" s="1" t="n">
        <v>47564</v>
      </c>
      <c r="K680" s="1" t="n">
        <v>7891000319628</v>
      </c>
      <c r="L680" s="1" t="s">
        <v>2620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5" t="n">
        <v>46181</v>
      </c>
      <c r="C681" s="1" t="n">
        <v>11</v>
      </c>
      <c r="D681" s="1" t="s">
        <v>2290</v>
      </c>
      <c r="E681" s="1" t="n">
        <v>10009</v>
      </c>
      <c r="F681" s="1" t="s">
        <v>373</v>
      </c>
      <c r="I681" s="1" t="n">
        <v>1412294</v>
      </c>
      <c r="J681" s="1" t="n">
        <v>48868</v>
      </c>
      <c r="K681" s="1" t="n">
        <v>7891000359822</v>
      </c>
      <c r="L681" s="1" t="s">
        <v>2621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5" t="n">
        <v>46181</v>
      </c>
      <c r="C682" s="1" t="n">
        <v>11</v>
      </c>
      <c r="D682" s="1" t="s">
        <v>2290</v>
      </c>
      <c r="E682" s="1" t="n">
        <v>10009</v>
      </c>
      <c r="F682" s="1" t="s">
        <v>373</v>
      </c>
      <c r="I682" s="1" t="n">
        <v>1412294</v>
      </c>
      <c r="J682" s="1" t="n">
        <v>51852</v>
      </c>
      <c r="K682" s="1" t="n">
        <v>7891000372586</v>
      </c>
      <c r="L682" s="1" t="s">
        <v>2622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5" t="n">
        <v>46181</v>
      </c>
      <c r="C683" s="1" t="n">
        <v>11</v>
      </c>
      <c r="D683" s="1" t="s">
        <v>2290</v>
      </c>
      <c r="E683" s="1" t="n">
        <v>10009</v>
      </c>
      <c r="F683" s="1" t="s">
        <v>373</v>
      </c>
      <c r="I683" s="1" t="n">
        <v>1412294</v>
      </c>
      <c r="J683" s="1" t="n">
        <v>54906</v>
      </c>
      <c r="K683" s="1" t="n">
        <v>7891000377130</v>
      </c>
      <c r="L683" s="1" t="s">
        <v>2623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5" t="n">
        <v>46181</v>
      </c>
      <c r="C684" s="1" t="n">
        <v>11</v>
      </c>
      <c r="D684" s="1" t="s">
        <v>2290</v>
      </c>
      <c r="E684" s="1" t="n">
        <v>10009</v>
      </c>
      <c r="F684" s="1" t="s">
        <v>373</v>
      </c>
      <c r="I684" s="1" t="n">
        <v>1412294</v>
      </c>
      <c r="J684" s="1" t="n">
        <v>58706</v>
      </c>
      <c r="K684" s="1" t="n">
        <v>7891000376843</v>
      </c>
      <c r="L684" s="1" t="s">
        <v>2624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5" t="n">
        <v>46181</v>
      </c>
      <c r="C685" s="1" t="n">
        <v>11</v>
      </c>
      <c r="D685" s="1" t="s">
        <v>2290</v>
      </c>
      <c r="E685" s="1" t="n">
        <v>10009</v>
      </c>
      <c r="F685" s="1" t="s">
        <v>373</v>
      </c>
      <c r="I685" s="1" t="n">
        <v>1412295</v>
      </c>
      <c r="J685" s="1" t="n">
        <v>47560</v>
      </c>
      <c r="K685" s="1" t="n">
        <v>7891000319505</v>
      </c>
      <c r="L685" s="1" t="s">
        <v>2625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5" t="n">
        <v>46181</v>
      </c>
      <c r="C686" s="1" t="n">
        <v>11</v>
      </c>
      <c r="D686" s="1" t="s">
        <v>2290</v>
      </c>
      <c r="E686" s="1" t="n">
        <v>10009</v>
      </c>
      <c r="F686" s="1" t="s">
        <v>373</v>
      </c>
      <c r="I686" s="1" t="n">
        <v>1412295</v>
      </c>
      <c r="J686" s="1" t="n">
        <v>47563</v>
      </c>
      <c r="K686" s="1" t="n">
        <v>7891000319543</v>
      </c>
      <c r="L686" s="1" t="s">
        <v>2626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5" t="n">
        <v>46181</v>
      </c>
      <c r="C687" s="1" t="n">
        <v>11</v>
      </c>
      <c r="D687" s="1" t="s">
        <v>2290</v>
      </c>
      <c r="E687" s="1" t="n">
        <v>10009</v>
      </c>
      <c r="F687" s="1" t="s">
        <v>373</v>
      </c>
      <c r="I687" s="1" t="n">
        <v>1412477</v>
      </c>
      <c r="J687" s="1" t="n">
        <v>12588</v>
      </c>
      <c r="K687" s="1" t="n">
        <v>7891000067048</v>
      </c>
      <c r="L687" s="1" t="s">
        <v>2627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5" t="n">
        <v>46181</v>
      </c>
      <c r="C688" s="1" t="n">
        <v>11</v>
      </c>
      <c r="D688" s="1" t="s">
        <v>2290</v>
      </c>
      <c r="E688" s="1" t="n">
        <v>10009</v>
      </c>
      <c r="F688" s="1" t="s">
        <v>373</v>
      </c>
      <c r="I688" s="1" t="n">
        <v>1412477</v>
      </c>
      <c r="J688" s="1" t="n">
        <v>14234</v>
      </c>
      <c r="K688" s="1" t="n">
        <v>7891000081501</v>
      </c>
      <c r="L688" s="1" t="s">
        <v>2628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5" t="n">
        <v>46181</v>
      </c>
      <c r="C689" s="1" t="n">
        <v>11</v>
      </c>
      <c r="D689" s="1" t="s">
        <v>2290</v>
      </c>
      <c r="E689" s="1" t="n">
        <v>10009</v>
      </c>
      <c r="F689" s="1" t="s">
        <v>373</v>
      </c>
      <c r="I689" s="1" t="n">
        <v>1412477</v>
      </c>
      <c r="J689" s="1" t="n">
        <v>15718</v>
      </c>
      <c r="K689" s="1" t="n">
        <v>7891000089279</v>
      </c>
      <c r="L689" s="1" t="s">
        <v>2629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5" t="n">
        <v>46181</v>
      </c>
      <c r="C690" s="1" t="n">
        <v>11</v>
      </c>
      <c r="D690" s="1" t="s">
        <v>2290</v>
      </c>
      <c r="E690" s="1" t="n">
        <v>10009</v>
      </c>
      <c r="F690" s="1" t="s">
        <v>373</v>
      </c>
      <c r="I690" s="1" t="n">
        <v>1412477</v>
      </c>
      <c r="J690" s="1" t="n">
        <v>16667</v>
      </c>
      <c r="K690" s="1" t="n">
        <v>7891000090732</v>
      </c>
      <c r="L690" s="1" t="s">
        <v>2630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5" t="n">
        <v>46181</v>
      </c>
      <c r="C691" s="1" t="n">
        <v>11</v>
      </c>
      <c r="D691" s="1" t="s">
        <v>2290</v>
      </c>
      <c r="E691" s="1" t="n">
        <v>10009</v>
      </c>
      <c r="F691" s="1" t="s">
        <v>373</v>
      </c>
      <c r="I691" s="1" t="n">
        <v>1412477</v>
      </c>
      <c r="J691" s="1" t="n">
        <v>26645</v>
      </c>
      <c r="K691" s="1" t="n">
        <v>7891000242483</v>
      </c>
      <c r="L691" s="1" t="s">
        <v>2631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5" t="n">
        <v>46181</v>
      </c>
      <c r="C692" s="1" t="n">
        <v>11</v>
      </c>
      <c r="D692" s="1" t="s">
        <v>2290</v>
      </c>
      <c r="E692" s="1" t="n">
        <v>10009</v>
      </c>
      <c r="F692" s="1" t="s">
        <v>373</v>
      </c>
      <c r="I692" s="1" t="n">
        <v>1412477</v>
      </c>
      <c r="J692" s="1" t="n">
        <v>54900</v>
      </c>
      <c r="K692" s="1" t="n">
        <v>7891000376805</v>
      </c>
      <c r="L692" s="1" t="s">
        <v>2632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5" t="n">
        <v>46181</v>
      </c>
      <c r="C693" s="1" t="n">
        <v>11</v>
      </c>
      <c r="D693" s="1" t="s">
        <v>2290</v>
      </c>
      <c r="E693" s="1" t="n">
        <v>10009</v>
      </c>
      <c r="F693" s="1" t="s">
        <v>373</v>
      </c>
      <c r="I693" s="1" t="n">
        <v>1412477</v>
      </c>
      <c r="J693" s="1" t="n">
        <v>64063</v>
      </c>
      <c r="K693" s="1" t="n">
        <v>7891000389171</v>
      </c>
      <c r="L693" s="1" t="s">
        <v>2633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5" t="n">
        <v>46181</v>
      </c>
      <c r="C694" s="1" t="n">
        <v>11</v>
      </c>
      <c r="D694" s="1" t="s">
        <v>2290</v>
      </c>
      <c r="E694" s="1" t="n">
        <v>1608</v>
      </c>
      <c r="F694" s="1" t="s">
        <v>41</v>
      </c>
      <c r="I694" s="1" t="n">
        <v>1668832</v>
      </c>
      <c r="J694" s="1" t="n">
        <v>101947</v>
      </c>
      <c r="K694" s="1" t="n">
        <v>7891079001028</v>
      </c>
      <c r="L694" s="1" t="s">
        <v>2634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5" t="n">
        <v>46181</v>
      </c>
      <c r="C695" s="1" t="n">
        <v>11</v>
      </c>
      <c r="D695" s="1" t="s">
        <v>2290</v>
      </c>
      <c r="E695" s="1" t="n">
        <v>1608</v>
      </c>
      <c r="F695" s="1" t="s">
        <v>41</v>
      </c>
      <c r="I695" s="1" t="n">
        <v>1668832</v>
      </c>
      <c r="J695" s="1" t="n">
        <v>101948</v>
      </c>
      <c r="K695" s="1" t="n">
        <v>7891079001011</v>
      </c>
      <c r="L695" s="1" t="s">
        <v>2635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5" t="n">
        <v>46181</v>
      </c>
      <c r="C696" s="1" t="n">
        <v>11</v>
      </c>
      <c r="D696" s="1" t="s">
        <v>2290</v>
      </c>
      <c r="E696" s="1" t="n">
        <v>1608</v>
      </c>
      <c r="F696" s="1" t="s">
        <v>41</v>
      </c>
      <c r="I696" s="1" t="n">
        <v>1668832</v>
      </c>
      <c r="J696" s="1" t="n">
        <v>101949</v>
      </c>
      <c r="K696" s="1" t="n">
        <v>7891079001004</v>
      </c>
      <c r="L696" s="1" t="s">
        <v>2636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5" t="n">
        <v>46181</v>
      </c>
      <c r="C697" s="1" t="n">
        <v>11</v>
      </c>
      <c r="D697" s="1" t="s">
        <v>2290</v>
      </c>
      <c r="E697" s="1" t="n">
        <v>1608</v>
      </c>
      <c r="F697" s="1" t="s">
        <v>41</v>
      </c>
      <c r="I697" s="1" t="n">
        <v>1668832</v>
      </c>
      <c r="J697" s="1" t="n">
        <v>101953</v>
      </c>
      <c r="K697" s="1" t="n">
        <v>7891079000229</v>
      </c>
      <c r="L697" s="1" t="s">
        <v>2637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5" t="n">
        <v>46181</v>
      </c>
      <c r="C698" s="1" t="n">
        <v>11</v>
      </c>
      <c r="D698" s="1" t="s">
        <v>2290</v>
      </c>
      <c r="E698" s="1" t="n">
        <v>1608</v>
      </c>
      <c r="F698" s="1" t="s">
        <v>41</v>
      </c>
      <c r="I698" s="1" t="n">
        <v>1668832</v>
      </c>
      <c r="J698" s="1" t="n">
        <v>101954</v>
      </c>
      <c r="K698" s="1" t="n">
        <v>7891079000212</v>
      </c>
      <c r="L698" s="1" t="s">
        <v>2638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5" t="n">
        <v>46181</v>
      </c>
      <c r="C699" s="1" t="n">
        <v>11</v>
      </c>
      <c r="D699" s="1" t="s">
        <v>2290</v>
      </c>
      <c r="E699" s="1" t="n">
        <v>1608</v>
      </c>
      <c r="F699" s="1" t="s">
        <v>41</v>
      </c>
      <c r="I699" s="1" t="n">
        <v>1668832</v>
      </c>
      <c r="J699" s="1" t="n">
        <v>101957</v>
      </c>
      <c r="K699" s="1" t="n">
        <v>7891079000205</v>
      </c>
      <c r="L699" s="1" t="s">
        <v>2639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5" t="n">
        <v>46181</v>
      </c>
      <c r="C700" s="1" t="n">
        <v>11</v>
      </c>
      <c r="D700" s="1" t="s">
        <v>2290</v>
      </c>
      <c r="E700" s="1" t="n">
        <v>1608</v>
      </c>
      <c r="F700" s="1" t="s">
        <v>41</v>
      </c>
      <c r="I700" s="1" t="n">
        <v>1668832</v>
      </c>
      <c r="J700" s="1" t="n">
        <v>107876</v>
      </c>
      <c r="K700" s="1" t="n">
        <v>7891079006009</v>
      </c>
      <c r="L700" s="1" t="s">
        <v>2640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5" t="n">
        <v>46181</v>
      </c>
      <c r="C701" s="1" t="n">
        <v>11</v>
      </c>
      <c r="D701" s="1" t="s">
        <v>2290</v>
      </c>
      <c r="E701" s="1" t="n">
        <v>1608</v>
      </c>
      <c r="F701" s="1" t="s">
        <v>41</v>
      </c>
      <c r="I701" s="1" t="n">
        <v>1668832</v>
      </c>
      <c r="J701" s="1" t="n">
        <v>12764</v>
      </c>
      <c r="K701" s="1" t="n">
        <v>7891079011775</v>
      </c>
      <c r="L701" s="1" t="s">
        <v>2641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5" t="n">
        <v>46181</v>
      </c>
      <c r="C702" s="1" t="n">
        <v>11</v>
      </c>
      <c r="D702" s="1" t="s">
        <v>2290</v>
      </c>
      <c r="E702" s="1" t="n">
        <v>1608</v>
      </c>
      <c r="F702" s="1" t="s">
        <v>41</v>
      </c>
      <c r="I702" s="1" t="n">
        <v>1668832</v>
      </c>
      <c r="J702" s="1" t="n">
        <v>19594</v>
      </c>
      <c r="K702" s="1" t="n">
        <v>7891079000434</v>
      </c>
      <c r="L702" s="1" t="s">
        <v>2642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5" t="n">
        <v>46181</v>
      </c>
      <c r="C703" s="1" t="n">
        <v>11</v>
      </c>
      <c r="D703" s="1" t="s">
        <v>2290</v>
      </c>
      <c r="E703" s="1" t="n">
        <v>1608</v>
      </c>
      <c r="F703" s="1" t="s">
        <v>41</v>
      </c>
      <c r="I703" s="1" t="n">
        <v>1668832</v>
      </c>
      <c r="J703" s="1" t="n">
        <v>27996</v>
      </c>
      <c r="K703" s="1" t="n">
        <v>7891079013083</v>
      </c>
      <c r="L703" s="1" t="s">
        <v>2643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5" t="n">
        <v>46181</v>
      </c>
      <c r="C704" s="1" t="n">
        <v>11</v>
      </c>
      <c r="D704" s="1" t="s">
        <v>2290</v>
      </c>
      <c r="E704" s="1" t="n">
        <v>1608</v>
      </c>
      <c r="F704" s="1" t="s">
        <v>41</v>
      </c>
      <c r="I704" s="1" t="n">
        <v>1668832</v>
      </c>
      <c r="J704" s="1" t="n">
        <v>27997</v>
      </c>
      <c r="K704" s="1" t="n">
        <v>7891079013106</v>
      </c>
      <c r="L704" s="1" t="s">
        <v>2644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5" t="n">
        <v>46181</v>
      </c>
      <c r="C705" s="1" t="n">
        <v>11</v>
      </c>
      <c r="D705" s="1" t="s">
        <v>2290</v>
      </c>
      <c r="E705" s="1" t="n">
        <v>1608</v>
      </c>
      <c r="F705" s="1" t="s">
        <v>41</v>
      </c>
      <c r="I705" s="1" t="n">
        <v>1668832</v>
      </c>
      <c r="J705" s="1" t="n">
        <v>27998</v>
      </c>
      <c r="K705" s="1" t="n">
        <v>7891079013045</v>
      </c>
      <c r="L705" s="1" t="s">
        <v>2645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5" t="n">
        <v>46181</v>
      </c>
      <c r="C706" s="1" t="n">
        <v>11</v>
      </c>
      <c r="D706" s="1" t="s">
        <v>2290</v>
      </c>
      <c r="E706" s="1" t="n">
        <v>1608</v>
      </c>
      <c r="F706" s="1" t="s">
        <v>41</v>
      </c>
      <c r="I706" s="1" t="n">
        <v>1668832</v>
      </c>
      <c r="J706" s="1" t="n">
        <v>28032</v>
      </c>
      <c r="K706" s="1" t="n">
        <v>7891079013038</v>
      </c>
      <c r="L706" s="1" t="s">
        <v>2646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5" t="n">
        <v>46181</v>
      </c>
      <c r="C707" s="1" t="n">
        <v>11</v>
      </c>
      <c r="D707" s="1" t="s">
        <v>2290</v>
      </c>
      <c r="E707" s="1" t="n">
        <v>1608</v>
      </c>
      <c r="F707" s="1" t="s">
        <v>41</v>
      </c>
      <c r="I707" s="1" t="n">
        <v>1668832</v>
      </c>
      <c r="J707" s="1" t="n">
        <v>28033</v>
      </c>
      <c r="K707" s="1" t="n">
        <v>7891079013120</v>
      </c>
      <c r="L707" s="1" t="s">
        <v>2647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5" t="n">
        <v>46181</v>
      </c>
      <c r="C708" s="1" t="n">
        <v>11</v>
      </c>
      <c r="D708" s="1" t="s">
        <v>2290</v>
      </c>
      <c r="E708" s="1" t="n">
        <v>1608</v>
      </c>
      <c r="F708" s="1" t="s">
        <v>41</v>
      </c>
      <c r="I708" s="1" t="n">
        <v>1668832</v>
      </c>
      <c r="J708" s="1" t="n">
        <v>28034</v>
      </c>
      <c r="K708" s="1" t="n">
        <v>7891079013069</v>
      </c>
      <c r="L708" s="1" t="s">
        <v>2648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5" t="n">
        <v>46181</v>
      </c>
      <c r="C709" s="1" t="n">
        <v>11</v>
      </c>
      <c r="D709" s="1" t="s">
        <v>2290</v>
      </c>
      <c r="E709" s="1" t="n">
        <v>1608</v>
      </c>
      <c r="F709" s="1" t="s">
        <v>41</v>
      </c>
      <c r="I709" s="1" t="n">
        <v>1668832</v>
      </c>
      <c r="J709" s="1" t="n">
        <v>28035</v>
      </c>
      <c r="K709" s="1" t="n">
        <v>7891079013052</v>
      </c>
      <c r="L709" s="1" t="s">
        <v>2649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5" t="n">
        <v>46181</v>
      </c>
      <c r="C710" s="1" t="n">
        <v>11</v>
      </c>
      <c r="D710" s="1" t="s">
        <v>2290</v>
      </c>
      <c r="E710" s="1" t="n">
        <v>1608</v>
      </c>
      <c r="F710" s="1" t="s">
        <v>41</v>
      </c>
      <c r="I710" s="1" t="n">
        <v>1668832</v>
      </c>
      <c r="J710" s="1" t="n">
        <v>29473</v>
      </c>
      <c r="K710" s="1" t="n">
        <v>7891079013090</v>
      </c>
      <c r="L710" s="1" t="s">
        <v>2650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5" t="n">
        <v>46181</v>
      </c>
      <c r="C711" s="1" t="n">
        <v>11</v>
      </c>
      <c r="D711" s="1" t="s">
        <v>2290</v>
      </c>
      <c r="E711" s="1" t="n">
        <v>1608</v>
      </c>
      <c r="F711" s="1" t="s">
        <v>41</v>
      </c>
      <c r="I711" s="1" t="n">
        <v>1668832</v>
      </c>
      <c r="J711" s="1" t="n">
        <v>29594</v>
      </c>
      <c r="K711" s="1" t="n">
        <v>7896009301162</v>
      </c>
      <c r="L711" s="1" t="s">
        <v>2651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5" t="n">
        <v>46181</v>
      </c>
      <c r="C712" s="1" t="n">
        <v>11</v>
      </c>
      <c r="D712" s="1" t="s">
        <v>2290</v>
      </c>
      <c r="E712" s="1" t="n">
        <v>1608</v>
      </c>
      <c r="F712" s="1" t="s">
        <v>41</v>
      </c>
      <c r="I712" s="1" t="n">
        <v>1668832</v>
      </c>
      <c r="J712" s="1" t="n">
        <v>29860</v>
      </c>
      <c r="K712" s="1" t="n">
        <v>7896009301193</v>
      </c>
      <c r="L712" s="1" t="s">
        <v>2652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5" t="n">
        <v>46181</v>
      </c>
      <c r="C713" s="1" t="n">
        <v>11</v>
      </c>
      <c r="D713" s="1" t="s">
        <v>2290</v>
      </c>
      <c r="E713" s="1" t="n">
        <v>1608</v>
      </c>
      <c r="F713" s="1" t="s">
        <v>41</v>
      </c>
      <c r="I713" s="1" t="n">
        <v>1668832</v>
      </c>
      <c r="J713" s="1" t="n">
        <v>30991</v>
      </c>
      <c r="K713" s="1" t="n">
        <v>7891079013076</v>
      </c>
      <c r="L713" s="1" t="s">
        <v>2653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5" t="n">
        <v>46181</v>
      </c>
      <c r="C714" s="1" t="n">
        <v>11</v>
      </c>
      <c r="D714" s="1" t="s">
        <v>2290</v>
      </c>
      <c r="E714" s="1" t="n">
        <v>1608</v>
      </c>
      <c r="F714" s="1" t="s">
        <v>41</v>
      </c>
      <c r="I714" s="1" t="n">
        <v>1668832</v>
      </c>
      <c r="J714" s="1" t="n">
        <v>36074</v>
      </c>
      <c r="K714" s="1" t="n">
        <v>9504578</v>
      </c>
      <c r="L714" s="1" t="s">
        <v>2654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5" t="n">
        <v>46181</v>
      </c>
      <c r="C715" s="1" t="n">
        <v>11</v>
      </c>
      <c r="D715" s="1" t="s">
        <v>2290</v>
      </c>
      <c r="E715" s="1" t="n">
        <v>1608</v>
      </c>
      <c r="F715" s="1" t="s">
        <v>41</v>
      </c>
      <c r="I715" s="1" t="n">
        <v>1668832</v>
      </c>
      <c r="J715" s="1" t="n">
        <v>43773</v>
      </c>
      <c r="K715" s="1" t="n">
        <v>7896114990190</v>
      </c>
      <c r="L715" s="1" t="s">
        <v>2655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5" t="n">
        <v>46181</v>
      </c>
      <c r="C716" s="1" t="n">
        <v>11</v>
      </c>
      <c r="D716" s="1" t="s">
        <v>2290</v>
      </c>
      <c r="E716" s="1" t="n">
        <v>1608</v>
      </c>
      <c r="F716" s="1" t="s">
        <v>41</v>
      </c>
      <c r="I716" s="1" t="n">
        <v>1668832</v>
      </c>
      <c r="J716" s="1" t="n">
        <v>43774</v>
      </c>
      <c r="K716" s="1" t="n">
        <v>7896114990206</v>
      </c>
      <c r="L716" s="1" t="s">
        <v>2656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5" t="n">
        <v>46181</v>
      </c>
      <c r="C717" s="1" t="n">
        <v>11</v>
      </c>
      <c r="D717" s="1" t="s">
        <v>2290</v>
      </c>
      <c r="E717" s="1" t="n">
        <v>1608</v>
      </c>
      <c r="F717" s="1" t="s">
        <v>41</v>
      </c>
      <c r="I717" s="1" t="n">
        <v>1668832</v>
      </c>
      <c r="J717" s="1" t="n">
        <v>61507</v>
      </c>
      <c r="K717" s="1" t="n">
        <v>7891079014028</v>
      </c>
      <c r="L717" s="1" t="s">
        <v>2657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5" t="n">
        <v>46181</v>
      </c>
      <c r="C718" s="1" t="n">
        <v>11</v>
      </c>
      <c r="D718" s="1" t="s">
        <v>2290</v>
      </c>
      <c r="E718" s="1" t="n">
        <v>1608</v>
      </c>
      <c r="F718" s="1" t="s">
        <v>41</v>
      </c>
      <c r="I718" s="1" t="n">
        <v>1668832</v>
      </c>
      <c r="J718" s="1" t="n">
        <v>61853</v>
      </c>
      <c r="K718" s="1" t="n">
        <v>7896071030021</v>
      </c>
      <c r="L718" s="1" t="s">
        <v>2658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5" t="n">
        <v>46181</v>
      </c>
      <c r="C719" s="1" t="n">
        <v>11</v>
      </c>
      <c r="D719" s="1" t="s">
        <v>2290</v>
      </c>
      <c r="E719" s="1" t="n">
        <v>1608</v>
      </c>
      <c r="F719" s="1" t="s">
        <v>41</v>
      </c>
      <c r="I719" s="1" t="n">
        <v>1668832</v>
      </c>
      <c r="J719" s="1" t="n">
        <v>62566</v>
      </c>
      <c r="K719" s="1" t="n">
        <v>7896071030007</v>
      </c>
      <c r="L719" s="1" t="s">
        <v>2659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5" t="n">
        <v>46181</v>
      </c>
      <c r="C720" s="1" t="n">
        <v>11</v>
      </c>
      <c r="D720" s="1" t="s">
        <v>2290</v>
      </c>
      <c r="E720" s="1" t="n">
        <v>1608</v>
      </c>
      <c r="F720" s="1" t="s">
        <v>41</v>
      </c>
      <c r="I720" s="1" t="n">
        <v>1668832</v>
      </c>
      <c r="J720" s="1" t="n">
        <v>62567</v>
      </c>
      <c r="K720" s="1" t="n">
        <v>7896071030014</v>
      </c>
      <c r="L720" s="1" t="s">
        <v>2660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5" t="n">
        <v>46181</v>
      </c>
      <c r="C721" s="1" t="n">
        <v>11</v>
      </c>
      <c r="D721" s="1" t="s">
        <v>2290</v>
      </c>
      <c r="E721" s="1" t="n">
        <v>1608</v>
      </c>
      <c r="F721" s="1" t="s">
        <v>41</v>
      </c>
      <c r="I721" s="1" t="n">
        <v>1668832</v>
      </c>
      <c r="J721" s="1" t="n">
        <v>62697</v>
      </c>
      <c r="K721" s="1" t="n">
        <v>7896071030038</v>
      </c>
      <c r="L721" s="1" t="s">
        <v>2661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5" t="n">
        <v>46181</v>
      </c>
      <c r="C722" s="1" t="n">
        <v>11</v>
      </c>
      <c r="D722" s="1" t="s">
        <v>2290</v>
      </c>
      <c r="E722" s="1" t="n">
        <v>1608</v>
      </c>
      <c r="F722" s="1" t="s">
        <v>41</v>
      </c>
      <c r="I722" s="1" t="n">
        <v>1668832</v>
      </c>
      <c r="J722" s="1" t="n">
        <v>66635</v>
      </c>
      <c r="K722" s="1" t="n">
        <v>7891910030330</v>
      </c>
      <c r="L722" s="1" t="s">
        <v>2662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5" t="n">
        <v>46181</v>
      </c>
      <c r="C723" s="1" t="n">
        <v>11</v>
      </c>
      <c r="D723" s="1" t="s">
        <v>2290</v>
      </c>
      <c r="E723" s="1" t="n">
        <v>1608</v>
      </c>
      <c r="F723" s="1" t="s">
        <v>41</v>
      </c>
      <c r="I723" s="1" t="n">
        <v>1668832</v>
      </c>
      <c r="J723" s="1" t="n">
        <v>71873</v>
      </c>
      <c r="K723" s="1" t="n">
        <v>7891079013984</v>
      </c>
      <c r="L723" s="1" t="s">
        <v>2663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5" t="n">
        <v>46181</v>
      </c>
      <c r="C724" s="1" t="n">
        <v>11</v>
      </c>
      <c r="D724" s="1" t="s">
        <v>2290</v>
      </c>
      <c r="E724" s="1" t="n">
        <v>1608</v>
      </c>
      <c r="F724" s="1" t="s">
        <v>41</v>
      </c>
      <c r="I724" s="1" t="n">
        <v>1668832</v>
      </c>
      <c r="J724" s="1" t="n">
        <v>75714</v>
      </c>
      <c r="K724" s="1" t="n">
        <v>7891079014233</v>
      </c>
      <c r="L724" s="1" t="s">
        <v>2664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5" t="n">
        <v>46181</v>
      </c>
      <c r="C725" s="1" t="n">
        <v>11</v>
      </c>
      <c r="D725" s="1" t="s">
        <v>2290</v>
      </c>
      <c r="E725" s="1" t="n">
        <v>1608</v>
      </c>
      <c r="F725" s="1" t="s">
        <v>41</v>
      </c>
      <c r="I725" s="1" t="n">
        <v>1668832</v>
      </c>
      <c r="J725" s="1" t="n">
        <v>76678</v>
      </c>
      <c r="K725" s="1" t="n">
        <v>7891079014288</v>
      </c>
      <c r="L725" s="1" t="s">
        <v>2665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5" t="n">
        <v>46181</v>
      </c>
      <c r="C726" s="1" t="n">
        <v>11</v>
      </c>
      <c r="D726" s="1" t="s">
        <v>2290</v>
      </c>
      <c r="E726" s="1" t="n">
        <v>1608</v>
      </c>
      <c r="F726" s="1" t="s">
        <v>41</v>
      </c>
      <c r="I726" s="1" t="n">
        <v>1668832</v>
      </c>
      <c r="J726" s="1" t="n">
        <v>76679</v>
      </c>
      <c r="K726" s="1" t="n">
        <v>7891079014295</v>
      </c>
      <c r="L726" s="1" t="s">
        <v>2666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5" t="n">
        <v>46181</v>
      </c>
      <c r="C727" s="1" t="n">
        <v>22</v>
      </c>
      <c r="D727" s="1" t="s">
        <v>2436</v>
      </c>
      <c r="E727" s="1" t="n">
        <v>42</v>
      </c>
      <c r="F727" s="1" t="s">
        <v>80</v>
      </c>
      <c r="I727" s="1" t="n">
        <v>4249</v>
      </c>
      <c r="J727" s="1" t="n">
        <v>100000</v>
      </c>
      <c r="K727" s="1" t="n">
        <v>1</v>
      </c>
      <c r="L727" s="1" t="s">
        <v>2451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5" t="n">
        <v>46181</v>
      </c>
      <c r="C728" s="1" t="n">
        <v>22</v>
      </c>
      <c r="D728" s="1" t="s">
        <v>2436</v>
      </c>
      <c r="E728" s="1" t="n">
        <v>42</v>
      </c>
      <c r="F728" s="1" t="s">
        <v>80</v>
      </c>
      <c r="I728" s="1" t="n">
        <v>4249</v>
      </c>
      <c r="J728" s="1" t="n">
        <v>100000</v>
      </c>
      <c r="K728" s="1" t="n">
        <v>1</v>
      </c>
      <c r="L728" s="1" t="s">
        <v>2451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5" t="n">
        <v>46181</v>
      </c>
      <c r="C729" s="1" t="n">
        <v>22</v>
      </c>
      <c r="D729" s="1" t="s">
        <v>2436</v>
      </c>
      <c r="E729" s="1" t="n">
        <v>42</v>
      </c>
      <c r="F729" s="1" t="s">
        <v>80</v>
      </c>
      <c r="I729" s="1" t="n">
        <v>4249</v>
      </c>
      <c r="J729" s="1" t="n">
        <v>100001</v>
      </c>
      <c r="K729" s="1" t="n">
        <v>2</v>
      </c>
      <c r="L729" s="1" t="s">
        <v>2452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5" t="n">
        <v>46181</v>
      </c>
      <c r="C730" s="1" t="n">
        <v>22</v>
      </c>
      <c r="D730" s="1" t="s">
        <v>2436</v>
      </c>
      <c r="E730" s="1" t="n">
        <v>42</v>
      </c>
      <c r="F730" s="1" t="s">
        <v>80</v>
      </c>
      <c r="I730" s="1" t="n">
        <v>4249</v>
      </c>
      <c r="J730" s="1" t="n">
        <v>100002</v>
      </c>
      <c r="K730" s="1" t="n">
        <v>3</v>
      </c>
      <c r="L730" s="1" t="s">
        <v>2453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5" t="n">
        <v>46181</v>
      </c>
      <c r="C731" s="1" t="n">
        <v>22</v>
      </c>
      <c r="D731" s="1" t="s">
        <v>2436</v>
      </c>
      <c r="E731" s="1" t="n">
        <v>42</v>
      </c>
      <c r="F731" s="1" t="s">
        <v>80</v>
      </c>
      <c r="I731" s="1" t="n">
        <v>4249</v>
      </c>
      <c r="J731" s="1" t="n">
        <v>100003</v>
      </c>
      <c r="K731" s="1" t="n">
        <v>4</v>
      </c>
      <c r="L731" s="1" t="s">
        <v>2454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5" t="n">
        <v>46181</v>
      </c>
      <c r="C732" s="1" t="n">
        <v>22</v>
      </c>
      <c r="D732" s="1" t="s">
        <v>2436</v>
      </c>
      <c r="E732" s="1" t="n">
        <v>42</v>
      </c>
      <c r="F732" s="1" t="s">
        <v>80</v>
      </c>
      <c r="I732" s="1" t="n">
        <v>4249</v>
      </c>
      <c r="J732" s="1" t="n">
        <v>100004</v>
      </c>
      <c r="K732" s="1" t="n">
        <v>5</v>
      </c>
      <c r="L732" s="1" t="s">
        <v>2667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5" t="n">
        <v>46181</v>
      </c>
      <c r="C733" s="1" t="n">
        <v>22</v>
      </c>
      <c r="D733" s="1" t="s">
        <v>2436</v>
      </c>
      <c r="E733" s="1" t="n">
        <v>42</v>
      </c>
      <c r="F733" s="1" t="s">
        <v>80</v>
      </c>
      <c r="I733" s="1" t="n">
        <v>4249</v>
      </c>
      <c r="J733" s="1" t="n">
        <v>100006</v>
      </c>
      <c r="K733" s="1" t="n">
        <v>7</v>
      </c>
      <c r="L733" s="1" t="s">
        <v>2437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5" t="n">
        <v>46181</v>
      </c>
      <c r="C734" s="1" t="n">
        <v>22</v>
      </c>
      <c r="D734" s="1" t="s">
        <v>2436</v>
      </c>
      <c r="E734" s="1" t="n">
        <v>42</v>
      </c>
      <c r="F734" s="1" t="s">
        <v>80</v>
      </c>
      <c r="I734" s="1" t="n">
        <v>4249</v>
      </c>
      <c r="J734" s="1" t="n">
        <v>100007</v>
      </c>
      <c r="K734" s="1" t="n">
        <v>8</v>
      </c>
      <c r="L734" s="1" t="s">
        <v>2455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5" t="n">
        <v>46181</v>
      </c>
      <c r="C735" s="1" t="n">
        <v>22</v>
      </c>
      <c r="D735" s="1" t="s">
        <v>2436</v>
      </c>
      <c r="E735" s="1" t="n">
        <v>42</v>
      </c>
      <c r="F735" s="1" t="s">
        <v>80</v>
      </c>
      <c r="I735" s="1" t="n">
        <v>4249</v>
      </c>
      <c r="J735" s="1" t="n">
        <v>100008</v>
      </c>
      <c r="K735" s="1" t="n">
        <v>9</v>
      </c>
      <c r="L735" s="1" t="s">
        <v>2438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5" t="n">
        <v>46181</v>
      </c>
      <c r="C736" s="1" t="n">
        <v>22</v>
      </c>
      <c r="D736" s="1" t="s">
        <v>2436</v>
      </c>
      <c r="E736" s="1" t="n">
        <v>42</v>
      </c>
      <c r="F736" s="1" t="s">
        <v>80</v>
      </c>
      <c r="I736" s="1" t="n">
        <v>4249</v>
      </c>
      <c r="J736" s="1" t="n">
        <v>100010</v>
      </c>
      <c r="K736" s="1" t="n">
        <v>11</v>
      </c>
      <c r="L736" s="1" t="s">
        <v>2439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5" t="n">
        <v>46181</v>
      </c>
      <c r="C737" s="1" t="n">
        <v>22</v>
      </c>
      <c r="D737" s="1" t="s">
        <v>2436</v>
      </c>
      <c r="E737" s="1" t="n">
        <v>42</v>
      </c>
      <c r="F737" s="1" t="s">
        <v>80</v>
      </c>
      <c r="I737" s="1" t="n">
        <v>4249</v>
      </c>
      <c r="J737" s="1" t="n">
        <v>100011</v>
      </c>
      <c r="K737" s="1" t="n">
        <v>12</v>
      </c>
      <c r="L737" s="1" t="s">
        <v>2440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5" t="n">
        <v>46181</v>
      </c>
      <c r="C738" s="1" t="n">
        <v>22</v>
      </c>
      <c r="D738" s="1" t="s">
        <v>2436</v>
      </c>
      <c r="E738" s="1" t="n">
        <v>42</v>
      </c>
      <c r="F738" s="1" t="s">
        <v>80</v>
      </c>
      <c r="I738" s="1" t="n">
        <v>4249</v>
      </c>
      <c r="J738" s="1" t="n">
        <v>100012</v>
      </c>
      <c r="K738" s="1" t="n">
        <v>13</v>
      </c>
      <c r="L738" s="1" t="s">
        <v>2441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5" t="n">
        <v>46181</v>
      </c>
      <c r="C739" s="1" t="n">
        <v>22</v>
      </c>
      <c r="D739" s="1" t="s">
        <v>2436</v>
      </c>
      <c r="E739" s="1" t="n">
        <v>42</v>
      </c>
      <c r="F739" s="1" t="s">
        <v>80</v>
      </c>
      <c r="I739" s="1" t="n">
        <v>4249</v>
      </c>
      <c r="J739" s="1" t="n">
        <v>100013</v>
      </c>
      <c r="K739" s="1" t="n">
        <v>14</v>
      </c>
      <c r="L739" s="1" t="s">
        <v>2442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5" t="n">
        <v>46181</v>
      </c>
      <c r="C740" s="1" t="n">
        <v>22</v>
      </c>
      <c r="D740" s="1" t="s">
        <v>2436</v>
      </c>
      <c r="E740" s="1" t="n">
        <v>42</v>
      </c>
      <c r="F740" s="1" t="s">
        <v>80</v>
      </c>
      <c r="I740" s="1" t="n">
        <v>4249</v>
      </c>
      <c r="J740" s="1" t="n">
        <v>100014</v>
      </c>
      <c r="K740" s="1" t="n">
        <v>15</v>
      </c>
      <c r="L740" s="1" t="s">
        <v>2443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5" t="n">
        <v>46181</v>
      </c>
      <c r="C741" s="1" t="n">
        <v>22</v>
      </c>
      <c r="D741" s="1" t="s">
        <v>2436</v>
      </c>
      <c r="E741" s="1" t="n">
        <v>42</v>
      </c>
      <c r="F741" s="1" t="s">
        <v>80</v>
      </c>
      <c r="I741" s="1" t="n">
        <v>4249</v>
      </c>
      <c r="J741" s="1" t="n">
        <v>100015</v>
      </c>
      <c r="K741" s="1" t="n">
        <v>16</v>
      </c>
      <c r="L741" s="1" t="s">
        <v>2444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5" t="n">
        <v>46181</v>
      </c>
      <c r="C742" s="1" t="n">
        <v>22</v>
      </c>
      <c r="D742" s="1" t="s">
        <v>2436</v>
      </c>
      <c r="E742" s="1" t="n">
        <v>42</v>
      </c>
      <c r="F742" s="1" t="s">
        <v>80</v>
      </c>
      <c r="I742" s="1" t="n">
        <v>4249</v>
      </c>
      <c r="J742" s="1" t="n">
        <v>100016</v>
      </c>
      <c r="K742" s="1" t="n">
        <v>17</v>
      </c>
      <c r="L742" s="1" t="s">
        <v>2445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5" t="n">
        <v>46181</v>
      </c>
      <c r="C743" s="1" t="n">
        <v>22</v>
      </c>
      <c r="D743" s="1" t="s">
        <v>2436</v>
      </c>
      <c r="E743" s="1" t="n">
        <v>42</v>
      </c>
      <c r="F743" s="1" t="s">
        <v>80</v>
      </c>
      <c r="I743" s="1" t="n">
        <v>4249</v>
      </c>
      <c r="J743" s="1" t="n">
        <v>100017</v>
      </c>
      <c r="K743" s="1" t="n">
        <v>18</v>
      </c>
      <c r="L743" s="1" t="s">
        <v>2446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5" t="n">
        <v>46181</v>
      </c>
      <c r="C744" s="1" t="n">
        <v>22</v>
      </c>
      <c r="D744" s="1" t="s">
        <v>2436</v>
      </c>
      <c r="E744" s="1" t="n">
        <v>42</v>
      </c>
      <c r="F744" s="1" t="s">
        <v>80</v>
      </c>
      <c r="I744" s="1" t="n">
        <v>4249</v>
      </c>
      <c r="J744" s="1" t="n">
        <v>100020</v>
      </c>
      <c r="K744" s="1" t="n">
        <v>21</v>
      </c>
      <c r="L744" s="1" t="s">
        <v>2456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5" t="n">
        <v>46181</v>
      </c>
      <c r="C745" s="1" t="n">
        <v>22</v>
      </c>
      <c r="D745" s="1" t="s">
        <v>2436</v>
      </c>
      <c r="E745" s="1" t="n">
        <v>42</v>
      </c>
      <c r="F745" s="1" t="s">
        <v>80</v>
      </c>
      <c r="I745" s="1" t="n">
        <v>4249</v>
      </c>
      <c r="J745" s="1" t="n">
        <v>100053</v>
      </c>
      <c r="K745" s="1" t="n">
        <v>54</v>
      </c>
      <c r="L745" s="1" t="s">
        <v>2447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5" t="n">
        <v>46181</v>
      </c>
      <c r="C746" s="1" t="n">
        <v>22</v>
      </c>
      <c r="D746" s="1" t="s">
        <v>2436</v>
      </c>
      <c r="E746" s="1" t="n">
        <v>42</v>
      </c>
      <c r="F746" s="1" t="s">
        <v>80</v>
      </c>
      <c r="I746" s="1" t="n">
        <v>4249</v>
      </c>
      <c r="J746" s="1" t="n">
        <v>100638</v>
      </c>
      <c r="K746" s="1" t="n">
        <v>508</v>
      </c>
      <c r="L746" s="1" t="s">
        <v>2448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5" t="n">
        <v>46181</v>
      </c>
      <c r="C747" s="1" t="n">
        <v>22</v>
      </c>
      <c r="D747" s="1" t="s">
        <v>2436</v>
      </c>
      <c r="E747" s="1" t="n">
        <v>42</v>
      </c>
      <c r="F747" s="1" t="s">
        <v>80</v>
      </c>
      <c r="I747" s="1" t="n">
        <v>4249</v>
      </c>
      <c r="J747" s="1" t="n">
        <v>100638</v>
      </c>
      <c r="K747" s="1" t="n">
        <v>508</v>
      </c>
      <c r="L747" s="1" t="s">
        <v>2448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5" t="n">
        <v>46181</v>
      </c>
      <c r="C748" s="1" t="n">
        <v>22</v>
      </c>
      <c r="D748" s="1" t="s">
        <v>2436</v>
      </c>
      <c r="E748" s="1" t="n">
        <v>42</v>
      </c>
      <c r="F748" s="1" t="s">
        <v>80</v>
      </c>
      <c r="I748" s="1" t="n">
        <v>4249</v>
      </c>
      <c r="J748" s="1" t="n">
        <v>100638</v>
      </c>
      <c r="K748" s="1" t="n">
        <v>508</v>
      </c>
      <c r="L748" s="1" t="s">
        <v>2448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5" t="n">
        <v>46181</v>
      </c>
      <c r="C749" s="1" t="n">
        <v>22</v>
      </c>
      <c r="D749" s="1" t="s">
        <v>2436</v>
      </c>
      <c r="E749" s="1" t="n">
        <v>42</v>
      </c>
      <c r="F749" s="1" t="s">
        <v>80</v>
      </c>
      <c r="I749" s="1" t="n">
        <v>4249</v>
      </c>
      <c r="J749" s="1" t="n">
        <v>100520</v>
      </c>
      <c r="K749" s="1" t="n">
        <v>507</v>
      </c>
      <c r="L749" s="1" t="s">
        <v>2449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5" t="n">
        <v>46181</v>
      </c>
      <c r="C750" s="1" t="n">
        <v>22</v>
      </c>
      <c r="D750" s="1" t="s">
        <v>2436</v>
      </c>
      <c r="E750" s="1" t="n">
        <v>42</v>
      </c>
      <c r="F750" s="1" t="s">
        <v>80</v>
      </c>
      <c r="I750" s="1" t="n">
        <v>4249</v>
      </c>
      <c r="J750" s="1" t="n">
        <v>100520</v>
      </c>
      <c r="K750" s="1" t="n">
        <v>507</v>
      </c>
      <c r="L750" s="1" t="s">
        <v>2449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5" t="n">
        <v>46181</v>
      </c>
      <c r="C751" s="1" t="n">
        <v>22</v>
      </c>
      <c r="D751" s="1" t="s">
        <v>2436</v>
      </c>
      <c r="E751" s="1" t="n">
        <v>42</v>
      </c>
      <c r="F751" s="1" t="s">
        <v>80</v>
      </c>
      <c r="I751" s="1" t="n">
        <v>4249</v>
      </c>
      <c r="J751" s="1" t="n">
        <v>110455</v>
      </c>
      <c r="K751" s="1" t="n">
        <v>53212</v>
      </c>
      <c r="L751" s="1" t="s">
        <v>2450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5" t="n">
        <v>46181</v>
      </c>
      <c r="C752" s="1" t="n">
        <v>22</v>
      </c>
      <c r="D752" s="1" t="s">
        <v>2436</v>
      </c>
      <c r="E752" s="1" t="n">
        <v>42</v>
      </c>
      <c r="F752" s="1" t="s">
        <v>80</v>
      </c>
      <c r="I752" s="1" t="n">
        <v>4249</v>
      </c>
      <c r="J752" s="1" t="n">
        <v>110455</v>
      </c>
      <c r="K752" s="1" t="n">
        <v>53212</v>
      </c>
      <c r="L752" s="1" t="s">
        <v>2450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5" t="n">
        <v>46181</v>
      </c>
      <c r="C753" s="1" t="n">
        <v>22</v>
      </c>
      <c r="D753" s="1" t="s">
        <v>2436</v>
      </c>
      <c r="E753" s="1" t="n">
        <v>42</v>
      </c>
      <c r="F753" s="1" t="s">
        <v>80</v>
      </c>
      <c r="I753" s="1" t="n">
        <v>4249</v>
      </c>
      <c r="J753" s="1" t="n">
        <v>110455</v>
      </c>
      <c r="K753" s="1" t="n">
        <v>53212</v>
      </c>
      <c r="L753" s="1" t="s">
        <v>2450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5" t="n">
        <v>46181</v>
      </c>
      <c r="C754" s="1" t="n">
        <v>100</v>
      </c>
      <c r="D754" s="1" t="s">
        <v>2457</v>
      </c>
      <c r="E754" s="1" t="n">
        <v>42</v>
      </c>
      <c r="F754" s="1" t="s">
        <v>80</v>
      </c>
      <c r="I754" s="1" t="n">
        <v>1223292</v>
      </c>
      <c r="J754" s="1" t="n">
        <v>100004</v>
      </c>
      <c r="K754" s="1" t="n">
        <v>5</v>
      </c>
      <c r="L754" s="1" t="s">
        <v>2667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5" t="n">
        <v>46181</v>
      </c>
      <c r="C755" s="1" t="n">
        <v>100</v>
      </c>
      <c r="D755" s="1" t="s">
        <v>2457</v>
      </c>
      <c r="E755" s="1" t="n">
        <v>42</v>
      </c>
      <c r="F755" s="1" t="s">
        <v>80</v>
      </c>
      <c r="I755" s="1" t="n">
        <v>1223292</v>
      </c>
      <c r="J755" s="1" t="n">
        <v>100020</v>
      </c>
      <c r="K755" s="1" t="n">
        <v>21</v>
      </c>
      <c r="L755" s="1" t="s">
        <v>2456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5" t="n">
        <v>46181</v>
      </c>
      <c r="C756" s="1" t="n">
        <v>100</v>
      </c>
      <c r="D756" s="1" t="s">
        <v>2457</v>
      </c>
      <c r="E756" s="1" t="n">
        <v>42</v>
      </c>
      <c r="F756" s="1" t="s">
        <v>80</v>
      </c>
      <c r="I756" s="1" t="n">
        <v>1223292</v>
      </c>
      <c r="J756" s="1" t="n">
        <v>100638</v>
      </c>
      <c r="K756" s="1" t="n">
        <v>508</v>
      </c>
      <c r="L756" s="1" t="s">
        <v>2448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5" t="n">
        <v>46181</v>
      </c>
      <c r="C757" s="1" t="n">
        <v>100</v>
      </c>
      <c r="D757" s="1" t="s">
        <v>2457</v>
      </c>
      <c r="E757" s="1" t="n">
        <v>42</v>
      </c>
      <c r="F757" s="1" t="s">
        <v>80</v>
      </c>
      <c r="I757" s="1" t="n">
        <v>1223292</v>
      </c>
      <c r="J757" s="1" t="n">
        <v>110455</v>
      </c>
      <c r="K757" s="1" t="n">
        <v>53212</v>
      </c>
      <c r="L757" s="1" t="s">
        <v>2450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5" t="n">
        <v>46181</v>
      </c>
      <c r="C758" s="1" t="n">
        <v>100</v>
      </c>
      <c r="D758" s="1" t="s">
        <v>2457</v>
      </c>
      <c r="E758" s="1" t="n">
        <v>42</v>
      </c>
      <c r="F758" s="1" t="s">
        <v>80</v>
      </c>
      <c r="I758" s="1" t="n">
        <v>1223296</v>
      </c>
      <c r="J758" s="1" t="n">
        <v>100000</v>
      </c>
      <c r="K758" s="1" t="n">
        <v>1</v>
      </c>
      <c r="L758" s="1" t="s">
        <v>2451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5" t="n">
        <v>46181</v>
      </c>
      <c r="C759" s="1" t="n">
        <v>100</v>
      </c>
      <c r="D759" s="1" t="s">
        <v>2457</v>
      </c>
      <c r="E759" s="1" t="n">
        <v>42</v>
      </c>
      <c r="F759" s="1" t="s">
        <v>80</v>
      </c>
      <c r="I759" s="1" t="n">
        <v>1223296</v>
      </c>
      <c r="J759" s="1" t="n">
        <v>100001</v>
      </c>
      <c r="K759" s="1" t="n">
        <v>2</v>
      </c>
      <c r="L759" s="1" t="s">
        <v>2452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5" t="n">
        <v>46181</v>
      </c>
      <c r="C760" s="1" t="n">
        <v>100</v>
      </c>
      <c r="D760" s="1" t="s">
        <v>2457</v>
      </c>
      <c r="E760" s="1" t="n">
        <v>42</v>
      </c>
      <c r="F760" s="1" t="s">
        <v>80</v>
      </c>
      <c r="I760" s="1" t="n">
        <v>1223296</v>
      </c>
      <c r="J760" s="1" t="n">
        <v>100002</v>
      </c>
      <c r="K760" s="1" t="n">
        <v>3</v>
      </c>
      <c r="L760" s="1" t="s">
        <v>2453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5" t="n">
        <v>46181</v>
      </c>
      <c r="C761" s="1" t="n">
        <v>100</v>
      </c>
      <c r="D761" s="1" t="s">
        <v>2457</v>
      </c>
      <c r="E761" s="1" t="n">
        <v>42</v>
      </c>
      <c r="F761" s="1" t="s">
        <v>80</v>
      </c>
      <c r="I761" s="1" t="n">
        <v>1223296</v>
      </c>
      <c r="J761" s="1" t="n">
        <v>100003</v>
      </c>
      <c r="K761" s="1" t="n">
        <v>4</v>
      </c>
      <c r="L761" s="1" t="s">
        <v>2454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5" t="n">
        <v>46181</v>
      </c>
      <c r="C762" s="1" t="n">
        <v>100</v>
      </c>
      <c r="D762" s="1" t="s">
        <v>2457</v>
      </c>
      <c r="E762" s="1" t="n">
        <v>42</v>
      </c>
      <c r="F762" s="1" t="s">
        <v>80</v>
      </c>
      <c r="I762" s="1" t="n">
        <v>1223296</v>
      </c>
      <c r="J762" s="1" t="n">
        <v>100007</v>
      </c>
      <c r="K762" s="1" t="n">
        <v>8</v>
      </c>
      <c r="L762" s="1" t="s">
        <v>2455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5" t="n">
        <v>46181</v>
      </c>
      <c r="C763" s="1" t="n">
        <v>100</v>
      </c>
      <c r="D763" s="1" t="s">
        <v>2457</v>
      </c>
      <c r="E763" s="1" t="n">
        <v>42</v>
      </c>
      <c r="F763" s="1" t="s">
        <v>80</v>
      </c>
      <c r="I763" s="1" t="n">
        <v>1223296</v>
      </c>
      <c r="J763" s="1" t="n">
        <v>100638</v>
      </c>
      <c r="K763" s="1" t="n">
        <v>508</v>
      </c>
      <c r="L763" s="1" t="s">
        <v>2448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5" t="n">
        <v>46181</v>
      </c>
      <c r="C764" s="1" t="n">
        <v>100</v>
      </c>
      <c r="D764" s="1" t="s">
        <v>2457</v>
      </c>
      <c r="E764" s="1" t="n">
        <v>42</v>
      </c>
      <c r="F764" s="1" t="s">
        <v>80</v>
      </c>
      <c r="I764" s="1" t="n">
        <v>1223296</v>
      </c>
      <c r="J764" s="1" t="n">
        <v>100520</v>
      </c>
      <c r="K764" s="1" t="n">
        <v>507</v>
      </c>
      <c r="L764" s="1" t="s">
        <v>2449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5" t="n">
        <v>46181</v>
      </c>
      <c r="C765" s="1" t="n">
        <v>100</v>
      </c>
      <c r="D765" s="1" t="s">
        <v>2457</v>
      </c>
      <c r="E765" s="1" t="n">
        <v>42</v>
      </c>
      <c r="F765" s="1" t="s">
        <v>80</v>
      </c>
      <c r="I765" s="1" t="n">
        <v>1223296</v>
      </c>
      <c r="J765" s="1" t="n">
        <v>110455</v>
      </c>
      <c r="K765" s="1" t="n">
        <v>53212</v>
      </c>
      <c r="L765" s="1" t="s">
        <v>2450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5" t="n">
        <v>46181</v>
      </c>
      <c r="C766" s="1" t="n">
        <v>100</v>
      </c>
      <c r="D766" s="1" t="s">
        <v>2457</v>
      </c>
      <c r="E766" s="1" t="n">
        <v>42</v>
      </c>
      <c r="F766" s="1" t="s">
        <v>80</v>
      </c>
      <c r="I766" s="1" t="n">
        <v>1223299</v>
      </c>
      <c r="J766" s="1" t="n">
        <v>100000</v>
      </c>
      <c r="K766" s="1" t="n">
        <v>1</v>
      </c>
      <c r="L766" s="1" t="s">
        <v>2451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5" t="n">
        <v>46181</v>
      </c>
      <c r="C767" s="1" t="n">
        <v>100</v>
      </c>
      <c r="D767" s="1" t="s">
        <v>2457</v>
      </c>
      <c r="E767" s="1" t="n">
        <v>42</v>
      </c>
      <c r="F767" s="1" t="s">
        <v>80</v>
      </c>
      <c r="I767" s="1" t="n">
        <v>1223299</v>
      </c>
      <c r="J767" s="1" t="n">
        <v>100006</v>
      </c>
      <c r="K767" s="1" t="n">
        <v>7</v>
      </c>
      <c r="L767" s="1" t="s">
        <v>2437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5" t="n">
        <v>46181</v>
      </c>
      <c r="C768" s="1" t="n">
        <v>100</v>
      </c>
      <c r="D768" s="1" t="s">
        <v>2457</v>
      </c>
      <c r="E768" s="1" t="n">
        <v>42</v>
      </c>
      <c r="F768" s="1" t="s">
        <v>80</v>
      </c>
      <c r="I768" s="1" t="n">
        <v>1223299</v>
      </c>
      <c r="J768" s="1" t="n">
        <v>100008</v>
      </c>
      <c r="K768" s="1" t="n">
        <v>9</v>
      </c>
      <c r="L768" s="1" t="s">
        <v>2438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5" t="n">
        <v>46181</v>
      </c>
      <c r="C769" s="1" t="n">
        <v>100</v>
      </c>
      <c r="D769" s="1" t="s">
        <v>2457</v>
      </c>
      <c r="E769" s="1" t="n">
        <v>42</v>
      </c>
      <c r="F769" s="1" t="s">
        <v>80</v>
      </c>
      <c r="I769" s="1" t="n">
        <v>1223299</v>
      </c>
      <c r="J769" s="1" t="n">
        <v>100010</v>
      </c>
      <c r="K769" s="1" t="n">
        <v>11</v>
      </c>
      <c r="L769" s="1" t="s">
        <v>2439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5" t="n">
        <v>46181</v>
      </c>
      <c r="C770" s="1" t="n">
        <v>100</v>
      </c>
      <c r="D770" s="1" t="s">
        <v>2457</v>
      </c>
      <c r="E770" s="1" t="n">
        <v>42</v>
      </c>
      <c r="F770" s="1" t="s">
        <v>80</v>
      </c>
      <c r="I770" s="1" t="n">
        <v>1223299</v>
      </c>
      <c r="J770" s="1" t="n">
        <v>100011</v>
      </c>
      <c r="K770" s="1" t="n">
        <v>12</v>
      </c>
      <c r="L770" s="1" t="s">
        <v>2440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5" t="n">
        <v>46181</v>
      </c>
      <c r="C771" s="1" t="n">
        <v>100</v>
      </c>
      <c r="D771" s="1" t="s">
        <v>2457</v>
      </c>
      <c r="E771" s="1" t="n">
        <v>42</v>
      </c>
      <c r="F771" s="1" t="s">
        <v>80</v>
      </c>
      <c r="I771" s="1" t="n">
        <v>1223299</v>
      </c>
      <c r="J771" s="1" t="n">
        <v>100012</v>
      </c>
      <c r="K771" s="1" t="n">
        <v>13</v>
      </c>
      <c r="L771" s="1" t="s">
        <v>2441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5" t="n">
        <v>46181</v>
      </c>
      <c r="C772" s="1" t="n">
        <v>100</v>
      </c>
      <c r="D772" s="1" t="s">
        <v>2457</v>
      </c>
      <c r="E772" s="1" t="n">
        <v>42</v>
      </c>
      <c r="F772" s="1" t="s">
        <v>80</v>
      </c>
      <c r="I772" s="1" t="n">
        <v>1223299</v>
      </c>
      <c r="J772" s="1" t="n">
        <v>100013</v>
      </c>
      <c r="K772" s="1" t="n">
        <v>14</v>
      </c>
      <c r="L772" s="1" t="s">
        <v>2442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5" t="n">
        <v>46181</v>
      </c>
      <c r="C773" s="1" t="n">
        <v>100</v>
      </c>
      <c r="D773" s="1" t="s">
        <v>2457</v>
      </c>
      <c r="E773" s="1" t="n">
        <v>42</v>
      </c>
      <c r="F773" s="1" t="s">
        <v>80</v>
      </c>
      <c r="I773" s="1" t="n">
        <v>1223299</v>
      </c>
      <c r="J773" s="1" t="n">
        <v>100014</v>
      </c>
      <c r="K773" s="1" t="n">
        <v>15</v>
      </c>
      <c r="L773" s="1" t="s">
        <v>2443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5" t="n">
        <v>46181</v>
      </c>
      <c r="C774" s="1" t="n">
        <v>100</v>
      </c>
      <c r="D774" s="1" t="s">
        <v>2457</v>
      </c>
      <c r="E774" s="1" t="n">
        <v>42</v>
      </c>
      <c r="F774" s="1" t="s">
        <v>80</v>
      </c>
      <c r="I774" s="1" t="n">
        <v>1223299</v>
      </c>
      <c r="J774" s="1" t="n">
        <v>100015</v>
      </c>
      <c r="K774" s="1" t="n">
        <v>16</v>
      </c>
      <c r="L774" s="1" t="s">
        <v>2444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5" t="n">
        <v>46181</v>
      </c>
      <c r="C775" s="1" t="n">
        <v>100</v>
      </c>
      <c r="D775" s="1" t="s">
        <v>2457</v>
      </c>
      <c r="E775" s="1" t="n">
        <v>42</v>
      </c>
      <c r="F775" s="1" t="s">
        <v>80</v>
      </c>
      <c r="I775" s="1" t="n">
        <v>1223299</v>
      </c>
      <c r="J775" s="1" t="n">
        <v>100016</v>
      </c>
      <c r="K775" s="1" t="n">
        <v>17</v>
      </c>
      <c r="L775" s="1" t="s">
        <v>2445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5" t="n">
        <v>46181</v>
      </c>
      <c r="C776" s="1" t="n">
        <v>100</v>
      </c>
      <c r="D776" s="1" t="s">
        <v>2457</v>
      </c>
      <c r="E776" s="1" t="n">
        <v>42</v>
      </c>
      <c r="F776" s="1" t="s">
        <v>80</v>
      </c>
      <c r="I776" s="1" t="n">
        <v>1223299</v>
      </c>
      <c r="J776" s="1" t="n">
        <v>100017</v>
      </c>
      <c r="K776" s="1" t="n">
        <v>18</v>
      </c>
      <c r="L776" s="1" t="s">
        <v>2446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5" t="n">
        <v>46181</v>
      </c>
      <c r="C777" s="1" t="n">
        <v>100</v>
      </c>
      <c r="D777" s="1" t="s">
        <v>2457</v>
      </c>
      <c r="E777" s="1" t="n">
        <v>42</v>
      </c>
      <c r="F777" s="1" t="s">
        <v>80</v>
      </c>
      <c r="I777" s="1" t="n">
        <v>1223299</v>
      </c>
      <c r="J777" s="1" t="n">
        <v>100053</v>
      </c>
      <c r="K777" s="1" t="n">
        <v>54</v>
      </c>
      <c r="L777" s="1" t="s">
        <v>2447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5" t="n">
        <v>46181</v>
      </c>
      <c r="C778" s="1" t="n">
        <v>100</v>
      </c>
      <c r="D778" s="1" t="s">
        <v>2457</v>
      </c>
      <c r="E778" s="1" t="n">
        <v>42</v>
      </c>
      <c r="F778" s="1" t="s">
        <v>80</v>
      </c>
      <c r="I778" s="1" t="n">
        <v>1223299</v>
      </c>
      <c r="J778" s="1" t="n">
        <v>100638</v>
      </c>
      <c r="K778" s="1" t="n">
        <v>508</v>
      </c>
      <c r="L778" s="1" t="s">
        <v>2448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5" t="n">
        <v>46181</v>
      </c>
      <c r="C779" s="1" t="n">
        <v>100</v>
      </c>
      <c r="D779" s="1" t="s">
        <v>2457</v>
      </c>
      <c r="E779" s="1" t="n">
        <v>42</v>
      </c>
      <c r="F779" s="1" t="s">
        <v>80</v>
      </c>
      <c r="I779" s="1" t="n">
        <v>1223299</v>
      </c>
      <c r="J779" s="1" t="n">
        <v>100520</v>
      </c>
      <c r="K779" s="1" t="n">
        <v>507</v>
      </c>
      <c r="L779" s="1" t="s">
        <v>2449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5" t="n">
        <v>46181</v>
      </c>
      <c r="C780" s="1" t="n">
        <v>100</v>
      </c>
      <c r="D780" s="1" t="s">
        <v>2457</v>
      </c>
      <c r="E780" s="1" t="n">
        <v>42</v>
      </c>
      <c r="F780" s="1" t="s">
        <v>80</v>
      </c>
      <c r="I780" s="1" t="n">
        <v>1223299</v>
      </c>
      <c r="J780" s="1" t="n">
        <v>110455</v>
      </c>
      <c r="K780" s="1" t="n">
        <v>53212</v>
      </c>
      <c r="L780" s="1" t="s">
        <v>2450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5" t="n">
        <v>46182</v>
      </c>
      <c r="C781" s="1" t="n">
        <v>1</v>
      </c>
      <c r="D781" s="1" t="s">
        <v>2317</v>
      </c>
      <c r="E781" s="1" t="n">
        <v>10061</v>
      </c>
      <c r="F781" s="1" t="s">
        <v>465</v>
      </c>
      <c r="I781" s="1" t="n">
        <v>757</v>
      </c>
      <c r="J781" s="1" t="n">
        <v>18822</v>
      </c>
      <c r="K781" s="1" t="n">
        <v>7898332870025</v>
      </c>
      <c r="L781" s="1" t="s">
        <v>2668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5" t="n">
        <v>46182</v>
      </c>
      <c r="C782" s="1" t="n">
        <v>1</v>
      </c>
      <c r="D782" s="1" t="s">
        <v>2317</v>
      </c>
      <c r="E782" s="1" t="n">
        <v>10061</v>
      </c>
      <c r="F782" s="1" t="s">
        <v>465</v>
      </c>
      <c r="I782" s="1" t="n">
        <v>757</v>
      </c>
      <c r="J782" s="1" t="n">
        <v>23196</v>
      </c>
      <c r="K782" s="1" t="n">
        <v>7898332870186</v>
      </c>
      <c r="L782" s="1" t="s">
        <v>2669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5" t="n">
        <v>46182</v>
      </c>
      <c r="C783" s="1" t="n">
        <v>1</v>
      </c>
      <c r="D783" s="1" t="s">
        <v>2317</v>
      </c>
      <c r="E783" s="1" t="n">
        <v>10061</v>
      </c>
      <c r="F783" s="1" t="s">
        <v>465</v>
      </c>
      <c r="I783" s="1" t="n">
        <v>757</v>
      </c>
      <c r="J783" s="1" t="n">
        <v>40257</v>
      </c>
      <c r="K783" s="1" t="n">
        <v>7898332870438</v>
      </c>
      <c r="L783" s="1" t="s">
        <v>2670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5" t="n">
        <v>46182</v>
      </c>
      <c r="C784" s="1" t="n">
        <v>1</v>
      </c>
      <c r="D784" s="1" t="s">
        <v>2317</v>
      </c>
      <c r="E784" s="1" t="n">
        <v>1615</v>
      </c>
      <c r="F784" s="1" t="s">
        <v>130</v>
      </c>
      <c r="I784" s="1" t="n">
        <v>14650</v>
      </c>
      <c r="J784" s="1" t="n">
        <v>100101</v>
      </c>
      <c r="K784" s="1" t="n">
        <v>102</v>
      </c>
      <c r="L784" s="1" t="s">
        <v>2671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5" t="n">
        <v>46182</v>
      </c>
      <c r="C785" s="1" t="n">
        <v>1</v>
      </c>
      <c r="D785" s="1" t="s">
        <v>2317</v>
      </c>
      <c r="E785" s="1" t="n">
        <v>911</v>
      </c>
      <c r="F785" s="1" t="s">
        <v>587</v>
      </c>
      <c r="I785" s="1" t="n">
        <v>51202</v>
      </c>
      <c r="J785" s="1" t="n">
        <v>102391</v>
      </c>
      <c r="K785" s="1" t="n">
        <v>95188790348</v>
      </c>
      <c r="L785" s="1" t="s">
        <v>2672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5" t="n">
        <v>46182</v>
      </c>
      <c r="C786" s="1" t="n">
        <v>1</v>
      </c>
      <c r="D786" s="1" t="s">
        <v>2317</v>
      </c>
      <c r="E786" s="1" t="n">
        <v>911</v>
      </c>
      <c r="F786" s="1" t="s">
        <v>587</v>
      </c>
      <c r="I786" s="1" t="n">
        <v>51202</v>
      </c>
      <c r="J786" s="1" t="n">
        <v>50676</v>
      </c>
      <c r="K786" s="1" t="n">
        <v>7898007221176</v>
      </c>
      <c r="L786" s="1" t="s">
        <v>2673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5" t="n">
        <v>46182</v>
      </c>
      <c r="C787" s="1" t="n">
        <v>1</v>
      </c>
      <c r="D787" s="1" t="s">
        <v>2317</v>
      </c>
      <c r="E787" s="1" t="n">
        <v>911</v>
      </c>
      <c r="F787" s="1" t="s">
        <v>587</v>
      </c>
      <c r="I787" s="1" t="n">
        <v>51202</v>
      </c>
      <c r="J787" s="1" t="n">
        <v>59810</v>
      </c>
      <c r="K787" s="1" t="n">
        <v>7898007221305</v>
      </c>
      <c r="L787" s="1" t="s">
        <v>2674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5" t="n">
        <v>46182</v>
      </c>
      <c r="C788" s="1" t="n">
        <v>1</v>
      </c>
      <c r="D788" s="1" t="s">
        <v>2317</v>
      </c>
      <c r="E788" s="1" t="n">
        <v>911</v>
      </c>
      <c r="F788" s="1" t="s">
        <v>587</v>
      </c>
      <c r="I788" s="1" t="n">
        <v>51202</v>
      </c>
      <c r="J788" s="1" t="n">
        <v>63644</v>
      </c>
      <c r="K788" s="1" t="n">
        <v>95188870507</v>
      </c>
      <c r="L788" s="1" t="s">
        <v>2675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5" t="n">
        <v>46182</v>
      </c>
      <c r="C789" s="1" t="n">
        <v>2</v>
      </c>
      <c r="D789" s="1" t="s">
        <v>2283</v>
      </c>
      <c r="E789" s="1" t="n">
        <v>42</v>
      </c>
      <c r="F789" s="1" t="s">
        <v>80</v>
      </c>
      <c r="I789" s="1" t="n">
        <v>90601</v>
      </c>
      <c r="J789" s="1" t="n">
        <v>109791</v>
      </c>
      <c r="K789" s="1" t="n">
        <v>9667</v>
      </c>
      <c r="L789" s="1" t="s">
        <v>2284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5" t="n">
        <v>46182</v>
      </c>
      <c r="C790" s="1" t="n">
        <v>2</v>
      </c>
      <c r="D790" s="1" t="s">
        <v>2283</v>
      </c>
      <c r="E790" s="1" t="n">
        <v>42</v>
      </c>
      <c r="F790" s="1" t="s">
        <v>80</v>
      </c>
      <c r="I790" s="1" t="n">
        <v>90601</v>
      </c>
      <c r="J790" s="1" t="n">
        <v>37359</v>
      </c>
      <c r="K790" s="1" t="n">
        <v>55526</v>
      </c>
      <c r="L790" s="1" t="s">
        <v>2285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5" t="n">
        <v>46182</v>
      </c>
      <c r="C791" s="1" t="n">
        <v>2</v>
      </c>
      <c r="D791" s="1" t="s">
        <v>2283</v>
      </c>
      <c r="E791" s="1" t="n">
        <v>42</v>
      </c>
      <c r="F791" s="1" t="s">
        <v>80</v>
      </c>
      <c r="I791" s="1" t="n">
        <v>90601</v>
      </c>
      <c r="J791" s="1" t="n">
        <v>37361</v>
      </c>
      <c r="K791" s="1" t="n">
        <v>2240817</v>
      </c>
      <c r="L791" s="1" t="s">
        <v>2286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5" t="n">
        <v>46182</v>
      </c>
      <c r="C792" s="1" t="n">
        <v>2</v>
      </c>
      <c r="D792" s="1" t="s">
        <v>2283</v>
      </c>
      <c r="E792" s="1" t="n">
        <v>42</v>
      </c>
      <c r="F792" s="1" t="s">
        <v>80</v>
      </c>
      <c r="I792" s="1" t="n">
        <v>90602</v>
      </c>
      <c r="J792" s="1" t="n">
        <v>100103</v>
      </c>
      <c r="K792" s="1" t="n">
        <v>104</v>
      </c>
      <c r="L792" s="1" t="s">
        <v>2287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5" t="n">
        <v>46182</v>
      </c>
      <c r="C793" s="1" t="n">
        <v>2</v>
      </c>
      <c r="D793" s="1" t="s">
        <v>2283</v>
      </c>
      <c r="E793" s="1" t="n">
        <v>42</v>
      </c>
      <c r="F793" s="1" t="s">
        <v>80</v>
      </c>
      <c r="I793" s="1" t="n">
        <v>90603</v>
      </c>
      <c r="J793" s="1" t="n">
        <v>72679</v>
      </c>
      <c r="K793" s="1" t="n">
        <v>246</v>
      </c>
      <c r="L793" s="1" t="s">
        <v>2288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5" t="n">
        <v>46182</v>
      </c>
      <c r="C794" s="1" t="n">
        <v>2</v>
      </c>
      <c r="D794" s="1" t="s">
        <v>2283</v>
      </c>
      <c r="E794" s="1" t="n">
        <v>42</v>
      </c>
      <c r="F794" s="1" t="s">
        <v>80</v>
      </c>
      <c r="I794" s="1" t="n">
        <v>90604</v>
      </c>
      <c r="J794" s="1" t="n">
        <v>100062</v>
      </c>
      <c r="K794" s="1" t="n">
        <v>63</v>
      </c>
      <c r="L794" s="1" t="s">
        <v>2320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5" t="n">
        <v>46182</v>
      </c>
      <c r="C795" s="1" t="n">
        <v>2</v>
      </c>
      <c r="D795" s="1" t="s">
        <v>2283</v>
      </c>
      <c r="E795" s="1" t="n">
        <v>42</v>
      </c>
      <c r="F795" s="1" t="s">
        <v>80</v>
      </c>
      <c r="I795" s="1" t="n">
        <v>90604</v>
      </c>
      <c r="J795" s="1" t="n">
        <v>100104</v>
      </c>
      <c r="K795" s="1" t="n">
        <v>105</v>
      </c>
      <c r="L795" s="1" t="s">
        <v>2321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5" t="n">
        <v>46182</v>
      </c>
      <c r="C796" s="1" t="n">
        <v>2</v>
      </c>
      <c r="D796" s="1" t="s">
        <v>2283</v>
      </c>
      <c r="E796" s="1" t="n">
        <v>42</v>
      </c>
      <c r="F796" s="1" t="s">
        <v>80</v>
      </c>
      <c r="I796" s="1" t="n">
        <v>90604</v>
      </c>
      <c r="J796" s="1" t="n">
        <v>100105</v>
      </c>
      <c r="K796" s="1" t="n">
        <v>106</v>
      </c>
      <c r="L796" s="1" t="s">
        <v>2322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5" t="n">
        <v>46182</v>
      </c>
      <c r="C797" s="1" t="n">
        <v>2</v>
      </c>
      <c r="D797" s="1" t="s">
        <v>2283</v>
      </c>
      <c r="E797" s="1" t="n">
        <v>42</v>
      </c>
      <c r="F797" s="1" t="s">
        <v>80</v>
      </c>
      <c r="I797" s="1" t="n">
        <v>90604</v>
      </c>
      <c r="J797" s="1" t="n">
        <v>100109</v>
      </c>
      <c r="K797" s="1" t="n">
        <v>110</v>
      </c>
      <c r="L797" s="1" t="s">
        <v>2324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5" t="n">
        <v>46182</v>
      </c>
      <c r="C798" s="1" t="n">
        <v>2</v>
      </c>
      <c r="D798" s="1" t="s">
        <v>2283</v>
      </c>
      <c r="E798" s="1" t="n">
        <v>42</v>
      </c>
      <c r="F798" s="1" t="s">
        <v>80</v>
      </c>
      <c r="I798" s="1" t="n">
        <v>90604</v>
      </c>
      <c r="J798" s="1" t="n">
        <v>100110</v>
      </c>
      <c r="K798" s="1" t="n">
        <v>111</v>
      </c>
      <c r="L798" s="1" t="s">
        <v>2473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5" t="n">
        <v>46182</v>
      </c>
      <c r="C799" s="1" t="n">
        <v>2</v>
      </c>
      <c r="D799" s="1" t="s">
        <v>2283</v>
      </c>
      <c r="E799" s="1" t="n">
        <v>42</v>
      </c>
      <c r="F799" s="1" t="s">
        <v>80</v>
      </c>
      <c r="I799" s="1" t="n">
        <v>90604</v>
      </c>
      <c r="J799" s="1" t="n">
        <v>100112</v>
      </c>
      <c r="K799" s="1" t="n">
        <v>113</v>
      </c>
      <c r="L799" s="1" t="s">
        <v>2325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5" t="n">
        <v>46182</v>
      </c>
      <c r="C800" s="1" t="n">
        <v>2</v>
      </c>
      <c r="D800" s="1" t="s">
        <v>2283</v>
      </c>
      <c r="E800" s="1" t="n">
        <v>42</v>
      </c>
      <c r="F800" s="1" t="s">
        <v>80</v>
      </c>
      <c r="I800" s="1" t="n">
        <v>90604</v>
      </c>
      <c r="J800" s="1" t="n">
        <v>100113</v>
      </c>
      <c r="K800" s="1" t="n">
        <v>114</v>
      </c>
      <c r="L800" s="1" t="s">
        <v>2326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5" t="n">
        <v>46182</v>
      </c>
      <c r="C801" s="1" t="n">
        <v>2</v>
      </c>
      <c r="D801" s="1" t="s">
        <v>2283</v>
      </c>
      <c r="E801" s="1" t="n">
        <v>42</v>
      </c>
      <c r="F801" s="1" t="s">
        <v>80</v>
      </c>
      <c r="I801" s="1" t="n">
        <v>90604</v>
      </c>
      <c r="J801" s="1" t="n">
        <v>100115</v>
      </c>
      <c r="K801" s="1" t="n">
        <v>116</v>
      </c>
      <c r="L801" s="1" t="s">
        <v>2474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5" t="n">
        <v>46182</v>
      </c>
      <c r="C802" s="1" t="n">
        <v>2</v>
      </c>
      <c r="D802" s="1" t="s">
        <v>2283</v>
      </c>
      <c r="E802" s="1" t="n">
        <v>42</v>
      </c>
      <c r="F802" s="1" t="s">
        <v>80</v>
      </c>
      <c r="I802" s="1" t="n">
        <v>90604</v>
      </c>
      <c r="J802" s="1" t="n">
        <v>100116</v>
      </c>
      <c r="K802" s="1" t="n">
        <v>117</v>
      </c>
      <c r="L802" s="1" t="s">
        <v>2327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5" t="n">
        <v>46182</v>
      </c>
      <c r="C803" s="1" t="n">
        <v>2</v>
      </c>
      <c r="D803" s="1" t="s">
        <v>2283</v>
      </c>
      <c r="E803" s="1" t="n">
        <v>42</v>
      </c>
      <c r="F803" s="1" t="s">
        <v>80</v>
      </c>
      <c r="I803" s="1" t="n">
        <v>90604</v>
      </c>
      <c r="J803" s="1" t="n">
        <v>100118</v>
      </c>
      <c r="K803" s="1" t="n">
        <v>119</v>
      </c>
      <c r="L803" s="1" t="s">
        <v>2328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5" t="n">
        <v>46182</v>
      </c>
      <c r="C804" s="1" t="n">
        <v>2</v>
      </c>
      <c r="D804" s="1" t="s">
        <v>2283</v>
      </c>
      <c r="E804" s="1" t="n">
        <v>42</v>
      </c>
      <c r="F804" s="1" t="s">
        <v>80</v>
      </c>
      <c r="I804" s="1" t="n">
        <v>90604</v>
      </c>
      <c r="J804" s="1" t="n">
        <v>100121</v>
      </c>
      <c r="K804" s="1" t="n">
        <v>122</v>
      </c>
      <c r="L804" s="1" t="s">
        <v>2329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5" t="n">
        <v>46182</v>
      </c>
      <c r="C805" s="1" t="n">
        <v>2</v>
      </c>
      <c r="D805" s="1" t="s">
        <v>2283</v>
      </c>
      <c r="E805" s="1" t="n">
        <v>42</v>
      </c>
      <c r="F805" s="1" t="s">
        <v>80</v>
      </c>
      <c r="I805" s="1" t="n">
        <v>90604</v>
      </c>
      <c r="J805" s="1" t="n">
        <v>100122</v>
      </c>
      <c r="K805" s="1" t="n">
        <v>123</v>
      </c>
      <c r="L805" s="1" t="s">
        <v>2330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5" t="n">
        <v>46182</v>
      </c>
      <c r="C806" s="1" t="n">
        <v>2</v>
      </c>
      <c r="D806" s="1" t="s">
        <v>2283</v>
      </c>
      <c r="E806" s="1" t="n">
        <v>42</v>
      </c>
      <c r="F806" s="1" t="s">
        <v>80</v>
      </c>
      <c r="I806" s="1" t="n">
        <v>90604</v>
      </c>
      <c r="J806" s="1" t="n">
        <v>100124</v>
      </c>
      <c r="K806" s="1" t="n">
        <v>125</v>
      </c>
      <c r="L806" s="1" t="s">
        <v>2476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5" t="n">
        <v>46182</v>
      </c>
      <c r="C807" s="1" t="n">
        <v>2</v>
      </c>
      <c r="D807" s="1" t="s">
        <v>2283</v>
      </c>
      <c r="E807" s="1" t="n">
        <v>42</v>
      </c>
      <c r="F807" s="1" t="s">
        <v>80</v>
      </c>
      <c r="I807" s="1" t="n">
        <v>90604</v>
      </c>
      <c r="J807" s="1" t="n">
        <v>100125</v>
      </c>
      <c r="K807" s="1" t="n">
        <v>126</v>
      </c>
      <c r="L807" s="1" t="s">
        <v>2477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5" t="n">
        <v>46182</v>
      </c>
      <c r="C808" s="1" t="n">
        <v>2</v>
      </c>
      <c r="D808" s="1" t="s">
        <v>2283</v>
      </c>
      <c r="E808" s="1" t="n">
        <v>42</v>
      </c>
      <c r="F808" s="1" t="s">
        <v>80</v>
      </c>
      <c r="I808" s="1" t="n">
        <v>90604</v>
      </c>
      <c r="J808" s="1" t="n">
        <v>100130</v>
      </c>
      <c r="K808" s="1" t="n">
        <v>131</v>
      </c>
      <c r="L808" s="1" t="s">
        <v>2331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5" t="n">
        <v>46182</v>
      </c>
      <c r="C809" s="1" t="n">
        <v>2</v>
      </c>
      <c r="D809" s="1" t="s">
        <v>2283</v>
      </c>
      <c r="E809" s="1" t="n">
        <v>42</v>
      </c>
      <c r="F809" s="1" t="s">
        <v>80</v>
      </c>
      <c r="I809" s="1" t="n">
        <v>90604</v>
      </c>
      <c r="J809" s="1" t="n">
        <v>100133</v>
      </c>
      <c r="K809" s="1" t="n">
        <v>134</v>
      </c>
      <c r="L809" s="1" t="s">
        <v>2332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5" t="n">
        <v>46182</v>
      </c>
      <c r="C810" s="1" t="n">
        <v>2</v>
      </c>
      <c r="D810" s="1" t="s">
        <v>2283</v>
      </c>
      <c r="E810" s="1" t="n">
        <v>42</v>
      </c>
      <c r="F810" s="1" t="s">
        <v>80</v>
      </c>
      <c r="I810" s="1" t="n">
        <v>90604</v>
      </c>
      <c r="J810" s="1" t="n">
        <v>100138</v>
      </c>
      <c r="K810" s="1" t="n">
        <v>139</v>
      </c>
      <c r="L810" s="1" t="s">
        <v>2333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5" t="n">
        <v>46182</v>
      </c>
      <c r="C811" s="1" t="n">
        <v>2</v>
      </c>
      <c r="D811" s="1" t="s">
        <v>2283</v>
      </c>
      <c r="E811" s="1" t="n">
        <v>42</v>
      </c>
      <c r="F811" s="1" t="s">
        <v>80</v>
      </c>
      <c r="I811" s="1" t="n">
        <v>90604</v>
      </c>
      <c r="J811" s="1" t="n">
        <v>100148</v>
      </c>
      <c r="K811" s="1" t="n">
        <v>149</v>
      </c>
      <c r="L811" s="1" t="s">
        <v>2676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5" t="n">
        <v>46182</v>
      </c>
      <c r="C812" s="1" t="n">
        <v>2</v>
      </c>
      <c r="D812" s="1" t="s">
        <v>2283</v>
      </c>
      <c r="E812" s="1" t="n">
        <v>42</v>
      </c>
      <c r="F812" s="1" t="s">
        <v>80</v>
      </c>
      <c r="I812" s="1" t="n">
        <v>90604</v>
      </c>
      <c r="J812" s="1" t="n">
        <v>110143</v>
      </c>
      <c r="K812" s="1" t="n">
        <v>16700</v>
      </c>
      <c r="L812" s="1" t="s">
        <v>2677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5" t="n">
        <v>46182</v>
      </c>
      <c r="C813" s="1" t="n">
        <v>2</v>
      </c>
      <c r="D813" s="1" t="s">
        <v>2283</v>
      </c>
      <c r="E813" s="1" t="n">
        <v>42</v>
      </c>
      <c r="F813" s="1" t="s">
        <v>80</v>
      </c>
      <c r="I813" s="1" t="n">
        <v>90604</v>
      </c>
      <c r="J813" s="1" t="n">
        <v>110265</v>
      </c>
      <c r="K813" s="1" t="n">
        <v>41346</v>
      </c>
      <c r="L813" s="1" t="s">
        <v>2478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5" t="n">
        <v>46182</v>
      </c>
      <c r="C814" s="1" t="n">
        <v>6</v>
      </c>
      <c r="D814" s="1" t="s">
        <v>2289</v>
      </c>
      <c r="E814" s="1" t="n">
        <v>42</v>
      </c>
      <c r="F814" s="1" t="s">
        <v>80</v>
      </c>
      <c r="I814" s="1" t="n">
        <v>4250</v>
      </c>
      <c r="J814" s="1" t="n">
        <v>109791</v>
      </c>
      <c r="K814" s="1" t="n">
        <v>9667</v>
      </c>
      <c r="L814" s="1" t="s">
        <v>2284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5" t="n">
        <v>46182</v>
      </c>
      <c r="C815" s="1" t="n">
        <v>6</v>
      </c>
      <c r="D815" s="1" t="s">
        <v>2289</v>
      </c>
      <c r="E815" s="1" t="n">
        <v>42</v>
      </c>
      <c r="F815" s="1" t="s">
        <v>80</v>
      </c>
      <c r="I815" s="1" t="n">
        <v>4250</v>
      </c>
      <c r="J815" s="1" t="n">
        <v>37359</v>
      </c>
      <c r="K815" s="1" t="n">
        <v>55526</v>
      </c>
      <c r="L815" s="1" t="s">
        <v>2285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5" t="n">
        <v>46182</v>
      </c>
      <c r="C816" s="1" t="n">
        <v>6</v>
      </c>
      <c r="D816" s="1" t="s">
        <v>2289</v>
      </c>
      <c r="E816" s="1" t="n">
        <v>42</v>
      </c>
      <c r="F816" s="1" t="s">
        <v>80</v>
      </c>
      <c r="I816" s="1" t="n">
        <v>4250</v>
      </c>
      <c r="J816" s="1" t="n">
        <v>37361</v>
      </c>
      <c r="K816" s="1" t="n">
        <v>2240817</v>
      </c>
      <c r="L816" s="1" t="s">
        <v>2286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5" t="n">
        <v>46182</v>
      </c>
      <c r="C817" s="1" t="n">
        <v>6</v>
      </c>
      <c r="D817" s="1" t="s">
        <v>2289</v>
      </c>
      <c r="E817" s="1" t="n">
        <v>42</v>
      </c>
      <c r="F817" s="1" t="s">
        <v>80</v>
      </c>
      <c r="I817" s="1" t="n">
        <v>4251</v>
      </c>
      <c r="J817" s="1" t="n">
        <v>100103</v>
      </c>
      <c r="K817" s="1" t="n">
        <v>104</v>
      </c>
      <c r="L817" s="1" t="s">
        <v>2287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5" t="n">
        <v>46182</v>
      </c>
      <c r="C818" s="1" t="n">
        <v>6</v>
      </c>
      <c r="D818" s="1" t="s">
        <v>2289</v>
      </c>
      <c r="E818" s="1" t="n">
        <v>42</v>
      </c>
      <c r="F818" s="1" t="s">
        <v>80</v>
      </c>
      <c r="I818" s="1" t="n">
        <v>4252</v>
      </c>
      <c r="J818" s="1" t="n">
        <v>72679</v>
      </c>
      <c r="K818" s="1" t="n">
        <v>246</v>
      </c>
      <c r="L818" s="1" t="s">
        <v>2288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5" t="n">
        <v>46182</v>
      </c>
      <c r="C819" s="1" t="n">
        <v>6</v>
      </c>
      <c r="D819" s="1" t="s">
        <v>2289</v>
      </c>
      <c r="E819" s="1" t="n">
        <v>42</v>
      </c>
      <c r="F819" s="1" t="s">
        <v>80</v>
      </c>
      <c r="I819" s="1" t="n">
        <v>4253</v>
      </c>
      <c r="J819" s="1" t="n">
        <v>100062</v>
      </c>
      <c r="K819" s="1" t="n">
        <v>63</v>
      </c>
      <c r="L819" s="1" t="s">
        <v>2320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5" t="n">
        <v>46182</v>
      </c>
      <c r="C820" s="1" t="n">
        <v>6</v>
      </c>
      <c r="D820" s="1" t="s">
        <v>2289</v>
      </c>
      <c r="E820" s="1" t="n">
        <v>42</v>
      </c>
      <c r="F820" s="1" t="s">
        <v>80</v>
      </c>
      <c r="I820" s="1" t="n">
        <v>4253</v>
      </c>
      <c r="J820" s="1" t="n">
        <v>100104</v>
      </c>
      <c r="K820" s="1" t="n">
        <v>105</v>
      </c>
      <c r="L820" s="1" t="s">
        <v>2321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5" t="n">
        <v>46182</v>
      </c>
      <c r="C821" s="1" t="n">
        <v>6</v>
      </c>
      <c r="D821" s="1" t="s">
        <v>2289</v>
      </c>
      <c r="E821" s="1" t="n">
        <v>42</v>
      </c>
      <c r="F821" s="1" t="s">
        <v>80</v>
      </c>
      <c r="I821" s="1" t="n">
        <v>4253</v>
      </c>
      <c r="J821" s="1" t="n">
        <v>100105</v>
      </c>
      <c r="K821" s="1" t="n">
        <v>106</v>
      </c>
      <c r="L821" s="1" t="s">
        <v>2322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5" t="n">
        <v>46182</v>
      </c>
      <c r="C822" s="1" t="n">
        <v>6</v>
      </c>
      <c r="D822" s="1" t="s">
        <v>2289</v>
      </c>
      <c r="E822" s="1" t="n">
        <v>42</v>
      </c>
      <c r="F822" s="1" t="s">
        <v>80</v>
      </c>
      <c r="I822" s="1" t="n">
        <v>4253</v>
      </c>
      <c r="J822" s="1" t="n">
        <v>100109</v>
      </c>
      <c r="K822" s="1" t="n">
        <v>110</v>
      </c>
      <c r="L822" s="1" t="s">
        <v>2324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5" t="n">
        <v>46182</v>
      </c>
      <c r="C823" s="1" t="n">
        <v>6</v>
      </c>
      <c r="D823" s="1" t="s">
        <v>2289</v>
      </c>
      <c r="E823" s="1" t="n">
        <v>42</v>
      </c>
      <c r="F823" s="1" t="s">
        <v>80</v>
      </c>
      <c r="I823" s="1" t="n">
        <v>4253</v>
      </c>
      <c r="J823" s="1" t="n">
        <v>100110</v>
      </c>
      <c r="K823" s="1" t="n">
        <v>111</v>
      </c>
      <c r="L823" s="1" t="s">
        <v>2473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5" t="n">
        <v>46182</v>
      </c>
      <c r="C824" s="1" t="n">
        <v>6</v>
      </c>
      <c r="D824" s="1" t="s">
        <v>2289</v>
      </c>
      <c r="E824" s="1" t="n">
        <v>42</v>
      </c>
      <c r="F824" s="1" t="s">
        <v>80</v>
      </c>
      <c r="I824" s="1" t="n">
        <v>4253</v>
      </c>
      <c r="J824" s="1" t="n">
        <v>100112</v>
      </c>
      <c r="K824" s="1" t="n">
        <v>113</v>
      </c>
      <c r="L824" s="1" t="s">
        <v>2325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5" t="n">
        <v>46182</v>
      </c>
      <c r="C825" s="1" t="n">
        <v>6</v>
      </c>
      <c r="D825" s="1" t="s">
        <v>2289</v>
      </c>
      <c r="E825" s="1" t="n">
        <v>42</v>
      </c>
      <c r="F825" s="1" t="s">
        <v>80</v>
      </c>
      <c r="I825" s="1" t="n">
        <v>4253</v>
      </c>
      <c r="J825" s="1" t="n">
        <v>100113</v>
      </c>
      <c r="K825" s="1" t="n">
        <v>114</v>
      </c>
      <c r="L825" s="1" t="s">
        <v>2326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5" t="n">
        <v>46182</v>
      </c>
      <c r="C826" s="1" t="n">
        <v>6</v>
      </c>
      <c r="D826" s="1" t="s">
        <v>2289</v>
      </c>
      <c r="E826" s="1" t="n">
        <v>42</v>
      </c>
      <c r="F826" s="1" t="s">
        <v>80</v>
      </c>
      <c r="I826" s="1" t="n">
        <v>4253</v>
      </c>
      <c r="J826" s="1" t="n">
        <v>100115</v>
      </c>
      <c r="K826" s="1" t="n">
        <v>116</v>
      </c>
      <c r="L826" s="1" t="s">
        <v>2474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5" t="n">
        <v>46182</v>
      </c>
      <c r="C827" s="1" t="n">
        <v>6</v>
      </c>
      <c r="D827" s="1" t="s">
        <v>2289</v>
      </c>
      <c r="E827" s="1" t="n">
        <v>42</v>
      </c>
      <c r="F827" s="1" t="s">
        <v>80</v>
      </c>
      <c r="I827" s="1" t="n">
        <v>4253</v>
      </c>
      <c r="J827" s="1" t="n">
        <v>100116</v>
      </c>
      <c r="K827" s="1" t="n">
        <v>117</v>
      </c>
      <c r="L827" s="1" t="s">
        <v>2327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5" t="n">
        <v>46182</v>
      </c>
      <c r="C828" s="1" t="n">
        <v>6</v>
      </c>
      <c r="D828" s="1" t="s">
        <v>2289</v>
      </c>
      <c r="E828" s="1" t="n">
        <v>42</v>
      </c>
      <c r="F828" s="1" t="s">
        <v>80</v>
      </c>
      <c r="I828" s="1" t="n">
        <v>4253</v>
      </c>
      <c r="J828" s="1" t="n">
        <v>100118</v>
      </c>
      <c r="K828" s="1" t="n">
        <v>119</v>
      </c>
      <c r="L828" s="1" t="s">
        <v>2328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5" t="n">
        <v>46182</v>
      </c>
      <c r="C829" s="1" t="n">
        <v>6</v>
      </c>
      <c r="D829" s="1" t="s">
        <v>2289</v>
      </c>
      <c r="E829" s="1" t="n">
        <v>42</v>
      </c>
      <c r="F829" s="1" t="s">
        <v>80</v>
      </c>
      <c r="I829" s="1" t="n">
        <v>4253</v>
      </c>
      <c r="J829" s="1" t="n">
        <v>100121</v>
      </c>
      <c r="K829" s="1" t="n">
        <v>122</v>
      </c>
      <c r="L829" s="1" t="s">
        <v>2329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5" t="n">
        <v>46182</v>
      </c>
      <c r="C830" s="1" t="n">
        <v>6</v>
      </c>
      <c r="D830" s="1" t="s">
        <v>2289</v>
      </c>
      <c r="E830" s="1" t="n">
        <v>42</v>
      </c>
      <c r="F830" s="1" t="s">
        <v>80</v>
      </c>
      <c r="I830" s="1" t="n">
        <v>4253</v>
      </c>
      <c r="J830" s="1" t="n">
        <v>100122</v>
      </c>
      <c r="K830" s="1" t="n">
        <v>123</v>
      </c>
      <c r="L830" s="1" t="s">
        <v>2330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5" t="n">
        <v>46182</v>
      </c>
      <c r="C831" s="1" t="n">
        <v>6</v>
      </c>
      <c r="D831" s="1" t="s">
        <v>2289</v>
      </c>
      <c r="E831" s="1" t="n">
        <v>42</v>
      </c>
      <c r="F831" s="1" t="s">
        <v>80</v>
      </c>
      <c r="I831" s="1" t="n">
        <v>4253</v>
      </c>
      <c r="J831" s="1" t="n">
        <v>100124</v>
      </c>
      <c r="K831" s="1" t="n">
        <v>125</v>
      </c>
      <c r="L831" s="1" t="s">
        <v>2476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5" t="n">
        <v>46182</v>
      </c>
      <c r="C832" s="1" t="n">
        <v>6</v>
      </c>
      <c r="D832" s="1" t="s">
        <v>2289</v>
      </c>
      <c r="E832" s="1" t="n">
        <v>42</v>
      </c>
      <c r="F832" s="1" t="s">
        <v>80</v>
      </c>
      <c r="I832" s="1" t="n">
        <v>4253</v>
      </c>
      <c r="J832" s="1" t="n">
        <v>100125</v>
      </c>
      <c r="K832" s="1" t="n">
        <v>126</v>
      </c>
      <c r="L832" s="1" t="s">
        <v>2477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5" t="n">
        <v>46182</v>
      </c>
      <c r="C833" s="1" t="n">
        <v>6</v>
      </c>
      <c r="D833" s="1" t="s">
        <v>2289</v>
      </c>
      <c r="E833" s="1" t="n">
        <v>42</v>
      </c>
      <c r="F833" s="1" t="s">
        <v>80</v>
      </c>
      <c r="I833" s="1" t="n">
        <v>4253</v>
      </c>
      <c r="J833" s="1" t="n">
        <v>100130</v>
      </c>
      <c r="K833" s="1" t="n">
        <v>131</v>
      </c>
      <c r="L833" s="1" t="s">
        <v>2331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5" t="n">
        <v>46182</v>
      </c>
      <c r="C834" s="1" t="n">
        <v>6</v>
      </c>
      <c r="D834" s="1" t="s">
        <v>2289</v>
      </c>
      <c r="E834" s="1" t="n">
        <v>42</v>
      </c>
      <c r="F834" s="1" t="s">
        <v>80</v>
      </c>
      <c r="I834" s="1" t="n">
        <v>4253</v>
      </c>
      <c r="J834" s="1" t="n">
        <v>100133</v>
      </c>
      <c r="K834" s="1" t="n">
        <v>134</v>
      </c>
      <c r="L834" s="1" t="s">
        <v>2332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5" t="n">
        <v>46182</v>
      </c>
      <c r="C835" s="1" t="n">
        <v>6</v>
      </c>
      <c r="D835" s="1" t="s">
        <v>2289</v>
      </c>
      <c r="E835" s="1" t="n">
        <v>42</v>
      </c>
      <c r="F835" s="1" t="s">
        <v>80</v>
      </c>
      <c r="I835" s="1" t="n">
        <v>4253</v>
      </c>
      <c r="J835" s="1" t="n">
        <v>100138</v>
      </c>
      <c r="K835" s="1" t="n">
        <v>139</v>
      </c>
      <c r="L835" s="1" t="s">
        <v>2333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5" t="n">
        <v>46182</v>
      </c>
      <c r="C836" s="1" t="n">
        <v>6</v>
      </c>
      <c r="D836" s="1" t="s">
        <v>2289</v>
      </c>
      <c r="E836" s="1" t="n">
        <v>42</v>
      </c>
      <c r="F836" s="1" t="s">
        <v>80</v>
      </c>
      <c r="I836" s="1" t="n">
        <v>4253</v>
      </c>
      <c r="J836" s="1" t="n">
        <v>100148</v>
      </c>
      <c r="K836" s="1" t="n">
        <v>149</v>
      </c>
      <c r="L836" s="1" t="s">
        <v>2676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5" t="n">
        <v>46182</v>
      </c>
      <c r="C837" s="1" t="n">
        <v>6</v>
      </c>
      <c r="D837" s="1" t="s">
        <v>2289</v>
      </c>
      <c r="E837" s="1" t="n">
        <v>42</v>
      </c>
      <c r="F837" s="1" t="s">
        <v>80</v>
      </c>
      <c r="I837" s="1" t="n">
        <v>4253</v>
      </c>
      <c r="J837" s="1" t="n">
        <v>110143</v>
      </c>
      <c r="K837" s="1" t="n">
        <v>16700</v>
      </c>
      <c r="L837" s="1" t="s">
        <v>2677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5" t="n">
        <v>46182</v>
      </c>
      <c r="C838" s="1" t="n">
        <v>6</v>
      </c>
      <c r="D838" s="1" t="s">
        <v>2289</v>
      </c>
      <c r="E838" s="1" t="n">
        <v>42</v>
      </c>
      <c r="F838" s="1" t="s">
        <v>80</v>
      </c>
      <c r="I838" s="1" t="n">
        <v>4253</v>
      </c>
      <c r="J838" s="1" t="n">
        <v>110265</v>
      </c>
      <c r="K838" s="1" t="n">
        <v>41346</v>
      </c>
      <c r="L838" s="1" t="s">
        <v>2478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5" t="n">
        <v>46182</v>
      </c>
      <c r="C839" s="1" t="n">
        <v>11</v>
      </c>
      <c r="D839" s="1" t="s">
        <v>2290</v>
      </c>
      <c r="E839" s="1" t="n">
        <v>1117</v>
      </c>
      <c r="F839" s="1" t="s">
        <v>419</v>
      </c>
      <c r="I839" s="1" t="n">
        <v>1415</v>
      </c>
      <c r="J839" s="1" t="n">
        <v>65113</v>
      </c>
      <c r="K839" s="1" t="n">
        <v>7898711810017</v>
      </c>
      <c r="L839" s="1" t="s">
        <v>2678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5" t="n">
        <v>46182</v>
      </c>
      <c r="C840" s="1" t="n">
        <v>11</v>
      </c>
      <c r="D840" s="1" t="s">
        <v>2290</v>
      </c>
      <c r="E840" s="1" t="n">
        <v>1811</v>
      </c>
      <c r="F840" s="1" t="s">
        <v>2180</v>
      </c>
      <c r="I840" s="1" t="n">
        <v>7776</v>
      </c>
      <c r="J840" s="1" t="n">
        <v>20301</v>
      </c>
      <c r="K840" s="1" t="n">
        <v>7898927947064</v>
      </c>
      <c r="L840" s="1" t="s">
        <v>2679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5" t="n">
        <v>46182</v>
      </c>
      <c r="C841" s="1" t="n">
        <v>11</v>
      </c>
      <c r="D841" s="1" t="s">
        <v>2290</v>
      </c>
      <c r="E841" s="1" t="n">
        <v>1811</v>
      </c>
      <c r="F841" s="1" t="s">
        <v>2180</v>
      </c>
      <c r="I841" s="1" t="n">
        <v>7776</v>
      </c>
      <c r="J841" s="1" t="n">
        <v>107458</v>
      </c>
      <c r="K841" s="1" t="n">
        <v>7891219030925</v>
      </c>
      <c r="L841" s="1" t="s">
        <v>2680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5" t="n">
        <v>46182</v>
      </c>
      <c r="C842" s="1" t="n">
        <v>11</v>
      </c>
      <c r="D842" s="1" t="s">
        <v>2290</v>
      </c>
      <c r="E842" s="1" t="n">
        <v>1811</v>
      </c>
      <c r="F842" s="1" t="s">
        <v>2180</v>
      </c>
      <c r="I842" s="1" t="n">
        <v>7776</v>
      </c>
      <c r="J842" s="1" t="n">
        <v>14545</v>
      </c>
      <c r="K842" s="1" t="n">
        <v>7898927947194</v>
      </c>
      <c r="L842" s="1" t="s">
        <v>2681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5" t="n">
        <v>46182</v>
      </c>
      <c r="C843" s="1" t="n">
        <v>11</v>
      </c>
      <c r="D843" s="1" t="s">
        <v>2290</v>
      </c>
      <c r="E843" s="1" t="n">
        <v>1811</v>
      </c>
      <c r="F843" s="1" t="s">
        <v>2180</v>
      </c>
      <c r="I843" s="1" t="n">
        <v>7776</v>
      </c>
      <c r="J843" s="1" t="n">
        <v>43231</v>
      </c>
      <c r="K843" s="1" t="n">
        <v>7898941898847</v>
      </c>
      <c r="L843" s="1" t="s">
        <v>2682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5" t="n">
        <v>46182</v>
      </c>
      <c r="C844" s="1" t="n">
        <v>11</v>
      </c>
      <c r="D844" s="1" t="s">
        <v>2290</v>
      </c>
      <c r="E844" s="1" t="n">
        <v>1811</v>
      </c>
      <c r="F844" s="1" t="s">
        <v>2180</v>
      </c>
      <c r="I844" s="1" t="n">
        <v>7776</v>
      </c>
      <c r="J844" s="1" t="n">
        <v>56124</v>
      </c>
      <c r="K844" s="1" t="n">
        <v>2253152</v>
      </c>
      <c r="L844" s="1" t="s">
        <v>2683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5" t="n">
        <v>46182</v>
      </c>
      <c r="C845" s="1" t="n">
        <v>11</v>
      </c>
      <c r="D845" s="1" t="s">
        <v>2290</v>
      </c>
      <c r="E845" s="1" t="n">
        <v>1637</v>
      </c>
      <c r="F845" s="1" t="s">
        <v>295</v>
      </c>
      <c r="I845" s="1" t="n">
        <v>1888476</v>
      </c>
      <c r="J845" s="1" t="n">
        <v>15100</v>
      </c>
      <c r="K845" s="1" t="n">
        <v>7897395040246</v>
      </c>
      <c r="L845" s="1" t="s">
        <v>2684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5" t="n">
        <v>46182</v>
      </c>
      <c r="C846" s="1" t="n">
        <v>11</v>
      </c>
      <c r="D846" s="1" t="s">
        <v>2290</v>
      </c>
      <c r="E846" s="1" t="n">
        <v>1637</v>
      </c>
      <c r="F846" s="1" t="s">
        <v>295</v>
      </c>
      <c r="I846" s="1" t="n">
        <v>1888476</v>
      </c>
      <c r="J846" s="1" t="n">
        <v>24651</v>
      </c>
      <c r="K846" s="1" t="n">
        <v>78936683</v>
      </c>
      <c r="L846" s="1" t="s">
        <v>2573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5" t="n">
        <v>46182</v>
      </c>
      <c r="C847" s="1" t="n">
        <v>11</v>
      </c>
      <c r="D847" s="1" t="s">
        <v>2290</v>
      </c>
      <c r="E847" s="1" t="n">
        <v>1636</v>
      </c>
      <c r="F847" s="1" t="s">
        <v>49</v>
      </c>
      <c r="I847" s="1" t="n">
        <v>3198534</v>
      </c>
      <c r="J847" s="1" t="n">
        <v>103633</v>
      </c>
      <c r="K847" s="1" t="n">
        <v>7891700023023</v>
      </c>
      <c r="L847" s="1" t="s">
        <v>2685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5" t="n">
        <v>46182</v>
      </c>
      <c r="C848" s="1" t="n">
        <v>11</v>
      </c>
      <c r="D848" s="1" t="s">
        <v>2290</v>
      </c>
      <c r="E848" s="1" t="n">
        <v>1636</v>
      </c>
      <c r="F848" s="1" t="s">
        <v>49</v>
      </c>
      <c r="I848" s="1" t="n">
        <v>3198534</v>
      </c>
      <c r="J848" s="1" t="n">
        <v>103634</v>
      </c>
      <c r="K848" s="1" t="n">
        <v>7891700023009</v>
      </c>
      <c r="L848" s="1" t="s">
        <v>2686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5" t="n">
        <v>46182</v>
      </c>
      <c r="C849" s="1" t="n">
        <v>11</v>
      </c>
      <c r="D849" s="1" t="s">
        <v>2290</v>
      </c>
      <c r="E849" s="1" t="n">
        <v>1636</v>
      </c>
      <c r="F849" s="1" t="s">
        <v>49</v>
      </c>
      <c r="I849" s="1" t="n">
        <v>3198534</v>
      </c>
      <c r="J849" s="1" t="n">
        <v>18267</v>
      </c>
      <c r="K849" s="1" t="n">
        <v>7891150022003</v>
      </c>
      <c r="L849" s="1" t="s">
        <v>2687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5" t="n">
        <v>46182</v>
      </c>
      <c r="C850" s="1" t="n">
        <v>11</v>
      </c>
      <c r="D850" s="1" t="s">
        <v>2290</v>
      </c>
      <c r="E850" s="1" t="n">
        <v>1636</v>
      </c>
      <c r="F850" s="1" t="s">
        <v>49</v>
      </c>
      <c r="I850" s="1" t="n">
        <v>3198534</v>
      </c>
      <c r="J850" s="1" t="n">
        <v>18268</v>
      </c>
      <c r="K850" s="1" t="n">
        <v>7891150022010</v>
      </c>
      <c r="L850" s="1" t="s">
        <v>2687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5" t="n">
        <v>46182</v>
      </c>
      <c r="C851" s="1" t="n">
        <v>11</v>
      </c>
      <c r="D851" s="1" t="s">
        <v>2290</v>
      </c>
      <c r="E851" s="1" t="n">
        <v>1636</v>
      </c>
      <c r="F851" s="1" t="s">
        <v>49</v>
      </c>
      <c r="I851" s="1" t="n">
        <v>3198534</v>
      </c>
      <c r="J851" s="1" t="n">
        <v>21077</v>
      </c>
      <c r="K851" s="1" t="n">
        <v>7891150034341</v>
      </c>
      <c r="L851" s="1" t="s">
        <v>2688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5" t="n">
        <v>46182</v>
      </c>
      <c r="C852" s="1" t="n">
        <v>11</v>
      </c>
      <c r="D852" s="1" t="s">
        <v>2290</v>
      </c>
      <c r="E852" s="1" t="n">
        <v>1636</v>
      </c>
      <c r="F852" s="1" t="s">
        <v>49</v>
      </c>
      <c r="I852" s="1" t="n">
        <v>3198534</v>
      </c>
      <c r="J852" s="1" t="n">
        <v>30152</v>
      </c>
      <c r="K852" s="1" t="n">
        <v>7891150064522</v>
      </c>
      <c r="L852" s="1" t="s">
        <v>2689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5" t="n">
        <v>46182</v>
      </c>
      <c r="C853" s="1" t="n">
        <v>11</v>
      </c>
      <c r="D853" s="1" t="s">
        <v>2290</v>
      </c>
      <c r="E853" s="1" t="n">
        <v>1636</v>
      </c>
      <c r="F853" s="1" t="s">
        <v>49</v>
      </c>
      <c r="I853" s="1" t="n">
        <v>3198534</v>
      </c>
      <c r="J853" s="1" t="n">
        <v>33439</v>
      </c>
      <c r="K853" s="1" t="n">
        <v>7891150064928</v>
      </c>
      <c r="L853" s="1" t="s">
        <v>2690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5" t="n">
        <v>46182</v>
      </c>
      <c r="C854" s="1" t="n">
        <v>11</v>
      </c>
      <c r="D854" s="1" t="s">
        <v>2290</v>
      </c>
      <c r="E854" s="1" t="n">
        <v>1636</v>
      </c>
      <c r="F854" s="1" t="s">
        <v>49</v>
      </c>
      <c r="I854" s="1" t="n">
        <v>3198534</v>
      </c>
      <c r="J854" s="1" t="n">
        <v>33442</v>
      </c>
      <c r="K854" s="1" t="n">
        <v>7891150066519</v>
      </c>
      <c r="L854" s="1" t="s">
        <v>2691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5" t="n">
        <v>46182</v>
      </c>
      <c r="C855" s="1" t="n">
        <v>11</v>
      </c>
      <c r="D855" s="1" t="s">
        <v>2290</v>
      </c>
      <c r="E855" s="1" t="n">
        <v>1636</v>
      </c>
      <c r="F855" s="1" t="s">
        <v>49</v>
      </c>
      <c r="I855" s="1" t="n">
        <v>3198534</v>
      </c>
      <c r="J855" s="1" t="n">
        <v>33446</v>
      </c>
      <c r="K855" s="1" t="n">
        <v>7891150071742</v>
      </c>
      <c r="L855" s="1" t="s">
        <v>2692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5" t="n">
        <v>46182</v>
      </c>
      <c r="C856" s="1" t="n">
        <v>11</v>
      </c>
      <c r="D856" s="1" t="s">
        <v>2290</v>
      </c>
      <c r="E856" s="1" t="n">
        <v>1636</v>
      </c>
      <c r="F856" s="1" t="s">
        <v>49</v>
      </c>
      <c r="I856" s="1" t="n">
        <v>3198534</v>
      </c>
      <c r="J856" s="1" t="n">
        <v>47941</v>
      </c>
      <c r="K856" s="1" t="n">
        <v>7891150086470</v>
      </c>
      <c r="L856" s="1" t="s">
        <v>2693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5" t="n">
        <v>46182</v>
      </c>
      <c r="C857" s="1" t="n">
        <v>11</v>
      </c>
      <c r="D857" s="1" t="s">
        <v>2290</v>
      </c>
      <c r="E857" s="1" t="n">
        <v>1636</v>
      </c>
      <c r="F857" s="1" t="s">
        <v>49</v>
      </c>
      <c r="I857" s="1" t="n">
        <v>3198534</v>
      </c>
      <c r="J857" s="1" t="n">
        <v>58659</v>
      </c>
      <c r="K857" s="1" t="n">
        <v>7891150091023</v>
      </c>
      <c r="L857" s="1" t="s">
        <v>2694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5" t="n">
        <v>46182</v>
      </c>
      <c r="C858" s="1" t="n">
        <v>11</v>
      </c>
      <c r="D858" s="1" t="s">
        <v>2290</v>
      </c>
      <c r="E858" s="1" t="n">
        <v>1636</v>
      </c>
      <c r="F858" s="1" t="s">
        <v>49</v>
      </c>
      <c r="I858" s="1" t="n">
        <v>3198534</v>
      </c>
      <c r="J858" s="1" t="n">
        <v>58661</v>
      </c>
      <c r="K858" s="1" t="n">
        <v>7891150091016</v>
      </c>
      <c r="L858" s="1" t="s">
        <v>2695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5" t="n">
        <v>46182</v>
      </c>
      <c r="C859" s="1" t="n">
        <v>11</v>
      </c>
      <c r="D859" s="1" t="s">
        <v>2290</v>
      </c>
      <c r="E859" s="1" t="n">
        <v>1636</v>
      </c>
      <c r="F859" s="1" t="s">
        <v>49</v>
      </c>
      <c r="I859" s="1" t="n">
        <v>3198534</v>
      </c>
      <c r="J859" s="1" t="n">
        <v>71370</v>
      </c>
      <c r="K859" s="1" t="n">
        <v>7891150097544</v>
      </c>
      <c r="L859" s="1" t="s">
        <v>2696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5" t="n">
        <v>46182</v>
      </c>
      <c r="C860" s="1" t="n">
        <v>11</v>
      </c>
      <c r="D860" s="1" t="s">
        <v>2290</v>
      </c>
      <c r="E860" s="1" t="n">
        <v>1636</v>
      </c>
      <c r="F860" s="1" t="s">
        <v>49</v>
      </c>
      <c r="I860" s="1" t="n">
        <v>3198534</v>
      </c>
      <c r="J860" s="1" t="n">
        <v>71373</v>
      </c>
      <c r="K860" s="1" t="n">
        <v>7891150097575</v>
      </c>
      <c r="L860" s="1" t="s">
        <v>2697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5" t="n">
        <v>46182</v>
      </c>
      <c r="C861" s="1" t="n">
        <v>11</v>
      </c>
      <c r="D861" s="1" t="s">
        <v>2290</v>
      </c>
      <c r="E861" s="1" t="n">
        <v>1636</v>
      </c>
      <c r="F861" s="1" t="s">
        <v>49</v>
      </c>
      <c r="I861" s="1" t="n">
        <v>3198534</v>
      </c>
      <c r="J861" s="1" t="n">
        <v>80517</v>
      </c>
      <c r="K861" s="1" t="n">
        <v>7891150108622</v>
      </c>
      <c r="L861" s="1" t="s">
        <v>2698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5" t="n">
        <v>46183</v>
      </c>
      <c r="C862" s="1" t="n">
        <v>1</v>
      </c>
      <c r="D862" s="1" t="s">
        <v>2317</v>
      </c>
      <c r="E862" s="1" t="n">
        <v>10043</v>
      </c>
      <c r="F862" s="1" t="s">
        <v>112</v>
      </c>
      <c r="I862" s="1" t="n">
        <v>696</v>
      </c>
      <c r="J862" s="1" t="n">
        <v>52096</v>
      </c>
      <c r="K862" s="1" t="n">
        <v>144315</v>
      </c>
      <c r="L862" s="1" t="s">
        <v>2318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5" t="n">
        <v>46183</v>
      </c>
      <c r="C863" s="1" t="n">
        <v>1</v>
      </c>
      <c r="D863" s="1" t="s">
        <v>2317</v>
      </c>
      <c r="E863" s="1" t="n">
        <v>1038</v>
      </c>
      <c r="F863" s="1" t="s">
        <v>133</v>
      </c>
      <c r="I863" s="1" t="n">
        <v>5960</v>
      </c>
      <c r="J863" s="1" t="n">
        <v>61580</v>
      </c>
      <c r="K863" s="1" t="n">
        <v>2258157</v>
      </c>
      <c r="L863" s="1" t="s">
        <v>2339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5" t="n">
        <v>46183</v>
      </c>
      <c r="C864" s="1" t="n">
        <v>1</v>
      </c>
      <c r="D864" s="1" t="s">
        <v>2317</v>
      </c>
      <c r="E864" s="1" t="n">
        <v>1734</v>
      </c>
      <c r="F864" s="1" t="s">
        <v>125</v>
      </c>
      <c r="I864" s="1" t="n">
        <v>253203</v>
      </c>
      <c r="J864" s="1" t="n">
        <v>38208</v>
      </c>
      <c r="K864" s="1" t="n">
        <v>7898055452126</v>
      </c>
      <c r="L864" s="1" t="s">
        <v>2699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5" t="n">
        <v>46183</v>
      </c>
      <c r="C865" s="1" t="n">
        <v>1</v>
      </c>
      <c r="D865" s="1" t="s">
        <v>2317</v>
      </c>
      <c r="E865" s="1" t="n">
        <v>1734</v>
      </c>
      <c r="F865" s="1" t="s">
        <v>125</v>
      </c>
      <c r="I865" s="1" t="n">
        <v>253203</v>
      </c>
      <c r="J865" s="1" t="n">
        <v>38209</v>
      </c>
      <c r="K865" s="1" t="n">
        <v>7898055451761</v>
      </c>
      <c r="L865" s="1" t="s">
        <v>2381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5" t="n">
        <v>46183</v>
      </c>
      <c r="C866" s="1" t="n">
        <v>1</v>
      </c>
      <c r="D866" s="1" t="s">
        <v>2317</v>
      </c>
      <c r="E866" s="1" t="n">
        <v>1734</v>
      </c>
      <c r="F866" s="1" t="s">
        <v>125</v>
      </c>
      <c r="I866" s="1" t="n">
        <v>253203</v>
      </c>
      <c r="J866" s="1" t="n">
        <v>38210</v>
      </c>
      <c r="K866" s="1" t="n">
        <v>7898055452119</v>
      </c>
      <c r="L866" s="1" t="s">
        <v>2700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5" t="n">
        <v>46183</v>
      </c>
      <c r="C867" s="1" t="n">
        <v>1</v>
      </c>
      <c r="D867" s="1" t="s">
        <v>2317</v>
      </c>
      <c r="E867" s="1" t="n">
        <v>1734</v>
      </c>
      <c r="F867" s="1" t="s">
        <v>125</v>
      </c>
      <c r="I867" s="1" t="n">
        <v>253203</v>
      </c>
      <c r="J867" s="1" t="n">
        <v>38212</v>
      </c>
      <c r="K867" s="1" t="n">
        <v>7898055451624</v>
      </c>
      <c r="L867" s="1" t="s">
        <v>2701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5" t="n">
        <v>46183</v>
      </c>
      <c r="C868" s="1" t="n">
        <v>1</v>
      </c>
      <c r="D868" s="1" t="s">
        <v>2317</v>
      </c>
      <c r="E868" s="1" t="n">
        <v>1734</v>
      </c>
      <c r="F868" s="1" t="s">
        <v>125</v>
      </c>
      <c r="I868" s="1" t="n">
        <v>253203</v>
      </c>
      <c r="J868" s="1" t="n">
        <v>38213</v>
      </c>
      <c r="K868" s="1" t="n">
        <v>7898055450023</v>
      </c>
      <c r="L868" s="1" t="s">
        <v>2382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5" t="n">
        <v>46183</v>
      </c>
      <c r="C869" s="1" t="n">
        <v>1</v>
      </c>
      <c r="D869" s="1" t="s">
        <v>2317</v>
      </c>
      <c r="E869" s="1" t="n">
        <v>1734</v>
      </c>
      <c r="F869" s="1" t="s">
        <v>125</v>
      </c>
      <c r="I869" s="1" t="n">
        <v>253203</v>
      </c>
      <c r="J869" s="1" t="n">
        <v>38214</v>
      </c>
      <c r="K869" s="1" t="n">
        <v>7898055452249</v>
      </c>
      <c r="L869" s="1" t="s">
        <v>2702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5" t="n">
        <v>46183</v>
      </c>
      <c r="C870" s="1" t="n">
        <v>1</v>
      </c>
      <c r="D870" s="1" t="s">
        <v>2317</v>
      </c>
      <c r="E870" s="1" t="n">
        <v>1734</v>
      </c>
      <c r="F870" s="1" t="s">
        <v>125</v>
      </c>
      <c r="I870" s="1" t="n">
        <v>253203</v>
      </c>
      <c r="J870" s="1" t="n">
        <v>38216</v>
      </c>
      <c r="K870" s="1" t="n">
        <v>7898055454281</v>
      </c>
      <c r="L870" s="1" t="s">
        <v>2703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5" t="n">
        <v>46183</v>
      </c>
      <c r="C871" s="1" t="n">
        <v>1</v>
      </c>
      <c r="D871" s="1" t="s">
        <v>2317</v>
      </c>
      <c r="E871" s="1" t="n">
        <v>1734</v>
      </c>
      <c r="F871" s="1" t="s">
        <v>125</v>
      </c>
      <c r="I871" s="1" t="n">
        <v>253203</v>
      </c>
      <c r="J871" s="1" t="n">
        <v>38217</v>
      </c>
      <c r="K871" s="1" t="n">
        <v>7898055454304</v>
      </c>
      <c r="L871" s="1" t="s">
        <v>2701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5" t="n">
        <v>46183</v>
      </c>
      <c r="C872" s="1" t="n">
        <v>1</v>
      </c>
      <c r="D872" s="1" t="s">
        <v>2317</v>
      </c>
      <c r="E872" s="1" t="n">
        <v>1734</v>
      </c>
      <c r="F872" s="1" t="s">
        <v>125</v>
      </c>
      <c r="I872" s="1" t="n">
        <v>253203</v>
      </c>
      <c r="J872" s="1" t="n">
        <v>38221</v>
      </c>
      <c r="K872" s="1" t="n">
        <v>7898055452102</v>
      </c>
      <c r="L872" s="1" t="s">
        <v>2704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5" t="n">
        <v>46183</v>
      </c>
      <c r="C873" s="1" t="n">
        <v>1</v>
      </c>
      <c r="D873" s="1" t="s">
        <v>2317</v>
      </c>
      <c r="E873" s="1" t="n">
        <v>1734</v>
      </c>
      <c r="F873" s="1" t="s">
        <v>125</v>
      </c>
      <c r="I873" s="1" t="n">
        <v>253203</v>
      </c>
      <c r="J873" s="1" t="n">
        <v>39252</v>
      </c>
      <c r="K873" s="1" t="n">
        <v>7898055450993</v>
      </c>
      <c r="L873" s="1" t="s">
        <v>2705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5" t="n">
        <v>46183</v>
      </c>
      <c r="C874" s="1" t="n">
        <v>1</v>
      </c>
      <c r="D874" s="1" t="s">
        <v>2317</v>
      </c>
      <c r="E874" s="1" t="n">
        <v>1734</v>
      </c>
      <c r="F874" s="1" t="s">
        <v>125</v>
      </c>
      <c r="I874" s="1" t="n">
        <v>253203</v>
      </c>
      <c r="J874" s="1" t="n">
        <v>39440</v>
      </c>
      <c r="K874" s="1" t="n">
        <v>7898055451662</v>
      </c>
      <c r="L874" s="1" t="s">
        <v>2706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5" t="n">
        <v>46183</v>
      </c>
      <c r="C875" s="1" t="n">
        <v>1</v>
      </c>
      <c r="D875" s="1" t="s">
        <v>2317</v>
      </c>
      <c r="E875" s="1" t="n">
        <v>1734</v>
      </c>
      <c r="F875" s="1" t="s">
        <v>125</v>
      </c>
      <c r="I875" s="1" t="n">
        <v>253203</v>
      </c>
      <c r="J875" s="1" t="n">
        <v>39450</v>
      </c>
      <c r="K875" s="1" t="n">
        <v>7898055450030</v>
      </c>
      <c r="L875" s="1" t="s">
        <v>2707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5" t="n">
        <v>46183</v>
      </c>
      <c r="C876" s="1" t="n">
        <v>2</v>
      </c>
      <c r="D876" s="1" t="s">
        <v>2283</v>
      </c>
      <c r="E876" s="1" t="n">
        <v>42</v>
      </c>
      <c r="F876" s="1" t="s">
        <v>80</v>
      </c>
      <c r="I876" s="1" t="n">
        <v>100601</v>
      </c>
      <c r="J876" s="1" t="n">
        <v>109791</v>
      </c>
      <c r="K876" s="1" t="n">
        <v>9667</v>
      </c>
      <c r="L876" s="1" t="s">
        <v>2284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5" t="n">
        <v>46183</v>
      </c>
      <c r="C877" s="1" t="n">
        <v>2</v>
      </c>
      <c r="D877" s="1" t="s">
        <v>2283</v>
      </c>
      <c r="E877" s="1" t="n">
        <v>42</v>
      </c>
      <c r="F877" s="1" t="s">
        <v>80</v>
      </c>
      <c r="I877" s="1" t="n">
        <v>100601</v>
      </c>
      <c r="J877" s="1" t="n">
        <v>37359</v>
      </c>
      <c r="K877" s="1" t="n">
        <v>55526</v>
      </c>
      <c r="L877" s="1" t="s">
        <v>2285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5" t="n">
        <v>46183</v>
      </c>
      <c r="C878" s="1" t="n">
        <v>2</v>
      </c>
      <c r="D878" s="1" t="s">
        <v>2283</v>
      </c>
      <c r="E878" s="1" t="n">
        <v>42</v>
      </c>
      <c r="F878" s="1" t="s">
        <v>80</v>
      </c>
      <c r="I878" s="1" t="n">
        <v>100601</v>
      </c>
      <c r="J878" s="1" t="n">
        <v>37361</v>
      </c>
      <c r="K878" s="1" t="n">
        <v>2240817</v>
      </c>
      <c r="L878" s="1" t="s">
        <v>2286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5" t="n">
        <v>46183</v>
      </c>
      <c r="C879" s="1" t="n">
        <v>2</v>
      </c>
      <c r="D879" s="1" t="s">
        <v>2283</v>
      </c>
      <c r="E879" s="1" t="n">
        <v>42</v>
      </c>
      <c r="F879" s="1" t="s">
        <v>80</v>
      </c>
      <c r="I879" s="1" t="n">
        <v>100602</v>
      </c>
      <c r="J879" s="1" t="n">
        <v>100103</v>
      </c>
      <c r="K879" s="1" t="n">
        <v>104</v>
      </c>
      <c r="L879" s="1" t="s">
        <v>2287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5" t="n">
        <v>46183</v>
      </c>
      <c r="C880" s="1" t="n">
        <v>6</v>
      </c>
      <c r="D880" s="1" t="s">
        <v>2289</v>
      </c>
      <c r="E880" s="1" t="n">
        <v>42</v>
      </c>
      <c r="F880" s="1" t="s">
        <v>80</v>
      </c>
      <c r="I880" s="1" t="n">
        <v>4256</v>
      </c>
      <c r="J880" s="1" t="n">
        <v>109791</v>
      </c>
      <c r="K880" s="1" t="n">
        <v>9667</v>
      </c>
      <c r="L880" s="1" t="s">
        <v>2284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5" t="n">
        <v>46183</v>
      </c>
      <c r="C881" s="1" t="n">
        <v>6</v>
      </c>
      <c r="D881" s="1" t="s">
        <v>2289</v>
      </c>
      <c r="E881" s="1" t="n">
        <v>42</v>
      </c>
      <c r="F881" s="1" t="s">
        <v>80</v>
      </c>
      <c r="I881" s="1" t="n">
        <v>4256</v>
      </c>
      <c r="J881" s="1" t="n">
        <v>37359</v>
      </c>
      <c r="K881" s="1" t="n">
        <v>55526</v>
      </c>
      <c r="L881" s="1" t="s">
        <v>2285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5" t="n">
        <v>46183</v>
      </c>
      <c r="C882" s="1" t="n">
        <v>6</v>
      </c>
      <c r="D882" s="1" t="s">
        <v>2289</v>
      </c>
      <c r="E882" s="1" t="n">
        <v>42</v>
      </c>
      <c r="F882" s="1" t="s">
        <v>80</v>
      </c>
      <c r="I882" s="1" t="n">
        <v>4256</v>
      </c>
      <c r="J882" s="1" t="n">
        <v>37361</v>
      </c>
      <c r="K882" s="1" t="n">
        <v>2240817</v>
      </c>
      <c r="L882" s="1" t="s">
        <v>2286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5" t="n">
        <v>46183</v>
      </c>
      <c r="C883" s="1" t="n">
        <v>6</v>
      </c>
      <c r="D883" s="1" t="s">
        <v>2289</v>
      </c>
      <c r="E883" s="1" t="n">
        <v>42</v>
      </c>
      <c r="F883" s="1" t="s">
        <v>80</v>
      </c>
      <c r="I883" s="1" t="n">
        <v>4257</v>
      </c>
      <c r="J883" s="1" t="n">
        <v>100103</v>
      </c>
      <c r="K883" s="1" t="n">
        <v>104</v>
      </c>
      <c r="L883" s="1" t="s">
        <v>2287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5" t="n">
        <v>46183</v>
      </c>
      <c r="C884" s="1" t="n">
        <v>11</v>
      </c>
      <c r="D884" s="1" t="s">
        <v>2290</v>
      </c>
      <c r="E884" s="1" t="n">
        <v>957</v>
      </c>
      <c r="F884" s="1" t="s">
        <v>720</v>
      </c>
      <c r="I884" s="1" t="n">
        <v>20265</v>
      </c>
      <c r="J884" s="1" t="n">
        <v>100215</v>
      </c>
      <c r="K884" s="1" t="n">
        <v>216</v>
      </c>
      <c r="L884" s="1" t="s">
        <v>2708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5" t="n">
        <v>46183</v>
      </c>
      <c r="C885" s="1" t="n">
        <v>11</v>
      </c>
      <c r="D885" s="1" t="s">
        <v>2290</v>
      </c>
      <c r="E885" s="1" t="n">
        <v>957</v>
      </c>
      <c r="F885" s="1" t="s">
        <v>720</v>
      </c>
      <c r="I885" s="1" t="n">
        <v>20265</v>
      </c>
      <c r="J885" s="1" t="n">
        <v>50206</v>
      </c>
      <c r="K885" s="1" t="n">
        <v>7896029092439</v>
      </c>
      <c r="L885" s="1" t="s">
        <v>2709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5" t="n">
        <v>46183</v>
      </c>
      <c r="C886" s="1" t="n">
        <v>11</v>
      </c>
      <c r="D886" s="1" t="s">
        <v>2290</v>
      </c>
      <c r="E886" s="1" t="n">
        <v>957</v>
      </c>
      <c r="F886" s="1" t="s">
        <v>720</v>
      </c>
      <c r="I886" s="1" t="n">
        <v>20265</v>
      </c>
      <c r="J886" s="1" t="n">
        <v>100356</v>
      </c>
      <c r="K886" s="1" t="n">
        <v>227</v>
      </c>
      <c r="L886" s="1" t="s">
        <v>2710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5" t="n">
        <v>46183</v>
      </c>
      <c r="C887" s="1" t="n">
        <v>11</v>
      </c>
      <c r="D887" s="1" t="s">
        <v>2290</v>
      </c>
      <c r="E887" s="1" t="n">
        <v>957</v>
      </c>
      <c r="F887" s="1" t="s">
        <v>720</v>
      </c>
      <c r="I887" s="1" t="n">
        <v>20265</v>
      </c>
      <c r="J887" s="1" t="n">
        <v>100357</v>
      </c>
      <c r="K887" s="1" t="n">
        <v>228</v>
      </c>
      <c r="L887" s="1" t="s">
        <v>2711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5" t="n">
        <v>46183</v>
      </c>
      <c r="C888" s="1" t="n">
        <v>11</v>
      </c>
      <c r="D888" s="1" t="s">
        <v>2290</v>
      </c>
      <c r="E888" s="1" t="n">
        <v>957</v>
      </c>
      <c r="F888" s="1" t="s">
        <v>720</v>
      </c>
      <c r="I888" s="1" t="n">
        <v>20265</v>
      </c>
      <c r="J888" s="1" t="n">
        <v>100368</v>
      </c>
      <c r="K888" s="1" t="n">
        <v>239</v>
      </c>
      <c r="L888" s="1" t="s">
        <v>2712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5" t="n">
        <v>46183</v>
      </c>
      <c r="C889" s="1" t="n">
        <v>11</v>
      </c>
      <c r="D889" s="1" t="s">
        <v>2290</v>
      </c>
      <c r="E889" s="1" t="n">
        <v>957</v>
      </c>
      <c r="F889" s="1" t="s">
        <v>720</v>
      </c>
      <c r="I889" s="1" t="n">
        <v>20265</v>
      </c>
      <c r="J889" s="1" t="n">
        <v>21260</v>
      </c>
      <c r="K889" s="1" t="n">
        <v>7896029069172</v>
      </c>
      <c r="L889" s="1" t="s">
        <v>2713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5" t="n">
        <v>46183</v>
      </c>
      <c r="C890" s="1" t="n">
        <v>11</v>
      </c>
      <c r="D890" s="1" t="s">
        <v>2290</v>
      </c>
      <c r="E890" s="1" t="n">
        <v>957</v>
      </c>
      <c r="F890" s="1" t="s">
        <v>720</v>
      </c>
      <c r="I890" s="1" t="n">
        <v>20265</v>
      </c>
      <c r="J890" s="1" t="n">
        <v>110233</v>
      </c>
      <c r="K890" s="1" t="n">
        <v>38376</v>
      </c>
      <c r="L890" s="1" t="s">
        <v>2714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5" t="n">
        <v>46183</v>
      </c>
      <c r="C891" s="1" t="n">
        <v>11</v>
      </c>
      <c r="D891" s="1" t="s">
        <v>2290</v>
      </c>
      <c r="E891" s="1" t="n">
        <v>957</v>
      </c>
      <c r="F891" s="1" t="s">
        <v>720</v>
      </c>
      <c r="I891" s="1" t="n">
        <v>20265</v>
      </c>
      <c r="J891" s="1" t="n">
        <v>51104</v>
      </c>
      <c r="K891" s="1" t="n">
        <v>7896029082447</v>
      </c>
      <c r="L891" s="1" t="s">
        <v>2715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5" t="n">
        <v>46183</v>
      </c>
      <c r="C892" s="1" t="n">
        <v>11</v>
      </c>
      <c r="D892" s="1" t="s">
        <v>2290</v>
      </c>
      <c r="E892" s="1" t="n">
        <v>957</v>
      </c>
      <c r="F892" s="1" t="s">
        <v>720</v>
      </c>
      <c r="I892" s="1" t="n">
        <v>20265</v>
      </c>
      <c r="J892" s="1" t="n">
        <v>51115</v>
      </c>
      <c r="K892" s="1" t="n">
        <v>7896029092415</v>
      </c>
      <c r="L892" s="1" t="s">
        <v>2716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5" t="n">
        <v>46183</v>
      </c>
      <c r="C893" s="1" t="n">
        <v>11</v>
      </c>
      <c r="D893" s="1" t="s">
        <v>2290</v>
      </c>
      <c r="E893" s="1" t="n">
        <v>957</v>
      </c>
      <c r="F893" s="1" t="s">
        <v>720</v>
      </c>
      <c r="I893" s="1" t="n">
        <v>20265</v>
      </c>
      <c r="J893" s="1" t="n">
        <v>51121</v>
      </c>
      <c r="K893" s="1" t="n">
        <v>7896029082287</v>
      </c>
      <c r="L893" s="1" t="s">
        <v>2717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5" t="n">
        <v>46183</v>
      </c>
      <c r="C894" s="1" t="n">
        <v>11</v>
      </c>
      <c r="D894" s="1" t="s">
        <v>2290</v>
      </c>
      <c r="E894" s="1" t="n">
        <v>957</v>
      </c>
      <c r="F894" s="1" t="s">
        <v>720</v>
      </c>
      <c r="I894" s="1" t="n">
        <v>20265</v>
      </c>
      <c r="J894" s="1" t="n">
        <v>79720</v>
      </c>
      <c r="K894" s="1" t="n">
        <v>7896029047408</v>
      </c>
      <c r="L894" s="1" t="s">
        <v>2718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5" t="n">
        <v>46183</v>
      </c>
      <c r="C895" s="1" t="n">
        <v>11</v>
      </c>
      <c r="D895" s="1" t="s">
        <v>2290</v>
      </c>
      <c r="E895" s="1" t="n">
        <v>957</v>
      </c>
      <c r="F895" s="1" t="s">
        <v>720</v>
      </c>
      <c r="I895" s="1" t="n">
        <v>20266</v>
      </c>
      <c r="J895" s="1" t="n">
        <v>100215</v>
      </c>
      <c r="K895" s="1" t="n">
        <v>216</v>
      </c>
      <c r="L895" s="1" t="s">
        <v>2708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5" t="n">
        <v>46183</v>
      </c>
      <c r="C896" s="1" t="n">
        <v>11</v>
      </c>
      <c r="D896" s="1" t="s">
        <v>2290</v>
      </c>
      <c r="E896" s="1" t="n">
        <v>957</v>
      </c>
      <c r="F896" s="1" t="s">
        <v>720</v>
      </c>
      <c r="I896" s="1" t="n">
        <v>20266</v>
      </c>
      <c r="J896" s="1" t="n">
        <v>50206</v>
      </c>
      <c r="K896" s="1" t="n">
        <v>7896029092439</v>
      </c>
      <c r="L896" s="1" t="s">
        <v>2709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5" t="n">
        <v>46183</v>
      </c>
      <c r="C897" s="1" t="n">
        <v>11</v>
      </c>
      <c r="D897" s="1" t="s">
        <v>2290</v>
      </c>
      <c r="E897" s="1" t="n">
        <v>957</v>
      </c>
      <c r="F897" s="1" t="s">
        <v>720</v>
      </c>
      <c r="I897" s="1" t="n">
        <v>20266</v>
      </c>
      <c r="J897" s="1" t="n">
        <v>100356</v>
      </c>
      <c r="K897" s="1" t="n">
        <v>227</v>
      </c>
      <c r="L897" s="1" t="s">
        <v>2710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5" t="n">
        <v>46183</v>
      </c>
      <c r="C898" s="1" t="n">
        <v>11</v>
      </c>
      <c r="D898" s="1" t="s">
        <v>2290</v>
      </c>
      <c r="E898" s="1" t="n">
        <v>957</v>
      </c>
      <c r="F898" s="1" t="s">
        <v>720</v>
      </c>
      <c r="I898" s="1" t="n">
        <v>20266</v>
      </c>
      <c r="J898" s="1" t="n">
        <v>100357</v>
      </c>
      <c r="K898" s="1" t="n">
        <v>228</v>
      </c>
      <c r="L898" s="1" t="s">
        <v>2711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5" t="n">
        <v>46183</v>
      </c>
      <c r="C899" s="1" t="n">
        <v>11</v>
      </c>
      <c r="D899" s="1" t="s">
        <v>2290</v>
      </c>
      <c r="E899" s="1" t="n">
        <v>957</v>
      </c>
      <c r="F899" s="1" t="s">
        <v>720</v>
      </c>
      <c r="I899" s="1" t="n">
        <v>20266</v>
      </c>
      <c r="J899" s="1" t="n">
        <v>100368</v>
      </c>
      <c r="K899" s="1" t="n">
        <v>239</v>
      </c>
      <c r="L899" s="1" t="s">
        <v>2712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5" t="n">
        <v>46183</v>
      </c>
      <c r="C900" s="1" t="n">
        <v>11</v>
      </c>
      <c r="D900" s="1" t="s">
        <v>2290</v>
      </c>
      <c r="E900" s="1" t="n">
        <v>957</v>
      </c>
      <c r="F900" s="1" t="s">
        <v>720</v>
      </c>
      <c r="I900" s="1" t="n">
        <v>20266</v>
      </c>
      <c r="J900" s="1" t="n">
        <v>21260</v>
      </c>
      <c r="K900" s="1" t="n">
        <v>7896029069172</v>
      </c>
      <c r="L900" s="1" t="s">
        <v>2713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5" t="n">
        <v>46183</v>
      </c>
      <c r="C901" s="1" t="n">
        <v>11</v>
      </c>
      <c r="D901" s="1" t="s">
        <v>2290</v>
      </c>
      <c r="E901" s="1" t="n">
        <v>957</v>
      </c>
      <c r="F901" s="1" t="s">
        <v>720</v>
      </c>
      <c r="I901" s="1" t="n">
        <v>20266</v>
      </c>
      <c r="J901" s="1" t="n">
        <v>110233</v>
      </c>
      <c r="K901" s="1" t="n">
        <v>38376</v>
      </c>
      <c r="L901" s="1" t="s">
        <v>2714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5" t="n">
        <v>46183</v>
      </c>
      <c r="C902" s="1" t="n">
        <v>11</v>
      </c>
      <c r="D902" s="1" t="s">
        <v>2290</v>
      </c>
      <c r="E902" s="1" t="n">
        <v>957</v>
      </c>
      <c r="F902" s="1" t="s">
        <v>720</v>
      </c>
      <c r="I902" s="1" t="n">
        <v>20266</v>
      </c>
      <c r="J902" s="1" t="n">
        <v>51104</v>
      </c>
      <c r="K902" s="1" t="n">
        <v>7896029082447</v>
      </c>
      <c r="L902" s="1" t="s">
        <v>2715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5" t="n">
        <v>46183</v>
      </c>
      <c r="C903" s="1" t="n">
        <v>11</v>
      </c>
      <c r="D903" s="1" t="s">
        <v>2290</v>
      </c>
      <c r="E903" s="1" t="n">
        <v>957</v>
      </c>
      <c r="F903" s="1" t="s">
        <v>720</v>
      </c>
      <c r="I903" s="1" t="n">
        <v>20266</v>
      </c>
      <c r="J903" s="1" t="n">
        <v>51115</v>
      </c>
      <c r="K903" s="1" t="n">
        <v>7896029092415</v>
      </c>
      <c r="L903" s="1" t="s">
        <v>2716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5" t="n">
        <v>46183</v>
      </c>
      <c r="C904" s="1" t="n">
        <v>11</v>
      </c>
      <c r="D904" s="1" t="s">
        <v>2290</v>
      </c>
      <c r="E904" s="1" t="n">
        <v>957</v>
      </c>
      <c r="F904" s="1" t="s">
        <v>720</v>
      </c>
      <c r="I904" s="1" t="n">
        <v>20266</v>
      </c>
      <c r="J904" s="1" t="n">
        <v>51121</v>
      </c>
      <c r="K904" s="1" t="n">
        <v>7896029082287</v>
      </c>
      <c r="L904" s="1" t="s">
        <v>2717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5" t="n">
        <v>46183</v>
      </c>
      <c r="C905" s="1" t="n">
        <v>11</v>
      </c>
      <c r="D905" s="1" t="s">
        <v>2290</v>
      </c>
      <c r="E905" s="1" t="n">
        <v>957</v>
      </c>
      <c r="F905" s="1" t="s">
        <v>720</v>
      </c>
      <c r="I905" s="1" t="n">
        <v>20266</v>
      </c>
      <c r="J905" s="1" t="n">
        <v>79720</v>
      </c>
      <c r="K905" s="1" t="n">
        <v>7896029047408</v>
      </c>
      <c r="L905" s="1" t="s">
        <v>2718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5" t="n">
        <v>46183</v>
      </c>
      <c r="C906" s="1" t="n">
        <v>11</v>
      </c>
      <c r="D906" s="1" t="s">
        <v>2290</v>
      </c>
      <c r="E906" s="1" t="n">
        <v>1723</v>
      </c>
      <c r="F906" s="1" t="s">
        <v>76</v>
      </c>
      <c r="I906" s="1" t="n">
        <v>171292</v>
      </c>
      <c r="J906" s="1" t="n">
        <v>29080</v>
      </c>
      <c r="K906" s="1" t="n">
        <v>55516</v>
      </c>
      <c r="L906" s="1" t="s">
        <v>2362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5" t="n">
        <v>46183</v>
      </c>
      <c r="C907" s="1" t="n">
        <v>11</v>
      </c>
      <c r="D907" s="1" t="s">
        <v>2290</v>
      </c>
      <c r="E907" s="1" t="n">
        <v>1734</v>
      </c>
      <c r="F907" s="1" t="s">
        <v>125</v>
      </c>
      <c r="I907" s="1" t="n">
        <v>253204</v>
      </c>
      <c r="J907" s="1" t="n">
        <v>38211</v>
      </c>
      <c r="K907" s="1" t="n">
        <v>7898055450450</v>
      </c>
      <c r="L907" s="1" t="s">
        <v>2375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5" t="n">
        <v>46183</v>
      </c>
      <c r="C908" s="1" t="n">
        <v>11</v>
      </c>
      <c r="D908" s="1" t="s">
        <v>2290</v>
      </c>
      <c r="E908" s="1" t="n">
        <v>1734</v>
      </c>
      <c r="F908" s="1" t="s">
        <v>125</v>
      </c>
      <c r="I908" s="1" t="n">
        <v>253204</v>
      </c>
      <c r="J908" s="1" t="n">
        <v>38215</v>
      </c>
      <c r="K908" s="1" t="n">
        <v>7898055450474</v>
      </c>
      <c r="L908" s="1" t="s">
        <v>2719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5" t="n">
        <v>46183</v>
      </c>
      <c r="C909" s="1" t="n">
        <v>11</v>
      </c>
      <c r="D909" s="1" t="s">
        <v>2290</v>
      </c>
      <c r="E909" s="1" t="n">
        <v>1734</v>
      </c>
      <c r="F909" s="1" t="s">
        <v>125</v>
      </c>
      <c r="I909" s="1" t="n">
        <v>253204</v>
      </c>
      <c r="J909" s="1" t="n">
        <v>38222</v>
      </c>
      <c r="K909" s="1" t="n">
        <v>7898055450863</v>
      </c>
      <c r="L909" s="1" t="s">
        <v>2376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5" t="n">
        <v>46183</v>
      </c>
      <c r="C910" s="1" t="n">
        <v>11</v>
      </c>
      <c r="D910" s="1" t="s">
        <v>2290</v>
      </c>
      <c r="E910" s="1" t="n">
        <v>1734</v>
      </c>
      <c r="F910" s="1" t="s">
        <v>125</v>
      </c>
      <c r="I910" s="1" t="n">
        <v>253204</v>
      </c>
      <c r="J910" s="1" t="n">
        <v>38782</v>
      </c>
      <c r="K910" s="1" t="n">
        <v>7898055450306</v>
      </c>
      <c r="L910" s="1" t="s">
        <v>2720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5" t="n">
        <v>46183</v>
      </c>
      <c r="C911" s="1" t="n">
        <v>11</v>
      </c>
      <c r="D911" s="1" t="s">
        <v>2290</v>
      </c>
      <c r="E911" s="1" t="n">
        <v>1734</v>
      </c>
      <c r="F911" s="1" t="s">
        <v>125</v>
      </c>
      <c r="I911" s="1" t="n">
        <v>253204</v>
      </c>
      <c r="J911" s="1" t="n">
        <v>38784</v>
      </c>
      <c r="K911" s="1" t="n">
        <v>7898055450320</v>
      </c>
      <c r="L911" s="1" t="s">
        <v>2721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5" t="n">
        <v>46183</v>
      </c>
      <c r="C912" s="1" t="n">
        <v>11</v>
      </c>
      <c r="D912" s="1" t="s">
        <v>2290</v>
      </c>
      <c r="E912" s="1" t="n">
        <v>1734</v>
      </c>
      <c r="F912" s="1" t="s">
        <v>125</v>
      </c>
      <c r="I912" s="1" t="n">
        <v>253204</v>
      </c>
      <c r="J912" s="1" t="n">
        <v>38787</v>
      </c>
      <c r="K912" s="1" t="n">
        <v>7898055450849</v>
      </c>
      <c r="L912" s="1" t="s">
        <v>2722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5" t="n">
        <v>46183</v>
      </c>
      <c r="C913" s="1" t="n">
        <v>11</v>
      </c>
      <c r="D913" s="1" t="s">
        <v>2290</v>
      </c>
      <c r="E913" s="1" t="n">
        <v>1734</v>
      </c>
      <c r="F913" s="1" t="s">
        <v>125</v>
      </c>
      <c r="I913" s="1" t="n">
        <v>253204</v>
      </c>
      <c r="J913" s="1" t="n">
        <v>40277</v>
      </c>
      <c r="K913" s="1" t="n">
        <v>7898055450467</v>
      </c>
      <c r="L913" s="1" t="s">
        <v>2723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5" t="n">
        <v>46183</v>
      </c>
      <c r="C914" s="1" t="n">
        <v>11</v>
      </c>
      <c r="D914" s="1" t="s">
        <v>2290</v>
      </c>
      <c r="E914" s="1" t="n">
        <v>1734</v>
      </c>
      <c r="F914" s="1" t="s">
        <v>125</v>
      </c>
      <c r="I914" s="1" t="n">
        <v>253204</v>
      </c>
      <c r="J914" s="1" t="n">
        <v>45875</v>
      </c>
      <c r="K914" s="1" t="n">
        <v>7898055450214</v>
      </c>
      <c r="L914" s="1" t="s">
        <v>2724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5" t="n">
        <v>46183</v>
      </c>
      <c r="C915" s="1" t="n">
        <v>11</v>
      </c>
      <c r="D915" s="1" t="s">
        <v>2290</v>
      </c>
      <c r="E915" s="1" t="n">
        <v>1734</v>
      </c>
      <c r="F915" s="1" t="s">
        <v>125</v>
      </c>
      <c r="I915" s="1" t="n">
        <v>253204</v>
      </c>
      <c r="J915" s="1" t="n">
        <v>48214</v>
      </c>
      <c r="K915" s="1" t="n">
        <v>7898055451211</v>
      </c>
      <c r="L915" s="1" t="s">
        <v>2725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5" t="n">
        <v>46183</v>
      </c>
      <c r="C916" s="1" t="n">
        <v>11</v>
      </c>
      <c r="D916" s="1" t="s">
        <v>2290</v>
      </c>
      <c r="E916" s="1" t="n">
        <v>1734</v>
      </c>
      <c r="F916" s="1" t="s">
        <v>125</v>
      </c>
      <c r="I916" s="1" t="n">
        <v>253204</v>
      </c>
      <c r="J916" s="1" t="n">
        <v>81026</v>
      </c>
      <c r="K916" s="1" t="n">
        <v>7898055455745</v>
      </c>
      <c r="L916" s="1" t="s">
        <v>2726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5" t="n">
        <v>46183</v>
      </c>
      <c r="C917" s="1" t="n">
        <v>11</v>
      </c>
      <c r="D917" s="1" t="s">
        <v>2290</v>
      </c>
      <c r="E917" s="1" t="n">
        <v>1668</v>
      </c>
      <c r="F917" s="1" t="s">
        <v>159</v>
      </c>
      <c r="I917" s="1" t="n">
        <v>726963</v>
      </c>
      <c r="J917" s="1" t="n">
        <v>103817</v>
      </c>
      <c r="K917" s="1" t="n">
        <v>7896030801822</v>
      </c>
      <c r="L917" s="1" t="s">
        <v>2727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5" t="n">
        <v>46183</v>
      </c>
      <c r="C918" s="1" t="n">
        <v>11</v>
      </c>
      <c r="D918" s="1" t="s">
        <v>2290</v>
      </c>
      <c r="E918" s="1" t="n">
        <v>1668</v>
      </c>
      <c r="F918" s="1" t="s">
        <v>159</v>
      </c>
      <c r="I918" s="1" t="n">
        <v>726963</v>
      </c>
      <c r="J918" s="1" t="n">
        <v>38724</v>
      </c>
      <c r="K918" s="1" t="n">
        <v>7896030896651</v>
      </c>
      <c r="L918" s="1" t="s">
        <v>2728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5" t="n">
        <v>46183</v>
      </c>
      <c r="C919" s="1" t="n">
        <v>11</v>
      </c>
      <c r="D919" s="1" t="s">
        <v>2290</v>
      </c>
      <c r="E919" s="1" t="n">
        <v>1668</v>
      </c>
      <c r="F919" s="1" t="s">
        <v>159</v>
      </c>
      <c r="I919" s="1" t="n">
        <v>726963</v>
      </c>
      <c r="J919" s="1" t="n">
        <v>51666</v>
      </c>
      <c r="K919" s="1" t="n">
        <v>7898371005648</v>
      </c>
      <c r="L919" s="1" t="s">
        <v>2729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5" t="n">
        <v>46183</v>
      </c>
      <c r="C920" s="1" t="n">
        <v>11</v>
      </c>
      <c r="D920" s="1" t="s">
        <v>2290</v>
      </c>
      <c r="E920" s="1" t="n">
        <v>1668</v>
      </c>
      <c r="F920" s="1" t="s">
        <v>159</v>
      </c>
      <c r="I920" s="1" t="n">
        <v>726963</v>
      </c>
      <c r="J920" s="1" t="n">
        <v>73184</v>
      </c>
      <c r="K920" s="1" t="n">
        <v>7897511740760</v>
      </c>
      <c r="L920" s="1" t="s">
        <v>2730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5" t="n">
        <v>46183</v>
      </c>
      <c r="C921" s="1" t="n">
        <v>11</v>
      </c>
      <c r="D921" s="1" t="s">
        <v>2290</v>
      </c>
      <c r="E921" s="1" t="n">
        <v>1668</v>
      </c>
      <c r="F921" s="1" t="s">
        <v>159</v>
      </c>
      <c r="I921" s="1" t="n">
        <v>726963</v>
      </c>
      <c r="J921" s="1" t="n">
        <v>81278</v>
      </c>
      <c r="K921" s="1" t="n">
        <v>7898939720358</v>
      </c>
      <c r="L921" s="1" t="s">
        <v>2731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5" t="n">
        <v>46183</v>
      </c>
      <c r="C922" s="1" t="n">
        <v>11</v>
      </c>
      <c r="D922" s="1" t="s">
        <v>2290</v>
      </c>
      <c r="E922" s="1" t="n">
        <v>1740</v>
      </c>
      <c r="F922" s="1" t="s">
        <v>170</v>
      </c>
      <c r="I922" s="1" t="n">
        <v>1234657</v>
      </c>
      <c r="J922" s="1" t="n">
        <v>100036</v>
      </c>
      <c r="K922" s="1" t="n">
        <v>37</v>
      </c>
      <c r="L922" s="1" t="s">
        <v>2432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5" t="n">
        <v>46183</v>
      </c>
      <c r="C923" s="1" t="n">
        <v>11</v>
      </c>
      <c r="D923" s="1" t="s">
        <v>2290</v>
      </c>
      <c r="E923" s="1" t="n">
        <v>1740</v>
      </c>
      <c r="F923" s="1" t="s">
        <v>170</v>
      </c>
      <c r="I923" s="1" t="n">
        <v>1234657</v>
      </c>
      <c r="J923" s="1" t="n">
        <v>100054</v>
      </c>
      <c r="K923" s="1" t="n">
        <v>55</v>
      </c>
      <c r="L923" s="1" t="s">
        <v>2732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5" t="n">
        <v>46183</v>
      </c>
      <c r="C924" s="1" t="n">
        <v>11</v>
      </c>
      <c r="D924" s="1" t="s">
        <v>2290</v>
      </c>
      <c r="E924" s="1" t="n">
        <v>1740</v>
      </c>
      <c r="F924" s="1" t="s">
        <v>170</v>
      </c>
      <c r="I924" s="1" t="n">
        <v>1234657</v>
      </c>
      <c r="J924" s="1" t="n">
        <v>110530</v>
      </c>
      <c r="K924" s="1" t="n">
        <v>57638</v>
      </c>
      <c r="L924" s="1" t="s">
        <v>2433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5" t="n">
        <v>46183</v>
      </c>
      <c r="C925" s="1" t="n">
        <v>11</v>
      </c>
      <c r="D925" s="1" t="s">
        <v>2290</v>
      </c>
      <c r="E925" s="1" t="n">
        <v>1740</v>
      </c>
      <c r="F925" s="1" t="s">
        <v>170</v>
      </c>
      <c r="I925" s="1" t="n">
        <v>1234658</v>
      </c>
      <c r="J925" s="1" t="n">
        <v>79698</v>
      </c>
      <c r="K925" s="1" t="n">
        <v>543</v>
      </c>
      <c r="L925" s="1" t="s">
        <v>2733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5" t="n">
        <v>46183</v>
      </c>
      <c r="C926" s="1" t="n">
        <v>11</v>
      </c>
      <c r="D926" s="1" t="s">
        <v>2290</v>
      </c>
      <c r="E926" s="1" t="n">
        <v>1672</v>
      </c>
      <c r="F926" s="1" t="s">
        <v>67</v>
      </c>
      <c r="I926" s="1" t="n">
        <v>1366122</v>
      </c>
      <c r="J926" s="1" t="n">
        <v>101308</v>
      </c>
      <c r="K926" s="1" t="n">
        <v>7896579330098</v>
      </c>
      <c r="L926" s="1" t="s">
        <v>2434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5" t="n">
        <v>46183</v>
      </c>
      <c r="C927" s="1" t="n">
        <v>11</v>
      </c>
      <c r="D927" s="1" t="s">
        <v>2290</v>
      </c>
      <c r="E927" s="1" t="n">
        <v>1672</v>
      </c>
      <c r="F927" s="1" t="s">
        <v>67</v>
      </c>
      <c r="I927" s="1" t="n">
        <v>1366122</v>
      </c>
      <c r="J927" s="1" t="n">
        <v>37507</v>
      </c>
      <c r="K927" s="1" t="n">
        <v>7896579310854</v>
      </c>
      <c r="L927" s="1" t="s">
        <v>2435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5" t="n">
        <v>46183</v>
      </c>
      <c r="C928" s="1" t="n">
        <v>11</v>
      </c>
      <c r="D928" s="1" t="s">
        <v>2290</v>
      </c>
      <c r="E928" s="1" t="n">
        <v>1611</v>
      </c>
      <c r="F928" s="1" t="s">
        <v>445</v>
      </c>
      <c r="I928" s="1" t="n">
        <v>1770429</v>
      </c>
      <c r="J928" s="1" t="n">
        <v>80722</v>
      </c>
      <c r="K928" s="1" t="n">
        <v>7897653549146</v>
      </c>
      <c r="L928" s="1" t="s">
        <v>2734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5" t="n">
        <v>46183</v>
      </c>
      <c r="C929" s="1" t="n">
        <v>22</v>
      </c>
      <c r="D929" s="1" t="s">
        <v>2436</v>
      </c>
      <c r="E929" s="1" t="n">
        <v>42</v>
      </c>
      <c r="F929" s="1" t="s">
        <v>80</v>
      </c>
      <c r="I929" s="1" t="n">
        <v>4255</v>
      </c>
      <c r="J929" s="1" t="n">
        <v>100000</v>
      </c>
      <c r="K929" s="1" t="n">
        <v>1</v>
      </c>
      <c r="L929" s="1" t="s">
        <v>2451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5" t="n">
        <v>46183</v>
      </c>
      <c r="C930" s="1" t="n">
        <v>22</v>
      </c>
      <c r="D930" s="1" t="s">
        <v>2436</v>
      </c>
      <c r="E930" s="1" t="n">
        <v>42</v>
      </c>
      <c r="F930" s="1" t="s">
        <v>80</v>
      </c>
      <c r="I930" s="1" t="n">
        <v>4255</v>
      </c>
      <c r="J930" s="1" t="n">
        <v>100001</v>
      </c>
      <c r="K930" s="1" t="n">
        <v>2</v>
      </c>
      <c r="L930" s="1" t="s">
        <v>2452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5" t="n">
        <v>46183</v>
      </c>
      <c r="C931" s="1" t="n">
        <v>22</v>
      </c>
      <c r="D931" s="1" t="s">
        <v>2436</v>
      </c>
      <c r="E931" s="1" t="n">
        <v>42</v>
      </c>
      <c r="F931" s="1" t="s">
        <v>80</v>
      </c>
      <c r="I931" s="1" t="n">
        <v>4255</v>
      </c>
      <c r="J931" s="1" t="n">
        <v>100002</v>
      </c>
      <c r="K931" s="1" t="n">
        <v>3</v>
      </c>
      <c r="L931" s="1" t="s">
        <v>2453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5" t="n">
        <v>46183</v>
      </c>
      <c r="C932" s="1" t="n">
        <v>22</v>
      </c>
      <c r="D932" s="1" t="s">
        <v>2436</v>
      </c>
      <c r="E932" s="1" t="n">
        <v>42</v>
      </c>
      <c r="F932" s="1" t="s">
        <v>80</v>
      </c>
      <c r="I932" s="1" t="n">
        <v>4255</v>
      </c>
      <c r="J932" s="1" t="n">
        <v>100003</v>
      </c>
      <c r="K932" s="1" t="n">
        <v>4</v>
      </c>
      <c r="L932" s="1" t="s">
        <v>2454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5" t="n">
        <v>46183</v>
      </c>
      <c r="C933" s="1" t="n">
        <v>22</v>
      </c>
      <c r="D933" s="1" t="s">
        <v>2436</v>
      </c>
      <c r="E933" s="1" t="n">
        <v>42</v>
      </c>
      <c r="F933" s="1" t="s">
        <v>80</v>
      </c>
      <c r="I933" s="1" t="n">
        <v>4255</v>
      </c>
      <c r="J933" s="1" t="n">
        <v>100006</v>
      </c>
      <c r="K933" s="1" t="n">
        <v>7</v>
      </c>
      <c r="L933" s="1" t="s">
        <v>2437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5" t="n">
        <v>46183</v>
      </c>
      <c r="C934" s="1" t="n">
        <v>22</v>
      </c>
      <c r="D934" s="1" t="s">
        <v>2436</v>
      </c>
      <c r="E934" s="1" t="n">
        <v>42</v>
      </c>
      <c r="F934" s="1" t="s">
        <v>80</v>
      </c>
      <c r="I934" s="1" t="n">
        <v>4255</v>
      </c>
      <c r="J934" s="1" t="n">
        <v>100007</v>
      </c>
      <c r="K934" s="1" t="n">
        <v>8</v>
      </c>
      <c r="L934" s="1" t="s">
        <v>2455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5" t="n">
        <v>46183</v>
      </c>
      <c r="C935" s="1" t="n">
        <v>22</v>
      </c>
      <c r="D935" s="1" t="s">
        <v>2436</v>
      </c>
      <c r="E935" s="1" t="n">
        <v>42</v>
      </c>
      <c r="F935" s="1" t="s">
        <v>80</v>
      </c>
      <c r="I935" s="1" t="n">
        <v>4255</v>
      </c>
      <c r="J935" s="1" t="n">
        <v>100638</v>
      </c>
      <c r="K935" s="1" t="n">
        <v>508</v>
      </c>
      <c r="L935" s="1" t="s">
        <v>2448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5" t="n">
        <v>46183</v>
      </c>
      <c r="C936" s="1" t="n">
        <v>22</v>
      </c>
      <c r="D936" s="1" t="s">
        <v>2436</v>
      </c>
      <c r="E936" s="1" t="n">
        <v>42</v>
      </c>
      <c r="F936" s="1" t="s">
        <v>80</v>
      </c>
      <c r="I936" s="1" t="n">
        <v>4255</v>
      </c>
      <c r="J936" s="1" t="n">
        <v>100520</v>
      </c>
      <c r="K936" s="1" t="n">
        <v>507</v>
      </c>
      <c r="L936" s="1" t="s">
        <v>2449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5" t="n">
        <v>46183</v>
      </c>
      <c r="C937" s="1" t="n">
        <v>22</v>
      </c>
      <c r="D937" s="1" t="s">
        <v>2436</v>
      </c>
      <c r="E937" s="1" t="n">
        <v>42</v>
      </c>
      <c r="F937" s="1" t="s">
        <v>80</v>
      </c>
      <c r="I937" s="1" t="n">
        <v>4255</v>
      </c>
      <c r="J937" s="1" t="n">
        <v>110455</v>
      </c>
      <c r="K937" s="1" t="n">
        <v>53212</v>
      </c>
      <c r="L937" s="1" t="s">
        <v>2450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5" t="n">
        <v>46183</v>
      </c>
      <c r="C938" s="1" t="n">
        <v>100</v>
      </c>
      <c r="D938" s="1" t="s">
        <v>2457</v>
      </c>
      <c r="E938" s="1" t="n">
        <v>42</v>
      </c>
      <c r="F938" s="1" t="s">
        <v>80</v>
      </c>
      <c r="I938" s="1" t="n">
        <v>1230895</v>
      </c>
      <c r="J938" s="1" t="n">
        <v>100000</v>
      </c>
      <c r="K938" s="1" t="n">
        <v>1</v>
      </c>
      <c r="L938" s="1" t="s">
        <v>2451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5" t="n">
        <v>46183</v>
      </c>
      <c r="C939" s="1" t="n">
        <v>100</v>
      </c>
      <c r="D939" s="1" t="s">
        <v>2457</v>
      </c>
      <c r="E939" s="1" t="n">
        <v>42</v>
      </c>
      <c r="F939" s="1" t="s">
        <v>80</v>
      </c>
      <c r="I939" s="1" t="n">
        <v>1230895</v>
      </c>
      <c r="J939" s="1" t="n">
        <v>100001</v>
      </c>
      <c r="K939" s="1" t="n">
        <v>2</v>
      </c>
      <c r="L939" s="1" t="s">
        <v>2452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5" t="n">
        <v>46183</v>
      </c>
      <c r="C940" s="1" t="n">
        <v>100</v>
      </c>
      <c r="D940" s="1" t="s">
        <v>2457</v>
      </c>
      <c r="E940" s="1" t="n">
        <v>42</v>
      </c>
      <c r="F940" s="1" t="s">
        <v>80</v>
      </c>
      <c r="I940" s="1" t="n">
        <v>1230895</v>
      </c>
      <c r="J940" s="1" t="n">
        <v>100002</v>
      </c>
      <c r="K940" s="1" t="n">
        <v>3</v>
      </c>
      <c r="L940" s="1" t="s">
        <v>2453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5" t="n">
        <v>46183</v>
      </c>
      <c r="C941" s="1" t="n">
        <v>100</v>
      </c>
      <c r="D941" s="1" t="s">
        <v>2457</v>
      </c>
      <c r="E941" s="1" t="n">
        <v>42</v>
      </c>
      <c r="F941" s="1" t="s">
        <v>80</v>
      </c>
      <c r="I941" s="1" t="n">
        <v>1230895</v>
      </c>
      <c r="J941" s="1" t="n">
        <v>100003</v>
      </c>
      <c r="K941" s="1" t="n">
        <v>4</v>
      </c>
      <c r="L941" s="1" t="s">
        <v>2454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5" t="n">
        <v>46183</v>
      </c>
      <c r="C942" s="1" t="n">
        <v>100</v>
      </c>
      <c r="D942" s="1" t="s">
        <v>2457</v>
      </c>
      <c r="E942" s="1" t="n">
        <v>42</v>
      </c>
      <c r="F942" s="1" t="s">
        <v>80</v>
      </c>
      <c r="I942" s="1" t="n">
        <v>1230895</v>
      </c>
      <c r="J942" s="1" t="n">
        <v>100006</v>
      </c>
      <c r="K942" s="1" t="n">
        <v>7</v>
      </c>
      <c r="L942" s="1" t="s">
        <v>2437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5" t="n">
        <v>46183</v>
      </c>
      <c r="C943" s="1" t="n">
        <v>100</v>
      </c>
      <c r="D943" s="1" t="s">
        <v>2457</v>
      </c>
      <c r="E943" s="1" t="n">
        <v>42</v>
      </c>
      <c r="F943" s="1" t="s">
        <v>80</v>
      </c>
      <c r="I943" s="1" t="n">
        <v>1230895</v>
      </c>
      <c r="J943" s="1" t="n">
        <v>100007</v>
      </c>
      <c r="K943" s="1" t="n">
        <v>8</v>
      </c>
      <c r="L943" s="1" t="s">
        <v>2455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5" t="n">
        <v>46183</v>
      </c>
      <c r="C944" s="1" t="n">
        <v>100</v>
      </c>
      <c r="D944" s="1" t="s">
        <v>2457</v>
      </c>
      <c r="E944" s="1" t="n">
        <v>42</v>
      </c>
      <c r="F944" s="1" t="s">
        <v>80</v>
      </c>
      <c r="I944" s="1" t="n">
        <v>1230895</v>
      </c>
      <c r="J944" s="1" t="n">
        <v>100638</v>
      </c>
      <c r="K944" s="1" t="n">
        <v>508</v>
      </c>
      <c r="L944" s="1" t="s">
        <v>2448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5" t="n">
        <v>46183</v>
      </c>
      <c r="C945" s="1" t="n">
        <v>100</v>
      </c>
      <c r="D945" s="1" t="s">
        <v>2457</v>
      </c>
      <c r="E945" s="1" t="n">
        <v>42</v>
      </c>
      <c r="F945" s="1" t="s">
        <v>80</v>
      </c>
      <c r="I945" s="1" t="n">
        <v>1230895</v>
      </c>
      <c r="J945" s="1" t="n">
        <v>100520</v>
      </c>
      <c r="K945" s="1" t="n">
        <v>507</v>
      </c>
      <c r="L945" s="1" t="s">
        <v>2449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5" t="n">
        <v>46183</v>
      </c>
      <c r="C946" s="1" t="n">
        <v>100</v>
      </c>
      <c r="D946" s="1" t="s">
        <v>2457</v>
      </c>
      <c r="E946" s="1" t="n">
        <v>42</v>
      </c>
      <c r="F946" s="1" t="s">
        <v>80</v>
      </c>
      <c r="I946" s="1" t="n">
        <v>1230895</v>
      </c>
      <c r="J946" s="1" t="n">
        <v>110455</v>
      </c>
      <c r="K946" s="1" t="n">
        <v>53212</v>
      </c>
      <c r="L946" s="1" t="s">
        <v>2450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5" t="n">
        <v>46183</v>
      </c>
      <c r="C947" s="1" t="n">
        <v>107</v>
      </c>
      <c r="D947" s="1" t="s">
        <v>2735</v>
      </c>
      <c r="E947" s="1" t="n">
        <v>1672</v>
      </c>
      <c r="F947" s="1" t="s">
        <v>67</v>
      </c>
      <c r="I947" s="1" t="n">
        <v>1366123</v>
      </c>
      <c r="J947" s="1" t="n">
        <v>37507</v>
      </c>
      <c r="K947" s="1" t="n">
        <v>7896579310854</v>
      </c>
      <c r="L947" s="1" t="s">
        <v>2435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5" t="n">
        <v>46184</v>
      </c>
      <c r="C948" s="1" t="n">
        <v>1</v>
      </c>
      <c r="D948" s="1" t="s">
        <v>2317</v>
      </c>
      <c r="E948" s="1" t="n">
        <v>560</v>
      </c>
      <c r="F948" s="1" t="s">
        <v>220</v>
      </c>
      <c r="I948" s="1" t="n">
        <v>1636</v>
      </c>
      <c r="J948" s="1" t="n">
        <v>72591</v>
      </c>
      <c r="K948" s="1" t="n">
        <v>7891985925401</v>
      </c>
      <c r="L948" s="1" t="s">
        <v>2736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5" t="n">
        <v>46184</v>
      </c>
      <c r="C949" s="1" t="n">
        <v>1</v>
      </c>
      <c r="D949" s="1" t="s">
        <v>2317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2737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5" t="n">
        <v>46184</v>
      </c>
      <c r="C950" s="1" t="n">
        <v>1</v>
      </c>
      <c r="D950" s="1" t="s">
        <v>2317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2738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5" t="n">
        <v>46184</v>
      </c>
      <c r="C951" s="1" t="n">
        <v>1</v>
      </c>
      <c r="D951" s="1" t="s">
        <v>2317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2739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5" t="n">
        <v>46184</v>
      </c>
      <c r="C952" s="1" t="n">
        <v>1</v>
      </c>
      <c r="D952" s="1" t="s">
        <v>2317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2740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5" t="n">
        <v>46184</v>
      </c>
      <c r="C953" s="1" t="n">
        <v>1</v>
      </c>
      <c r="D953" s="1" t="s">
        <v>2317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2481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5" t="n">
        <v>46184</v>
      </c>
      <c r="C954" s="1" t="n">
        <v>1</v>
      </c>
      <c r="D954" s="1" t="s">
        <v>2317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2741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5" t="n">
        <v>46184</v>
      </c>
      <c r="C955" s="1" t="n">
        <v>1</v>
      </c>
      <c r="D955" s="1" t="s">
        <v>2317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2742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5" t="n">
        <v>46184</v>
      </c>
      <c r="C956" s="1" t="n">
        <v>1</v>
      </c>
      <c r="D956" s="1" t="s">
        <v>2317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2743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5" t="n">
        <v>46184</v>
      </c>
      <c r="C957" s="1" t="n">
        <v>1</v>
      </c>
      <c r="D957" s="1" t="s">
        <v>2317</v>
      </c>
      <c r="E957" s="1" t="n">
        <v>1706</v>
      </c>
      <c r="F957" s="1" t="s">
        <v>55</v>
      </c>
      <c r="I957" s="1" t="n">
        <v>202492</v>
      </c>
      <c r="J957" s="1" t="n">
        <v>57639</v>
      </c>
      <c r="K957" s="1" t="n">
        <v>7896004006277</v>
      </c>
      <c r="L957" s="1" t="s">
        <v>2364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5" t="n">
        <v>46184</v>
      </c>
      <c r="C958" s="1" t="n">
        <v>1</v>
      </c>
      <c r="D958" s="1" t="s">
        <v>2317</v>
      </c>
      <c r="E958" s="1" t="n">
        <v>1601</v>
      </c>
      <c r="F958" s="1" t="s">
        <v>155</v>
      </c>
      <c r="I958" s="1" t="n">
        <v>843061</v>
      </c>
      <c r="J958" s="1" t="n">
        <v>102287</v>
      </c>
      <c r="K958" s="1" t="n">
        <v>7896593500026</v>
      </c>
      <c r="L958" s="1" t="s">
        <v>2744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5" t="n">
        <v>46184</v>
      </c>
      <c r="C959" s="1" t="n">
        <v>1</v>
      </c>
      <c r="D959" s="1" t="s">
        <v>2317</v>
      </c>
      <c r="E959" s="1" t="n">
        <v>1601</v>
      </c>
      <c r="F959" s="1" t="s">
        <v>155</v>
      </c>
      <c r="I959" s="1" t="n">
        <v>843061</v>
      </c>
      <c r="J959" s="1" t="n">
        <v>102290</v>
      </c>
      <c r="K959" s="1" t="n">
        <v>7896593500019</v>
      </c>
      <c r="L959" s="1" t="s">
        <v>2745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5" t="n">
        <v>46184</v>
      </c>
      <c r="C960" s="1" t="n">
        <v>1</v>
      </c>
      <c r="D960" s="1" t="s">
        <v>2317</v>
      </c>
      <c r="E960" s="1" t="n">
        <v>1642</v>
      </c>
      <c r="F960" s="1" t="s">
        <v>274</v>
      </c>
      <c r="I960" s="1" t="n">
        <v>1026635</v>
      </c>
      <c r="J960" s="1" t="n">
        <v>104335</v>
      </c>
      <c r="K960" s="1" t="n">
        <v>7896289210512</v>
      </c>
      <c r="L960" s="1" t="s">
        <v>2466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5" t="n">
        <v>46184</v>
      </c>
      <c r="C961" s="1" t="n">
        <v>1</v>
      </c>
      <c r="D961" s="1" t="s">
        <v>2317</v>
      </c>
      <c r="E961" s="1" t="n">
        <v>1642</v>
      </c>
      <c r="F961" s="1" t="s">
        <v>274</v>
      </c>
      <c r="I961" s="1" t="n">
        <v>1026635</v>
      </c>
      <c r="J961" s="1" t="n">
        <v>105780</v>
      </c>
      <c r="K961" s="1" t="n">
        <v>7896289210017</v>
      </c>
      <c r="L961" s="1" t="s">
        <v>2467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5" t="n">
        <v>46184</v>
      </c>
      <c r="C962" s="1" t="n">
        <v>1</v>
      </c>
      <c r="D962" s="1" t="s">
        <v>2317</v>
      </c>
      <c r="E962" s="1" t="n">
        <v>1642</v>
      </c>
      <c r="F962" s="1" t="s">
        <v>274</v>
      </c>
      <c r="I962" s="1" t="n">
        <v>1026635</v>
      </c>
      <c r="J962" s="1" t="n">
        <v>105782</v>
      </c>
      <c r="K962" s="1" t="n">
        <v>7896289210352</v>
      </c>
      <c r="L962" s="1" t="s">
        <v>2468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5" t="n">
        <v>46184</v>
      </c>
      <c r="C963" s="1" t="n">
        <v>1</v>
      </c>
      <c r="D963" s="1" t="s">
        <v>2317</v>
      </c>
      <c r="E963" s="1" t="n">
        <v>1642</v>
      </c>
      <c r="F963" s="1" t="s">
        <v>274</v>
      </c>
      <c r="I963" s="1" t="n">
        <v>1026635</v>
      </c>
      <c r="J963" s="1" t="n">
        <v>106079</v>
      </c>
      <c r="K963" s="1" t="n">
        <v>7896289210130</v>
      </c>
      <c r="L963" s="1" t="s">
        <v>2469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5" t="n">
        <v>46184</v>
      </c>
      <c r="C964" s="1" t="n">
        <v>1</v>
      </c>
      <c r="D964" s="1" t="s">
        <v>2317</v>
      </c>
      <c r="E964" s="1" t="n">
        <v>1642</v>
      </c>
      <c r="F964" s="1" t="s">
        <v>274</v>
      </c>
      <c r="I964" s="1" t="n">
        <v>1026635</v>
      </c>
      <c r="J964" s="1" t="n">
        <v>106274</v>
      </c>
      <c r="K964" s="1" t="n">
        <v>7896289210086</v>
      </c>
      <c r="L964" s="1" t="s">
        <v>2470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5" t="n">
        <v>46184</v>
      </c>
      <c r="C965" s="1" t="n">
        <v>1</v>
      </c>
      <c r="D965" s="1" t="s">
        <v>2317</v>
      </c>
      <c r="E965" s="1" t="n">
        <v>1642</v>
      </c>
      <c r="F965" s="1" t="s">
        <v>274</v>
      </c>
      <c r="I965" s="1" t="n">
        <v>1026635</v>
      </c>
      <c r="J965" s="1" t="n">
        <v>106280</v>
      </c>
      <c r="K965" s="1" t="n">
        <v>7896289210062</v>
      </c>
      <c r="L965" s="1" t="s">
        <v>2471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5" t="n">
        <v>46184</v>
      </c>
      <c r="C966" s="1" t="n">
        <v>1</v>
      </c>
      <c r="D966" s="1" t="s">
        <v>2317</v>
      </c>
      <c r="E966" s="1" t="n">
        <v>1642</v>
      </c>
      <c r="F966" s="1" t="s">
        <v>274</v>
      </c>
      <c r="I966" s="1" t="n">
        <v>1026635</v>
      </c>
      <c r="J966" s="1" t="n">
        <v>106407</v>
      </c>
      <c r="K966" s="1" t="n">
        <v>7896289210031</v>
      </c>
      <c r="L966" s="1" t="s">
        <v>2472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5" t="n">
        <v>46184</v>
      </c>
      <c r="C967" s="1" t="n">
        <v>2</v>
      </c>
      <c r="D967" s="1" t="s">
        <v>2283</v>
      </c>
      <c r="E967" s="1" t="n">
        <v>42</v>
      </c>
      <c r="F967" s="1" t="s">
        <v>80</v>
      </c>
      <c r="I967" s="1" t="n">
        <v>110601</v>
      </c>
      <c r="J967" s="1" t="n">
        <v>37359</v>
      </c>
      <c r="K967" s="1" t="n">
        <v>55526</v>
      </c>
      <c r="L967" s="1" t="s">
        <v>2285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5" t="n">
        <v>46184</v>
      </c>
      <c r="C968" s="1" t="n">
        <v>2</v>
      </c>
      <c r="D968" s="1" t="s">
        <v>2283</v>
      </c>
      <c r="E968" s="1" t="n">
        <v>42</v>
      </c>
      <c r="F968" s="1" t="s">
        <v>80</v>
      </c>
      <c r="I968" s="1" t="n">
        <v>110601</v>
      </c>
      <c r="J968" s="1" t="n">
        <v>37361</v>
      </c>
      <c r="K968" s="1" t="n">
        <v>2240817</v>
      </c>
      <c r="L968" s="1" t="s">
        <v>2286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5" t="n">
        <v>46184</v>
      </c>
      <c r="C969" s="1" t="n">
        <v>2</v>
      </c>
      <c r="D969" s="1" t="s">
        <v>2283</v>
      </c>
      <c r="E969" s="1" t="n">
        <v>42</v>
      </c>
      <c r="F969" s="1" t="s">
        <v>80</v>
      </c>
      <c r="I969" s="1" t="n">
        <v>110602</v>
      </c>
      <c r="J969" s="1" t="n">
        <v>100103</v>
      </c>
      <c r="K969" s="1" t="n">
        <v>104</v>
      </c>
      <c r="L969" s="1" t="s">
        <v>2287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5" t="n">
        <v>46184</v>
      </c>
      <c r="C970" s="1" t="n">
        <v>6</v>
      </c>
      <c r="D970" s="1" t="s">
        <v>2289</v>
      </c>
      <c r="E970" s="1" t="n">
        <v>42</v>
      </c>
      <c r="F970" s="1" t="s">
        <v>80</v>
      </c>
      <c r="I970" s="1" t="n">
        <v>4258</v>
      </c>
      <c r="J970" s="1" t="n">
        <v>37359</v>
      </c>
      <c r="K970" s="1" t="n">
        <v>55526</v>
      </c>
      <c r="L970" s="1" t="s">
        <v>2285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5" t="n">
        <v>46184</v>
      </c>
      <c r="C971" s="1" t="n">
        <v>6</v>
      </c>
      <c r="D971" s="1" t="s">
        <v>2289</v>
      </c>
      <c r="E971" s="1" t="n">
        <v>42</v>
      </c>
      <c r="F971" s="1" t="s">
        <v>80</v>
      </c>
      <c r="I971" s="1" t="n">
        <v>4258</v>
      </c>
      <c r="J971" s="1" t="n">
        <v>37361</v>
      </c>
      <c r="K971" s="1" t="n">
        <v>2240817</v>
      </c>
      <c r="L971" s="1" t="s">
        <v>2286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5" t="n">
        <v>46184</v>
      </c>
      <c r="C972" s="1" t="n">
        <v>6</v>
      </c>
      <c r="D972" s="1" t="s">
        <v>2289</v>
      </c>
      <c r="E972" s="1" t="n">
        <v>42</v>
      </c>
      <c r="F972" s="1" t="s">
        <v>80</v>
      </c>
      <c r="I972" s="1" t="n">
        <v>4259</v>
      </c>
      <c r="J972" s="1" t="n">
        <v>100103</v>
      </c>
      <c r="K972" s="1" t="n">
        <v>104</v>
      </c>
      <c r="L972" s="1" t="s">
        <v>2287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5" t="n">
        <v>46184</v>
      </c>
      <c r="C973" s="1" t="n">
        <v>11</v>
      </c>
      <c r="D973" s="1" t="s">
        <v>2290</v>
      </c>
      <c r="E973" s="1" t="n">
        <v>1828</v>
      </c>
      <c r="F973" s="1" t="s">
        <v>278</v>
      </c>
      <c r="I973" s="1" t="n">
        <v>1328</v>
      </c>
      <c r="J973" s="1" t="n">
        <v>40034</v>
      </c>
      <c r="K973" s="1" t="n">
        <v>742832367370</v>
      </c>
      <c r="L973" s="1" t="s">
        <v>2746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5" t="n">
        <v>46184</v>
      </c>
      <c r="C974" s="1" t="n">
        <v>11</v>
      </c>
      <c r="D974" s="1" t="s">
        <v>2290</v>
      </c>
      <c r="E974" s="1" t="n">
        <v>1828</v>
      </c>
      <c r="F974" s="1" t="s">
        <v>278</v>
      </c>
      <c r="I974" s="1" t="n">
        <v>1328</v>
      </c>
      <c r="J974" s="1" t="n">
        <v>14247</v>
      </c>
      <c r="K974" s="1" t="n">
        <v>2229416</v>
      </c>
      <c r="L974" s="1" t="s">
        <v>2747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5" t="n">
        <v>46184</v>
      </c>
      <c r="C975" s="1" t="n">
        <v>11</v>
      </c>
      <c r="D975" s="1" t="s">
        <v>2290</v>
      </c>
      <c r="E975" s="1" t="n">
        <v>1828</v>
      </c>
      <c r="F975" s="1" t="s">
        <v>278</v>
      </c>
      <c r="I975" s="1" t="n">
        <v>1328</v>
      </c>
      <c r="J975" s="1" t="n">
        <v>14248</v>
      </c>
      <c r="K975" s="1" t="n">
        <v>2229423</v>
      </c>
      <c r="L975" s="1" t="s">
        <v>2748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5" t="n">
        <v>46184</v>
      </c>
      <c r="C976" s="1" t="n">
        <v>11</v>
      </c>
      <c r="D976" s="1" t="s">
        <v>2290</v>
      </c>
      <c r="E976" s="1" t="n">
        <v>1828</v>
      </c>
      <c r="F976" s="1" t="s">
        <v>278</v>
      </c>
      <c r="I976" s="1" t="n">
        <v>1328</v>
      </c>
      <c r="J976" s="1" t="n">
        <v>20541</v>
      </c>
      <c r="K976" s="1" t="n">
        <v>2232829</v>
      </c>
      <c r="L976" s="1" t="s">
        <v>2749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5" t="n">
        <v>46184</v>
      </c>
      <c r="C977" s="1" t="n">
        <v>11</v>
      </c>
      <c r="D977" s="1" t="s">
        <v>2290</v>
      </c>
      <c r="E977" s="1" t="n">
        <v>1828</v>
      </c>
      <c r="F977" s="1" t="s">
        <v>278</v>
      </c>
      <c r="I977" s="1" t="n">
        <v>1328</v>
      </c>
      <c r="J977" s="1" t="n">
        <v>81207</v>
      </c>
      <c r="K977" s="1" t="n">
        <v>812085</v>
      </c>
      <c r="L977" s="1" t="s">
        <v>2750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5" t="n">
        <v>46184</v>
      </c>
      <c r="C978" s="1" t="n">
        <v>11</v>
      </c>
      <c r="D978" s="1" t="s">
        <v>2290</v>
      </c>
      <c r="E978" s="1" t="n">
        <v>794</v>
      </c>
      <c r="F978" s="1" t="s">
        <v>152</v>
      </c>
      <c r="I978" s="1" t="n">
        <v>8058</v>
      </c>
      <c r="J978" s="1" t="n">
        <v>37229</v>
      </c>
      <c r="K978" s="1" t="n">
        <v>7898946757576</v>
      </c>
      <c r="L978" s="1" t="s">
        <v>2751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5" t="n">
        <v>46184</v>
      </c>
      <c r="C979" s="1" t="n">
        <v>11</v>
      </c>
      <c r="D979" s="1" t="s">
        <v>2290</v>
      </c>
      <c r="E979" s="1" t="n">
        <v>794</v>
      </c>
      <c r="F979" s="1" t="s">
        <v>152</v>
      </c>
      <c r="I979" s="1" t="n">
        <v>8058</v>
      </c>
      <c r="J979" s="1" t="n">
        <v>37520</v>
      </c>
      <c r="K979" s="1" t="n">
        <v>7898961625027</v>
      </c>
      <c r="L979" s="1" t="s">
        <v>2752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5" t="n">
        <v>46184</v>
      </c>
      <c r="C980" s="1" t="n">
        <v>11</v>
      </c>
      <c r="D980" s="1" t="s">
        <v>2290</v>
      </c>
      <c r="E980" s="1" t="n">
        <v>794</v>
      </c>
      <c r="F980" s="1" t="s">
        <v>152</v>
      </c>
      <c r="I980" s="1" t="n">
        <v>8058</v>
      </c>
      <c r="J980" s="1" t="n">
        <v>37532</v>
      </c>
      <c r="K980" s="1" t="n">
        <v>7898961625034</v>
      </c>
      <c r="L980" s="1" t="s">
        <v>2753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5" t="n">
        <v>46184</v>
      </c>
      <c r="C981" s="1" t="n">
        <v>11</v>
      </c>
      <c r="D981" s="1" t="s">
        <v>2290</v>
      </c>
      <c r="E981" s="1" t="n">
        <v>794</v>
      </c>
      <c r="F981" s="1" t="s">
        <v>152</v>
      </c>
      <c r="I981" s="1" t="n">
        <v>8058</v>
      </c>
      <c r="J981" s="1" t="n">
        <v>37533</v>
      </c>
      <c r="K981" s="1" t="n">
        <v>7898961625058</v>
      </c>
      <c r="L981" s="1" t="s">
        <v>2754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5" t="n">
        <v>46184</v>
      </c>
      <c r="C982" s="1" t="n">
        <v>11</v>
      </c>
      <c r="D982" s="1" t="s">
        <v>2290</v>
      </c>
      <c r="E982" s="1" t="n">
        <v>794</v>
      </c>
      <c r="F982" s="1" t="s">
        <v>152</v>
      </c>
      <c r="I982" s="1" t="n">
        <v>8058</v>
      </c>
      <c r="J982" s="1" t="n">
        <v>38693</v>
      </c>
      <c r="K982" s="1" t="n">
        <v>7898961625096</v>
      </c>
      <c r="L982" s="1" t="s">
        <v>2755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5" t="n">
        <v>46184</v>
      </c>
      <c r="C983" s="1" t="n">
        <v>11</v>
      </c>
      <c r="D983" s="1" t="s">
        <v>2290</v>
      </c>
      <c r="E983" s="1" t="n">
        <v>794</v>
      </c>
      <c r="F983" s="1" t="s">
        <v>152</v>
      </c>
      <c r="I983" s="1" t="n">
        <v>8058</v>
      </c>
      <c r="J983" s="1" t="n">
        <v>41153</v>
      </c>
      <c r="K983" s="1" t="n">
        <v>7898946757293</v>
      </c>
      <c r="L983" s="1" t="s">
        <v>2756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5" t="n">
        <v>46184</v>
      </c>
      <c r="C984" s="1" t="n">
        <v>11</v>
      </c>
      <c r="D984" s="1" t="s">
        <v>2290</v>
      </c>
      <c r="E984" s="1" t="n">
        <v>794</v>
      </c>
      <c r="F984" s="1" t="s">
        <v>152</v>
      </c>
      <c r="I984" s="1" t="n">
        <v>8058</v>
      </c>
      <c r="J984" s="1" t="n">
        <v>53340</v>
      </c>
      <c r="K984" s="1" t="n">
        <v>7898961625065</v>
      </c>
      <c r="L984" s="1" t="s">
        <v>2757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5" t="n">
        <v>46184</v>
      </c>
      <c r="C985" s="1" t="n">
        <v>11</v>
      </c>
      <c r="D985" s="1" t="s">
        <v>2290</v>
      </c>
      <c r="E985" s="1" t="n">
        <v>794</v>
      </c>
      <c r="F985" s="1" t="s">
        <v>152</v>
      </c>
      <c r="I985" s="1" t="n">
        <v>8058</v>
      </c>
      <c r="J985" s="1" t="n">
        <v>65812</v>
      </c>
      <c r="K985" s="1" t="n">
        <v>7898961625072</v>
      </c>
      <c r="L985" s="1" t="s">
        <v>2758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5" t="n">
        <v>46184</v>
      </c>
      <c r="C986" s="1" t="n">
        <v>11</v>
      </c>
      <c r="D986" s="1" t="s">
        <v>2290</v>
      </c>
      <c r="E986" s="1" t="n">
        <v>794</v>
      </c>
      <c r="F986" s="1" t="s">
        <v>152</v>
      </c>
      <c r="I986" s="1" t="n">
        <v>8058</v>
      </c>
      <c r="J986" s="1" t="n">
        <v>67471</v>
      </c>
      <c r="K986" s="1" t="n">
        <v>7898560800177</v>
      </c>
      <c r="L986" s="1" t="s">
        <v>2759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5" t="n">
        <v>46184</v>
      </c>
      <c r="C987" s="1" t="n">
        <v>11</v>
      </c>
      <c r="D987" s="1" t="s">
        <v>2290</v>
      </c>
      <c r="E987" s="1" t="n">
        <v>1676</v>
      </c>
      <c r="F987" s="1" t="s">
        <v>253</v>
      </c>
      <c r="I987" s="1" t="n">
        <v>10244</v>
      </c>
      <c r="J987" s="1" t="n">
        <v>102196</v>
      </c>
      <c r="K987" s="1" t="n">
        <v>7891032015505</v>
      </c>
      <c r="L987" s="1" t="s">
        <v>2760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5" t="n">
        <v>46184</v>
      </c>
      <c r="C988" s="1" t="n">
        <v>11</v>
      </c>
      <c r="D988" s="1" t="s">
        <v>2290</v>
      </c>
      <c r="E988" s="1" t="n">
        <v>1676</v>
      </c>
      <c r="F988" s="1" t="s">
        <v>253</v>
      </c>
      <c r="I988" s="1" t="n">
        <v>10244</v>
      </c>
      <c r="J988" s="1" t="n">
        <v>102260</v>
      </c>
      <c r="K988" s="1" t="n">
        <v>7898916462028</v>
      </c>
      <c r="L988" s="1" t="s">
        <v>2761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5" t="n">
        <v>46184</v>
      </c>
      <c r="C989" s="1" t="n">
        <v>11</v>
      </c>
      <c r="D989" s="1" t="s">
        <v>2290</v>
      </c>
      <c r="E989" s="1" t="n">
        <v>1676</v>
      </c>
      <c r="F989" s="1" t="s">
        <v>253</v>
      </c>
      <c r="I989" s="1" t="n">
        <v>10244</v>
      </c>
      <c r="J989" s="1" t="n">
        <v>15607</v>
      </c>
      <c r="K989" s="1" t="n">
        <v>7891340303714</v>
      </c>
      <c r="L989" s="1" t="s">
        <v>2762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5" t="n">
        <v>46184</v>
      </c>
      <c r="C990" s="1" t="n">
        <v>11</v>
      </c>
      <c r="D990" s="1" t="s">
        <v>2290</v>
      </c>
      <c r="E990" s="1" t="n">
        <v>1676</v>
      </c>
      <c r="F990" s="1" t="s">
        <v>253</v>
      </c>
      <c r="I990" s="1" t="n">
        <v>10244</v>
      </c>
      <c r="J990" s="1" t="n">
        <v>15608</v>
      </c>
      <c r="K990" s="1" t="n">
        <v>7891340303233</v>
      </c>
      <c r="L990" s="1" t="s">
        <v>2763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5" t="n">
        <v>46184</v>
      </c>
      <c r="C991" s="1" t="n">
        <v>11</v>
      </c>
      <c r="D991" s="1" t="s">
        <v>2290</v>
      </c>
      <c r="E991" s="1" t="n">
        <v>1676</v>
      </c>
      <c r="F991" s="1" t="s">
        <v>253</v>
      </c>
      <c r="I991" s="1" t="n">
        <v>10244</v>
      </c>
      <c r="J991" s="1" t="n">
        <v>15650</v>
      </c>
      <c r="K991" s="1" t="n">
        <v>7891340303615</v>
      </c>
      <c r="L991" s="1" t="s">
        <v>2764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5" t="n">
        <v>46184</v>
      </c>
      <c r="C992" s="1" t="n">
        <v>11</v>
      </c>
      <c r="D992" s="1" t="s">
        <v>2290</v>
      </c>
      <c r="E992" s="1" t="n">
        <v>1676</v>
      </c>
      <c r="F992" s="1" t="s">
        <v>253</v>
      </c>
      <c r="I992" s="1" t="n">
        <v>10244</v>
      </c>
      <c r="J992" s="1" t="n">
        <v>17770</v>
      </c>
      <c r="K992" s="1" t="n">
        <v>7896327511984</v>
      </c>
      <c r="L992" s="1" t="s">
        <v>2765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5" t="n">
        <v>46184</v>
      </c>
      <c r="C993" s="1" t="n">
        <v>11</v>
      </c>
      <c r="D993" s="1" t="s">
        <v>2290</v>
      </c>
      <c r="E993" s="1" t="n">
        <v>1676</v>
      </c>
      <c r="F993" s="1" t="s">
        <v>253</v>
      </c>
      <c r="I993" s="1" t="n">
        <v>10244</v>
      </c>
      <c r="J993" s="1" t="n">
        <v>31411</v>
      </c>
      <c r="K993" s="1" t="n">
        <v>7896327501855</v>
      </c>
      <c r="L993" s="1" t="s">
        <v>2766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5" t="n">
        <v>46184</v>
      </c>
      <c r="C994" s="1" t="n">
        <v>11</v>
      </c>
      <c r="D994" s="1" t="s">
        <v>2290</v>
      </c>
      <c r="E994" s="1" t="n">
        <v>1676</v>
      </c>
      <c r="F994" s="1" t="s">
        <v>253</v>
      </c>
      <c r="I994" s="1" t="n">
        <v>10244</v>
      </c>
      <c r="J994" s="1" t="n">
        <v>33178</v>
      </c>
      <c r="K994" s="1" t="n">
        <v>7896327514312</v>
      </c>
      <c r="L994" s="1" t="s">
        <v>2767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5" t="n">
        <v>46184</v>
      </c>
      <c r="C995" s="1" t="n">
        <v>11</v>
      </c>
      <c r="D995" s="1" t="s">
        <v>2290</v>
      </c>
      <c r="E995" s="1" t="n">
        <v>1676</v>
      </c>
      <c r="F995" s="1" t="s">
        <v>253</v>
      </c>
      <c r="I995" s="1" t="n">
        <v>10244</v>
      </c>
      <c r="J995" s="1" t="n">
        <v>33179</v>
      </c>
      <c r="K995" s="1" t="n">
        <v>7896327514329</v>
      </c>
      <c r="L995" s="1" t="s">
        <v>2768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5" t="n">
        <v>46184</v>
      </c>
      <c r="C996" s="1" t="n">
        <v>11</v>
      </c>
      <c r="D996" s="1" t="s">
        <v>2290</v>
      </c>
      <c r="E996" s="1" t="n">
        <v>1676</v>
      </c>
      <c r="F996" s="1" t="s">
        <v>253</v>
      </c>
      <c r="I996" s="1" t="n">
        <v>10244</v>
      </c>
      <c r="J996" s="1" t="n">
        <v>34936</v>
      </c>
      <c r="K996" s="1" t="n">
        <v>7898916462127</v>
      </c>
      <c r="L996" s="1" t="s">
        <v>2769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5" t="n">
        <v>46184</v>
      </c>
      <c r="C997" s="1" t="n">
        <v>11</v>
      </c>
      <c r="D997" s="1" t="s">
        <v>2290</v>
      </c>
      <c r="E997" s="1" t="n">
        <v>1676</v>
      </c>
      <c r="F997" s="1" t="s">
        <v>253</v>
      </c>
      <c r="I997" s="1" t="n">
        <v>10244</v>
      </c>
      <c r="J997" s="1" t="n">
        <v>38559</v>
      </c>
      <c r="K997" s="1" t="n">
        <v>7896327510956</v>
      </c>
      <c r="L997" s="1" t="s">
        <v>2770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5" t="n">
        <v>46184</v>
      </c>
      <c r="C998" s="1" t="n">
        <v>11</v>
      </c>
      <c r="D998" s="1" t="s">
        <v>2290</v>
      </c>
      <c r="E998" s="1" t="n">
        <v>1676</v>
      </c>
      <c r="F998" s="1" t="s">
        <v>253</v>
      </c>
      <c r="I998" s="1" t="n">
        <v>10244</v>
      </c>
      <c r="J998" s="1" t="n">
        <v>40510</v>
      </c>
      <c r="K998" s="1" t="n">
        <v>7896327501879</v>
      </c>
      <c r="L998" s="1" t="s">
        <v>2771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5" t="n">
        <v>46184</v>
      </c>
      <c r="C999" s="1" t="n">
        <v>11</v>
      </c>
      <c r="D999" s="1" t="s">
        <v>2290</v>
      </c>
      <c r="E999" s="1" t="n">
        <v>1676</v>
      </c>
      <c r="F999" s="1" t="s">
        <v>253</v>
      </c>
      <c r="I999" s="1" t="n">
        <v>10244</v>
      </c>
      <c r="J999" s="1" t="n">
        <v>44695</v>
      </c>
      <c r="K999" s="1" t="n">
        <v>7898916462103</v>
      </c>
      <c r="L999" s="1" t="s">
        <v>2772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5" t="n">
        <v>46184</v>
      </c>
      <c r="C1000" s="1" t="n">
        <v>11</v>
      </c>
      <c r="D1000" s="1" t="s">
        <v>2290</v>
      </c>
      <c r="E1000" s="1" t="n">
        <v>1676</v>
      </c>
      <c r="F1000" s="1" t="s">
        <v>253</v>
      </c>
      <c r="I1000" s="1" t="n">
        <v>10244</v>
      </c>
      <c r="J1000" s="1" t="n">
        <v>45210</v>
      </c>
      <c r="K1000" s="1" t="n">
        <v>7891032014621</v>
      </c>
      <c r="L1000" s="1" t="s">
        <v>2773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5" t="n">
        <v>46184</v>
      </c>
      <c r="C1001" s="1" t="n">
        <v>11</v>
      </c>
      <c r="D1001" s="1" t="s">
        <v>2290</v>
      </c>
      <c r="E1001" s="1" t="n">
        <v>1676</v>
      </c>
      <c r="F1001" s="1" t="s">
        <v>253</v>
      </c>
      <c r="I1001" s="1" t="n">
        <v>10244</v>
      </c>
      <c r="J1001" s="1" t="n">
        <v>46224</v>
      </c>
      <c r="K1001" s="1" t="n">
        <v>7891032014638</v>
      </c>
      <c r="L1001" s="1" t="s">
        <v>2774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5" t="n">
        <v>46184</v>
      </c>
      <c r="C1002" s="1" t="n">
        <v>11</v>
      </c>
      <c r="D1002" s="1" t="s">
        <v>2290</v>
      </c>
      <c r="E1002" s="1" t="n">
        <v>1676</v>
      </c>
      <c r="F1002" s="1" t="s">
        <v>253</v>
      </c>
      <c r="I1002" s="1" t="n">
        <v>10244</v>
      </c>
      <c r="J1002" s="1" t="n">
        <v>46640</v>
      </c>
      <c r="K1002" s="1" t="n">
        <v>7898916462110</v>
      </c>
      <c r="L1002" s="1" t="s">
        <v>2775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5" t="n">
        <v>46184</v>
      </c>
      <c r="C1003" s="1" t="n">
        <v>11</v>
      </c>
      <c r="D1003" s="1" t="s">
        <v>2290</v>
      </c>
      <c r="E1003" s="1" t="n">
        <v>1676</v>
      </c>
      <c r="F1003" s="1" t="s">
        <v>253</v>
      </c>
      <c r="I1003" s="1" t="n">
        <v>10244</v>
      </c>
      <c r="J1003" s="1" t="n">
        <v>49142</v>
      </c>
      <c r="K1003" s="1" t="n">
        <v>7891340365576</v>
      </c>
      <c r="L1003" s="1" t="s">
        <v>2776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5" t="n">
        <v>46184</v>
      </c>
      <c r="C1004" s="1" t="n">
        <v>11</v>
      </c>
      <c r="D1004" s="1" t="s">
        <v>2290</v>
      </c>
      <c r="E1004" s="1" t="n">
        <v>1676</v>
      </c>
      <c r="F1004" s="1" t="s">
        <v>253</v>
      </c>
      <c r="I1004" s="1" t="n">
        <v>10244</v>
      </c>
      <c r="J1004" s="1" t="n">
        <v>66251</v>
      </c>
      <c r="K1004" s="1" t="n">
        <v>7898961756073</v>
      </c>
      <c r="L1004" s="1" t="s">
        <v>2777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5" t="n">
        <v>46184</v>
      </c>
      <c r="C1005" s="1" t="n">
        <v>11</v>
      </c>
      <c r="D1005" s="1" t="s">
        <v>2290</v>
      </c>
      <c r="E1005" s="1" t="n">
        <v>1676</v>
      </c>
      <c r="F1005" s="1" t="s">
        <v>253</v>
      </c>
      <c r="I1005" s="1" t="n">
        <v>10244</v>
      </c>
      <c r="J1005" s="1" t="n">
        <v>74382</v>
      </c>
      <c r="K1005" s="1" t="n">
        <v>7896523109640</v>
      </c>
      <c r="L1005" s="1" t="s">
        <v>2778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5" t="n">
        <v>46184</v>
      </c>
      <c r="C1006" s="1" t="n">
        <v>11</v>
      </c>
      <c r="D1006" s="1" t="s">
        <v>2290</v>
      </c>
      <c r="E1006" s="1" t="n">
        <v>1676</v>
      </c>
      <c r="F1006" s="1" t="s">
        <v>253</v>
      </c>
      <c r="I1006" s="1" t="n">
        <v>10244</v>
      </c>
      <c r="J1006" s="1" t="n">
        <v>74601</v>
      </c>
      <c r="K1006" s="1" t="n">
        <v>631430167348</v>
      </c>
      <c r="L1006" s="1" t="s">
        <v>2779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5" t="n">
        <v>46184</v>
      </c>
      <c r="C1007" s="1" t="n">
        <v>11</v>
      </c>
      <c r="D1007" s="1" t="s">
        <v>2290</v>
      </c>
      <c r="E1007" s="1" t="n">
        <v>1676</v>
      </c>
      <c r="F1007" s="1" t="s">
        <v>253</v>
      </c>
      <c r="I1007" s="1" t="n">
        <v>10244</v>
      </c>
      <c r="J1007" s="1" t="n">
        <v>79820</v>
      </c>
      <c r="K1007" s="1" t="n">
        <v>7898770870069</v>
      </c>
      <c r="L1007" s="1" t="s">
        <v>2780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5" t="n">
        <v>46184</v>
      </c>
      <c r="C1008" s="1" t="n">
        <v>11</v>
      </c>
      <c r="D1008" s="1" t="s">
        <v>2290</v>
      </c>
      <c r="E1008" s="1" t="n">
        <v>1676</v>
      </c>
      <c r="F1008" s="1" t="s">
        <v>253</v>
      </c>
      <c r="I1008" s="1" t="n">
        <v>10244</v>
      </c>
      <c r="J1008" s="1" t="n">
        <v>80561</v>
      </c>
      <c r="K1008" s="1" t="n">
        <v>7896075301080</v>
      </c>
      <c r="L1008" s="1" t="s">
        <v>2781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5" t="n">
        <v>46184</v>
      </c>
      <c r="C1009" s="1" t="n">
        <v>11</v>
      </c>
      <c r="D1009" s="1" t="s">
        <v>2290</v>
      </c>
      <c r="E1009" s="1" t="n">
        <v>1676</v>
      </c>
      <c r="F1009" s="1" t="s">
        <v>253</v>
      </c>
      <c r="I1009" s="1" t="n">
        <v>10244</v>
      </c>
      <c r="J1009" s="1" t="n">
        <v>80562</v>
      </c>
      <c r="K1009" s="1" t="n">
        <v>798190265087</v>
      </c>
      <c r="L1009" s="1" t="s">
        <v>2782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5" t="n">
        <v>46184</v>
      </c>
      <c r="C1010" s="1" t="n">
        <v>11</v>
      </c>
      <c r="D1010" s="1" t="s">
        <v>2290</v>
      </c>
      <c r="E1010" s="1" t="n">
        <v>1676</v>
      </c>
      <c r="F1010" s="1" t="s">
        <v>253</v>
      </c>
      <c r="I1010" s="1" t="n">
        <v>10244</v>
      </c>
      <c r="J1010" s="1" t="n">
        <v>80563</v>
      </c>
      <c r="K1010" s="1" t="n">
        <v>798190262369</v>
      </c>
      <c r="L1010" s="1" t="s">
        <v>2783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5" t="n">
        <v>46184</v>
      </c>
      <c r="C1011" s="1" t="n">
        <v>11</v>
      </c>
      <c r="D1011" s="1" t="s">
        <v>2290</v>
      </c>
      <c r="E1011" s="1" t="n">
        <v>1676</v>
      </c>
      <c r="F1011" s="1" t="s">
        <v>253</v>
      </c>
      <c r="I1011" s="1" t="n">
        <v>10244</v>
      </c>
      <c r="J1011" s="1" t="n">
        <v>80566</v>
      </c>
      <c r="K1011" s="1" t="n">
        <v>631430167331</v>
      </c>
      <c r="L1011" s="1" t="s">
        <v>2784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5" t="n">
        <v>46184</v>
      </c>
      <c r="C1012" s="1" t="n">
        <v>11</v>
      </c>
      <c r="D1012" s="1" t="s">
        <v>2290</v>
      </c>
      <c r="E1012" s="1" t="n">
        <v>1676</v>
      </c>
      <c r="F1012" s="1" t="s">
        <v>253</v>
      </c>
      <c r="I1012" s="1" t="n">
        <v>10244</v>
      </c>
      <c r="J1012" s="1" t="n">
        <v>81233</v>
      </c>
      <c r="K1012" s="1" t="n">
        <v>7896444211958</v>
      </c>
      <c r="L1012" s="1" t="s">
        <v>2785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5" t="n">
        <v>46184</v>
      </c>
      <c r="C1013" s="1" t="n">
        <v>11</v>
      </c>
      <c r="D1013" s="1" t="s">
        <v>2290</v>
      </c>
      <c r="E1013" s="1" t="n">
        <v>1676</v>
      </c>
      <c r="F1013" s="1" t="s">
        <v>253</v>
      </c>
      <c r="I1013" s="1" t="n">
        <v>10244</v>
      </c>
      <c r="J1013" s="1" t="n">
        <v>81234</v>
      </c>
      <c r="K1013" s="1" t="n">
        <v>7896075301103</v>
      </c>
      <c r="L1013" s="1" t="s">
        <v>2786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5" t="n">
        <v>46184</v>
      </c>
      <c r="C1014" s="1" t="n">
        <v>11</v>
      </c>
      <c r="D1014" s="1" t="s">
        <v>2290</v>
      </c>
      <c r="E1014" s="1" t="n">
        <v>1676</v>
      </c>
      <c r="F1014" s="1" t="s">
        <v>253</v>
      </c>
      <c r="I1014" s="1" t="n">
        <v>10244</v>
      </c>
      <c r="J1014" s="1" t="n">
        <v>81235</v>
      </c>
      <c r="K1014" s="1" t="n">
        <v>7896075300939</v>
      </c>
      <c r="L1014" s="1" t="s">
        <v>2787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5" t="n">
        <v>46184</v>
      </c>
      <c r="C1015" s="1" t="n">
        <v>11</v>
      </c>
      <c r="D1015" s="1" t="s">
        <v>2290</v>
      </c>
      <c r="E1015" s="1" t="n">
        <v>1676</v>
      </c>
      <c r="F1015" s="1" t="s">
        <v>253</v>
      </c>
      <c r="I1015" s="1" t="n">
        <v>10244</v>
      </c>
      <c r="J1015" s="1" t="n">
        <v>81236</v>
      </c>
      <c r="K1015" s="1" t="n">
        <v>7896075301165</v>
      </c>
      <c r="L1015" s="1" t="s">
        <v>2788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5" t="n">
        <v>46184</v>
      </c>
      <c r="C1016" s="1" t="n">
        <v>11</v>
      </c>
      <c r="D1016" s="1" t="s">
        <v>2290</v>
      </c>
      <c r="E1016" s="1" t="n">
        <v>1676</v>
      </c>
      <c r="F1016" s="1" t="s">
        <v>253</v>
      </c>
      <c r="I1016" s="1" t="n">
        <v>10244</v>
      </c>
      <c r="J1016" s="1" t="n">
        <v>81237</v>
      </c>
      <c r="K1016" s="1" t="n">
        <v>7896075301202</v>
      </c>
      <c r="L1016" s="1" t="s">
        <v>2789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5" t="n">
        <v>46184</v>
      </c>
      <c r="C1017" s="1" t="n">
        <v>11</v>
      </c>
      <c r="D1017" s="1" t="s">
        <v>2290</v>
      </c>
      <c r="E1017" s="1" t="n">
        <v>1676</v>
      </c>
      <c r="F1017" s="1" t="s">
        <v>253</v>
      </c>
      <c r="I1017" s="1" t="n">
        <v>10244</v>
      </c>
      <c r="J1017" s="1" t="n">
        <v>81238</v>
      </c>
      <c r="K1017" s="1" t="n">
        <v>7898932839125</v>
      </c>
      <c r="L1017" s="1" t="s">
        <v>2790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5" t="n">
        <v>46184</v>
      </c>
      <c r="C1018" s="1" t="n">
        <v>11</v>
      </c>
      <c r="D1018" s="1" t="s">
        <v>2290</v>
      </c>
      <c r="E1018" s="1" t="n">
        <v>1676</v>
      </c>
      <c r="F1018" s="1" t="s">
        <v>253</v>
      </c>
      <c r="I1018" s="1" t="n">
        <v>10244</v>
      </c>
      <c r="J1018" s="1" t="n">
        <v>81239</v>
      </c>
      <c r="K1018" s="1" t="n">
        <v>7898932839132</v>
      </c>
      <c r="L1018" s="1" t="s">
        <v>2791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5" t="n">
        <v>46184</v>
      </c>
      <c r="C1019" s="1" t="n">
        <v>11</v>
      </c>
      <c r="D1019" s="1" t="s">
        <v>2290</v>
      </c>
      <c r="E1019" s="1" t="n">
        <v>1676</v>
      </c>
      <c r="F1019" s="1" t="s">
        <v>253</v>
      </c>
      <c r="I1019" s="1" t="n">
        <v>10244</v>
      </c>
      <c r="J1019" s="1" t="n">
        <v>81240</v>
      </c>
      <c r="K1019" s="1" t="n">
        <v>7896444211927</v>
      </c>
      <c r="L1019" s="1" t="s">
        <v>2792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5" t="n">
        <v>46184</v>
      </c>
      <c r="C1020" s="1" t="n">
        <v>11</v>
      </c>
      <c r="D1020" s="1" t="s">
        <v>2290</v>
      </c>
      <c r="E1020" s="1" t="n">
        <v>754</v>
      </c>
      <c r="F1020" s="1" t="s">
        <v>223</v>
      </c>
      <c r="I1020" s="1" t="n">
        <v>31031</v>
      </c>
      <c r="J1020" s="1" t="n">
        <v>100073</v>
      </c>
      <c r="K1020" s="1" t="n">
        <v>74</v>
      </c>
      <c r="L1020" s="1" t="s">
        <v>2793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5" t="n">
        <v>46184</v>
      </c>
      <c r="C1021" s="1" t="n">
        <v>11</v>
      </c>
      <c r="D1021" s="1" t="s">
        <v>2290</v>
      </c>
      <c r="E1021" s="1" t="n">
        <v>1605</v>
      </c>
      <c r="F1021" s="1" t="s">
        <v>113</v>
      </c>
      <c r="I1021" s="1" t="n">
        <v>213912</v>
      </c>
      <c r="J1021" s="1" t="n">
        <v>102577</v>
      </c>
      <c r="K1021" s="1" t="n">
        <v>7898080640222</v>
      </c>
      <c r="L1021" s="1" t="s">
        <v>2368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5" t="n">
        <v>46184</v>
      </c>
      <c r="C1022" s="1" t="n">
        <v>11</v>
      </c>
      <c r="D1022" s="1" t="s">
        <v>2290</v>
      </c>
      <c r="E1022" s="1" t="n">
        <v>1605</v>
      </c>
      <c r="F1022" s="1" t="s">
        <v>113</v>
      </c>
      <c r="I1022" s="1" t="n">
        <v>213912</v>
      </c>
      <c r="J1022" s="1" t="n">
        <v>14128</v>
      </c>
      <c r="K1022" s="1" t="n">
        <v>7898080640611</v>
      </c>
      <c r="L1022" s="1" t="s">
        <v>2794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5" t="n">
        <v>46184</v>
      </c>
      <c r="C1023" s="1" t="n">
        <v>11</v>
      </c>
      <c r="D1023" s="1" t="s">
        <v>2290</v>
      </c>
      <c r="E1023" s="1" t="n">
        <v>1605</v>
      </c>
      <c r="F1023" s="1" t="s">
        <v>113</v>
      </c>
      <c r="I1023" s="1" t="n">
        <v>213912</v>
      </c>
      <c r="J1023" s="1" t="n">
        <v>30952</v>
      </c>
      <c r="K1023" s="1" t="n">
        <v>7896005276464</v>
      </c>
      <c r="L1023" s="1" t="s">
        <v>2795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5" t="n">
        <v>46184</v>
      </c>
      <c r="C1024" s="1" t="n">
        <v>11</v>
      </c>
      <c r="D1024" s="1" t="s">
        <v>2290</v>
      </c>
      <c r="E1024" s="1" t="n">
        <v>1605</v>
      </c>
      <c r="F1024" s="1" t="s">
        <v>113</v>
      </c>
      <c r="I1024" s="1" t="n">
        <v>213912</v>
      </c>
      <c r="J1024" s="1" t="n">
        <v>59714</v>
      </c>
      <c r="K1024" s="1" t="n">
        <v>7896005210192</v>
      </c>
      <c r="L1024" s="1" t="s">
        <v>2796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5" t="n">
        <v>46184</v>
      </c>
      <c r="C1025" s="1" t="n">
        <v>11</v>
      </c>
      <c r="D1025" s="1" t="s">
        <v>2290</v>
      </c>
      <c r="E1025" s="1" t="n">
        <v>1699</v>
      </c>
      <c r="F1025" s="1" t="s">
        <v>60</v>
      </c>
      <c r="I1025" s="1" t="n">
        <v>304174</v>
      </c>
      <c r="J1025" s="1" t="n">
        <v>102457</v>
      </c>
      <c r="K1025" s="1" t="n">
        <v>7896031253347</v>
      </c>
      <c r="L1025" s="1" t="s">
        <v>2797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5" t="n">
        <v>46184</v>
      </c>
      <c r="C1026" s="1" t="n">
        <v>11</v>
      </c>
      <c r="D1026" s="1" t="s">
        <v>2290</v>
      </c>
      <c r="E1026" s="1" t="n">
        <v>1699</v>
      </c>
      <c r="F1026" s="1" t="s">
        <v>60</v>
      </c>
      <c r="I1026" s="1" t="n">
        <v>304174</v>
      </c>
      <c r="J1026" s="1" t="n">
        <v>105668</v>
      </c>
      <c r="K1026" s="1" t="n">
        <v>7896547500126</v>
      </c>
      <c r="L1026" s="1" t="s">
        <v>2798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5" t="n">
        <v>46184</v>
      </c>
      <c r="C1027" s="1" t="n">
        <v>11</v>
      </c>
      <c r="D1027" s="1" t="s">
        <v>2290</v>
      </c>
      <c r="E1027" s="1" t="n">
        <v>1699</v>
      </c>
      <c r="F1027" s="1" t="s">
        <v>60</v>
      </c>
      <c r="I1027" s="1" t="n">
        <v>304174</v>
      </c>
      <c r="J1027" s="1" t="n">
        <v>11838</v>
      </c>
      <c r="K1027" s="1" t="n">
        <v>7894351099867</v>
      </c>
      <c r="L1027" s="1" t="s">
        <v>2799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5" t="n">
        <v>46184</v>
      </c>
      <c r="C1028" s="1" t="n">
        <v>11</v>
      </c>
      <c r="D1028" s="1" t="s">
        <v>2290</v>
      </c>
      <c r="E1028" s="1" t="n">
        <v>1699</v>
      </c>
      <c r="F1028" s="1" t="s">
        <v>60</v>
      </c>
      <c r="I1028" s="1" t="n">
        <v>304174</v>
      </c>
      <c r="J1028" s="1" t="n">
        <v>13677</v>
      </c>
      <c r="K1028" s="1" t="n">
        <v>7896393601039</v>
      </c>
      <c r="L1028" s="1" t="s">
        <v>2800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5" t="n">
        <v>46184</v>
      </c>
      <c r="C1029" s="1" t="n">
        <v>11</v>
      </c>
      <c r="D1029" s="1" t="s">
        <v>2290</v>
      </c>
      <c r="E1029" s="1" t="n">
        <v>1699</v>
      </c>
      <c r="F1029" s="1" t="s">
        <v>60</v>
      </c>
      <c r="I1029" s="1" t="n">
        <v>304174</v>
      </c>
      <c r="J1029" s="1" t="n">
        <v>20427</v>
      </c>
      <c r="K1029" s="1" t="n">
        <v>7791293022567</v>
      </c>
      <c r="L1029" s="1" t="s">
        <v>2801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5" t="n">
        <v>46184</v>
      </c>
      <c r="C1030" s="1" t="n">
        <v>11</v>
      </c>
      <c r="D1030" s="1" t="s">
        <v>2290</v>
      </c>
      <c r="E1030" s="1" t="n">
        <v>1699</v>
      </c>
      <c r="F1030" s="1" t="s">
        <v>60</v>
      </c>
      <c r="I1030" s="1" t="n">
        <v>304174</v>
      </c>
      <c r="J1030" s="1" t="n">
        <v>21105</v>
      </c>
      <c r="K1030" s="1" t="n">
        <v>7898172660725</v>
      </c>
      <c r="L1030" s="1" t="s">
        <v>2802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5" t="n">
        <v>46184</v>
      </c>
      <c r="C1031" s="1" t="n">
        <v>11</v>
      </c>
      <c r="D1031" s="1" t="s">
        <v>2290</v>
      </c>
      <c r="E1031" s="1" t="n">
        <v>1699</v>
      </c>
      <c r="F1031" s="1" t="s">
        <v>60</v>
      </c>
      <c r="I1031" s="1" t="n">
        <v>304174</v>
      </c>
      <c r="J1031" s="1" t="n">
        <v>23249</v>
      </c>
      <c r="K1031" s="1" t="n">
        <v>7791293022598</v>
      </c>
      <c r="L1031" s="1" t="s">
        <v>2803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5" t="n">
        <v>46184</v>
      </c>
      <c r="C1032" s="1" t="n">
        <v>11</v>
      </c>
      <c r="D1032" s="1" t="s">
        <v>2290</v>
      </c>
      <c r="E1032" s="1" t="n">
        <v>1699</v>
      </c>
      <c r="F1032" s="1" t="s">
        <v>60</v>
      </c>
      <c r="I1032" s="1" t="n">
        <v>304174</v>
      </c>
      <c r="J1032" s="1" t="n">
        <v>24514</v>
      </c>
      <c r="K1032" s="1" t="n">
        <v>7791293032436</v>
      </c>
      <c r="L1032" s="1" t="s">
        <v>2804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5" t="n">
        <v>46184</v>
      </c>
      <c r="C1033" s="1" t="n">
        <v>11</v>
      </c>
      <c r="D1033" s="1" t="s">
        <v>2290</v>
      </c>
      <c r="E1033" s="1" t="n">
        <v>1699</v>
      </c>
      <c r="F1033" s="1" t="s">
        <v>60</v>
      </c>
      <c r="I1033" s="1" t="n">
        <v>304174</v>
      </c>
      <c r="J1033" s="1" t="n">
        <v>25361</v>
      </c>
      <c r="K1033" s="1" t="n">
        <v>7898919411900</v>
      </c>
      <c r="L1033" s="1" t="s">
        <v>2805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5" t="n">
        <v>46184</v>
      </c>
      <c r="C1034" s="1" t="n">
        <v>11</v>
      </c>
      <c r="D1034" s="1" t="s">
        <v>2290</v>
      </c>
      <c r="E1034" s="1" t="n">
        <v>1699</v>
      </c>
      <c r="F1034" s="1" t="s">
        <v>60</v>
      </c>
      <c r="I1034" s="1" t="n">
        <v>304174</v>
      </c>
      <c r="J1034" s="1" t="n">
        <v>25579</v>
      </c>
      <c r="K1034" s="1" t="n">
        <v>7506306241183</v>
      </c>
      <c r="L1034" s="1" t="s">
        <v>2806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5" t="n">
        <v>46184</v>
      </c>
      <c r="C1035" s="1" t="n">
        <v>11</v>
      </c>
      <c r="D1035" s="1" t="s">
        <v>2290</v>
      </c>
      <c r="E1035" s="1" t="n">
        <v>1699</v>
      </c>
      <c r="F1035" s="1" t="s">
        <v>60</v>
      </c>
      <c r="I1035" s="1" t="n">
        <v>304174</v>
      </c>
      <c r="J1035" s="1" t="n">
        <v>26120</v>
      </c>
      <c r="K1035" s="1" t="n">
        <v>7506306241169</v>
      </c>
      <c r="L1035" s="1" t="s">
        <v>2807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5" t="n">
        <v>46184</v>
      </c>
      <c r="C1036" s="1" t="n">
        <v>11</v>
      </c>
      <c r="D1036" s="1" t="s">
        <v>2290</v>
      </c>
      <c r="E1036" s="1" t="n">
        <v>1699</v>
      </c>
      <c r="F1036" s="1" t="s">
        <v>60</v>
      </c>
      <c r="I1036" s="1" t="n">
        <v>304174</v>
      </c>
      <c r="J1036" s="1" t="n">
        <v>26420</v>
      </c>
      <c r="K1036" s="1" t="n">
        <v>7898932426110</v>
      </c>
      <c r="L1036" s="1" t="s">
        <v>2808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5" t="n">
        <v>46184</v>
      </c>
      <c r="C1037" s="1" t="n">
        <v>11</v>
      </c>
      <c r="D1037" s="1" t="s">
        <v>2290</v>
      </c>
      <c r="E1037" s="1" t="n">
        <v>1699</v>
      </c>
      <c r="F1037" s="1" t="s">
        <v>60</v>
      </c>
      <c r="I1037" s="1" t="n">
        <v>304174</v>
      </c>
      <c r="J1037" s="1" t="n">
        <v>28475</v>
      </c>
      <c r="K1037" s="1" t="n">
        <v>7896860546528</v>
      </c>
      <c r="L1037" s="1" t="s">
        <v>2809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5" t="n">
        <v>46184</v>
      </c>
      <c r="C1038" s="1" t="n">
        <v>11</v>
      </c>
      <c r="D1038" s="1" t="s">
        <v>2290</v>
      </c>
      <c r="E1038" s="1" t="n">
        <v>1699</v>
      </c>
      <c r="F1038" s="1" t="s">
        <v>60</v>
      </c>
      <c r="I1038" s="1" t="n">
        <v>304174</v>
      </c>
      <c r="J1038" s="1" t="n">
        <v>29441</v>
      </c>
      <c r="K1038" s="1" t="n">
        <v>7891350034622</v>
      </c>
      <c r="L1038" s="1" t="s">
        <v>2810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5" t="n">
        <v>46184</v>
      </c>
      <c r="C1039" s="1" t="n">
        <v>11</v>
      </c>
      <c r="D1039" s="1" t="s">
        <v>2290</v>
      </c>
      <c r="E1039" s="1" t="n">
        <v>1699</v>
      </c>
      <c r="F1039" s="1" t="s">
        <v>60</v>
      </c>
      <c r="I1039" s="1" t="n">
        <v>304174</v>
      </c>
      <c r="J1039" s="1" t="n">
        <v>29442</v>
      </c>
      <c r="K1039" s="1" t="n">
        <v>7891350034639</v>
      </c>
      <c r="L1039" s="1" t="s">
        <v>2811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5" t="n">
        <v>46184</v>
      </c>
      <c r="C1040" s="1" t="n">
        <v>11</v>
      </c>
      <c r="D1040" s="1" t="s">
        <v>2290</v>
      </c>
      <c r="E1040" s="1" t="n">
        <v>1699</v>
      </c>
      <c r="F1040" s="1" t="s">
        <v>60</v>
      </c>
      <c r="I1040" s="1" t="n">
        <v>304174</v>
      </c>
      <c r="J1040" s="1" t="n">
        <v>31195</v>
      </c>
      <c r="K1040" s="1" t="n">
        <v>7898955964750</v>
      </c>
      <c r="L1040" s="1" t="s">
        <v>2812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5" t="n">
        <v>46184</v>
      </c>
      <c r="C1041" s="1" t="n">
        <v>11</v>
      </c>
      <c r="D1041" s="1" t="s">
        <v>2290</v>
      </c>
      <c r="E1041" s="1" t="n">
        <v>1699</v>
      </c>
      <c r="F1041" s="1" t="s">
        <v>60</v>
      </c>
      <c r="I1041" s="1" t="n">
        <v>304174</v>
      </c>
      <c r="J1041" s="1" t="n">
        <v>35098</v>
      </c>
      <c r="K1041" s="1" t="n">
        <v>7899567247309</v>
      </c>
      <c r="L1041" s="1" t="s">
        <v>2813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5" t="n">
        <v>46184</v>
      </c>
      <c r="C1042" s="1" t="n">
        <v>11</v>
      </c>
      <c r="D1042" s="1" t="s">
        <v>2290</v>
      </c>
      <c r="E1042" s="1" t="n">
        <v>1699</v>
      </c>
      <c r="F1042" s="1" t="s">
        <v>60</v>
      </c>
      <c r="I1042" s="1" t="n">
        <v>304174</v>
      </c>
      <c r="J1042" s="1" t="n">
        <v>35117</v>
      </c>
      <c r="K1042" s="1" t="n">
        <v>7899567247262</v>
      </c>
      <c r="L1042" s="1" t="s">
        <v>2797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5" t="n">
        <v>46184</v>
      </c>
      <c r="C1043" s="1" t="n">
        <v>11</v>
      </c>
      <c r="D1043" s="1" t="s">
        <v>2290</v>
      </c>
      <c r="E1043" s="1" t="n">
        <v>1699</v>
      </c>
      <c r="F1043" s="1" t="s">
        <v>60</v>
      </c>
      <c r="I1043" s="1" t="n">
        <v>304174</v>
      </c>
      <c r="J1043" s="1" t="n">
        <v>35879</v>
      </c>
      <c r="K1043" s="1" t="n">
        <v>7898962669198</v>
      </c>
      <c r="L1043" s="1" t="s">
        <v>2814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5" t="n">
        <v>46184</v>
      </c>
      <c r="C1044" s="1" t="n">
        <v>11</v>
      </c>
      <c r="D1044" s="1" t="s">
        <v>2290</v>
      </c>
      <c r="E1044" s="1" t="n">
        <v>1699</v>
      </c>
      <c r="F1044" s="1" t="s">
        <v>60</v>
      </c>
      <c r="I1044" s="1" t="n">
        <v>304174</v>
      </c>
      <c r="J1044" s="1" t="n">
        <v>36969</v>
      </c>
      <c r="K1044" s="1" t="n">
        <v>7891000325858</v>
      </c>
      <c r="L1044" s="1" t="s">
        <v>2815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5" t="n">
        <v>46184</v>
      </c>
      <c r="C1045" s="1" t="n">
        <v>11</v>
      </c>
      <c r="D1045" s="1" t="s">
        <v>2290</v>
      </c>
      <c r="E1045" s="1" t="n">
        <v>1699</v>
      </c>
      <c r="F1045" s="1" t="s">
        <v>60</v>
      </c>
      <c r="I1045" s="1" t="n">
        <v>304174</v>
      </c>
      <c r="J1045" s="1" t="n">
        <v>60926</v>
      </c>
      <c r="K1045" s="1" t="n">
        <v>7506306241206</v>
      </c>
      <c r="L1045" s="1" t="s">
        <v>2816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5" t="n">
        <v>46184</v>
      </c>
      <c r="C1046" s="1" t="n">
        <v>11</v>
      </c>
      <c r="D1046" s="1" t="s">
        <v>2290</v>
      </c>
      <c r="E1046" s="1" t="n">
        <v>1699</v>
      </c>
      <c r="F1046" s="1" t="s">
        <v>60</v>
      </c>
      <c r="I1046" s="1" t="n">
        <v>304174</v>
      </c>
      <c r="J1046" s="1" t="n">
        <v>75909</v>
      </c>
      <c r="K1046" s="1" t="n">
        <v>7898617582285</v>
      </c>
      <c r="L1046" s="1" t="s">
        <v>2817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5" t="n">
        <v>46184</v>
      </c>
      <c r="C1047" s="1" t="n">
        <v>11</v>
      </c>
      <c r="D1047" s="1" t="s">
        <v>2290</v>
      </c>
      <c r="E1047" s="1" t="n">
        <v>1745</v>
      </c>
      <c r="F1047" s="1" t="s">
        <v>592</v>
      </c>
      <c r="I1047" s="1" t="n">
        <v>346035</v>
      </c>
      <c r="J1047" s="1" t="n">
        <v>70215</v>
      </c>
      <c r="K1047" s="1" t="n">
        <v>7896045114290</v>
      </c>
      <c r="L1047" s="1" t="s">
        <v>2818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5" t="n">
        <v>46184</v>
      </c>
      <c r="C1048" s="1" t="n">
        <v>11</v>
      </c>
      <c r="D1048" s="1" t="s">
        <v>2290</v>
      </c>
      <c r="E1048" s="1" t="n">
        <v>1745</v>
      </c>
      <c r="F1048" s="1" t="s">
        <v>592</v>
      </c>
      <c r="I1048" s="1" t="n">
        <v>346035</v>
      </c>
      <c r="J1048" s="1" t="n">
        <v>101860</v>
      </c>
      <c r="K1048" s="1" t="n">
        <v>7896224803069</v>
      </c>
      <c r="L1048" s="1" t="s">
        <v>2819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5" t="n">
        <v>46184</v>
      </c>
      <c r="C1049" s="1" t="n">
        <v>11</v>
      </c>
      <c r="D1049" s="1" t="s">
        <v>2290</v>
      </c>
      <c r="E1049" s="1" t="n">
        <v>1745</v>
      </c>
      <c r="F1049" s="1" t="s">
        <v>592</v>
      </c>
      <c r="I1049" s="1" t="n">
        <v>346035</v>
      </c>
      <c r="J1049" s="1" t="n">
        <v>101863</v>
      </c>
      <c r="K1049" s="1" t="n">
        <v>7896045100019</v>
      </c>
      <c r="L1049" s="1" t="s">
        <v>2820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5" t="n">
        <v>46184</v>
      </c>
      <c r="C1050" s="1" t="n">
        <v>11</v>
      </c>
      <c r="D1050" s="1" t="s">
        <v>2290</v>
      </c>
      <c r="E1050" s="1" t="n">
        <v>1745</v>
      </c>
      <c r="F1050" s="1" t="s">
        <v>592</v>
      </c>
      <c r="I1050" s="1" t="n">
        <v>346035</v>
      </c>
      <c r="J1050" s="1" t="n">
        <v>101864</v>
      </c>
      <c r="K1050" s="1" t="n">
        <v>7896045100026</v>
      </c>
      <c r="L1050" s="1" t="s">
        <v>2821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5" t="n">
        <v>46184</v>
      </c>
      <c r="C1051" s="1" t="n">
        <v>11</v>
      </c>
      <c r="D1051" s="1" t="s">
        <v>2290</v>
      </c>
      <c r="E1051" s="1" t="n">
        <v>1745</v>
      </c>
      <c r="F1051" s="1" t="s">
        <v>592</v>
      </c>
      <c r="I1051" s="1" t="n">
        <v>346035</v>
      </c>
      <c r="J1051" s="1" t="n">
        <v>101877</v>
      </c>
      <c r="K1051" s="1" t="n">
        <v>7896224813082</v>
      </c>
      <c r="L1051" s="1" t="s">
        <v>2819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5" t="n">
        <v>46184</v>
      </c>
      <c r="C1052" s="1" t="n">
        <v>11</v>
      </c>
      <c r="D1052" s="1" t="s">
        <v>2290</v>
      </c>
      <c r="E1052" s="1" t="n">
        <v>1745</v>
      </c>
      <c r="F1052" s="1" t="s">
        <v>592</v>
      </c>
      <c r="I1052" s="1" t="n">
        <v>346035</v>
      </c>
      <c r="J1052" s="1" t="n">
        <v>101908</v>
      </c>
      <c r="K1052" s="1" t="n">
        <v>7896224808101</v>
      </c>
      <c r="L1052" s="1" t="s">
        <v>2822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5" t="n">
        <v>46184</v>
      </c>
      <c r="C1053" s="1" t="n">
        <v>11</v>
      </c>
      <c r="D1053" s="1" t="s">
        <v>2290</v>
      </c>
      <c r="E1053" s="1" t="n">
        <v>1745</v>
      </c>
      <c r="F1053" s="1" t="s">
        <v>592</v>
      </c>
      <c r="I1053" s="1" t="n">
        <v>346035</v>
      </c>
      <c r="J1053" s="1" t="n">
        <v>102135</v>
      </c>
      <c r="K1053" s="1" t="n">
        <v>7896490288812</v>
      </c>
      <c r="L1053" s="1" t="s">
        <v>2823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5" t="n">
        <v>46184</v>
      </c>
      <c r="C1054" s="1" t="n">
        <v>11</v>
      </c>
      <c r="D1054" s="1" t="s">
        <v>2290</v>
      </c>
      <c r="E1054" s="1" t="n">
        <v>1745</v>
      </c>
      <c r="F1054" s="1" t="s">
        <v>592</v>
      </c>
      <c r="I1054" s="1" t="n">
        <v>346035</v>
      </c>
      <c r="J1054" s="1" t="n">
        <v>25314</v>
      </c>
      <c r="K1054" s="1" t="n">
        <v>7896045112104</v>
      </c>
      <c r="L1054" s="1" t="s">
        <v>2824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5" t="n">
        <v>46184</v>
      </c>
      <c r="C1055" s="1" t="n">
        <v>11</v>
      </c>
      <c r="D1055" s="1" t="s">
        <v>2290</v>
      </c>
      <c r="E1055" s="1" t="n">
        <v>1745</v>
      </c>
      <c r="F1055" s="1" t="s">
        <v>592</v>
      </c>
      <c r="I1055" s="1" t="n">
        <v>346035</v>
      </c>
      <c r="J1055" s="1" t="n">
        <v>27751</v>
      </c>
      <c r="K1055" s="1" t="n">
        <v>7896005801512</v>
      </c>
      <c r="L1055" s="1" t="s">
        <v>2825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5" t="n">
        <v>46184</v>
      </c>
      <c r="C1056" s="1" t="n">
        <v>11</v>
      </c>
      <c r="D1056" s="1" t="s">
        <v>2290</v>
      </c>
      <c r="E1056" s="1" t="n">
        <v>1745</v>
      </c>
      <c r="F1056" s="1" t="s">
        <v>592</v>
      </c>
      <c r="I1056" s="1" t="n">
        <v>346035</v>
      </c>
      <c r="J1056" s="1" t="n">
        <v>45305</v>
      </c>
      <c r="K1056" s="1" t="n">
        <v>7896045104482</v>
      </c>
      <c r="L1056" s="1" t="s">
        <v>2826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5" t="n">
        <v>46184</v>
      </c>
      <c r="C1057" s="1" t="n">
        <v>11</v>
      </c>
      <c r="D1057" s="1" t="s">
        <v>2290</v>
      </c>
      <c r="E1057" s="1" t="n">
        <v>1745</v>
      </c>
      <c r="F1057" s="1" t="s">
        <v>592</v>
      </c>
      <c r="I1057" s="1" t="n">
        <v>346035</v>
      </c>
      <c r="J1057" s="1" t="n">
        <v>48725</v>
      </c>
      <c r="K1057" s="1" t="n">
        <v>7896045109753</v>
      </c>
      <c r="L1057" s="1" t="s">
        <v>2827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5" t="n">
        <v>46184</v>
      </c>
      <c r="C1058" s="1" t="n">
        <v>11</v>
      </c>
      <c r="D1058" s="1" t="s">
        <v>2290</v>
      </c>
      <c r="E1058" s="1" t="n">
        <v>1745</v>
      </c>
      <c r="F1058" s="1" t="s">
        <v>592</v>
      </c>
      <c r="I1058" s="1" t="n">
        <v>346035</v>
      </c>
      <c r="J1058" s="1" t="n">
        <v>50659</v>
      </c>
      <c r="K1058" s="1" t="n">
        <v>7896045109074</v>
      </c>
      <c r="L1058" s="1" t="s">
        <v>2828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5" t="n">
        <v>46184</v>
      </c>
      <c r="C1059" s="1" t="n">
        <v>11</v>
      </c>
      <c r="D1059" s="1" t="s">
        <v>2290</v>
      </c>
      <c r="E1059" s="1" t="n">
        <v>1745</v>
      </c>
      <c r="F1059" s="1" t="s">
        <v>592</v>
      </c>
      <c r="I1059" s="1" t="n">
        <v>346035</v>
      </c>
      <c r="J1059" s="1" t="n">
        <v>60541</v>
      </c>
      <c r="K1059" s="1" t="n">
        <v>7896045112081</v>
      </c>
      <c r="L1059" s="1" t="s">
        <v>2829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5" t="n">
        <v>46184</v>
      </c>
      <c r="C1060" s="1" t="n">
        <v>11</v>
      </c>
      <c r="D1060" s="1" t="s">
        <v>2290</v>
      </c>
      <c r="E1060" s="1" t="n">
        <v>1745</v>
      </c>
      <c r="F1060" s="1" t="s">
        <v>592</v>
      </c>
      <c r="I1060" s="1" t="n">
        <v>346035</v>
      </c>
      <c r="J1060" s="1" t="n">
        <v>60542</v>
      </c>
      <c r="K1060" s="1" t="n">
        <v>7896045112098</v>
      </c>
      <c r="L1060" s="1" t="s">
        <v>2830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5" t="n">
        <v>46184</v>
      </c>
      <c r="C1061" s="1" t="n">
        <v>11</v>
      </c>
      <c r="D1061" s="1" t="s">
        <v>2290</v>
      </c>
      <c r="E1061" s="1" t="n">
        <v>1745</v>
      </c>
      <c r="F1061" s="1" t="s">
        <v>592</v>
      </c>
      <c r="I1061" s="1" t="n">
        <v>346035</v>
      </c>
      <c r="J1061" s="1" t="n">
        <v>60544</v>
      </c>
      <c r="K1061" s="1" t="n">
        <v>7896045112135</v>
      </c>
      <c r="L1061" s="1" t="s">
        <v>2831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5" t="n">
        <v>46184</v>
      </c>
      <c r="C1062" s="1" t="n">
        <v>11</v>
      </c>
      <c r="D1062" s="1" t="s">
        <v>2290</v>
      </c>
      <c r="E1062" s="1" t="n">
        <v>1745</v>
      </c>
      <c r="F1062" s="1" t="s">
        <v>592</v>
      </c>
      <c r="I1062" s="1" t="n">
        <v>346035</v>
      </c>
      <c r="J1062" s="1" t="n">
        <v>60545</v>
      </c>
      <c r="K1062" s="1" t="n">
        <v>7896045112142</v>
      </c>
      <c r="L1062" s="1" t="s">
        <v>2832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5" t="n">
        <v>46184</v>
      </c>
      <c r="C1063" s="1" t="n">
        <v>11</v>
      </c>
      <c r="D1063" s="1" t="s">
        <v>2290</v>
      </c>
      <c r="E1063" s="1" t="n">
        <v>1745</v>
      </c>
      <c r="F1063" s="1" t="s">
        <v>592</v>
      </c>
      <c r="I1063" s="1" t="n">
        <v>346035</v>
      </c>
      <c r="J1063" s="1" t="n">
        <v>60546</v>
      </c>
      <c r="K1063" s="1" t="n">
        <v>7896045112418</v>
      </c>
      <c r="L1063" s="1" t="s">
        <v>2833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5" t="n">
        <v>46184</v>
      </c>
      <c r="C1064" s="1" t="n">
        <v>11</v>
      </c>
      <c r="D1064" s="1" t="s">
        <v>2290</v>
      </c>
      <c r="E1064" s="1" t="n">
        <v>1745</v>
      </c>
      <c r="F1064" s="1" t="s">
        <v>592</v>
      </c>
      <c r="I1064" s="1" t="n">
        <v>346035</v>
      </c>
      <c r="J1064" s="1" t="n">
        <v>61569</v>
      </c>
      <c r="K1064" s="1" t="n">
        <v>7896045112456</v>
      </c>
      <c r="L1064" s="1" t="s">
        <v>2834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5" t="n">
        <v>46184</v>
      </c>
      <c r="C1065" s="1" t="n">
        <v>11</v>
      </c>
      <c r="D1065" s="1" t="s">
        <v>2290</v>
      </c>
      <c r="E1065" s="1" t="n">
        <v>1745</v>
      </c>
      <c r="F1065" s="1" t="s">
        <v>592</v>
      </c>
      <c r="I1065" s="1" t="n">
        <v>346035</v>
      </c>
      <c r="J1065" s="1" t="n">
        <v>61572</v>
      </c>
      <c r="K1065" s="1" t="n">
        <v>7896045112432</v>
      </c>
      <c r="L1065" s="1" t="s">
        <v>2835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5" t="n">
        <v>46184</v>
      </c>
      <c r="C1066" s="1" t="n">
        <v>11</v>
      </c>
      <c r="D1066" s="1" t="s">
        <v>2290</v>
      </c>
      <c r="E1066" s="1" t="n">
        <v>1745</v>
      </c>
      <c r="F1066" s="1" t="s">
        <v>592</v>
      </c>
      <c r="I1066" s="1" t="n">
        <v>346035</v>
      </c>
      <c r="J1066" s="1" t="n">
        <v>62152</v>
      </c>
      <c r="K1066" s="1" t="n">
        <v>7896045112449</v>
      </c>
      <c r="L1066" s="1" t="s">
        <v>2836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5" t="n">
        <v>46184</v>
      </c>
      <c r="C1067" s="1" t="n">
        <v>11</v>
      </c>
      <c r="D1067" s="1" t="s">
        <v>2290</v>
      </c>
      <c r="E1067" s="1" t="n">
        <v>1745</v>
      </c>
      <c r="F1067" s="1" t="s">
        <v>592</v>
      </c>
      <c r="I1067" s="1" t="n">
        <v>346035</v>
      </c>
      <c r="J1067" s="1" t="n">
        <v>62661</v>
      </c>
      <c r="K1067" s="1" t="n">
        <v>7896045112111</v>
      </c>
      <c r="L1067" s="1" t="s">
        <v>2837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5" t="n">
        <v>46184</v>
      </c>
      <c r="C1068" s="1" t="n">
        <v>11</v>
      </c>
      <c r="D1068" s="1" t="s">
        <v>2290</v>
      </c>
      <c r="E1068" s="1" t="n">
        <v>1745</v>
      </c>
      <c r="F1068" s="1" t="s">
        <v>592</v>
      </c>
      <c r="I1068" s="1" t="n">
        <v>346035</v>
      </c>
      <c r="J1068" s="1" t="n">
        <v>70458</v>
      </c>
      <c r="K1068" s="1" t="n">
        <v>7896045113675</v>
      </c>
      <c r="L1068" s="1" t="s">
        <v>2838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5" t="n">
        <v>46184</v>
      </c>
      <c r="C1069" s="1" t="n">
        <v>11</v>
      </c>
      <c r="D1069" s="1" t="s">
        <v>2290</v>
      </c>
      <c r="E1069" s="1" t="n">
        <v>1745</v>
      </c>
      <c r="F1069" s="1" t="s">
        <v>592</v>
      </c>
      <c r="I1069" s="1" t="n">
        <v>346035</v>
      </c>
      <c r="J1069" s="1" t="n">
        <v>70459</v>
      </c>
      <c r="K1069" s="1" t="n">
        <v>7896045113668</v>
      </c>
      <c r="L1069" s="1" t="s">
        <v>2838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5" t="n">
        <v>46184</v>
      </c>
      <c r="C1070" s="1" t="n">
        <v>11</v>
      </c>
      <c r="D1070" s="1" t="s">
        <v>2290</v>
      </c>
      <c r="E1070" s="1" t="n">
        <v>1745</v>
      </c>
      <c r="F1070" s="1" t="s">
        <v>592</v>
      </c>
      <c r="I1070" s="1" t="n">
        <v>346035</v>
      </c>
      <c r="J1070" s="1" t="n">
        <v>76461</v>
      </c>
      <c r="K1070" s="1" t="n">
        <v>7896045115365</v>
      </c>
      <c r="L1070" s="1" t="s">
        <v>2839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5" t="n">
        <v>46184</v>
      </c>
      <c r="C1071" s="1" t="n">
        <v>11</v>
      </c>
      <c r="D1071" s="1" t="s">
        <v>2290</v>
      </c>
      <c r="E1071" s="1" t="n">
        <v>1745</v>
      </c>
      <c r="F1071" s="1" t="s">
        <v>592</v>
      </c>
      <c r="I1071" s="1" t="n">
        <v>346035</v>
      </c>
      <c r="J1071" s="1" t="n">
        <v>78757</v>
      </c>
      <c r="K1071" s="1" t="n">
        <v>7896045113279</v>
      </c>
      <c r="L1071" s="1" t="s">
        <v>2840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5" t="n">
        <v>46184</v>
      </c>
      <c r="C1072" s="1" t="n">
        <v>11</v>
      </c>
      <c r="D1072" s="1" t="s">
        <v>2290</v>
      </c>
      <c r="E1072" s="1" t="n">
        <v>1815</v>
      </c>
      <c r="F1072" s="1" t="s">
        <v>53</v>
      </c>
      <c r="I1072" s="1" t="n">
        <v>386569</v>
      </c>
      <c r="J1072" s="1" t="n">
        <v>103794</v>
      </c>
      <c r="K1072" s="1" t="n">
        <v>7893000488526</v>
      </c>
      <c r="L1072" s="1" t="s">
        <v>2841</v>
      </c>
      <c r="N1072" s="1" t="n">
        <v>8</v>
      </c>
      <c r="O1072" s="1" t="n">
        <v>92</v>
      </c>
    </row>
    <row r="1073" customFormat="false" ht="15" hidden="false" customHeight="true" outlineLevel="0" collapsed="false">
      <c r="A1073" s="1" t="n">
        <v>3</v>
      </c>
      <c r="B1073" s="15" t="n">
        <v>46184</v>
      </c>
      <c r="C1073" s="1" t="n">
        <v>11</v>
      </c>
      <c r="D1073" s="1" t="s">
        <v>2290</v>
      </c>
      <c r="E1073" s="1" t="n">
        <v>1815</v>
      </c>
      <c r="F1073" s="1" t="s">
        <v>53</v>
      </c>
      <c r="I1073" s="1" t="n">
        <v>386569</v>
      </c>
      <c r="J1073" s="1" t="n">
        <v>100024</v>
      </c>
      <c r="K1073" s="1" t="n">
        <v>25</v>
      </c>
      <c r="L1073" s="1" t="s">
        <v>2390</v>
      </c>
      <c r="N1073" s="1" t="n">
        <v>51.86</v>
      </c>
      <c r="O1073" s="1" t="n">
        <v>725.52</v>
      </c>
    </row>
    <row r="1074" customFormat="false" ht="15" hidden="false" customHeight="true" outlineLevel="0" collapsed="false">
      <c r="A1074" s="1" t="n">
        <v>3</v>
      </c>
      <c r="B1074" s="15" t="n">
        <v>46184</v>
      </c>
      <c r="C1074" s="1" t="n">
        <v>11</v>
      </c>
      <c r="D1074" s="1" t="s">
        <v>2290</v>
      </c>
      <c r="E1074" s="1" t="n">
        <v>1815</v>
      </c>
      <c r="F1074" s="1" t="s">
        <v>53</v>
      </c>
      <c r="I1074" s="1" t="n">
        <v>386569</v>
      </c>
      <c r="J1074" s="1" t="n">
        <v>100029</v>
      </c>
      <c r="K1074" s="1" t="n">
        <v>30</v>
      </c>
      <c r="L1074" s="1" t="s">
        <v>2842</v>
      </c>
      <c r="N1074" s="1" t="n">
        <v>57.978</v>
      </c>
      <c r="O1074" s="1" t="n">
        <v>753.13</v>
      </c>
    </row>
    <row r="1075" customFormat="false" ht="15" hidden="false" customHeight="true" outlineLevel="0" collapsed="false">
      <c r="A1075" s="1" t="n">
        <v>3</v>
      </c>
      <c r="B1075" s="15" t="n">
        <v>46184</v>
      </c>
      <c r="C1075" s="1" t="n">
        <v>11</v>
      </c>
      <c r="D1075" s="1" t="s">
        <v>2290</v>
      </c>
      <c r="E1075" s="1" t="n">
        <v>1815</v>
      </c>
      <c r="F1075" s="1" t="s">
        <v>53</v>
      </c>
      <c r="I1075" s="1" t="n">
        <v>386569</v>
      </c>
      <c r="J1075" s="1" t="n">
        <v>100035</v>
      </c>
      <c r="K1075" s="1" t="n">
        <v>36</v>
      </c>
      <c r="L1075" s="1" t="s">
        <v>2391</v>
      </c>
      <c r="N1075" s="1" t="n">
        <v>180</v>
      </c>
      <c r="O1075" s="1" t="n">
        <v>1350</v>
      </c>
    </row>
    <row r="1076" customFormat="false" ht="15" hidden="false" customHeight="true" outlineLevel="0" collapsed="false">
      <c r="A1076" s="1" t="n">
        <v>3</v>
      </c>
      <c r="B1076" s="15" t="n">
        <v>46184</v>
      </c>
      <c r="C1076" s="1" t="n">
        <v>11</v>
      </c>
      <c r="D1076" s="1" t="s">
        <v>2290</v>
      </c>
      <c r="E1076" s="1" t="n">
        <v>1815</v>
      </c>
      <c r="F1076" s="1" t="s">
        <v>53</v>
      </c>
      <c r="I1076" s="1" t="n">
        <v>386569</v>
      </c>
      <c r="J1076" s="1" t="n">
        <v>102408</v>
      </c>
      <c r="K1076" s="1" t="n">
        <v>7891515602918</v>
      </c>
      <c r="L1076" s="1" t="s">
        <v>2843</v>
      </c>
      <c r="N1076" s="1" t="n">
        <v>120</v>
      </c>
      <c r="O1076" s="1" t="n">
        <v>415</v>
      </c>
    </row>
    <row r="1077" customFormat="false" ht="15" hidden="false" customHeight="true" outlineLevel="0" collapsed="false">
      <c r="A1077" s="1" t="n">
        <v>3</v>
      </c>
      <c r="B1077" s="15" t="n">
        <v>46184</v>
      </c>
      <c r="C1077" s="1" t="n">
        <v>11</v>
      </c>
      <c r="D1077" s="1" t="s">
        <v>2290</v>
      </c>
      <c r="E1077" s="1" t="n">
        <v>1815</v>
      </c>
      <c r="F1077" s="1" t="s">
        <v>53</v>
      </c>
      <c r="I1077" s="1" t="n">
        <v>386569</v>
      </c>
      <c r="J1077" s="1" t="n">
        <v>103851</v>
      </c>
      <c r="K1077" s="1" t="n">
        <v>7893000482401</v>
      </c>
      <c r="L1077" s="1" t="s">
        <v>2844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5" t="n">
        <v>46184</v>
      </c>
      <c r="C1078" s="1" t="n">
        <v>11</v>
      </c>
      <c r="D1078" s="1" t="s">
        <v>2290</v>
      </c>
      <c r="E1078" s="1" t="n">
        <v>1815</v>
      </c>
      <c r="F1078" s="1" t="s">
        <v>53</v>
      </c>
      <c r="I1078" s="1" t="n">
        <v>386569</v>
      </c>
      <c r="J1078" s="1" t="n">
        <v>23413</v>
      </c>
      <c r="K1078" s="1" t="n">
        <v>7898542022900</v>
      </c>
      <c r="L1078" s="1" t="s">
        <v>2586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5" t="n">
        <v>46184</v>
      </c>
      <c r="C1079" s="1" t="n">
        <v>11</v>
      </c>
      <c r="D1079" s="1" t="s">
        <v>2290</v>
      </c>
      <c r="E1079" s="1" t="n">
        <v>1815</v>
      </c>
      <c r="F1079" s="1" t="s">
        <v>53</v>
      </c>
      <c r="I1079" s="1" t="n">
        <v>386569</v>
      </c>
      <c r="J1079" s="1" t="n">
        <v>25086</v>
      </c>
      <c r="K1079" s="1" t="n">
        <v>7893000090064</v>
      </c>
      <c r="L1079" s="1" t="s">
        <v>2845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5" t="n">
        <v>46184</v>
      </c>
      <c r="C1080" s="1" t="n">
        <v>11</v>
      </c>
      <c r="D1080" s="1" t="s">
        <v>2290</v>
      </c>
      <c r="E1080" s="1" t="n">
        <v>1815</v>
      </c>
      <c r="F1080" s="1" t="s">
        <v>53</v>
      </c>
      <c r="I1080" s="1" t="n">
        <v>386569</v>
      </c>
      <c r="J1080" s="1" t="n">
        <v>110191</v>
      </c>
      <c r="K1080" s="1" t="n">
        <v>37402</v>
      </c>
      <c r="L1080" s="1" t="s">
        <v>2396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5" t="n">
        <v>46184</v>
      </c>
      <c r="C1081" s="1" t="n">
        <v>11</v>
      </c>
      <c r="D1081" s="1" t="s">
        <v>2290</v>
      </c>
      <c r="E1081" s="1" t="n">
        <v>1815</v>
      </c>
      <c r="F1081" s="1" t="s">
        <v>53</v>
      </c>
      <c r="I1081" s="1" t="n">
        <v>386569</v>
      </c>
      <c r="J1081" s="1" t="n">
        <v>110325</v>
      </c>
      <c r="K1081" s="1" t="n">
        <v>45525</v>
      </c>
      <c r="L1081" s="1" t="s">
        <v>2846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5" t="n">
        <v>46184</v>
      </c>
      <c r="C1082" s="1" t="n">
        <v>11</v>
      </c>
      <c r="D1082" s="1" t="s">
        <v>2290</v>
      </c>
      <c r="E1082" s="1" t="n">
        <v>1815</v>
      </c>
      <c r="F1082" s="1" t="s">
        <v>53</v>
      </c>
      <c r="I1082" s="1" t="n">
        <v>386569</v>
      </c>
      <c r="J1082" s="1" t="n">
        <v>54789</v>
      </c>
      <c r="K1082" s="1" t="n">
        <v>7898923184180</v>
      </c>
      <c r="L1082" s="1" t="s">
        <v>2847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5" t="n">
        <v>46184</v>
      </c>
      <c r="C1083" s="1" t="n">
        <v>11</v>
      </c>
      <c r="D1083" s="1" t="s">
        <v>2290</v>
      </c>
      <c r="E1083" s="1" t="n">
        <v>1815</v>
      </c>
      <c r="F1083" s="1" t="s">
        <v>53</v>
      </c>
      <c r="I1083" s="1" t="n">
        <v>386569</v>
      </c>
      <c r="J1083" s="1" t="n">
        <v>110523</v>
      </c>
      <c r="K1083" s="1" t="n">
        <v>57058</v>
      </c>
      <c r="L1083" s="1" t="s">
        <v>2848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5" t="n">
        <v>46184</v>
      </c>
      <c r="C1084" s="1" t="n">
        <v>11</v>
      </c>
      <c r="D1084" s="1" t="s">
        <v>2290</v>
      </c>
      <c r="E1084" s="1" t="n">
        <v>1815</v>
      </c>
      <c r="F1084" s="1" t="s">
        <v>53</v>
      </c>
      <c r="I1084" s="1" t="n">
        <v>386569</v>
      </c>
      <c r="J1084" s="1" t="n">
        <v>57552</v>
      </c>
      <c r="K1084" s="1" t="n">
        <v>7896807416099</v>
      </c>
      <c r="L1084" s="1" t="s">
        <v>2849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5" t="n">
        <v>46184</v>
      </c>
      <c r="C1085" s="1" t="n">
        <v>11</v>
      </c>
      <c r="D1085" s="1" t="s">
        <v>2290</v>
      </c>
      <c r="E1085" s="1" t="n">
        <v>1815</v>
      </c>
      <c r="F1085" s="1" t="s">
        <v>53</v>
      </c>
      <c r="I1085" s="1" t="n">
        <v>386569</v>
      </c>
      <c r="J1085" s="1" t="n">
        <v>63508</v>
      </c>
      <c r="K1085" s="1" t="n">
        <v>7891164110697</v>
      </c>
      <c r="L1085" s="1" t="s">
        <v>2850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5" t="n">
        <v>46184</v>
      </c>
      <c r="C1086" s="1" t="n">
        <v>11</v>
      </c>
      <c r="D1086" s="1" t="s">
        <v>2290</v>
      </c>
      <c r="E1086" s="1" t="n">
        <v>1815</v>
      </c>
      <c r="F1086" s="1" t="s">
        <v>53</v>
      </c>
      <c r="I1086" s="1" t="n">
        <v>386569</v>
      </c>
      <c r="J1086" s="1" t="n">
        <v>70044</v>
      </c>
      <c r="K1086" s="1" t="n">
        <v>7891515220983</v>
      </c>
      <c r="L1086" s="1" t="s">
        <v>2587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5" t="n">
        <v>46184</v>
      </c>
      <c r="C1087" s="1" t="n">
        <v>11</v>
      </c>
      <c r="D1087" s="1" t="s">
        <v>2290</v>
      </c>
      <c r="E1087" s="1" t="n">
        <v>1815</v>
      </c>
      <c r="F1087" s="1" t="s">
        <v>53</v>
      </c>
      <c r="I1087" s="1" t="n">
        <v>386569</v>
      </c>
      <c r="J1087" s="1" t="n">
        <v>79390</v>
      </c>
      <c r="K1087" s="1" t="n">
        <v>512</v>
      </c>
      <c r="L1087" s="1" t="s">
        <v>2588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5" t="n">
        <v>46185</v>
      </c>
      <c r="C1088" s="1" t="n">
        <v>1</v>
      </c>
      <c r="D1088" s="1" t="s">
        <v>2317</v>
      </c>
      <c r="E1088" s="1" t="n">
        <v>10035</v>
      </c>
      <c r="F1088" s="1" t="s">
        <v>227</v>
      </c>
      <c r="I1088" s="1" t="n">
        <v>310</v>
      </c>
      <c r="J1088" s="1" t="n">
        <v>38652</v>
      </c>
      <c r="K1088" s="1" t="n">
        <v>7898994684220</v>
      </c>
      <c r="L1088" s="1" t="s">
        <v>2458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5" t="n">
        <v>46185</v>
      </c>
      <c r="C1089" s="1" t="n">
        <v>1</v>
      </c>
      <c r="D1089" s="1" t="s">
        <v>2317</v>
      </c>
      <c r="E1089" s="1" t="n">
        <v>10035</v>
      </c>
      <c r="F1089" s="1" t="s">
        <v>227</v>
      </c>
      <c r="I1089" s="1" t="n">
        <v>310</v>
      </c>
      <c r="J1089" s="1" t="n">
        <v>38653</v>
      </c>
      <c r="K1089" s="1" t="n">
        <v>7898994684275</v>
      </c>
      <c r="L1089" s="1" t="s">
        <v>2459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5" t="n">
        <v>46185</v>
      </c>
      <c r="C1090" s="1" t="n">
        <v>1</v>
      </c>
      <c r="D1090" s="1" t="s">
        <v>2317</v>
      </c>
      <c r="E1090" s="1" t="n">
        <v>10035</v>
      </c>
      <c r="F1090" s="1" t="s">
        <v>227</v>
      </c>
      <c r="I1090" s="1" t="n">
        <v>310</v>
      </c>
      <c r="J1090" s="1" t="n">
        <v>43726</v>
      </c>
      <c r="K1090" s="1" t="n">
        <v>2245461</v>
      </c>
      <c r="L1090" s="1" t="s">
        <v>2460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5" t="n">
        <v>46185</v>
      </c>
      <c r="C1091" s="1" t="n">
        <v>1</v>
      </c>
      <c r="D1091" s="1" t="s">
        <v>2317</v>
      </c>
      <c r="E1091" s="1" t="n">
        <v>1828</v>
      </c>
      <c r="F1091" s="1" t="s">
        <v>278</v>
      </c>
      <c r="I1091" s="1" t="n">
        <v>1334</v>
      </c>
      <c r="J1091" s="1" t="n">
        <v>14247</v>
      </c>
      <c r="K1091" s="1" t="n">
        <v>2229416</v>
      </c>
      <c r="L1091" s="1" t="s">
        <v>2747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5" t="n">
        <v>46185</v>
      </c>
      <c r="C1092" s="1" t="n">
        <v>1</v>
      </c>
      <c r="D1092" s="1" t="s">
        <v>2317</v>
      </c>
      <c r="E1092" s="1" t="n">
        <v>1828</v>
      </c>
      <c r="F1092" s="1" t="s">
        <v>278</v>
      </c>
      <c r="I1092" s="1" t="n">
        <v>1334</v>
      </c>
      <c r="J1092" s="1" t="n">
        <v>14248</v>
      </c>
      <c r="K1092" s="1" t="n">
        <v>2229423</v>
      </c>
      <c r="L1092" s="1" t="s">
        <v>2748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5" t="n">
        <v>46185</v>
      </c>
      <c r="C1093" s="1" t="n">
        <v>1</v>
      </c>
      <c r="D1093" s="1" t="s">
        <v>2317</v>
      </c>
      <c r="E1093" s="1" t="n">
        <v>1828</v>
      </c>
      <c r="F1093" s="1" t="s">
        <v>278</v>
      </c>
      <c r="I1093" s="1" t="n">
        <v>1334</v>
      </c>
      <c r="J1093" s="1" t="n">
        <v>20541</v>
      </c>
      <c r="K1093" s="1" t="n">
        <v>2232829</v>
      </c>
      <c r="L1093" s="1" t="s">
        <v>2749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5" t="n">
        <v>46185</v>
      </c>
      <c r="C1094" s="1" t="n">
        <v>1</v>
      </c>
      <c r="D1094" s="1" t="s">
        <v>2317</v>
      </c>
      <c r="E1094" s="1" t="n">
        <v>1615</v>
      </c>
      <c r="F1094" s="1" t="s">
        <v>130</v>
      </c>
      <c r="I1094" s="1" t="n">
        <v>14672</v>
      </c>
      <c r="J1094" s="1" t="n">
        <v>100101</v>
      </c>
      <c r="K1094" s="1" t="n">
        <v>102</v>
      </c>
      <c r="L1094" s="1" t="s">
        <v>2671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5" t="n">
        <v>46185</v>
      </c>
      <c r="C1095" s="1" t="n">
        <v>1</v>
      </c>
      <c r="D1095" s="1" t="s">
        <v>2317</v>
      </c>
      <c r="E1095" s="1" t="n">
        <v>1615</v>
      </c>
      <c r="F1095" s="1" t="s">
        <v>130</v>
      </c>
      <c r="I1095" s="1" t="n">
        <v>14672</v>
      </c>
      <c r="J1095" s="1" t="n">
        <v>100114</v>
      </c>
      <c r="K1095" s="1" t="n">
        <v>115</v>
      </c>
      <c r="L1095" s="1" t="s">
        <v>2568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5" t="n">
        <v>46185</v>
      </c>
      <c r="C1096" s="1" t="n">
        <v>1</v>
      </c>
      <c r="D1096" s="1" t="s">
        <v>2317</v>
      </c>
      <c r="E1096" s="1" t="n">
        <v>1615</v>
      </c>
      <c r="F1096" s="1" t="s">
        <v>130</v>
      </c>
      <c r="I1096" s="1" t="n">
        <v>14672</v>
      </c>
      <c r="J1096" s="1" t="n">
        <v>37771</v>
      </c>
      <c r="K1096" s="1" t="n">
        <v>774574</v>
      </c>
      <c r="L1096" s="1" t="s">
        <v>2569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5" t="n">
        <v>46185</v>
      </c>
      <c r="C1097" s="1" t="n">
        <v>1</v>
      </c>
      <c r="D1097" s="1" t="s">
        <v>2317</v>
      </c>
      <c r="E1097" s="1" t="n">
        <v>1615</v>
      </c>
      <c r="F1097" s="1" t="s">
        <v>130</v>
      </c>
      <c r="I1097" s="1" t="n">
        <v>14672</v>
      </c>
      <c r="J1097" s="1" t="n">
        <v>55350</v>
      </c>
      <c r="K1097" s="1" t="n">
        <v>609963080076</v>
      </c>
      <c r="L1097" s="1" t="s">
        <v>2319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5" t="n">
        <v>46185</v>
      </c>
      <c r="C1098" s="1" t="n">
        <v>2</v>
      </c>
      <c r="D1098" s="1" t="s">
        <v>2283</v>
      </c>
      <c r="E1098" s="1" t="n">
        <v>42</v>
      </c>
      <c r="F1098" s="1" t="s">
        <v>80</v>
      </c>
      <c r="I1098" s="1" t="n">
        <v>120601</v>
      </c>
      <c r="J1098" s="1" t="n">
        <v>109791</v>
      </c>
      <c r="K1098" s="1" t="n">
        <v>9667</v>
      </c>
      <c r="L1098" s="1" t="s">
        <v>2284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5" t="n">
        <v>46185</v>
      </c>
      <c r="C1099" s="1" t="n">
        <v>2</v>
      </c>
      <c r="D1099" s="1" t="s">
        <v>2283</v>
      </c>
      <c r="E1099" s="1" t="n">
        <v>42</v>
      </c>
      <c r="F1099" s="1" t="s">
        <v>80</v>
      </c>
      <c r="I1099" s="1" t="n">
        <v>120601</v>
      </c>
      <c r="J1099" s="1" t="n">
        <v>37359</v>
      </c>
      <c r="K1099" s="1" t="n">
        <v>55526</v>
      </c>
      <c r="L1099" s="1" t="s">
        <v>2285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5" t="n">
        <v>46185</v>
      </c>
      <c r="C1100" s="1" t="n">
        <v>2</v>
      </c>
      <c r="D1100" s="1" t="s">
        <v>2283</v>
      </c>
      <c r="E1100" s="1" t="n">
        <v>42</v>
      </c>
      <c r="F1100" s="1" t="s">
        <v>80</v>
      </c>
      <c r="I1100" s="1" t="n">
        <v>120601</v>
      </c>
      <c r="J1100" s="1" t="n">
        <v>37361</v>
      </c>
      <c r="K1100" s="1" t="n">
        <v>2240817</v>
      </c>
      <c r="L1100" s="1" t="s">
        <v>2286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5" t="n">
        <v>46185</v>
      </c>
      <c r="C1101" s="1" t="n">
        <v>2</v>
      </c>
      <c r="D1101" s="1" t="s">
        <v>2283</v>
      </c>
      <c r="E1101" s="1" t="n">
        <v>42</v>
      </c>
      <c r="F1101" s="1" t="s">
        <v>80</v>
      </c>
      <c r="I1101" s="1" t="n">
        <v>120602</v>
      </c>
      <c r="J1101" s="1" t="n">
        <v>100103</v>
      </c>
      <c r="K1101" s="1" t="n">
        <v>104</v>
      </c>
      <c r="L1101" s="1" t="s">
        <v>2287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5" t="n">
        <v>46185</v>
      </c>
      <c r="C1102" s="1" t="n">
        <v>2</v>
      </c>
      <c r="D1102" s="1" t="s">
        <v>2283</v>
      </c>
      <c r="E1102" s="1" t="n">
        <v>42</v>
      </c>
      <c r="F1102" s="1" t="s">
        <v>80</v>
      </c>
      <c r="I1102" s="1" t="n">
        <v>120603</v>
      </c>
      <c r="J1102" s="1" t="n">
        <v>72679</v>
      </c>
      <c r="K1102" s="1" t="n">
        <v>246</v>
      </c>
      <c r="L1102" s="1" t="s">
        <v>2288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5" t="n">
        <v>46185</v>
      </c>
      <c r="C1103" s="1" t="n">
        <v>2</v>
      </c>
      <c r="D1103" s="1" t="s">
        <v>2283</v>
      </c>
      <c r="E1103" s="1" t="n">
        <v>42</v>
      </c>
      <c r="F1103" s="1" t="s">
        <v>80</v>
      </c>
      <c r="I1103" s="1" t="n">
        <v>120604</v>
      </c>
      <c r="J1103" s="1" t="n">
        <v>100062</v>
      </c>
      <c r="K1103" s="1" t="n">
        <v>63</v>
      </c>
      <c r="L1103" s="1" t="s">
        <v>2320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5" t="n">
        <v>46185</v>
      </c>
      <c r="C1104" s="1" t="n">
        <v>2</v>
      </c>
      <c r="D1104" s="1" t="s">
        <v>2283</v>
      </c>
      <c r="E1104" s="1" t="n">
        <v>42</v>
      </c>
      <c r="F1104" s="1" t="s">
        <v>80</v>
      </c>
      <c r="I1104" s="1" t="n">
        <v>120604</v>
      </c>
      <c r="J1104" s="1" t="n">
        <v>100104</v>
      </c>
      <c r="K1104" s="1" t="n">
        <v>105</v>
      </c>
      <c r="L1104" s="1" t="s">
        <v>2321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5" t="n">
        <v>46185</v>
      </c>
      <c r="C1105" s="1" t="n">
        <v>2</v>
      </c>
      <c r="D1105" s="1" t="s">
        <v>2283</v>
      </c>
      <c r="E1105" s="1" t="n">
        <v>42</v>
      </c>
      <c r="F1105" s="1" t="s">
        <v>80</v>
      </c>
      <c r="I1105" s="1" t="n">
        <v>120604</v>
      </c>
      <c r="J1105" s="1" t="n">
        <v>100105</v>
      </c>
      <c r="K1105" s="1" t="n">
        <v>106</v>
      </c>
      <c r="L1105" s="1" t="s">
        <v>2322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5" t="n">
        <v>46185</v>
      </c>
      <c r="C1106" s="1" t="n">
        <v>2</v>
      </c>
      <c r="D1106" s="1" t="s">
        <v>2283</v>
      </c>
      <c r="E1106" s="1" t="n">
        <v>42</v>
      </c>
      <c r="F1106" s="1" t="s">
        <v>80</v>
      </c>
      <c r="I1106" s="1" t="n">
        <v>120604</v>
      </c>
      <c r="J1106" s="1" t="n">
        <v>100109</v>
      </c>
      <c r="K1106" s="1" t="n">
        <v>110</v>
      </c>
      <c r="L1106" s="1" t="s">
        <v>2324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5" t="n">
        <v>46185</v>
      </c>
      <c r="C1107" s="1" t="n">
        <v>2</v>
      </c>
      <c r="D1107" s="1" t="s">
        <v>2283</v>
      </c>
      <c r="E1107" s="1" t="n">
        <v>42</v>
      </c>
      <c r="F1107" s="1" t="s">
        <v>80</v>
      </c>
      <c r="I1107" s="1" t="n">
        <v>120604</v>
      </c>
      <c r="J1107" s="1" t="n">
        <v>100110</v>
      </c>
      <c r="K1107" s="1" t="n">
        <v>111</v>
      </c>
      <c r="L1107" s="1" t="s">
        <v>2473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5" t="n">
        <v>46185</v>
      </c>
      <c r="C1108" s="1" t="n">
        <v>2</v>
      </c>
      <c r="D1108" s="1" t="s">
        <v>2283</v>
      </c>
      <c r="E1108" s="1" t="n">
        <v>42</v>
      </c>
      <c r="F1108" s="1" t="s">
        <v>80</v>
      </c>
      <c r="I1108" s="1" t="n">
        <v>120604</v>
      </c>
      <c r="J1108" s="1" t="n">
        <v>100112</v>
      </c>
      <c r="K1108" s="1" t="n">
        <v>113</v>
      </c>
      <c r="L1108" s="1" t="s">
        <v>2325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5" t="n">
        <v>46185</v>
      </c>
      <c r="C1109" s="1" t="n">
        <v>2</v>
      </c>
      <c r="D1109" s="1" t="s">
        <v>2283</v>
      </c>
      <c r="E1109" s="1" t="n">
        <v>42</v>
      </c>
      <c r="F1109" s="1" t="s">
        <v>80</v>
      </c>
      <c r="I1109" s="1" t="n">
        <v>120604</v>
      </c>
      <c r="J1109" s="1" t="n">
        <v>100113</v>
      </c>
      <c r="K1109" s="1" t="n">
        <v>114</v>
      </c>
      <c r="L1109" s="1" t="s">
        <v>2326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5" t="n">
        <v>46185</v>
      </c>
      <c r="C1110" s="1" t="n">
        <v>2</v>
      </c>
      <c r="D1110" s="1" t="s">
        <v>2283</v>
      </c>
      <c r="E1110" s="1" t="n">
        <v>42</v>
      </c>
      <c r="F1110" s="1" t="s">
        <v>80</v>
      </c>
      <c r="I1110" s="1" t="n">
        <v>120604</v>
      </c>
      <c r="J1110" s="1" t="n">
        <v>100115</v>
      </c>
      <c r="K1110" s="1" t="n">
        <v>116</v>
      </c>
      <c r="L1110" s="1" t="s">
        <v>2474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5" t="n">
        <v>46185</v>
      </c>
      <c r="C1111" s="1" t="n">
        <v>2</v>
      </c>
      <c r="D1111" s="1" t="s">
        <v>2283</v>
      </c>
      <c r="E1111" s="1" t="n">
        <v>42</v>
      </c>
      <c r="F1111" s="1" t="s">
        <v>80</v>
      </c>
      <c r="I1111" s="1" t="n">
        <v>120604</v>
      </c>
      <c r="J1111" s="1" t="n">
        <v>100116</v>
      </c>
      <c r="K1111" s="1" t="n">
        <v>117</v>
      </c>
      <c r="L1111" s="1" t="s">
        <v>2327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5" t="n">
        <v>46185</v>
      </c>
      <c r="C1112" s="1" t="n">
        <v>2</v>
      </c>
      <c r="D1112" s="1" t="s">
        <v>2283</v>
      </c>
      <c r="E1112" s="1" t="n">
        <v>42</v>
      </c>
      <c r="F1112" s="1" t="s">
        <v>80</v>
      </c>
      <c r="I1112" s="1" t="n">
        <v>120604</v>
      </c>
      <c r="J1112" s="1" t="n">
        <v>100118</v>
      </c>
      <c r="K1112" s="1" t="n">
        <v>119</v>
      </c>
      <c r="L1112" s="1" t="s">
        <v>2328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5" t="n">
        <v>46185</v>
      </c>
      <c r="C1113" s="1" t="n">
        <v>2</v>
      </c>
      <c r="D1113" s="1" t="s">
        <v>2283</v>
      </c>
      <c r="E1113" s="1" t="n">
        <v>42</v>
      </c>
      <c r="F1113" s="1" t="s">
        <v>80</v>
      </c>
      <c r="I1113" s="1" t="n">
        <v>120604</v>
      </c>
      <c r="J1113" s="1" t="n">
        <v>100121</v>
      </c>
      <c r="K1113" s="1" t="n">
        <v>122</v>
      </c>
      <c r="L1113" s="1" t="s">
        <v>2329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5" t="n">
        <v>46185</v>
      </c>
      <c r="C1114" s="1" t="n">
        <v>2</v>
      </c>
      <c r="D1114" s="1" t="s">
        <v>2283</v>
      </c>
      <c r="E1114" s="1" t="n">
        <v>42</v>
      </c>
      <c r="F1114" s="1" t="s">
        <v>80</v>
      </c>
      <c r="I1114" s="1" t="n">
        <v>120604</v>
      </c>
      <c r="J1114" s="1" t="n">
        <v>100122</v>
      </c>
      <c r="K1114" s="1" t="n">
        <v>123</v>
      </c>
      <c r="L1114" s="1" t="s">
        <v>2330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5" t="n">
        <v>46185</v>
      </c>
      <c r="C1115" s="1" t="n">
        <v>2</v>
      </c>
      <c r="D1115" s="1" t="s">
        <v>2283</v>
      </c>
      <c r="E1115" s="1" t="n">
        <v>42</v>
      </c>
      <c r="F1115" s="1" t="s">
        <v>80</v>
      </c>
      <c r="I1115" s="1" t="n">
        <v>120604</v>
      </c>
      <c r="J1115" s="1" t="n">
        <v>100123</v>
      </c>
      <c r="K1115" s="1" t="n">
        <v>124</v>
      </c>
      <c r="L1115" s="1" t="s">
        <v>2475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5" t="n">
        <v>46185</v>
      </c>
      <c r="C1116" s="1" t="n">
        <v>2</v>
      </c>
      <c r="D1116" s="1" t="s">
        <v>2283</v>
      </c>
      <c r="E1116" s="1" t="n">
        <v>42</v>
      </c>
      <c r="F1116" s="1" t="s">
        <v>80</v>
      </c>
      <c r="I1116" s="1" t="n">
        <v>120604</v>
      </c>
      <c r="J1116" s="1" t="n">
        <v>100124</v>
      </c>
      <c r="K1116" s="1" t="n">
        <v>125</v>
      </c>
      <c r="L1116" s="1" t="s">
        <v>2476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5" t="n">
        <v>46185</v>
      </c>
      <c r="C1117" s="1" t="n">
        <v>2</v>
      </c>
      <c r="D1117" s="1" t="s">
        <v>2283</v>
      </c>
      <c r="E1117" s="1" t="n">
        <v>42</v>
      </c>
      <c r="F1117" s="1" t="s">
        <v>80</v>
      </c>
      <c r="I1117" s="1" t="n">
        <v>120604</v>
      </c>
      <c r="J1117" s="1" t="n">
        <v>100125</v>
      </c>
      <c r="K1117" s="1" t="n">
        <v>126</v>
      </c>
      <c r="L1117" s="1" t="s">
        <v>2477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5" t="n">
        <v>46185</v>
      </c>
      <c r="C1118" s="1" t="n">
        <v>2</v>
      </c>
      <c r="D1118" s="1" t="s">
        <v>2283</v>
      </c>
      <c r="E1118" s="1" t="n">
        <v>42</v>
      </c>
      <c r="F1118" s="1" t="s">
        <v>80</v>
      </c>
      <c r="I1118" s="1" t="n">
        <v>120604</v>
      </c>
      <c r="J1118" s="1" t="n">
        <v>100130</v>
      </c>
      <c r="K1118" s="1" t="n">
        <v>131</v>
      </c>
      <c r="L1118" s="1" t="s">
        <v>2331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5" t="n">
        <v>46185</v>
      </c>
      <c r="C1119" s="1" t="n">
        <v>2</v>
      </c>
      <c r="D1119" s="1" t="s">
        <v>2283</v>
      </c>
      <c r="E1119" s="1" t="n">
        <v>42</v>
      </c>
      <c r="F1119" s="1" t="s">
        <v>80</v>
      </c>
      <c r="I1119" s="1" t="n">
        <v>120604</v>
      </c>
      <c r="J1119" s="1" t="n">
        <v>100133</v>
      </c>
      <c r="K1119" s="1" t="n">
        <v>134</v>
      </c>
      <c r="L1119" s="1" t="s">
        <v>2332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5" t="n">
        <v>46185</v>
      </c>
      <c r="C1120" s="1" t="n">
        <v>2</v>
      </c>
      <c r="D1120" s="1" t="s">
        <v>2283</v>
      </c>
      <c r="E1120" s="1" t="n">
        <v>42</v>
      </c>
      <c r="F1120" s="1" t="s">
        <v>80</v>
      </c>
      <c r="I1120" s="1" t="n">
        <v>120604</v>
      </c>
      <c r="J1120" s="1" t="n">
        <v>100138</v>
      </c>
      <c r="K1120" s="1" t="n">
        <v>139</v>
      </c>
      <c r="L1120" s="1" t="s">
        <v>2333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5" t="n">
        <v>46185</v>
      </c>
      <c r="C1121" s="1" t="n">
        <v>2</v>
      </c>
      <c r="D1121" s="1" t="s">
        <v>2283</v>
      </c>
      <c r="E1121" s="1" t="n">
        <v>42</v>
      </c>
      <c r="F1121" s="1" t="s">
        <v>80</v>
      </c>
      <c r="I1121" s="1" t="n">
        <v>120604</v>
      </c>
      <c r="J1121" s="1" t="n">
        <v>100148</v>
      </c>
      <c r="K1121" s="1" t="n">
        <v>149</v>
      </c>
      <c r="L1121" s="1" t="s">
        <v>2676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5" t="n">
        <v>46185</v>
      </c>
      <c r="C1122" s="1" t="n">
        <v>2</v>
      </c>
      <c r="D1122" s="1" t="s">
        <v>2283</v>
      </c>
      <c r="E1122" s="1" t="n">
        <v>42</v>
      </c>
      <c r="F1122" s="1" t="s">
        <v>80</v>
      </c>
      <c r="I1122" s="1" t="n">
        <v>120604</v>
      </c>
      <c r="J1122" s="1" t="n">
        <v>110143</v>
      </c>
      <c r="K1122" s="1" t="n">
        <v>16700</v>
      </c>
      <c r="L1122" s="1" t="s">
        <v>2677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5" t="n">
        <v>46185</v>
      </c>
      <c r="C1123" s="1" t="n">
        <v>2</v>
      </c>
      <c r="D1123" s="1" t="s">
        <v>2283</v>
      </c>
      <c r="E1123" s="1" t="n">
        <v>42</v>
      </c>
      <c r="F1123" s="1" t="s">
        <v>80</v>
      </c>
      <c r="I1123" s="1" t="n">
        <v>120604</v>
      </c>
      <c r="J1123" s="1" t="n">
        <v>110142</v>
      </c>
      <c r="K1123" s="1" t="n">
        <v>16699</v>
      </c>
      <c r="L1123" s="1" t="s">
        <v>2334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5" t="n">
        <v>46185</v>
      </c>
      <c r="C1124" s="1" t="n">
        <v>2</v>
      </c>
      <c r="D1124" s="1" t="s">
        <v>2283</v>
      </c>
      <c r="E1124" s="1" t="n">
        <v>42</v>
      </c>
      <c r="F1124" s="1" t="s">
        <v>80</v>
      </c>
      <c r="I1124" s="1" t="n">
        <v>120604</v>
      </c>
      <c r="J1124" s="1" t="n">
        <v>110265</v>
      </c>
      <c r="K1124" s="1" t="n">
        <v>41346</v>
      </c>
      <c r="L1124" s="1" t="s">
        <v>2478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5" t="n">
        <v>46185</v>
      </c>
      <c r="C1125" s="1" t="n">
        <v>6</v>
      </c>
      <c r="D1125" s="1" t="s">
        <v>2289</v>
      </c>
      <c r="E1125" s="1" t="n">
        <v>42</v>
      </c>
      <c r="F1125" s="1" t="s">
        <v>80</v>
      </c>
      <c r="I1125" s="1" t="n">
        <v>4260</v>
      </c>
      <c r="J1125" s="1" t="n">
        <v>109791</v>
      </c>
      <c r="K1125" s="1" t="n">
        <v>9667</v>
      </c>
      <c r="L1125" s="1" t="s">
        <v>2284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5" t="n">
        <v>46185</v>
      </c>
      <c r="C1126" s="1" t="n">
        <v>6</v>
      </c>
      <c r="D1126" s="1" t="s">
        <v>2289</v>
      </c>
      <c r="E1126" s="1" t="n">
        <v>42</v>
      </c>
      <c r="F1126" s="1" t="s">
        <v>80</v>
      </c>
      <c r="I1126" s="1" t="n">
        <v>4260</v>
      </c>
      <c r="J1126" s="1" t="n">
        <v>37359</v>
      </c>
      <c r="K1126" s="1" t="n">
        <v>55526</v>
      </c>
      <c r="L1126" s="1" t="s">
        <v>2285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5" t="n">
        <v>46185</v>
      </c>
      <c r="C1127" s="1" t="n">
        <v>6</v>
      </c>
      <c r="D1127" s="1" t="s">
        <v>2289</v>
      </c>
      <c r="E1127" s="1" t="n">
        <v>42</v>
      </c>
      <c r="F1127" s="1" t="s">
        <v>80</v>
      </c>
      <c r="I1127" s="1" t="n">
        <v>4260</v>
      </c>
      <c r="J1127" s="1" t="n">
        <v>37361</v>
      </c>
      <c r="K1127" s="1" t="n">
        <v>2240817</v>
      </c>
      <c r="L1127" s="1" t="s">
        <v>2286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5" t="n">
        <v>46185</v>
      </c>
      <c r="C1128" s="1" t="n">
        <v>6</v>
      </c>
      <c r="D1128" s="1" t="s">
        <v>2289</v>
      </c>
      <c r="E1128" s="1" t="n">
        <v>42</v>
      </c>
      <c r="F1128" s="1" t="s">
        <v>80</v>
      </c>
      <c r="I1128" s="1" t="n">
        <v>4261</v>
      </c>
      <c r="J1128" s="1" t="n">
        <v>100103</v>
      </c>
      <c r="K1128" s="1" t="n">
        <v>104</v>
      </c>
      <c r="L1128" s="1" t="s">
        <v>2287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5" t="n">
        <v>46185</v>
      </c>
      <c r="C1129" s="1" t="n">
        <v>6</v>
      </c>
      <c r="D1129" s="1" t="s">
        <v>2289</v>
      </c>
      <c r="E1129" s="1" t="n">
        <v>42</v>
      </c>
      <c r="F1129" s="1" t="s">
        <v>80</v>
      </c>
      <c r="I1129" s="1" t="n">
        <v>4262</v>
      </c>
      <c r="J1129" s="1" t="n">
        <v>72679</v>
      </c>
      <c r="K1129" s="1" t="n">
        <v>246</v>
      </c>
      <c r="L1129" s="1" t="s">
        <v>2288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5" t="n">
        <v>46185</v>
      </c>
      <c r="C1130" s="1" t="n">
        <v>6</v>
      </c>
      <c r="D1130" s="1" t="s">
        <v>2289</v>
      </c>
      <c r="E1130" s="1" t="n">
        <v>42</v>
      </c>
      <c r="F1130" s="1" t="s">
        <v>80</v>
      </c>
      <c r="I1130" s="1" t="n">
        <v>4263</v>
      </c>
      <c r="J1130" s="1" t="n">
        <v>100062</v>
      </c>
      <c r="K1130" s="1" t="n">
        <v>63</v>
      </c>
      <c r="L1130" s="1" t="s">
        <v>2320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5" t="n">
        <v>46185</v>
      </c>
      <c r="C1131" s="1" t="n">
        <v>6</v>
      </c>
      <c r="D1131" s="1" t="s">
        <v>2289</v>
      </c>
      <c r="E1131" s="1" t="n">
        <v>42</v>
      </c>
      <c r="F1131" s="1" t="s">
        <v>80</v>
      </c>
      <c r="I1131" s="1" t="n">
        <v>4263</v>
      </c>
      <c r="J1131" s="1" t="n">
        <v>100104</v>
      </c>
      <c r="K1131" s="1" t="n">
        <v>105</v>
      </c>
      <c r="L1131" s="1" t="s">
        <v>2321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5" t="n">
        <v>46185</v>
      </c>
      <c r="C1132" s="1" t="n">
        <v>6</v>
      </c>
      <c r="D1132" s="1" t="s">
        <v>2289</v>
      </c>
      <c r="E1132" s="1" t="n">
        <v>42</v>
      </c>
      <c r="F1132" s="1" t="s">
        <v>80</v>
      </c>
      <c r="I1132" s="1" t="n">
        <v>4263</v>
      </c>
      <c r="J1132" s="1" t="n">
        <v>100105</v>
      </c>
      <c r="K1132" s="1" t="n">
        <v>106</v>
      </c>
      <c r="L1132" s="1" t="s">
        <v>2322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5" t="n">
        <v>46185</v>
      </c>
      <c r="C1133" s="1" t="n">
        <v>6</v>
      </c>
      <c r="D1133" s="1" t="s">
        <v>2289</v>
      </c>
      <c r="E1133" s="1" t="n">
        <v>42</v>
      </c>
      <c r="F1133" s="1" t="s">
        <v>80</v>
      </c>
      <c r="I1133" s="1" t="n">
        <v>4263</v>
      </c>
      <c r="J1133" s="1" t="n">
        <v>100109</v>
      </c>
      <c r="K1133" s="1" t="n">
        <v>110</v>
      </c>
      <c r="L1133" s="1" t="s">
        <v>2324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5" t="n">
        <v>46185</v>
      </c>
      <c r="C1134" s="1" t="n">
        <v>6</v>
      </c>
      <c r="D1134" s="1" t="s">
        <v>2289</v>
      </c>
      <c r="E1134" s="1" t="n">
        <v>42</v>
      </c>
      <c r="F1134" s="1" t="s">
        <v>80</v>
      </c>
      <c r="I1134" s="1" t="n">
        <v>4263</v>
      </c>
      <c r="J1134" s="1" t="n">
        <v>100110</v>
      </c>
      <c r="K1134" s="1" t="n">
        <v>111</v>
      </c>
      <c r="L1134" s="1" t="s">
        <v>2473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5" t="n">
        <v>46185</v>
      </c>
      <c r="C1135" s="1" t="n">
        <v>6</v>
      </c>
      <c r="D1135" s="1" t="s">
        <v>2289</v>
      </c>
      <c r="E1135" s="1" t="n">
        <v>42</v>
      </c>
      <c r="F1135" s="1" t="s">
        <v>80</v>
      </c>
      <c r="I1135" s="1" t="n">
        <v>4263</v>
      </c>
      <c r="J1135" s="1" t="n">
        <v>100112</v>
      </c>
      <c r="K1135" s="1" t="n">
        <v>113</v>
      </c>
      <c r="L1135" s="1" t="s">
        <v>2325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5" t="n">
        <v>46185</v>
      </c>
      <c r="C1136" s="1" t="n">
        <v>6</v>
      </c>
      <c r="D1136" s="1" t="s">
        <v>2289</v>
      </c>
      <c r="E1136" s="1" t="n">
        <v>42</v>
      </c>
      <c r="F1136" s="1" t="s">
        <v>80</v>
      </c>
      <c r="I1136" s="1" t="n">
        <v>4263</v>
      </c>
      <c r="J1136" s="1" t="n">
        <v>100113</v>
      </c>
      <c r="K1136" s="1" t="n">
        <v>114</v>
      </c>
      <c r="L1136" s="1" t="s">
        <v>2326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5" t="n">
        <v>46185</v>
      </c>
      <c r="C1137" s="1" t="n">
        <v>6</v>
      </c>
      <c r="D1137" s="1" t="s">
        <v>2289</v>
      </c>
      <c r="E1137" s="1" t="n">
        <v>42</v>
      </c>
      <c r="F1137" s="1" t="s">
        <v>80</v>
      </c>
      <c r="I1137" s="1" t="n">
        <v>4263</v>
      </c>
      <c r="J1137" s="1" t="n">
        <v>100115</v>
      </c>
      <c r="K1137" s="1" t="n">
        <v>116</v>
      </c>
      <c r="L1137" s="1" t="s">
        <v>2474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5" t="n">
        <v>46185</v>
      </c>
      <c r="C1138" s="1" t="n">
        <v>6</v>
      </c>
      <c r="D1138" s="1" t="s">
        <v>2289</v>
      </c>
      <c r="E1138" s="1" t="n">
        <v>42</v>
      </c>
      <c r="F1138" s="1" t="s">
        <v>80</v>
      </c>
      <c r="I1138" s="1" t="n">
        <v>4263</v>
      </c>
      <c r="J1138" s="1" t="n">
        <v>100116</v>
      </c>
      <c r="K1138" s="1" t="n">
        <v>117</v>
      </c>
      <c r="L1138" s="1" t="s">
        <v>2327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5" t="n">
        <v>46185</v>
      </c>
      <c r="C1139" s="1" t="n">
        <v>6</v>
      </c>
      <c r="D1139" s="1" t="s">
        <v>2289</v>
      </c>
      <c r="E1139" s="1" t="n">
        <v>42</v>
      </c>
      <c r="F1139" s="1" t="s">
        <v>80</v>
      </c>
      <c r="I1139" s="1" t="n">
        <v>4263</v>
      </c>
      <c r="J1139" s="1" t="n">
        <v>100118</v>
      </c>
      <c r="K1139" s="1" t="n">
        <v>119</v>
      </c>
      <c r="L1139" s="1" t="s">
        <v>2328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5" t="n">
        <v>46185</v>
      </c>
      <c r="C1140" s="1" t="n">
        <v>6</v>
      </c>
      <c r="D1140" s="1" t="s">
        <v>2289</v>
      </c>
      <c r="E1140" s="1" t="n">
        <v>42</v>
      </c>
      <c r="F1140" s="1" t="s">
        <v>80</v>
      </c>
      <c r="I1140" s="1" t="n">
        <v>4263</v>
      </c>
      <c r="J1140" s="1" t="n">
        <v>100121</v>
      </c>
      <c r="K1140" s="1" t="n">
        <v>122</v>
      </c>
      <c r="L1140" s="1" t="s">
        <v>2329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5" t="n">
        <v>46185</v>
      </c>
      <c r="C1141" s="1" t="n">
        <v>6</v>
      </c>
      <c r="D1141" s="1" t="s">
        <v>2289</v>
      </c>
      <c r="E1141" s="1" t="n">
        <v>42</v>
      </c>
      <c r="F1141" s="1" t="s">
        <v>80</v>
      </c>
      <c r="I1141" s="1" t="n">
        <v>4263</v>
      </c>
      <c r="J1141" s="1" t="n">
        <v>100122</v>
      </c>
      <c r="K1141" s="1" t="n">
        <v>123</v>
      </c>
      <c r="L1141" s="1" t="s">
        <v>2330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5" t="n">
        <v>46185</v>
      </c>
      <c r="C1142" s="1" t="n">
        <v>6</v>
      </c>
      <c r="D1142" s="1" t="s">
        <v>2289</v>
      </c>
      <c r="E1142" s="1" t="n">
        <v>42</v>
      </c>
      <c r="F1142" s="1" t="s">
        <v>80</v>
      </c>
      <c r="I1142" s="1" t="n">
        <v>4263</v>
      </c>
      <c r="J1142" s="1" t="n">
        <v>100123</v>
      </c>
      <c r="K1142" s="1" t="n">
        <v>124</v>
      </c>
      <c r="L1142" s="1" t="s">
        <v>2475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5" t="n">
        <v>46185</v>
      </c>
      <c r="C1143" s="1" t="n">
        <v>6</v>
      </c>
      <c r="D1143" s="1" t="s">
        <v>2289</v>
      </c>
      <c r="E1143" s="1" t="n">
        <v>42</v>
      </c>
      <c r="F1143" s="1" t="s">
        <v>80</v>
      </c>
      <c r="I1143" s="1" t="n">
        <v>4263</v>
      </c>
      <c r="J1143" s="1" t="n">
        <v>100124</v>
      </c>
      <c r="K1143" s="1" t="n">
        <v>125</v>
      </c>
      <c r="L1143" s="1" t="s">
        <v>2476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5" t="n">
        <v>46185</v>
      </c>
      <c r="C1144" s="1" t="n">
        <v>6</v>
      </c>
      <c r="D1144" s="1" t="s">
        <v>2289</v>
      </c>
      <c r="E1144" s="1" t="n">
        <v>42</v>
      </c>
      <c r="F1144" s="1" t="s">
        <v>80</v>
      </c>
      <c r="I1144" s="1" t="n">
        <v>4263</v>
      </c>
      <c r="J1144" s="1" t="n">
        <v>100125</v>
      </c>
      <c r="K1144" s="1" t="n">
        <v>126</v>
      </c>
      <c r="L1144" s="1" t="s">
        <v>2477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5" t="n">
        <v>46185</v>
      </c>
      <c r="C1145" s="1" t="n">
        <v>6</v>
      </c>
      <c r="D1145" s="1" t="s">
        <v>2289</v>
      </c>
      <c r="E1145" s="1" t="n">
        <v>42</v>
      </c>
      <c r="F1145" s="1" t="s">
        <v>80</v>
      </c>
      <c r="I1145" s="1" t="n">
        <v>4263</v>
      </c>
      <c r="J1145" s="1" t="n">
        <v>100130</v>
      </c>
      <c r="K1145" s="1" t="n">
        <v>131</v>
      </c>
      <c r="L1145" s="1" t="s">
        <v>2331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5" t="n">
        <v>46185</v>
      </c>
      <c r="C1146" s="1" t="n">
        <v>6</v>
      </c>
      <c r="D1146" s="1" t="s">
        <v>2289</v>
      </c>
      <c r="E1146" s="1" t="n">
        <v>42</v>
      </c>
      <c r="F1146" s="1" t="s">
        <v>80</v>
      </c>
      <c r="I1146" s="1" t="n">
        <v>4263</v>
      </c>
      <c r="J1146" s="1" t="n">
        <v>100133</v>
      </c>
      <c r="K1146" s="1" t="n">
        <v>134</v>
      </c>
      <c r="L1146" s="1" t="s">
        <v>2332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5" t="n">
        <v>46185</v>
      </c>
      <c r="C1147" s="1" t="n">
        <v>6</v>
      </c>
      <c r="D1147" s="1" t="s">
        <v>2289</v>
      </c>
      <c r="E1147" s="1" t="n">
        <v>42</v>
      </c>
      <c r="F1147" s="1" t="s">
        <v>80</v>
      </c>
      <c r="I1147" s="1" t="n">
        <v>4263</v>
      </c>
      <c r="J1147" s="1" t="n">
        <v>100138</v>
      </c>
      <c r="K1147" s="1" t="n">
        <v>139</v>
      </c>
      <c r="L1147" s="1" t="s">
        <v>2333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5" t="n">
        <v>46185</v>
      </c>
      <c r="C1148" s="1" t="n">
        <v>6</v>
      </c>
      <c r="D1148" s="1" t="s">
        <v>2289</v>
      </c>
      <c r="E1148" s="1" t="n">
        <v>42</v>
      </c>
      <c r="F1148" s="1" t="s">
        <v>80</v>
      </c>
      <c r="I1148" s="1" t="n">
        <v>4263</v>
      </c>
      <c r="J1148" s="1" t="n">
        <v>100148</v>
      </c>
      <c r="K1148" s="1" t="n">
        <v>149</v>
      </c>
      <c r="L1148" s="1" t="s">
        <v>2676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5" t="n">
        <v>46185</v>
      </c>
      <c r="C1149" s="1" t="n">
        <v>6</v>
      </c>
      <c r="D1149" s="1" t="s">
        <v>2289</v>
      </c>
      <c r="E1149" s="1" t="n">
        <v>42</v>
      </c>
      <c r="F1149" s="1" t="s">
        <v>80</v>
      </c>
      <c r="I1149" s="1" t="n">
        <v>4263</v>
      </c>
      <c r="J1149" s="1" t="n">
        <v>110143</v>
      </c>
      <c r="K1149" s="1" t="n">
        <v>16700</v>
      </c>
      <c r="L1149" s="1" t="s">
        <v>2677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5" t="n">
        <v>46185</v>
      </c>
      <c r="C1150" s="1" t="n">
        <v>6</v>
      </c>
      <c r="D1150" s="1" t="s">
        <v>2289</v>
      </c>
      <c r="E1150" s="1" t="n">
        <v>42</v>
      </c>
      <c r="F1150" s="1" t="s">
        <v>80</v>
      </c>
      <c r="I1150" s="1" t="n">
        <v>4263</v>
      </c>
      <c r="J1150" s="1" t="n">
        <v>110142</v>
      </c>
      <c r="K1150" s="1" t="n">
        <v>16699</v>
      </c>
      <c r="L1150" s="1" t="s">
        <v>2334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5" t="n">
        <v>46185</v>
      </c>
      <c r="C1151" s="1" t="n">
        <v>6</v>
      </c>
      <c r="D1151" s="1" t="s">
        <v>2289</v>
      </c>
      <c r="E1151" s="1" t="n">
        <v>42</v>
      </c>
      <c r="F1151" s="1" t="s">
        <v>80</v>
      </c>
      <c r="I1151" s="1" t="n">
        <v>4263</v>
      </c>
      <c r="J1151" s="1" t="n">
        <v>110265</v>
      </c>
      <c r="K1151" s="1" t="n">
        <v>41346</v>
      </c>
      <c r="L1151" s="1" t="s">
        <v>2478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5" t="n">
        <v>46185</v>
      </c>
      <c r="C1152" s="1" t="n">
        <v>11</v>
      </c>
      <c r="D1152" s="1" t="s">
        <v>2290</v>
      </c>
      <c r="E1152" s="1" t="n">
        <v>10063</v>
      </c>
      <c r="F1152" s="1" t="s">
        <v>218</v>
      </c>
      <c r="I1152" s="1" t="n">
        <v>2284</v>
      </c>
      <c r="J1152" s="1" t="n">
        <v>100174</v>
      </c>
      <c r="K1152" s="1" t="n">
        <v>7898141930286</v>
      </c>
      <c r="L1152" s="1" t="s">
        <v>2519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5" t="n">
        <v>46185</v>
      </c>
      <c r="C1153" s="1" t="n">
        <v>11</v>
      </c>
      <c r="D1153" s="1" t="s">
        <v>2290</v>
      </c>
      <c r="E1153" s="1" t="n">
        <v>10063</v>
      </c>
      <c r="F1153" s="1" t="s">
        <v>218</v>
      </c>
      <c r="I1153" s="1" t="n">
        <v>2284</v>
      </c>
      <c r="J1153" s="1" t="n">
        <v>100933</v>
      </c>
      <c r="K1153" s="1" t="n">
        <v>7896982100059</v>
      </c>
      <c r="L1153" s="1" t="s">
        <v>2520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5" t="n">
        <v>46185</v>
      </c>
      <c r="C1154" s="1" t="n">
        <v>11</v>
      </c>
      <c r="D1154" s="1" t="s">
        <v>2290</v>
      </c>
      <c r="E1154" s="1" t="n">
        <v>1601</v>
      </c>
      <c r="F1154" s="1" t="s">
        <v>155</v>
      </c>
      <c r="I1154" s="1" t="n">
        <v>843062</v>
      </c>
      <c r="J1154" s="1" t="n">
        <v>15891</v>
      </c>
      <c r="K1154" s="1" t="n">
        <v>7896102502909</v>
      </c>
      <c r="L1154" s="1" t="s">
        <v>2851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5" t="n">
        <v>46185</v>
      </c>
      <c r="C1155" s="1" t="n">
        <v>11</v>
      </c>
      <c r="D1155" s="1" t="s">
        <v>2290</v>
      </c>
      <c r="E1155" s="1" t="n">
        <v>1601</v>
      </c>
      <c r="F1155" s="1" t="s">
        <v>155</v>
      </c>
      <c r="I1155" s="1" t="n">
        <v>843062</v>
      </c>
      <c r="J1155" s="1" t="n">
        <v>15891</v>
      </c>
      <c r="K1155" s="1" t="n">
        <v>7896102502909</v>
      </c>
      <c r="L1155" s="1" t="s">
        <v>2851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5" t="n">
        <v>46185</v>
      </c>
      <c r="C1156" s="1" t="n">
        <v>11</v>
      </c>
      <c r="D1156" s="1" t="s">
        <v>2290</v>
      </c>
      <c r="E1156" s="1" t="n">
        <v>1601</v>
      </c>
      <c r="F1156" s="1" t="s">
        <v>155</v>
      </c>
      <c r="I1156" s="1" t="n">
        <v>843062</v>
      </c>
      <c r="J1156" s="1" t="n">
        <v>21655</v>
      </c>
      <c r="K1156" s="1" t="n">
        <v>7896102502763</v>
      </c>
      <c r="L1156" s="1" t="s">
        <v>2852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5" t="n">
        <v>46185</v>
      </c>
      <c r="C1157" s="1" t="n">
        <v>11</v>
      </c>
      <c r="D1157" s="1" t="s">
        <v>2290</v>
      </c>
      <c r="E1157" s="1" t="n">
        <v>1601</v>
      </c>
      <c r="F1157" s="1" t="s">
        <v>155</v>
      </c>
      <c r="I1157" s="1" t="n">
        <v>843062</v>
      </c>
      <c r="J1157" s="1" t="n">
        <v>21950</v>
      </c>
      <c r="K1157" s="1" t="n">
        <v>7896382502088</v>
      </c>
      <c r="L1157" s="1" t="s">
        <v>2853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5" t="n">
        <v>46185</v>
      </c>
      <c r="C1158" s="1" t="n">
        <v>11</v>
      </c>
      <c r="D1158" s="1" t="s">
        <v>2290</v>
      </c>
      <c r="E1158" s="1" t="n">
        <v>1601</v>
      </c>
      <c r="F1158" s="1" t="s">
        <v>155</v>
      </c>
      <c r="I1158" s="1" t="n">
        <v>843062</v>
      </c>
      <c r="J1158" s="1" t="n">
        <v>21998</v>
      </c>
      <c r="K1158" s="1" t="n">
        <v>7896382502095</v>
      </c>
      <c r="L1158" s="1" t="s">
        <v>2854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5" t="n">
        <v>46185</v>
      </c>
      <c r="C1159" s="1" t="n">
        <v>11</v>
      </c>
      <c r="D1159" s="1" t="s">
        <v>2290</v>
      </c>
      <c r="E1159" s="1" t="n">
        <v>1601</v>
      </c>
      <c r="F1159" s="1" t="s">
        <v>155</v>
      </c>
      <c r="I1159" s="1" t="n">
        <v>843062</v>
      </c>
      <c r="J1159" s="1" t="n">
        <v>22074</v>
      </c>
      <c r="K1159" s="1" t="n">
        <v>7896102502787</v>
      </c>
      <c r="L1159" s="1" t="s">
        <v>2855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5" t="n">
        <v>46185</v>
      </c>
      <c r="C1160" s="1" t="n">
        <v>11</v>
      </c>
      <c r="D1160" s="1" t="s">
        <v>2290</v>
      </c>
      <c r="E1160" s="1" t="n">
        <v>1601</v>
      </c>
      <c r="F1160" s="1" t="s">
        <v>155</v>
      </c>
      <c r="I1160" s="1" t="n">
        <v>843062</v>
      </c>
      <c r="J1160" s="1" t="n">
        <v>29854</v>
      </c>
      <c r="K1160" s="1" t="n">
        <v>7896102500608</v>
      </c>
      <c r="L1160" s="1" t="s">
        <v>2856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5" t="n">
        <v>46185</v>
      </c>
      <c r="C1161" s="1" t="n">
        <v>11</v>
      </c>
      <c r="D1161" s="1" t="s">
        <v>2290</v>
      </c>
      <c r="E1161" s="1" t="n">
        <v>1601</v>
      </c>
      <c r="F1161" s="1" t="s">
        <v>155</v>
      </c>
      <c r="I1161" s="1" t="n">
        <v>843062</v>
      </c>
      <c r="J1161" s="1" t="n">
        <v>30160</v>
      </c>
      <c r="K1161" s="1" t="n">
        <v>7896102500530</v>
      </c>
      <c r="L1161" s="1" t="s">
        <v>2857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5" t="n">
        <v>46185</v>
      </c>
      <c r="C1162" s="1" t="n">
        <v>11</v>
      </c>
      <c r="D1162" s="1" t="s">
        <v>2290</v>
      </c>
      <c r="E1162" s="1" t="n">
        <v>1601</v>
      </c>
      <c r="F1162" s="1" t="s">
        <v>155</v>
      </c>
      <c r="I1162" s="1" t="n">
        <v>843062</v>
      </c>
      <c r="J1162" s="1" t="n">
        <v>55678</v>
      </c>
      <c r="K1162" s="1" t="n">
        <v>7896382505584</v>
      </c>
      <c r="L1162" s="1" t="s">
        <v>2858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5" t="n">
        <v>46185</v>
      </c>
      <c r="C1163" s="1" t="n">
        <v>11</v>
      </c>
      <c r="D1163" s="1" t="s">
        <v>2290</v>
      </c>
      <c r="E1163" s="1" t="n">
        <v>1601</v>
      </c>
      <c r="F1163" s="1" t="s">
        <v>155</v>
      </c>
      <c r="I1163" s="1" t="n">
        <v>843062</v>
      </c>
      <c r="J1163" s="1" t="n">
        <v>65115</v>
      </c>
      <c r="K1163" s="1" t="n">
        <v>7896382505942</v>
      </c>
      <c r="L1163" s="1" t="s">
        <v>2859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5" t="n">
        <v>46185</v>
      </c>
      <c r="C1164" s="1" t="n">
        <v>11</v>
      </c>
      <c r="D1164" s="1" t="s">
        <v>2290</v>
      </c>
      <c r="E1164" s="1" t="n">
        <v>1601</v>
      </c>
      <c r="F1164" s="1" t="s">
        <v>155</v>
      </c>
      <c r="I1164" s="1" t="n">
        <v>843062</v>
      </c>
      <c r="J1164" s="1" t="n">
        <v>71485</v>
      </c>
      <c r="K1164" s="1" t="n">
        <v>7896102503661</v>
      </c>
      <c r="L1164" s="1" t="s">
        <v>2860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5" t="n">
        <v>46185</v>
      </c>
      <c r="C1165" s="1" t="n">
        <v>11</v>
      </c>
      <c r="D1165" s="1" t="s">
        <v>2290</v>
      </c>
      <c r="E1165" s="1" t="n">
        <v>1659</v>
      </c>
      <c r="F1165" s="1" t="s">
        <v>251</v>
      </c>
      <c r="I1165" s="1" t="n">
        <v>878235</v>
      </c>
      <c r="J1165" s="1" t="n">
        <v>24338</v>
      </c>
      <c r="K1165" s="1" t="n">
        <v>7898503790190</v>
      </c>
      <c r="L1165" s="1" t="s">
        <v>2861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5" t="n">
        <v>46185</v>
      </c>
      <c r="C1166" s="1" t="n">
        <v>11</v>
      </c>
      <c r="D1166" s="1" t="s">
        <v>2290</v>
      </c>
      <c r="E1166" s="1" t="n">
        <v>1659</v>
      </c>
      <c r="F1166" s="1" t="s">
        <v>251</v>
      </c>
      <c r="I1166" s="1" t="n">
        <v>878235</v>
      </c>
      <c r="J1166" s="1" t="n">
        <v>27534</v>
      </c>
      <c r="K1166" s="1" t="n">
        <v>7898959504068</v>
      </c>
      <c r="L1166" s="1" t="s">
        <v>2862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5" t="n">
        <v>46185</v>
      </c>
      <c r="C1167" s="1" t="n">
        <v>11</v>
      </c>
      <c r="D1167" s="1" t="s">
        <v>2290</v>
      </c>
      <c r="E1167" s="1" t="n">
        <v>1659</v>
      </c>
      <c r="F1167" s="1" t="s">
        <v>251</v>
      </c>
      <c r="I1167" s="1" t="n">
        <v>878235</v>
      </c>
      <c r="J1167" s="1" t="n">
        <v>45860</v>
      </c>
      <c r="K1167" s="1" t="n">
        <v>7898503790091</v>
      </c>
      <c r="L1167" s="1" t="s">
        <v>2863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5" t="n">
        <v>46185</v>
      </c>
      <c r="C1168" s="1" t="n">
        <v>11</v>
      </c>
      <c r="D1168" s="1" t="s">
        <v>2290</v>
      </c>
      <c r="E1168" s="1" t="n">
        <v>1659</v>
      </c>
      <c r="F1168" s="1" t="s">
        <v>251</v>
      </c>
      <c r="I1168" s="1" t="n">
        <v>878235</v>
      </c>
      <c r="J1168" s="1" t="n">
        <v>75571</v>
      </c>
      <c r="K1168" s="1" t="n">
        <v>7896022205744</v>
      </c>
      <c r="L1168" s="1" t="s">
        <v>2864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5" t="n">
        <v>46185</v>
      </c>
      <c r="C1169" s="1" t="n">
        <v>11</v>
      </c>
      <c r="D1169" s="1" t="s">
        <v>2290</v>
      </c>
      <c r="E1169" s="1" t="n">
        <v>1705</v>
      </c>
      <c r="F1169" s="1" t="s">
        <v>122</v>
      </c>
      <c r="I1169" s="1" t="n">
        <v>1159719</v>
      </c>
      <c r="J1169" s="1" t="n">
        <v>24324</v>
      </c>
      <c r="K1169" s="1" t="n">
        <v>70847022015</v>
      </c>
      <c r="L1169" s="1" t="s">
        <v>2292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5" t="n">
        <v>46185</v>
      </c>
      <c r="C1170" s="1" t="n">
        <v>11</v>
      </c>
      <c r="D1170" s="1" t="s">
        <v>2290</v>
      </c>
      <c r="E1170" s="1" t="n">
        <v>1672</v>
      </c>
      <c r="F1170" s="1" t="s">
        <v>67</v>
      </c>
      <c r="I1170" s="1" t="n">
        <v>1369407</v>
      </c>
      <c r="J1170" s="1" t="n">
        <v>103165</v>
      </c>
      <c r="K1170" s="1" t="n">
        <v>7896579310106</v>
      </c>
      <c r="L1170" s="1" t="s">
        <v>2865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5" t="n">
        <v>46185</v>
      </c>
      <c r="C1171" s="1" t="n">
        <v>11</v>
      </c>
      <c r="D1171" s="1" t="s">
        <v>2290</v>
      </c>
      <c r="E1171" s="1" t="n">
        <v>1672</v>
      </c>
      <c r="F1171" s="1" t="s">
        <v>67</v>
      </c>
      <c r="I1171" s="1" t="n">
        <v>1369407</v>
      </c>
      <c r="J1171" s="1" t="n">
        <v>103916</v>
      </c>
      <c r="K1171" s="1" t="n">
        <v>7896579330067</v>
      </c>
      <c r="L1171" s="1" t="s">
        <v>2866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5" t="n">
        <v>46185</v>
      </c>
      <c r="C1172" s="1" t="n">
        <v>11</v>
      </c>
      <c r="D1172" s="1" t="s">
        <v>2290</v>
      </c>
      <c r="E1172" s="1" t="n">
        <v>1672</v>
      </c>
      <c r="F1172" s="1" t="s">
        <v>67</v>
      </c>
      <c r="I1172" s="1" t="n">
        <v>1369407</v>
      </c>
      <c r="J1172" s="1" t="n">
        <v>104355</v>
      </c>
      <c r="K1172" s="1" t="n">
        <v>7896579380116</v>
      </c>
      <c r="L1172" s="1" t="s">
        <v>2867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5" t="n">
        <v>46185</v>
      </c>
      <c r="C1173" s="1" t="n">
        <v>11</v>
      </c>
      <c r="D1173" s="1" t="s">
        <v>2290</v>
      </c>
      <c r="E1173" s="1" t="n">
        <v>1672</v>
      </c>
      <c r="F1173" s="1" t="s">
        <v>67</v>
      </c>
      <c r="I1173" s="1" t="n">
        <v>1369407</v>
      </c>
      <c r="J1173" s="1" t="n">
        <v>31622</v>
      </c>
      <c r="K1173" s="1" t="n">
        <v>7896579370032</v>
      </c>
      <c r="L1173" s="1" t="s">
        <v>2868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5" t="n">
        <v>46185</v>
      </c>
      <c r="C1174" s="1" t="n">
        <v>11</v>
      </c>
      <c r="D1174" s="1" t="s">
        <v>2290</v>
      </c>
      <c r="E1174" s="1" t="n">
        <v>1672</v>
      </c>
      <c r="F1174" s="1" t="s">
        <v>67</v>
      </c>
      <c r="I1174" s="1" t="n">
        <v>1369407</v>
      </c>
      <c r="J1174" s="1" t="n">
        <v>37153</v>
      </c>
      <c r="K1174" s="1" t="n">
        <v>7896579310311</v>
      </c>
      <c r="L1174" s="1" t="s">
        <v>2869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5" t="n">
        <v>46185</v>
      </c>
      <c r="C1175" s="1" t="n">
        <v>11</v>
      </c>
      <c r="D1175" s="1" t="s">
        <v>2290</v>
      </c>
      <c r="E1175" s="1" t="n">
        <v>1672</v>
      </c>
      <c r="F1175" s="1" t="s">
        <v>67</v>
      </c>
      <c r="I1175" s="1" t="n">
        <v>1369407</v>
      </c>
      <c r="J1175" s="1" t="n">
        <v>37154</v>
      </c>
      <c r="K1175" s="1" t="n">
        <v>7896579310601</v>
      </c>
      <c r="L1175" s="1" t="s">
        <v>2870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5" t="n">
        <v>46185</v>
      </c>
      <c r="C1176" s="1" t="n">
        <v>11</v>
      </c>
      <c r="D1176" s="1" t="s">
        <v>2290</v>
      </c>
      <c r="E1176" s="1" t="n">
        <v>1672</v>
      </c>
      <c r="F1176" s="1" t="s">
        <v>67</v>
      </c>
      <c r="I1176" s="1" t="n">
        <v>1369407</v>
      </c>
      <c r="J1176" s="1" t="n">
        <v>37156</v>
      </c>
      <c r="K1176" s="1" t="n">
        <v>7896579310502</v>
      </c>
      <c r="L1176" s="1" t="s">
        <v>2871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5" t="n">
        <v>46185</v>
      </c>
      <c r="C1177" s="1" t="n">
        <v>11</v>
      </c>
      <c r="D1177" s="1" t="s">
        <v>2290</v>
      </c>
      <c r="E1177" s="1" t="n">
        <v>1672</v>
      </c>
      <c r="F1177" s="1" t="s">
        <v>67</v>
      </c>
      <c r="I1177" s="1" t="n">
        <v>1369407</v>
      </c>
      <c r="J1177" s="1" t="n">
        <v>37157</v>
      </c>
      <c r="K1177" s="1" t="n">
        <v>7896579310403</v>
      </c>
      <c r="L1177" s="1" t="s">
        <v>2872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5" t="n">
        <v>46185</v>
      </c>
      <c r="C1178" s="1" t="n">
        <v>11</v>
      </c>
      <c r="D1178" s="1" t="s">
        <v>2290</v>
      </c>
      <c r="E1178" s="1" t="n">
        <v>1672</v>
      </c>
      <c r="F1178" s="1" t="s">
        <v>67</v>
      </c>
      <c r="I1178" s="1" t="n">
        <v>1369407</v>
      </c>
      <c r="J1178" s="1" t="n">
        <v>38315</v>
      </c>
      <c r="K1178" s="1" t="n">
        <v>7896579320242</v>
      </c>
      <c r="L1178" s="1" t="s">
        <v>2873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5" t="n">
        <v>46185</v>
      </c>
      <c r="C1179" s="1" t="n">
        <v>11</v>
      </c>
      <c r="D1179" s="1" t="s">
        <v>2290</v>
      </c>
      <c r="E1179" s="1" t="n">
        <v>1672</v>
      </c>
      <c r="F1179" s="1" t="s">
        <v>67</v>
      </c>
      <c r="I1179" s="1" t="n">
        <v>1369407</v>
      </c>
      <c r="J1179" s="1" t="n">
        <v>38539</v>
      </c>
      <c r="K1179" s="1" t="n">
        <v>7896579320235</v>
      </c>
      <c r="L1179" s="1" t="s">
        <v>2874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5" t="n">
        <v>46185</v>
      </c>
      <c r="C1180" s="1" t="n">
        <v>11</v>
      </c>
      <c r="D1180" s="1" t="s">
        <v>2290</v>
      </c>
      <c r="E1180" s="1" t="n">
        <v>1672</v>
      </c>
      <c r="F1180" s="1" t="s">
        <v>67</v>
      </c>
      <c r="I1180" s="1" t="n">
        <v>1369407</v>
      </c>
      <c r="J1180" s="1" t="n">
        <v>45144</v>
      </c>
      <c r="K1180" s="1" t="n">
        <v>7896579350164</v>
      </c>
      <c r="L1180" s="1" t="s">
        <v>2875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5" t="n">
        <v>46185</v>
      </c>
      <c r="C1181" s="1" t="n">
        <v>11</v>
      </c>
      <c r="D1181" s="1" t="s">
        <v>2290</v>
      </c>
      <c r="E1181" s="1" t="n">
        <v>1705</v>
      </c>
      <c r="F1181" s="1" t="s">
        <v>122</v>
      </c>
      <c r="I1181" s="1" t="n">
        <v>1879107</v>
      </c>
      <c r="J1181" s="1" t="n">
        <v>103139</v>
      </c>
      <c r="K1181" s="1" t="n">
        <v>7894900051759</v>
      </c>
      <c r="L1181" s="1" t="s">
        <v>2303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5" t="n">
        <v>46185</v>
      </c>
      <c r="C1182" s="1" t="n">
        <v>11</v>
      </c>
      <c r="D1182" s="1" t="s">
        <v>2290</v>
      </c>
      <c r="E1182" s="1" t="n">
        <v>1705</v>
      </c>
      <c r="F1182" s="1" t="s">
        <v>122</v>
      </c>
      <c r="I1182" s="1" t="n">
        <v>1879107</v>
      </c>
      <c r="J1182" s="1" t="n">
        <v>103140</v>
      </c>
      <c r="K1182" s="1" t="n">
        <v>7894900031751</v>
      </c>
      <c r="L1182" s="1" t="s">
        <v>2304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5" t="n">
        <v>46185</v>
      </c>
      <c r="C1183" s="1" t="n">
        <v>11</v>
      </c>
      <c r="D1183" s="1" t="s">
        <v>2290</v>
      </c>
      <c r="E1183" s="1" t="n">
        <v>1705</v>
      </c>
      <c r="F1183" s="1" t="s">
        <v>122</v>
      </c>
      <c r="I1183" s="1" t="n">
        <v>1879107</v>
      </c>
      <c r="J1183" s="1" t="n">
        <v>103142</v>
      </c>
      <c r="K1183" s="1" t="n">
        <v>7894900011753</v>
      </c>
      <c r="L1183" s="1" t="s">
        <v>2305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5" t="n">
        <v>46185</v>
      </c>
      <c r="C1184" s="1" t="n">
        <v>11</v>
      </c>
      <c r="D1184" s="1" t="s">
        <v>2290</v>
      </c>
      <c r="E1184" s="1" t="n">
        <v>1705</v>
      </c>
      <c r="F1184" s="1" t="s">
        <v>122</v>
      </c>
      <c r="I1184" s="1" t="n">
        <v>1879107</v>
      </c>
      <c r="J1184" s="1" t="n">
        <v>103145</v>
      </c>
      <c r="K1184" s="1" t="n">
        <v>7894900051513</v>
      </c>
      <c r="L1184" s="1" t="s">
        <v>2306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5" t="n">
        <v>46185</v>
      </c>
      <c r="C1185" s="1" t="n">
        <v>11</v>
      </c>
      <c r="D1185" s="1" t="s">
        <v>2290</v>
      </c>
      <c r="E1185" s="1" t="n">
        <v>1705</v>
      </c>
      <c r="F1185" s="1" t="s">
        <v>122</v>
      </c>
      <c r="I1185" s="1" t="n">
        <v>1879107</v>
      </c>
      <c r="J1185" s="1" t="n">
        <v>103146</v>
      </c>
      <c r="K1185" s="1" t="n">
        <v>7894900031515</v>
      </c>
      <c r="L1185" s="1" t="s">
        <v>2876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5" t="n">
        <v>46185</v>
      </c>
      <c r="C1186" s="1" t="n">
        <v>11</v>
      </c>
      <c r="D1186" s="1" t="s">
        <v>2290</v>
      </c>
      <c r="E1186" s="1" t="n">
        <v>1705</v>
      </c>
      <c r="F1186" s="1" t="s">
        <v>122</v>
      </c>
      <c r="I1186" s="1" t="n">
        <v>1879107</v>
      </c>
      <c r="J1186" s="1" t="n">
        <v>105323</v>
      </c>
      <c r="K1186" s="1" t="n">
        <v>7894900701753</v>
      </c>
      <c r="L1186" s="1" t="s">
        <v>2307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5" t="n">
        <v>46185</v>
      </c>
      <c r="C1187" s="1" t="n">
        <v>11</v>
      </c>
      <c r="D1187" s="1" t="s">
        <v>2290</v>
      </c>
      <c r="E1187" s="1" t="n">
        <v>1705</v>
      </c>
      <c r="F1187" s="1" t="s">
        <v>122</v>
      </c>
      <c r="I1187" s="1" t="n">
        <v>1879107</v>
      </c>
      <c r="J1187" s="1" t="n">
        <v>105631</v>
      </c>
      <c r="K1187" s="1" t="n">
        <v>7894900011609</v>
      </c>
      <c r="L1187" s="1" t="s">
        <v>2877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5" t="n">
        <v>46185</v>
      </c>
      <c r="C1188" s="1" t="n">
        <v>11</v>
      </c>
      <c r="D1188" s="1" t="s">
        <v>2290</v>
      </c>
      <c r="E1188" s="1" t="n">
        <v>1705</v>
      </c>
      <c r="F1188" s="1" t="s">
        <v>122</v>
      </c>
      <c r="I1188" s="1" t="n">
        <v>1879107</v>
      </c>
      <c r="J1188" s="1" t="n">
        <v>107100</v>
      </c>
      <c r="K1188" s="1" t="n">
        <v>7894900700015</v>
      </c>
      <c r="L1188" s="1" t="s">
        <v>2878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5" t="n">
        <v>46185</v>
      </c>
      <c r="C1189" s="1" t="n">
        <v>11</v>
      </c>
      <c r="D1189" s="1" t="s">
        <v>2290</v>
      </c>
      <c r="E1189" s="1" t="n">
        <v>1705</v>
      </c>
      <c r="F1189" s="1" t="s">
        <v>122</v>
      </c>
      <c r="I1189" s="1" t="n">
        <v>1879107</v>
      </c>
      <c r="J1189" s="1" t="n">
        <v>10830</v>
      </c>
      <c r="K1189" s="1" t="n">
        <v>7894900701517</v>
      </c>
      <c r="L1189" s="1" t="s">
        <v>2879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5" t="n">
        <v>46185</v>
      </c>
      <c r="C1190" s="1" t="n">
        <v>11</v>
      </c>
      <c r="D1190" s="1" t="s">
        <v>2290</v>
      </c>
      <c r="E1190" s="1" t="n">
        <v>1705</v>
      </c>
      <c r="F1190" s="1" t="s">
        <v>122</v>
      </c>
      <c r="I1190" s="1" t="n">
        <v>1879107</v>
      </c>
      <c r="J1190" s="1" t="n">
        <v>21425</v>
      </c>
      <c r="K1190" s="1" t="n">
        <v>7894900034219</v>
      </c>
      <c r="L1190" s="1" t="s">
        <v>2880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5" t="n">
        <v>46185</v>
      </c>
      <c r="C1191" s="1" t="n">
        <v>11</v>
      </c>
      <c r="D1191" s="1" t="s">
        <v>2290</v>
      </c>
      <c r="E1191" s="1" t="n">
        <v>1705</v>
      </c>
      <c r="F1191" s="1" t="s">
        <v>122</v>
      </c>
      <c r="I1191" s="1" t="n">
        <v>1879107</v>
      </c>
      <c r="J1191" s="1" t="n">
        <v>21426</v>
      </c>
      <c r="K1191" s="1" t="n">
        <v>7894900014211</v>
      </c>
      <c r="L1191" s="1" t="s">
        <v>2309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5" t="n">
        <v>46185</v>
      </c>
      <c r="C1192" s="1" t="n">
        <v>11</v>
      </c>
      <c r="D1192" s="1" t="s">
        <v>2290</v>
      </c>
      <c r="E1192" s="1" t="n">
        <v>1705</v>
      </c>
      <c r="F1192" s="1" t="s">
        <v>122</v>
      </c>
      <c r="I1192" s="1" t="n">
        <v>1879107</v>
      </c>
      <c r="J1192" s="1" t="n">
        <v>27643</v>
      </c>
      <c r="K1192" s="1" t="n">
        <v>7894900031713</v>
      </c>
      <c r="L1192" s="1" t="s">
        <v>2881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5" t="n">
        <v>46185</v>
      </c>
      <c r="C1193" s="1" t="n">
        <v>11</v>
      </c>
      <c r="D1193" s="1" t="s">
        <v>2290</v>
      </c>
      <c r="E1193" s="1" t="n">
        <v>1705</v>
      </c>
      <c r="F1193" s="1" t="s">
        <v>122</v>
      </c>
      <c r="I1193" s="1" t="n">
        <v>1879107</v>
      </c>
      <c r="J1193" s="1" t="n">
        <v>27673</v>
      </c>
      <c r="K1193" s="1" t="n">
        <v>7894900701715</v>
      </c>
      <c r="L1193" s="1" t="s">
        <v>2882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5" t="n">
        <v>46185</v>
      </c>
      <c r="C1194" s="1" t="n">
        <v>11</v>
      </c>
      <c r="D1194" s="1" t="s">
        <v>2290</v>
      </c>
      <c r="E1194" s="1" t="n">
        <v>1705</v>
      </c>
      <c r="F1194" s="1" t="s">
        <v>122</v>
      </c>
      <c r="I1194" s="1" t="n">
        <v>1879107</v>
      </c>
      <c r="J1194" s="1" t="n">
        <v>28739</v>
      </c>
      <c r="K1194" s="1" t="n">
        <v>7894900027044</v>
      </c>
      <c r="L1194" s="1" t="s">
        <v>2883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5" t="n">
        <v>46185</v>
      </c>
      <c r="C1195" s="1" t="n">
        <v>11</v>
      </c>
      <c r="D1195" s="1" t="s">
        <v>2290</v>
      </c>
      <c r="E1195" s="1" t="n">
        <v>1705</v>
      </c>
      <c r="F1195" s="1" t="s">
        <v>122</v>
      </c>
      <c r="I1195" s="1" t="n">
        <v>1879107</v>
      </c>
      <c r="J1195" s="1" t="n">
        <v>31367</v>
      </c>
      <c r="K1195" s="1" t="n">
        <v>7894900704211</v>
      </c>
      <c r="L1195" s="1" t="s">
        <v>2310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5" t="n">
        <v>46185</v>
      </c>
      <c r="C1196" s="1" t="n">
        <v>11</v>
      </c>
      <c r="D1196" s="1" t="s">
        <v>2290</v>
      </c>
      <c r="E1196" s="1" t="n">
        <v>1705</v>
      </c>
      <c r="F1196" s="1" t="s">
        <v>122</v>
      </c>
      <c r="I1196" s="1" t="n">
        <v>1879107</v>
      </c>
      <c r="J1196" s="1" t="n">
        <v>34629</v>
      </c>
      <c r="K1196" s="1" t="n">
        <v>7894900027020</v>
      </c>
      <c r="L1196" s="1" t="s">
        <v>2313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5" t="n">
        <v>46185</v>
      </c>
      <c r="C1197" s="1" t="n">
        <v>11</v>
      </c>
      <c r="D1197" s="1" t="s">
        <v>2290</v>
      </c>
      <c r="E1197" s="1" t="n">
        <v>1705</v>
      </c>
      <c r="F1197" s="1" t="s">
        <v>122</v>
      </c>
      <c r="I1197" s="1" t="n">
        <v>1879107</v>
      </c>
      <c r="J1197" s="1" t="n">
        <v>37279</v>
      </c>
      <c r="K1197" s="1" t="n">
        <v>7894900027013</v>
      </c>
      <c r="L1197" s="1" t="s">
        <v>2305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5" t="n">
        <v>46185</v>
      </c>
      <c r="C1198" s="1" t="n">
        <v>11</v>
      </c>
      <c r="D1198" s="1" t="s">
        <v>2290</v>
      </c>
      <c r="E1198" s="1" t="n">
        <v>1705</v>
      </c>
      <c r="F1198" s="1" t="s">
        <v>122</v>
      </c>
      <c r="I1198" s="1" t="n">
        <v>1879107</v>
      </c>
      <c r="J1198" s="1" t="n">
        <v>38060</v>
      </c>
      <c r="K1198" s="1" t="n">
        <v>7894900701609</v>
      </c>
      <c r="L1198" s="1" t="s">
        <v>2884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5" t="n">
        <v>46185</v>
      </c>
      <c r="C1199" s="1" t="n">
        <v>11</v>
      </c>
      <c r="D1199" s="1" t="s">
        <v>2290</v>
      </c>
      <c r="E1199" s="1" t="n">
        <v>1705</v>
      </c>
      <c r="F1199" s="1" t="s">
        <v>122</v>
      </c>
      <c r="I1199" s="1" t="n">
        <v>1879107</v>
      </c>
      <c r="J1199" s="1" t="n">
        <v>38978</v>
      </c>
      <c r="K1199" s="1" t="n">
        <v>7894900034097</v>
      </c>
      <c r="L1199" s="1" t="s">
        <v>2314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5" t="n">
        <v>46185</v>
      </c>
      <c r="C1200" s="1" t="n">
        <v>11</v>
      </c>
      <c r="D1200" s="1" t="s">
        <v>2290</v>
      </c>
      <c r="E1200" s="1" t="n">
        <v>1705</v>
      </c>
      <c r="F1200" s="1" t="s">
        <v>122</v>
      </c>
      <c r="I1200" s="1" t="n">
        <v>1879107</v>
      </c>
      <c r="J1200" s="1" t="n">
        <v>38984</v>
      </c>
      <c r="K1200" s="1" t="n">
        <v>7894900027457</v>
      </c>
      <c r="L1200" s="1" t="s">
        <v>2315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5" t="n">
        <v>46186</v>
      </c>
      <c r="C1201" s="1" t="n">
        <v>1</v>
      </c>
      <c r="D1201" s="1" t="s">
        <v>2317</v>
      </c>
      <c r="E1201" s="1" t="n">
        <v>1038</v>
      </c>
      <c r="F1201" s="1" t="s">
        <v>133</v>
      </c>
      <c r="I1201" s="1" t="n">
        <v>5973</v>
      </c>
      <c r="J1201" s="1" t="n">
        <v>61580</v>
      </c>
      <c r="K1201" s="1" t="n">
        <v>2258157</v>
      </c>
      <c r="L1201" s="1" t="s">
        <v>2339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5" t="n">
        <v>46186</v>
      </c>
      <c r="C1202" s="1" t="n">
        <v>1</v>
      </c>
      <c r="D1202" s="1" t="s">
        <v>2317</v>
      </c>
      <c r="E1202" s="1" t="n">
        <v>1605</v>
      </c>
      <c r="F1202" s="1" t="s">
        <v>113</v>
      </c>
      <c r="I1202" s="1" t="n">
        <v>213923</v>
      </c>
      <c r="J1202" s="1" t="n">
        <v>10811</v>
      </c>
      <c r="K1202" s="1" t="n">
        <v>7891999941879</v>
      </c>
      <c r="L1202" s="1" t="s">
        <v>2370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5" t="n">
        <v>46186</v>
      </c>
      <c r="C1203" s="1" t="n">
        <v>1</v>
      </c>
      <c r="D1203" s="1" t="s">
        <v>2317</v>
      </c>
      <c r="E1203" s="1" t="n">
        <v>1605</v>
      </c>
      <c r="F1203" s="1" t="s">
        <v>113</v>
      </c>
      <c r="I1203" s="1" t="n">
        <v>213923</v>
      </c>
      <c r="J1203" s="1" t="n">
        <v>10812</v>
      </c>
      <c r="K1203" s="1" t="n">
        <v>7891999100047</v>
      </c>
      <c r="L1203" s="1" t="s">
        <v>2371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5" t="n">
        <v>46186</v>
      </c>
      <c r="C1204" s="1" t="n">
        <v>1</v>
      </c>
      <c r="D1204" s="1" t="s">
        <v>2317</v>
      </c>
      <c r="E1204" s="1" t="n">
        <v>1605</v>
      </c>
      <c r="F1204" s="1" t="s">
        <v>113</v>
      </c>
      <c r="I1204" s="1" t="n">
        <v>213923</v>
      </c>
      <c r="J1204" s="1" t="n">
        <v>11158</v>
      </c>
      <c r="K1204" s="1" t="n">
        <v>7891999340108</v>
      </c>
      <c r="L1204" s="1" t="s">
        <v>2372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5" t="n">
        <v>46186</v>
      </c>
      <c r="C1205" s="1" t="n">
        <v>1</v>
      </c>
      <c r="D1205" s="1" t="s">
        <v>2317</v>
      </c>
      <c r="E1205" s="1" t="n">
        <v>1605</v>
      </c>
      <c r="F1205" s="1" t="s">
        <v>113</v>
      </c>
      <c r="I1205" s="1" t="n">
        <v>213923</v>
      </c>
      <c r="J1205" s="1" t="n">
        <v>14222</v>
      </c>
      <c r="K1205" s="1" t="n">
        <v>7898080640536</v>
      </c>
      <c r="L1205" s="1" t="s">
        <v>2885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5" t="n">
        <v>46186</v>
      </c>
      <c r="C1206" s="1" t="n">
        <v>1</v>
      </c>
      <c r="D1206" s="1" t="s">
        <v>2317</v>
      </c>
      <c r="E1206" s="1" t="n">
        <v>1605</v>
      </c>
      <c r="F1206" s="1" t="s">
        <v>113</v>
      </c>
      <c r="I1206" s="1" t="n">
        <v>213923</v>
      </c>
      <c r="J1206" s="1" t="n">
        <v>15645</v>
      </c>
      <c r="K1206" s="1" t="n">
        <v>7891999948908</v>
      </c>
      <c r="L1206" s="1" t="s">
        <v>2886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5" t="n">
        <v>46186</v>
      </c>
      <c r="C1207" s="1" t="n">
        <v>1</v>
      </c>
      <c r="D1207" s="1" t="s">
        <v>2317</v>
      </c>
      <c r="E1207" s="1" t="n">
        <v>1605</v>
      </c>
      <c r="F1207" s="1" t="s">
        <v>113</v>
      </c>
      <c r="I1207" s="1" t="n">
        <v>213923</v>
      </c>
      <c r="J1207" s="1" t="n">
        <v>22026</v>
      </c>
      <c r="K1207" s="1" t="n">
        <v>7891999144485</v>
      </c>
      <c r="L1207" s="1" t="s">
        <v>2887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5" t="n">
        <v>46186</v>
      </c>
      <c r="C1208" s="1" t="n">
        <v>2</v>
      </c>
      <c r="D1208" s="1" t="s">
        <v>2283</v>
      </c>
      <c r="E1208" s="1" t="n">
        <v>42</v>
      </c>
      <c r="F1208" s="1" t="s">
        <v>80</v>
      </c>
      <c r="I1208" s="1" t="n">
        <v>130601</v>
      </c>
      <c r="J1208" s="1" t="n">
        <v>109791</v>
      </c>
      <c r="K1208" s="1" t="n">
        <v>9667</v>
      </c>
      <c r="L1208" s="1" t="s">
        <v>2284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5" t="n">
        <v>46186</v>
      </c>
      <c r="C1209" s="1" t="n">
        <v>2</v>
      </c>
      <c r="D1209" s="1" t="s">
        <v>2283</v>
      </c>
      <c r="E1209" s="1" t="n">
        <v>42</v>
      </c>
      <c r="F1209" s="1" t="s">
        <v>80</v>
      </c>
      <c r="I1209" s="1" t="n">
        <v>130601</v>
      </c>
      <c r="J1209" s="1" t="n">
        <v>37359</v>
      </c>
      <c r="K1209" s="1" t="n">
        <v>55526</v>
      </c>
      <c r="L1209" s="1" t="s">
        <v>2285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5" t="n">
        <v>46186</v>
      </c>
      <c r="C1210" s="1" t="n">
        <v>2</v>
      </c>
      <c r="D1210" s="1" t="s">
        <v>2283</v>
      </c>
      <c r="E1210" s="1" t="n">
        <v>42</v>
      </c>
      <c r="F1210" s="1" t="s">
        <v>80</v>
      </c>
      <c r="I1210" s="1" t="n">
        <v>130601</v>
      </c>
      <c r="J1210" s="1" t="n">
        <v>37361</v>
      </c>
      <c r="K1210" s="1" t="n">
        <v>2240817</v>
      </c>
      <c r="L1210" s="1" t="s">
        <v>2286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5" t="n">
        <v>46186</v>
      </c>
      <c r="C1211" s="1" t="n">
        <v>2</v>
      </c>
      <c r="D1211" s="1" t="s">
        <v>2283</v>
      </c>
      <c r="E1211" s="1" t="n">
        <v>42</v>
      </c>
      <c r="F1211" s="1" t="s">
        <v>80</v>
      </c>
      <c r="I1211" s="1" t="n">
        <v>130602</v>
      </c>
      <c r="J1211" s="1" t="n">
        <v>100103</v>
      </c>
      <c r="K1211" s="1" t="n">
        <v>104</v>
      </c>
      <c r="L1211" s="1" t="s">
        <v>2287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5" t="n">
        <v>46186</v>
      </c>
      <c r="C1212" s="1" t="n">
        <v>6</v>
      </c>
      <c r="D1212" s="1" t="s">
        <v>2289</v>
      </c>
      <c r="E1212" s="1" t="n">
        <v>42</v>
      </c>
      <c r="F1212" s="1" t="s">
        <v>80</v>
      </c>
      <c r="I1212" s="1" t="n">
        <v>4264</v>
      </c>
      <c r="J1212" s="1" t="n">
        <v>109791</v>
      </c>
      <c r="K1212" s="1" t="n">
        <v>9667</v>
      </c>
      <c r="L1212" s="1" t="s">
        <v>2284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5" t="n">
        <v>46186</v>
      </c>
      <c r="C1213" s="1" t="n">
        <v>6</v>
      </c>
      <c r="D1213" s="1" t="s">
        <v>2289</v>
      </c>
      <c r="E1213" s="1" t="n">
        <v>42</v>
      </c>
      <c r="F1213" s="1" t="s">
        <v>80</v>
      </c>
      <c r="I1213" s="1" t="n">
        <v>4264</v>
      </c>
      <c r="J1213" s="1" t="n">
        <v>37359</v>
      </c>
      <c r="K1213" s="1" t="n">
        <v>55526</v>
      </c>
      <c r="L1213" s="1" t="s">
        <v>2285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5" t="n">
        <v>46186</v>
      </c>
      <c r="C1214" s="1" t="n">
        <v>6</v>
      </c>
      <c r="D1214" s="1" t="s">
        <v>2289</v>
      </c>
      <c r="E1214" s="1" t="n">
        <v>42</v>
      </c>
      <c r="F1214" s="1" t="s">
        <v>80</v>
      </c>
      <c r="I1214" s="1" t="n">
        <v>4264</v>
      </c>
      <c r="J1214" s="1" t="n">
        <v>37361</v>
      </c>
      <c r="K1214" s="1" t="n">
        <v>2240817</v>
      </c>
      <c r="L1214" s="1" t="s">
        <v>2286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5" t="n">
        <v>46186</v>
      </c>
      <c r="C1215" s="1" t="n">
        <v>6</v>
      </c>
      <c r="D1215" s="1" t="s">
        <v>2289</v>
      </c>
      <c r="E1215" s="1" t="n">
        <v>42</v>
      </c>
      <c r="F1215" s="1" t="s">
        <v>80</v>
      </c>
      <c r="I1215" s="1" t="n">
        <v>4265</v>
      </c>
      <c r="J1215" s="1" t="n">
        <v>100103</v>
      </c>
      <c r="K1215" s="1" t="n">
        <v>104</v>
      </c>
      <c r="L1215" s="1" t="s">
        <v>2287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5" t="n">
        <v>46188</v>
      </c>
      <c r="C1216" s="1" t="n">
        <v>1</v>
      </c>
      <c r="D1216" s="1" t="s">
        <v>2317</v>
      </c>
      <c r="E1216" s="1" t="n">
        <v>642</v>
      </c>
      <c r="F1216" s="1" t="s">
        <v>135</v>
      </c>
      <c r="I1216" s="1" t="n">
        <v>497</v>
      </c>
      <c r="J1216" s="1" t="n">
        <v>71766</v>
      </c>
      <c r="K1216" s="1" t="n">
        <v>779180</v>
      </c>
      <c r="L1216" s="1" t="s">
        <v>2566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5" t="n">
        <v>46188</v>
      </c>
      <c r="C1217" s="1" t="n">
        <v>1</v>
      </c>
      <c r="D1217" s="1" t="s">
        <v>2317</v>
      </c>
      <c r="E1217" s="1" t="n">
        <v>10043</v>
      </c>
      <c r="F1217" s="1" t="s">
        <v>112</v>
      </c>
      <c r="I1217" s="1" t="n">
        <v>713</v>
      </c>
      <c r="J1217" s="1" t="n">
        <v>52096</v>
      </c>
      <c r="K1217" s="1" t="n">
        <v>144315</v>
      </c>
      <c r="L1217" s="1" t="s">
        <v>2318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5" t="n">
        <v>46188</v>
      </c>
      <c r="C1218" s="1" t="n">
        <v>1</v>
      </c>
      <c r="D1218" s="1" t="s">
        <v>2317</v>
      </c>
      <c r="E1218" s="1" t="n">
        <v>1720</v>
      </c>
      <c r="F1218" s="1" t="s">
        <v>985</v>
      </c>
      <c r="I1218" s="1" t="n">
        <v>47411</v>
      </c>
      <c r="J1218" s="1" t="n">
        <v>101473</v>
      </c>
      <c r="K1218" s="1" t="n">
        <v>7897277300017</v>
      </c>
      <c r="L1218" s="1" t="s">
        <v>2888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5" t="n">
        <v>46188</v>
      </c>
      <c r="C1219" s="1" t="n">
        <v>1</v>
      </c>
      <c r="D1219" s="1" t="s">
        <v>2317</v>
      </c>
      <c r="E1219" s="1" t="n">
        <v>1720</v>
      </c>
      <c r="F1219" s="1" t="s">
        <v>985</v>
      </c>
      <c r="I1219" s="1" t="n">
        <v>47411</v>
      </c>
      <c r="J1219" s="1" t="n">
        <v>105167</v>
      </c>
      <c r="K1219" s="1" t="n">
        <v>7897277300390</v>
      </c>
      <c r="L1219" s="1" t="s">
        <v>2889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5" t="n">
        <v>46188</v>
      </c>
      <c r="C1220" s="1" t="n">
        <v>1</v>
      </c>
      <c r="D1220" s="1" t="s">
        <v>2317</v>
      </c>
      <c r="E1220" s="1" t="n">
        <v>1720</v>
      </c>
      <c r="F1220" s="1" t="s">
        <v>985</v>
      </c>
      <c r="I1220" s="1" t="n">
        <v>47411</v>
      </c>
      <c r="J1220" s="1" t="n">
        <v>108038</v>
      </c>
      <c r="K1220" s="1" t="n">
        <v>7897277300123</v>
      </c>
      <c r="L1220" s="1" t="s">
        <v>2890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5" t="n">
        <v>46188</v>
      </c>
      <c r="C1221" s="1" t="n">
        <v>1</v>
      </c>
      <c r="D1221" s="1" t="s">
        <v>2317</v>
      </c>
      <c r="E1221" s="1" t="n">
        <v>1720</v>
      </c>
      <c r="F1221" s="1" t="s">
        <v>985</v>
      </c>
      <c r="I1221" s="1" t="n">
        <v>47411</v>
      </c>
      <c r="J1221" s="1" t="n">
        <v>108048</v>
      </c>
      <c r="K1221" s="1" t="n">
        <v>7897277300031</v>
      </c>
      <c r="L1221" s="1" t="s">
        <v>2891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5" t="n">
        <v>46188</v>
      </c>
      <c r="C1222" s="1" t="n">
        <v>1</v>
      </c>
      <c r="D1222" s="1" t="s">
        <v>2317</v>
      </c>
      <c r="E1222" s="1" t="n">
        <v>1720</v>
      </c>
      <c r="F1222" s="1" t="s">
        <v>985</v>
      </c>
      <c r="I1222" s="1" t="n">
        <v>47411</v>
      </c>
      <c r="J1222" s="1" t="n">
        <v>21553</v>
      </c>
      <c r="K1222" s="1" t="n">
        <v>7897277300970</v>
      </c>
      <c r="L1222" s="1" t="s">
        <v>2892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5" t="n">
        <v>46188</v>
      </c>
      <c r="C1223" s="1" t="n">
        <v>1</v>
      </c>
      <c r="D1223" s="1" t="s">
        <v>2317</v>
      </c>
      <c r="E1223" s="1" t="n">
        <v>1720</v>
      </c>
      <c r="F1223" s="1" t="s">
        <v>985</v>
      </c>
      <c r="I1223" s="1" t="n">
        <v>47411</v>
      </c>
      <c r="J1223" s="1" t="n">
        <v>55703</v>
      </c>
      <c r="K1223" s="1" t="n">
        <v>7897277300024</v>
      </c>
      <c r="L1223" s="1" t="s">
        <v>2893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5" t="n">
        <v>46188</v>
      </c>
      <c r="C1224" s="1" t="n">
        <v>1</v>
      </c>
      <c r="D1224" s="1" t="s">
        <v>2317</v>
      </c>
      <c r="E1224" s="1" t="n">
        <v>1720</v>
      </c>
      <c r="F1224" s="1" t="s">
        <v>985</v>
      </c>
      <c r="I1224" s="1" t="n">
        <v>47411</v>
      </c>
      <c r="J1224" s="1" t="n">
        <v>80216</v>
      </c>
      <c r="K1224" s="1" t="n">
        <v>802178</v>
      </c>
      <c r="L1224" s="1" t="s">
        <v>2894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5" t="n">
        <v>46188</v>
      </c>
      <c r="C1225" s="1" t="n">
        <v>1</v>
      </c>
      <c r="D1225" s="1" t="s">
        <v>2317</v>
      </c>
      <c r="E1225" s="1" t="n">
        <v>1720</v>
      </c>
      <c r="F1225" s="1" t="s">
        <v>985</v>
      </c>
      <c r="I1225" s="1" t="n">
        <v>47411</v>
      </c>
      <c r="J1225" s="1" t="n">
        <v>80224</v>
      </c>
      <c r="K1225" s="1" t="n">
        <v>802253</v>
      </c>
      <c r="L1225" s="1" t="s">
        <v>2895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5" t="n">
        <v>46188</v>
      </c>
      <c r="C1226" s="1" t="n">
        <v>1</v>
      </c>
      <c r="D1226" s="1" t="s">
        <v>2317</v>
      </c>
      <c r="E1226" s="1" t="n">
        <v>1621</v>
      </c>
      <c r="F1226" s="1" t="s">
        <v>306</v>
      </c>
      <c r="I1226" s="1" t="n">
        <v>855981</v>
      </c>
      <c r="J1226" s="1" t="n">
        <v>103131</v>
      </c>
      <c r="K1226" s="1" t="n">
        <v>7891991001359</v>
      </c>
      <c r="L1226" s="1" t="s">
        <v>2896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5" t="n">
        <v>46188</v>
      </c>
      <c r="C1227" s="1" t="n">
        <v>1</v>
      </c>
      <c r="D1227" s="1" t="s">
        <v>2317</v>
      </c>
      <c r="E1227" s="1" t="n">
        <v>1621</v>
      </c>
      <c r="F1227" s="1" t="s">
        <v>306</v>
      </c>
      <c r="I1227" s="1" t="n">
        <v>855981</v>
      </c>
      <c r="J1227" s="1" t="n">
        <v>103132</v>
      </c>
      <c r="K1227" s="1" t="n">
        <v>7892840800000</v>
      </c>
      <c r="L1227" s="1" t="s">
        <v>2536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5" t="n">
        <v>46188</v>
      </c>
      <c r="C1228" s="1" t="n">
        <v>1</v>
      </c>
      <c r="D1228" s="1" t="s">
        <v>2317</v>
      </c>
      <c r="E1228" s="1" t="n">
        <v>1621</v>
      </c>
      <c r="F1228" s="1" t="s">
        <v>306</v>
      </c>
      <c r="I1228" s="1" t="n">
        <v>855981</v>
      </c>
      <c r="J1228" s="1" t="n">
        <v>103133</v>
      </c>
      <c r="K1228" s="1" t="n">
        <v>7891991001373</v>
      </c>
      <c r="L1228" s="1" t="s">
        <v>2897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5" t="n">
        <v>46188</v>
      </c>
      <c r="C1229" s="1" t="n">
        <v>1</v>
      </c>
      <c r="D1229" s="1" t="s">
        <v>2317</v>
      </c>
      <c r="E1229" s="1" t="n">
        <v>1621</v>
      </c>
      <c r="F1229" s="1" t="s">
        <v>306</v>
      </c>
      <c r="I1229" s="1" t="n">
        <v>855981</v>
      </c>
      <c r="J1229" s="1" t="n">
        <v>103792</v>
      </c>
      <c r="K1229" s="1" t="n">
        <v>7891149010509</v>
      </c>
      <c r="L1229" s="1" t="s">
        <v>2898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5" t="n">
        <v>46188</v>
      </c>
      <c r="C1230" s="1" t="n">
        <v>1</v>
      </c>
      <c r="D1230" s="1" t="s">
        <v>2317</v>
      </c>
      <c r="E1230" s="1" t="n">
        <v>1621</v>
      </c>
      <c r="F1230" s="1" t="s">
        <v>306</v>
      </c>
      <c r="I1230" s="1" t="n">
        <v>855981</v>
      </c>
      <c r="J1230" s="1" t="n">
        <v>103936</v>
      </c>
      <c r="K1230" s="1" t="n">
        <v>7891991001342</v>
      </c>
      <c r="L1230" s="1" t="s">
        <v>2899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5" t="n">
        <v>46188</v>
      </c>
      <c r="C1231" s="1" t="n">
        <v>1</v>
      </c>
      <c r="D1231" s="1" t="s">
        <v>2317</v>
      </c>
      <c r="E1231" s="1" t="n">
        <v>1621</v>
      </c>
      <c r="F1231" s="1" t="s">
        <v>306</v>
      </c>
      <c r="I1231" s="1" t="n">
        <v>855981</v>
      </c>
      <c r="J1231" s="1" t="n">
        <v>103943</v>
      </c>
      <c r="K1231" s="1" t="n">
        <v>7891149200504</v>
      </c>
      <c r="L1231" s="1" t="s">
        <v>2900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5" t="n">
        <v>46188</v>
      </c>
      <c r="C1232" s="1" t="n">
        <v>1</v>
      </c>
      <c r="D1232" s="1" t="s">
        <v>2317</v>
      </c>
      <c r="E1232" s="1" t="n">
        <v>1621</v>
      </c>
      <c r="F1232" s="1" t="s">
        <v>306</v>
      </c>
      <c r="I1232" s="1" t="n">
        <v>855981</v>
      </c>
      <c r="J1232" s="1" t="n">
        <v>16185</v>
      </c>
      <c r="K1232" s="1" t="n">
        <v>7891149103102</v>
      </c>
      <c r="L1232" s="1" t="s">
        <v>2542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5" t="n">
        <v>46188</v>
      </c>
      <c r="C1233" s="1" t="n">
        <v>1</v>
      </c>
      <c r="D1233" s="1" t="s">
        <v>2317</v>
      </c>
      <c r="E1233" s="1" t="n">
        <v>1621</v>
      </c>
      <c r="F1233" s="1" t="s">
        <v>306</v>
      </c>
      <c r="I1233" s="1" t="n">
        <v>855981</v>
      </c>
      <c r="J1233" s="1" t="n">
        <v>16653</v>
      </c>
      <c r="K1233" s="1" t="n">
        <v>7891149103065</v>
      </c>
      <c r="L1233" s="1" t="s">
        <v>2901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5" t="n">
        <v>46188</v>
      </c>
      <c r="C1234" s="1" t="n">
        <v>1</v>
      </c>
      <c r="D1234" s="1" t="s">
        <v>2317</v>
      </c>
      <c r="E1234" s="1" t="n">
        <v>1621</v>
      </c>
      <c r="F1234" s="1" t="s">
        <v>306</v>
      </c>
      <c r="I1234" s="1" t="n">
        <v>855981</v>
      </c>
      <c r="J1234" s="1" t="n">
        <v>24129</v>
      </c>
      <c r="K1234" s="1" t="n">
        <v>7891991011877</v>
      </c>
      <c r="L1234" s="1" t="s">
        <v>2545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5" t="n">
        <v>46188</v>
      </c>
      <c r="C1235" s="1" t="n">
        <v>1</v>
      </c>
      <c r="D1235" s="1" t="s">
        <v>2317</v>
      </c>
      <c r="E1235" s="1" t="n">
        <v>1621</v>
      </c>
      <c r="F1235" s="1" t="s">
        <v>306</v>
      </c>
      <c r="I1235" s="1" t="n">
        <v>855981</v>
      </c>
      <c r="J1235" s="1" t="n">
        <v>26391</v>
      </c>
      <c r="K1235" s="1" t="n">
        <v>7891991010061</v>
      </c>
      <c r="L1235" s="1" t="s">
        <v>2902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5" t="n">
        <v>46188</v>
      </c>
      <c r="C1236" s="1" t="n">
        <v>1</v>
      </c>
      <c r="D1236" s="1" t="s">
        <v>2317</v>
      </c>
      <c r="E1236" s="1" t="n">
        <v>1621</v>
      </c>
      <c r="F1236" s="1" t="s">
        <v>306</v>
      </c>
      <c r="I1236" s="1" t="n">
        <v>855981</v>
      </c>
      <c r="J1236" s="1" t="n">
        <v>28304</v>
      </c>
      <c r="K1236" s="1" t="n">
        <v>7891991014762</v>
      </c>
      <c r="L1236" s="1" t="s">
        <v>2903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5" t="n">
        <v>46188</v>
      </c>
      <c r="C1237" s="1" t="n">
        <v>1</v>
      </c>
      <c r="D1237" s="1" t="s">
        <v>2317</v>
      </c>
      <c r="E1237" s="1" t="n">
        <v>1621</v>
      </c>
      <c r="F1237" s="1" t="s">
        <v>306</v>
      </c>
      <c r="I1237" s="1" t="n">
        <v>855981</v>
      </c>
      <c r="J1237" s="1" t="n">
        <v>31030</v>
      </c>
      <c r="K1237" s="1" t="n">
        <v>7891991014090</v>
      </c>
      <c r="L1237" s="1" t="s">
        <v>2904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5" t="n">
        <v>46188</v>
      </c>
      <c r="C1238" s="1" t="n">
        <v>1</v>
      </c>
      <c r="D1238" s="1" t="s">
        <v>2317</v>
      </c>
      <c r="E1238" s="1" t="n">
        <v>1621</v>
      </c>
      <c r="F1238" s="1" t="s">
        <v>306</v>
      </c>
      <c r="I1238" s="1" t="n">
        <v>855981</v>
      </c>
      <c r="J1238" s="1" t="n">
        <v>31032</v>
      </c>
      <c r="K1238" s="1" t="n">
        <v>7891991002561</v>
      </c>
      <c r="L1238" s="1" t="s">
        <v>2547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5" t="n">
        <v>46188</v>
      </c>
      <c r="C1239" s="1" t="n">
        <v>1</v>
      </c>
      <c r="D1239" s="1" t="s">
        <v>2317</v>
      </c>
      <c r="E1239" s="1" t="n">
        <v>1621</v>
      </c>
      <c r="F1239" s="1" t="s">
        <v>306</v>
      </c>
      <c r="I1239" s="1" t="n">
        <v>855981</v>
      </c>
      <c r="J1239" s="1" t="n">
        <v>32100</v>
      </c>
      <c r="K1239" s="1" t="n">
        <v>7891991015493</v>
      </c>
      <c r="L1239" s="1" t="s">
        <v>2905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5" t="n">
        <v>46188</v>
      </c>
      <c r="C1240" s="1" t="n">
        <v>1</v>
      </c>
      <c r="D1240" s="1" t="s">
        <v>2317</v>
      </c>
      <c r="E1240" s="1" t="n">
        <v>1621</v>
      </c>
      <c r="F1240" s="1" t="s">
        <v>306</v>
      </c>
      <c r="I1240" s="1" t="n">
        <v>855981</v>
      </c>
      <c r="J1240" s="1" t="n">
        <v>33355</v>
      </c>
      <c r="K1240" s="1" t="n">
        <v>7891991010177</v>
      </c>
      <c r="L1240" s="1" t="s">
        <v>2906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5" t="n">
        <v>46188</v>
      </c>
      <c r="C1241" s="1" t="n">
        <v>1</v>
      </c>
      <c r="D1241" s="1" t="s">
        <v>2317</v>
      </c>
      <c r="E1241" s="1" t="n">
        <v>1621</v>
      </c>
      <c r="F1241" s="1" t="s">
        <v>306</v>
      </c>
      <c r="I1241" s="1" t="n">
        <v>855981</v>
      </c>
      <c r="J1241" s="1" t="n">
        <v>33537</v>
      </c>
      <c r="K1241" s="1" t="n">
        <v>7891991294942</v>
      </c>
      <c r="L1241" s="1" t="s">
        <v>2907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5" t="n">
        <v>46188</v>
      </c>
      <c r="C1242" s="1" t="n">
        <v>1</v>
      </c>
      <c r="D1242" s="1" t="s">
        <v>2317</v>
      </c>
      <c r="E1242" s="1" t="n">
        <v>1621</v>
      </c>
      <c r="F1242" s="1" t="s">
        <v>306</v>
      </c>
      <c r="I1242" s="1" t="n">
        <v>855981</v>
      </c>
      <c r="J1242" s="1" t="n">
        <v>38561</v>
      </c>
      <c r="K1242" s="1" t="n">
        <v>7891991295086</v>
      </c>
      <c r="L1242" s="1" t="s">
        <v>2908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5" t="n">
        <v>46188</v>
      </c>
      <c r="C1243" s="1" t="n">
        <v>1</v>
      </c>
      <c r="D1243" s="1" t="s">
        <v>2317</v>
      </c>
      <c r="E1243" s="1" t="n">
        <v>1621</v>
      </c>
      <c r="F1243" s="1" t="s">
        <v>306</v>
      </c>
      <c r="I1243" s="1" t="n">
        <v>855981</v>
      </c>
      <c r="J1243" s="1" t="n">
        <v>46066</v>
      </c>
      <c r="K1243" s="1" t="n">
        <v>7891991295277</v>
      </c>
      <c r="L1243" s="1" t="s">
        <v>2909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5" t="n">
        <v>46188</v>
      </c>
      <c r="C1244" s="1" t="n">
        <v>1</v>
      </c>
      <c r="D1244" s="1" t="s">
        <v>2317</v>
      </c>
      <c r="E1244" s="1" t="n">
        <v>1621</v>
      </c>
      <c r="F1244" s="1" t="s">
        <v>306</v>
      </c>
      <c r="I1244" s="1" t="n">
        <v>855981</v>
      </c>
      <c r="J1244" s="1" t="n">
        <v>48553</v>
      </c>
      <c r="K1244" s="1" t="n">
        <v>7892840813444</v>
      </c>
      <c r="L1244" s="1" t="s">
        <v>2550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5" t="n">
        <v>46188</v>
      </c>
      <c r="C1245" s="1" t="n">
        <v>1</v>
      </c>
      <c r="D1245" s="1" t="s">
        <v>2317</v>
      </c>
      <c r="E1245" s="1" t="n">
        <v>1621</v>
      </c>
      <c r="F1245" s="1" t="s">
        <v>306</v>
      </c>
      <c r="I1245" s="1" t="n">
        <v>855981</v>
      </c>
      <c r="J1245" s="1" t="n">
        <v>51810</v>
      </c>
      <c r="K1245" s="1" t="n">
        <v>7891991010900</v>
      </c>
      <c r="L1245" s="1" t="s">
        <v>2910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5" t="n">
        <v>46188</v>
      </c>
      <c r="C1246" s="1" t="n">
        <v>1</v>
      </c>
      <c r="D1246" s="1" t="s">
        <v>2317</v>
      </c>
      <c r="E1246" s="1" t="n">
        <v>1621</v>
      </c>
      <c r="F1246" s="1" t="s">
        <v>306</v>
      </c>
      <c r="I1246" s="1" t="n">
        <v>855981</v>
      </c>
      <c r="J1246" s="1" t="n">
        <v>55510</v>
      </c>
      <c r="K1246" s="1" t="n">
        <v>7891991303347</v>
      </c>
      <c r="L1246" s="1" t="s">
        <v>2911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5" t="n">
        <v>46188</v>
      </c>
      <c r="C1247" s="1" t="n">
        <v>1</v>
      </c>
      <c r="D1247" s="1" t="s">
        <v>2317</v>
      </c>
      <c r="E1247" s="1" t="n">
        <v>1621</v>
      </c>
      <c r="F1247" s="1" t="s">
        <v>306</v>
      </c>
      <c r="I1247" s="1" t="n">
        <v>855981</v>
      </c>
      <c r="J1247" s="1" t="n">
        <v>57246</v>
      </c>
      <c r="K1247" s="1" t="n">
        <v>7892840800406</v>
      </c>
      <c r="L1247" s="1" t="s">
        <v>2912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5" t="n">
        <v>46188</v>
      </c>
      <c r="C1248" s="1" t="n">
        <v>1</v>
      </c>
      <c r="D1248" s="1" t="s">
        <v>2317</v>
      </c>
      <c r="E1248" s="1" t="n">
        <v>1621</v>
      </c>
      <c r="F1248" s="1" t="s">
        <v>306</v>
      </c>
      <c r="I1248" s="1" t="n">
        <v>855981</v>
      </c>
      <c r="J1248" s="1" t="n">
        <v>64674</v>
      </c>
      <c r="K1248" s="1" t="n">
        <v>7891991304870</v>
      </c>
      <c r="L1248" s="1" t="s">
        <v>2913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5" t="n">
        <v>46188</v>
      </c>
      <c r="C1249" s="1" t="n">
        <v>1</v>
      </c>
      <c r="D1249" s="1" t="s">
        <v>2317</v>
      </c>
      <c r="E1249" s="1" t="n">
        <v>1621</v>
      </c>
      <c r="F1249" s="1" t="s">
        <v>306</v>
      </c>
      <c r="I1249" s="1" t="n">
        <v>855981</v>
      </c>
      <c r="J1249" s="1" t="n">
        <v>78063</v>
      </c>
      <c r="K1249" s="1" t="n">
        <v>7891149108718</v>
      </c>
      <c r="L1249" s="1" t="s">
        <v>2914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5" t="n">
        <v>46188</v>
      </c>
      <c r="C1250" s="1" t="n">
        <v>1</v>
      </c>
      <c r="D1250" s="1" t="s">
        <v>2317</v>
      </c>
      <c r="E1250" s="1" t="n">
        <v>10009</v>
      </c>
      <c r="F1250" s="1" t="s">
        <v>373</v>
      </c>
      <c r="I1250" s="1" t="n">
        <v>1415342</v>
      </c>
      <c r="J1250" s="1" t="n">
        <v>100436</v>
      </c>
      <c r="K1250" s="1" t="n">
        <v>307</v>
      </c>
      <c r="L1250" s="1" t="s">
        <v>2915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5" t="n">
        <v>46188</v>
      </c>
      <c r="C1251" s="1" t="n">
        <v>1</v>
      </c>
      <c r="D1251" s="1" t="s">
        <v>2317</v>
      </c>
      <c r="E1251" s="1" t="n">
        <v>10009</v>
      </c>
      <c r="F1251" s="1" t="s">
        <v>373</v>
      </c>
      <c r="I1251" s="1" t="n">
        <v>1415342</v>
      </c>
      <c r="J1251" s="1" t="n">
        <v>107341</v>
      </c>
      <c r="K1251" s="1" t="n">
        <v>7896015605193</v>
      </c>
      <c r="L1251" s="1" t="s">
        <v>2916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5" t="n">
        <v>46188</v>
      </c>
      <c r="C1252" s="1" t="n">
        <v>2</v>
      </c>
      <c r="D1252" s="1" t="s">
        <v>2283</v>
      </c>
      <c r="E1252" s="1" t="n">
        <v>42</v>
      </c>
      <c r="F1252" s="1" t="s">
        <v>80</v>
      </c>
      <c r="I1252" s="1" t="n">
        <v>150601</v>
      </c>
      <c r="J1252" s="1" t="n">
        <v>27510</v>
      </c>
      <c r="K1252" s="1" t="n">
        <v>7898306020241</v>
      </c>
      <c r="L1252" s="1" t="s">
        <v>2917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5" t="n">
        <v>46188</v>
      </c>
      <c r="C1253" s="1" t="n">
        <v>2</v>
      </c>
      <c r="D1253" s="1" t="s">
        <v>2283</v>
      </c>
      <c r="E1253" s="1" t="n">
        <v>42</v>
      </c>
      <c r="F1253" s="1" t="s">
        <v>80</v>
      </c>
      <c r="I1253" s="1" t="n">
        <v>150601</v>
      </c>
      <c r="J1253" s="1" t="n">
        <v>52668</v>
      </c>
      <c r="K1253" s="1" t="n">
        <v>7898306020036</v>
      </c>
      <c r="L1253" s="1" t="s">
        <v>2918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5" t="n">
        <v>46188</v>
      </c>
      <c r="C1254" s="1" t="n">
        <v>2</v>
      </c>
      <c r="D1254" s="1" t="s">
        <v>2283</v>
      </c>
      <c r="E1254" s="1" t="n">
        <v>42</v>
      </c>
      <c r="F1254" s="1" t="s">
        <v>80</v>
      </c>
      <c r="I1254" s="1" t="n">
        <v>150601</v>
      </c>
      <c r="J1254" s="1" t="n">
        <v>74674</v>
      </c>
      <c r="K1254" s="1" t="n">
        <v>741</v>
      </c>
      <c r="L1254" s="1" t="s">
        <v>2919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5" t="n">
        <v>46188</v>
      </c>
      <c r="C1255" s="1" t="n">
        <v>2</v>
      </c>
      <c r="D1255" s="1" t="s">
        <v>2283</v>
      </c>
      <c r="E1255" s="1" t="n">
        <v>42</v>
      </c>
      <c r="F1255" s="1" t="s">
        <v>80</v>
      </c>
      <c r="I1255" s="1" t="n">
        <v>150601</v>
      </c>
      <c r="J1255" s="1" t="n">
        <v>75374</v>
      </c>
      <c r="K1255" s="1" t="n">
        <v>7898996471521</v>
      </c>
      <c r="L1255" s="1" t="s">
        <v>2920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5" t="n">
        <v>46188</v>
      </c>
      <c r="C1256" s="1" t="n">
        <v>2</v>
      </c>
      <c r="D1256" s="1" t="s">
        <v>2283</v>
      </c>
      <c r="E1256" s="1" t="n">
        <v>42</v>
      </c>
      <c r="F1256" s="1" t="s">
        <v>80</v>
      </c>
      <c r="I1256" s="1" t="n">
        <v>150602</v>
      </c>
      <c r="J1256" s="1" t="n">
        <v>72679</v>
      </c>
      <c r="K1256" s="1" t="n">
        <v>246</v>
      </c>
      <c r="L1256" s="1" t="s">
        <v>2288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5" t="n">
        <v>46188</v>
      </c>
      <c r="C1257" s="1" t="n">
        <v>6</v>
      </c>
      <c r="D1257" s="1" t="s">
        <v>2289</v>
      </c>
      <c r="E1257" s="1" t="n">
        <v>42</v>
      </c>
      <c r="F1257" s="1" t="s">
        <v>80</v>
      </c>
      <c r="I1257" s="1" t="n">
        <v>4266</v>
      </c>
      <c r="J1257" s="1" t="n">
        <v>27510</v>
      </c>
      <c r="K1257" s="1" t="n">
        <v>7898306020241</v>
      </c>
      <c r="L1257" s="1" t="s">
        <v>2917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5" t="n">
        <v>46188</v>
      </c>
      <c r="C1258" s="1" t="n">
        <v>6</v>
      </c>
      <c r="D1258" s="1" t="s">
        <v>2289</v>
      </c>
      <c r="E1258" s="1" t="n">
        <v>42</v>
      </c>
      <c r="F1258" s="1" t="s">
        <v>80</v>
      </c>
      <c r="I1258" s="1" t="n">
        <v>4266</v>
      </c>
      <c r="J1258" s="1" t="n">
        <v>52668</v>
      </c>
      <c r="K1258" s="1" t="n">
        <v>7898306020036</v>
      </c>
      <c r="L1258" s="1" t="s">
        <v>2918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5" t="n">
        <v>46188</v>
      </c>
      <c r="C1259" s="1" t="n">
        <v>6</v>
      </c>
      <c r="D1259" s="1" t="s">
        <v>2289</v>
      </c>
      <c r="E1259" s="1" t="n">
        <v>42</v>
      </c>
      <c r="F1259" s="1" t="s">
        <v>80</v>
      </c>
      <c r="I1259" s="1" t="n">
        <v>4266</v>
      </c>
      <c r="J1259" s="1" t="n">
        <v>74674</v>
      </c>
      <c r="K1259" s="1" t="n">
        <v>741</v>
      </c>
      <c r="L1259" s="1" t="s">
        <v>2919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5" t="n">
        <v>46188</v>
      </c>
      <c r="C1260" s="1" t="n">
        <v>6</v>
      </c>
      <c r="D1260" s="1" t="s">
        <v>2289</v>
      </c>
      <c r="E1260" s="1" t="n">
        <v>42</v>
      </c>
      <c r="F1260" s="1" t="s">
        <v>80</v>
      </c>
      <c r="I1260" s="1" t="n">
        <v>4266</v>
      </c>
      <c r="J1260" s="1" t="n">
        <v>75374</v>
      </c>
      <c r="K1260" s="1" t="n">
        <v>7898996471521</v>
      </c>
      <c r="L1260" s="1" t="s">
        <v>2920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5" t="n">
        <v>46188</v>
      </c>
      <c r="C1261" s="1" t="n">
        <v>6</v>
      </c>
      <c r="D1261" s="1" t="s">
        <v>2289</v>
      </c>
      <c r="E1261" s="1" t="n">
        <v>42</v>
      </c>
      <c r="F1261" s="1" t="s">
        <v>80</v>
      </c>
      <c r="I1261" s="1" t="n">
        <v>4267</v>
      </c>
      <c r="J1261" s="1" t="n">
        <v>72679</v>
      </c>
      <c r="K1261" s="1" t="n">
        <v>246</v>
      </c>
      <c r="L1261" s="1" t="s">
        <v>2288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5" t="n">
        <v>46188</v>
      </c>
      <c r="C1262" s="1" t="n">
        <v>11</v>
      </c>
      <c r="D1262" s="1" t="s">
        <v>2290</v>
      </c>
      <c r="E1262" s="1" t="n">
        <v>1804</v>
      </c>
      <c r="F1262" s="1" t="s">
        <v>699</v>
      </c>
      <c r="I1262" s="1" t="n">
        <v>25331</v>
      </c>
      <c r="J1262" s="1" t="n">
        <v>40398</v>
      </c>
      <c r="K1262" s="1" t="n">
        <v>7898906717244</v>
      </c>
      <c r="L1262" s="1" t="s">
        <v>2921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5" t="n">
        <v>46188</v>
      </c>
      <c r="C1263" s="1" t="n">
        <v>11</v>
      </c>
      <c r="D1263" s="1" t="s">
        <v>2290</v>
      </c>
      <c r="E1263" s="1" t="n">
        <v>1804</v>
      </c>
      <c r="F1263" s="1" t="s">
        <v>699</v>
      </c>
      <c r="I1263" s="1" t="n">
        <v>25331</v>
      </c>
      <c r="J1263" s="1" t="n">
        <v>64466</v>
      </c>
      <c r="K1263" s="1" t="n">
        <v>7908435500900</v>
      </c>
      <c r="L1263" s="1" t="s">
        <v>2922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5" t="n">
        <v>46188</v>
      </c>
      <c r="C1264" s="1" t="n">
        <v>11</v>
      </c>
      <c r="D1264" s="1" t="s">
        <v>2290</v>
      </c>
      <c r="E1264" s="1" t="n">
        <v>1804</v>
      </c>
      <c r="F1264" s="1" t="s">
        <v>699</v>
      </c>
      <c r="I1264" s="1" t="n">
        <v>25331</v>
      </c>
      <c r="J1264" s="1" t="n">
        <v>64768</v>
      </c>
      <c r="K1264" s="1" t="n">
        <v>7908435500917</v>
      </c>
      <c r="L1264" s="1" t="s">
        <v>2922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5" t="n">
        <v>46188</v>
      </c>
      <c r="C1265" s="1" t="n">
        <v>11</v>
      </c>
      <c r="D1265" s="1" t="s">
        <v>2290</v>
      </c>
      <c r="E1265" s="1" t="n">
        <v>1804</v>
      </c>
      <c r="F1265" s="1" t="s">
        <v>699</v>
      </c>
      <c r="I1265" s="1" t="n">
        <v>25331</v>
      </c>
      <c r="J1265" s="1" t="n">
        <v>71881</v>
      </c>
      <c r="K1265" s="1" t="n">
        <v>7891340365668</v>
      </c>
      <c r="L1265" s="1" t="s">
        <v>2923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5" t="n">
        <v>46188</v>
      </c>
      <c r="C1266" s="1" t="n">
        <v>11</v>
      </c>
      <c r="D1266" s="1" t="s">
        <v>2290</v>
      </c>
      <c r="E1266" s="1" t="n">
        <v>1804</v>
      </c>
      <c r="F1266" s="1" t="s">
        <v>699</v>
      </c>
      <c r="I1266" s="1" t="n">
        <v>25331</v>
      </c>
      <c r="J1266" s="1" t="n">
        <v>79315</v>
      </c>
      <c r="K1266" s="1" t="n">
        <v>7891340365903</v>
      </c>
      <c r="L1266" s="1" t="s">
        <v>2924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5" t="n">
        <v>46188</v>
      </c>
      <c r="C1267" s="1" t="n">
        <v>11</v>
      </c>
      <c r="D1267" s="1" t="s">
        <v>2290</v>
      </c>
      <c r="E1267" s="1" t="n">
        <v>1804</v>
      </c>
      <c r="F1267" s="1" t="s">
        <v>699</v>
      </c>
      <c r="I1267" s="1" t="n">
        <v>25331</v>
      </c>
      <c r="J1267" s="1" t="n">
        <v>79316</v>
      </c>
      <c r="K1267" s="1" t="n">
        <v>7891340365880</v>
      </c>
      <c r="L1267" s="1" t="s">
        <v>2925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5" t="n">
        <v>46188</v>
      </c>
      <c r="C1268" s="1" t="n">
        <v>11</v>
      </c>
      <c r="D1268" s="1" t="s">
        <v>2290</v>
      </c>
      <c r="E1268" s="1" t="n">
        <v>1804</v>
      </c>
      <c r="F1268" s="1" t="s">
        <v>699</v>
      </c>
      <c r="I1268" s="1" t="n">
        <v>25331</v>
      </c>
      <c r="J1268" s="1" t="n">
        <v>81375</v>
      </c>
      <c r="K1268" s="1" t="n">
        <v>7893515617312</v>
      </c>
      <c r="L1268" s="1" t="s">
        <v>2926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5" t="n">
        <v>46188</v>
      </c>
      <c r="C1269" s="1" t="n">
        <v>11</v>
      </c>
      <c r="D1269" s="1" t="s">
        <v>2290</v>
      </c>
      <c r="E1269" s="1" t="n">
        <v>1804</v>
      </c>
      <c r="F1269" s="1" t="s">
        <v>699</v>
      </c>
      <c r="I1269" s="1" t="n">
        <v>25331</v>
      </c>
      <c r="J1269" s="1" t="n">
        <v>81376</v>
      </c>
      <c r="K1269" s="1" t="n">
        <v>7893515617305</v>
      </c>
      <c r="L1269" s="1" t="s">
        <v>2927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5" t="n">
        <v>46188</v>
      </c>
      <c r="C1270" s="1" t="n">
        <v>11</v>
      </c>
      <c r="D1270" s="1" t="s">
        <v>2290</v>
      </c>
      <c r="E1270" s="1" t="n">
        <v>1804</v>
      </c>
      <c r="F1270" s="1" t="s">
        <v>699</v>
      </c>
      <c r="I1270" s="1" t="n">
        <v>25331</v>
      </c>
      <c r="J1270" s="1" t="n">
        <v>81377</v>
      </c>
      <c r="K1270" s="1" t="n">
        <v>7893515617329</v>
      </c>
      <c r="L1270" s="1" t="s">
        <v>2928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5" t="n">
        <v>46188</v>
      </c>
      <c r="C1271" s="1" t="n">
        <v>11</v>
      </c>
      <c r="D1271" s="1" t="s">
        <v>2290</v>
      </c>
      <c r="E1271" s="1" t="n">
        <v>1136</v>
      </c>
      <c r="F1271" s="1" t="s">
        <v>693</v>
      </c>
      <c r="I1271" s="1" t="n">
        <v>49883</v>
      </c>
      <c r="J1271" s="1" t="n">
        <v>73380</v>
      </c>
      <c r="K1271" s="1" t="n">
        <v>6945034226900</v>
      </c>
      <c r="L1271" s="1" t="s">
        <v>2929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5" t="n">
        <v>46188</v>
      </c>
      <c r="C1272" s="1" t="n">
        <v>11</v>
      </c>
      <c r="D1272" s="1" t="s">
        <v>2290</v>
      </c>
      <c r="E1272" s="1" t="n">
        <v>1136</v>
      </c>
      <c r="F1272" s="1" t="s">
        <v>693</v>
      </c>
      <c r="I1272" s="1" t="n">
        <v>49883</v>
      </c>
      <c r="J1272" s="1" t="n">
        <v>102960</v>
      </c>
      <c r="K1272" s="1" t="n">
        <v>7896221400087</v>
      </c>
      <c r="L1272" s="1" t="s">
        <v>2930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5" t="n">
        <v>46188</v>
      </c>
      <c r="C1273" s="1" t="n">
        <v>11</v>
      </c>
      <c r="D1273" s="1" t="s">
        <v>2290</v>
      </c>
      <c r="E1273" s="1" t="n">
        <v>1136</v>
      </c>
      <c r="F1273" s="1" t="s">
        <v>693</v>
      </c>
      <c r="I1273" s="1" t="n">
        <v>49883</v>
      </c>
      <c r="J1273" s="1" t="n">
        <v>103920</v>
      </c>
      <c r="K1273" s="1" t="n">
        <v>7896221400025</v>
      </c>
      <c r="L1273" s="1" t="s">
        <v>2931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5" t="n">
        <v>46188</v>
      </c>
      <c r="C1274" s="1" t="n">
        <v>11</v>
      </c>
      <c r="D1274" s="1" t="s">
        <v>2290</v>
      </c>
      <c r="E1274" s="1" t="n">
        <v>1136</v>
      </c>
      <c r="F1274" s="1" t="s">
        <v>693</v>
      </c>
      <c r="I1274" s="1" t="n">
        <v>49883</v>
      </c>
      <c r="J1274" s="1" t="n">
        <v>103992</v>
      </c>
      <c r="K1274" s="1" t="n">
        <v>7896221400018</v>
      </c>
      <c r="L1274" s="1" t="s">
        <v>2932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5" t="n">
        <v>46188</v>
      </c>
      <c r="C1275" s="1" t="n">
        <v>11</v>
      </c>
      <c r="D1275" s="1" t="s">
        <v>2290</v>
      </c>
      <c r="E1275" s="1" t="n">
        <v>1136</v>
      </c>
      <c r="F1275" s="1" t="s">
        <v>693</v>
      </c>
      <c r="I1275" s="1" t="n">
        <v>49883</v>
      </c>
      <c r="J1275" s="1" t="n">
        <v>103995</v>
      </c>
      <c r="K1275" s="1" t="n">
        <v>7896221400483</v>
      </c>
      <c r="L1275" s="1" t="s">
        <v>2933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5" t="n">
        <v>46188</v>
      </c>
      <c r="C1276" s="1" t="n">
        <v>11</v>
      </c>
      <c r="D1276" s="1" t="s">
        <v>2290</v>
      </c>
      <c r="E1276" s="1" t="n">
        <v>1136</v>
      </c>
      <c r="F1276" s="1" t="s">
        <v>693</v>
      </c>
      <c r="I1276" s="1" t="n">
        <v>49883</v>
      </c>
      <c r="J1276" s="1" t="n">
        <v>107878</v>
      </c>
      <c r="K1276" s="1" t="n">
        <v>7896221400520</v>
      </c>
      <c r="L1276" s="1" t="s">
        <v>2934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5" t="n">
        <v>46188</v>
      </c>
      <c r="C1277" s="1" t="n">
        <v>11</v>
      </c>
      <c r="D1277" s="1" t="s">
        <v>2290</v>
      </c>
      <c r="E1277" s="1" t="n">
        <v>1136</v>
      </c>
      <c r="F1277" s="1" t="s">
        <v>693</v>
      </c>
      <c r="I1277" s="1" t="n">
        <v>49883</v>
      </c>
      <c r="J1277" s="1" t="n">
        <v>10269</v>
      </c>
      <c r="K1277" s="1" t="n">
        <v>7896067202265</v>
      </c>
      <c r="L1277" s="1" t="s">
        <v>2935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5" t="n">
        <v>46188</v>
      </c>
      <c r="C1278" s="1" t="n">
        <v>11</v>
      </c>
      <c r="D1278" s="1" t="s">
        <v>2290</v>
      </c>
      <c r="E1278" s="1" t="n">
        <v>1136</v>
      </c>
      <c r="F1278" s="1" t="s">
        <v>693</v>
      </c>
      <c r="I1278" s="1" t="n">
        <v>49883</v>
      </c>
      <c r="J1278" s="1" t="n">
        <v>16613</v>
      </c>
      <c r="K1278" s="1" t="n">
        <v>7896221400605</v>
      </c>
      <c r="L1278" s="1" t="s">
        <v>2936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5" t="n">
        <v>46188</v>
      </c>
      <c r="C1279" s="1" t="n">
        <v>11</v>
      </c>
      <c r="D1279" s="1" t="s">
        <v>2290</v>
      </c>
      <c r="E1279" s="1" t="n">
        <v>1136</v>
      </c>
      <c r="F1279" s="1" t="s">
        <v>693</v>
      </c>
      <c r="I1279" s="1" t="n">
        <v>49883</v>
      </c>
      <c r="J1279" s="1" t="n">
        <v>17725</v>
      </c>
      <c r="K1279" s="1" t="n">
        <v>7896221401749</v>
      </c>
      <c r="L1279" s="1" t="s">
        <v>2937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5" t="n">
        <v>46188</v>
      </c>
      <c r="C1280" s="1" t="n">
        <v>11</v>
      </c>
      <c r="D1280" s="1" t="s">
        <v>2290</v>
      </c>
      <c r="E1280" s="1" t="n">
        <v>1136</v>
      </c>
      <c r="F1280" s="1" t="s">
        <v>693</v>
      </c>
      <c r="I1280" s="1" t="n">
        <v>49883</v>
      </c>
      <c r="J1280" s="1" t="n">
        <v>19872</v>
      </c>
      <c r="K1280" s="1" t="n">
        <v>7896067203460</v>
      </c>
      <c r="L1280" s="1" t="s">
        <v>2938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5" t="n">
        <v>46188</v>
      </c>
      <c r="C1281" s="1" t="n">
        <v>11</v>
      </c>
      <c r="D1281" s="1" t="s">
        <v>2290</v>
      </c>
      <c r="E1281" s="1" t="n">
        <v>1136</v>
      </c>
      <c r="F1281" s="1" t="s">
        <v>693</v>
      </c>
      <c r="I1281" s="1" t="n">
        <v>49883</v>
      </c>
      <c r="J1281" s="1" t="n">
        <v>26999</v>
      </c>
      <c r="K1281" s="1" t="n">
        <v>7896067203743</v>
      </c>
      <c r="L1281" s="1" t="s">
        <v>2939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5" t="n">
        <v>46188</v>
      </c>
      <c r="C1282" s="1" t="n">
        <v>11</v>
      </c>
      <c r="D1282" s="1" t="s">
        <v>2290</v>
      </c>
      <c r="E1282" s="1" t="n">
        <v>1136</v>
      </c>
      <c r="F1282" s="1" t="s">
        <v>693</v>
      </c>
      <c r="I1282" s="1" t="n">
        <v>49883</v>
      </c>
      <c r="J1282" s="1" t="n">
        <v>27000</v>
      </c>
      <c r="K1282" s="1" t="n">
        <v>7896067203712</v>
      </c>
      <c r="L1282" s="1" t="s">
        <v>2939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5" t="n">
        <v>46188</v>
      </c>
      <c r="C1283" s="1" t="n">
        <v>11</v>
      </c>
      <c r="D1283" s="1" t="s">
        <v>2290</v>
      </c>
      <c r="E1283" s="1" t="n">
        <v>1136</v>
      </c>
      <c r="F1283" s="1" t="s">
        <v>693</v>
      </c>
      <c r="I1283" s="1" t="n">
        <v>49883</v>
      </c>
      <c r="J1283" s="1" t="n">
        <v>28926</v>
      </c>
      <c r="K1283" s="1" t="n">
        <v>7896067203170</v>
      </c>
      <c r="L1283" s="1" t="s">
        <v>2940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5" t="n">
        <v>46188</v>
      </c>
      <c r="C1284" s="1" t="n">
        <v>11</v>
      </c>
      <c r="D1284" s="1" t="s">
        <v>2290</v>
      </c>
      <c r="E1284" s="1" t="n">
        <v>1136</v>
      </c>
      <c r="F1284" s="1" t="s">
        <v>693</v>
      </c>
      <c r="I1284" s="1" t="n">
        <v>49883</v>
      </c>
      <c r="J1284" s="1" t="n">
        <v>28981</v>
      </c>
      <c r="K1284" s="1" t="n">
        <v>58572</v>
      </c>
      <c r="L1284" s="1" t="s">
        <v>2941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5" t="n">
        <v>46188</v>
      </c>
      <c r="C1285" s="1" t="n">
        <v>11</v>
      </c>
      <c r="D1285" s="1" t="s">
        <v>2290</v>
      </c>
      <c r="E1285" s="1" t="n">
        <v>1136</v>
      </c>
      <c r="F1285" s="1" t="s">
        <v>693</v>
      </c>
      <c r="I1285" s="1" t="n">
        <v>49883</v>
      </c>
      <c r="J1285" s="1" t="n">
        <v>29863</v>
      </c>
      <c r="K1285" s="1" t="n">
        <v>7896221402456</v>
      </c>
      <c r="L1285" s="1" t="s">
        <v>2942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5" t="n">
        <v>46188</v>
      </c>
      <c r="C1286" s="1" t="n">
        <v>11</v>
      </c>
      <c r="D1286" s="1" t="s">
        <v>2290</v>
      </c>
      <c r="E1286" s="1" t="n">
        <v>1136</v>
      </c>
      <c r="F1286" s="1" t="s">
        <v>693</v>
      </c>
      <c r="I1286" s="1" t="n">
        <v>49883</v>
      </c>
      <c r="J1286" s="1" t="n">
        <v>31006</v>
      </c>
      <c r="K1286" s="1" t="n">
        <v>7896221402357</v>
      </c>
      <c r="L1286" s="1" t="s">
        <v>2943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5" t="n">
        <v>46188</v>
      </c>
      <c r="C1287" s="1" t="n">
        <v>11</v>
      </c>
      <c r="D1287" s="1" t="s">
        <v>2290</v>
      </c>
      <c r="E1287" s="1" t="n">
        <v>1136</v>
      </c>
      <c r="F1287" s="1" t="s">
        <v>693</v>
      </c>
      <c r="I1287" s="1" t="n">
        <v>49883</v>
      </c>
      <c r="J1287" s="1" t="n">
        <v>39625</v>
      </c>
      <c r="K1287" s="1" t="n">
        <v>7896067203958</v>
      </c>
      <c r="L1287" s="1" t="s">
        <v>2944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5" t="n">
        <v>46188</v>
      </c>
      <c r="C1288" s="1" t="n">
        <v>11</v>
      </c>
      <c r="D1288" s="1" t="s">
        <v>2290</v>
      </c>
      <c r="E1288" s="1" t="n">
        <v>1136</v>
      </c>
      <c r="F1288" s="1" t="s">
        <v>693</v>
      </c>
      <c r="I1288" s="1" t="n">
        <v>49883</v>
      </c>
      <c r="J1288" s="1" t="n">
        <v>40519</v>
      </c>
      <c r="K1288" s="1" t="n">
        <v>7896067200551</v>
      </c>
      <c r="L1288" s="1" t="s">
        <v>2945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5" t="n">
        <v>46188</v>
      </c>
      <c r="C1289" s="1" t="n">
        <v>11</v>
      </c>
      <c r="D1289" s="1" t="s">
        <v>2290</v>
      </c>
      <c r="E1289" s="1" t="n">
        <v>1136</v>
      </c>
      <c r="F1289" s="1" t="s">
        <v>693</v>
      </c>
      <c r="I1289" s="1" t="n">
        <v>49883</v>
      </c>
      <c r="J1289" s="1" t="n">
        <v>40980</v>
      </c>
      <c r="K1289" s="1" t="n">
        <v>7896221402586</v>
      </c>
      <c r="L1289" s="1" t="s">
        <v>2946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5" t="n">
        <v>46188</v>
      </c>
      <c r="C1290" s="1" t="n">
        <v>11</v>
      </c>
      <c r="D1290" s="1" t="s">
        <v>2290</v>
      </c>
      <c r="E1290" s="1" t="n">
        <v>1136</v>
      </c>
      <c r="F1290" s="1" t="s">
        <v>693</v>
      </c>
      <c r="I1290" s="1" t="n">
        <v>49883</v>
      </c>
      <c r="J1290" s="1" t="n">
        <v>42414</v>
      </c>
      <c r="K1290" s="1" t="n">
        <v>7896221400506</v>
      </c>
      <c r="L1290" s="1" t="s">
        <v>2947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5" t="n">
        <v>46188</v>
      </c>
      <c r="C1291" s="1" t="n">
        <v>11</v>
      </c>
      <c r="D1291" s="1" t="s">
        <v>2290</v>
      </c>
      <c r="E1291" s="1" t="n">
        <v>1136</v>
      </c>
      <c r="F1291" s="1" t="s">
        <v>693</v>
      </c>
      <c r="I1291" s="1" t="n">
        <v>49883</v>
      </c>
      <c r="J1291" s="1" t="n">
        <v>73347</v>
      </c>
      <c r="K1291" s="1" t="n">
        <v>6945034226887</v>
      </c>
      <c r="L1291" s="1" t="s">
        <v>2929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5" t="n">
        <v>46188</v>
      </c>
      <c r="C1292" s="1" t="n">
        <v>11</v>
      </c>
      <c r="D1292" s="1" t="s">
        <v>2290</v>
      </c>
      <c r="E1292" s="1" t="n">
        <v>1136</v>
      </c>
      <c r="F1292" s="1" t="s">
        <v>693</v>
      </c>
      <c r="I1292" s="1" t="n">
        <v>49883</v>
      </c>
      <c r="J1292" s="1" t="n">
        <v>76920</v>
      </c>
      <c r="K1292" s="1" t="n">
        <v>6945034226863</v>
      </c>
      <c r="L1292" s="1" t="s">
        <v>2929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5" t="n">
        <v>46188</v>
      </c>
      <c r="C1293" s="1" t="n">
        <v>11</v>
      </c>
      <c r="D1293" s="1" t="s">
        <v>2290</v>
      </c>
      <c r="E1293" s="1" t="n">
        <v>1136</v>
      </c>
      <c r="F1293" s="1" t="s">
        <v>693</v>
      </c>
      <c r="I1293" s="1" t="n">
        <v>49883</v>
      </c>
      <c r="J1293" s="1" t="n">
        <v>79750</v>
      </c>
      <c r="K1293" s="1" t="n">
        <v>6945034226962</v>
      </c>
      <c r="L1293" s="1" t="s">
        <v>2948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5" t="n">
        <v>46188</v>
      </c>
      <c r="C1294" s="1" t="n">
        <v>11</v>
      </c>
      <c r="D1294" s="1" t="s">
        <v>2290</v>
      </c>
      <c r="E1294" s="1" t="n">
        <v>1136</v>
      </c>
      <c r="F1294" s="1" t="s">
        <v>693</v>
      </c>
      <c r="I1294" s="1" t="n">
        <v>49883</v>
      </c>
      <c r="J1294" s="1" t="n">
        <v>81369</v>
      </c>
      <c r="K1294" s="1" t="n">
        <v>6222001566079</v>
      </c>
      <c r="L1294" s="1" t="s">
        <v>2949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5" t="n">
        <v>46188</v>
      </c>
      <c r="C1295" s="1" t="n">
        <v>11</v>
      </c>
      <c r="D1295" s="1" t="s">
        <v>2290</v>
      </c>
      <c r="E1295" s="1" t="n">
        <v>1678</v>
      </c>
      <c r="F1295" s="1" t="s">
        <v>190</v>
      </c>
      <c r="I1295" s="1" t="n">
        <v>160778</v>
      </c>
      <c r="J1295" s="1" t="n">
        <v>20275</v>
      </c>
      <c r="K1295" s="1" t="n">
        <v>7896495600008</v>
      </c>
      <c r="L1295" s="1" t="s">
        <v>2950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5" t="n">
        <v>46188</v>
      </c>
      <c r="C1296" s="1" t="n">
        <v>11</v>
      </c>
      <c r="D1296" s="1" t="s">
        <v>2290</v>
      </c>
      <c r="E1296" s="1" t="n">
        <v>1678</v>
      </c>
      <c r="F1296" s="1" t="s">
        <v>190</v>
      </c>
      <c r="I1296" s="1" t="n">
        <v>160778</v>
      </c>
      <c r="J1296" s="1" t="n">
        <v>101223</v>
      </c>
      <c r="K1296" s="1" t="n">
        <v>7896495000174</v>
      </c>
      <c r="L1296" s="1" t="s">
        <v>2951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5" t="n">
        <v>46188</v>
      </c>
      <c r="C1297" s="1" t="n">
        <v>11</v>
      </c>
      <c r="D1297" s="1" t="s">
        <v>2290</v>
      </c>
      <c r="E1297" s="1" t="n">
        <v>1678</v>
      </c>
      <c r="F1297" s="1" t="s">
        <v>190</v>
      </c>
      <c r="I1297" s="1" t="n">
        <v>160778</v>
      </c>
      <c r="J1297" s="1" t="n">
        <v>101225</v>
      </c>
      <c r="K1297" s="1" t="n">
        <v>7896495000129</v>
      </c>
      <c r="L1297" s="1" t="s">
        <v>2952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5" t="n">
        <v>46188</v>
      </c>
      <c r="C1298" s="1" t="n">
        <v>11</v>
      </c>
      <c r="D1298" s="1" t="s">
        <v>2290</v>
      </c>
      <c r="E1298" s="1" t="n">
        <v>1678</v>
      </c>
      <c r="F1298" s="1" t="s">
        <v>190</v>
      </c>
      <c r="I1298" s="1" t="n">
        <v>160778</v>
      </c>
      <c r="J1298" s="1" t="n">
        <v>101366</v>
      </c>
      <c r="K1298" s="1" t="n">
        <v>7896495000051</v>
      </c>
      <c r="L1298" s="1" t="s">
        <v>2953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5" t="n">
        <v>46188</v>
      </c>
      <c r="C1299" s="1" t="n">
        <v>11</v>
      </c>
      <c r="D1299" s="1" t="s">
        <v>2290</v>
      </c>
      <c r="E1299" s="1" t="n">
        <v>1678</v>
      </c>
      <c r="F1299" s="1" t="s">
        <v>190</v>
      </c>
      <c r="I1299" s="1" t="n">
        <v>160778</v>
      </c>
      <c r="J1299" s="1" t="n">
        <v>102652</v>
      </c>
      <c r="K1299" s="1" t="n">
        <v>70330709485</v>
      </c>
      <c r="L1299" s="1" t="s">
        <v>2954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5" t="n">
        <v>46188</v>
      </c>
      <c r="C1300" s="1" t="n">
        <v>11</v>
      </c>
      <c r="D1300" s="1" t="s">
        <v>2290</v>
      </c>
      <c r="E1300" s="1" t="n">
        <v>1678</v>
      </c>
      <c r="F1300" s="1" t="s">
        <v>190</v>
      </c>
      <c r="I1300" s="1" t="n">
        <v>160778</v>
      </c>
      <c r="J1300" s="1" t="n">
        <v>102653</v>
      </c>
      <c r="K1300" s="1" t="n">
        <v>70330712379</v>
      </c>
      <c r="L1300" s="1" t="s">
        <v>2955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5" t="n">
        <v>46188</v>
      </c>
      <c r="C1301" s="1" t="n">
        <v>11</v>
      </c>
      <c r="D1301" s="1" t="s">
        <v>2290</v>
      </c>
      <c r="E1301" s="1" t="n">
        <v>1678</v>
      </c>
      <c r="F1301" s="1" t="s">
        <v>190</v>
      </c>
      <c r="I1301" s="1" t="n">
        <v>160778</v>
      </c>
      <c r="J1301" s="1" t="n">
        <v>102654</v>
      </c>
      <c r="K1301" s="1" t="n">
        <v>70330703629</v>
      </c>
      <c r="L1301" s="1" t="s">
        <v>2956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5" t="n">
        <v>46188</v>
      </c>
      <c r="C1302" s="1" t="n">
        <v>11</v>
      </c>
      <c r="D1302" s="1" t="s">
        <v>2290</v>
      </c>
      <c r="E1302" s="1" t="n">
        <v>1678</v>
      </c>
      <c r="F1302" s="1" t="s">
        <v>190</v>
      </c>
      <c r="I1302" s="1" t="n">
        <v>160778</v>
      </c>
      <c r="J1302" s="1" t="n">
        <v>103991</v>
      </c>
      <c r="K1302" s="1" t="n">
        <v>7896020417132</v>
      </c>
      <c r="L1302" s="1" t="s">
        <v>2957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5" t="n">
        <v>46188</v>
      </c>
      <c r="C1303" s="1" t="n">
        <v>11</v>
      </c>
      <c r="D1303" s="1" t="s">
        <v>2290</v>
      </c>
      <c r="E1303" s="1" t="n">
        <v>1678</v>
      </c>
      <c r="F1303" s="1" t="s">
        <v>190</v>
      </c>
      <c r="I1303" s="1" t="n">
        <v>160778</v>
      </c>
      <c r="J1303" s="1" t="n">
        <v>10470</v>
      </c>
      <c r="K1303" s="1" t="n">
        <v>7898392930059</v>
      </c>
      <c r="L1303" s="1" t="s">
        <v>2958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5" t="n">
        <v>46188</v>
      </c>
      <c r="C1304" s="1" t="n">
        <v>11</v>
      </c>
      <c r="D1304" s="1" t="s">
        <v>2290</v>
      </c>
      <c r="E1304" s="1" t="n">
        <v>1678</v>
      </c>
      <c r="F1304" s="1" t="s">
        <v>190</v>
      </c>
      <c r="I1304" s="1" t="n">
        <v>160778</v>
      </c>
      <c r="J1304" s="1" t="n">
        <v>13205</v>
      </c>
      <c r="K1304" s="1" t="n">
        <v>7898437140849</v>
      </c>
      <c r="L1304" s="1" t="s">
        <v>2959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5" t="n">
        <v>46188</v>
      </c>
      <c r="C1305" s="1" t="n">
        <v>11</v>
      </c>
      <c r="D1305" s="1" t="s">
        <v>2290</v>
      </c>
      <c r="E1305" s="1" t="n">
        <v>1678</v>
      </c>
      <c r="F1305" s="1" t="s">
        <v>190</v>
      </c>
      <c r="I1305" s="1" t="n">
        <v>160778</v>
      </c>
      <c r="J1305" s="1" t="n">
        <v>13289</v>
      </c>
      <c r="K1305" s="1" t="n">
        <v>70330717534</v>
      </c>
      <c r="L1305" s="1" t="s">
        <v>2960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5" t="n">
        <v>46188</v>
      </c>
      <c r="C1306" s="1" t="n">
        <v>11</v>
      </c>
      <c r="D1306" s="1" t="s">
        <v>2290</v>
      </c>
      <c r="E1306" s="1" t="n">
        <v>1678</v>
      </c>
      <c r="F1306" s="1" t="s">
        <v>190</v>
      </c>
      <c r="I1306" s="1" t="n">
        <v>160778</v>
      </c>
      <c r="J1306" s="1" t="n">
        <v>13739</v>
      </c>
      <c r="K1306" s="1" t="n">
        <v>7898437140832</v>
      </c>
      <c r="L1306" s="1" t="s">
        <v>2961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5" t="n">
        <v>46188</v>
      </c>
      <c r="C1307" s="1" t="n">
        <v>11</v>
      </c>
      <c r="D1307" s="1" t="s">
        <v>2290</v>
      </c>
      <c r="E1307" s="1" t="n">
        <v>1678</v>
      </c>
      <c r="F1307" s="1" t="s">
        <v>190</v>
      </c>
      <c r="I1307" s="1" t="n">
        <v>160778</v>
      </c>
      <c r="J1307" s="1" t="n">
        <v>13741</v>
      </c>
      <c r="K1307" s="1" t="n">
        <v>7898437140887</v>
      </c>
      <c r="L1307" s="1" t="s">
        <v>2962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5" t="n">
        <v>46188</v>
      </c>
      <c r="C1308" s="1" t="n">
        <v>11</v>
      </c>
      <c r="D1308" s="1" t="s">
        <v>2290</v>
      </c>
      <c r="E1308" s="1" t="n">
        <v>1678</v>
      </c>
      <c r="F1308" s="1" t="s">
        <v>190</v>
      </c>
      <c r="I1308" s="1" t="n">
        <v>160778</v>
      </c>
      <c r="J1308" s="1" t="n">
        <v>13952</v>
      </c>
      <c r="K1308" s="1" t="n">
        <v>7898437140863</v>
      </c>
      <c r="L1308" s="1" t="s">
        <v>2963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5" t="n">
        <v>46188</v>
      </c>
      <c r="C1309" s="1" t="n">
        <v>11</v>
      </c>
      <c r="D1309" s="1" t="s">
        <v>2290</v>
      </c>
      <c r="E1309" s="1" t="n">
        <v>1678</v>
      </c>
      <c r="F1309" s="1" t="s">
        <v>190</v>
      </c>
      <c r="I1309" s="1" t="n">
        <v>160778</v>
      </c>
      <c r="J1309" s="1" t="n">
        <v>14199</v>
      </c>
      <c r="K1309" s="1" t="n">
        <v>7898437140856</v>
      </c>
      <c r="L1309" s="1" t="s">
        <v>2964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5" t="n">
        <v>46188</v>
      </c>
      <c r="C1310" s="1" t="n">
        <v>11</v>
      </c>
      <c r="D1310" s="1" t="s">
        <v>2290</v>
      </c>
      <c r="E1310" s="1" t="n">
        <v>1678</v>
      </c>
      <c r="F1310" s="1" t="s">
        <v>190</v>
      </c>
      <c r="I1310" s="1" t="n">
        <v>160778</v>
      </c>
      <c r="J1310" s="1" t="n">
        <v>15284</v>
      </c>
      <c r="K1310" s="1" t="n">
        <v>70330717565</v>
      </c>
      <c r="L1310" s="1" t="s">
        <v>2965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5" t="n">
        <v>46188</v>
      </c>
      <c r="C1311" s="1" t="n">
        <v>11</v>
      </c>
      <c r="D1311" s="1" t="s">
        <v>2290</v>
      </c>
      <c r="E1311" s="1" t="n">
        <v>1678</v>
      </c>
      <c r="F1311" s="1" t="s">
        <v>190</v>
      </c>
      <c r="I1311" s="1" t="n">
        <v>160778</v>
      </c>
      <c r="J1311" s="1" t="n">
        <v>15397</v>
      </c>
      <c r="K1311" s="1" t="n">
        <v>7898927045012</v>
      </c>
      <c r="L1311" s="1" t="s">
        <v>2966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5" t="n">
        <v>46188</v>
      </c>
      <c r="C1312" s="1" t="n">
        <v>11</v>
      </c>
      <c r="D1312" s="1" t="s">
        <v>2290</v>
      </c>
      <c r="E1312" s="1" t="n">
        <v>1678</v>
      </c>
      <c r="F1312" s="1" t="s">
        <v>190</v>
      </c>
      <c r="I1312" s="1" t="n">
        <v>160778</v>
      </c>
      <c r="J1312" s="1" t="n">
        <v>15825</v>
      </c>
      <c r="K1312" s="1" t="n">
        <v>7896495001157</v>
      </c>
      <c r="L1312" s="1" t="s">
        <v>2967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5" t="n">
        <v>46188</v>
      </c>
      <c r="C1313" s="1" t="n">
        <v>11</v>
      </c>
      <c r="D1313" s="1" t="s">
        <v>2290</v>
      </c>
      <c r="E1313" s="1" t="n">
        <v>1678</v>
      </c>
      <c r="F1313" s="1" t="s">
        <v>190</v>
      </c>
      <c r="I1313" s="1" t="n">
        <v>160778</v>
      </c>
      <c r="J1313" s="1" t="n">
        <v>16263</v>
      </c>
      <c r="K1313" s="1" t="n">
        <v>7898927045142</v>
      </c>
      <c r="L1313" s="1" t="s">
        <v>2968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5" t="n">
        <v>46188</v>
      </c>
      <c r="C1314" s="1" t="n">
        <v>11</v>
      </c>
      <c r="D1314" s="1" t="s">
        <v>2290</v>
      </c>
      <c r="E1314" s="1" t="n">
        <v>1678</v>
      </c>
      <c r="F1314" s="1" t="s">
        <v>190</v>
      </c>
      <c r="I1314" s="1" t="n">
        <v>160778</v>
      </c>
      <c r="J1314" s="1" t="n">
        <v>19684</v>
      </c>
      <c r="K1314" s="1" t="n">
        <v>70330729872</v>
      </c>
      <c r="L1314" s="1" t="s">
        <v>2969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5" t="n">
        <v>46188</v>
      </c>
      <c r="C1315" s="1" t="n">
        <v>11</v>
      </c>
      <c r="D1315" s="1" t="s">
        <v>2290</v>
      </c>
      <c r="E1315" s="1" t="n">
        <v>1678</v>
      </c>
      <c r="F1315" s="1" t="s">
        <v>190</v>
      </c>
      <c r="I1315" s="1" t="n">
        <v>160778</v>
      </c>
      <c r="J1315" s="1" t="n">
        <v>19944</v>
      </c>
      <c r="K1315" s="1" t="n">
        <v>70330729858</v>
      </c>
      <c r="L1315" s="1" t="s">
        <v>2970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5" t="n">
        <v>46188</v>
      </c>
      <c r="C1316" s="1" t="n">
        <v>11</v>
      </c>
      <c r="D1316" s="1" t="s">
        <v>2290</v>
      </c>
      <c r="E1316" s="1" t="n">
        <v>1678</v>
      </c>
      <c r="F1316" s="1" t="s">
        <v>190</v>
      </c>
      <c r="I1316" s="1" t="n">
        <v>160778</v>
      </c>
      <c r="J1316" s="1" t="n">
        <v>21549</v>
      </c>
      <c r="K1316" s="1" t="n">
        <v>7898437140818</v>
      </c>
      <c r="L1316" s="1" t="s">
        <v>2971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5" t="n">
        <v>46188</v>
      </c>
      <c r="C1317" s="1" t="n">
        <v>11</v>
      </c>
      <c r="D1317" s="1" t="s">
        <v>2290</v>
      </c>
      <c r="E1317" s="1" t="n">
        <v>1678</v>
      </c>
      <c r="F1317" s="1" t="s">
        <v>190</v>
      </c>
      <c r="I1317" s="1" t="n">
        <v>160778</v>
      </c>
      <c r="J1317" s="1" t="n">
        <v>22351</v>
      </c>
      <c r="K1317" s="1" t="n">
        <v>70330727984</v>
      </c>
      <c r="L1317" s="1" t="s">
        <v>2972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5" t="n">
        <v>46188</v>
      </c>
      <c r="C1318" s="1" t="n">
        <v>11</v>
      </c>
      <c r="D1318" s="1" t="s">
        <v>2290</v>
      </c>
      <c r="E1318" s="1" t="n">
        <v>1678</v>
      </c>
      <c r="F1318" s="1" t="s">
        <v>190</v>
      </c>
      <c r="I1318" s="1" t="n">
        <v>160778</v>
      </c>
      <c r="J1318" s="1" t="n">
        <v>22890</v>
      </c>
      <c r="K1318" s="1" t="n">
        <v>7896020417156</v>
      </c>
      <c r="L1318" s="1" t="s">
        <v>2973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5" t="n">
        <v>46188</v>
      </c>
      <c r="C1319" s="1" t="n">
        <v>11</v>
      </c>
      <c r="D1319" s="1" t="s">
        <v>2290</v>
      </c>
      <c r="E1319" s="1" t="n">
        <v>1678</v>
      </c>
      <c r="F1319" s="1" t="s">
        <v>190</v>
      </c>
      <c r="I1319" s="1" t="n">
        <v>160778</v>
      </c>
      <c r="J1319" s="1" t="n">
        <v>24703</v>
      </c>
      <c r="K1319" s="1" t="n">
        <v>7893515611198</v>
      </c>
      <c r="L1319" s="1" t="s">
        <v>2974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5" t="n">
        <v>46188</v>
      </c>
      <c r="C1320" s="1" t="n">
        <v>11</v>
      </c>
      <c r="D1320" s="1" t="s">
        <v>2290</v>
      </c>
      <c r="E1320" s="1" t="n">
        <v>1678</v>
      </c>
      <c r="F1320" s="1" t="s">
        <v>190</v>
      </c>
      <c r="I1320" s="1" t="n">
        <v>160778</v>
      </c>
      <c r="J1320" s="1" t="n">
        <v>46235</v>
      </c>
      <c r="K1320" s="1" t="n">
        <v>7896020470120</v>
      </c>
      <c r="L1320" s="1" t="s">
        <v>2975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5" t="n">
        <v>46188</v>
      </c>
      <c r="C1321" s="1" t="n">
        <v>11</v>
      </c>
      <c r="D1321" s="1" t="s">
        <v>2290</v>
      </c>
      <c r="E1321" s="1" t="n">
        <v>1678</v>
      </c>
      <c r="F1321" s="1" t="s">
        <v>190</v>
      </c>
      <c r="I1321" s="1" t="n">
        <v>160778</v>
      </c>
      <c r="J1321" s="1" t="n">
        <v>52207</v>
      </c>
      <c r="K1321" s="1" t="n">
        <v>7898650900572</v>
      </c>
      <c r="L1321" s="1" t="s">
        <v>2976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5" t="n">
        <v>46188</v>
      </c>
      <c r="C1322" s="1" t="n">
        <v>11</v>
      </c>
      <c r="D1322" s="1" t="s">
        <v>2290</v>
      </c>
      <c r="E1322" s="1" t="n">
        <v>1678</v>
      </c>
      <c r="F1322" s="1" t="s">
        <v>190</v>
      </c>
      <c r="I1322" s="1" t="n">
        <v>160778</v>
      </c>
      <c r="J1322" s="1" t="n">
        <v>52233</v>
      </c>
      <c r="K1322" s="1" t="n">
        <v>7898650900343</v>
      </c>
      <c r="L1322" s="1" t="s">
        <v>2977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5" t="n">
        <v>46188</v>
      </c>
      <c r="C1323" s="1" t="n">
        <v>11</v>
      </c>
      <c r="D1323" s="1" t="s">
        <v>2290</v>
      </c>
      <c r="E1323" s="1" t="n">
        <v>1678</v>
      </c>
      <c r="F1323" s="1" t="s">
        <v>190</v>
      </c>
      <c r="I1323" s="1" t="n">
        <v>160778</v>
      </c>
      <c r="J1323" s="1" t="n">
        <v>52234</v>
      </c>
      <c r="K1323" s="1" t="n">
        <v>7898650900329</v>
      </c>
      <c r="L1323" s="1" t="s">
        <v>2978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5" t="n">
        <v>46188</v>
      </c>
      <c r="C1324" s="1" t="n">
        <v>11</v>
      </c>
      <c r="D1324" s="1" t="s">
        <v>2290</v>
      </c>
      <c r="E1324" s="1" t="n">
        <v>1678</v>
      </c>
      <c r="F1324" s="1" t="s">
        <v>190</v>
      </c>
      <c r="I1324" s="1" t="n">
        <v>160778</v>
      </c>
      <c r="J1324" s="1" t="n">
        <v>53217</v>
      </c>
      <c r="K1324" s="1" t="n">
        <v>7501843501707</v>
      </c>
      <c r="L1324" s="1" t="s">
        <v>2979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5" t="n">
        <v>46188</v>
      </c>
      <c r="C1325" s="1" t="n">
        <v>11</v>
      </c>
      <c r="D1325" s="1" t="s">
        <v>2290</v>
      </c>
      <c r="E1325" s="1" t="n">
        <v>1678</v>
      </c>
      <c r="F1325" s="1" t="s">
        <v>190</v>
      </c>
      <c r="I1325" s="1" t="n">
        <v>160778</v>
      </c>
      <c r="J1325" s="1" t="n">
        <v>56039</v>
      </c>
      <c r="K1325" s="1" t="n">
        <v>7896020470267</v>
      </c>
      <c r="L1325" s="1" t="s">
        <v>2980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5" t="n">
        <v>46188</v>
      </c>
      <c r="C1326" s="1" t="n">
        <v>11</v>
      </c>
      <c r="D1326" s="1" t="s">
        <v>2290</v>
      </c>
      <c r="E1326" s="1" t="n">
        <v>1678</v>
      </c>
      <c r="F1326" s="1" t="s">
        <v>190</v>
      </c>
      <c r="I1326" s="1" t="n">
        <v>160778</v>
      </c>
      <c r="J1326" s="1" t="n">
        <v>56818</v>
      </c>
      <c r="K1326" s="1" t="n">
        <v>7898392933142</v>
      </c>
      <c r="L1326" s="1" t="s">
        <v>2981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5" t="n">
        <v>46188</v>
      </c>
      <c r="C1327" s="1" t="n">
        <v>11</v>
      </c>
      <c r="D1327" s="1" t="s">
        <v>2290</v>
      </c>
      <c r="E1327" s="1" t="n">
        <v>1678</v>
      </c>
      <c r="F1327" s="1" t="s">
        <v>190</v>
      </c>
      <c r="I1327" s="1" t="n">
        <v>160778</v>
      </c>
      <c r="J1327" s="1" t="n">
        <v>58726</v>
      </c>
      <c r="K1327" s="1" t="n">
        <v>7898650900435</v>
      </c>
      <c r="L1327" s="1" t="s">
        <v>2982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5" t="n">
        <v>46188</v>
      </c>
      <c r="C1328" s="1" t="n">
        <v>11</v>
      </c>
      <c r="D1328" s="1" t="s">
        <v>2290</v>
      </c>
      <c r="E1328" s="1" t="n">
        <v>1678</v>
      </c>
      <c r="F1328" s="1" t="s">
        <v>190</v>
      </c>
      <c r="I1328" s="1" t="n">
        <v>160778</v>
      </c>
      <c r="J1328" s="1" t="n">
        <v>58760</v>
      </c>
      <c r="K1328" s="1" t="n">
        <v>7896020470274</v>
      </c>
      <c r="L1328" s="1" t="s">
        <v>2980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5" t="n">
        <v>46188</v>
      </c>
      <c r="C1329" s="1" t="n">
        <v>11</v>
      </c>
      <c r="D1329" s="1" t="s">
        <v>2290</v>
      </c>
      <c r="E1329" s="1" t="n">
        <v>1678</v>
      </c>
      <c r="F1329" s="1" t="s">
        <v>190</v>
      </c>
      <c r="I1329" s="1" t="n">
        <v>160778</v>
      </c>
      <c r="J1329" s="1" t="n">
        <v>62724</v>
      </c>
      <c r="K1329" s="1" t="n">
        <v>7896020470281</v>
      </c>
      <c r="L1329" s="1" t="s">
        <v>2983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5" t="n">
        <v>46188</v>
      </c>
      <c r="C1330" s="1" t="n">
        <v>11</v>
      </c>
      <c r="D1330" s="1" t="s">
        <v>2290</v>
      </c>
      <c r="E1330" s="1" t="n">
        <v>1678</v>
      </c>
      <c r="F1330" s="1" t="s">
        <v>190</v>
      </c>
      <c r="I1330" s="1" t="n">
        <v>160778</v>
      </c>
      <c r="J1330" s="1" t="n">
        <v>75785</v>
      </c>
      <c r="K1330" s="1" t="n">
        <v>7898743960063</v>
      </c>
      <c r="L1330" s="1" t="s">
        <v>2984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5" t="n">
        <v>46188</v>
      </c>
      <c r="C1331" s="1" t="n">
        <v>11</v>
      </c>
      <c r="D1331" s="1" t="s">
        <v>2290</v>
      </c>
      <c r="E1331" s="1" t="n">
        <v>1678</v>
      </c>
      <c r="F1331" s="1" t="s">
        <v>190</v>
      </c>
      <c r="I1331" s="1" t="n">
        <v>160778</v>
      </c>
      <c r="J1331" s="1" t="n">
        <v>76561</v>
      </c>
      <c r="K1331" s="1" t="n">
        <v>7898650900534</v>
      </c>
      <c r="L1331" s="1" t="s">
        <v>2985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5" t="n">
        <v>46188</v>
      </c>
      <c r="C1332" s="1" t="n">
        <v>11</v>
      </c>
      <c r="D1332" s="1" t="s">
        <v>2290</v>
      </c>
      <c r="E1332" s="1" t="n">
        <v>1723</v>
      </c>
      <c r="F1332" s="1" t="s">
        <v>76</v>
      </c>
      <c r="I1332" s="1" t="n">
        <v>171392</v>
      </c>
      <c r="J1332" s="1" t="n">
        <v>29079</v>
      </c>
      <c r="K1332" s="1" t="n">
        <v>55515</v>
      </c>
      <c r="L1332" s="1" t="s">
        <v>2360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5" t="n">
        <v>46188</v>
      </c>
      <c r="C1333" s="1" t="n">
        <v>11</v>
      </c>
      <c r="D1333" s="1" t="s">
        <v>2290</v>
      </c>
      <c r="E1333" s="1" t="n">
        <v>1723</v>
      </c>
      <c r="F1333" s="1" t="s">
        <v>76</v>
      </c>
      <c r="I1333" s="1" t="n">
        <v>171447</v>
      </c>
      <c r="J1333" s="1" t="n">
        <v>29079</v>
      </c>
      <c r="K1333" s="1" t="n">
        <v>55515</v>
      </c>
      <c r="L1333" s="1" t="s">
        <v>2360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5" t="n">
        <v>46188</v>
      </c>
      <c r="C1334" s="1" t="n">
        <v>11</v>
      </c>
      <c r="D1334" s="1" t="s">
        <v>2290</v>
      </c>
      <c r="E1334" s="1" t="n">
        <v>1723</v>
      </c>
      <c r="F1334" s="1" t="s">
        <v>76</v>
      </c>
      <c r="I1334" s="1" t="n">
        <v>171527</v>
      </c>
      <c r="J1334" s="1" t="n">
        <v>29079</v>
      </c>
      <c r="K1334" s="1" t="n">
        <v>55515</v>
      </c>
      <c r="L1334" s="1" t="s">
        <v>2360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5" t="n">
        <v>46188</v>
      </c>
      <c r="C1335" s="1" t="n">
        <v>11</v>
      </c>
      <c r="D1335" s="1" t="s">
        <v>2290</v>
      </c>
      <c r="E1335" s="1" t="n">
        <v>1723</v>
      </c>
      <c r="F1335" s="1" t="s">
        <v>76</v>
      </c>
      <c r="I1335" s="1" t="n">
        <v>171527</v>
      </c>
      <c r="J1335" s="1" t="n">
        <v>29080</v>
      </c>
      <c r="K1335" s="1" t="n">
        <v>55516</v>
      </c>
      <c r="L1335" s="1" t="s">
        <v>2362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5" t="n">
        <v>46188</v>
      </c>
      <c r="C1336" s="1" t="n">
        <v>11</v>
      </c>
      <c r="D1336" s="1" t="s">
        <v>2290</v>
      </c>
      <c r="E1336" s="1" t="n">
        <v>1723</v>
      </c>
      <c r="F1336" s="1" t="s">
        <v>76</v>
      </c>
      <c r="I1336" s="1" t="n">
        <v>171563</v>
      </c>
      <c r="J1336" s="1" t="n">
        <v>29079</v>
      </c>
      <c r="K1336" s="1" t="n">
        <v>55515</v>
      </c>
      <c r="L1336" s="1" t="s">
        <v>2360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5" t="n">
        <v>46188</v>
      </c>
      <c r="C1337" s="1" t="n">
        <v>11</v>
      </c>
      <c r="D1337" s="1" t="s">
        <v>2290</v>
      </c>
      <c r="E1337" s="1" t="n">
        <v>1723</v>
      </c>
      <c r="F1337" s="1" t="s">
        <v>76</v>
      </c>
      <c r="I1337" s="1" t="n">
        <v>171563</v>
      </c>
      <c r="J1337" s="1" t="n">
        <v>29080</v>
      </c>
      <c r="K1337" s="1" t="n">
        <v>55516</v>
      </c>
      <c r="L1337" s="1" t="s">
        <v>2362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5" t="n">
        <v>46188</v>
      </c>
      <c r="C1338" s="1" t="n">
        <v>11</v>
      </c>
      <c r="D1338" s="1" t="s">
        <v>2290</v>
      </c>
      <c r="E1338" s="1" t="n">
        <v>1613</v>
      </c>
      <c r="F1338" s="1" t="s">
        <v>177</v>
      </c>
      <c r="I1338" s="1" t="n">
        <v>1596314</v>
      </c>
      <c r="J1338" s="1" t="n">
        <v>100042</v>
      </c>
      <c r="K1338" s="1" t="n">
        <v>43</v>
      </c>
      <c r="L1338" s="1" t="s">
        <v>2986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5" t="n">
        <v>46188</v>
      </c>
      <c r="C1339" s="1" t="n">
        <v>11</v>
      </c>
      <c r="D1339" s="1" t="s">
        <v>2290</v>
      </c>
      <c r="E1339" s="1" t="n">
        <v>1613</v>
      </c>
      <c r="F1339" s="1" t="s">
        <v>177</v>
      </c>
      <c r="I1339" s="1" t="n">
        <v>1596314</v>
      </c>
      <c r="J1339" s="1" t="n">
        <v>102407</v>
      </c>
      <c r="K1339" s="1" t="n">
        <v>7893000394117</v>
      </c>
      <c r="L1339" s="1" t="s">
        <v>2987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5" t="n">
        <v>46188</v>
      </c>
      <c r="C1340" s="1" t="n">
        <v>11</v>
      </c>
      <c r="D1340" s="1" t="s">
        <v>2290</v>
      </c>
      <c r="E1340" s="1" t="n">
        <v>1613</v>
      </c>
      <c r="F1340" s="1" t="s">
        <v>177</v>
      </c>
      <c r="I1340" s="1" t="n">
        <v>1596314</v>
      </c>
      <c r="J1340" s="1" t="n">
        <v>103796</v>
      </c>
      <c r="K1340" s="1" t="n">
        <v>7893000436725</v>
      </c>
      <c r="L1340" s="1" t="s">
        <v>2988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5" t="n">
        <v>46188</v>
      </c>
      <c r="C1341" s="1" t="n">
        <v>11</v>
      </c>
      <c r="D1341" s="1" t="s">
        <v>2290</v>
      </c>
      <c r="E1341" s="1" t="n">
        <v>1613</v>
      </c>
      <c r="F1341" s="1" t="s">
        <v>177</v>
      </c>
      <c r="I1341" s="1" t="n">
        <v>1596314</v>
      </c>
      <c r="J1341" s="1" t="n">
        <v>103830</v>
      </c>
      <c r="K1341" s="1" t="n">
        <v>7893000394209</v>
      </c>
      <c r="L1341" s="1" t="s">
        <v>2989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5" t="n">
        <v>46188</v>
      </c>
      <c r="C1342" s="1" t="n">
        <v>11</v>
      </c>
      <c r="D1342" s="1" t="s">
        <v>2290</v>
      </c>
      <c r="E1342" s="1" t="n">
        <v>1613</v>
      </c>
      <c r="F1342" s="1" t="s">
        <v>177</v>
      </c>
      <c r="I1342" s="1" t="n">
        <v>1596314</v>
      </c>
      <c r="J1342" s="1" t="n">
        <v>103848</v>
      </c>
      <c r="K1342" s="1" t="n">
        <v>7893000488878</v>
      </c>
      <c r="L1342" s="1" t="s">
        <v>2990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5" t="n">
        <v>46188</v>
      </c>
      <c r="C1343" s="1" t="n">
        <v>11</v>
      </c>
      <c r="D1343" s="1" t="s">
        <v>2290</v>
      </c>
      <c r="E1343" s="1" t="n">
        <v>1613</v>
      </c>
      <c r="F1343" s="1" t="s">
        <v>177</v>
      </c>
      <c r="I1343" s="1" t="n">
        <v>1596314</v>
      </c>
      <c r="J1343" s="1" t="n">
        <v>104014</v>
      </c>
      <c r="K1343" s="1" t="n">
        <v>7893000863125</v>
      </c>
      <c r="L1343" s="1" t="s">
        <v>2991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5" t="n">
        <v>46188</v>
      </c>
      <c r="C1344" s="1" t="n">
        <v>11</v>
      </c>
      <c r="D1344" s="1" t="s">
        <v>2290</v>
      </c>
      <c r="E1344" s="1" t="n">
        <v>1613</v>
      </c>
      <c r="F1344" s="1" t="s">
        <v>177</v>
      </c>
      <c r="I1344" s="1" t="n">
        <v>1596314</v>
      </c>
      <c r="J1344" s="1" t="n">
        <v>105663</v>
      </c>
      <c r="K1344" s="1" t="n">
        <v>7893000980006</v>
      </c>
      <c r="L1344" s="1" t="s">
        <v>2992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5" t="n">
        <v>46188</v>
      </c>
      <c r="C1345" s="1" t="n">
        <v>11</v>
      </c>
      <c r="D1345" s="1" t="s">
        <v>2290</v>
      </c>
      <c r="E1345" s="1" t="n">
        <v>1613</v>
      </c>
      <c r="F1345" s="1" t="s">
        <v>177</v>
      </c>
      <c r="I1345" s="1" t="n">
        <v>1596314</v>
      </c>
      <c r="J1345" s="1" t="n">
        <v>108581</v>
      </c>
      <c r="K1345" s="1" t="n">
        <v>7893000949355</v>
      </c>
      <c r="L1345" s="1" t="s">
        <v>2993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5" t="n">
        <v>46188</v>
      </c>
      <c r="C1346" s="1" t="n">
        <v>11</v>
      </c>
      <c r="D1346" s="1" t="s">
        <v>2290</v>
      </c>
      <c r="E1346" s="1" t="n">
        <v>1613</v>
      </c>
      <c r="F1346" s="1" t="s">
        <v>177</v>
      </c>
      <c r="I1346" s="1" t="n">
        <v>1596314</v>
      </c>
      <c r="J1346" s="1" t="n">
        <v>23694</v>
      </c>
      <c r="K1346" s="1" t="n">
        <v>7891515474737</v>
      </c>
      <c r="L1346" s="1" t="s">
        <v>2994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5" t="n">
        <v>46188</v>
      </c>
      <c r="C1347" s="1" t="n">
        <v>11</v>
      </c>
      <c r="D1347" s="1" t="s">
        <v>2290</v>
      </c>
      <c r="E1347" s="1" t="n">
        <v>1613</v>
      </c>
      <c r="F1347" s="1" t="s">
        <v>177</v>
      </c>
      <c r="I1347" s="1" t="n">
        <v>1596314</v>
      </c>
      <c r="J1347" s="1" t="n">
        <v>23695</v>
      </c>
      <c r="K1347" s="1" t="n">
        <v>7891515474126</v>
      </c>
      <c r="L1347" s="1" t="s">
        <v>2995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5" t="n">
        <v>46188</v>
      </c>
      <c r="C1348" s="1" t="n">
        <v>11</v>
      </c>
      <c r="D1348" s="1" t="s">
        <v>2290</v>
      </c>
      <c r="E1348" s="1" t="n">
        <v>1613</v>
      </c>
      <c r="F1348" s="1" t="s">
        <v>177</v>
      </c>
      <c r="I1348" s="1" t="n">
        <v>1596314</v>
      </c>
      <c r="J1348" s="1" t="n">
        <v>52903</v>
      </c>
      <c r="K1348" s="1" t="n">
        <v>7891515591939</v>
      </c>
      <c r="L1348" s="1" t="s">
        <v>2996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5" t="n">
        <v>46188</v>
      </c>
      <c r="C1349" s="1" t="n">
        <v>11</v>
      </c>
      <c r="D1349" s="1" t="s">
        <v>2290</v>
      </c>
      <c r="E1349" s="1" t="n">
        <v>1613</v>
      </c>
      <c r="F1349" s="1" t="s">
        <v>177</v>
      </c>
      <c r="I1349" s="1" t="n">
        <v>1596314</v>
      </c>
      <c r="J1349" s="1" t="n">
        <v>53671</v>
      </c>
      <c r="K1349" s="1" t="n">
        <v>7891515592080</v>
      </c>
      <c r="L1349" s="1" t="s">
        <v>2997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5" t="n">
        <v>46188</v>
      </c>
      <c r="C1350" s="1" t="n">
        <v>11</v>
      </c>
      <c r="D1350" s="1" t="s">
        <v>2290</v>
      </c>
      <c r="E1350" s="1" t="n">
        <v>1613</v>
      </c>
      <c r="F1350" s="1" t="s">
        <v>177</v>
      </c>
      <c r="I1350" s="1" t="n">
        <v>1596314</v>
      </c>
      <c r="J1350" s="1" t="n">
        <v>55565</v>
      </c>
      <c r="K1350" s="1" t="n">
        <v>7891515598266</v>
      </c>
      <c r="L1350" s="1" t="s">
        <v>2998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5" t="n">
        <v>46188</v>
      </c>
      <c r="C1351" s="1" t="n">
        <v>11</v>
      </c>
      <c r="D1351" s="1" t="s">
        <v>2290</v>
      </c>
      <c r="E1351" s="1" t="n">
        <v>1613</v>
      </c>
      <c r="F1351" s="1" t="s">
        <v>177</v>
      </c>
      <c r="I1351" s="1" t="n">
        <v>1596314</v>
      </c>
      <c r="J1351" s="1" t="n">
        <v>58856</v>
      </c>
      <c r="K1351" s="1" t="n">
        <v>7891515606831</v>
      </c>
      <c r="L1351" s="1" t="s">
        <v>2999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5" t="n">
        <v>46188</v>
      </c>
      <c r="C1352" s="1" t="n">
        <v>11</v>
      </c>
      <c r="D1352" s="1" t="s">
        <v>2290</v>
      </c>
      <c r="E1352" s="1" t="n">
        <v>1613</v>
      </c>
      <c r="F1352" s="1" t="s">
        <v>177</v>
      </c>
      <c r="I1352" s="1" t="n">
        <v>1596314</v>
      </c>
      <c r="J1352" s="1" t="n">
        <v>65295</v>
      </c>
      <c r="K1352" s="1" t="n">
        <v>7891164110635</v>
      </c>
      <c r="L1352" s="1" t="s">
        <v>3000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5" t="n">
        <v>46188</v>
      </c>
      <c r="C1353" s="1" t="n">
        <v>11</v>
      </c>
      <c r="D1353" s="1" t="s">
        <v>2290</v>
      </c>
      <c r="E1353" s="1" t="n">
        <v>1611</v>
      </c>
      <c r="F1353" s="1" t="s">
        <v>445</v>
      </c>
      <c r="I1353" s="1" t="n">
        <v>1771475</v>
      </c>
      <c r="J1353" s="1" t="n">
        <v>107331</v>
      </c>
      <c r="K1353" s="1" t="n">
        <v>7891109604038</v>
      </c>
      <c r="L1353" s="1" t="s">
        <v>3001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5" t="n">
        <v>46188</v>
      </c>
      <c r="C1354" s="1" t="n">
        <v>11</v>
      </c>
      <c r="D1354" s="1" t="s">
        <v>2290</v>
      </c>
      <c r="E1354" s="1" t="n">
        <v>1611</v>
      </c>
      <c r="F1354" s="1" t="s">
        <v>445</v>
      </c>
      <c r="I1354" s="1" t="n">
        <v>1771475</v>
      </c>
      <c r="J1354" s="1" t="n">
        <v>10867</v>
      </c>
      <c r="K1354" s="1" t="n">
        <v>7890732316226</v>
      </c>
      <c r="L1354" s="1" t="s">
        <v>3002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5" t="n">
        <v>46188</v>
      </c>
      <c r="C1355" s="1" t="n">
        <v>11</v>
      </c>
      <c r="D1355" s="1" t="s">
        <v>2290</v>
      </c>
      <c r="E1355" s="1" t="n">
        <v>1611</v>
      </c>
      <c r="F1355" s="1" t="s">
        <v>445</v>
      </c>
      <c r="I1355" s="1" t="n">
        <v>1771475</v>
      </c>
      <c r="J1355" s="1" t="n">
        <v>10867</v>
      </c>
      <c r="K1355" s="1" t="n">
        <v>7890732316226</v>
      </c>
      <c r="L1355" s="1" t="s">
        <v>3002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5" t="n">
        <v>46188</v>
      </c>
      <c r="C1356" s="1" t="n">
        <v>11</v>
      </c>
      <c r="D1356" s="1" t="s">
        <v>2290</v>
      </c>
      <c r="E1356" s="1" t="n">
        <v>1611</v>
      </c>
      <c r="F1356" s="1" t="s">
        <v>445</v>
      </c>
      <c r="I1356" s="1" t="n">
        <v>1771475</v>
      </c>
      <c r="J1356" s="1" t="n">
        <v>17346</v>
      </c>
      <c r="K1356" s="1" t="n">
        <v>7891109789841</v>
      </c>
      <c r="L1356" s="1" t="s">
        <v>3003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5" t="n">
        <v>46188</v>
      </c>
      <c r="C1357" s="1" t="n">
        <v>11</v>
      </c>
      <c r="D1357" s="1" t="s">
        <v>2290</v>
      </c>
      <c r="E1357" s="1" t="n">
        <v>1611</v>
      </c>
      <c r="F1357" s="1" t="s">
        <v>445</v>
      </c>
      <c r="I1357" s="1" t="n">
        <v>1771475</v>
      </c>
      <c r="J1357" s="1" t="n">
        <v>17350</v>
      </c>
      <c r="K1357" s="1" t="n">
        <v>7891109789858</v>
      </c>
      <c r="L1357" s="1" t="s">
        <v>3004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5" t="n">
        <v>46188</v>
      </c>
      <c r="C1358" s="1" t="n">
        <v>11</v>
      </c>
      <c r="D1358" s="1" t="s">
        <v>2290</v>
      </c>
      <c r="E1358" s="1" t="n">
        <v>1611</v>
      </c>
      <c r="F1358" s="1" t="s">
        <v>445</v>
      </c>
      <c r="I1358" s="1" t="n">
        <v>1771475</v>
      </c>
      <c r="J1358" s="1" t="n">
        <v>26323</v>
      </c>
      <c r="K1358" s="1" t="n">
        <v>7890557502484</v>
      </c>
      <c r="L1358" s="1" t="s">
        <v>3005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5" t="n">
        <v>46188</v>
      </c>
      <c r="C1359" s="1" t="n">
        <v>11</v>
      </c>
      <c r="D1359" s="1" t="s">
        <v>2290</v>
      </c>
      <c r="E1359" s="1" t="n">
        <v>1611</v>
      </c>
      <c r="F1359" s="1" t="s">
        <v>445</v>
      </c>
      <c r="I1359" s="1" t="n">
        <v>1771475</v>
      </c>
      <c r="J1359" s="1" t="n">
        <v>26323</v>
      </c>
      <c r="K1359" s="1" t="n">
        <v>7890557502484</v>
      </c>
      <c r="L1359" s="1" t="s">
        <v>3005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5" t="n">
        <v>46188</v>
      </c>
      <c r="C1360" s="1" t="n">
        <v>11</v>
      </c>
      <c r="D1360" s="1" t="s">
        <v>2290</v>
      </c>
      <c r="E1360" s="1" t="n">
        <v>1611</v>
      </c>
      <c r="F1360" s="1" t="s">
        <v>445</v>
      </c>
      <c r="I1360" s="1" t="n">
        <v>1771475</v>
      </c>
      <c r="J1360" s="1" t="n">
        <v>31599</v>
      </c>
      <c r="K1360" s="1" t="n">
        <v>7893249567075</v>
      </c>
      <c r="L1360" s="1" t="s">
        <v>3006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5" t="n">
        <v>46188</v>
      </c>
      <c r="C1361" s="1" t="n">
        <v>11</v>
      </c>
      <c r="D1361" s="1" t="s">
        <v>2290</v>
      </c>
      <c r="E1361" s="1" t="n">
        <v>1611</v>
      </c>
      <c r="F1361" s="1" t="s">
        <v>445</v>
      </c>
      <c r="I1361" s="1" t="n">
        <v>1771475</v>
      </c>
      <c r="J1361" s="1" t="n">
        <v>31599</v>
      </c>
      <c r="K1361" s="1" t="n">
        <v>7893249567075</v>
      </c>
      <c r="L1361" s="1" t="s">
        <v>3006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5" t="n">
        <v>46188</v>
      </c>
      <c r="C1362" s="1" t="n">
        <v>11</v>
      </c>
      <c r="D1362" s="1" t="s">
        <v>2290</v>
      </c>
      <c r="E1362" s="1" t="n">
        <v>1611</v>
      </c>
      <c r="F1362" s="1" t="s">
        <v>445</v>
      </c>
      <c r="I1362" s="1" t="n">
        <v>1771475</v>
      </c>
      <c r="J1362" s="1" t="n">
        <v>31600</v>
      </c>
      <c r="K1362" s="1" t="n">
        <v>7893249567082</v>
      </c>
      <c r="L1362" s="1" t="s">
        <v>3007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5" t="n">
        <v>46188</v>
      </c>
      <c r="C1363" s="1" t="n">
        <v>11</v>
      </c>
      <c r="D1363" s="1" t="s">
        <v>2290</v>
      </c>
      <c r="E1363" s="1" t="n">
        <v>1611</v>
      </c>
      <c r="F1363" s="1" t="s">
        <v>445</v>
      </c>
      <c r="I1363" s="1" t="n">
        <v>1771475</v>
      </c>
      <c r="J1363" s="1" t="n">
        <v>31600</v>
      </c>
      <c r="K1363" s="1" t="n">
        <v>7893249567082</v>
      </c>
      <c r="L1363" s="1" t="s">
        <v>3007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5" t="n">
        <v>46188</v>
      </c>
      <c r="C1364" s="1" t="n">
        <v>11</v>
      </c>
      <c r="D1364" s="1" t="s">
        <v>2290</v>
      </c>
      <c r="E1364" s="1" t="n">
        <v>1611</v>
      </c>
      <c r="F1364" s="1" t="s">
        <v>445</v>
      </c>
      <c r="I1364" s="1" t="n">
        <v>1771475</v>
      </c>
      <c r="J1364" s="1" t="n">
        <v>31601</v>
      </c>
      <c r="K1364" s="1" t="n">
        <v>7893249567099</v>
      </c>
      <c r="L1364" s="1" t="s">
        <v>3007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5" t="n">
        <v>46188</v>
      </c>
      <c r="C1365" s="1" t="n">
        <v>11</v>
      </c>
      <c r="D1365" s="1" t="s">
        <v>2290</v>
      </c>
      <c r="E1365" s="1" t="n">
        <v>1611</v>
      </c>
      <c r="F1365" s="1" t="s">
        <v>445</v>
      </c>
      <c r="I1365" s="1" t="n">
        <v>1771475</v>
      </c>
      <c r="J1365" s="1" t="n">
        <v>31601</v>
      </c>
      <c r="K1365" s="1" t="n">
        <v>7893249567099</v>
      </c>
      <c r="L1365" s="1" t="s">
        <v>3007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5" t="n">
        <v>46188</v>
      </c>
      <c r="C1366" s="1" t="n">
        <v>11</v>
      </c>
      <c r="D1366" s="1" t="s">
        <v>2290</v>
      </c>
      <c r="E1366" s="1" t="n">
        <v>1611</v>
      </c>
      <c r="F1366" s="1" t="s">
        <v>445</v>
      </c>
      <c r="I1366" s="1" t="n">
        <v>1771475</v>
      </c>
      <c r="J1366" s="1" t="n">
        <v>33154</v>
      </c>
      <c r="K1366" s="1" t="n">
        <v>7890557502477</v>
      </c>
      <c r="L1366" s="1" t="s">
        <v>3008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5" t="n">
        <v>46188</v>
      </c>
      <c r="C1367" s="1" t="n">
        <v>11</v>
      </c>
      <c r="D1367" s="1" t="s">
        <v>2290</v>
      </c>
      <c r="E1367" s="1" t="n">
        <v>1611</v>
      </c>
      <c r="F1367" s="1" t="s">
        <v>445</v>
      </c>
      <c r="I1367" s="1" t="n">
        <v>1771475</v>
      </c>
      <c r="J1367" s="1" t="n">
        <v>33154</v>
      </c>
      <c r="K1367" s="1" t="n">
        <v>7890557502477</v>
      </c>
      <c r="L1367" s="1" t="s">
        <v>3008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5" t="n">
        <v>46188</v>
      </c>
      <c r="C1368" s="1" t="n">
        <v>11</v>
      </c>
      <c r="D1368" s="1" t="s">
        <v>2290</v>
      </c>
      <c r="E1368" s="1" t="n">
        <v>1611</v>
      </c>
      <c r="F1368" s="1" t="s">
        <v>445</v>
      </c>
      <c r="I1368" s="1" t="n">
        <v>1771475</v>
      </c>
      <c r="J1368" s="1" t="n">
        <v>33157</v>
      </c>
      <c r="K1368" s="1" t="n">
        <v>7890557502491</v>
      </c>
      <c r="L1368" s="1" t="s">
        <v>3009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5" t="n">
        <v>46188</v>
      </c>
      <c r="C1369" s="1" t="n">
        <v>11</v>
      </c>
      <c r="D1369" s="1" t="s">
        <v>2290</v>
      </c>
      <c r="E1369" s="1" t="n">
        <v>1611</v>
      </c>
      <c r="F1369" s="1" t="s">
        <v>445</v>
      </c>
      <c r="I1369" s="1" t="n">
        <v>1771475</v>
      </c>
      <c r="J1369" s="1" t="n">
        <v>33157</v>
      </c>
      <c r="K1369" s="1" t="n">
        <v>7890557502491</v>
      </c>
      <c r="L1369" s="1" t="s">
        <v>3009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5" t="n">
        <v>46188</v>
      </c>
      <c r="C1370" s="1" t="n">
        <v>11</v>
      </c>
      <c r="D1370" s="1" t="s">
        <v>2290</v>
      </c>
      <c r="E1370" s="1" t="n">
        <v>1611</v>
      </c>
      <c r="F1370" s="1" t="s">
        <v>445</v>
      </c>
      <c r="I1370" s="1" t="n">
        <v>1771475</v>
      </c>
      <c r="J1370" s="1" t="n">
        <v>38907</v>
      </c>
      <c r="K1370" s="1" t="n">
        <v>7891109604021</v>
      </c>
      <c r="L1370" s="1" t="s">
        <v>3010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5" t="n">
        <v>46188</v>
      </c>
      <c r="C1371" s="1" t="n">
        <v>11</v>
      </c>
      <c r="D1371" s="1" t="s">
        <v>2290</v>
      </c>
      <c r="E1371" s="1" t="n">
        <v>1611</v>
      </c>
      <c r="F1371" s="1" t="s">
        <v>445</v>
      </c>
      <c r="I1371" s="1" t="n">
        <v>1771475</v>
      </c>
      <c r="J1371" s="1" t="n">
        <v>49677</v>
      </c>
      <c r="K1371" s="1" t="n">
        <v>7893249170756</v>
      </c>
      <c r="L1371" s="1" t="s">
        <v>3011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5" t="n">
        <v>46188</v>
      </c>
      <c r="C1372" s="1" t="n">
        <v>11</v>
      </c>
      <c r="D1372" s="1" t="s">
        <v>2290</v>
      </c>
      <c r="E1372" s="1" t="n">
        <v>1611</v>
      </c>
      <c r="F1372" s="1" t="s">
        <v>445</v>
      </c>
      <c r="I1372" s="1" t="n">
        <v>1771475</v>
      </c>
      <c r="J1372" s="1" t="n">
        <v>49678</v>
      </c>
      <c r="K1372" s="1" t="n">
        <v>7893249170770</v>
      </c>
      <c r="L1372" s="1" t="s">
        <v>3012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5" t="n">
        <v>46188</v>
      </c>
      <c r="C1373" s="1" t="n">
        <v>11</v>
      </c>
      <c r="D1373" s="1" t="s">
        <v>2290</v>
      </c>
      <c r="E1373" s="1" t="n">
        <v>1611</v>
      </c>
      <c r="F1373" s="1" t="s">
        <v>445</v>
      </c>
      <c r="I1373" s="1" t="n">
        <v>1771475</v>
      </c>
      <c r="J1373" s="1" t="n">
        <v>49823</v>
      </c>
      <c r="K1373" s="1" t="n">
        <v>7890732316233</v>
      </c>
      <c r="L1373" s="1" t="s">
        <v>3013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5" t="n">
        <v>46188</v>
      </c>
      <c r="C1374" s="1" t="n">
        <v>11</v>
      </c>
      <c r="D1374" s="1" t="s">
        <v>2290</v>
      </c>
      <c r="E1374" s="1" t="n">
        <v>1611</v>
      </c>
      <c r="F1374" s="1" t="s">
        <v>445</v>
      </c>
      <c r="I1374" s="1" t="n">
        <v>1771475</v>
      </c>
      <c r="J1374" s="1" t="n">
        <v>49823</v>
      </c>
      <c r="K1374" s="1" t="n">
        <v>7890732316233</v>
      </c>
      <c r="L1374" s="1" t="s">
        <v>3013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5" t="n">
        <v>46188</v>
      </c>
      <c r="C1375" s="1" t="n">
        <v>11</v>
      </c>
      <c r="D1375" s="1" t="s">
        <v>2290</v>
      </c>
      <c r="E1375" s="1" t="n">
        <v>1611</v>
      </c>
      <c r="F1375" s="1" t="s">
        <v>445</v>
      </c>
      <c r="I1375" s="1" t="n">
        <v>1771475</v>
      </c>
      <c r="J1375" s="1" t="n">
        <v>56775</v>
      </c>
      <c r="K1375" s="1" t="n">
        <v>7893249647357</v>
      </c>
      <c r="L1375" s="1" t="s">
        <v>3014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5" t="n">
        <v>46188</v>
      </c>
      <c r="C1376" s="1" t="n">
        <v>11</v>
      </c>
      <c r="D1376" s="1" t="s">
        <v>2290</v>
      </c>
      <c r="E1376" s="1" t="n">
        <v>1611</v>
      </c>
      <c r="F1376" s="1" t="s">
        <v>445</v>
      </c>
      <c r="I1376" s="1" t="n">
        <v>1771475</v>
      </c>
      <c r="J1376" s="1" t="n">
        <v>56776</v>
      </c>
      <c r="K1376" s="1" t="n">
        <v>7893249647364</v>
      </c>
      <c r="L1376" s="1" t="s">
        <v>3014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5" t="n">
        <v>46188</v>
      </c>
      <c r="C1377" s="1" t="n">
        <v>11</v>
      </c>
      <c r="D1377" s="1" t="s">
        <v>2290</v>
      </c>
      <c r="E1377" s="1" t="n">
        <v>1611</v>
      </c>
      <c r="F1377" s="1" t="s">
        <v>445</v>
      </c>
      <c r="I1377" s="1" t="n">
        <v>1771475</v>
      </c>
      <c r="J1377" s="1" t="n">
        <v>59596</v>
      </c>
      <c r="K1377" s="1" t="n">
        <v>7909843821946</v>
      </c>
      <c r="L1377" s="1" t="s">
        <v>3015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5" t="n">
        <v>46188</v>
      </c>
      <c r="C1378" s="1" t="n">
        <v>11</v>
      </c>
      <c r="D1378" s="1" t="s">
        <v>2290</v>
      </c>
      <c r="E1378" s="1" t="n">
        <v>1611</v>
      </c>
      <c r="F1378" s="1" t="s">
        <v>445</v>
      </c>
      <c r="I1378" s="1" t="n">
        <v>1771475</v>
      </c>
      <c r="J1378" s="1" t="n">
        <v>59597</v>
      </c>
      <c r="K1378" s="1" t="n">
        <v>7909843821939</v>
      </c>
      <c r="L1378" s="1" t="s">
        <v>3015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5" t="n">
        <v>46188</v>
      </c>
      <c r="C1379" s="1" t="n">
        <v>11</v>
      </c>
      <c r="D1379" s="1" t="s">
        <v>2290</v>
      </c>
      <c r="E1379" s="1" t="n">
        <v>1611</v>
      </c>
      <c r="F1379" s="1" t="s">
        <v>445</v>
      </c>
      <c r="I1379" s="1" t="n">
        <v>1771475</v>
      </c>
      <c r="J1379" s="1" t="n">
        <v>59599</v>
      </c>
      <c r="K1379" s="1" t="n">
        <v>7909843821922</v>
      </c>
      <c r="L1379" s="1" t="s">
        <v>3016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5" t="n">
        <v>46188</v>
      </c>
      <c r="C1380" s="1" t="n">
        <v>11</v>
      </c>
      <c r="D1380" s="1" t="s">
        <v>2290</v>
      </c>
      <c r="E1380" s="1" t="n">
        <v>1611</v>
      </c>
      <c r="F1380" s="1" t="s">
        <v>445</v>
      </c>
      <c r="I1380" s="1" t="n">
        <v>1771475</v>
      </c>
      <c r="J1380" s="1" t="n">
        <v>63054</v>
      </c>
      <c r="K1380" s="1" t="n">
        <v>7895265145305</v>
      </c>
      <c r="L1380" s="1" t="s">
        <v>3017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5" t="n">
        <v>46188</v>
      </c>
      <c r="C1381" s="1" t="n">
        <v>11</v>
      </c>
      <c r="D1381" s="1" t="s">
        <v>2290</v>
      </c>
      <c r="E1381" s="1" t="n">
        <v>1611</v>
      </c>
      <c r="F1381" s="1" t="s">
        <v>445</v>
      </c>
      <c r="I1381" s="1" t="n">
        <v>1771475</v>
      </c>
      <c r="J1381" s="1" t="n">
        <v>63061</v>
      </c>
      <c r="K1381" s="1" t="n">
        <v>7895265145329</v>
      </c>
      <c r="L1381" s="1" t="s">
        <v>3018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5" t="n">
        <v>46188</v>
      </c>
      <c r="C1382" s="1" t="n">
        <v>11</v>
      </c>
      <c r="D1382" s="1" t="s">
        <v>2290</v>
      </c>
      <c r="E1382" s="1" t="n">
        <v>1611</v>
      </c>
      <c r="F1382" s="1" t="s">
        <v>445</v>
      </c>
      <c r="I1382" s="1" t="n">
        <v>1771475</v>
      </c>
      <c r="J1382" s="1" t="n">
        <v>65788</v>
      </c>
      <c r="K1382" s="1" t="n">
        <v>7895265145312</v>
      </c>
      <c r="L1382" s="1" t="s">
        <v>3019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15" t="n">
        <v>46188</v>
      </c>
      <c r="C1383" s="1" t="n">
        <v>11</v>
      </c>
      <c r="D1383" s="1" t="s">
        <v>2290</v>
      </c>
      <c r="E1383" s="1" t="n">
        <v>1611</v>
      </c>
      <c r="F1383" s="1" t="s">
        <v>445</v>
      </c>
      <c r="I1383" s="1" t="n">
        <v>1771475</v>
      </c>
      <c r="J1383" s="1" t="n">
        <v>67329</v>
      </c>
      <c r="K1383" s="1" t="n">
        <v>7909989687437</v>
      </c>
      <c r="L1383" s="1" t="s">
        <v>3020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15" t="n">
        <v>46188</v>
      </c>
      <c r="C1384" s="1" t="n">
        <v>11</v>
      </c>
      <c r="D1384" s="1" t="s">
        <v>2290</v>
      </c>
      <c r="E1384" s="1" t="n">
        <v>1611</v>
      </c>
      <c r="F1384" s="1" t="s">
        <v>445</v>
      </c>
      <c r="I1384" s="1" t="n">
        <v>1771475</v>
      </c>
      <c r="J1384" s="1" t="n">
        <v>69154</v>
      </c>
      <c r="K1384" s="1" t="n">
        <v>7909989442630</v>
      </c>
      <c r="L1384" s="1" t="s">
        <v>3021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15" t="n">
        <v>46188</v>
      </c>
      <c r="C1385" s="1" t="n">
        <v>11</v>
      </c>
      <c r="D1385" s="1" t="s">
        <v>2290</v>
      </c>
      <c r="E1385" s="1" t="n">
        <v>1611</v>
      </c>
      <c r="F1385" s="1" t="s">
        <v>445</v>
      </c>
      <c r="I1385" s="1" t="n">
        <v>1771475</v>
      </c>
      <c r="J1385" s="1" t="n">
        <v>69154</v>
      </c>
      <c r="K1385" s="1" t="n">
        <v>7909989442630</v>
      </c>
      <c r="L1385" s="1" t="s">
        <v>3021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15" t="n">
        <v>46188</v>
      </c>
      <c r="C1386" s="1" t="n">
        <v>11</v>
      </c>
      <c r="D1386" s="1" t="s">
        <v>2290</v>
      </c>
      <c r="E1386" s="1" t="n">
        <v>1611</v>
      </c>
      <c r="F1386" s="1" t="s">
        <v>445</v>
      </c>
      <c r="I1386" s="1" t="n">
        <v>1771475</v>
      </c>
      <c r="J1386" s="1" t="n">
        <v>69183</v>
      </c>
      <c r="K1386" s="1" t="n">
        <v>7909989442647</v>
      </c>
      <c r="L1386" s="1" t="s">
        <v>3021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5" t="n">
        <v>46188</v>
      </c>
      <c r="C1387" s="1" t="n">
        <v>11</v>
      </c>
      <c r="D1387" s="1" t="s">
        <v>2290</v>
      </c>
      <c r="E1387" s="1" t="n">
        <v>1611</v>
      </c>
      <c r="F1387" s="1" t="s">
        <v>445</v>
      </c>
      <c r="I1387" s="1" t="n">
        <v>1771475</v>
      </c>
      <c r="J1387" s="1" t="n">
        <v>69183</v>
      </c>
      <c r="K1387" s="1" t="n">
        <v>7909989442647</v>
      </c>
      <c r="L1387" s="1" t="s">
        <v>3021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5" t="n">
        <v>46188</v>
      </c>
      <c r="C1388" s="1" t="n">
        <v>11</v>
      </c>
      <c r="D1388" s="1" t="s">
        <v>2290</v>
      </c>
      <c r="E1388" s="1" t="n">
        <v>1611</v>
      </c>
      <c r="F1388" s="1" t="s">
        <v>445</v>
      </c>
      <c r="I1388" s="1" t="n">
        <v>1771475</v>
      </c>
      <c r="J1388" s="1" t="n">
        <v>69197</v>
      </c>
      <c r="K1388" s="1" t="n">
        <v>7909989680674</v>
      </c>
      <c r="L1388" s="1" t="s">
        <v>3022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15" t="n">
        <v>46188</v>
      </c>
      <c r="C1389" s="1" t="n">
        <v>11</v>
      </c>
      <c r="D1389" s="1" t="s">
        <v>2290</v>
      </c>
      <c r="E1389" s="1" t="n">
        <v>1611</v>
      </c>
      <c r="F1389" s="1" t="s">
        <v>445</v>
      </c>
      <c r="I1389" s="1" t="n">
        <v>1771475</v>
      </c>
      <c r="J1389" s="1" t="n">
        <v>69199</v>
      </c>
      <c r="K1389" s="1" t="n">
        <v>7909989680681</v>
      </c>
      <c r="L1389" s="1" t="s">
        <v>3022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15" t="n">
        <v>46188</v>
      </c>
      <c r="C1390" s="1" t="n">
        <v>11</v>
      </c>
      <c r="D1390" s="1" t="s">
        <v>2290</v>
      </c>
      <c r="E1390" s="1" t="n">
        <v>1611</v>
      </c>
      <c r="F1390" s="1" t="s">
        <v>445</v>
      </c>
      <c r="I1390" s="1" t="n">
        <v>1771475</v>
      </c>
      <c r="J1390" s="1" t="n">
        <v>69200</v>
      </c>
      <c r="K1390" s="1" t="n">
        <v>7909989680698</v>
      </c>
      <c r="L1390" s="1" t="s">
        <v>3023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15" t="n">
        <v>46188</v>
      </c>
      <c r="C1391" s="1" t="n">
        <v>11</v>
      </c>
      <c r="D1391" s="1" t="s">
        <v>2290</v>
      </c>
      <c r="E1391" s="1" t="n">
        <v>1611</v>
      </c>
      <c r="F1391" s="1" t="s">
        <v>445</v>
      </c>
      <c r="I1391" s="1" t="n">
        <v>1771475</v>
      </c>
      <c r="J1391" s="1" t="n">
        <v>69201</v>
      </c>
      <c r="K1391" s="1" t="n">
        <v>7909989680612</v>
      </c>
      <c r="L1391" s="1" t="s">
        <v>3024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5" t="n">
        <v>46188</v>
      </c>
      <c r="C1392" s="1" t="n">
        <v>11</v>
      </c>
      <c r="D1392" s="1" t="s">
        <v>2290</v>
      </c>
      <c r="E1392" s="1" t="n">
        <v>1611</v>
      </c>
      <c r="F1392" s="1" t="s">
        <v>445</v>
      </c>
      <c r="I1392" s="1" t="n">
        <v>1771475</v>
      </c>
      <c r="J1392" s="1" t="n">
        <v>69202</v>
      </c>
      <c r="K1392" s="1" t="n">
        <v>7909989680629</v>
      </c>
      <c r="L1392" s="1" t="s">
        <v>3024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15" t="n">
        <v>46188</v>
      </c>
      <c r="C1393" s="1" t="n">
        <v>11</v>
      </c>
      <c r="D1393" s="1" t="s">
        <v>2290</v>
      </c>
      <c r="E1393" s="1" t="n">
        <v>1611</v>
      </c>
      <c r="F1393" s="1" t="s">
        <v>445</v>
      </c>
      <c r="I1393" s="1" t="n">
        <v>1771475</v>
      </c>
      <c r="J1393" s="1" t="n">
        <v>69203</v>
      </c>
      <c r="K1393" s="1" t="n">
        <v>7909989680636</v>
      </c>
      <c r="L1393" s="1" t="s">
        <v>3024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15" t="n">
        <v>46188</v>
      </c>
      <c r="C1394" s="1" t="n">
        <v>11</v>
      </c>
      <c r="D1394" s="1" t="s">
        <v>2290</v>
      </c>
      <c r="E1394" s="1" t="n">
        <v>1611</v>
      </c>
      <c r="F1394" s="1" t="s">
        <v>445</v>
      </c>
      <c r="I1394" s="1" t="n">
        <v>1771475</v>
      </c>
      <c r="J1394" s="1" t="n">
        <v>69207</v>
      </c>
      <c r="K1394" s="1" t="n">
        <v>7909989912614</v>
      </c>
      <c r="L1394" s="1" t="s">
        <v>3025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15" t="n">
        <v>46188</v>
      </c>
      <c r="C1395" s="1" t="n">
        <v>11</v>
      </c>
      <c r="D1395" s="1" t="s">
        <v>2290</v>
      </c>
      <c r="E1395" s="1" t="n">
        <v>1611</v>
      </c>
      <c r="F1395" s="1" t="s">
        <v>445</v>
      </c>
      <c r="I1395" s="1" t="n">
        <v>1771475</v>
      </c>
      <c r="J1395" s="1" t="n">
        <v>69210</v>
      </c>
      <c r="K1395" s="1" t="n">
        <v>7909989912621</v>
      </c>
      <c r="L1395" s="1" t="s">
        <v>3025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15" t="n">
        <v>46188</v>
      </c>
      <c r="C1396" s="1" t="n">
        <v>11</v>
      </c>
      <c r="D1396" s="1" t="s">
        <v>2290</v>
      </c>
      <c r="E1396" s="1" t="n">
        <v>1611</v>
      </c>
      <c r="F1396" s="1" t="s">
        <v>445</v>
      </c>
      <c r="I1396" s="1" t="n">
        <v>1771475</v>
      </c>
      <c r="J1396" s="1" t="n">
        <v>69212</v>
      </c>
      <c r="K1396" s="1" t="n">
        <v>7909989912737</v>
      </c>
      <c r="L1396" s="1" t="s">
        <v>3025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5" t="n">
        <v>46188</v>
      </c>
      <c r="C1397" s="1" t="n">
        <v>11</v>
      </c>
      <c r="D1397" s="1" t="s">
        <v>2290</v>
      </c>
      <c r="E1397" s="1" t="n">
        <v>1611</v>
      </c>
      <c r="F1397" s="1" t="s">
        <v>445</v>
      </c>
      <c r="I1397" s="1" t="n">
        <v>1771475</v>
      </c>
      <c r="J1397" s="1" t="n">
        <v>69217</v>
      </c>
      <c r="K1397" s="1" t="n">
        <v>7909989912744</v>
      </c>
      <c r="L1397" s="1" t="s">
        <v>3026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5" t="n">
        <v>46188</v>
      </c>
      <c r="C1398" s="1" t="n">
        <v>11</v>
      </c>
      <c r="D1398" s="1" t="s">
        <v>2290</v>
      </c>
      <c r="E1398" s="1" t="n">
        <v>1611</v>
      </c>
      <c r="F1398" s="1" t="s">
        <v>445</v>
      </c>
      <c r="I1398" s="1" t="n">
        <v>1771475</v>
      </c>
      <c r="J1398" s="1" t="n">
        <v>70955</v>
      </c>
      <c r="K1398" s="1" t="n">
        <v>7909989912751</v>
      </c>
      <c r="L1398" s="1" t="s">
        <v>3027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15" t="n">
        <v>46188</v>
      </c>
      <c r="C1399" s="1" t="n">
        <v>11</v>
      </c>
      <c r="D1399" s="1" t="s">
        <v>2290</v>
      </c>
      <c r="E1399" s="1" t="n">
        <v>1611</v>
      </c>
      <c r="F1399" s="1" t="s">
        <v>445</v>
      </c>
      <c r="I1399" s="1" t="n">
        <v>1771475</v>
      </c>
      <c r="J1399" s="1" t="n">
        <v>71921</v>
      </c>
      <c r="K1399" s="1" t="n">
        <v>7909989687451</v>
      </c>
      <c r="L1399" s="1" t="s">
        <v>3028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15" t="n">
        <v>46188</v>
      </c>
      <c r="C1400" s="1" t="n">
        <v>11</v>
      </c>
      <c r="D1400" s="1" t="s">
        <v>2290</v>
      </c>
      <c r="E1400" s="1" t="n">
        <v>1611</v>
      </c>
      <c r="F1400" s="1" t="s">
        <v>445</v>
      </c>
      <c r="I1400" s="1" t="n">
        <v>1771475</v>
      </c>
      <c r="J1400" s="1" t="n">
        <v>71922</v>
      </c>
      <c r="K1400" s="1" t="n">
        <v>7909989687468</v>
      </c>
      <c r="L1400" s="1" t="s">
        <v>3028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15" t="n">
        <v>46188</v>
      </c>
      <c r="C1401" s="1" t="n">
        <v>11</v>
      </c>
      <c r="D1401" s="1" t="s">
        <v>2290</v>
      </c>
      <c r="E1401" s="1" t="n">
        <v>1611</v>
      </c>
      <c r="F1401" s="1" t="s">
        <v>445</v>
      </c>
      <c r="I1401" s="1" t="n">
        <v>1771475</v>
      </c>
      <c r="J1401" s="1" t="n">
        <v>73592</v>
      </c>
      <c r="K1401" s="1" t="n">
        <v>7909989912638</v>
      </c>
      <c r="L1401" s="1" t="s">
        <v>3029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15" t="n">
        <v>46188</v>
      </c>
      <c r="C1402" s="1" t="n">
        <v>11</v>
      </c>
      <c r="D1402" s="1" t="s">
        <v>2290</v>
      </c>
      <c r="E1402" s="1" t="n">
        <v>1611</v>
      </c>
      <c r="F1402" s="1" t="s">
        <v>445</v>
      </c>
      <c r="I1402" s="1" t="n">
        <v>1771475</v>
      </c>
      <c r="J1402" s="1" t="n">
        <v>75917</v>
      </c>
      <c r="K1402" s="1" t="n">
        <v>7909989681565</v>
      </c>
      <c r="L1402" s="1" t="s">
        <v>3030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15" t="n">
        <v>46188</v>
      </c>
      <c r="C1403" s="1" t="n">
        <v>11</v>
      </c>
      <c r="D1403" s="1" t="s">
        <v>2290</v>
      </c>
      <c r="E1403" s="1" t="n">
        <v>1611</v>
      </c>
      <c r="F1403" s="1" t="s">
        <v>445</v>
      </c>
      <c r="I1403" s="1" t="n">
        <v>1771475</v>
      </c>
      <c r="J1403" s="1" t="n">
        <v>76052</v>
      </c>
      <c r="K1403" s="1" t="n">
        <v>7909989793893</v>
      </c>
      <c r="L1403" s="1" t="s">
        <v>3031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15" t="n">
        <v>46188</v>
      </c>
      <c r="C1404" s="1" t="n">
        <v>11</v>
      </c>
      <c r="D1404" s="1" t="s">
        <v>2290</v>
      </c>
      <c r="E1404" s="1" t="n">
        <v>1611</v>
      </c>
      <c r="F1404" s="1" t="s">
        <v>445</v>
      </c>
      <c r="I1404" s="1" t="n">
        <v>1771475</v>
      </c>
      <c r="J1404" s="1" t="n">
        <v>76070</v>
      </c>
      <c r="K1404" s="1" t="n">
        <v>7909989793961</v>
      </c>
      <c r="L1404" s="1" t="s">
        <v>3031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15" t="n">
        <v>46188</v>
      </c>
      <c r="C1405" s="1" t="n">
        <v>11</v>
      </c>
      <c r="D1405" s="1" t="s">
        <v>2290</v>
      </c>
      <c r="E1405" s="1" t="n">
        <v>1611</v>
      </c>
      <c r="F1405" s="1" t="s">
        <v>445</v>
      </c>
      <c r="I1405" s="1" t="n">
        <v>1771475</v>
      </c>
      <c r="J1405" s="1" t="n">
        <v>76071</v>
      </c>
      <c r="K1405" s="1" t="n">
        <v>7909989793947</v>
      </c>
      <c r="L1405" s="1" t="s">
        <v>3031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5" t="n">
        <v>46188</v>
      </c>
      <c r="C1406" s="1" t="n">
        <v>11</v>
      </c>
      <c r="D1406" s="1" t="s">
        <v>2290</v>
      </c>
      <c r="E1406" s="1" t="n">
        <v>1611</v>
      </c>
      <c r="F1406" s="1" t="s">
        <v>445</v>
      </c>
      <c r="I1406" s="1" t="n">
        <v>1771475</v>
      </c>
      <c r="J1406" s="1" t="n">
        <v>76072</v>
      </c>
      <c r="K1406" s="1" t="n">
        <v>7909989793855</v>
      </c>
      <c r="L1406" s="1" t="s">
        <v>3031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15" t="n">
        <v>46188</v>
      </c>
      <c r="C1407" s="1" t="n">
        <v>11</v>
      </c>
      <c r="D1407" s="1" t="s">
        <v>2290</v>
      </c>
      <c r="E1407" s="1" t="n">
        <v>1611</v>
      </c>
      <c r="F1407" s="1" t="s">
        <v>445</v>
      </c>
      <c r="I1407" s="1" t="n">
        <v>1771475</v>
      </c>
      <c r="J1407" s="1" t="n">
        <v>76080</v>
      </c>
      <c r="K1407" s="1" t="n">
        <v>7909989681527</v>
      </c>
      <c r="L1407" s="1" t="s">
        <v>3030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15" t="n">
        <v>46188</v>
      </c>
      <c r="C1408" s="1" t="n">
        <v>11</v>
      </c>
      <c r="D1408" s="1" t="s">
        <v>2290</v>
      </c>
      <c r="E1408" s="1" t="n">
        <v>1611</v>
      </c>
      <c r="F1408" s="1" t="s">
        <v>445</v>
      </c>
      <c r="I1408" s="1" t="n">
        <v>1771475</v>
      </c>
      <c r="J1408" s="1" t="n">
        <v>76081</v>
      </c>
      <c r="K1408" s="1" t="n">
        <v>7909989793954</v>
      </c>
      <c r="L1408" s="1" t="s">
        <v>3031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15" t="n">
        <v>46188</v>
      </c>
      <c r="C1409" s="1" t="n">
        <v>11</v>
      </c>
      <c r="D1409" s="1" t="s">
        <v>2290</v>
      </c>
      <c r="E1409" s="1" t="n">
        <v>1611</v>
      </c>
      <c r="F1409" s="1" t="s">
        <v>445</v>
      </c>
      <c r="I1409" s="1" t="n">
        <v>1771475</v>
      </c>
      <c r="J1409" s="1" t="n">
        <v>76085</v>
      </c>
      <c r="K1409" s="1" t="n">
        <v>7909989681503</v>
      </c>
      <c r="L1409" s="1" t="s">
        <v>3030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15" t="n">
        <v>46188</v>
      </c>
      <c r="C1410" s="1" t="n">
        <v>11</v>
      </c>
      <c r="D1410" s="1" t="s">
        <v>2290</v>
      </c>
      <c r="E1410" s="1" t="n">
        <v>1611</v>
      </c>
      <c r="F1410" s="1" t="s">
        <v>445</v>
      </c>
      <c r="I1410" s="1" t="n">
        <v>1771475</v>
      </c>
      <c r="J1410" s="1" t="n">
        <v>76086</v>
      </c>
      <c r="K1410" s="1" t="n">
        <v>7909989793909</v>
      </c>
      <c r="L1410" s="1" t="s">
        <v>3031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5" t="n">
        <v>46188</v>
      </c>
      <c r="C1411" s="1" t="n">
        <v>11</v>
      </c>
      <c r="D1411" s="1" t="s">
        <v>2290</v>
      </c>
      <c r="E1411" s="1" t="n">
        <v>1611</v>
      </c>
      <c r="F1411" s="1" t="s">
        <v>445</v>
      </c>
      <c r="I1411" s="1" t="n">
        <v>1771475</v>
      </c>
      <c r="J1411" s="1" t="n">
        <v>76089</v>
      </c>
      <c r="K1411" s="1" t="n">
        <v>7909989793848</v>
      </c>
      <c r="L1411" s="1" t="s">
        <v>3031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15" t="n">
        <v>46188</v>
      </c>
      <c r="C1412" s="1" t="n">
        <v>11</v>
      </c>
      <c r="D1412" s="1" t="s">
        <v>2290</v>
      </c>
      <c r="E1412" s="1" t="n">
        <v>1611</v>
      </c>
      <c r="F1412" s="1" t="s">
        <v>445</v>
      </c>
      <c r="I1412" s="1" t="n">
        <v>1771475</v>
      </c>
      <c r="J1412" s="1" t="n">
        <v>76091</v>
      </c>
      <c r="K1412" s="1" t="n">
        <v>7909989681572</v>
      </c>
      <c r="L1412" s="1" t="s">
        <v>3030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15" t="n">
        <v>46188</v>
      </c>
      <c r="C1413" s="1" t="n">
        <v>11</v>
      </c>
      <c r="D1413" s="1" t="s">
        <v>2290</v>
      </c>
      <c r="E1413" s="1" t="n">
        <v>1611</v>
      </c>
      <c r="F1413" s="1" t="s">
        <v>445</v>
      </c>
      <c r="I1413" s="1" t="n">
        <v>1771475</v>
      </c>
      <c r="J1413" s="1" t="n">
        <v>76962</v>
      </c>
      <c r="K1413" s="1" t="n">
        <v>7909989624807</v>
      </c>
      <c r="L1413" s="1" t="s">
        <v>3032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15" t="n">
        <v>46188</v>
      </c>
      <c r="C1414" s="1" t="n">
        <v>11</v>
      </c>
      <c r="D1414" s="1" t="s">
        <v>2290</v>
      </c>
      <c r="E1414" s="1" t="n">
        <v>1611</v>
      </c>
      <c r="F1414" s="1" t="s">
        <v>445</v>
      </c>
      <c r="I1414" s="1" t="n">
        <v>1771475</v>
      </c>
      <c r="J1414" s="1" t="n">
        <v>76962</v>
      </c>
      <c r="K1414" s="1" t="n">
        <v>7909989624807</v>
      </c>
      <c r="L1414" s="1" t="s">
        <v>3032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15" t="n">
        <v>46188</v>
      </c>
      <c r="C1415" s="1" t="n">
        <v>11</v>
      </c>
      <c r="D1415" s="1" t="s">
        <v>2290</v>
      </c>
      <c r="E1415" s="1" t="n">
        <v>1611</v>
      </c>
      <c r="F1415" s="1" t="s">
        <v>445</v>
      </c>
      <c r="I1415" s="1" t="n">
        <v>1771475</v>
      </c>
      <c r="J1415" s="1" t="n">
        <v>76964</v>
      </c>
      <c r="K1415" s="1" t="n">
        <v>7909989624814</v>
      </c>
      <c r="L1415" s="1" t="s">
        <v>3033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5" t="n">
        <v>46188</v>
      </c>
      <c r="C1416" s="1" t="n">
        <v>11</v>
      </c>
      <c r="D1416" s="1" t="s">
        <v>2290</v>
      </c>
      <c r="E1416" s="1" t="n">
        <v>1611</v>
      </c>
      <c r="F1416" s="1" t="s">
        <v>445</v>
      </c>
      <c r="I1416" s="1" t="n">
        <v>1771475</v>
      </c>
      <c r="J1416" s="1" t="n">
        <v>76964</v>
      </c>
      <c r="K1416" s="1" t="n">
        <v>7909989624814</v>
      </c>
      <c r="L1416" s="1" t="s">
        <v>3033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5" t="n">
        <v>46188</v>
      </c>
      <c r="C1417" s="1" t="n">
        <v>11</v>
      </c>
      <c r="D1417" s="1" t="s">
        <v>2290</v>
      </c>
      <c r="E1417" s="1" t="n">
        <v>1611</v>
      </c>
      <c r="F1417" s="1" t="s">
        <v>445</v>
      </c>
      <c r="I1417" s="1" t="n">
        <v>1771475</v>
      </c>
      <c r="J1417" s="1" t="n">
        <v>76966</v>
      </c>
      <c r="K1417" s="1" t="n">
        <v>7909989624821</v>
      </c>
      <c r="L1417" s="1" t="s">
        <v>3034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15" t="n">
        <v>46188</v>
      </c>
      <c r="C1418" s="1" t="n">
        <v>11</v>
      </c>
      <c r="D1418" s="1" t="s">
        <v>2290</v>
      </c>
      <c r="E1418" s="1" t="n">
        <v>1611</v>
      </c>
      <c r="F1418" s="1" t="s">
        <v>445</v>
      </c>
      <c r="I1418" s="1" t="n">
        <v>1771475</v>
      </c>
      <c r="J1418" s="1" t="n">
        <v>76966</v>
      </c>
      <c r="K1418" s="1" t="n">
        <v>7909989624821</v>
      </c>
      <c r="L1418" s="1" t="s">
        <v>3034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15" t="n">
        <v>46188</v>
      </c>
      <c r="C1419" s="1" t="n">
        <v>11</v>
      </c>
      <c r="D1419" s="1" t="s">
        <v>2290</v>
      </c>
      <c r="E1419" s="1" t="n">
        <v>1611</v>
      </c>
      <c r="F1419" s="1" t="s">
        <v>445</v>
      </c>
      <c r="I1419" s="1" t="n">
        <v>1771475</v>
      </c>
      <c r="J1419" s="1" t="n">
        <v>76972</v>
      </c>
      <c r="K1419" s="1" t="n">
        <v>7909989624753</v>
      </c>
      <c r="L1419" s="1" t="s">
        <v>3035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15" t="n">
        <v>46188</v>
      </c>
      <c r="C1420" s="1" t="n">
        <v>11</v>
      </c>
      <c r="D1420" s="1" t="s">
        <v>2290</v>
      </c>
      <c r="E1420" s="1" t="n">
        <v>1611</v>
      </c>
      <c r="F1420" s="1" t="s">
        <v>445</v>
      </c>
      <c r="I1420" s="1" t="n">
        <v>1771475</v>
      </c>
      <c r="J1420" s="1" t="n">
        <v>76972</v>
      </c>
      <c r="K1420" s="1" t="n">
        <v>7909989624753</v>
      </c>
      <c r="L1420" s="1" t="s">
        <v>3035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15" t="n">
        <v>46188</v>
      </c>
      <c r="C1421" s="1" t="n">
        <v>11</v>
      </c>
      <c r="D1421" s="1" t="s">
        <v>2290</v>
      </c>
      <c r="E1421" s="1" t="n">
        <v>1611</v>
      </c>
      <c r="F1421" s="1" t="s">
        <v>445</v>
      </c>
      <c r="I1421" s="1" t="n">
        <v>1771475</v>
      </c>
      <c r="J1421" s="1" t="n">
        <v>76973</v>
      </c>
      <c r="K1421" s="1" t="n">
        <v>7909989624760</v>
      </c>
      <c r="L1421" s="1" t="s">
        <v>3035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5" t="n">
        <v>46188</v>
      </c>
      <c r="C1422" s="1" t="n">
        <v>11</v>
      </c>
      <c r="D1422" s="1" t="s">
        <v>2290</v>
      </c>
      <c r="E1422" s="1" t="n">
        <v>1611</v>
      </c>
      <c r="F1422" s="1" t="s">
        <v>445</v>
      </c>
      <c r="I1422" s="1" t="n">
        <v>1771475</v>
      </c>
      <c r="J1422" s="1" t="n">
        <v>76973</v>
      </c>
      <c r="K1422" s="1" t="n">
        <v>7909989624760</v>
      </c>
      <c r="L1422" s="1" t="s">
        <v>3035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5" t="n">
        <v>46188</v>
      </c>
      <c r="C1423" s="1" t="n">
        <v>11</v>
      </c>
      <c r="D1423" s="1" t="s">
        <v>2290</v>
      </c>
      <c r="E1423" s="1" t="n">
        <v>1611</v>
      </c>
      <c r="F1423" s="1" t="s">
        <v>445</v>
      </c>
      <c r="I1423" s="1" t="n">
        <v>1771475</v>
      </c>
      <c r="J1423" s="1" t="n">
        <v>76975</v>
      </c>
      <c r="K1423" s="1" t="n">
        <v>7909989690802</v>
      </c>
      <c r="L1423" s="1" t="s">
        <v>3036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15" t="n">
        <v>46188</v>
      </c>
      <c r="C1424" s="1" t="n">
        <v>11</v>
      </c>
      <c r="D1424" s="1" t="s">
        <v>2290</v>
      </c>
      <c r="E1424" s="1" t="n">
        <v>1611</v>
      </c>
      <c r="F1424" s="1" t="s">
        <v>445</v>
      </c>
      <c r="I1424" s="1" t="n">
        <v>1771475</v>
      </c>
      <c r="J1424" s="1" t="n">
        <v>76975</v>
      </c>
      <c r="K1424" s="1" t="n">
        <v>7909989690802</v>
      </c>
      <c r="L1424" s="1" t="s">
        <v>3036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15" t="n">
        <v>46188</v>
      </c>
      <c r="C1425" s="1" t="n">
        <v>11</v>
      </c>
      <c r="D1425" s="1" t="s">
        <v>2290</v>
      </c>
      <c r="E1425" s="1" t="n">
        <v>1611</v>
      </c>
      <c r="F1425" s="1" t="s">
        <v>445</v>
      </c>
      <c r="I1425" s="1" t="n">
        <v>1771475</v>
      </c>
      <c r="J1425" s="1" t="n">
        <v>76976</v>
      </c>
      <c r="K1425" s="1" t="n">
        <v>7909989690819</v>
      </c>
      <c r="L1425" s="1" t="s">
        <v>3036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5" t="n">
        <v>46188</v>
      </c>
      <c r="C1426" s="1" t="n">
        <v>11</v>
      </c>
      <c r="D1426" s="1" t="s">
        <v>2290</v>
      </c>
      <c r="E1426" s="1" t="n">
        <v>1611</v>
      </c>
      <c r="F1426" s="1" t="s">
        <v>445</v>
      </c>
      <c r="I1426" s="1" t="n">
        <v>1771475</v>
      </c>
      <c r="J1426" s="1" t="n">
        <v>76976</v>
      </c>
      <c r="K1426" s="1" t="n">
        <v>7909989690819</v>
      </c>
      <c r="L1426" s="1" t="s">
        <v>3036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5" t="n">
        <v>46188</v>
      </c>
      <c r="C1427" s="1" t="n">
        <v>11</v>
      </c>
      <c r="D1427" s="1" t="s">
        <v>2290</v>
      </c>
      <c r="E1427" s="1" t="n">
        <v>1611</v>
      </c>
      <c r="F1427" s="1" t="s">
        <v>445</v>
      </c>
      <c r="I1427" s="1" t="n">
        <v>1771475</v>
      </c>
      <c r="J1427" s="1" t="n">
        <v>76984</v>
      </c>
      <c r="K1427" s="1" t="n">
        <v>7909989693568</v>
      </c>
      <c r="L1427" s="1" t="s">
        <v>3037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15" t="n">
        <v>46188</v>
      </c>
      <c r="C1428" s="1" t="n">
        <v>11</v>
      </c>
      <c r="D1428" s="1" t="s">
        <v>2290</v>
      </c>
      <c r="E1428" s="1" t="n">
        <v>1611</v>
      </c>
      <c r="F1428" s="1" t="s">
        <v>445</v>
      </c>
      <c r="I1428" s="1" t="n">
        <v>1771475</v>
      </c>
      <c r="J1428" s="1" t="n">
        <v>76984</v>
      </c>
      <c r="K1428" s="1" t="n">
        <v>7909989693568</v>
      </c>
      <c r="L1428" s="1" t="s">
        <v>3037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15" t="n">
        <v>46188</v>
      </c>
      <c r="C1429" s="1" t="n">
        <v>11</v>
      </c>
      <c r="D1429" s="1" t="s">
        <v>2290</v>
      </c>
      <c r="E1429" s="1" t="n">
        <v>1611</v>
      </c>
      <c r="F1429" s="1" t="s">
        <v>445</v>
      </c>
      <c r="I1429" s="1" t="n">
        <v>1771475</v>
      </c>
      <c r="J1429" s="1" t="n">
        <v>76985</v>
      </c>
      <c r="K1429" s="1" t="n">
        <v>7909989693575</v>
      </c>
      <c r="L1429" s="1" t="s">
        <v>3037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15" t="n">
        <v>46188</v>
      </c>
      <c r="C1430" s="1" t="n">
        <v>11</v>
      </c>
      <c r="D1430" s="1" t="s">
        <v>2290</v>
      </c>
      <c r="E1430" s="1" t="n">
        <v>1611</v>
      </c>
      <c r="F1430" s="1" t="s">
        <v>445</v>
      </c>
      <c r="I1430" s="1" t="n">
        <v>1771475</v>
      </c>
      <c r="J1430" s="1" t="n">
        <v>76985</v>
      </c>
      <c r="K1430" s="1" t="n">
        <v>7909989693575</v>
      </c>
      <c r="L1430" s="1" t="s">
        <v>3037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15" t="n">
        <v>46188</v>
      </c>
      <c r="C1431" s="1" t="n">
        <v>11</v>
      </c>
      <c r="D1431" s="1" t="s">
        <v>2290</v>
      </c>
      <c r="E1431" s="1" t="n">
        <v>1611</v>
      </c>
      <c r="F1431" s="1" t="s">
        <v>445</v>
      </c>
      <c r="I1431" s="1" t="n">
        <v>1771475</v>
      </c>
      <c r="J1431" s="1" t="n">
        <v>77270</v>
      </c>
      <c r="K1431" s="1" t="n">
        <v>7909989624777</v>
      </c>
      <c r="L1431" s="1" t="s">
        <v>3035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15" t="n">
        <v>46188</v>
      </c>
      <c r="C1432" s="1" t="n">
        <v>11</v>
      </c>
      <c r="D1432" s="1" t="s">
        <v>2290</v>
      </c>
      <c r="E1432" s="1" t="n">
        <v>1611</v>
      </c>
      <c r="F1432" s="1" t="s">
        <v>445</v>
      </c>
      <c r="I1432" s="1" t="n">
        <v>1771475</v>
      </c>
      <c r="J1432" s="1" t="n">
        <v>77270</v>
      </c>
      <c r="K1432" s="1" t="n">
        <v>7909989624777</v>
      </c>
      <c r="L1432" s="1" t="s">
        <v>3035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15" t="n">
        <v>46188</v>
      </c>
      <c r="C1433" s="1" t="n">
        <v>11</v>
      </c>
      <c r="D1433" s="1" t="s">
        <v>2290</v>
      </c>
      <c r="E1433" s="1" t="n">
        <v>1611</v>
      </c>
      <c r="F1433" s="1" t="s">
        <v>445</v>
      </c>
      <c r="I1433" s="1" t="n">
        <v>1771475</v>
      </c>
      <c r="J1433" s="1" t="n">
        <v>77277</v>
      </c>
      <c r="K1433" s="1" t="n">
        <v>7909989690901</v>
      </c>
      <c r="L1433" s="1" t="s">
        <v>3036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15" t="n">
        <v>46188</v>
      </c>
      <c r="C1434" s="1" t="n">
        <v>11</v>
      </c>
      <c r="D1434" s="1" t="s">
        <v>2290</v>
      </c>
      <c r="E1434" s="1" t="n">
        <v>1611</v>
      </c>
      <c r="F1434" s="1" t="s">
        <v>445</v>
      </c>
      <c r="I1434" s="1" t="n">
        <v>1771475</v>
      </c>
      <c r="J1434" s="1" t="n">
        <v>77277</v>
      </c>
      <c r="K1434" s="1" t="n">
        <v>7909989690901</v>
      </c>
      <c r="L1434" s="1" t="s">
        <v>3036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15" t="n">
        <v>46188</v>
      </c>
      <c r="C1435" s="1" t="n">
        <v>11</v>
      </c>
      <c r="D1435" s="1" t="s">
        <v>2290</v>
      </c>
      <c r="E1435" s="1" t="n">
        <v>1611</v>
      </c>
      <c r="F1435" s="1" t="s">
        <v>445</v>
      </c>
      <c r="I1435" s="1" t="n">
        <v>1771475</v>
      </c>
      <c r="J1435" s="1" t="n">
        <v>77278</v>
      </c>
      <c r="K1435" s="1" t="n">
        <v>7909989690925</v>
      </c>
      <c r="L1435" s="1" t="s">
        <v>3036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5" t="n">
        <v>46188</v>
      </c>
      <c r="C1436" s="1" t="n">
        <v>11</v>
      </c>
      <c r="D1436" s="1" t="s">
        <v>2290</v>
      </c>
      <c r="E1436" s="1" t="n">
        <v>1611</v>
      </c>
      <c r="F1436" s="1" t="s">
        <v>445</v>
      </c>
      <c r="I1436" s="1" t="n">
        <v>1771475</v>
      </c>
      <c r="J1436" s="1" t="n">
        <v>77278</v>
      </c>
      <c r="K1436" s="1" t="n">
        <v>7909989690925</v>
      </c>
      <c r="L1436" s="1" t="s">
        <v>3036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5" t="n">
        <v>46188</v>
      </c>
      <c r="C1437" s="1" t="n">
        <v>11</v>
      </c>
      <c r="D1437" s="1" t="s">
        <v>2290</v>
      </c>
      <c r="E1437" s="1" t="n">
        <v>1611</v>
      </c>
      <c r="F1437" s="1" t="s">
        <v>445</v>
      </c>
      <c r="I1437" s="1" t="n">
        <v>1771475</v>
      </c>
      <c r="J1437" s="1" t="n">
        <v>77279</v>
      </c>
      <c r="K1437" s="1" t="n">
        <v>7909989690918</v>
      </c>
      <c r="L1437" s="1" t="s">
        <v>3036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5" t="n">
        <v>46188</v>
      </c>
      <c r="C1438" s="1" t="n">
        <v>11</v>
      </c>
      <c r="D1438" s="1" t="s">
        <v>2290</v>
      </c>
      <c r="E1438" s="1" t="n">
        <v>1611</v>
      </c>
      <c r="F1438" s="1" t="s">
        <v>445</v>
      </c>
      <c r="I1438" s="1" t="n">
        <v>1771475</v>
      </c>
      <c r="J1438" s="1" t="n">
        <v>77279</v>
      </c>
      <c r="K1438" s="1" t="n">
        <v>7909989690918</v>
      </c>
      <c r="L1438" s="1" t="s">
        <v>3036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5" t="n">
        <v>46188</v>
      </c>
      <c r="C1439" s="1" t="n">
        <v>11</v>
      </c>
      <c r="D1439" s="1" t="s">
        <v>2290</v>
      </c>
      <c r="E1439" s="1" t="n">
        <v>1611</v>
      </c>
      <c r="F1439" s="1" t="s">
        <v>445</v>
      </c>
      <c r="I1439" s="1" t="n">
        <v>1771475</v>
      </c>
      <c r="J1439" s="1" t="n">
        <v>77280</v>
      </c>
      <c r="K1439" s="1" t="n">
        <v>7909989690857</v>
      </c>
      <c r="L1439" s="1" t="s">
        <v>3036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5" t="n">
        <v>46188</v>
      </c>
      <c r="C1440" s="1" t="n">
        <v>11</v>
      </c>
      <c r="D1440" s="1" t="s">
        <v>2290</v>
      </c>
      <c r="E1440" s="1" t="n">
        <v>1611</v>
      </c>
      <c r="F1440" s="1" t="s">
        <v>445</v>
      </c>
      <c r="I1440" s="1" t="n">
        <v>1771475</v>
      </c>
      <c r="J1440" s="1" t="n">
        <v>77280</v>
      </c>
      <c r="K1440" s="1" t="n">
        <v>7909989690857</v>
      </c>
      <c r="L1440" s="1" t="s">
        <v>3036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5" t="n">
        <v>46188</v>
      </c>
      <c r="C1441" s="1" t="n">
        <v>11</v>
      </c>
      <c r="D1441" s="1" t="s">
        <v>2290</v>
      </c>
      <c r="E1441" s="1" t="n">
        <v>1611</v>
      </c>
      <c r="F1441" s="1" t="s">
        <v>445</v>
      </c>
      <c r="I1441" s="1" t="n">
        <v>1771475</v>
      </c>
      <c r="J1441" s="1" t="n">
        <v>77282</v>
      </c>
      <c r="K1441" s="1" t="n">
        <v>7909989690864</v>
      </c>
      <c r="L1441" s="1" t="s">
        <v>3036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5" t="n">
        <v>46188</v>
      </c>
      <c r="C1442" s="1" t="n">
        <v>11</v>
      </c>
      <c r="D1442" s="1" t="s">
        <v>2290</v>
      </c>
      <c r="E1442" s="1" t="n">
        <v>1611</v>
      </c>
      <c r="F1442" s="1" t="s">
        <v>445</v>
      </c>
      <c r="I1442" s="1" t="n">
        <v>1771475</v>
      </c>
      <c r="J1442" s="1" t="n">
        <v>77282</v>
      </c>
      <c r="K1442" s="1" t="n">
        <v>7909989690864</v>
      </c>
      <c r="L1442" s="1" t="s">
        <v>3036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5" t="n">
        <v>46188</v>
      </c>
      <c r="C1443" s="1" t="n">
        <v>11</v>
      </c>
      <c r="D1443" s="1" t="s">
        <v>2290</v>
      </c>
      <c r="E1443" s="1" t="n">
        <v>1611</v>
      </c>
      <c r="F1443" s="1" t="s">
        <v>445</v>
      </c>
      <c r="I1443" s="1" t="n">
        <v>1771475</v>
      </c>
      <c r="J1443" s="1" t="n">
        <v>77283</v>
      </c>
      <c r="K1443" s="1" t="n">
        <v>7909989677742</v>
      </c>
      <c r="L1443" s="1" t="s">
        <v>3038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15" t="n">
        <v>46188</v>
      </c>
      <c r="C1444" s="1" t="n">
        <v>11</v>
      </c>
      <c r="D1444" s="1" t="s">
        <v>2290</v>
      </c>
      <c r="E1444" s="1" t="n">
        <v>1611</v>
      </c>
      <c r="F1444" s="1" t="s">
        <v>445</v>
      </c>
      <c r="I1444" s="1" t="n">
        <v>1771475</v>
      </c>
      <c r="J1444" s="1" t="n">
        <v>77287</v>
      </c>
      <c r="K1444" s="1" t="n">
        <v>7909989690826</v>
      </c>
      <c r="L1444" s="1" t="s">
        <v>3036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5" t="n">
        <v>46188</v>
      </c>
      <c r="C1445" s="1" t="n">
        <v>11</v>
      </c>
      <c r="D1445" s="1" t="s">
        <v>2290</v>
      </c>
      <c r="E1445" s="1" t="n">
        <v>1611</v>
      </c>
      <c r="F1445" s="1" t="s">
        <v>445</v>
      </c>
      <c r="I1445" s="1" t="n">
        <v>1771475</v>
      </c>
      <c r="J1445" s="1" t="n">
        <v>77287</v>
      </c>
      <c r="K1445" s="1" t="n">
        <v>7909989690826</v>
      </c>
      <c r="L1445" s="1" t="s">
        <v>3036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15" t="n">
        <v>46188</v>
      </c>
      <c r="C1446" s="1" t="n">
        <v>11</v>
      </c>
      <c r="D1446" s="1" t="s">
        <v>2290</v>
      </c>
      <c r="E1446" s="1" t="n">
        <v>1611</v>
      </c>
      <c r="F1446" s="1" t="s">
        <v>445</v>
      </c>
      <c r="I1446" s="1" t="n">
        <v>1771475</v>
      </c>
      <c r="J1446" s="1" t="n">
        <v>77291</v>
      </c>
      <c r="K1446" s="1" t="n">
        <v>7909989788332</v>
      </c>
      <c r="L1446" s="1" t="s">
        <v>3039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15" t="n">
        <v>46188</v>
      </c>
      <c r="C1447" s="1" t="n">
        <v>11</v>
      </c>
      <c r="D1447" s="1" t="s">
        <v>2290</v>
      </c>
      <c r="E1447" s="1" t="n">
        <v>1611</v>
      </c>
      <c r="F1447" s="1" t="s">
        <v>445</v>
      </c>
      <c r="I1447" s="1" t="n">
        <v>1771475</v>
      </c>
      <c r="J1447" s="1" t="n">
        <v>77317</v>
      </c>
      <c r="K1447" s="1" t="n">
        <v>7909989670156</v>
      </c>
      <c r="L1447" s="1" t="s">
        <v>3040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15" t="n">
        <v>46188</v>
      </c>
      <c r="C1448" s="1" t="n">
        <v>11</v>
      </c>
      <c r="D1448" s="1" t="s">
        <v>2290</v>
      </c>
      <c r="E1448" s="1" t="n">
        <v>1611</v>
      </c>
      <c r="F1448" s="1" t="s">
        <v>445</v>
      </c>
      <c r="I1448" s="1" t="n">
        <v>1771475</v>
      </c>
      <c r="J1448" s="1" t="n">
        <v>77326</v>
      </c>
      <c r="K1448" s="1" t="n">
        <v>7909989670101</v>
      </c>
      <c r="L1448" s="1" t="s">
        <v>3040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15" t="n">
        <v>46188</v>
      </c>
      <c r="C1449" s="1" t="n">
        <v>11</v>
      </c>
      <c r="D1449" s="1" t="s">
        <v>2290</v>
      </c>
      <c r="E1449" s="1" t="n">
        <v>1611</v>
      </c>
      <c r="F1449" s="1" t="s">
        <v>445</v>
      </c>
      <c r="I1449" s="1" t="n">
        <v>1771475</v>
      </c>
      <c r="J1449" s="1" t="n">
        <v>77337</v>
      </c>
      <c r="K1449" s="1" t="n">
        <v>7909989670118</v>
      </c>
      <c r="L1449" s="1" t="s">
        <v>3040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15" t="n">
        <v>46188</v>
      </c>
      <c r="C1450" s="1" t="n">
        <v>11</v>
      </c>
      <c r="D1450" s="1" t="s">
        <v>2290</v>
      </c>
      <c r="E1450" s="1" t="n">
        <v>1611</v>
      </c>
      <c r="F1450" s="1" t="s">
        <v>445</v>
      </c>
      <c r="I1450" s="1" t="n">
        <v>1771475</v>
      </c>
      <c r="J1450" s="1" t="n">
        <v>77340</v>
      </c>
      <c r="K1450" s="1" t="n">
        <v>7909989670125</v>
      </c>
      <c r="L1450" s="1" t="s">
        <v>3040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15" t="n">
        <v>46188</v>
      </c>
      <c r="C1451" s="1" t="n">
        <v>11</v>
      </c>
      <c r="D1451" s="1" t="s">
        <v>2290</v>
      </c>
      <c r="E1451" s="1" t="n">
        <v>1611</v>
      </c>
      <c r="F1451" s="1" t="s">
        <v>445</v>
      </c>
      <c r="I1451" s="1" t="n">
        <v>1771475</v>
      </c>
      <c r="J1451" s="1" t="n">
        <v>77345</v>
      </c>
      <c r="K1451" s="1" t="n">
        <v>7909989831144</v>
      </c>
      <c r="L1451" s="1" t="s">
        <v>3041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15" t="n">
        <v>46188</v>
      </c>
      <c r="C1452" s="1" t="n">
        <v>11</v>
      </c>
      <c r="D1452" s="1" t="s">
        <v>2290</v>
      </c>
      <c r="E1452" s="1" t="n">
        <v>1611</v>
      </c>
      <c r="F1452" s="1" t="s">
        <v>445</v>
      </c>
      <c r="I1452" s="1" t="n">
        <v>1771475</v>
      </c>
      <c r="J1452" s="1" t="n">
        <v>77345</v>
      </c>
      <c r="K1452" s="1" t="n">
        <v>7909989831144</v>
      </c>
      <c r="L1452" s="1" t="s">
        <v>3041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15" t="n">
        <v>46188</v>
      </c>
      <c r="C1453" s="1" t="n">
        <v>11</v>
      </c>
      <c r="D1453" s="1" t="s">
        <v>2290</v>
      </c>
      <c r="E1453" s="1" t="n">
        <v>1611</v>
      </c>
      <c r="F1453" s="1" t="s">
        <v>445</v>
      </c>
      <c r="I1453" s="1" t="n">
        <v>1771475</v>
      </c>
      <c r="J1453" s="1" t="n">
        <v>77346</v>
      </c>
      <c r="K1453" s="1" t="n">
        <v>7909989831151</v>
      </c>
      <c r="L1453" s="1" t="s">
        <v>3041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5" t="n">
        <v>46188</v>
      </c>
      <c r="C1454" s="1" t="n">
        <v>11</v>
      </c>
      <c r="D1454" s="1" t="s">
        <v>2290</v>
      </c>
      <c r="E1454" s="1" t="n">
        <v>1611</v>
      </c>
      <c r="F1454" s="1" t="s">
        <v>445</v>
      </c>
      <c r="I1454" s="1" t="n">
        <v>1771475</v>
      </c>
      <c r="J1454" s="1" t="n">
        <v>77346</v>
      </c>
      <c r="K1454" s="1" t="n">
        <v>7909989831151</v>
      </c>
      <c r="L1454" s="1" t="s">
        <v>3041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5" t="n">
        <v>46188</v>
      </c>
      <c r="C1455" s="1" t="n">
        <v>11</v>
      </c>
      <c r="D1455" s="1" t="s">
        <v>2290</v>
      </c>
      <c r="E1455" s="1" t="n">
        <v>1611</v>
      </c>
      <c r="F1455" s="1" t="s">
        <v>445</v>
      </c>
      <c r="I1455" s="1" t="n">
        <v>1771475</v>
      </c>
      <c r="J1455" s="1" t="n">
        <v>77348</v>
      </c>
      <c r="K1455" s="1" t="n">
        <v>7909989670163</v>
      </c>
      <c r="L1455" s="1" t="s">
        <v>3042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15" t="n">
        <v>46188</v>
      </c>
      <c r="C1456" s="1" t="n">
        <v>11</v>
      </c>
      <c r="D1456" s="1" t="s">
        <v>2290</v>
      </c>
      <c r="E1456" s="1" t="n">
        <v>1611</v>
      </c>
      <c r="F1456" s="1" t="s">
        <v>445</v>
      </c>
      <c r="I1456" s="1" t="n">
        <v>1771475</v>
      </c>
      <c r="J1456" s="1" t="n">
        <v>77349</v>
      </c>
      <c r="K1456" s="1" t="n">
        <v>7909989677766</v>
      </c>
      <c r="L1456" s="1" t="s">
        <v>3038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15" t="n">
        <v>46188</v>
      </c>
      <c r="C1457" s="1" t="n">
        <v>11</v>
      </c>
      <c r="D1457" s="1" t="s">
        <v>2290</v>
      </c>
      <c r="E1457" s="1" t="n">
        <v>1611</v>
      </c>
      <c r="F1457" s="1" t="s">
        <v>445</v>
      </c>
      <c r="I1457" s="1" t="n">
        <v>1771475</v>
      </c>
      <c r="J1457" s="1" t="n">
        <v>77355</v>
      </c>
      <c r="K1457" s="1" t="n">
        <v>7909989677698</v>
      </c>
      <c r="L1457" s="1" t="s">
        <v>3043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15" t="n">
        <v>46188</v>
      </c>
      <c r="C1458" s="1" t="n">
        <v>11</v>
      </c>
      <c r="D1458" s="1" t="s">
        <v>2290</v>
      </c>
      <c r="E1458" s="1" t="n">
        <v>1611</v>
      </c>
      <c r="F1458" s="1" t="s">
        <v>445</v>
      </c>
      <c r="I1458" s="1" t="n">
        <v>1771475</v>
      </c>
      <c r="J1458" s="1" t="n">
        <v>77359</v>
      </c>
      <c r="K1458" s="1" t="n">
        <v>7909989677704</v>
      </c>
      <c r="L1458" s="1" t="s">
        <v>3044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15" t="n">
        <v>46188</v>
      </c>
      <c r="C1459" s="1" t="n">
        <v>11</v>
      </c>
      <c r="D1459" s="1" t="s">
        <v>2290</v>
      </c>
      <c r="E1459" s="1" t="n">
        <v>1611</v>
      </c>
      <c r="F1459" s="1" t="s">
        <v>445</v>
      </c>
      <c r="I1459" s="1" t="n">
        <v>1771475</v>
      </c>
      <c r="J1459" s="1" t="n">
        <v>77362</v>
      </c>
      <c r="K1459" s="1" t="n">
        <v>7909989670170</v>
      </c>
      <c r="L1459" s="1" t="s">
        <v>3040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15" t="n">
        <v>46188</v>
      </c>
      <c r="C1460" s="1" t="n">
        <v>11</v>
      </c>
      <c r="D1460" s="1" t="s">
        <v>2290</v>
      </c>
      <c r="E1460" s="1" t="n">
        <v>1611</v>
      </c>
      <c r="F1460" s="1" t="s">
        <v>445</v>
      </c>
      <c r="I1460" s="1" t="n">
        <v>1771475</v>
      </c>
      <c r="J1460" s="1" t="n">
        <v>77364</v>
      </c>
      <c r="K1460" s="1" t="n">
        <v>7909989677711</v>
      </c>
      <c r="L1460" s="1" t="s">
        <v>3043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15" t="n">
        <v>46188</v>
      </c>
      <c r="C1461" s="1" t="n">
        <v>11</v>
      </c>
      <c r="D1461" s="1" t="s">
        <v>2290</v>
      </c>
      <c r="E1461" s="1" t="n">
        <v>1611</v>
      </c>
      <c r="F1461" s="1" t="s">
        <v>445</v>
      </c>
      <c r="I1461" s="1" t="n">
        <v>1771475</v>
      </c>
      <c r="J1461" s="1" t="n">
        <v>77365</v>
      </c>
      <c r="K1461" s="1" t="n">
        <v>7909989677759</v>
      </c>
      <c r="L1461" s="1" t="s">
        <v>3038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15" t="n">
        <v>46188</v>
      </c>
      <c r="C1462" s="1" t="n">
        <v>11</v>
      </c>
      <c r="D1462" s="1" t="s">
        <v>2290</v>
      </c>
      <c r="E1462" s="1" t="n">
        <v>1611</v>
      </c>
      <c r="F1462" s="1" t="s">
        <v>445</v>
      </c>
      <c r="I1462" s="1" t="n">
        <v>1771475</v>
      </c>
      <c r="J1462" s="1" t="n">
        <v>78255</v>
      </c>
      <c r="K1462" s="1" t="n">
        <v>7909989775448</v>
      </c>
      <c r="L1462" s="1" t="s">
        <v>3045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15" t="n">
        <v>46188</v>
      </c>
      <c r="C1463" s="1" t="n">
        <v>11</v>
      </c>
      <c r="D1463" s="1" t="s">
        <v>2290</v>
      </c>
      <c r="E1463" s="1" t="n">
        <v>1611</v>
      </c>
      <c r="F1463" s="1" t="s">
        <v>445</v>
      </c>
      <c r="I1463" s="1" t="n">
        <v>1771475</v>
      </c>
      <c r="J1463" s="1" t="n">
        <v>78256</v>
      </c>
      <c r="K1463" s="1" t="n">
        <v>7909989775479</v>
      </c>
      <c r="L1463" s="1" t="s">
        <v>3046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15" t="n">
        <v>46188</v>
      </c>
      <c r="C1464" s="1" t="n">
        <v>11</v>
      </c>
      <c r="D1464" s="1" t="s">
        <v>2290</v>
      </c>
      <c r="E1464" s="1" t="n">
        <v>1611</v>
      </c>
      <c r="F1464" s="1" t="s">
        <v>445</v>
      </c>
      <c r="I1464" s="1" t="n">
        <v>1771475</v>
      </c>
      <c r="J1464" s="1" t="n">
        <v>78257</v>
      </c>
      <c r="K1464" s="1" t="n">
        <v>7909989775530</v>
      </c>
      <c r="L1464" s="1" t="s">
        <v>3047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5" t="n">
        <v>46188</v>
      </c>
      <c r="C1465" s="1" t="n">
        <v>11</v>
      </c>
      <c r="D1465" s="1" t="s">
        <v>2290</v>
      </c>
      <c r="E1465" s="1" t="n">
        <v>1611</v>
      </c>
      <c r="F1465" s="1" t="s">
        <v>445</v>
      </c>
      <c r="I1465" s="1" t="n">
        <v>1771475</v>
      </c>
      <c r="J1465" s="1" t="n">
        <v>78258</v>
      </c>
      <c r="K1465" s="1" t="n">
        <v>7909989775547</v>
      </c>
      <c r="L1465" s="1" t="s">
        <v>3048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5" t="n">
        <v>46188</v>
      </c>
      <c r="C1466" s="1" t="n">
        <v>11</v>
      </c>
      <c r="D1466" s="1" t="s">
        <v>2290</v>
      </c>
      <c r="E1466" s="1" t="n">
        <v>1611</v>
      </c>
      <c r="F1466" s="1" t="s">
        <v>445</v>
      </c>
      <c r="I1466" s="1" t="n">
        <v>1771475</v>
      </c>
      <c r="J1466" s="1" t="n">
        <v>78259</v>
      </c>
      <c r="K1466" s="1" t="n">
        <v>7909989834251</v>
      </c>
      <c r="L1466" s="1" t="s">
        <v>3049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15" t="n">
        <v>46188</v>
      </c>
      <c r="C1467" s="1" t="n">
        <v>11</v>
      </c>
      <c r="D1467" s="1" t="s">
        <v>2290</v>
      </c>
      <c r="E1467" s="1" t="n">
        <v>1611</v>
      </c>
      <c r="F1467" s="1" t="s">
        <v>445</v>
      </c>
      <c r="I1467" s="1" t="n">
        <v>1771475</v>
      </c>
      <c r="J1467" s="1" t="n">
        <v>78260</v>
      </c>
      <c r="K1467" s="1" t="n">
        <v>7909989834275</v>
      </c>
      <c r="L1467" s="1" t="s">
        <v>3050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15" t="n">
        <v>46188</v>
      </c>
      <c r="C1468" s="1" t="n">
        <v>11</v>
      </c>
      <c r="D1468" s="1" t="s">
        <v>2290</v>
      </c>
      <c r="E1468" s="1" t="n">
        <v>1611</v>
      </c>
      <c r="F1468" s="1" t="s">
        <v>445</v>
      </c>
      <c r="I1468" s="1" t="n">
        <v>1771475</v>
      </c>
      <c r="J1468" s="1" t="n">
        <v>79600</v>
      </c>
      <c r="K1468" s="1" t="n">
        <v>7909989864760</v>
      </c>
      <c r="L1468" s="1" t="s">
        <v>3051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15" t="n">
        <v>46188</v>
      </c>
      <c r="C1469" s="1" t="n">
        <v>11</v>
      </c>
      <c r="D1469" s="1" t="s">
        <v>2290</v>
      </c>
      <c r="E1469" s="1" t="n">
        <v>1611</v>
      </c>
      <c r="F1469" s="1" t="s">
        <v>445</v>
      </c>
      <c r="I1469" s="1" t="n">
        <v>1771475</v>
      </c>
      <c r="J1469" s="1" t="n">
        <v>79601</v>
      </c>
      <c r="K1469" s="1" t="n">
        <v>7909989864777</v>
      </c>
      <c r="L1469" s="1" t="s">
        <v>3052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15" t="n">
        <v>46188</v>
      </c>
      <c r="C1470" s="1" t="n">
        <v>11</v>
      </c>
      <c r="D1470" s="1" t="s">
        <v>2290</v>
      </c>
      <c r="E1470" s="1" t="n">
        <v>1611</v>
      </c>
      <c r="F1470" s="1" t="s">
        <v>445</v>
      </c>
      <c r="I1470" s="1" t="n">
        <v>1771475</v>
      </c>
      <c r="J1470" s="1" t="n">
        <v>79602</v>
      </c>
      <c r="K1470" s="1" t="n">
        <v>7909989864869</v>
      </c>
      <c r="L1470" s="1" t="s">
        <v>3053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15" t="n">
        <v>46188</v>
      </c>
      <c r="C1471" s="1" t="n">
        <v>11</v>
      </c>
      <c r="D1471" s="1" t="s">
        <v>2290</v>
      </c>
      <c r="E1471" s="1" t="n">
        <v>1611</v>
      </c>
      <c r="F1471" s="1" t="s">
        <v>445</v>
      </c>
      <c r="I1471" s="1" t="n">
        <v>1771475</v>
      </c>
      <c r="J1471" s="1" t="n">
        <v>79603</v>
      </c>
      <c r="K1471" s="1" t="n">
        <v>7909989864876</v>
      </c>
      <c r="L1471" s="1" t="s">
        <v>3054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15" t="n">
        <v>46188</v>
      </c>
      <c r="C1472" s="1" t="n">
        <v>11</v>
      </c>
      <c r="D1472" s="1" t="s">
        <v>2290</v>
      </c>
      <c r="E1472" s="1" t="n">
        <v>1611</v>
      </c>
      <c r="F1472" s="1" t="s">
        <v>445</v>
      </c>
      <c r="I1472" s="1" t="n">
        <v>1771475</v>
      </c>
      <c r="J1472" s="1" t="n">
        <v>79604</v>
      </c>
      <c r="K1472" s="1" t="n">
        <v>7909989864814</v>
      </c>
      <c r="L1472" s="1" t="s">
        <v>3055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15" t="n">
        <v>46188</v>
      </c>
      <c r="C1473" s="1" t="n">
        <v>11</v>
      </c>
      <c r="D1473" s="1" t="s">
        <v>2290</v>
      </c>
      <c r="E1473" s="1" t="n">
        <v>1611</v>
      </c>
      <c r="F1473" s="1" t="s">
        <v>445</v>
      </c>
      <c r="I1473" s="1" t="n">
        <v>1771475</v>
      </c>
      <c r="J1473" s="1" t="n">
        <v>79605</v>
      </c>
      <c r="K1473" s="1" t="n">
        <v>7909989864753</v>
      </c>
      <c r="L1473" s="1" t="s">
        <v>3056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15" t="n">
        <v>46188</v>
      </c>
      <c r="C1474" s="1" t="n">
        <v>11</v>
      </c>
      <c r="D1474" s="1" t="s">
        <v>2290</v>
      </c>
      <c r="E1474" s="1" t="n">
        <v>1611</v>
      </c>
      <c r="F1474" s="1" t="s">
        <v>445</v>
      </c>
      <c r="I1474" s="1" t="n">
        <v>1771475</v>
      </c>
      <c r="J1474" s="1" t="n">
        <v>79606</v>
      </c>
      <c r="K1474" s="1" t="n">
        <v>7909989864852</v>
      </c>
      <c r="L1474" s="1" t="s">
        <v>3057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15" t="n">
        <v>46188</v>
      </c>
      <c r="C1475" s="1" t="n">
        <v>11</v>
      </c>
      <c r="D1475" s="1" t="s">
        <v>2290</v>
      </c>
      <c r="E1475" s="1" t="n">
        <v>1611</v>
      </c>
      <c r="F1475" s="1" t="s">
        <v>445</v>
      </c>
      <c r="I1475" s="1" t="n">
        <v>1771475</v>
      </c>
      <c r="J1475" s="1" t="n">
        <v>79607</v>
      </c>
      <c r="K1475" s="1" t="n">
        <v>7909989864807</v>
      </c>
      <c r="L1475" s="1" t="s">
        <v>3058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15" t="n">
        <v>46188</v>
      </c>
      <c r="C1476" s="1" t="n">
        <v>11</v>
      </c>
      <c r="D1476" s="1" t="s">
        <v>2290</v>
      </c>
      <c r="E1476" s="1" t="n">
        <v>1611</v>
      </c>
      <c r="F1476" s="1" t="s">
        <v>445</v>
      </c>
      <c r="I1476" s="1" t="n">
        <v>1771475</v>
      </c>
      <c r="J1476" s="1" t="n">
        <v>79608</v>
      </c>
      <c r="K1476" s="1" t="n">
        <v>7909989864821</v>
      </c>
      <c r="L1476" s="1" t="s">
        <v>3059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15" t="n">
        <v>46188</v>
      </c>
      <c r="C1477" s="1" t="n">
        <v>11</v>
      </c>
      <c r="D1477" s="1" t="s">
        <v>2290</v>
      </c>
      <c r="E1477" s="1" t="n">
        <v>1611</v>
      </c>
      <c r="F1477" s="1" t="s">
        <v>445</v>
      </c>
      <c r="I1477" s="1" t="n">
        <v>1771475</v>
      </c>
      <c r="J1477" s="1" t="n">
        <v>81322</v>
      </c>
      <c r="K1477" s="1" t="n">
        <v>7909989775455</v>
      </c>
      <c r="L1477" s="1" t="s">
        <v>3060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15" t="n">
        <v>46188</v>
      </c>
      <c r="C1478" s="1" t="n">
        <v>11</v>
      </c>
      <c r="D1478" s="1" t="s">
        <v>2290</v>
      </c>
      <c r="E1478" s="1" t="n">
        <v>1611</v>
      </c>
      <c r="F1478" s="1" t="s">
        <v>445</v>
      </c>
      <c r="I1478" s="1" t="n">
        <v>1771475</v>
      </c>
      <c r="J1478" s="1" t="n">
        <v>81323</v>
      </c>
      <c r="K1478" s="1" t="n">
        <v>7909989775462</v>
      </c>
      <c r="L1478" s="1" t="s">
        <v>3061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15" t="n">
        <v>46188</v>
      </c>
      <c r="C1479" s="1" t="n">
        <v>11</v>
      </c>
      <c r="D1479" s="1" t="s">
        <v>2290</v>
      </c>
      <c r="E1479" s="1" t="n">
        <v>1611</v>
      </c>
      <c r="F1479" s="1" t="s">
        <v>445</v>
      </c>
      <c r="I1479" s="1" t="n">
        <v>1771475</v>
      </c>
      <c r="J1479" s="1" t="n">
        <v>81324</v>
      </c>
      <c r="K1479" s="1" t="n">
        <v>7909989775486</v>
      </c>
      <c r="L1479" s="1" t="s">
        <v>3062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5" t="n">
        <v>46188</v>
      </c>
      <c r="C1480" s="1" t="n">
        <v>11</v>
      </c>
      <c r="D1480" s="1" t="s">
        <v>2290</v>
      </c>
      <c r="E1480" s="1" t="n">
        <v>1611</v>
      </c>
      <c r="F1480" s="1" t="s">
        <v>445</v>
      </c>
      <c r="I1480" s="1" t="n">
        <v>1771475</v>
      </c>
      <c r="J1480" s="1" t="n">
        <v>81327</v>
      </c>
      <c r="K1480" s="1" t="n">
        <v>7909989775516</v>
      </c>
      <c r="L1480" s="1" t="s">
        <v>3063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5" t="n">
        <v>46188</v>
      </c>
      <c r="C1481" s="1" t="n">
        <v>11</v>
      </c>
      <c r="D1481" s="1" t="s">
        <v>2290</v>
      </c>
      <c r="E1481" s="1" t="n">
        <v>1611</v>
      </c>
      <c r="F1481" s="1" t="s">
        <v>445</v>
      </c>
      <c r="I1481" s="1" t="n">
        <v>1771475</v>
      </c>
      <c r="J1481" s="1" t="n">
        <v>81328</v>
      </c>
      <c r="K1481" s="1" t="n">
        <v>7909989775554</v>
      </c>
      <c r="L1481" s="1" t="s">
        <v>3064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5" t="n">
        <v>46188</v>
      </c>
      <c r="C1482" s="1" t="n">
        <v>11</v>
      </c>
      <c r="D1482" s="1" t="s">
        <v>2290</v>
      </c>
      <c r="E1482" s="1" t="n">
        <v>1611</v>
      </c>
      <c r="F1482" s="1" t="s">
        <v>445</v>
      </c>
      <c r="I1482" s="1" t="n">
        <v>1771475</v>
      </c>
      <c r="J1482" s="1" t="n">
        <v>81329</v>
      </c>
      <c r="K1482" s="1" t="n">
        <v>7909989834244</v>
      </c>
      <c r="L1482" s="1" t="s">
        <v>3065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15" t="n">
        <v>46188</v>
      </c>
      <c r="C1483" s="1" t="n">
        <v>11</v>
      </c>
      <c r="D1483" s="1" t="s">
        <v>2290</v>
      </c>
      <c r="E1483" s="1" t="n">
        <v>1611</v>
      </c>
      <c r="F1483" s="1" t="s">
        <v>445</v>
      </c>
      <c r="I1483" s="1" t="n">
        <v>1771475</v>
      </c>
      <c r="J1483" s="1" t="n">
        <v>81330</v>
      </c>
      <c r="K1483" s="1" t="n">
        <v>7909989834268</v>
      </c>
      <c r="L1483" s="1" t="s">
        <v>3066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15" t="n">
        <v>46188</v>
      </c>
      <c r="C1484" s="1" t="n">
        <v>11</v>
      </c>
      <c r="D1484" s="1" t="s">
        <v>2290</v>
      </c>
      <c r="E1484" s="1" t="n">
        <v>1611</v>
      </c>
      <c r="F1484" s="1" t="s">
        <v>445</v>
      </c>
      <c r="I1484" s="1" t="n">
        <v>1771475</v>
      </c>
      <c r="J1484" s="1" t="n">
        <v>81331</v>
      </c>
      <c r="K1484" s="1" t="n">
        <v>7909989775523</v>
      </c>
      <c r="L1484" s="1" t="s">
        <v>3067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15" t="n">
        <v>46188</v>
      </c>
      <c r="C1485" s="1" t="n">
        <v>11</v>
      </c>
      <c r="D1485" s="1" t="s">
        <v>2290</v>
      </c>
      <c r="E1485" s="1" t="n">
        <v>1611</v>
      </c>
      <c r="F1485" s="1" t="s">
        <v>445</v>
      </c>
      <c r="I1485" s="1" t="n">
        <v>1771475</v>
      </c>
      <c r="J1485" s="1" t="n">
        <v>81332</v>
      </c>
      <c r="K1485" s="1" t="n">
        <v>7909989702925</v>
      </c>
      <c r="L1485" s="1" t="s">
        <v>3068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15" t="n">
        <v>46188</v>
      </c>
      <c r="C1486" s="1" t="n">
        <v>11</v>
      </c>
      <c r="D1486" s="1" t="s">
        <v>2290</v>
      </c>
      <c r="E1486" s="1" t="n">
        <v>1611</v>
      </c>
      <c r="F1486" s="1" t="s">
        <v>445</v>
      </c>
      <c r="I1486" s="1" t="n">
        <v>1771475</v>
      </c>
      <c r="J1486" s="1" t="n">
        <v>81334</v>
      </c>
      <c r="K1486" s="1" t="n">
        <v>7909989702956</v>
      </c>
      <c r="L1486" s="1" t="s">
        <v>3069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15" t="n">
        <v>46188</v>
      </c>
      <c r="C1487" s="1" t="n">
        <v>11</v>
      </c>
      <c r="D1487" s="1" t="s">
        <v>2290</v>
      </c>
      <c r="E1487" s="1" t="n">
        <v>1611</v>
      </c>
      <c r="F1487" s="1" t="s">
        <v>445</v>
      </c>
      <c r="I1487" s="1" t="n">
        <v>1771475</v>
      </c>
      <c r="J1487" s="1" t="n">
        <v>81335</v>
      </c>
      <c r="K1487" s="1" t="n">
        <v>7909989813393</v>
      </c>
      <c r="L1487" s="1" t="s">
        <v>3070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15" t="n">
        <v>46188</v>
      </c>
      <c r="C1488" s="1" t="n">
        <v>11</v>
      </c>
      <c r="D1488" s="1" t="s">
        <v>2290</v>
      </c>
      <c r="E1488" s="1" t="n">
        <v>1611</v>
      </c>
      <c r="F1488" s="1" t="s">
        <v>445</v>
      </c>
      <c r="I1488" s="1" t="n">
        <v>1771475</v>
      </c>
      <c r="J1488" s="1" t="n">
        <v>81336</v>
      </c>
      <c r="K1488" s="1" t="n">
        <v>7909989813409</v>
      </c>
      <c r="L1488" s="1" t="s">
        <v>3071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15" t="n">
        <v>46188</v>
      </c>
      <c r="C1489" s="1" t="n">
        <v>11</v>
      </c>
      <c r="D1489" s="1" t="s">
        <v>2290</v>
      </c>
      <c r="E1489" s="1" t="n">
        <v>1611</v>
      </c>
      <c r="F1489" s="1" t="s">
        <v>445</v>
      </c>
      <c r="I1489" s="1" t="n">
        <v>1771475</v>
      </c>
      <c r="J1489" s="1" t="n">
        <v>81337</v>
      </c>
      <c r="K1489" s="1" t="n">
        <v>7909989813416</v>
      </c>
      <c r="L1489" s="1" t="s">
        <v>3072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5" t="n">
        <v>46188</v>
      </c>
      <c r="C1490" s="1" t="n">
        <v>11</v>
      </c>
      <c r="D1490" s="1" t="s">
        <v>2290</v>
      </c>
      <c r="E1490" s="1" t="n">
        <v>1611</v>
      </c>
      <c r="F1490" s="1" t="s">
        <v>445</v>
      </c>
      <c r="I1490" s="1" t="n">
        <v>1771475</v>
      </c>
      <c r="J1490" s="1" t="n">
        <v>81339</v>
      </c>
      <c r="K1490" s="1" t="n">
        <v>7909989813423</v>
      </c>
      <c r="L1490" s="1" t="s">
        <v>3073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5" t="n">
        <v>46188</v>
      </c>
      <c r="C1491" s="1" t="n">
        <v>11</v>
      </c>
      <c r="D1491" s="1" t="s">
        <v>2290</v>
      </c>
      <c r="E1491" s="1" t="n">
        <v>1611</v>
      </c>
      <c r="F1491" s="1" t="s">
        <v>445</v>
      </c>
      <c r="I1491" s="1" t="n">
        <v>1771475</v>
      </c>
      <c r="J1491" s="1" t="n">
        <v>81340</v>
      </c>
      <c r="K1491" s="1" t="n">
        <v>7909989813492</v>
      </c>
      <c r="L1491" s="1" t="s">
        <v>3074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5" t="n">
        <v>46188</v>
      </c>
      <c r="C1492" s="1" t="n">
        <v>11</v>
      </c>
      <c r="D1492" s="1" t="s">
        <v>2290</v>
      </c>
      <c r="E1492" s="1" t="n">
        <v>1611</v>
      </c>
      <c r="F1492" s="1" t="s">
        <v>445</v>
      </c>
      <c r="I1492" s="1" t="n">
        <v>1771475</v>
      </c>
      <c r="J1492" s="1" t="n">
        <v>81341</v>
      </c>
      <c r="K1492" s="1" t="n">
        <v>7909989813508</v>
      </c>
      <c r="L1492" s="1" t="s">
        <v>3075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5" t="n">
        <v>46188</v>
      </c>
      <c r="C1493" s="1" t="n">
        <v>11</v>
      </c>
      <c r="D1493" s="1" t="s">
        <v>2290</v>
      </c>
      <c r="E1493" s="1" t="n">
        <v>1611</v>
      </c>
      <c r="F1493" s="1" t="s">
        <v>445</v>
      </c>
      <c r="I1493" s="1" t="n">
        <v>1771475</v>
      </c>
      <c r="J1493" s="1" t="n">
        <v>81342</v>
      </c>
      <c r="K1493" s="1" t="n">
        <v>7909989831137</v>
      </c>
      <c r="L1493" s="1" t="s">
        <v>3076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15" t="n">
        <v>46188</v>
      </c>
      <c r="C1494" s="1" t="n">
        <v>11</v>
      </c>
      <c r="D1494" s="1" t="s">
        <v>2290</v>
      </c>
      <c r="E1494" s="1" t="n">
        <v>1611</v>
      </c>
      <c r="F1494" s="1" t="s">
        <v>445</v>
      </c>
      <c r="I1494" s="1" t="n">
        <v>1771475</v>
      </c>
      <c r="J1494" s="1" t="n">
        <v>81342</v>
      </c>
      <c r="K1494" s="1" t="n">
        <v>7909989831137</v>
      </c>
      <c r="L1494" s="1" t="s">
        <v>3076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15" t="n">
        <v>46188</v>
      </c>
      <c r="C1495" s="1" t="n">
        <v>11</v>
      </c>
      <c r="D1495" s="1" t="s">
        <v>2290</v>
      </c>
      <c r="E1495" s="1" t="n">
        <v>1611</v>
      </c>
      <c r="F1495" s="1" t="s">
        <v>445</v>
      </c>
      <c r="I1495" s="1" t="n">
        <v>1771475</v>
      </c>
      <c r="J1495" s="1" t="n">
        <v>81344</v>
      </c>
      <c r="K1495" s="1" t="n">
        <v>7909989702949</v>
      </c>
      <c r="L1495" s="1" t="s">
        <v>3077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5" t="n">
        <v>46188</v>
      </c>
      <c r="C1496" s="1" t="n">
        <v>11</v>
      </c>
      <c r="D1496" s="1" t="s">
        <v>2290</v>
      </c>
      <c r="E1496" s="1" t="n">
        <v>1611</v>
      </c>
      <c r="F1496" s="1" t="s">
        <v>445</v>
      </c>
      <c r="I1496" s="1" t="n">
        <v>1771475</v>
      </c>
      <c r="J1496" s="1" t="n">
        <v>81345</v>
      </c>
      <c r="K1496" s="1" t="n">
        <v>7909989751404</v>
      </c>
      <c r="L1496" s="1" t="s">
        <v>3078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5" t="n">
        <v>46188</v>
      </c>
      <c r="C1497" s="1" t="n">
        <v>11</v>
      </c>
      <c r="D1497" s="1" t="s">
        <v>2290</v>
      </c>
      <c r="E1497" s="1" t="n">
        <v>1611</v>
      </c>
      <c r="F1497" s="1" t="s">
        <v>445</v>
      </c>
      <c r="I1497" s="1" t="n">
        <v>1771475</v>
      </c>
      <c r="J1497" s="1" t="n">
        <v>81345</v>
      </c>
      <c r="K1497" s="1" t="n">
        <v>7909989751404</v>
      </c>
      <c r="L1497" s="1" t="s">
        <v>3078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5" t="n">
        <v>46188</v>
      </c>
      <c r="C1498" s="1" t="n">
        <v>11</v>
      </c>
      <c r="D1498" s="1" t="s">
        <v>2290</v>
      </c>
      <c r="E1498" s="1" t="n">
        <v>1611</v>
      </c>
      <c r="F1498" s="1" t="s">
        <v>445</v>
      </c>
      <c r="I1498" s="1" t="n">
        <v>1771475</v>
      </c>
      <c r="J1498" s="1" t="n">
        <v>81346</v>
      </c>
      <c r="K1498" s="1" t="n">
        <v>7909989751411</v>
      </c>
      <c r="L1498" s="1" t="s">
        <v>3079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5" t="n">
        <v>46188</v>
      </c>
      <c r="C1499" s="1" t="n">
        <v>11</v>
      </c>
      <c r="D1499" s="1" t="s">
        <v>2290</v>
      </c>
      <c r="E1499" s="1" t="n">
        <v>1611</v>
      </c>
      <c r="F1499" s="1" t="s">
        <v>445</v>
      </c>
      <c r="I1499" s="1" t="n">
        <v>1771475</v>
      </c>
      <c r="J1499" s="1" t="n">
        <v>81346</v>
      </c>
      <c r="K1499" s="1" t="n">
        <v>7909989751411</v>
      </c>
      <c r="L1499" s="1" t="s">
        <v>3079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5" t="n">
        <v>46188</v>
      </c>
      <c r="C1500" s="1" t="n">
        <v>11</v>
      </c>
      <c r="D1500" s="1" t="s">
        <v>2290</v>
      </c>
      <c r="E1500" s="1" t="n">
        <v>1611</v>
      </c>
      <c r="F1500" s="1" t="s">
        <v>445</v>
      </c>
      <c r="I1500" s="1" t="n">
        <v>1771475</v>
      </c>
      <c r="J1500" s="1" t="n">
        <v>81347</v>
      </c>
      <c r="K1500" s="1" t="n">
        <v>7909989751428</v>
      </c>
      <c r="L1500" s="1" t="s">
        <v>3080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5" t="n">
        <v>46188</v>
      </c>
      <c r="C1501" s="1" t="n">
        <v>11</v>
      </c>
      <c r="D1501" s="1" t="s">
        <v>2290</v>
      </c>
      <c r="E1501" s="1" t="n">
        <v>1611</v>
      </c>
      <c r="F1501" s="1" t="s">
        <v>445</v>
      </c>
      <c r="I1501" s="1" t="n">
        <v>1771475</v>
      </c>
      <c r="J1501" s="1" t="n">
        <v>81347</v>
      </c>
      <c r="K1501" s="1" t="n">
        <v>7909989751428</v>
      </c>
      <c r="L1501" s="1" t="s">
        <v>3080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5" t="n">
        <v>46188</v>
      </c>
      <c r="C1502" s="1" t="n">
        <v>11</v>
      </c>
      <c r="D1502" s="1" t="s">
        <v>2290</v>
      </c>
      <c r="E1502" s="1" t="n">
        <v>1611</v>
      </c>
      <c r="F1502" s="1" t="s">
        <v>445</v>
      </c>
      <c r="I1502" s="1" t="n">
        <v>1771475</v>
      </c>
      <c r="J1502" s="1" t="n">
        <v>81348</v>
      </c>
      <c r="K1502" s="1" t="n">
        <v>7909989788349</v>
      </c>
      <c r="L1502" s="1" t="s">
        <v>3081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5" t="n">
        <v>46188</v>
      </c>
      <c r="C1503" s="1" t="n">
        <v>11</v>
      </c>
      <c r="D1503" s="1" t="s">
        <v>2290</v>
      </c>
      <c r="E1503" s="1" t="n">
        <v>1611</v>
      </c>
      <c r="F1503" s="1" t="s">
        <v>445</v>
      </c>
      <c r="I1503" s="1" t="n">
        <v>1771475</v>
      </c>
      <c r="J1503" s="1" t="n">
        <v>81349</v>
      </c>
      <c r="K1503" s="1" t="n">
        <v>7909989788356</v>
      </c>
      <c r="L1503" s="1" t="s">
        <v>3082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5" t="n">
        <v>46188</v>
      </c>
      <c r="C1504" s="1" t="n">
        <v>11</v>
      </c>
      <c r="D1504" s="1" t="s">
        <v>2290</v>
      </c>
      <c r="E1504" s="1" t="n">
        <v>1611</v>
      </c>
      <c r="F1504" s="1" t="s">
        <v>445</v>
      </c>
      <c r="I1504" s="1" t="n">
        <v>1771475</v>
      </c>
      <c r="J1504" s="1" t="n">
        <v>81350</v>
      </c>
      <c r="K1504" s="1" t="n">
        <v>7909989788493</v>
      </c>
      <c r="L1504" s="1" t="s">
        <v>3083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5" t="n">
        <v>46188</v>
      </c>
      <c r="C1505" s="1" t="n">
        <v>11</v>
      </c>
      <c r="D1505" s="1" t="s">
        <v>2290</v>
      </c>
      <c r="E1505" s="1" t="n">
        <v>1611</v>
      </c>
      <c r="F1505" s="1" t="s">
        <v>445</v>
      </c>
      <c r="I1505" s="1" t="n">
        <v>1771475</v>
      </c>
      <c r="J1505" s="1" t="n">
        <v>81351</v>
      </c>
      <c r="K1505" s="1" t="n">
        <v>7909989788509</v>
      </c>
      <c r="L1505" s="1" t="s">
        <v>3084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5" t="n">
        <v>46188</v>
      </c>
      <c r="C1506" s="1" t="n">
        <v>11</v>
      </c>
      <c r="D1506" s="1" t="s">
        <v>2290</v>
      </c>
      <c r="E1506" s="1" t="n">
        <v>1611</v>
      </c>
      <c r="F1506" s="1" t="s">
        <v>445</v>
      </c>
      <c r="I1506" s="1" t="n">
        <v>1771475</v>
      </c>
      <c r="J1506" s="1" t="n">
        <v>81352</v>
      </c>
      <c r="K1506" s="1" t="n">
        <v>7909989788516</v>
      </c>
      <c r="L1506" s="1" t="s">
        <v>3085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5" t="n">
        <v>46188</v>
      </c>
      <c r="C1507" s="1" t="n">
        <v>11</v>
      </c>
      <c r="D1507" s="1" t="s">
        <v>2290</v>
      </c>
      <c r="E1507" s="1" t="n">
        <v>1611</v>
      </c>
      <c r="F1507" s="1" t="s">
        <v>445</v>
      </c>
      <c r="I1507" s="1" t="n">
        <v>1771475</v>
      </c>
      <c r="J1507" s="1" t="n">
        <v>81353</v>
      </c>
      <c r="K1507" s="1" t="n">
        <v>7909989788523</v>
      </c>
      <c r="L1507" s="1" t="s">
        <v>3086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5" t="n">
        <v>46188</v>
      </c>
      <c r="C1508" s="1" t="n">
        <v>22</v>
      </c>
      <c r="D1508" s="1" t="s">
        <v>2436</v>
      </c>
      <c r="E1508" s="1" t="n">
        <v>42</v>
      </c>
      <c r="F1508" s="1" t="s">
        <v>80</v>
      </c>
      <c r="I1508" s="1" t="n">
        <v>4269</v>
      </c>
      <c r="J1508" s="1" t="n">
        <v>100000</v>
      </c>
      <c r="K1508" s="1" t="n">
        <v>1</v>
      </c>
      <c r="L1508" s="1" t="s">
        <v>2451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5" t="n">
        <v>46188</v>
      </c>
      <c r="C1509" s="1" t="n">
        <v>22</v>
      </c>
      <c r="D1509" s="1" t="s">
        <v>2436</v>
      </c>
      <c r="E1509" s="1" t="n">
        <v>42</v>
      </c>
      <c r="F1509" s="1" t="s">
        <v>80</v>
      </c>
      <c r="I1509" s="1" t="n">
        <v>4269</v>
      </c>
      <c r="J1509" s="1" t="n">
        <v>100006</v>
      </c>
      <c r="K1509" s="1" t="n">
        <v>7</v>
      </c>
      <c r="L1509" s="1" t="s">
        <v>2437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5" t="n">
        <v>46188</v>
      </c>
      <c r="C1510" s="1" t="n">
        <v>22</v>
      </c>
      <c r="D1510" s="1" t="s">
        <v>2436</v>
      </c>
      <c r="E1510" s="1" t="n">
        <v>42</v>
      </c>
      <c r="F1510" s="1" t="s">
        <v>80</v>
      </c>
      <c r="I1510" s="1" t="n">
        <v>4269</v>
      </c>
      <c r="J1510" s="1" t="n">
        <v>100008</v>
      </c>
      <c r="K1510" s="1" t="n">
        <v>9</v>
      </c>
      <c r="L1510" s="1" t="s">
        <v>2438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5" t="n">
        <v>46188</v>
      </c>
      <c r="C1511" s="1" t="n">
        <v>22</v>
      </c>
      <c r="D1511" s="1" t="s">
        <v>2436</v>
      </c>
      <c r="E1511" s="1" t="n">
        <v>42</v>
      </c>
      <c r="F1511" s="1" t="s">
        <v>80</v>
      </c>
      <c r="I1511" s="1" t="n">
        <v>4269</v>
      </c>
      <c r="J1511" s="1" t="n">
        <v>100010</v>
      </c>
      <c r="K1511" s="1" t="n">
        <v>11</v>
      </c>
      <c r="L1511" s="1" t="s">
        <v>2439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5" t="n">
        <v>46188</v>
      </c>
      <c r="C1512" s="1" t="n">
        <v>22</v>
      </c>
      <c r="D1512" s="1" t="s">
        <v>2436</v>
      </c>
      <c r="E1512" s="1" t="n">
        <v>42</v>
      </c>
      <c r="F1512" s="1" t="s">
        <v>80</v>
      </c>
      <c r="I1512" s="1" t="n">
        <v>4269</v>
      </c>
      <c r="J1512" s="1" t="n">
        <v>100011</v>
      </c>
      <c r="K1512" s="1" t="n">
        <v>12</v>
      </c>
      <c r="L1512" s="1" t="s">
        <v>2440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5" t="n">
        <v>46188</v>
      </c>
      <c r="C1513" s="1" t="n">
        <v>22</v>
      </c>
      <c r="D1513" s="1" t="s">
        <v>2436</v>
      </c>
      <c r="E1513" s="1" t="n">
        <v>42</v>
      </c>
      <c r="F1513" s="1" t="s">
        <v>80</v>
      </c>
      <c r="I1513" s="1" t="n">
        <v>4269</v>
      </c>
      <c r="J1513" s="1" t="n">
        <v>100012</v>
      </c>
      <c r="K1513" s="1" t="n">
        <v>13</v>
      </c>
      <c r="L1513" s="1" t="s">
        <v>2441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5" t="n">
        <v>46188</v>
      </c>
      <c r="C1514" s="1" t="n">
        <v>22</v>
      </c>
      <c r="D1514" s="1" t="s">
        <v>2436</v>
      </c>
      <c r="E1514" s="1" t="n">
        <v>42</v>
      </c>
      <c r="F1514" s="1" t="s">
        <v>80</v>
      </c>
      <c r="I1514" s="1" t="n">
        <v>4269</v>
      </c>
      <c r="J1514" s="1" t="n">
        <v>100013</v>
      </c>
      <c r="K1514" s="1" t="n">
        <v>14</v>
      </c>
      <c r="L1514" s="1" t="s">
        <v>2442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5" t="n">
        <v>46188</v>
      </c>
      <c r="C1515" s="1" t="n">
        <v>22</v>
      </c>
      <c r="D1515" s="1" t="s">
        <v>2436</v>
      </c>
      <c r="E1515" s="1" t="n">
        <v>42</v>
      </c>
      <c r="F1515" s="1" t="s">
        <v>80</v>
      </c>
      <c r="I1515" s="1" t="n">
        <v>4269</v>
      </c>
      <c r="J1515" s="1" t="n">
        <v>100014</v>
      </c>
      <c r="K1515" s="1" t="n">
        <v>15</v>
      </c>
      <c r="L1515" s="1" t="s">
        <v>2443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5" t="n">
        <v>46188</v>
      </c>
      <c r="C1516" s="1" t="n">
        <v>22</v>
      </c>
      <c r="D1516" s="1" t="s">
        <v>2436</v>
      </c>
      <c r="E1516" s="1" t="n">
        <v>42</v>
      </c>
      <c r="F1516" s="1" t="s">
        <v>80</v>
      </c>
      <c r="I1516" s="1" t="n">
        <v>4269</v>
      </c>
      <c r="J1516" s="1" t="n">
        <v>100015</v>
      </c>
      <c r="K1516" s="1" t="n">
        <v>16</v>
      </c>
      <c r="L1516" s="1" t="s">
        <v>2444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5" t="n">
        <v>46188</v>
      </c>
      <c r="C1517" s="1" t="n">
        <v>22</v>
      </c>
      <c r="D1517" s="1" t="s">
        <v>2436</v>
      </c>
      <c r="E1517" s="1" t="n">
        <v>42</v>
      </c>
      <c r="F1517" s="1" t="s">
        <v>80</v>
      </c>
      <c r="I1517" s="1" t="n">
        <v>4269</v>
      </c>
      <c r="J1517" s="1" t="n">
        <v>100016</v>
      </c>
      <c r="K1517" s="1" t="n">
        <v>17</v>
      </c>
      <c r="L1517" s="1" t="s">
        <v>2445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5" t="n">
        <v>46188</v>
      </c>
      <c r="C1518" s="1" t="n">
        <v>22</v>
      </c>
      <c r="D1518" s="1" t="s">
        <v>2436</v>
      </c>
      <c r="E1518" s="1" t="n">
        <v>42</v>
      </c>
      <c r="F1518" s="1" t="s">
        <v>80</v>
      </c>
      <c r="I1518" s="1" t="n">
        <v>4269</v>
      </c>
      <c r="J1518" s="1" t="n">
        <v>100017</v>
      </c>
      <c r="K1518" s="1" t="n">
        <v>18</v>
      </c>
      <c r="L1518" s="1" t="s">
        <v>2446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5" t="n">
        <v>46188</v>
      </c>
      <c r="C1519" s="1" t="n">
        <v>22</v>
      </c>
      <c r="D1519" s="1" t="s">
        <v>2436</v>
      </c>
      <c r="E1519" s="1" t="n">
        <v>42</v>
      </c>
      <c r="F1519" s="1" t="s">
        <v>80</v>
      </c>
      <c r="I1519" s="1" t="n">
        <v>4269</v>
      </c>
      <c r="J1519" s="1" t="n">
        <v>100053</v>
      </c>
      <c r="K1519" s="1" t="n">
        <v>54</v>
      </c>
      <c r="L1519" s="1" t="s">
        <v>2447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5" t="n">
        <v>46188</v>
      </c>
      <c r="C1520" s="1" t="n">
        <v>22</v>
      </c>
      <c r="D1520" s="1" t="s">
        <v>2436</v>
      </c>
      <c r="E1520" s="1" t="n">
        <v>42</v>
      </c>
      <c r="F1520" s="1" t="s">
        <v>80</v>
      </c>
      <c r="I1520" s="1" t="n">
        <v>4269</v>
      </c>
      <c r="J1520" s="1" t="n">
        <v>100638</v>
      </c>
      <c r="K1520" s="1" t="n">
        <v>508</v>
      </c>
      <c r="L1520" s="1" t="s">
        <v>2448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5" t="n">
        <v>46188</v>
      </c>
      <c r="C1521" s="1" t="n">
        <v>22</v>
      </c>
      <c r="D1521" s="1" t="s">
        <v>2436</v>
      </c>
      <c r="E1521" s="1" t="n">
        <v>42</v>
      </c>
      <c r="F1521" s="1" t="s">
        <v>80</v>
      </c>
      <c r="I1521" s="1" t="n">
        <v>4269</v>
      </c>
      <c r="J1521" s="1" t="n">
        <v>100520</v>
      </c>
      <c r="K1521" s="1" t="n">
        <v>507</v>
      </c>
      <c r="L1521" s="1" t="s">
        <v>2449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5" t="n">
        <v>46188</v>
      </c>
      <c r="C1522" s="1" t="n">
        <v>22</v>
      </c>
      <c r="D1522" s="1" t="s">
        <v>2436</v>
      </c>
      <c r="E1522" s="1" t="n">
        <v>42</v>
      </c>
      <c r="F1522" s="1" t="s">
        <v>80</v>
      </c>
      <c r="I1522" s="1" t="n">
        <v>4269</v>
      </c>
      <c r="J1522" s="1" t="n">
        <v>110455</v>
      </c>
      <c r="K1522" s="1" t="n">
        <v>53212</v>
      </c>
      <c r="L1522" s="1" t="s">
        <v>2450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5" t="n">
        <v>46188</v>
      </c>
      <c r="C1523" s="1" t="n">
        <v>22</v>
      </c>
      <c r="D1523" s="1" t="s">
        <v>2436</v>
      </c>
      <c r="E1523" s="1" t="n">
        <v>42</v>
      </c>
      <c r="F1523" s="1" t="s">
        <v>80</v>
      </c>
      <c r="I1523" s="1" t="n">
        <v>4271</v>
      </c>
      <c r="J1523" s="1" t="n">
        <v>100000</v>
      </c>
      <c r="K1523" s="1" t="n">
        <v>1</v>
      </c>
      <c r="L1523" s="1" t="s">
        <v>2451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5" t="n">
        <v>46188</v>
      </c>
      <c r="C1524" s="1" t="n">
        <v>22</v>
      </c>
      <c r="D1524" s="1" t="s">
        <v>2436</v>
      </c>
      <c r="E1524" s="1" t="n">
        <v>42</v>
      </c>
      <c r="F1524" s="1" t="s">
        <v>80</v>
      </c>
      <c r="I1524" s="1" t="n">
        <v>4271</v>
      </c>
      <c r="J1524" s="1" t="n">
        <v>100001</v>
      </c>
      <c r="K1524" s="1" t="n">
        <v>2</v>
      </c>
      <c r="L1524" s="1" t="s">
        <v>2452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5" t="n">
        <v>46188</v>
      </c>
      <c r="C1525" s="1" t="n">
        <v>22</v>
      </c>
      <c r="D1525" s="1" t="s">
        <v>2436</v>
      </c>
      <c r="E1525" s="1" t="n">
        <v>42</v>
      </c>
      <c r="F1525" s="1" t="s">
        <v>80</v>
      </c>
      <c r="I1525" s="1" t="n">
        <v>4271</v>
      </c>
      <c r="J1525" s="1" t="n">
        <v>100002</v>
      </c>
      <c r="K1525" s="1" t="n">
        <v>3</v>
      </c>
      <c r="L1525" s="1" t="s">
        <v>2453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5" t="n">
        <v>46188</v>
      </c>
      <c r="C1526" s="1" t="n">
        <v>22</v>
      </c>
      <c r="D1526" s="1" t="s">
        <v>2436</v>
      </c>
      <c r="E1526" s="1" t="n">
        <v>42</v>
      </c>
      <c r="F1526" s="1" t="s">
        <v>80</v>
      </c>
      <c r="I1526" s="1" t="n">
        <v>4271</v>
      </c>
      <c r="J1526" s="1" t="n">
        <v>100003</v>
      </c>
      <c r="K1526" s="1" t="n">
        <v>4</v>
      </c>
      <c r="L1526" s="1" t="s">
        <v>2454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5" t="n">
        <v>46188</v>
      </c>
      <c r="C1527" s="1" t="n">
        <v>22</v>
      </c>
      <c r="D1527" s="1" t="s">
        <v>2436</v>
      </c>
      <c r="E1527" s="1" t="n">
        <v>42</v>
      </c>
      <c r="F1527" s="1" t="s">
        <v>80</v>
      </c>
      <c r="I1527" s="1" t="n">
        <v>4271</v>
      </c>
      <c r="J1527" s="1" t="n">
        <v>100006</v>
      </c>
      <c r="K1527" s="1" t="n">
        <v>7</v>
      </c>
      <c r="L1527" s="1" t="s">
        <v>2437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5" t="n">
        <v>46188</v>
      </c>
      <c r="C1528" s="1" t="n">
        <v>22</v>
      </c>
      <c r="D1528" s="1" t="s">
        <v>2436</v>
      </c>
      <c r="E1528" s="1" t="n">
        <v>42</v>
      </c>
      <c r="F1528" s="1" t="s">
        <v>80</v>
      </c>
      <c r="I1528" s="1" t="n">
        <v>4271</v>
      </c>
      <c r="J1528" s="1" t="n">
        <v>100007</v>
      </c>
      <c r="K1528" s="1" t="n">
        <v>8</v>
      </c>
      <c r="L1528" s="1" t="s">
        <v>2455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5" t="n">
        <v>46188</v>
      </c>
      <c r="C1529" s="1" t="n">
        <v>22</v>
      </c>
      <c r="D1529" s="1" t="s">
        <v>2436</v>
      </c>
      <c r="E1529" s="1" t="n">
        <v>42</v>
      </c>
      <c r="F1529" s="1" t="s">
        <v>80</v>
      </c>
      <c r="I1529" s="1" t="n">
        <v>4271</v>
      </c>
      <c r="J1529" s="1" t="n">
        <v>100007</v>
      </c>
      <c r="K1529" s="1" t="n">
        <v>8</v>
      </c>
      <c r="L1529" s="1" t="s">
        <v>2455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5" t="n">
        <v>46188</v>
      </c>
      <c r="C1530" s="1" t="n">
        <v>22</v>
      </c>
      <c r="D1530" s="1" t="s">
        <v>2436</v>
      </c>
      <c r="E1530" s="1" t="n">
        <v>42</v>
      </c>
      <c r="F1530" s="1" t="s">
        <v>80</v>
      </c>
      <c r="I1530" s="1" t="n">
        <v>4271</v>
      </c>
      <c r="J1530" s="1" t="n">
        <v>100008</v>
      </c>
      <c r="K1530" s="1" t="n">
        <v>9</v>
      </c>
      <c r="L1530" s="1" t="s">
        <v>2438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5" t="n">
        <v>46188</v>
      </c>
      <c r="C1531" s="1" t="n">
        <v>22</v>
      </c>
      <c r="D1531" s="1" t="s">
        <v>2436</v>
      </c>
      <c r="E1531" s="1" t="n">
        <v>42</v>
      </c>
      <c r="F1531" s="1" t="s">
        <v>80</v>
      </c>
      <c r="I1531" s="1" t="n">
        <v>4271</v>
      </c>
      <c r="J1531" s="1" t="n">
        <v>100010</v>
      </c>
      <c r="K1531" s="1" t="n">
        <v>11</v>
      </c>
      <c r="L1531" s="1" t="s">
        <v>2439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5" t="n">
        <v>46188</v>
      </c>
      <c r="C1532" s="1" t="n">
        <v>22</v>
      </c>
      <c r="D1532" s="1" t="s">
        <v>2436</v>
      </c>
      <c r="E1532" s="1" t="n">
        <v>42</v>
      </c>
      <c r="F1532" s="1" t="s">
        <v>80</v>
      </c>
      <c r="I1532" s="1" t="n">
        <v>4271</v>
      </c>
      <c r="J1532" s="1" t="n">
        <v>100011</v>
      </c>
      <c r="K1532" s="1" t="n">
        <v>12</v>
      </c>
      <c r="L1532" s="1" t="s">
        <v>2440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5" t="n">
        <v>46188</v>
      </c>
      <c r="C1533" s="1" t="n">
        <v>22</v>
      </c>
      <c r="D1533" s="1" t="s">
        <v>2436</v>
      </c>
      <c r="E1533" s="1" t="n">
        <v>42</v>
      </c>
      <c r="F1533" s="1" t="s">
        <v>80</v>
      </c>
      <c r="I1533" s="1" t="n">
        <v>4271</v>
      </c>
      <c r="J1533" s="1" t="n">
        <v>100012</v>
      </c>
      <c r="K1533" s="1" t="n">
        <v>13</v>
      </c>
      <c r="L1533" s="1" t="s">
        <v>2441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5" t="n">
        <v>46188</v>
      </c>
      <c r="C1534" s="1" t="n">
        <v>22</v>
      </c>
      <c r="D1534" s="1" t="s">
        <v>2436</v>
      </c>
      <c r="E1534" s="1" t="n">
        <v>42</v>
      </c>
      <c r="F1534" s="1" t="s">
        <v>80</v>
      </c>
      <c r="I1534" s="1" t="n">
        <v>4271</v>
      </c>
      <c r="J1534" s="1" t="n">
        <v>100013</v>
      </c>
      <c r="K1534" s="1" t="n">
        <v>14</v>
      </c>
      <c r="L1534" s="1" t="s">
        <v>2442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5" t="n">
        <v>46188</v>
      </c>
      <c r="C1535" s="1" t="n">
        <v>22</v>
      </c>
      <c r="D1535" s="1" t="s">
        <v>2436</v>
      </c>
      <c r="E1535" s="1" t="n">
        <v>42</v>
      </c>
      <c r="F1535" s="1" t="s">
        <v>80</v>
      </c>
      <c r="I1535" s="1" t="n">
        <v>4271</v>
      </c>
      <c r="J1535" s="1" t="n">
        <v>100014</v>
      </c>
      <c r="K1535" s="1" t="n">
        <v>15</v>
      </c>
      <c r="L1535" s="1" t="s">
        <v>2443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5" t="n">
        <v>46188</v>
      </c>
      <c r="C1536" s="1" t="n">
        <v>22</v>
      </c>
      <c r="D1536" s="1" t="s">
        <v>2436</v>
      </c>
      <c r="E1536" s="1" t="n">
        <v>42</v>
      </c>
      <c r="F1536" s="1" t="s">
        <v>80</v>
      </c>
      <c r="I1536" s="1" t="n">
        <v>4271</v>
      </c>
      <c r="J1536" s="1" t="n">
        <v>100015</v>
      </c>
      <c r="K1536" s="1" t="n">
        <v>16</v>
      </c>
      <c r="L1536" s="1" t="s">
        <v>2444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5" t="n">
        <v>46188</v>
      </c>
      <c r="C1537" s="1" t="n">
        <v>22</v>
      </c>
      <c r="D1537" s="1" t="s">
        <v>2436</v>
      </c>
      <c r="E1537" s="1" t="n">
        <v>42</v>
      </c>
      <c r="F1537" s="1" t="s">
        <v>80</v>
      </c>
      <c r="I1537" s="1" t="n">
        <v>4271</v>
      </c>
      <c r="J1537" s="1" t="n">
        <v>100016</v>
      </c>
      <c r="K1537" s="1" t="n">
        <v>17</v>
      </c>
      <c r="L1537" s="1" t="s">
        <v>2445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5" t="n">
        <v>46188</v>
      </c>
      <c r="C1538" s="1" t="n">
        <v>22</v>
      </c>
      <c r="D1538" s="1" t="s">
        <v>2436</v>
      </c>
      <c r="E1538" s="1" t="n">
        <v>42</v>
      </c>
      <c r="F1538" s="1" t="s">
        <v>80</v>
      </c>
      <c r="I1538" s="1" t="n">
        <v>4271</v>
      </c>
      <c r="J1538" s="1" t="n">
        <v>100017</v>
      </c>
      <c r="K1538" s="1" t="n">
        <v>18</v>
      </c>
      <c r="L1538" s="1" t="s">
        <v>2446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5" t="n">
        <v>46188</v>
      </c>
      <c r="C1539" s="1" t="n">
        <v>22</v>
      </c>
      <c r="D1539" s="1" t="s">
        <v>2436</v>
      </c>
      <c r="E1539" s="1" t="n">
        <v>42</v>
      </c>
      <c r="F1539" s="1" t="s">
        <v>80</v>
      </c>
      <c r="I1539" s="1" t="n">
        <v>4271</v>
      </c>
      <c r="J1539" s="1" t="n">
        <v>100053</v>
      </c>
      <c r="K1539" s="1" t="n">
        <v>54</v>
      </c>
      <c r="L1539" s="1" t="s">
        <v>2447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5" t="n">
        <v>46188</v>
      </c>
      <c r="C1540" s="1" t="n">
        <v>22</v>
      </c>
      <c r="D1540" s="1" t="s">
        <v>2436</v>
      </c>
      <c r="E1540" s="1" t="n">
        <v>42</v>
      </c>
      <c r="F1540" s="1" t="s">
        <v>80</v>
      </c>
      <c r="I1540" s="1" t="n">
        <v>4271</v>
      </c>
      <c r="J1540" s="1" t="n">
        <v>100638</v>
      </c>
      <c r="K1540" s="1" t="n">
        <v>508</v>
      </c>
      <c r="L1540" s="1" t="s">
        <v>2448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5" t="n">
        <v>46188</v>
      </c>
      <c r="C1541" s="1" t="n">
        <v>22</v>
      </c>
      <c r="D1541" s="1" t="s">
        <v>2436</v>
      </c>
      <c r="E1541" s="1" t="n">
        <v>42</v>
      </c>
      <c r="F1541" s="1" t="s">
        <v>80</v>
      </c>
      <c r="I1541" s="1" t="n">
        <v>4271</v>
      </c>
      <c r="J1541" s="1" t="n">
        <v>100638</v>
      </c>
      <c r="K1541" s="1" t="n">
        <v>508</v>
      </c>
      <c r="L1541" s="1" t="s">
        <v>2448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5" t="n">
        <v>46188</v>
      </c>
      <c r="C1542" s="1" t="n">
        <v>22</v>
      </c>
      <c r="D1542" s="1" t="s">
        <v>2436</v>
      </c>
      <c r="E1542" s="1" t="n">
        <v>42</v>
      </c>
      <c r="F1542" s="1" t="s">
        <v>80</v>
      </c>
      <c r="I1542" s="1" t="n">
        <v>4271</v>
      </c>
      <c r="J1542" s="1" t="n">
        <v>100520</v>
      </c>
      <c r="K1542" s="1" t="n">
        <v>507</v>
      </c>
      <c r="L1542" s="1" t="s">
        <v>2449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5" t="n">
        <v>46188</v>
      </c>
      <c r="C1543" s="1" t="n">
        <v>22</v>
      </c>
      <c r="D1543" s="1" t="s">
        <v>2436</v>
      </c>
      <c r="E1543" s="1" t="n">
        <v>42</v>
      </c>
      <c r="F1543" s="1" t="s">
        <v>80</v>
      </c>
      <c r="I1543" s="1" t="n">
        <v>4271</v>
      </c>
      <c r="J1543" s="1" t="n">
        <v>100520</v>
      </c>
      <c r="K1543" s="1" t="n">
        <v>507</v>
      </c>
      <c r="L1543" s="1" t="s">
        <v>2449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5" t="n">
        <v>46188</v>
      </c>
      <c r="C1544" s="1" t="n">
        <v>22</v>
      </c>
      <c r="D1544" s="1" t="s">
        <v>2436</v>
      </c>
      <c r="E1544" s="1" t="n">
        <v>42</v>
      </c>
      <c r="F1544" s="1" t="s">
        <v>80</v>
      </c>
      <c r="I1544" s="1" t="n">
        <v>4271</v>
      </c>
      <c r="J1544" s="1" t="n">
        <v>110455</v>
      </c>
      <c r="K1544" s="1" t="n">
        <v>53212</v>
      </c>
      <c r="L1544" s="1" t="s">
        <v>2450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5" t="n">
        <v>46188</v>
      </c>
      <c r="C1545" s="1" t="n">
        <v>22</v>
      </c>
      <c r="D1545" s="1" t="s">
        <v>2436</v>
      </c>
      <c r="E1545" s="1" t="n">
        <v>42</v>
      </c>
      <c r="F1545" s="1" t="s">
        <v>80</v>
      </c>
      <c r="I1545" s="1" t="n">
        <v>4271</v>
      </c>
      <c r="J1545" s="1" t="n">
        <v>110455</v>
      </c>
      <c r="K1545" s="1" t="n">
        <v>53212</v>
      </c>
      <c r="L1545" s="1" t="s">
        <v>2450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5" t="n">
        <v>46188</v>
      </c>
      <c r="C1546" s="1" t="n">
        <v>22</v>
      </c>
      <c r="D1546" s="1" t="s">
        <v>2436</v>
      </c>
      <c r="E1546" s="1" t="n">
        <v>42</v>
      </c>
      <c r="F1546" s="1" t="s">
        <v>80</v>
      </c>
      <c r="I1546" s="1" t="n">
        <v>4273</v>
      </c>
      <c r="J1546" s="1" t="n">
        <v>100000</v>
      </c>
      <c r="K1546" s="1" t="n">
        <v>1</v>
      </c>
      <c r="L1546" s="1" t="s">
        <v>2451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5" t="n">
        <v>46188</v>
      </c>
      <c r="C1547" s="1" t="n">
        <v>22</v>
      </c>
      <c r="D1547" s="1" t="s">
        <v>2436</v>
      </c>
      <c r="E1547" s="1" t="n">
        <v>42</v>
      </c>
      <c r="F1547" s="1" t="s">
        <v>80</v>
      </c>
      <c r="I1547" s="1" t="n">
        <v>4273</v>
      </c>
      <c r="J1547" s="1" t="n">
        <v>100000</v>
      </c>
      <c r="K1547" s="1" t="n">
        <v>1</v>
      </c>
      <c r="L1547" s="1" t="s">
        <v>2451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5" t="n">
        <v>46188</v>
      </c>
      <c r="C1548" s="1" t="n">
        <v>22</v>
      </c>
      <c r="D1548" s="1" t="s">
        <v>2436</v>
      </c>
      <c r="E1548" s="1" t="n">
        <v>42</v>
      </c>
      <c r="F1548" s="1" t="s">
        <v>80</v>
      </c>
      <c r="I1548" s="1" t="n">
        <v>4273</v>
      </c>
      <c r="J1548" s="1" t="n">
        <v>100001</v>
      </c>
      <c r="K1548" s="1" t="n">
        <v>2</v>
      </c>
      <c r="L1548" s="1" t="s">
        <v>2452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5" t="n">
        <v>46188</v>
      </c>
      <c r="C1549" s="1" t="n">
        <v>22</v>
      </c>
      <c r="D1549" s="1" t="s">
        <v>2436</v>
      </c>
      <c r="E1549" s="1" t="n">
        <v>42</v>
      </c>
      <c r="F1549" s="1" t="s">
        <v>80</v>
      </c>
      <c r="I1549" s="1" t="n">
        <v>4273</v>
      </c>
      <c r="J1549" s="1" t="n">
        <v>100002</v>
      </c>
      <c r="K1549" s="1" t="n">
        <v>3</v>
      </c>
      <c r="L1549" s="1" t="s">
        <v>2453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5" t="n">
        <v>46188</v>
      </c>
      <c r="C1550" s="1" t="n">
        <v>22</v>
      </c>
      <c r="D1550" s="1" t="s">
        <v>2436</v>
      </c>
      <c r="E1550" s="1" t="n">
        <v>42</v>
      </c>
      <c r="F1550" s="1" t="s">
        <v>80</v>
      </c>
      <c r="I1550" s="1" t="n">
        <v>4273</v>
      </c>
      <c r="J1550" s="1" t="n">
        <v>100003</v>
      </c>
      <c r="K1550" s="1" t="n">
        <v>4</v>
      </c>
      <c r="L1550" s="1" t="s">
        <v>2454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5" t="n">
        <v>46188</v>
      </c>
      <c r="C1551" s="1" t="n">
        <v>22</v>
      </c>
      <c r="D1551" s="1" t="s">
        <v>2436</v>
      </c>
      <c r="E1551" s="1" t="n">
        <v>42</v>
      </c>
      <c r="F1551" s="1" t="s">
        <v>80</v>
      </c>
      <c r="I1551" s="1" t="n">
        <v>4273</v>
      </c>
      <c r="J1551" s="1" t="n">
        <v>100006</v>
      </c>
      <c r="K1551" s="1" t="n">
        <v>7</v>
      </c>
      <c r="L1551" s="1" t="s">
        <v>2437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5" t="n">
        <v>46188</v>
      </c>
      <c r="C1552" s="1" t="n">
        <v>22</v>
      </c>
      <c r="D1552" s="1" t="s">
        <v>2436</v>
      </c>
      <c r="E1552" s="1" t="n">
        <v>42</v>
      </c>
      <c r="F1552" s="1" t="s">
        <v>80</v>
      </c>
      <c r="I1552" s="1" t="n">
        <v>4273</v>
      </c>
      <c r="J1552" s="1" t="n">
        <v>100007</v>
      </c>
      <c r="K1552" s="1" t="n">
        <v>8</v>
      </c>
      <c r="L1552" s="1" t="s">
        <v>2455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5" t="n">
        <v>46188</v>
      </c>
      <c r="C1553" s="1" t="n">
        <v>22</v>
      </c>
      <c r="D1553" s="1" t="s">
        <v>2436</v>
      </c>
      <c r="E1553" s="1" t="n">
        <v>42</v>
      </c>
      <c r="F1553" s="1" t="s">
        <v>80</v>
      </c>
      <c r="I1553" s="1" t="n">
        <v>4273</v>
      </c>
      <c r="J1553" s="1" t="n">
        <v>100008</v>
      </c>
      <c r="K1553" s="1" t="n">
        <v>9</v>
      </c>
      <c r="L1553" s="1" t="s">
        <v>2438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5" t="n">
        <v>46188</v>
      </c>
      <c r="C1554" s="1" t="n">
        <v>22</v>
      </c>
      <c r="D1554" s="1" t="s">
        <v>2436</v>
      </c>
      <c r="E1554" s="1" t="n">
        <v>42</v>
      </c>
      <c r="F1554" s="1" t="s">
        <v>80</v>
      </c>
      <c r="I1554" s="1" t="n">
        <v>4273</v>
      </c>
      <c r="J1554" s="1" t="n">
        <v>100010</v>
      </c>
      <c r="K1554" s="1" t="n">
        <v>11</v>
      </c>
      <c r="L1554" s="1" t="s">
        <v>2439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5" t="n">
        <v>46188</v>
      </c>
      <c r="C1555" s="1" t="n">
        <v>22</v>
      </c>
      <c r="D1555" s="1" t="s">
        <v>2436</v>
      </c>
      <c r="E1555" s="1" t="n">
        <v>42</v>
      </c>
      <c r="F1555" s="1" t="s">
        <v>80</v>
      </c>
      <c r="I1555" s="1" t="n">
        <v>4273</v>
      </c>
      <c r="J1555" s="1" t="n">
        <v>100011</v>
      </c>
      <c r="K1555" s="1" t="n">
        <v>12</v>
      </c>
      <c r="L1555" s="1" t="s">
        <v>2440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5" t="n">
        <v>46188</v>
      </c>
      <c r="C1556" s="1" t="n">
        <v>22</v>
      </c>
      <c r="D1556" s="1" t="s">
        <v>2436</v>
      </c>
      <c r="E1556" s="1" t="n">
        <v>42</v>
      </c>
      <c r="F1556" s="1" t="s">
        <v>80</v>
      </c>
      <c r="I1556" s="1" t="n">
        <v>4273</v>
      </c>
      <c r="J1556" s="1" t="n">
        <v>100012</v>
      </c>
      <c r="K1556" s="1" t="n">
        <v>13</v>
      </c>
      <c r="L1556" s="1" t="s">
        <v>2441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5" t="n">
        <v>46188</v>
      </c>
      <c r="C1557" s="1" t="n">
        <v>22</v>
      </c>
      <c r="D1557" s="1" t="s">
        <v>2436</v>
      </c>
      <c r="E1557" s="1" t="n">
        <v>42</v>
      </c>
      <c r="F1557" s="1" t="s">
        <v>80</v>
      </c>
      <c r="I1557" s="1" t="n">
        <v>4273</v>
      </c>
      <c r="J1557" s="1" t="n">
        <v>100013</v>
      </c>
      <c r="K1557" s="1" t="n">
        <v>14</v>
      </c>
      <c r="L1557" s="1" t="s">
        <v>2442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5" t="n">
        <v>46188</v>
      </c>
      <c r="C1558" s="1" t="n">
        <v>22</v>
      </c>
      <c r="D1558" s="1" t="s">
        <v>2436</v>
      </c>
      <c r="E1558" s="1" t="n">
        <v>42</v>
      </c>
      <c r="F1558" s="1" t="s">
        <v>80</v>
      </c>
      <c r="I1558" s="1" t="n">
        <v>4273</v>
      </c>
      <c r="J1558" s="1" t="n">
        <v>100014</v>
      </c>
      <c r="K1558" s="1" t="n">
        <v>15</v>
      </c>
      <c r="L1558" s="1" t="s">
        <v>2443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5" t="n">
        <v>46188</v>
      </c>
      <c r="C1559" s="1" t="n">
        <v>22</v>
      </c>
      <c r="D1559" s="1" t="s">
        <v>2436</v>
      </c>
      <c r="E1559" s="1" t="n">
        <v>42</v>
      </c>
      <c r="F1559" s="1" t="s">
        <v>80</v>
      </c>
      <c r="I1559" s="1" t="n">
        <v>4273</v>
      </c>
      <c r="J1559" s="1" t="n">
        <v>100015</v>
      </c>
      <c r="K1559" s="1" t="n">
        <v>16</v>
      </c>
      <c r="L1559" s="1" t="s">
        <v>2444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5" t="n">
        <v>46188</v>
      </c>
      <c r="C1560" s="1" t="n">
        <v>22</v>
      </c>
      <c r="D1560" s="1" t="s">
        <v>2436</v>
      </c>
      <c r="E1560" s="1" t="n">
        <v>42</v>
      </c>
      <c r="F1560" s="1" t="s">
        <v>80</v>
      </c>
      <c r="I1560" s="1" t="n">
        <v>4273</v>
      </c>
      <c r="J1560" s="1" t="n">
        <v>100016</v>
      </c>
      <c r="K1560" s="1" t="n">
        <v>17</v>
      </c>
      <c r="L1560" s="1" t="s">
        <v>2445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5" t="n">
        <v>46188</v>
      </c>
      <c r="C1561" s="1" t="n">
        <v>22</v>
      </c>
      <c r="D1561" s="1" t="s">
        <v>2436</v>
      </c>
      <c r="E1561" s="1" t="n">
        <v>42</v>
      </c>
      <c r="F1561" s="1" t="s">
        <v>80</v>
      </c>
      <c r="I1561" s="1" t="n">
        <v>4273</v>
      </c>
      <c r="J1561" s="1" t="n">
        <v>100017</v>
      </c>
      <c r="K1561" s="1" t="n">
        <v>18</v>
      </c>
      <c r="L1561" s="1" t="s">
        <v>2446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5" t="n">
        <v>46188</v>
      </c>
      <c r="C1562" s="1" t="n">
        <v>22</v>
      </c>
      <c r="D1562" s="1" t="s">
        <v>2436</v>
      </c>
      <c r="E1562" s="1" t="n">
        <v>42</v>
      </c>
      <c r="F1562" s="1" t="s">
        <v>80</v>
      </c>
      <c r="I1562" s="1" t="n">
        <v>4273</v>
      </c>
      <c r="J1562" s="1" t="n">
        <v>100053</v>
      </c>
      <c r="K1562" s="1" t="n">
        <v>54</v>
      </c>
      <c r="L1562" s="1" t="s">
        <v>2447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5" t="n">
        <v>46188</v>
      </c>
      <c r="C1563" s="1" t="n">
        <v>22</v>
      </c>
      <c r="D1563" s="1" t="s">
        <v>2436</v>
      </c>
      <c r="E1563" s="1" t="n">
        <v>42</v>
      </c>
      <c r="F1563" s="1" t="s">
        <v>80</v>
      </c>
      <c r="I1563" s="1" t="n">
        <v>4273</v>
      </c>
      <c r="J1563" s="1" t="n">
        <v>100638</v>
      </c>
      <c r="K1563" s="1" t="n">
        <v>508</v>
      </c>
      <c r="L1563" s="1" t="s">
        <v>2448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5" t="n">
        <v>46188</v>
      </c>
      <c r="C1564" s="1" t="n">
        <v>22</v>
      </c>
      <c r="D1564" s="1" t="s">
        <v>2436</v>
      </c>
      <c r="E1564" s="1" t="n">
        <v>42</v>
      </c>
      <c r="F1564" s="1" t="s">
        <v>80</v>
      </c>
      <c r="I1564" s="1" t="n">
        <v>4273</v>
      </c>
      <c r="J1564" s="1" t="n">
        <v>100638</v>
      </c>
      <c r="K1564" s="1" t="n">
        <v>508</v>
      </c>
      <c r="L1564" s="1" t="s">
        <v>2448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5" t="n">
        <v>46188</v>
      </c>
      <c r="C1565" s="1" t="n">
        <v>22</v>
      </c>
      <c r="D1565" s="1" t="s">
        <v>2436</v>
      </c>
      <c r="E1565" s="1" t="n">
        <v>42</v>
      </c>
      <c r="F1565" s="1" t="s">
        <v>80</v>
      </c>
      <c r="I1565" s="1" t="n">
        <v>4273</v>
      </c>
      <c r="J1565" s="1" t="n">
        <v>100520</v>
      </c>
      <c r="K1565" s="1" t="n">
        <v>507</v>
      </c>
      <c r="L1565" s="1" t="s">
        <v>2449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5" t="n">
        <v>46188</v>
      </c>
      <c r="C1566" s="1" t="n">
        <v>22</v>
      </c>
      <c r="D1566" s="1" t="s">
        <v>2436</v>
      </c>
      <c r="E1566" s="1" t="n">
        <v>42</v>
      </c>
      <c r="F1566" s="1" t="s">
        <v>80</v>
      </c>
      <c r="I1566" s="1" t="n">
        <v>4273</v>
      </c>
      <c r="J1566" s="1" t="n">
        <v>100520</v>
      </c>
      <c r="K1566" s="1" t="n">
        <v>507</v>
      </c>
      <c r="L1566" s="1" t="s">
        <v>2449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5" t="n">
        <v>46188</v>
      </c>
      <c r="C1567" s="1" t="n">
        <v>22</v>
      </c>
      <c r="D1567" s="1" t="s">
        <v>2436</v>
      </c>
      <c r="E1567" s="1" t="n">
        <v>42</v>
      </c>
      <c r="F1567" s="1" t="s">
        <v>80</v>
      </c>
      <c r="I1567" s="1" t="n">
        <v>4273</v>
      </c>
      <c r="J1567" s="1" t="n">
        <v>110455</v>
      </c>
      <c r="K1567" s="1" t="n">
        <v>53212</v>
      </c>
      <c r="L1567" s="1" t="s">
        <v>2450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5" t="n">
        <v>46188</v>
      </c>
      <c r="C1568" s="1" t="n">
        <v>22</v>
      </c>
      <c r="D1568" s="1" t="s">
        <v>2436</v>
      </c>
      <c r="E1568" s="1" t="n">
        <v>42</v>
      </c>
      <c r="F1568" s="1" t="s">
        <v>80</v>
      </c>
      <c r="I1568" s="1" t="n">
        <v>4273</v>
      </c>
      <c r="J1568" s="1" t="n">
        <v>110455</v>
      </c>
      <c r="K1568" s="1" t="n">
        <v>53212</v>
      </c>
      <c r="L1568" s="1" t="s">
        <v>2450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5" t="n">
        <v>46188</v>
      </c>
      <c r="C1569" s="1" t="n">
        <v>22</v>
      </c>
      <c r="D1569" s="1" t="s">
        <v>2436</v>
      </c>
      <c r="E1569" s="1" t="n">
        <v>42</v>
      </c>
      <c r="F1569" s="1" t="s">
        <v>80</v>
      </c>
      <c r="I1569" s="1" t="n">
        <v>4275</v>
      </c>
      <c r="J1569" s="1" t="n">
        <v>100000</v>
      </c>
      <c r="K1569" s="1" t="n">
        <v>1</v>
      </c>
      <c r="L1569" s="1" t="s">
        <v>2451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5" t="n">
        <v>46188</v>
      </c>
      <c r="C1570" s="1" t="n">
        <v>22</v>
      </c>
      <c r="D1570" s="1" t="s">
        <v>2436</v>
      </c>
      <c r="E1570" s="1" t="n">
        <v>42</v>
      </c>
      <c r="F1570" s="1" t="s">
        <v>80</v>
      </c>
      <c r="I1570" s="1" t="n">
        <v>4275</v>
      </c>
      <c r="J1570" s="1" t="n">
        <v>100006</v>
      </c>
      <c r="K1570" s="1" t="n">
        <v>7</v>
      </c>
      <c r="L1570" s="1" t="s">
        <v>2437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5" t="n">
        <v>46188</v>
      </c>
      <c r="C1571" s="1" t="n">
        <v>22</v>
      </c>
      <c r="D1571" s="1" t="s">
        <v>2436</v>
      </c>
      <c r="E1571" s="1" t="n">
        <v>42</v>
      </c>
      <c r="F1571" s="1" t="s">
        <v>80</v>
      </c>
      <c r="I1571" s="1" t="n">
        <v>4275</v>
      </c>
      <c r="J1571" s="1" t="n">
        <v>100008</v>
      </c>
      <c r="K1571" s="1" t="n">
        <v>9</v>
      </c>
      <c r="L1571" s="1" t="s">
        <v>2438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5" t="n">
        <v>46188</v>
      </c>
      <c r="C1572" s="1" t="n">
        <v>22</v>
      </c>
      <c r="D1572" s="1" t="s">
        <v>2436</v>
      </c>
      <c r="E1572" s="1" t="n">
        <v>42</v>
      </c>
      <c r="F1572" s="1" t="s">
        <v>80</v>
      </c>
      <c r="I1572" s="1" t="n">
        <v>4275</v>
      </c>
      <c r="J1572" s="1" t="n">
        <v>100010</v>
      </c>
      <c r="K1572" s="1" t="n">
        <v>11</v>
      </c>
      <c r="L1572" s="1" t="s">
        <v>2439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5" t="n">
        <v>46188</v>
      </c>
      <c r="C1573" s="1" t="n">
        <v>22</v>
      </c>
      <c r="D1573" s="1" t="s">
        <v>2436</v>
      </c>
      <c r="E1573" s="1" t="n">
        <v>42</v>
      </c>
      <c r="F1573" s="1" t="s">
        <v>80</v>
      </c>
      <c r="I1573" s="1" t="n">
        <v>4275</v>
      </c>
      <c r="J1573" s="1" t="n">
        <v>100011</v>
      </c>
      <c r="K1573" s="1" t="n">
        <v>12</v>
      </c>
      <c r="L1573" s="1" t="s">
        <v>2440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5" t="n">
        <v>46188</v>
      </c>
      <c r="C1574" s="1" t="n">
        <v>22</v>
      </c>
      <c r="D1574" s="1" t="s">
        <v>2436</v>
      </c>
      <c r="E1574" s="1" t="n">
        <v>42</v>
      </c>
      <c r="F1574" s="1" t="s">
        <v>80</v>
      </c>
      <c r="I1574" s="1" t="n">
        <v>4275</v>
      </c>
      <c r="J1574" s="1" t="n">
        <v>100012</v>
      </c>
      <c r="K1574" s="1" t="n">
        <v>13</v>
      </c>
      <c r="L1574" s="1" t="s">
        <v>2441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5" t="n">
        <v>46188</v>
      </c>
      <c r="C1575" s="1" t="n">
        <v>22</v>
      </c>
      <c r="D1575" s="1" t="s">
        <v>2436</v>
      </c>
      <c r="E1575" s="1" t="n">
        <v>42</v>
      </c>
      <c r="F1575" s="1" t="s">
        <v>80</v>
      </c>
      <c r="I1575" s="1" t="n">
        <v>4275</v>
      </c>
      <c r="J1575" s="1" t="n">
        <v>100013</v>
      </c>
      <c r="K1575" s="1" t="n">
        <v>14</v>
      </c>
      <c r="L1575" s="1" t="s">
        <v>2442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5" t="n">
        <v>46188</v>
      </c>
      <c r="C1576" s="1" t="n">
        <v>22</v>
      </c>
      <c r="D1576" s="1" t="s">
        <v>2436</v>
      </c>
      <c r="E1576" s="1" t="n">
        <v>42</v>
      </c>
      <c r="F1576" s="1" t="s">
        <v>80</v>
      </c>
      <c r="I1576" s="1" t="n">
        <v>4275</v>
      </c>
      <c r="J1576" s="1" t="n">
        <v>100014</v>
      </c>
      <c r="K1576" s="1" t="n">
        <v>15</v>
      </c>
      <c r="L1576" s="1" t="s">
        <v>2443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5" t="n">
        <v>46188</v>
      </c>
      <c r="C1577" s="1" t="n">
        <v>22</v>
      </c>
      <c r="D1577" s="1" t="s">
        <v>2436</v>
      </c>
      <c r="E1577" s="1" t="n">
        <v>42</v>
      </c>
      <c r="F1577" s="1" t="s">
        <v>80</v>
      </c>
      <c r="I1577" s="1" t="n">
        <v>4275</v>
      </c>
      <c r="J1577" s="1" t="n">
        <v>100015</v>
      </c>
      <c r="K1577" s="1" t="n">
        <v>16</v>
      </c>
      <c r="L1577" s="1" t="s">
        <v>2444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5" t="n">
        <v>46188</v>
      </c>
      <c r="C1578" s="1" t="n">
        <v>22</v>
      </c>
      <c r="D1578" s="1" t="s">
        <v>2436</v>
      </c>
      <c r="E1578" s="1" t="n">
        <v>42</v>
      </c>
      <c r="F1578" s="1" t="s">
        <v>80</v>
      </c>
      <c r="I1578" s="1" t="n">
        <v>4275</v>
      </c>
      <c r="J1578" s="1" t="n">
        <v>100016</v>
      </c>
      <c r="K1578" s="1" t="n">
        <v>17</v>
      </c>
      <c r="L1578" s="1" t="s">
        <v>2445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5" t="n">
        <v>46188</v>
      </c>
      <c r="C1579" s="1" t="n">
        <v>22</v>
      </c>
      <c r="D1579" s="1" t="s">
        <v>2436</v>
      </c>
      <c r="E1579" s="1" t="n">
        <v>42</v>
      </c>
      <c r="F1579" s="1" t="s">
        <v>80</v>
      </c>
      <c r="I1579" s="1" t="n">
        <v>4275</v>
      </c>
      <c r="J1579" s="1" t="n">
        <v>100017</v>
      </c>
      <c r="K1579" s="1" t="n">
        <v>18</v>
      </c>
      <c r="L1579" s="1" t="s">
        <v>2446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5" t="n">
        <v>46188</v>
      </c>
      <c r="C1580" s="1" t="n">
        <v>22</v>
      </c>
      <c r="D1580" s="1" t="s">
        <v>2436</v>
      </c>
      <c r="E1580" s="1" t="n">
        <v>42</v>
      </c>
      <c r="F1580" s="1" t="s">
        <v>80</v>
      </c>
      <c r="I1580" s="1" t="n">
        <v>4275</v>
      </c>
      <c r="J1580" s="1" t="n">
        <v>100053</v>
      </c>
      <c r="K1580" s="1" t="n">
        <v>54</v>
      </c>
      <c r="L1580" s="1" t="s">
        <v>2447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5" t="n">
        <v>46188</v>
      </c>
      <c r="C1581" s="1" t="n">
        <v>22</v>
      </c>
      <c r="D1581" s="1" t="s">
        <v>2436</v>
      </c>
      <c r="E1581" s="1" t="n">
        <v>42</v>
      </c>
      <c r="F1581" s="1" t="s">
        <v>80</v>
      </c>
      <c r="I1581" s="1" t="n">
        <v>4275</v>
      </c>
      <c r="J1581" s="1" t="n">
        <v>100638</v>
      </c>
      <c r="K1581" s="1" t="n">
        <v>508</v>
      </c>
      <c r="L1581" s="1" t="s">
        <v>2448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5" t="n">
        <v>46188</v>
      </c>
      <c r="C1582" s="1" t="n">
        <v>22</v>
      </c>
      <c r="D1582" s="1" t="s">
        <v>2436</v>
      </c>
      <c r="E1582" s="1" t="n">
        <v>42</v>
      </c>
      <c r="F1582" s="1" t="s">
        <v>80</v>
      </c>
      <c r="I1582" s="1" t="n">
        <v>4275</v>
      </c>
      <c r="J1582" s="1" t="n">
        <v>100520</v>
      </c>
      <c r="K1582" s="1" t="n">
        <v>507</v>
      </c>
      <c r="L1582" s="1" t="s">
        <v>2449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5" t="n">
        <v>46188</v>
      </c>
      <c r="C1583" s="1" t="n">
        <v>22</v>
      </c>
      <c r="D1583" s="1" t="s">
        <v>2436</v>
      </c>
      <c r="E1583" s="1" t="n">
        <v>42</v>
      </c>
      <c r="F1583" s="1" t="s">
        <v>80</v>
      </c>
      <c r="I1583" s="1" t="n">
        <v>4275</v>
      </c>
      <c r="J1583" s="1" t="n">
        <v>110455</v>
      </c>
      <c r="K1583" s="1" t="n">
        <v>53212</v>
      </c>
      <c r="L1583" s="1" t="s">
        <v>2450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5" t="n">
        <v>46188</v>
      </c>
      <c r="C1584" s="1" t="n">
        <v>100</v>
      </c>
      <c r="D1584" s="1" t="s">
        <v>2457</v>
      </c>
      <c r="E1584" s="1" t="n">
        <v>42</v>
      </c>
      <c r="F1584" s="1" t="s">
        <v>80</v>
      </c>
      <c r="I1584" s="1" t="n">
        <v>1256658</v>
      </c>
      <c r="J1584" s="1" t="n">
        <v>100000</v>
      </c>
      <c r="K1584" s="1" t="n">
        <v>1</v>
      </c>
      <c r="L1584" s="1" t="s">
        <v>2451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5" t="n">
        <v>46188</v>
      </c>
      <c r="C1585" s="1" t="n">
        <v>100</v>
      </c>
      <c r="D1585" s="1" t="s">
        <v>2457</v>
      </c>
      <c r="E1585" s="1" t="n">
        <v>42</v>
      </c>
      <c r="F1585" s="1" t="s">
        <v>80</v>
      </c>
      <c r="I1585" s="1" t="n">
        <v>1256658</v>
      </c>
      <c r="J1585" s="1" t="n">
        <v>100006</v>
      </c>
      <c r="K1585" s="1" t="n">
        <v>7</v>
      </c>
      <c r="L1585" s="1" t="s">
        <v>2437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5" t="n">
        <v>46188</v>
      </c>
      <c r="C1586" s="1" t="n">
        <v>100</v>
      </c>
      <c r="D1586" s="1" t="s">
        <v>2457</v>
      </c>
      <c r="E1586" s="1" t="n">
        <v>42</v>
      </c>
      <c r="F1586" s="1" t="s">
        <v>80</v>
      </c>
      <c r="I1586" s="1" t="n">
        <v>1256658</v>
      </c>
      <c r="J1586" s="1" t="n">
        <v>100008</v>
      </c>
      <c r="K1586" s="1" t="n">
        <v>9</v>
      </c>
      <c r="L1586" s="1" t="s">
        <v>2438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5" t="n">
        <v>46188</v>
      </c>
      <c r="C1587" s="1" t="n">
        <v>100</v>
      </c>
      <c r="D1587" s="1" t="s">
        <v>2457</v>
      </c>
      <c r="E1587" s="1" t="n">
        <v>42</v>
      </c>
      <c r="F1587" s="1" t="s">
        <v>80</v>
      </c>
      <c r="I1587" s="1" t="n">
        <v>1256658</v>
      </c>
      <c r="J1587" s="1" t="n">
        <v>100010</v>
      </c>
      <c r="K1587" s="1" t="n">
        <v>11</v>
      </c>
      <c r="L1587" s="1" t="s">
        <v>2439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5" t="n">
        <v>46188</v>
      </c>
      <c r="C1588" s="1" t="n">
        <v>100</v>
      </c>
      <c r="D1588" s="1" t="s">
        <v>2457</v>
      </c>
      <c r="E1588" s="1" t="n">
        <v>42</v>
      </c>
      <c r="F1588" s="1" t="s">
        <v>80</v>
      </c>
      <c r="I1588" s="1" t="n">
        <v>1256658</v>
      </c>
      <c r="J1588" s="1" t="n">
        <v>100011</v>
      </c>
      <c r="K1588" s="1" t="n">
        <v>12</v>
      </c>
      <c r="L1588" s="1" t="s">
        <v>2440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5" t="n">
        <v>46188</v>
      </c>
      <c r="C1589" s="1" t="n">
        <v>100</v>
      </c>
      <c r="D1589" s="1" t="s">
        <v>2457</v>
      </c>
      <c r="E1589" s="1" t="n">
        <v>42</v>
      </c>
      <c r="F1589" s="1" t="s">
        <v>80</v>
      </c>
      <c r="I1589" s="1" t="n">
        <v>1256658</v>
      </c>
      <c r="J1589" s="1" t="n">
        <v>100012</v>
      </c>
      <c r="K1589" s="1" t="n">
        <v>13</v>
      </c>
      <c r="L1589" s="1" t="s">
        <v>2441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5" t="n">
        <v>46188</v>
      </c>
      <c r="C1590" s="1" t="n">
        <v>100</v>
      </c>
      <c r="D1590" s="1" t="s">
        <v>2457</v>
      </c>
      <c r="E1590" s="1" t="n">
        <v>42</v>
      </c>
      <c r="F1590" s="1" t="s">
        <v>80</v>
      </c>
      <c r="I1590" s="1" t="n">
        <v>1256658</v>
      </c>
      <c r="J1590" s="1" t="n">
        <v>100013</v>
      </c>
      <c r="K1590" s="1" t="n">
        <v>14</v>
      </c>
      <c r="L1590" s="1" t="s">
        <v>2442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5" t="n">
        <v>46188</v>
      </c>
      <c r="C1591" s="1" t="n">
        <v>100</v>
      </c>
      <c r="D1591" s="1" t="s">
        <v>2457</v>
      </c>
      <c r="E1591" s="1" t="n">
        <v>42</v>
      </c>
      <c r="F1591" s="1" t="s">
        <v>80</v>
      </c>
      <c r="I1591" s="1" t="n">
        <v>1256658</v>
      </c>
      <c r="J1591" s="1" t="n">
        <v>100014</v>
      </c>
      <c r="K1591" s="1" t="n">
        <v>15</v>
      </c>
      <c r="L1591" s="1" t="s">
        <v>2443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5" t="n">
        <v>46188</v>
      </c>
      <c r="C1592" s="1" t="n">
        <v>100</v>
      </c>
      <c r="D1592" s="1" t="s">
        <v>2457</v>
      </c>
      <c r="E1592" s="1" t="n">
        <v>42</v>
      </c>
      <c r="F1592" s="1" t="s">
        <v>80</v>
      </c>
      <c r="I1592" s="1" t="n">
        <v>1256658</v>
      </c>
      <c r="J1592" s="1" t="n">
        <v>100015</v>
      </c>
      <c r="K1592" s="1" t="n">
        <v>16</v>
      </c>
      <c r="L1592" s="1" t="s">
        <v>2444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5" t="n">
        <v>46188</v>
      </c>
      <c r="C1593" s="1" t="n">
        <v>100</v>
      </c>
      <c r="D1593" s="1" t="s">
        <v>2457</v>
      </c>
      <c r="E1593" s="1" t="n">
        <v>42</v>
      </c>
      <c r="F1593" s="1" t="s">
        <v>80</v>
      </c>
      <c r="I1593" s="1" t="n">
        <v>1256658</v>
      </c>
      <c r="J1593" s="1" t="n">
        <v>100016</v>
      </c>
      <c r="K1593" s="1" t="n">
        <v>17</v>
      </c>
      <c r="L1593" s="1" t="s">
        <v>2445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5" t="n">
        <v>46188</v>
      </c>
      <c r="C1594" s="1" t="n">
        <v>100</v>
      </c>
      <c r="D1594" s="1" t="s">
        <v>2457</v>
      </c>
      <c r="E1594" s="1" t="n">
        <v>42</v>
      </c>
      <c r="F1594" s="1" t="s">
        <v>80</v>
      </c>
      <c r="I1594" s="1" t="n">
        <v>1256658</v>
      </c>
      <c r="J1594" s="1" t="n">
        <v>100017</v>
      </c>
      <c r="K1594" s="1" t="n">
        <v>18</v>
      </c>
      <c r="L1594" s="1" t="s">
        <v>2446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5" t="n">
        <v>46188</v>
      </c>
      <c r="C1595" s="1" t="n">
        <v>100</v>
      </c>
      <c r="D1595" s="1" t="s">
        <v>2457</v>
      </c>
      <c r="E1595" s="1" t="n">
        <v>42</v>
      </c>
      <c r="F1595" s="1" t="s">
        <v>80</v>
      </c>
      <c r="I1595" s="1" t="n">
        <v>1256658</v>
      </c>
      <c r="J1595" s="1" t="n">
        <v>100053</v>
      </c>
      <c r="K1595" s="1" t="n">
        <v>54</v>
      </c>
      <c r="L1595" s="1" t="s">
        <v>2447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5" t="n">
        <v>46188</v>
      </c>
      <c r="C1596" s="1" t="n">
        <v>100</v>
      </c>
      <c r="D1596" s="1" t="s">
        <v>2457</v>
      </c>
      <c r="E1596" s="1" t="n">
        <v>42</v>
      </c>
      <c r="F1596" s="1" t="s">
        <v>80</v>
      </c>
      <c r="I1596" s="1" t="n">
        <v>1256658</v>
      </c>
      <c r="J1596" s="1" t="n">
        <v>100638</v>
      </c>
      <c r="K1596" s="1" t="n">
        <v>508</v>
      </c>
      <c r="L1596" s="1" t="s">
        <v>2448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5" t="n">
        <v>46188</v>
      </c>
      <c r="C1597" s="1" t="n">
        <v>100</v>
      </c>
      <c r="D1597" s="1" t="s">
        <v>2457</v>
      </c>
      <c r="E1597" s="1" t="n">
        <v>42</v>
      </c>
      <c r="F1597" s="1" t="s">
        <v>80</v>
      </c>
      <c r="I1597" s="1" t="n">
        <v>1256658</v>
      </c>
      <c r="J1597" s="1" t="n">
        <v>100520</v>
      </c>
      <c r="K1597" s="1" t="n">
        <v>507</v>
      </c>
      <c r="L1597" s="1" t="s">
        <v>2449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5" t="n">
        <v>46188</v>
      </c>
      <c r="C1598" s="1" t="n">
        <v>100</v>
      </c>
      <c r="D1598" s="1" t="s">
        <v>2457</v>
      </c>
      <c r="E1598" s="1" t="n">
        <v>42</v>
      </c>
      <c r="F1598" s="1" t="s">
        <v>80</v>
      </c>
      <c r="I1598" s="1" t="n">
        <v>1256658</v>
      </c>
      <c r="J1598" s="1" t="n">
        <v>110455</v>
      </c>
      <c r="K1598" s="1" t="n">
        <v>53212</v>
      </c>
      <c r="L1598" s="1" t="s">
        <v>2450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5" t="n">
        <v>46188</v>
      </c>
      <c r="C1599" s="1" t="n">
        <v>100</v>
      </c>
      <c r="D1599" s="1" t="s">
        <v>2457</v>
      </c>
      <c r="E1599" s="1" t="n">
        <v>42</v>
      </c>
      <c r="F1599" s="1" t="s">
        <v>80</v>
      </c>
      <c r="I1599" s="1" t="n">
        <v>1257128</v>
      </c>
      <c r="J1599" s="1" t="n">
        <v>100001</v>
      </c>
      <c r="K1599" s="1" t="n">
        <v>2</v>
      </c>
      <c r="L1599" s="1" t="s">
        <v>2452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5" t="n">
        <v>46188</v>
      </c>
      <c r="C1600" s="1" t="n">
        <v>100</v>
      </c>
      <c r="D1600" s="1" t="s">
        <v>2457</v>
      </c>
      <c r="E1600" s="1" t="n">
        <v>42</v>
      </c>
      <c r="F1600" s="1" t="s">
        <v>80</v>
      </c>
      <c r="I1600" s="1" t="n">
        <v>1257128</v>
      </c>
      <c r="J1600" s="1" t="n">
        <v>100002</v>
      </c>
      <c r="K1600" s="1" t="n">
        <v>3</v>
      </c>
      <c r="L1600" s="1" t="s">
        <v>2453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5" t="n">
        <v>46188</v>
      </c>
      <c r="C1601" s="1" t="n">
        <v>100</v>
      </c>
      <c r="D1601" s="1" t="s">
        <v>2457</v>
      </c>
      <c r="E1601" s="1" t="n">
        <v>42</v>
      </c>
      <c r="F1601" s="1" t="s">
        <v>80</v>
      </c>
      <c r="I1601" s="1" t="n">
        <v>1257128</v>
      </c>
      <c r="J1601" s="1" t="n">
        <v>100003</v>
      </c>
      <c r="K1601" s="1" t="n">
        <v>4</v>
      </c>
      <c r="L1601" s="1" t="s">
        <v>2454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5" t="n">
        <v>46188</v>
      </c>
      <c r="C1602" s="1" t="n">
        <v>100</v>
      </c>
      <c r="D1602" s="1" t="s">
        <v>2457</v>
      </c>
      <c r="E1602" s="1" t="n">
        <v>42</v>
      </c>
      <c r="F1602" s="1" t="s">
        <v>80</v>
      </c>
      <c r="I1602" s="1" t="n">
        <v>1257128</v>
      </c>
      <c r="J1602" s="1" t="n">
        <v>100007</v>
      </c>
      <c r="K1602" s="1" t="n">
        <v>8</v>
      </c>
      <c r="L1602" s="1" t="s">
        <v>2455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5" t="n">
        <v>46188</v>
      </c>
      <c r="C1603" s="1" t="n">
        <v>100</v>
      </c>
      <c r="D1603" s="1" t="s">
        <v>2457</v>
      </c>
      <c r="E1603" s="1" t="n">
        <v>42</v>
      </c>
      <c r="F1603" s="1" t="s">
        <v>80</v>
      </c>
      <c r="I1603" s="1" t="n">
        <v>1257128</v>
      </c>
      <c r="J1603" s="1" t="n">
        <v>100638</v>
      </c>
      <c r="K1603" s="1" t="n">
        <v>508</v>
      </c>
      <c r="L1603" s="1" t="s">
        <v>2448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5" t="n">
        <v>46188</v>
      </c>
      <c r="C1604" s="1" t="n">
        <v>100</v>
      </c>
      <c r="D1604" s="1" t="s">
        <v>2457</v>
      </c>
      <c r="E1604" s="1" t="n">
        <v>42</v>
      </c>
      <c r="F1604" s="1" t="s">
        <v>80</v>
      </c>
      <c r="I1604" s="1" t="n">
        <v>1257128</v>
      </c>
      <c r="J1604" s="1" t="n">
        <v>100520</v>
      </c>
      <c r="K1604" s="1" t="n">
        <v>507</v>
      </c>
      <c r="L1604" s="1" t="s">
        <v>2449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5" t="n">
        <v>46188</v>
      </c>
      <c r="C1605" s="1" t="n">
        <v>100</v>
      </c>
      <c r="D1605" s="1" t="s">
        <v>2457</v>
      </c>
      <c r="E1605" s="1" t="n">
        <v>42</v>
      </c>
      <c r="F1605" s="1" t="s">
        <v>80</v>
      </c>
      <c r="I1605" s="1" t="n">
        <v>1257128</v>
      </c>
      <c r="J1605" s="1" t="n">
        <v>110455</v>
      </c>
      <c r="K1605" s="1" t="n">
        <v>53212</v>
      </c>
      <c r="L1605" s="1" t="s">
        <v>2450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5" t="n">
        <v>46188</v>
      </c>
      <c r="C1606" s="1" t="n">
        <v>100</v>
      </c>
      <c r="D1606" s="1" t="s">
        <v>2457</v>
      </c>
      <c r="E1606" s="1" t="n">
        <v>42</v>
      </c>
      <c r="F1606" s="1" t="s">
        <v>80</v>
      </c>
      <c r="I1606" s="1" t="n">
        <v>1257132</v>
      </c>
      <c r="J1606" s="1" t="n">
        <v>100000</v>
      </c>
      <c r="K1606" s="1" t="n">
        <v>1</v>
      </c>
      <c r="L1606" s="1" t="s">
        <v>2451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5" t="n">
        <v>46188</v>
      </c>
      <c r="C1607" s="1" t="n">
        <v>100</v>
      </c>
      <c r="D1607" s="1" t="s">
        <v>2457</v>
      </c>
      <c r="E1607" s="1" t="n">
        <v>42</v>
      </c>
      <c r="F1607" s="1" t="s">
        <v>80</v>
      </c>
      <c r="I1607" s="1" t="n">
        <v>1257132</v>
      </c>
      <c r="J1607" s="1" t="n">
        <v>100006</v>
      </c>
      <c r="K1607" s="1" t="n">
        <v>7</v>
      </c>
      <c r="L1607" s="1" t="s">
        <v>2437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5" t="n">
        <v>46188</v>
      </c>
      <c r="C1608" s="1" t="n">
        <v>100</v>
      </c>
      <c r="D1608" s="1" t="s">
        <v>2457</v>
      </c>
      <c r="E1608" s="1" t="n">
        <v>42</v>
      </c>
      <c r="F1608" s="1" t="s">
        <v>80</v>
      </c>
      <c r="I1608" s="1" t="n">
        <v>1257132</v>
      </c>
      <c r="J1608" s="1" t="n">
        <v>100007</v>
      </c>
      <c r="K1608" s="1" t="n">
        <v>8</v>
      </c>
      <c r="L1608" s="1" t="s">
        <v>2455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5" t="n">
        <v>46188</v>
      </c>
      <c r="C1609" s="1" t="n">
        <v>100</v>
      </c>
      <c r="D1609" s="1" t="s">
        <v>2457</v>
      </c>
      <c r="E1609" s="1" t="n">
        <v>42</v>
      </c>
      <c r="F1609" s="1" t="s">
        <v>80</v>
      </c>
      <c r="I1609" s="1" t="n">
        <v>1257132</v>
      </c>
      <c r="J1609" s="1" t="n">
        <v>100008</v>
      </c>
      <c r="K1609" s="1" t="n">
        <v>9</v>
      </c>
      <c r="L1609" s="1" t="s">
        <v>2438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5" t="n">
        <v>46188</v>
      </c>
      <c r="C1610" s="1" t="n">
        <v>100</v>
      </c>
      <c r="D1610" s="1" t="s">
        <v>2457</v>
      </c>
      <c r="E1610" s="1" t="n">
        <v>42</v>
      </c>
      <c r="F1610" s="1" t="s">
        <v>80</v>
      </c>
      <c r="I1610" s="1" t="n">
        <v>1257132</v>
      </c>
      <c r="J1610" s="1" t="n">
        <v>100010</v>
      </c>
      <c r="K1610" s="1" t="n">
        <v>11</v>
      </c>
      <c r="L1610" s="1" t="s">
        <v>2439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5" t="n">
        <v>46188</v>
      </c>
      <c r="C1611" s="1" t="n">
        <v>100</v>
      </c>
      <c r="D1611" s="1" t="s">
        <v>2457</v>
      </c>
      <c r="E1611" s="1" t="n">
        <v>42</v>
      </c>
      <c r="F1611" s="1" t="s">
        <v>80</v>
      </c>
      <c r="I1611" s="1" t="n">
        <v>1257132</v>
      </c>
      <c r="J1611" s="1" t="n">
        <v>100011</v>
      </c>
      <c r="K1611" s="1" t="n">
        <v>12</v>
      </c>
      <c r="L1611" s="1" t="s">
        <v>2440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5" t="n">
        <v>46188</v>
      </c>
      <c r="C1612" s="1" t="n">
        <v>100</v>
      </c>
      <c r="D1612" s="1" t="s">
        <v>2457</v>
      </c>
      <c r="E1612" s="1" t="n">
        <v>42</v>
      </c>
      <c r="F1612" s="1" t="s">
        <v>80</v>
      </c>
      <c r="I1612" s="1" t="n">
        <v>1257132</v>
      </c>
      <c r="J1612" s="1" t="n">
        <v>100012</v>
      </c>
      <c r="K1612" s="1" t="n">
        <v>13</v>
      </c>
      <c r="L1612" s="1" t="s">
        <v>2441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5" t="n">
        <v>46188</v>
      </c>
      <c r="C1613" s="1" t="n">
        <v>100</v>
      </c>
      <c r="D1613" s="1" t="s">
        <v>2457</v>
      </c>
      <c r="E1613" s="1" t="n">
        <v>42</v>
      </c>
      <c r="F1613" s="1" t="s">
        <v>80</v>
      </c>
      <c r="I1613" s="1" t="n">
        <v>1257132</v>
      </c>
      <c r="J1613" s="1" t="n">
        <v>100013</v>
      </c>
      <c r="K1613" s="1" t="n">
        <v>14</v>
      </c>
      <c r="L1613" s="1" t="s">
        <v>2442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5" t="n">
        <v>46188</v>
      </c>
      <c r="C1614" s="1" t="n">
        <v>100</v>
      </c>
      <c r="D1614" s="1" t="s">
        <v>2457</v>
      </c>
      <c r="E1614" s="1" t="n">
        <v>42</v>
      </c>
      <c r="F1614" s="1" t="s">
        <v>80</v>
      </c>
      <c r="I1614" s="1" t="n">
        <v>1257132</v>
      </c>
      <c r="J1614" s="1" t="n">
        <v>100014</v>
      </c>
      <c r="K1614" s="1" t="n">
        <v>15</v>
      </c>
      <c r="L1614" s="1" t="s">
        <v>2443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5" t="n">
        <v>46188</v>
      </c>
      <c r="C1615" s="1" t="n">
        <v>100</v>
      </c>
      <c r="D1615" s="1" t="s">
        <v>2457</v>
      </c>
      <c r="E1615" s="1" t="n">
        <v>42</v>
      </c>
      <c r="F1615" s="1" t="s">
        <v>80</v>
      </c>
      <c r="I1615" s="1" t="n">
        <v>1257132</v>
      </c>
      <c r="J1615" s="1" t="n">
        <v>100015</v>
      </c>
      <c r="K1615" s="1" t="n">
        <v>16</v>
      </c>
      <c r="L1615" s="1" t="s">
        <v>2444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5" t="n">
        <v>46188</v>
      </c>
      <c r="C1616" s="1" t="n">
        <v>100</v>
      </c>
      <c r="D1616" s="1" t="s">
        <v>2457</v>
      </c>
      <c r="E1616" s="1" t="n">
        <v>42</v>
      </c>
      <c r="F1616" s="1" t="s">
        <v>80</v>
      </c>
      <c r="I1616" s="1" t="n">
        <v>1257132</v>
      </c>
      <c r="J1616" s="1" t="n">
        <v>100016</v>
      </c>
      <c r="K1616" s="1" t="n">
        <v>17</v>
      </c>
      <c r="L1616" s="1" t="s">
        <v>2445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5" t="n">
        <v>46188</v>
      </c>
      <c r="C1617" s="1" t="n">
        <v>100</v>
      </c>
      <c r="D1617" s="1" t="s">
        <v>2457</v>
      </c>
      <c r="E1617" s="1" t="n">
        <v>42</v>
      </c>
      <c r="F1617" s="1" t="s">
        <v>80</v>
      </c>
      <c r="I1617" s="1" t="n">
        <v>1257132</v>
      </c>
      <c r="J1617" s="1" t="n">
        <v>100017</v>
      </c>
      <c r="K1617" s="1" t="n">
        <v>18</v>
      </c>
      <c r="L1617" s="1" t="s">
        <v>2446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5" t="n">
        <v>46188</v>
      </c>
      <c r="C1618" s="1" t="n">
        <v>100</v>
      </c>
      <c r="D1618" s="1" t="s">
        <v>2457</v>
      </c>
      <c r="E1618" s="1" t="n">
        <v>42</v>
      </c>
      <c r="F1618" s="1" t="s">
        <v>80</v>
      </c>
      <c r="I1618" s="1" t="n">
        <v>1257132</v>
      </c>
      <c r="J1618" s="1" t="n">
        <v>100053</v>
      </c>
      <c r="K1618" s="1" t="n">
        <v>54</v>
      </c>
      <c r="L1618" s="1" t="s">
        <v>2447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5" t="n">
        <v>46188</v>
      </c>
      <c r="C1619" s="1" t="n">
        <v>100</v>
      </c>
      <c r="D1619" s="1" t="s">
        <v>2457</v>
      </c>
      <c r="E1619" s="1" t="n">
        <v>42</v>
      </c>
      <c r="F1619" s="1" t="s">
        <v>80</v>
      </c>
      <c r="I1619" s="1" t="n">
        <v>1257132</v>
      </c>
      <c r="J1619" s="1" t="n">
        <v>100638</v>
      </c>
      <c r="K1619" s="1" t="n">
        <v>508</v>
      </c>
      <c r="L1619" s="1" t="s">
        <v>2448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5" t="n">
        <v>46188</v>
      </c>
      <c r="C1620" s="1" t="n">
        <v>100</v>
      </c>
      <c r="D1620" s="1" t="s">
        <v>2457</v>
      </c>
      <c r="E1620" s="1" t="n">
        <v>42</v>
      </c>
      <c r="F1620" s="1" t="s">
        <v>80</v>
      </c>
      <c r="I1620" s="1" t="n">
        <v>1257132</v>
      </c>
      <c r="J1620" s="1" t="n">
        <v>100520</v>
      </c>
      <c r="K1620" s="1" t="n">
        <v>507</v>
      </c>
      <c r="L1620" s="1" t="s">
        <v>2449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5" t="n">
        <v>46188</v>
      </c>
      <c r="C1621" s="1" t="n">
        <v>100</v>
      </c>
      <c r="D1621" s="1" t="s">
        <v>2457</v>
      </c>
      <c r="E1621" s="1" t="n">
        <v>42</v>
      </c>
      <c r="F1621" s="1" t="s">
        <v>80</v>
      </c>
      <c r="I1621" s="1" t="n">
        <v>1257132</v>
      </c>
      <c r="J1621" s="1" t="n">
        <v>110455</v>
      </c>
      <c r="K1621" s="1" t="n">
        <v>53212</v>
      </c>
      <c r="L1621" s="1" t="s">
        <v>2450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5" t="n">
        <v>46188</v>
      </c>
      <c r="C1622" s="1" t="n">
        <v>100</v>
      </c>
      <c r="D1622" s="1" t="s">
        <v>2457</v>
      </c>
      <c r="E1622" s="1" t="n">
        <v>42</v>
      </c>
      <c r="F1622" s="1" t="s">
        <v>80</v>
      </c>
      <c r="I1622" s="1" t="n">
        <v>1257218</v>
      </c>
      <c r="J1622" s="1" t="n">
        <v>100000</v>
      </c>
      <c r="K1622" s="1" t="n">
        <v>1</v>
      </c>
      <c r="L1622" s="1" t="s">
        <v>2451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5" t="n">
        <v>46188</v>
      </c>
      <c r="C1623" s="1" t="n">
        <v>100</v>
      </c>
      <c r="D1623" s="1" t="s">
        <v>2457</v>
      </c>
      <c r="E1623" s="1" t="n">
        <v>42</v>
      </c>
      <c r="F1623" s="1" t="s">
        <v>80</v>
      </c>
      <c r="I1623" s="1" t="n">
        <v>1257218</v>
      </c>
      <c r="J1623" s="1" t="n">
        <v>100001</v>
      </c>
      <c r="K1623" s="1" t="n">
        <v>2</v>
      </c>
      <c r="L1623" s="1" t="s">
        <v>2452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5" t="n">
        <v>46188</v>
      </c>
      <c r="C1624" s="1" t="n">
        <v>100</v>
      </c>
      <c r="D1624" s="1" t="s">
        <v>2457</v>
      </c>
      <c r="E1624" s="1" t="n">
        <v>42</v>
      </c>
      <c r="F1624" s="1" t="s">
        <v>80</v>
      </c>
      <c r="I1624" s="1" t="n">
        <v>1257218</v>
      </c>
      <c r="J1624" s="1" t="n">
        <v>100002</v>
      </c>
      <c r="K1624" s="1" t="n">
        <v>3</v>
      </c>
      <c r="L1624" s="1" t="s">
        <v>2453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5" t="n">
        <v>46188</v>
      </c>
      <c r="C1625" s="1" t="n">
        <v>100</v>
      </c>
      <c r="D1625" s="1" t="s">
        <v>2457</v>
      </c>
      <c r="E1625" s="1" t="n">
        <v>42</v>
      </c>
      <c r="F1625" s="1" t="s">
        <v>80</v>
      </c>
      <c r="I1625" s="1" t="n">
        <v>1257218</v>
      </c>
      <c r="J1625" s="1" t="n">
        <v>100003</v>
      </c>
      <c r="K1625" s="1" t="n">
        <v>4</v>
      </c>
      <c r="L1625" s="1" t="s">
        <v>2454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5" t="n">
        <v>46188</v>
      </c>
      <c r="C1626" s="1" t="n">
        <v>100</v>
      </c>
      <c r="D1626" s="1" t="s">
        <v>2457</v>
      </c>
      <c r="E1626" s="1" t="n">
        <v>42</v>
      </c>
      <c r="F1626" s="1" t="s">
        <v>80</v>
      </c>
      <c r="I1626" s="1" t="n">
        <v>1257218</v>
      </c>
      <c r="J1626" s="1" t="n">
        <v>100007</v>
      </c>
      <c r="K1626" s="1" t="n">
        <v>8</v>
      </c>
      <c r="L1626" s="1" t="s">
        <v>2455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5" t="n">
        <v>46188</v>
      </c>
      <c r="C1627" s="1" t="n">
        <v>100</v>
      </c>
      <c r="D1627" s="1" t="s">
        <v>2457</v>
      </c>
      <c r="E1627" s="1" t="n">
        <v>42</v>
      </c>
      <c r="F1627" s="1" t="s">
        <v>80</v>
      </c>
      <c r="I1627" s="1" t="n">
        <v>1257218</v>
      </c>
      <c r="J1627" s="1" t="n">
        <v>100638</v>
      </c>
      <c r="K1627" s="1" t="n">
        <v>508</v>
      </c>
      <c r="L1627" s="1" t="s">
        <v>2448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5" t="n">
        <v>46188</v>
      </c>
      <c r="C1628" s="1" t="n">
        <v>100</v>
      </c>
      <c r="D1628" s="1" t="s">
        <v>2457</v>
      </c>
      <c r="E1628" s="1" t="n">
        <v>42</v>
      </c>
      <c r="F1628" s="1" t="s">
        <v>80</v>
      </c>
      <c r="I1628" s="1" t="n">
        <v>1257218</v>
      </c>
      <c r="J1628" s="1" t="n">
        <v>100520</v>
      </c>
      <c r="K1628" s="1" t="n">
        <v>507</v>
      </c>
      <c r="L1628" s="1" t="s">
        <v>2449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5" t="n">
        <v>46188</v>
      </c>
      <c r="C1629" s="1" t="n">
        <v>100</v>
      </c>
      <c r="D1629" s="1" t="s">
        <v>2457</v>
      </c>
      <c r="E1629" s="1" t="n">
        <v>42</v>
      </c>
      <c r="F1629" s="1" t="s">
        <v>80</v>
      </c>
      <c r="I1629" s="1" t="n">
        <v>1257218</v>
      </c>
      <c r="J1629" s="1" t="n">
        <v>110455</v>
      </c>
      <c r="K1629" s="1" t="n">
        <v>53212</v>
      </c>
      <c r="L1629" s="1" t="s">
        <v>2450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5" t="n">
        <v>46188</v>
      </c>
      <c r="C1630" s="1" t="n">
        <v>100</v>
      </c>
      <c r="D1630" s="1" t="s">
        <v>2457</v>
      </c>
      <c r="E1630" s="1" t="n">
        <v>42</v>
      </c>
      <c r="F1630" s="1" t="s">
        <v>80</v>
      </c>
      <c r="I1630" s="1" t="n">
        <v>1257222</v>
      </c>
      <c r="J1630" s="1" t="n">
        <v>100000</v>
      </c>
      <c r="K1630" s="1" t="n">
        <v>1</v>
      </c>
      <c r="L1630" s="1" t="s">
        <v>2451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5" t="n">
        <v>46188</v>
      </c>
      <c r="C1631" s="1" t="n">
        <v>100</v>
      </c>
      <c r="D1631" s="1" t="s">
        <v>2457</v>
      </c>
      <c r="E1631" s="1" t="n">
        <v>42</v>
      </c>
      <c r="F1631" s="1" t="s">
        <v>80</v>
      </c>
      <c r="I1631" s="1" t="n">
        <v>1257222</v>
      </c>
      <c r="J1631" s="1" t="n">
        <v>100006</v>
      </c>
      <c r="K1631" s="1" t="n">
        <v>7</v>
      </c>
      <c r="L1631" s="1" t="s">
        <v>2437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5" t="n">
        <v>46188</v>
      </c>
      <c r="C1632" s="1" t="n">
        <v>100</v>
      </c>
      <c r="D1632" s="1" t="s">
        <v>2457</v>
      </c>
      <c r="E1632" s="1" t="n">
        <v>42</v>
      </c>
      <c r="F1632" s="1" t="s">
        <v>80</v>
      </c>
      <c r="I1632" s="1" t="n">
        <v>1257222</v>
      </c>
      <c r="J1632" s="1" t="n">
        <v>100008</v>
      </c>
      <c r="K1632" s="1" t="n">
        <v>9</v>
      </c>
      <c r="L1632" s="1" t="s">
        <v>2438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5" t="n">
        <v>46188</v>
      </c>
      <c r="C1633" s="1" t="n">
        <v>100</v>
      </c>
      <c r="D1633" s="1" t="s">
        <v>2457</v>
      </c>
      <c r="E1633" s="1" t="n">
        <v>42</v>
      </c>
      <c r="F1633" s="1" t="s">
        <v>80</v>
      </c>
      <c r="I1633" s="1" t="n">
        <v>1257222</v>
      </c>
      <c r="J1633" s="1" t="n">
        <v>100010</v>
      </c>
      <c r="K1633" s="1" t="n">
        <v>11</v>
      </c>
      <c r="L1633" s="1" t="s">
        <v>2439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5" t="n">
        <v>46188</v>
      </c>
      <c r="C1634" s="1" t="n">
        <v>100</v>
      </c>
      <c r="D1634" s="1" t="s">
        <v>2457</v>
      </c>
      <c r="E1634" s="1" t="n">
        <v>42</v>
      </c>
      <c r="F1634" s="1" t="s">
        <v>80</v>
      </c>
      <c r="I1634" s="1" t="n">
        <v>1257222</v>
      </c>
      <c r="J1634" s="1" t="n">
        <v>100011</v>
      </c>
      <c r="K1634" s="1" t="n">
        <v>12</v>
      </c>
      <c r="L1634" s="1" t="s">
        <v>2440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5" t="n">
        <v>46188</v>
      </c>
      <c r="C1635" s="1" t="n">
        <v>100</v>
      </c>
      <c r="D1635" s="1" t="s">
        <v>2457</v>
      </c>
      <c r="E1635" s="1" t="n">
        <v>42</v>
      </c>
      <c r="F1635" s="1" t="s">
        <v>80</v>
      </c>
      <c r="I1635" s="1" t="n">
        <v>1257222</v>
      </c>
      <c r="J1635" s="1" t="n">
        <v>100012</v>
      </c>
      <c r="K1635" s="1" t="n">
        <v>13</v>
      </c>
      <c r="L1635" s="1" t="s">
        <v>2441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5" t="n">
        <v>46188</v>
      </c>
      <c r="C1636" s="1" t="n">
        <v>100</v>
      </c>
      <c r="D1636" s="1" t="s">
        <v>2457</v>
      </c>
      <c r="E1636" s="1" t="n">
        <v>42</v>
      </c>
      <c r="F1636" s="1" t="s">
        <v>80</v>
      </c>
      <c r="I1636" s="1" t="n">
        <v>1257222</v>
      </c>
      <c r="J1636" s="1" t="n">
        <v>100013</v>
      </c>
      <c r="K1636" s="1" t="n">
        <v>14</v>
      </c>
      <c r="L1636" s="1" t="s">
        <v>2442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5" t="n">
        <v>46188</v>
      </c>
      <c r="C1637" s="1" t="n">
        <v>100</v>
      </c>
      <c r="D1637" s="1" t="s">
        <v>2457</v>
      </c>
      <c r="E1637" s="1" t="n">
        <v>42</v>
      </c>
      <c r="F1637" s="1" t="s">
        <v>80</v>
      </c>
      <c r="I1637" s="1" t="n">
        <v>1257222</v>
      </c>
      <c r="J1637" s="1" t="n">
        <v>100014</v>
      </c>
      <c r="K1637" s="1" t="n">
        <v>15</v>
      </c>
      <c r="L1637" s="1" t="s">
        <v>2443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5" t="n">
        <v>46188</v>
      </c>
      <c r="C1638" s="1" t="n">
        <v>100</v>
      </c>
      <c r="D1638" s="1" t="s">
        <v>2457</v>
      </c>
      <c r="E1638" s="1" t="n">
        <v>42</v>
      </c>
      <c r="F1638" s="1" t="s">
        <v>80</v>
      </c>
      <c r="I1638" s="1" t="n">
        <v>1257222</v>
      </c>
      <c r="J1638" s="1" t="n">
        <v>100015</v>
      </c>
      <c r="K1638" s="1" t="n">
        <v>16</v>
      </c>
      <c r="L1638" s="1" t="s">
        <v>2444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5" t="n">
        <v>46188</v>
      </c>
      <c r="C1639" s="1" t="n">
        <v>100</v>
      </c>
      <c r="D1639" s="1" t="s">
        <v>2457</v>
      </c>
      <c r="E1639" s="1" t="n">
        <v>42</v>
      </c>
      <c r="F1639" s="1" t="s">
        <v>80</v>
      </c>
      <c r="I1639" s="1" t="n">
        <v>1257222</v>
      </c>
      <c r="J1639" s="1" t="n">
        <v>100016</v>
      </c>
      <c r="K1639" s="1" t="n">
        <v>17</v>
      </c>
      <c r="L1639" s="1" t="s">
        <v>2445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5" t="n">
        <v>46188</v>
      </c>
      <c r="C1640" s="1" t="n">
        <v>100</v>
      </c>
      <c r="D1640" s="1" t="s">
        <v>2457</v>
      </c>
      <c r="E1640" s="1" t="n">
        <v>42</v>
      </c>
      <c r="F1640" s="1" t="s">
        <v>80</v>
      </c>
      <c r="I1640" s="1" t="n">
        <v>1257222</v>
      </c>
      <c r="J1640" s="1" t="n">
        <v>100017</v>
      </c>
      <c r="K1640" s="1" t="n">
        <v>18</v>
      </c>
      <c r="L1640" s="1" t="s">
        <v>2446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5" t="n">
        <v>46188</v>
      </c>
      <c r="C1641" s="1" t="n">
        <v>100</v>
      </c>
      <c r="D1641" s="1" t="s">
        <v>2457</v>
      </c>
      <c r="E1641" s="1" t="n">
        <v>42</v>
      </c>
      <c r="F1641" s="1" t="s">
        <v>80</v>
      </c>
      <c r="I1641" s="1" t="n">
        <v>1257222</v>
      </c>
      <c r="J1641" s="1" t="n">
        <v>100053</v>
      </c>
      <c r="K1641" s="1" t="n">
        <v>54</v>
      </c>
      <c r="L1641" s="1" t="s">
        <v>2447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5" t="n">
        <v>46188</v>
      </c>
      <c r="C1642" s="1" t="n">
        <v>100</v>
      </c>
      <c r="D1642" s="1" t="s">
        <v>2457</v>
      </c>
      <c r="E1642" s="1" t="n">
        <v>42</v>
      </c>
      <c r="F1642" s="1" t="s">
        <v>80</v>
      </c>
      <c r="I1642" s="1" t="n">
        <v>1257222</v>
      </c>
      <c r="J1642" s="1" t="n">
        <v>100638</v>
      </c>
      <c r="K1642" s="1" t="n">
        <v>508</v>
      </c>
      <c r="L1642" s="1" t="s">
        <v>2448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5" t="n">
        <v>46188</v>
      </c>
      <c r="C1643" s="1" t="n">
        <v>100</v>
      </c>
      <c r="D1643" s="1" t="s">
        <v>2457</v>
      </c>
      <c r="E1643" s="1" t="n">
        <v>42</v>
      </c>
      <c r="F1643" s="1" t="s">
        <v>80</v>
      </c>
      <c r="I1643" s="1" t="n">
        <v>1257222</v>
      </c>
      <c r="J1643" s="1" t="n">
        <v>100520</v>
      </c>
      <c r="K1643" s="1" t="n">
        <v>507</v>
      </c>
      <c r="L1643" s="1" t="s">
        <v>2449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5" t="n">
        <v>46188</v>
      </c>
      <c r="C1644" s="1" t="n">
        <v>100</v>
      </c>
      <c r="D1644" s="1" t="s">
        <v>2457</v>
      </c>
      <c r="E1644" s="1" t="n">
        <v>42</v>
      </c>
      <c r="F1644" s="1" t="s">
        <v>80</v>
      </c>
      <c r="I1644" s="1" t="n">
        <v>1257222</v>
      </c>
      <c r="J1644" s="1" t="n">
        <v>110455</v>
      </c>
      <c r="K1644" s="1" t="n">
        <v>53212</v>
      </c>
      <c r="L1644" s="1" t="s">
        <v>2450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5" t="n">
        <v>46188</v>
      </c>
      <c r="C1645" s="1" t="n">
        <v>100</v>
      </c>
      <c r="D1645" s="1" t="s">
        <v>2457</v>
      </c>
      <c r="E1645" s="1" t="n">
        <v>42</v>
      </c>
      <c r="F1645" s="1" t="s">
        <v>80</v>
      </c>
      <c r="I1645" s="1" t="n">
        <v>1257279</v>
      </c>
      <c r="J1645" s="1" t="n">
        <v>100000</v>
      </c>
      <c r="K1645" s="1" t="n">
        <v>1</v>
      </c>
      <c r="L1645" s="1" t="s">
        <v>2451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5" t="n">
        <v>46188</v>
      </c>
      <c r="C1646" s="1" t="n">
        <v>100</v>
      </c>
      <c r="D1646" s="1" t="s">
        <v>2457</v>
      </c>
      <c r="E1646" s="1" t="n">
        <v>42</v>
      </c>
      <c r="F1646" s="1" t="s">
        <v>80</v>
      </c>
      <c r="I1646" s="1" t="n">
        <v>1257279</v>
      </c>
      <c r="J1646" s="1" t="n">
        <v>100006</v>
      </c>
      <c r="K1646" s="1" t="n">
        <v>7</v>
      </c>
      <c r="L1646" s="1" t="s">
        <v>2437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5" t="n">
        <v>46188</v>
      </c>
      <c r="C1647" s="1" t="n">
        <v>100</v>
      </c>
      <c r="D1647" s="1" t="s">
        <v>2457</v>
      </c>
      <c r="E1647" s="1" t="n">
        <v>42</v>
      </c>
      <c r="F1647" s="1" t="s">
        <v>80</v>
      </c>
      <c r="I1647" s="1" t="n">
        <v>1257279</v>
      </c>
      <c r="J1647" s="1" t="n">
        <v>100008</v>
      </c>
      <c r="K1647" s="1" t="n">
        <v>9</v>
      </c>
      <c r="L1647" s="1" t="s">
        <v>2438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5" t="n">
        <v>46188</v>
      </c>
      <c r="C1648" s="1" t="n">
        <v>100</v>
      </c>
      <c r="D1648" s="1" t="s">
        <v>2457</v>
      </c>
      <c r="E1648" s="1" t="n">
        <v>42</v>
      </c>
      <c r="F1648" s="1" t="s">
        <v>80</v>
      </c>
      <c r="I1648" s="1" t="n">
        <v>1257279</v>
      </c>
      <c r="J1648" s="1" t="n">
        <v>100010</v>
      </c>
      <c r="K1648" s="1" t="n">
        <v>11</v>
      </c>
      <c r="L1648" s="1" t="s">
        <v>2439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5" t="n">
        <v>46188</v>
      </c>
      <c r="C1649" s="1" t="n">
        <v>100</v>
      </c>
      <c r="D1649" s="1" t="s">
        <v>2457</v>
      </c>
      <c r="E1649" s="1" t="n">
        <v>42</v>
      </c>
      <c r="F1649" s="1" t="s">
        <v>80</v>
      </c>
      <c r="I1649" s="1" t="n">
        <v>1257279</v>
      </c>
      <c r="J1649" s="1" t="n">
        <v>100011</v>
      </c>
      <c r="K1649" s="1" t="n">
        <v>12</v>
      </c>
      <c r="L1649" s="1" t="s">
        <v>2440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5" t="n">
        <v>46188</v>
      </c>
      <c r="C1650" s="1" t="n">
        <v>100</v>
      </c>
      <c r="D1650" s="1" t="s">
        <v>2457</v>
      </c>
      <c r="E1650" s="1" t="n">
        <v>42</v>
      </c>
      <c r="F1650" s="1" t="s">
        <v>80</v>
      </c>
      <c r="I1650" s="1" t="n">
        <v>1257279</v>
      </c>
      <c r="J1650" s="1" t="n">
        <v>100012</v>
      </c>
      <c r="K1650" s="1" t="n">
        <v>13</v>
      </c>
      <c r="L1650" s="1" t="s">
        <v>2441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5" t="n">
        <v>46188</v>
      </c>
      <c r="C1651" s="1" t="n">
        <v>100</v>
      </c>
      <c r="D1651" s="1" t="s">
        <v>2457</v>
      </c>
      <c r="E1651" s="1" t="n">
        <v>42</v>
      </c>
      <c r="F1651" s="1" t="s">
        <v>80</v>
      </c>
      <c r="I1651" s="1" t="n">
        <v>1257279</v>
      </c>
      <c r="J1651" s="1" t="n">
        <v>100013</v>
      </c>
      <c r="K1651" s="1" t="n">
        <v>14</v>
      </c>
      <c r="L1651" s="1" t="s">
        <v>2442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5" t="n">
        <v>46188</v>
      </c>
      <c r="C1652" s="1" t="n">
        <v>100</v>
      </c>
      <c r="D1652" s="1" t="s">
        <v>2457</v>
      </c>
      <c r="E1652" s="1" t="n">
        <v>42</v>
      </c>
      <c r="F1652" s="1" t="s">
        <v>80</v>
      </c>
      <c r="I1652" s="1" t="n">
        <v>1257279</v>
      </c>
      <c r="J1652" s="1" t="n">
        <v>100014</v>
      </c>
      <c r="K1652" s="1" t="n">
        <v>15</v>
      </c>
      <c r="L1652" s="1" t="s">
        <v>2443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5" t="n">
        <v>46188</v>
      </c>
      <c r="C1653" s="1" t="n">
        <v>100</v>
      </c>
      <c r="D1653" s="1" t="s">
        <v>2457</v>
      </c>
      <c r="E1653" s="1" t="n">
        <v>42</v>
      </c>
      <c r="F1653" s="1" t="s">
        <v>80</v>
      </c>
      <c r="I1653" s="1" t="n">
        <v>1257279</v>
      </c>
      <c r="J1653" s="1" t="n">
        <v>100015</v>
      </c>
      <c r="K1653" s="1" t="n">
        <v>16</v>
      </c>
      <c r="L1653" s="1" t="s">
        <v>2444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5" t="n">
        <v>46188</v>
      </c>
      <c r="C1654" s="1" t="n">
        <v>100</v>
      </c>
      <c r="D1654" s="1" t="s">
        <v>2457</v>
      </c>
      <c r="E1654" s="1" t="n">
        <v>42</v>
      </c>
      <c r="F1654" s="1" t="s">
        <v>80</v>
      </c>
      <c r="I1654" s="1" t="n">
        <v>1257279</v>
      </c>
      <c r="J1654" s="1" t="n">
        <v>100016</v>
      </c>
      <c r="K1654" s="1" t="n">
        <v>17</v>
      </c>
      <c r="L1654" s="1" t="s">
        <v>2445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5" t="n">
        <v>46188</v>
      </c>
      <c r="C1655" s="1" t="n">
        <v>100</v>
      </c>
      <c r="D1655" s="1" t="s">
        <v>2457</v>
      </c>
      <c r="E1655" s="1" t="n">
        <v>42</v>
      </c>
      <c r="F1655" s="1" t="s">
        <v>80</v>
      </c>
      <c r="I1655" s="1" t="n">
        <v>1257279</v>
      </c>
      <c r="J1655" s="1" t="n">
        <v>100017</v>
      </c>
      <c r="K1655" s="1" t="n">
        <v>18</v>
      </c>
      <c r="L1655" s="1" t="s">
        <v>2446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5" t="n">
        <v>46188</v>
      </c>
      <c r="C1656" s="1" t="n">
        <v>100</v>
      </c>
      <c r="D1656" s="1" t="s">
        <v>2457</v>
      </c>
      <c r="E1656" s="1" t="n">
        <v>42</v>
      </c>
      <c r="F1656" s="1" t="s">
        <v>80</v>
      </c>
      <c r="I1656" s="1" t="n">
        <v>1257279</v>
      </c>
      <c r="J1656" s="1" t="n">
        <v>100053</v>
      </c>
      <c r="K1656" s="1" t="n">
        <v>54</v>
      </c>
      <c r="L1656" s="1" t="s">
        <v>2447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5" t="n">
        <v>46188</v>
      </c>
      <c r="C1657" s="1" t="n">
        <v>100</v>
      </c>
      <c r="D1657" s="1" t="s">
        <v>2457</v>
      </c>
      <c r="E1657" s="1" t="n">
        <v>42</v>
      </c>
      <c r="F1657" s="1" t="s">
        <v>80</v>
      </c>
      <c r="I1657" s="1" t="n">
        <v>1257279</v>
      </c>
      <c r="J1657" s="1" t="n">
        <v>100638</v>
      </c>
      <c r="K1657" s="1" t="n">
        <v>508</v>
      </c>
      <c r="L1657" s="1" t="s">
        <v>2448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5" t="n">
        <v>46188</v>
      </c>
      <c r="C1658" s="1" t="n">
        <v>100</v>
      </c>
      <c r="D1658" s="1" t="s">
        <v>2457</v>
      </c>
      <c r="E1658" s="1" t="n">
        <v>42</v>
      </c>
      <c r="F1658" s="1" t="s">
        <v>80</v>
      </c>
      <c r="I1658" s="1" t="n">
        <v>1257279</v>
      </c>
      <c r="J1658" s="1" t="n">
        <v>100520</v>
      </c>
      <c r="K1658" s="1" t="n">
        <v>507</v>
      </c>
      <c r="L1658" s="1" t="s">
        <v>2449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5" t="n">
        <v>46188</v>
      </c>
      <c r="C1659" s="1" t="n">
        <v>100</v>
      </c>
      <c r="D1659" s="1" t="s">
        <v>2457</v>
      </c>
      <c r="E1659" s="1" t="n">
        <v>42</v>
      </c>
      <c r="F1659" s="1" t="s">
        <v>80</v>
      </c>
      <c r="I1659" s="1" t="n">
        <v>1257279</v>
      </c>
      <c r="J1659" s="1" t="n">
        <v>110455</v>
      </c>
      <c r="K1659" s="1" t="n">
        <v>53212</v>
      </c>
      <c r="L1659" s="1" t="s">
        <v>2450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5" t="n">
        <v>46189</v>
      </c>
      <c r="C1660" s="1" t="n">
        <v>1</v>
      </c>
      <c r="D1660" s="1" t="s">
        <v>2317</v>
      </c>
      <c r="E1660" s="1" t="n">
        <v>978</v>
      </c>
      <c r="F1660" s="1" t="s">
        <v>183</v>
      </c>
      <c r="I1660" s="1" t="n">
        <v>291</v>
      </c>
      <c r="J1660" s="1" t="n">
        <v>61368</v>
      </c>
      <c r="K1660" s="1" t="n">
        <v>2257907</v>
      </c>
      <c r="L1660" s="1" t="s">
        <v>2335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5" t="n">
        <v>46189</v>
      </c>
      <c r="C1661" s="1" t="n">
        <v>1</v>
      </c>
      <c r="D1661" s="1" t="s">
        <v>2317</v>
      </c>
      <c r="E1661" s="1" t="n">
        <v>978</v>
      </c>
      <c r="F1661" s="1" t="s">
        <v>183</v>
      </c>
      <c r="I1661" s="1" t="n">
        <v>291</v>
      </c>
      <c r="J1661" s="1" t="n">
        <v>61378</v>
      </c>
      <c r="K1661" s="1" t="n">
        <v>2257914</v>
      </c>
      <c r="L1661" s="1" t="s">
        <v>2336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5" t="n">
        <v>46189</v>
      </c>
      <c r="C1662" s="1" t="n">
        <v>1</v>
      </c>
      <c r="D1662" s="1" t="s">
        <v>2317</v>
      </c>
      <c r="E1662" s="1" t="n">
        <v>978</v>
      </c>
      <c r="F1662" s="1" t="s">
        <v>183</v>
      </c>
      <c r="I1662" s="1" t="n">
        <v>291</v>
      </c>
      <c r="J1662" s="1" t="n">
        <v>61379</v>
      </c>
      <c r="K1662" s="1" t="n">
        <v>2257921</v>
      </c>
      <c r="L1662" s="1" t="s">
        <v>2337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5" t="n">
        <v>46189</v>
      </c>
      <c r="C1663" s="1" t="n">
        <v>1</v>
      </c>
      <c r="D1663" s="1" t="s">
        <v>2317</v>
      </c>
      <c r="E1663" s="1" t="n">
        <v>978</v>
      </c>
      <c r="F1663" s="1" t="s">
        <v>183</v>
      </c>
      <c r="I1663" s="1" t="n">
        <v>291</v>
      </c>
      <c r="J1663" s="1" t="n">
        <v>62178</v>
      </c>
      <c r="K1663" s="1" t="n">
        <v>144599</v>
      </c>
      <c r="L1663" s="1" t="s">
        <v>2338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5" t="n">
        <v>46189</v>
      </c>
      <c r="C1664" s="1" t="n">
        <v>1</v>
      </c>
      <c r="D1664" s="1" t="s">
        <v>2317</v>
      </c>
      <c r="E1664" s="1" t="n">
        <v>1916</v>
      </c>
      <c r="F1664" s="1" t="s">
        <v>351</v>
      </c>
      <c r="I1664" s="1" t="n">
        <v>2414</v>
      </c>
      <c r="J1664" s="1" t="n">
        <v>62034</v>
      </c>
      <c r="K1664" s="1" t="n">
        <v>7898592350367</v>
      </c>
      <c r="L1664" s="1" t="s">
        <v>3087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5" t="n">
        <v>46189</v>
      </c>
      <c r="C1665" s="1" t="n">
        <v>1</v>
      </c>
      <c r="D1665" s="1" t="s">
        <v>2317</v>
      </c>
      <c r="E1665" s="1" t="n">
        <v>1615</v>
      </c>
      <c r="F1665" s="1" t="s">
        <v>130</v>
      </c>
      <c r="I1665" s="1" t="n">
        <v>14693</v>
      </c>
      <c r="J1665" s="1" t="n">
        <v>100114</v>
      </c>
      <c r="K1665" s="1" t="n">
        <v>115</v>
      </c>
      <c r="L1665" s="1" t="s">
        <v>2568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5" t="n">
        <v>46189</v>
      </c>
      <c r="C1666" s="1" t="n">
        <v>1</v>
      </c>
      <c r="D1666" s="1" t="s">
        <v>2317</v>
      </c>
      <c r="E1666" s="1" t="n">
        <v>1615</v>
      </c>
      <c r="F1666" s="1" t="s">
        <v>130</v>
      </c>
      <c r="I1666" s="1" t="n">
        <v>14693</v>
      </c>
      <c r="J1666" s="1" t="n">
        <v>37771</v>
      </c>
      <c r="K1666" s="1" t="n">
        <v>774574</v>
      </c>
      <c r="L1666" s="1" t="s">
        <v>2569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5" t="n">
        <v>46189</v>
      </c>
      <c r="C1667" s="1" t="n">
        <v>1</v>
      </c>
      <c r="D1667" s="1" t="s">
        <v>2317</v>
      </c>
      <c r="E1667" s="1" t="n">
        <v>1615</v>
      </c>
      <c r="F1667" s="1" t="s">
        <v>130</v>
      </c>
      <c r="I1667" s="1" t="n">
        <v>14693</v>
      </c>
      <c r="J1667" s="1" t="n">
        <v>55350</v>
      </c>
      <c r="K1667" s="1" t="n">
        <v>609963080076</v>
      </c>
      <c r="L1667" s="1" t="s">
        <v>2319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5" t="n">
        <v>46189</v>
      </c>
      <c r="C1668" s="1" t="n">
        <v>1</v>
      </c>
      <c r="D1668" s="1" t="s">
        <v>2317</v>
      </c>
      <c r="E1668" s="1" t="n">
        <v>1378</v>
      </c>
      <c r="F1668" s="1" t="s">
        <v>120</v>
      </c>
      <c r="I1668" s="1" t="n">
        <v>17698</v>
      </c>
      <c r="J1668" s="1" t="n">
        <v>74061</v>
      </c>
      <c r="K1668" s="1" t="n">
        <v>42882264255</v>
      </c>
      <c r="L1668" s="1" t="s">
        <v>2340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5" t="n">
        <v>46189</v>
      </c>
      <c r="C1669" s="1" t="n">
        <v>1</v>
      </c>
      <c r="D1669" s="1" t="s">
        <v>2317</v>
      </c>
      <c r="E1669" s="1" t="n">
        <v>1378</v>
      </c>
      <c r="F1669" s="1" t="s">
        <v>120</v>
      </c>
      <c r="I1669" s="1" t="n">
        <v>17698</v>
      </c>
      <c r="J1669" s="1" t="n">
        <v>74063</v>
      </c>
      <c r="K1669" s="1" t="n">
        <v>42882264262</v>
      </c>
      <c r="L1669" s="1" t="s">
        <v>2341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5" t="n">
        <v>46189</v>
      </c>
      <c r="C1670" s="1" t="n">
        <v>1</v>
      </c>
      <c r="D1670" s="1" t="s">
        <v>2317</v>
      </c>
      <c r="E1670" s="1" t="n">
        <v>1378</v>
      </c>
      <c r="F1670" s="1" t="s">
        <v>120</v>
      </c>
      <c r="I1670" s="1" t="n">
        <v>17698</v>
      </c>
      <c r="J1670" s="1" t="n">
        <v>74064</v>
      </c>
      <c r="K1670" s="1" t="n">
        <v>42882264279</v>
      </c>
      <c r="L1670" s="1" t="s">
        <v>2342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5" t="n">
        <v>46189</v>
      </c>
      <c r="C1671" s="1" t="n">
        <v>1</v>
      </c>
      <c r="D1671" s="1" t="s">
        <v>2317</v>
      </c>
      <c r="E1671" s="1" t="n">
        <v>1378</v>
      </c>
      <c r="F1671" s="1" t="s">
        <v>120</v>
      </c>
      <c r="I1671" s="1" t="n">
        <v>17698</v>
      </c>
      <c r="J1671" s="1" t="n">
        <v>74065</v>
      </c>
      <c r="K1671" s="1" t="n">
        <v>602883558090</v>
      </c>
      <c r="L1671" s="1" t="s">
        <v>2343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5" t="n">
        <v>46189</v>
      </c>
      <c r="C1672" s="1" t="n">
        <v>1</v>
      </c>
      <c r="D1672" s="1" t="s">
        <v>2317</v>
      </c>
      <c r="E1672" s="1" t="n">
        <v>1378</v>
      </c>
      <c r="F1672" s="1" t="s">
        <v>120</v>
      </c>
      <c r="I1672" s="1" t="n">
        <v>17698</v>
      </c>
      <c r="J1672" s="1" t="n">
        <v>77994</v>
      </c>
      <c r="K1672" s="1" t="n">
        <v>780117</v>
      </c>
      <c r="L1672" s="1" t="s">
        <v>2344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5" t="n">
        <v>46189</v>
      </c>
      <c r="C1673" s="1" t="n">
        <v>1</v>
      </c>
      <c r="D1673" s="1" t="s">
        <v>2317</v>
      </c>
      <c r="E1673" s="1" t="n">
        <v>1378</v>
      </c>
      <c r="F1673" s="1" t="s">
        <v>120</v>
      </c>
      <c r="I1673" s="1" t="n">
        <v>17804</v>
      </c>
      <c r="J1673" s="1" t="n">
        <v>74061</v>
      </c>
      <c r="K1673" s="1" t="n">
        <v>42882264255</v>
      </c>
      <c r="L1673" s="1" t="s">
        <v>2340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5" t="n">
        <v>46189</v>
      </c>
      <c r="C1674" s="1" t="n">
        <v>1</v>
      </c>
      <c r="D1674" s="1" t="s">
        <v>2317</v>
      </c>
      <c r="E1674" s="1" t="n">
        <v>1378</v>
      </c>
      <c r="F1674" s="1" t="s">
        <v>120</v>
      </c>
      <c r="I1674" s="1" t="n">
        <v>17804</v>
      </c>
      <c r="J1674" s="1" t="n">
        <v>74063</v>
      </c>
      <c r="K1674" s="1" t="n">
        <v>42882264262</v>
      </c>
      <c r="L1674" s="1" t="s">
        <v>2341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5" t="n">
        <v>46189</v>
      </c>
      <c r="C1675" s="1" t="n">
        <v>1</v>
      </c>
      <c r="D1675" s="1" t="s">
        <v>2317</v>
      </c>
      <c r="E1675" s="1" t="n">
        <v>1378</v>
      </c>
      <c r="F1675" s="1" t="s">
        <v>120</v>
      </c>
      <c r="I1675" s="1" t="n">
        <v>17804</v>
      </c>
      <c r="J1675" s="1" t="n">
        <v>74064</v>
      </c>
      <c r="K1675" s="1" t="n">
        <v>42882264279</v>
      </c>
      <c r="L1675" s="1" t="s">
        <v>2342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5" t="n">
        <v>46189</v>
      </c>
      <c r="C1676" s="1" t="n">
        <v>1</v>
      </c>
      <c r="D1676" s="1" t="s">
        <v>2317</v>
      </c>
      <c r="E1676" s="1" t="n">
        <v>1378</v>
      </c>
      <c r="F1676" s="1" t="s">
        <v>120</v>
      </c>
      <c r="I1676" s="1" t="n">
        <v>17804</v>
      </c>
      <c r="J1676" s="1" t="n">
        <v>77994</v>
      </c>
      <c r="K1676" s="1" t="n">
        <v>780117</v>
      </c>
      <c r="L1676" s="1" t="s">
        <v>2344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5" t="n">
        <v>46189</v>
      </c>
      <c r="C1677" s="1" t="n">
        <v>1</v>
      </c>
      <c r="D1677" s="1" t="s">
        <v>2317</v>
      </c>
      <c r="E1677" s="1" t="n">
        <v>1916</v>
      </c>
      <c r="F1677" s="1" t="s">
        <v>351</v>
      </c>
      <c r="I1677" s="1" t="n">
        <v>39327</v>
      </c>
      <c r="J1677" s="1" t="n">
        <v>43965</v>
      </c>
      <c r="K1677" s="1" t="n">
        <v>7898567710226</v>
      </c>
      <c r="L1677" s="1" t="s">
        <v>2571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5" t="n">
        <v>46189</v>
      </c>
      <c r="C1678" s="1" t="n">
        <v>1</v>
      </c>
      <c r="D1678" s="1" t="s">
        <v>2317</v>
      </c>
      <c r="E1678" s="1" t="n">
        <v>1740</v>
      </c>
      <c r="F1678" s="1" t="s">
        <v>170</v>
      </c>
      <c r="I1678" s="1" t="n">
        <v>1237462</v>
      </c>
      <c r="J1678" s="1" t="n">
        <v>14219</v>
      </c>
      <c r="K1678" s="1" t="n">
        <v>7891000072950</v>
      </c>
      <c r="L1678" s="1" t="s">
        <v>2485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5" t="n">
        <v>46189</v>
      </c>
      <c r="C1679" s="1" t="n">
        <v>1</v>
      </c>
      <c r="D1679" s="1" t="s">
        <v>2317</v>
      </c>
      <c r="E1679" s="1" t="n">
        <v>1740</v>
      </c>
      <c r="F1679" s="1" t="s">
        <v>170</v>
      </c>
      <c r="I1679" s="1" t="n">
        <v>1237462</v>
      </c>
      <c r="J1679" s="1" t="n">
        <v>16602</v>
      </c>
      <c r="K1679" s="1" t="n">
        <v>7891000084649</v>
      </c>
      <c r="L1679" s="1" t="s">
        <v>3088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5" t="n">
        <v>46189</v>
      </c>
      <c r="C1680" s="1" t="n">
        <v>1</v>
      </c>
      <c r="D1680" s="1" t="s">
        <v>2317</v>
      </c>
      <c r="E1680" s="1" t="n">
        <v>1740</v>
      </c>
      <c r="F1680" s="1" t="s">
        <v>170</v>
      </c>
      <c r="I1680" s="1" t="n">
        <v>1237462</v>
      </c>
      <c r="J1680" s="1" t="n">
        <v>16644</v>
      </c>
      <c r="K1680" s="1" t="n">
        <v>7891000084663</v>
      </c>
      <c r="L1680" s="1" t="s">
        <v>2518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5" t="n">
        <v>46189</v>
      </c>
      <c r="C1681" s="1" t="n">
        <v>1</v>
      </c>
      <c r="D1681" s="1" t="s">
        <v>2317</v>
      </c>
      <c r="E1681" s="1" t="n">
        <v>1740</v>
      </c>
      <c r="F1681" s="1" t="s">
        <v>170</v>
      </c>
      <c r="I1681" s="1" t="n">
        <v>1237462</v>
      </c>
      <c r="J1681" s="1" t="n">
        <v>20021</v>
      </c>
      <c r="K1681" s="1" t="n">
        <v>7891000103937</v>
      </c>
      <c r="L1681" s="1" t="s">
        <v>2486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5" t="n">
        <v>46189</v>
      </c>
      <c r="C1682" s="1" t="n">
        <v>1</v>
      </c>
      <c r="D1682" s="1" t="s">
        <v>2317</v>
      </c>
      <c r="E1682" s="1" t="n">
        <v>1740</v>
      </c>
      <c r="F1682" s="1" t="s">
        <v>170</v>
      </c>
      <c r="I1682" s="1" t="n">
        <v>1237462</v>
      </c>
      <c r="J1682" s="1" t="n">
        <v>20584</v>
      </c>
      <c r="K1682" s="1" t="n">
        <v>7891000103876</v>
      </c>
      <c r="L1682" s="1" t="s">
        <v>3089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5" t="n">
        <v>46189</v>
      </c>
      <c r="C1683" s="1" t="n">
        <v>1</v>
      </c>
      <c r="D1683" s="1" t="s">
        <v>2317</v>
      </c>
      <c r="E1683" s="1" t="n">
        <v>1740</v>
      </c>
      <c r="F1683" s="1" t="s">
        <v>170</v>
      </c>
      <c r="I1683" s="1" t="n">
        <v>1237462</v>
      </c>
      <c r="J1683" s="1" t="n">
        <v>25112</v>
      </c>
      <c r="K1683" s="1" t="n">
        <v>7891000244425</v>
      </c>
      <c r="L1683" s="1" t="s">
        <v>2487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5" t="n">
        <v>46189</v>
      </c>
      <c r="C1684" s="1" t="n">
        <v>1</v>
      </c>
      <c r="D1684" s="1" t="s">
        <v>2317</v>
      </c>
      <c r="E1684" s="1" t="n">
        <v>1740</v>
      </c>
      <c r="F1684" s="1" t="s">
        <v>170</v>
      </c>
      <c r="I1684" s="1" t="n">
        <v>1237462</v>
      </c>
      <c r="J1684" s="1" t="n">
        <v>25113</v>
      </c>
      <c r="K1684" s="1" t="n">
        <v>7891000244265</v>
      </c>
      <c r="L1684" s="1" t="s">
        <v>3090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5" t="n">
        <v>46189</v>
      </c>
      <c r="C1685" s="1" t="n">
        <v>1</v>
      </c>
      <c r="D1685" s="1" t="s">
        <v>2317</v>
      </c>
      <c r="E1685" s="1" t="n">
        <v>1740</v>
      </c>
      <c r="F1685" s="1" t="s">
        <v>170</v>
      </c>
      <c r="I1685" s="1" t="n">
        <v>1237462</v>
      </c>
      <c r="J1685" s="1" t="n">
        <v>25413</v>
      </c>
      <c r="K1685" s="1" t="n">
        <v>7891000241417</v>
      </c>
      <c r="L1685" s="1" t="s">
        <v>2488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5" t="n">
        <v>46189</v>
      </c>
      <c r="C1686" s="1" t="n">
        <v>1</v>
      </c>
      <c r="D1686" s="1" t="s">
        <v>2317</v>
      </c>
      <c r="E1686" s="1" t="n">
        <v>1740</v>
      </c>
      <c r="F1686" s="1" t="s">
        <v>170</v>
      </c>
      <c r="I1686" s="1" t="n">
        <v>1237462</v>
      </c>
      <c r="J1686" s="1" t="n">
        <v>27878</v>
      </c>
      <c r="K1686" s="1" t="n">
        <v>7891000261026</v>
      </c>
      <c r="L1686" s="1" t="s">
        <v>2489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5" t="n">
        <v>46189</v>
      </c>
      <c r="C1687" s="1" t="n">
        <v>1</v>
      </c>
      <c r="D1687" s="1" t="s">
        <v>2317</v>
      </c>
      <c r="E1687" s="1" t="n">
        <v>1740</v>
      </c>
      <c r="F1687" s="1" t="s">
        <v>170</v>
      </c>
      <c r="I1687" s="1" t="n">
        <v>1237462</v>
      </c>
      <c r="J1687" s="1" t="n">
        <v>28388</v>
      </c>
      <c r="K1687" s="1" t="n">
        <v>7891000260166</v>
      </c>
      <c r="L1687" s="1" t="s">
        <v>3091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5" t="n">
        <v>46189</v>
      </c>
      <c r="C1688" s="1" t="n">
        <v>1</v>
      </c>
      <c r="D1688" s="1" t="s">
        <v>2317</v>
      </c>
      <c r="E1688" s="1" t="n">
        <v>1740</v>
      </c>
      <c r="F1688" s="1" t="s">
        <v>170</v>
      </c>
      <c r="I1688" s="1" t="n">
        <v>1237462</v>
      </c>
      <c r="J1688" s="1" t="n">
        <v>28389</v>
      </c>
      <c r="K1688" s="1" t="n">
        <v>7891000261460</v>
      </c>
      <c r="L1688" s="1" t="s">
        <v>3092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5" t="n">
        <v>46189</v>
      </c>
      <c r="C1689" s="1" t="n">
        <v>1</v>
      </c>
      <c r="D1689" s="1" t="s">
        <v>2317</v>
      </c>
      <c r="E1689" s="1" t="n">
        <v>1740</v>
      </c>
      <c r="F1689" s="1" t="s">
        <v>170</v>
      </c>
      <c r="I1689" s="1" t="n">
        <v>1237462</v>
      </c>
      <c r="J1689" s="1" t="n">
        <v>38519</v>
      </c>
      <c r="K1689" s="1" t="n">
        <v>7891000261002</v>
      </c>
      <c r="L1689" s="1" t="s">
        <v>2490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5" t="n">
        <v>46189</v>
      </c>
      <c r="C1690" s="1" t="n">
        <v>1</v>
      </c>
      <c r="D1690" s="1" t="s">
        <v>2317</v>
      </c>
      <c r="E1690" s="1" t="n">
        <v>1740</v>
      </c>
      <c r="F1690" s="1" t="s">
        <v>170</v>
      </c>
      <c r="I1690" s="1" t="n">
        <v>1237462</v>
      </c>
      <c r="J1690" s="1" t="n">
        <v>47789</v>
      </c>
      <c r="K1690" s="1" t="n">
        <v>7891000362037</v>
      </c>
      <c r="L1690" s="1" t="s">
        <v>2491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5" t="n">
        <v>46189</v>
      </c>
      <c r="C1691" s="1" t="n">
        <v>1</v>
      </c>
      <c r="D1691" s="1" t="s">
        <v>2317</v>
      </c>
      <c r="E1691" s="1" t="n">
        <v>1740</v>
      </c>
      <c r="F1691" s="1" t="s">
        <v>170</v>
      </c>
      <c r="I1691" s="1" t="n">
        <v>1237462</v>
      </c>
      <c r="J1691" s="1" t="n">
        <v>50422</v>
      </c>
      <c r="K1691" s="1" t="n">
        <v>7898953148220</v>
      </c>
      <c r="L1691" s="1" t="s">
        <v>3093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5" t="n">
        <v>46189</v>
      </c>
      <c r="C1692" s="1" t="n">
        <v>1</v>
      </c>
      <c r="D1692" s="1" t="s">
        <v>2317</v>
      </c>
      <c r="E1692" s="1" t="n">
        <v>1740</v>
      </c>
      <c r="F1692" s="1" t="s">
        <v>170</v>
      </c>
      <c r="I1692" s="1" t="n">
        <v>1237462</v>
      </c>
      <c r="J1692" s="1" t="n">
        <v>50424</v>
      </c>
      <c r="K1692" s="1" t="n">
        <v>7898953148169</v>
      </c>
      <c r="L1692" s="1" t="s">
        <v>2492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5" t="n">
        <v>46189</v>
      </c>
      <c r="C1693" s="1" t="n">
        <v>1</v>
      </c>
      <c r="D1693" s="1" t="s">
        <v>2317</v>
      </c>
      <c r="E1693" s="1" t="n">
        <v>1740</v>
      </c>
      <c r="F1693" s="1" t="s">
        <v>170</v>
      </c>
      <c r="I1693" s="1" t="n">
        <v>1237462</v>
      </c>
      <c r="J1693" s="1" t="n">
        <v>52026</v>
      </c>
      <c r="K1693" s="1" t="n">
        <v>7898953148435</v>
      </c>
      <c r="L1693" s="1" t="s">
        <v>3094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5" t="n">
        <v>46189</v>
      </c>
      <c r="C1694" s="1" t="n">
        <v>1</v>
      </c>
      <c r="D1694" s="1" t="s">
        <v>2317</v>
      </c>
      <c r="E1694" s="1" t="n">
        <v>1740</v>
      </c>
      <c r="F1694" s="1" t="s">
        <v>170</v>
      </c>
      <c r="I1694" s="1" t="n">
        <v>1237462</v>
      </c>
      <c r="J1694" s="1" t="n">
        <v>69214</v>
      </c>
      <c r="K1694" s="1" t="n">
        <v>7898755200041</v>
      </c>
      <c r="L1694" s="1" t="s">
        <v>3095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5" t="n">
        <v>46189</v>
      </c>
      <c r="C1695" s="1" t="n">
        <v>1</v>
      </c>
      <c r="D1695" s="1" t="s">
        <v>2317</v>
      </c>
      <c r="E1695" s="1" t="n">
        <v>1740</v>
      </c>
      <c r="F1695" s="1" t="s">
        <v>170</v>
      </c>
      <c r="I1695" s="1" t="n">
        <v>1237462</v>
      </c>
      <c r="J1695" s="1" t="n">
        <v>70021</v>
      </c>
      <c r="K1695" s="1" t="n">
        <v>7898755200065</v>
      </c>
      <c r="L1695" s="1" t="s">
        <v>3096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5" t="n">
        <v>46189</v>
      </c>
      <c r="C1696" s="1" t="n">
        <v>1</v>
      </c>
      <c r="D1696" s="1" t="s">
        <v>2317</v>
      </c>
      <c r="E1696" s="1" t="n">
        <v>1740</v>
      </c>
      <c r="F1696" s="1" t="s">
        <v>170</v>
      </c>
      <c r="I1696" s="1" t="n">
        <v>1237464</v>
      </c>
      <c r="J1696" s="1" t="n">
        <v>48504</v>
      </c>
      <c r="K1696" s="1" t="n">
        <v>7891164027377</v>
      </c>
      <c r="L1696" s="1" t="s">
        <v>3097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5" t="n">
        <v>46189</v>
      </c>
      <c r="C1697" s="1" t="n">
        <v>1</v>
      </c>
      <c r="D1697" s="1" t="s">
        <v>2317</v>
      </c>
      <c r="E1697" s="1" t="n">
        <v>1740</v>
      </c>
      <c r="F1697" s="1" t="s">
        <v>170</v>
      </c>
      <c r="I1697" s="1" t="n">
        <v>1237464</v>
      </c>
      <c r="J1697" s="1" t="n">
        <v>57636</v>
      </c>
      <c r="K1697" s="1" t="n">
        <v>7891164026240</v>
      </c>
      <c r="L1697" s="1" t="s">
        <v>3098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5" t="n">
        <v>46189</v>
      </c>
      <c r="C1698" s="1" t="n">
        <v>1</v>
      </c>
      <c r="D1698" s="1" t="s">
        <v>2317</v>
      </c>
      <c r="E1698" s="1" t="n">
        <v>1740</v>
      </c>
      <c r="F1698" s="1" t="s">
        <v>170</v>
      </c>
      <c r="I1698" s="1" t="n">
        <v>1237464</v>
      </c>
      <c r="J1698" s="1" t="n">
        <v>61465</v>
      </c>
      <c r="K1698" s="1" t="n">
        <v>7891164018535</v>
      </c>
      <c r="L1698" s="1" t="s">
        <v>3099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5" t="n">
        <v>46189</v>
      </c>
      <c r="C1699" s="1" t="n">
        <v>1</v>
      </c>
      <c r="D1699" s="1" t="s">
        <v>2317</v>
      </c>
      <c r="E1699" s="1" t="n">
        <v>1740</v>
      </c>
      <c r="F1699" s="1" t="s">
        <v>170</v>
      </c>
      <c r="I1699" s="1" t="n">
        <v>1237464</v>
      </c>
      <c r="J1699" s="1" t="n">
        <v>65686</v>
      </c>
      <c r="K1699" s="1" t="n">
        <v>7891164110727</v>
      </c>
      <c r="L1699" s="1" t="s">
        <v>3000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5" t="n">
        <v>46189</v>
      </c>
      <c r="C1700" s="1" t="n">
        <v>1</v>
      </c>
      <c r="D1700" s="1" t="s">
        <v>2317</v>
      </c>
      <c r="E1700" s="1" t="n">
        <v>1637</v>
      </c>
      <c r="F1700" s="1" t="s">
        <v>295</v>
      </c>
      <c r="I1700" s="1" t="n">
        <v>1890865</v>
      </c>
      <c r="J1700" s="1" t="n">
        <v>28363</v>
      </c>
      <c r="K1700" s="1" t="n">
        <v>7896855901417</v>
      </c>
      <c r="L1700" s="1" t="s">
        <v>3100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5" t="n">
        <v>46189</v>
      </c>
      <c r="C1701" s="1" t="n">
        <v>1</v>
      </c>
      <c r="D1701" s="1" t="s">
        <v>2317</v>
      </c>
      <c r="E1701" s="1" t="n">
        <v>1637</v>
      </c>
      <c r="F1701" s="1" t="s">
        <v>295</v>
      </c>
      <c r="I1701" s="1" t="n">
        <v>1890865</v>
      </c>
      <c r="J1701" s="1" t="n">
        <v>48720</v>
      </c>
      <c r="K1701" s="1" t="n">
        <v>7896855903022</v>
      </c>
      <c r="L1701" s="1" t="s">
        <v>3101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5" t="n">
        <v>46189</v>
      </c>
      <c r="C1702" s="1" t="n">
        <v>1</v>
      </c>
      <c r="D1702" s="1" t="s">
        <v>2317</v>
      </c>
      <c r="E1702" s="1" t="n">
        <v>1637</v>
      </c>
      <c r="F1702" s="1" t="s">
        <v>295</v>
      </c>
      <c r="I1702" s="1" t="n">
        <v>1890866</v>
      </c>
      <c r="J1702" s="1" t="n">
        <v>15013</v>
      </c>
      <c r="K1702" s="1" t="n">
        <v>7897395040307</v>
      </c>
      <c r="L1702" s="1" t="s">
        <v>3102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5" t="n">
        <v>46189</v>
      </c>
      <c r="C1703" s="1" t="n">
        <v>2</v>
      </c>
      <c r="D1703" s="1" t="s">
        <v>2283</v>
      </c>
      <c r="E1703" s="1" t="n">
        <v>42</v>
      </c>
      <c r="F1703" s="1" t="s">
        <v>80</v>
      </c>
      <c r="I1703" s="1" t="n">
        <v>160601</v>
      </c>
      <c r="J1703" s="1" t="n">
        <v>109791</v>
      </c>
      <c r="K1703" s="1" t="n">
        <v>9667</v>
      </c>
      <c r="L1703" s="1" t="s">
        <v>2284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5" t="n">
        <v>46189</v>
      </c>
      <c r="C1704" s="1" t="n">
        <v>2</v>
      </c>
      <c r="D1704" s="1" t="s">
        <v>2283</v>
      </c>
      <c r="E1704" s="1" t="n">
        <v>42</v>
      </c>
      <c r="F1704" s="1" t="s">
        <v>80</v>
      </c>
      <c r="I1704" s="1" t="n">
        <v>160601</v>
      </c>
      <c r="J1704" s="1" t="n">
        <v>37359</v>
      </c>
      <c r="K1704" s="1" t="n">
        <v>55526</v>
      </c>
      <c r="L1704" s="1" t="s">
        <v>2285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5" t="n">
        <v>46189</v>
      </c>
      <c r="C1705" s="1" t="n">
        <v>2</v>
      </c>
      <c r="D1705" s="1" t="s">
        <v>2283</v>
      </c>
      <c r="E1705" s="1" t="n">
        <v>42</v>
      </c>
      <c r="F1705" s="1" t="s">
        <v>80</v>
      </c>
      <c r="I1705" s="1" t="n">
        <v>160602</v>
      </c>
      <c r="J1705" s="1" t="n">
        <v>100103</v>
      </c>
      <c r="K1705" s="1" t="n">
        <v>104</v>
      </c>
      <c r="L1705" s="1" t="s">
        <v>2287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5" t="n">
        <v>46189</v>
      </c>
      <c r="C1706" s="1" t="n">
        <v>2</v>
      </c>
      <c r="D1706" s="1" t="s">
        <v>2283</v>
      </c>
      <c r="E1706" s="1" t="n">
        <v>42</v>
      </c>
      <c r="F1706" s="1" t="s">
        <v>80</v>
      </c>
      <c r="I1706" s="1" t="n">
        <v>160603</v>
      </c>
      <c r="J1706" s="1" t="n">
        <v>100062</v>
      </c>
      <c r="K1706" s="1" t="n">
        <v>63</v>
      </c>
      <c r="L1706" s="1" t="s">
        <v>2320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5" t="n">
        <v>46189</v>
      </c>
      <c r="C1707" s="1" t="n">
        <v>2</v>
      </c>
      <c r="D1707" s="1" t="s">
        <v>2283</v>
      </c>
      <c r="E1707" s="1" t="n">
        <v>42</v>
      </c>
      <c r="F1707" s="1" t="s">
        <v>80</v>
      </c>
      <c r="I1707" s="1" t="n">
        <v>160603</v>
      </c>
      <c r="J1707" s="1" t="n">
        <v>100104</v>
      </c>
      <c r="K1707" s="1" t="n">
        <v>105</v>
      </c>
      <c r="L1707" s="1" t="s">
        <v>2321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5" t="n">
        <v>46189</v>
      </c>
      <c r="C1708" s="1" t="n">
        <v>2</v>
      </c>
      <c r="D1708" s="1" t="s">
        <v>2283</v>
      </c>
      <c r="E1708" s="1" t="n">
        <v>42</v>
      </c>
      <c r="F1708" s="1" t="s">
        <v>80</v>
      </c>
      <c r="I1708" s="1" t="n">
        <v>160603</v>
      </c>
      <c r="J1708" s="1" t="n">
        <v>100109</v>
      </c>
      <c r="K1708" s="1" t="n">
        <v>110</v>
      </c>
      <c r="L1708" s="1" t="s">
        <v>2324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5" t="n">
        <v>46189</v>
      </c>
      <c r="C1709" s="1" t="n">
        <v>2</v>
      </c>
      <c r="D1709" s="1" t="s">
        <v>2283</v>
      </c>
      <c r="E1709" s="1" t="n">
        <v>42</v>
      </c>
      <c r="F1709" s="1" t="s">
        <v>80</v>
      </c>
      <c r="I1709" s="1" t="n">
        <v>160603</v>
      </c>
      <c r="J1709" s="1" t="n">
        <v>100110</v>
      </c>
      <c r="K1709" s="1" t="n">
        <v>111</v>
      </c>
      <c r="L1709" s="1" t="s">
        <v>2473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5" t="n">
        <v>46189</v>
      </c>
      <c r="C1710" s="1" t="n">
        <v>2</v>
      </c>
      <c r="D1710" s="1" t="s">
        <v>2283</v>
      </c>
      <c r="E1710" s="1" t="n">
        <v>42</v>
      </c>
      <c r="F1710" s="1" t="s">
        <v>80</v>
      </c>
      <c r="I1710" s="1" t="n">
        <v>160603</v>
      </c>
      <c r="J1710" s="1" t="n">
        <v>100112</v>
      </c>
      <c r="K1710" s="1" t="n">
        <v>113</v>
      </c>
      <c r="L1710" s="1" t="s">
        <v>2325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5" t="n">
        <v>46189</v>
      </c>
      <c r="C1711" s="1" t="n">
        <v>2</v>
      </c>
      <c r="D1711" s="1" t="s">
        <v>2283</v>
      </c>
      <c r="E1711" s="1" t="n">
        <v>42</v>
      </c>
      <c r="F1711" s="1" t="s">
        <v>80</v>
      </c>
      <c r="I1711" s="1" t="n">
        <v>160603</v>
      </c>
      <c r="J1711" s="1" t="n">
        <v>100113</v>
      </c>
      <c r="K1711" s="1" t="n">
        <v>114</v>
      </c>
      <c r="L1711" s="1" t="s">
        <v>2326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5" t="n">
        <v>46189</v>
      </c>
      <c r="C1712" s="1" t="n">
        <v>2</v>
      </c>
      <c r="D1712" s="1" t="s">
        <v>2283</v>
      </c>
      <c r="E1712" s="1" t="n">
        <v>42</v>
      </c>
      <c r="F1712" s="1" t="s">
        <v>80</v>
      </c>
      <c r="I1712" s="1" t="n">
        <v>160603</v>
      </c>
      <c r="J1712" s="1" t="n">
        <v>100115</v>
      </c>
      <c r="K1712" s="1" t="n">
        <v>116</v>
      </c>
      <c r="L1712" s="1" t="s">
        <v>2474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5" t="n">
        <v>46189</v>
      </c>
      <c r="C1713" s="1" t="n">
        <v>2</v>
      </c>
      <c r="D1713" s="1" t="s">
        <v>2283</v>
      </c>
      <c r="E1713" s="1" t="n">
        <v>42</v>
      </c>
      <c r="F1713" s="1" t="s">
        <v>80</v>
      </c>
      <c r="I1713" s="1" t="n">
        <v>160603</v>
      </c>
      <c r="J1713" s="1" t="n">
        <v>100118</v>
      </c>
      <c r="K1713" s="1" t="n">
        <v>119</v>
      </c>
      <c r="L1713" s="1" t="s">
        <v>2328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5" t="n">
        <v>46189</v>
      </c>
      <c r="C1714" s="1" t="n">
        <v>2</v>
      </c>
      <c r="D1714" s="1" t="s">
        <v>2283</v>
      </c>
      <c r="E1714" s="1" t="n">
        <v>42</v>
      </c>
      <c r="F1714" s="1" t="s">
        <v>80</v>
      </c>
      <c r="I1714" s="1" t="n">
        <v>160603</v>
      </c>
      <c r="J1714" s="1" t="n">
        <v>100121</v>
      </c>
      <c r="K1714" s="1" t="n">
        <v>122</v>
      </c>
      <c r="L1714" s="1" t="s">
        <v>2329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5" t="n">
        <v>46189</v>
      </c>
      <c r="C1715" s="1" t="n">
        <v>2</v>
      </c>
      <c r="D1715" s="1" t="s">
        <v>2283</v>
      </c>
      <c r="E1715" s="1" t="n">
        <v>42</v>
      </c>
      <c r="F1715" s="1" t="s">
        <v>80</v>
      </c>
      <c r="I1715" s="1" t="n">
        <v>160603</v>
      </c>
      <c r="J1715" s="1" t="n">
        <v>100122</v>
      </c>
      <c r="K1715" s="1" t="n">
        <v>123</v>
      </c>
      <c r="L1715" s="1" t="s">
        <v>2330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5" t="n">
        <v>46189</v>
      </c>
      <c r="C1716" s="1" t="n">
        <v>2</v>
      </c>
      <c r="D1716" s="1" t="s">
        <v>2283</v>
      </c>
      <c r="E1716" s="1" t="n">
        <v>42</v>
      </c>
      <c r="F1716" s="1" t="s">
        <v>80</v>
      </c>
      <c r="I1716" s="1" t="n">
        <v>160603</v>
      </c>
      <c r="J1716" s="1" t="n">
        <v>100123</v>
      </c>
      <c r="K1716" s="1" t="n">
        <v>124</v>
      </c>
      <c r="L1716" s="1" t="s">
        <v>2475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5" t="n">
        <v>46189</v>
      </c>
      <c r="C1717" s="1" t="n">
        <v>2</v>
      </c>
      <c r="D1717" s="1" t="s">
        <v>2283</v>
      </c>
      <c r="E1717" s="1" t="n">
        <v>42</v>
      </c>
      <c r="F1717" s="1" t="s">
        <v>80</v>
      </c>
      <c r="I1717" s="1" t="n">
        <v>160603</v>
      </c>
      <c r="J1717" s="1" t="n">
        <v>100124</v>
      </c>
      <c r="K1717" s="1" t="n">
        <v>125</v>
      </c>
      <c r="L1717" s="1" t="s">
        <v>2476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5" t="n">
        <v>46189</v>
      </c>
      <c r="C1718" s="1" t="n">
        <v>2</v>
      </c>
      <c r="D1718" s="1" t="s">
        <v>2283</v>
      </c>
      <c r="E1718" s="1" t="n">
        <v>42</v>
      </c>
      <c r="F1718" s="1" t="s">
        <v>80</v>
      </c>
      <c r="I1718" s="1" t="n">
        <v>160603</v>
      </c>
      <c r="J1718" s="1" t="n">
        <v>100125</v>
      </c>
      <c r="K1718" s="1" t="n">
        <v>126</v>
      </c>
      <c r="L1718" s="1" t="s">
        <v>2477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5" t="n">
        <v>46189</v>
      </c>
      <c r="C1719" s="1" t="n">
        <v>2</v>
      </c>
      <c r="D1719" s="1" t="s">
        <v>2283</v>
      </c>
      <c r="E1719" s="1" t="n">
        <v>42</v>
      </c>
      <c r="F1719" s="1" t="s">
        <v>80</v>
      </c>
      <c r="I1719" s="1" t="n">
        <v>160603</v>
      </c>
      <c r="J1719" s="1" t="n">
        <v>100130</v>
      </c>
      <c r="K1719" s="1" t="n">
        <v>131</v>
      </c>
      <c r="L1719" s="1" t="s">
        <v>2331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5" t="n">
        <v>46189</v>
      </c>
      <c r="C1720" s="1" t="n">
        <v>2</v>
      </c>
      <c r="D1720" s="1" t="s">
        <v>2283</v>
      </c>
      <c r="E1720" s="1" t="n">
        <v>42</v>
      </c>
      <c r="F1720" s="1" t="s">
        <v>80</v>
      </c>
      <c r="I1720" s="1" t="n">
        <v>160603</v>
      </c>
      <c r="J1720" s="1" t="n">
        <v>100131</v>
      </c>
      <c r="K1720" s="1" t="n">
        <v>132</v>
      </c>
      <c r="L1720" s="1" t="s">
        <v>3103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5" t="n">
        <v>46189</v>
      </c>
      <c r="C1721" s="1" t="n">
        <v>2</v>
      </c>
      <c r="D1721" s="1" t="s">
        <v>2283</v>
      </c>
      <c r="E1721" s="1" t="n">
        <v>42</v>
      </c>
      <c r="F1721" s="1" t="s">
        <v>80</v>
      </c>
      <c r="I1721" s="1" t="n">
        <v>160603</v>
      </c>
      <c r="J1721" s="1" t="n">
        <v>100132</v>
      </c>
      <c r="K1721" s="1" t="n">
        <v>133</v>
      </c>
      <c r="L1721" s="1" t="s">
        <v>3104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5" t="n">
        <v>46189</v>
      </c>
      <c r="C1722" s="1" t="n">
        <v>2</v>
      </c>
      <c r="D1722" s="1" t="s">
        <v>2283</v>
      </c>
      <c r="E1722" s="1" t="n">
        <v>42</v>
      </c>
      <c r="F1722" s="1" t="s">
        <v>80</v>
      </c>
      <c r="I1722" s="1" t="n">
        <v>160603</v>
      </c>
      <c r="J1722" s="1" t="n">
        <v>100133</v>
      </c>
      <c r="K1722" s="1" t="n">
        <v>134</v>
      </c>
      <c r="L1722" s="1" t="s">
        <v>2332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5" t="n">
        <v>46189</v>
      </c>
      <c r="C1723" s="1" t="n">
        <v>2</v>
      </c>
      <c r="D1723" s="1" t="s">
        <v>2283</v>
      </c>
      <c r="E1723" s="1" t="n">
        <v>42</v>
      </c>
      <c r="F1723" s="1" t="s">
        <v>80</v>
      </c>
      <c r="I1723" s="1" t="n">
        <v>160603</v>
      </c>
      <c r="J1723" s="1" t="n">
        <v>100138</v>
      </c>
      <c r="K1723" s="1" t="n">
        <v>139</v>
      </c>
      <c r="L1723" s="1" t="s">
        <v>2333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5" t="n">
        <v>46189</v>
      </c>
      <c r="C1724" s="1" t="n">
        <v>2</v>
      </c>
      <c r="D1724" s="1" t="s">
        <v>2283</v>
      </c>
      <c r="E1724" s="1" t="n">
        <v>42</v>
      </c>
      <c r="F1724" s="1" t="s">
        <v>80</v>
      </c>
      <c r="I1724" s="1" t="n">
        <v>160603</v>
      </c>
      <c r="J1724" s="1" t="n">
        <v>100148</v>
      </c>
      <c r="K1724" s="1" t="n">
        <v>149</v>
      </c>
      <c r="L1724" s="1" t="s">
        <v>2676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5" t="n">
        <v>46189</v>
      </c>
      <c r="C1725" s="1" t="n">
        <v>2</v>
      </c>
      <c r="D1725" s="1" t="s">
        <v>2283</v>
      </c>
      <c r="E1725" s="1" t="n">
        <v>42</v>
      </c>
      <c r="F1725" s="1" t="s">
        <v>80</v>
      </c>
      <c r="I1725" s="1" t="n">
        <v>160603</v>
      </c>
      <c r="J1725" s="1" t="n">
        <v>110142</v>
      </c>
      <c r="K1725" s="1" t="n">
        <v>16699</v>
      </c>
      <c r="L1725" s="1" t="s">
        <v>2334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5" t="n">
        <v>46189</v>
      </c>
      <c r="C1726" s="1" t="n">
        <v>2</v>
      </c>
      <c r="D1726" s="1" t="s">
        <v>2283</v>
      </c>
      <c r="E1726" s="1" t="n">
        <v>42</v>
      </c>
      <c r="F1726" s="1" t="s">
        <v>80</v>
      </c>
      <c r="I1726" s="1" t="n">
        <v>160603</v>
      </c>
      <c r="J1726" s="1" t="n">
        <v>110265</v>
      </c>
      <c r="K1726" s="1" t="n">
        <v>41346</v>
      </c>
      <c r="L1726" s="1" t="s">
        <v>2478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5" t="n">
        <v>46189</v>
      </c>
      <c r="C1727" s="1" t="n">
        <v>2</v>
      </c>
      <c r="D1727" s="1" t="s">
        <v>2283</v>
      </c>
      <c r="E1727" s="1" t="n">
        <v>42</v>
      </c>
      <c r="F1727" s="1" t="s">
        <v>80</v>
      </c>
      <c r="I1727" s="1" t="n">
        <v>160603</v>
      </c>
      <c r="J1727" s="1" t="n">
        <v>43627</v>
      </c>
      <c r="K1727" s="1" t="n">
        <v>1175</v>
      </c>
      <c r="L1727" s="1" t="s">
        <v>2479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5" t="n">
        <v>46189</v>
      </c>
      <c r="C1728" s="1" t="n">
        <v>6</v>
      </c>
      <c r="D1728" s="1" t="s">
        <v>2289</v>
      </c>
      <c r="E1728" s="1" t="n">
        <v>42</v>
      </c>
      <c r="F1728" s="1" t="s">
        <v>80</v>
      </c>
      <c r="I1728" s="1" t="n">
        <v>4278</v>
      </c>
      <c r="J1728" s="1" t="n">
        <v>109791</v>
      </c>
      <c r="K1728" s="1" t="n">
        <v>9667</v>
      </c>
      <c r="L1728" s="1" t="s">
        <v>2284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5" t="n">
        <v>46189</v>
      </c>
      <c r="C1729" s="1" t="n">
        <v>6</v>
      </c>
      <c r="D1729" s="1" t="s">
        <v>2289</v>
      </c>
      <c r="E1729" s="1" t="n">
        <v>42</v>
      </c>
      <c r="F1729" s="1" t="s">
        <v>80</v>
      </c>
      <c r="I1729" s="1" t="n">
        <v>4278</v>
      </c>
      <c r="J1729" s="1" t="n">
        <v>37359</v>
      </c>
      <c r="K1729" s="1" t="n">
        <v>55526</v>
      </c>
      <c r="L1729" s="1" t="s">
        <v>2285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5" t="n">
        <v>46189</v>
      </c>
      <c r="C1730" s="1" t="n">
        <v>6</v>
      </c>
      <c r="D1730" s="1" t="s">
        <v>2289</v>
      </c>
      <c r="E1730" s="1" t="n">
        <v>42</v>
      </c>
      <c r="F1730" s="1" t="s">
        <v>80</v>
      </c>
      <c r="I1730" s="1" t="n">
        <v>4279</v>
      </c>
      <c r="J1730" s="1" t="n">
        <v>100103</v>
      </c>
      <c r="K1730" s="1" t="n">
        <v>104</v>
      </c>
      <c r="L1730" s="1" t="s">
        <v>2287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5" t="n">
        <v>46189</v>
      </c>
      <c r="C1731" s="1" t="n">
        <v>6</v>
      </c>
      <c r="D1731" s="1" t="s">
        <v>2289</v>
      </c>
      <c r="E1731" s="1" t="n">
        <v>42</v>
      </c>
      <c r="F1731" s="1" t="s">
        <v>80</v>
      </c>
      <c r="I1731" s="1" t="n">
        <v>4281</v>
      </c>
      <c r="J1731" s="1" t="n">
        <v>100062</v>
      </c>
      <c r="K1731" s="1" t="n">
        <v>63</v>
      </c>
      <c r="L1731" s="1" t="s">
        <v>2320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5" t="n">
        <v>46189</v>
      </c>
      <c r="C1732" s="1" t="n">
        <v>6</v>
      </c>
      <c r="D1732" s="1" t="s">
        <v>2289</v>
      </c>
      <c r="E1732" s="1" t="n">
        <v>42</v>
      </c>
      <c r="F1732" s="1" t="s">
        <v>80</v>
      </c>
      <c r="I1732" s="1" t="n">
        <v>4281</v>
      </c>
      <c r="J1732" s="1" t="n">
        <v>100104</v>
      </c>
      <c r="K1732" s="1" t="n">
        <v>105</v>
      </c>
      <c r="L1732" s="1" t="s">
        <v>2321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5" t="n">
        <v>46189</v>
      </c>
      <c r="C1733" s="1" t="n">
        <v>6</v>
      </c>
      <c r="D1733" s="1" t="s">
        <v>2289</v>
      </c>
      <c r="E1733" s="1" t="n">
        <v>42</v>
      </c>
      <c r="F1733" s="1" t="s">
        <v>80</v>
      </c>
      <c r="I1733" s="1" t="n">
        <v>4281</v>
      </c>
      <c r="J1733" s="1" t="n">
        <v>100109</v>
      </c>
      <c r="K1733" s="1" t="n">
        <v>110</v>
      </c>
      <c r="L1733" s="1" t="s">
        <v>2324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5" t="n">
        <v>46189</v>
      </c>
      <c r="C1734" s="1" t="n">
        <v>6</v>
      </c>
      <c r="D1734" s="1" t="s">
        <v>2289</v>
      </c>
      <c r="E1734" s="1" t="n">
        <v>42</v>
      </c>
      <c r="F1734" s="1" t="s">
        <v>80</v>
      </c>
      <c r="I1734" s="1" t="n">
        <v>4281</v>
      </c>
      <c r="J1734" s="1" t="n">
        <v>100110</v>
      </c>
      <c r="K1734" s="1" t="n">
        <v>111</v>
      </c>
      <c r="L1734" s="1" t="s">
        <v>2473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5" t="n">
        <v>46189</v>
      </c>
      <c r="C1735" s="1" t="n">
        <v>6</v>
      </c>
      <c r="D1735" s="1" t="s">
        <v>2289</v>
      </c>
      <c r="E1735" s="1" t="n">
        <v>42</v>
      </c>
      <c r="F1735" s="1" t="s">
        <v>80</v>
      </c>
      <c r="I1735" s="1" t="n">
        <v>4281</v>
      </c>
      <c r="J1735" s="1" t="n">
        <v>100112</v>
      </c>
      <c r="K1735" s="1" t="n">
        <v>113</v>
      </c>
      <c r="L1735" s="1" t="s">
        <v>2325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5" t="n">
        <v>46189</v>
      </c>
      <c r="C1736" s="1" t="n">
        <v>6</v>
      </c>
      <c r="D1736" s="1" t="s">
        <v>2289</v>
      </c>
      <c r="E1736" s="1" t="n">
        <v>42</v>
      </c>
      <c r="F1736" s="1" t="s">
        <v>80</v>
      </c>
      <c r="I1736" s="1" t="n">
        <v>4281</v>
      </c>
      <c r="J1736" s="1" t="n">
        <v>100113</v>
      </c>
      <c r="K1736" s="1" t="n">
        <v>114</v>
      </c>
      <c r="L1736" s="1" t="s">
        <v>2326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5" t="n">
        <v>46189</v>
      </c>
      <c r="C1737" s="1" t="n">
        <v>6</v>
      </c>
      <c r="D1737" s="1" t="s">
        <v>2289</v>
      </c>
      <c r="E1737" s="1" t="n">
        <v>42</v>
      </c>
      <c r="F1737" s="1" t="s">
        <v>80</v>
      </c>
      <c r="I1737" s="1" t="n">
        <v>4281</v>
      </c>
      <c r="J1737" s="1" t="n">
        <v>100115</v>
      </c>
      <c r="K1737" s="1" t="n">
        <v>116</v>
      </c>
      <c r="L1737" s="1" t="s">
        <v>2474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5" t="n">
        <v>46189</v>
      </c>
      <c r="C1738" s="1" t="n">
        <v>6</v>
      </c>
      <c r="D1738" s="1" t="s">
        <v>2289</v>
      </c>
      <c r="E1738" s="1" t="n">
        <v>42</v>
      </c>
      <c r="F1738" s="1" t="s">
        <v>80</v>
      </c>
      <c r="I1738" s="1" t="n">
        <v>4281</v>
      </c>
      <c r="J1738" s="1" t="n">
        <v>100118</v>
      </c>
      <c r="K1738" s="1" t="n">
        <v>119</v>
      </c>
      <c r="L1738" s="1" t="s">
        <v>2328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5" t="n">
        <v>46189</v>
      </c>
      <c r="C1739" s="1" t="n">
        <v>6</v>
      </c>
      <c r="D1739" s="1" t="s">
        <v>2289</v>
      </c>
      <c r="E1739" s="1" t="n">
        <v>42</v>
      </c>
      <c r="F1739" s="1" t="s">
        <v>80</v>
      </c>
      <c r="I1739" s="1" t="n">
        <v>4281</v>
      </c>
      <c r="J1739" s="1" t="n">
        <v>100121</v>
      </c>
      <c r="K1739" s="1" t="n">
        <v>122</v>
      </c>
      <c r="L1739" s="1" t="s">
        <v>2329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5" t="n">
        <v>46189</v>
      </c>
      <c r="C1740" s="1" t="n">
        <v>6</v>
      </c>
      <c r="D1740" s="1" t="s">
        <v>2289</v>
      </c>
      <c r="E1740" s="1" t="n">
        <v>42</v>
      </c>
      <c r="F1740" s="1" t="s">
        <v>80</v>
      </c>
      <c r="I1740" s="1" t="n">
        <v>4281</v>
      </c>
      <c r="J1740" s="1" t="n">
        <v>100122</v>
      </c>
      <c r="K1740" s="1" t="n">
        <v>123</v>
      </c>
      <c r="L1740" s="1" t="s">
        <v>2330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5" t="n">
        <v>46189</v>
      </c>
      <c r="C1741" s="1" t="n">
        <v>6</v>
      </c>
      <c r="D1741" s="1" t="s">
        <v>2289</v>
      </c>
      <c r="E1741" s="1" t="n">
        <v>42</v>
      </c>
      <c r="F1741" s="1" t="s">
        <v>80</v>
      </c>
      <c r="I1741" s="1" t="n">
        <v>4281</v>
      </c>
      <c r="J1741" s="1" t="n">
        <v>100123</v>
      </c>
      <c r="K1741" s="1" t="n">
        <v>124</v>
      </c>
      <c r="L1741" s="1" t="s">
        <v>2475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5" t="n">
        <v>46189</v>
      </c>
      <c r="C1742" s="1" t="n">
        <v>6</v>
      </c>
      <c r="D1742" s="1" t="s">
        <v>2289</v>
      </c>
      <c r="E1742" s="1" t="n">
        <v>42</v>
      </c>
      <c r="F1742" s="1" t="s">
        <v>80</v>
      </c>
      <c r="I1742" s="1" t="n">
        <v>4281</v>
      </c>
      <c r="J1742" s="1" t="n">
        <v>100124</v>
      </c>
      <c r="K1742" s="1" t="n">
        <v>125</v>
      </c>
      <c r="L1742" s="1" t="s">
        <v>2476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5" t="n">
        <v>46189</v>
      </c>
      <c r="C1743" s="1" t="n">
        <v>6</v>
      </c>
      <c r="D1743" s="1" t="s">
        <v>2289</v>
      </c>
      <c r="E1743" s="1" t="n">
        <v>42</v>
      </c>
      <c r="F1743" s="1" t="s">
        <v>80</v>
      </c>
      <c r="I1743" s="1" t="n">
        <v>4281</v>
      </c>
      <c r="J1743" s="1" t="n">
        <v>100125</v>
      </c>
      <c r="K1743" s="1" t="n">
        <v>126</v>
      </c>
      <c r="L1743" s="1" t="s">
        <v>2477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5" t="n">
        <v>46189</v>
      </c>
      <c r="C1744" s="1" t="n">
        <v>6</v>
      </c>
      <c r="D1744" s="1" t="s">
        <v>2289</v>
      </c>
      <c r="E1744" s="1" t="n">
        <v>42</v>
      </c>
      <c r="F1744" s="1" t="s">
        <v>80</v>
      </c>
      <c r="I1744" s="1" t="n">
        <v>4281</v>
      </c>
      <c r="J1744" s="1" t="n">
        <v>100130</v>
      </c>
      <c r="K1744" s="1" t="n">
        <v>131</v>
      </c>
      <c r="L1744" s="1" t="s">
        <v>2331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5" t="n">
        <v>46189</v>
      </c>
      <c r="C1745" s="1" t="n">
        <v>6</v>
      </c>
      <c r="D1745" s="1" t="s">
        <v>2289</v>
      </c>
      <c r="E1745" s="1" t="n">
        <v>42</v>
      </c>
      <c r="F1745" s="1" t="s">
        <v>80</v>
      </c>
      <c r="I1745" s="1" t="n">
        <v>4281</v>
      </c>
      <c r="J1745" s="1" t="n">
        <v>100131</v>
      </c>
      <c r="K1745" s="1" t="n">
        <v>132</v>
      </c>
      <c r="L1745" s="1" t="s">
        <v>3103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5" t="n">
        <v>46189</v>
      </c>
      <c r="C1746" s="1" t="n">
        <v>6</v>
      </c>
      <c r="D1746" s="1" t="s">
        <v>2289</v>
      </c>
      <c r="E1746" s="1" t="n">
        <v>42</v>
      </c>
      <c r="F1746" s="1" t="s">
        <v>80</v>
      </c>
      <c r="I1746" s="1" t="n">
        <v>4281</v>
      </c>
      <c r="J1746" s="1" t="n">
        <v>100132</v>
      </c>
      <c r="K1746" s="1" t="n">
        <v>133</v>
      </c>
      <c r="L1746" s="1" t="s">
        <v>3104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5" t="n">
        <v>46189</v>
      </c>
      <c r="C1747" s="1" t="n">
        <v>6</v>
      </c>
      <c r="D1747" s="1" t="s">
        <v>2289</v>
      </c>
      <c r="E1747" s="1" t="n">
        <v>42</v>
      </c>
      <c r="F1747" s="1" t="s">
        <v>80</v>
      </c>
      <c r="I1747" s="1" t="n">
        <v>4281</v>
      </c>
      <c r="J1747" s="1" t="n">
        <v>100133</v>
      </c>
      <c r="K1747" s="1" t="n">
        <v>134</v>
      </c>
      <c r="L1747" s="1" t="s">
        <v>2332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5" t="n">
        <v>46189</v>
      </c>
      <c r="C1748" s="1" t="n">
        <v>6</v>
      </c>
      <c r="D1748" s="1" t="s">
        <v>2289</v>
      </c>
      <c r="E1748" s="1" t="n">
        <v>42</v>
      </c>
      <c r="F1748" s="1" t="s">
        <v>80</v>
      </c>
      <c r="I1748" s="1" t="n">
        <v>4281</v>
      </c>
      <c r="J1748" s="1" t="n">
        <v>100138</v>
      </c>
      <c r="K1748" s="1" t="n">
        <v>139</v>
      </c>
      <c r="L1748" s="1" t="s">
        <v>2333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5" t="n">
        <v>46189</v>
      </c>
      <c r="C1749" s="1" t="n">
        <v>6</v>
      </c>
      <c r="D1749" s="1" t="s">
        <v>2289</v>
      </c>
      <c r="E1749" s="1" t="n">
        <v>42</v>
      </c>
      <c r="F1749" s="1" t="s">
        <v>80</v>
      </c>
      <c r="I1749" s="1" t="n">
        <v>4281</v>
      </c>
      <c r="J1749" s="1" t="n">
        <v>100148</v>
      </c>
      <c r="K1749" s="1" t="n">
        <v>149</v>
      </c>
      <c r="L1749" s="1" t="s">
        <v>2676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5" t="n">
        <v>46189</v>
      </c>
      <c r="C1750" s="1" t="n">
        <v>6</v>
      </c>
      <c r="D1750" s="1" t="s">
        <v>2289</v>
      </c>
      <c r="E1750" s="1" t="n">
        <v>42</v>
      </c>
      <c r="F1750" s="1" t="s">
        <v>80</v>
      </c>
      <c r="I1750" s="1" t="n">
        <v>4281</v>
      </c>
      <c r="J1750" s="1" t="n">
        <v>110142</v>
      </c>
      <c r="K1750" s="1" t="n">
        <v>16699</v>
      </c>
      <c r="L1750" s="1" t="s">
        <v>2334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5" t="n">
        <v>46189</v>
      </c>
      <c r="C1751" s="1" t="n">
        <v>6</v>
      </c>
      <c r="D1751" s="1" t="s">
        <v>2289</v>
      </c>
      <c r="E1751" s="1" t="n">
        <v>42</v>
      </c>
      <c r="F1751" s="1" t="s">
        <v>80</v>
      </c>
      <c r="I1751" s="1" t="n">
        <v>4281</v>
      </c>
      <c r="J1751" s="1" t="n">
        <v>110265</v>
      </c>
      <c r="K1751" s="1" t="n">
        <v>41346</v>
      </c>
      <c r="L1751" s="1" t="s">
        <v>2478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5" t="n">
        <v>46189</v>
      </c>
      <c r="C1752" s="1" t="n">
        <v>6</v>
      </c>
      <c r="D1752" s="1" t="s">
        <v>2289</v>
      </c>
      <c r="E1752" s="1" t="n">
        <v>42</v>
      </c>
      <c r="F1752" s="1" t="s">
        <v>80</v>
      </c>
      <c r="I1752" s="1" t="n">
        <v>4281</v>
      </c>
      <c r="J1752" s="1" t="n">
        <v>43627</v>
      </c>
      <c r="K1752" s="1" t="n">
        <v>1175</v>
      </c>
      <c r="L1752" s="1" t="s">
        <v>2479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5" t="n">
        <v>46189</v>
      </c>
      <c r="C1753" s="1" t="n">
        <v>11</v>
      </c>
      <c r="D1753" s="1" t="s">
        <v>2290</v>
      </c>
      <c r="E1753" s="1" t="n">
        <v>1749</v>
      </c>
      <c r="F1753" s="1" t="s">
        <v>266</v>
      </c>
      <c r="I1753" s="1" t="n">
        <v>1588</v>
      </c>
      <c r="J1753" s="1" t="n">
        <v>70192</v>
      </c>
      <c r="K1753" s="1" t="n">
        <v>7898361830052</v>
      </c>
      <c r="L1753" s="1" t="s">
        <v>3105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5" t="n">
        <v>46189</v>
      </c>
      <c r="C1754" s="1" t="n">
        <v>11</v>
      </c>
      <c r="D1754" s="1" t="s">
        <v>2290</v>
      </c>
      <c r="E1754" s="1" t="n">
        <v>1749</v>
      </c>
      <c r="F1754" s="1" t="s">
        <v>266</v>
      </c>
      <c r="I1754" s="1" t="n">
        <v>1588</v>
      </c>
      <c r="J1754" s="1" t="n">
        <v>100837</v>
      </c>
      <c r="K1754" s="1" t="n">
        <v>7897312400405</v>
      </c>
      <c r="L1754" s="1" t="s">
        <v>3106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5" t="n">
        <v>46189</v>
      </c>
      <c r="C1755" s="1" t="n">
        <v>11</v>
      </c>
      <c r="D1755" s="1" t="s">
        <v>2290</v>
      </c>
      <c r="E1755" s="1" t="n">
        <v>1749</v>
      </c>
      <c r="F1755" s="1" t="s">
        <v>266</v>
      </c>
      <c r="I1755" s="1" t="n">
        <v>1588</v>
      </c>
      <c r="J1755" s="1" t="n">
        <v>104678</v>
      </c>
      <c r="K1755" s="1" t="n">
        <v>7898247780075</v>
      </c>
      <c r="L1755" s="1" t="s">
        <v>3107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5" t="n">
        <v>46189</v>
      </c>
      <c r="C1756" s="1" t="n">
        <v>11</v>
      </c>
      <c r="D1756" s="1" t="s">
        <v>2290</v>
      </c>
      <c r="E1756" s="1" t="n">
        <v>1749</v>
      </c>
      <c r="F1756" s="1" t="s">
        <v>266</v>
      </c>
      <c r="I1756" s="1" t="n">
        <v>1588</v>
      </c>
      <c r="J1756" s="1" t="n">
        <v>13677</v>
      </c>
      <c r="K1756" s="1" t="n">
        <v>7896393601039</v>
      </c>
      <c r="L1756" s="1" t="s">
        <v>2800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5" t="n">
        <v>46189</v>
      </c>
      <c r="C1757" s="1" t="n">
        <v>11</v>
      </c>
      <c r="D1757" s="1" t="s">
        <v>2290</v>
      </c>
      <c r="E1757" s="1" t="n">
        <v>1749</v>
      </c>
      <c r="F1757" s="1" t="s">
        <v>266</v>
      </c>
      <c r="I1757" s="1" t="n">
        <v>1588</v>
      </c>
      <c r="J1757" s="1" t="n">
        <v>33377</v>
      </c>
      <c r="K1757" s="1" t="n">
        <v>7897312402874</v>
      </c>
      <c r="L1757" s="1" t="s">
        <v>3108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5" t="n">
        <v>46189</v>
      </c>
      <c r="C1758" s="1" t="n">
        <v>11</v>
      </c>
      <c r="D1758" s="1" t="s">
        <v>2290</v>
      </c>
      <c r="E1758" s="1" t="n">
        <v>1749</v>
      </c>
      <c r="F1758" s="1" t="s">
        <v>266</v>
      </c>
      <c r="I1758" s="1" t="n">
        <v>1588</v>
      </c>
      <c r="J1758" s="1" t="n">
        <v>33379</v>
      </c>
      <c r="K1758" s="1" t="n">
        <v>7897312402881</v>
      </c>
      <c r="L1758" s="1" t="s">
        <v>3109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5" t="n">
        <v>46189</v>
      </c>
      <c r="C1759" s="1" t="n">
        <v>11</v>
      </c>
      <c r="D1759" s="1" t="s">
        <v>2290</v>
      </c>
      <c r="E1759" s="1" t="n">
        <v>1749</v>
      </c>
      <c r="F1759" s="1" t="s">
        <v>266</v>
      </c>
      <c r="I1759" s="1" t="n">
        <v>1588</v>
      </c>
      <c r="J1759" s="1" t="n">
        <v>71834</v>
      </c>
      <c r="K1759" s="1" t="n">
        <v>7898361830069</v>
      </c>
      <c r="L1759" s="1" t="s">
        <v>3110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5" t="n">
        <v>46189</v>
      </c>
      <c r="C1760" s="1" t="n">
        <v>11</v>
      </c>
      <c r="D1760" s="1" t="s">
        <v>2290</v>
      </c>
      <c r="E1760" s="1" t="n">
        <v>1749</v>
      </c>
      <c r="F1760" s="1" t="s">
        <v>266</v>
      </c>
      <c r="I1760" s="1" t="n">
        <v>1588</v>
      </c>
      <c r="J1760" s="1" t="n">
        <v>72943</v>
      </c>
      <c r="K1760" s="1" t="n">
        <v>7898361830076</v>
      </c>
      <c r="L1760" s="1" t="s">
        <v>3111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5" t="n">
        <v>46189</v>
      </c>
      <c r="C1761" s="1" t="n">
        <v>11</v>
      </c>
      <c r="D1761" s="1" t="s">
        <v>2290</v>
      </c>
      <c r="E1761" s="1" t="n">
        <v>1749</v>
      </c>
      <c r="F1761" s="1" t="s">
        <v>266</v>
      </c>
      <c r="I1761" s="1" t="n">
        <v>1588</v>
      </c>
      <c r="J1761" s="1" t="n">
        <v>80521</v>
      </c>
      <c r="K1761" s="1" t="n">
        <v>7898962669709</v>
      </c>
      <c r="L1761" s="1" t="s">
        <v>3112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5" t="n">
        <v>46189</v>
      </c>
      <c r="C1762" s="1" t="n">
        <v>11</v>
      </c>
      <c r="D1762" s="1" t="s">
        <v>2290</v>
      </c>
      <c r="E1762" s="1" t="n">
        <v>1749</v>
      </c>
      <c r="F1762" s="1" t="s">
        <v>266</v>
      </c>
      <c r="I1762" s="1" t="n">
        <v>1588</v>
      </c>
      <c r="J1762" s="1" t="n">
        <v>81365</v>
      </c>
      <c r="K1762" s="1" t="n">
        <v>7898361830106</v>
      </c>
      <c r="L1762" s="1" t="s">
        <v>3113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5" t="n">
        <v>46189</v>
      </c>
      <c r="C1763" s="1" t="n">
        <v>11</v>
      </c>
      <c r="D1763" s="1" t="s">
        <v>2290</v>
      </c>
      <c r="E1763" s="1" t="n">
        <v>1695</v>
      </c>
      <c r="F1763" s="1" t="s">
        <v>269</v>
      </c>
      <c r="I1763" s="1" t="n">
        <v>18657</v>
      </c>
      <c r="J1763" s="1" t="n">
        <v>102412</v>
      </c>
      <c r="K1763" s="1" t="n">
        <v>78912359</v>
      </c>
      <c r="L1763" s="1" t="s">
        <v>3114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5" t="n">
        <v>46189</v>
      </c>
      <c r="C1764" s="1" t="n">
        <v>11</v>
      </c>
      <c r="D1764" s="1" t="s">
        <v>2290</v>
      </c>
      <c r="E1764" s="1" t="n">
        <v>1695</v>
      </c>
      <c r="F1764" s="1" t="s">
        <v>269</v>
      </c>
      <c r="I1764" s="1" t="n">
        <v>18657</v>
      </c>
      <c r="J1764" s="1" t="n">
        <v>109310</v>
      </c>
      <c r="K1764" s="1" t="n">
        <v>7896058500189</v>
      </c>
      <c r="L1764" s="1" t="s">
        <v>3115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5" t="n">
        <v>46189</v>
      </c>
      <c r="C1765" s="1" t="n">
        <v>11</v>
      </c>
      <c r="D1765" s="1" t="s">
        <v>2290</v>
      </c>
      <c r="E1765" s="1" t="n">
        <v>1695</v>
      </c>
      <c r="F1765" s="1" t="s">
        <v>269</v>
      </c>
      <c r="I1765" s="1" t="n">
        <v>18657</v>
      </c>
      <c r="J1765" s="1" t="n">
        <v>109491</v>
      </c>
      <c r="K1765" s="1" t="n">
        <v>7896058500110</v>
      </c>
      <c r="L1765" s="1" t="s">
        <v>3116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5" t="n">
        <v>46189</v>
      </c>
      <c r="C1766" s="1" t="n">
        <v>11</v>
      </c>
      <c r="D1766" s="1" t="s">
        <v>2290</v>
      </c>
      <c r="E1766" s="1" t="n">
        <v>1695</v>
      </c>
      <c r="F1766" s="1" t="s">
        <v>269</v>
      </c>
      <c r="I1766" s="1" t="n">
        <v>18657</v>
      </c>
      <c r="J1766" s="1" t="n">
        <v>13171</v>
      </c>
      <c r="K1766" s="1" t="n">
        <v>7896037913146</v>
      </c>
      <c r="L1766" s="1" t="s">
        <v>3117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5" t="n">
        <v>46189</v>
      </c>
      <c r="C1767" s="1" t="n">
        <v>11</v>
      </c>
      <c r="D1767" s="1" t="s">
        <v>2290</v>
      </c>
      <c r="E1767" s="1" t="n">
        <v>1695</v>
      </c>
      <c r="F1767" s="1" t="s">
        <v>269</v>
      </c>
      <c r="I1767" s="1" t="n">
        <v>18657</v>
      </c>
      <c r="J1767" s="1" t="n">
        <v>13485</v>
      </c>
      <c r="K1767" s="1" t="n">
        <v>7896058590500</v>
      </c>
      <c r="L1767" s="1" t="s">
        <v>3118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5" t="n">
        <v>46189</v>
      </c>
      <c r="C1768" s="1" t="n">
        <v>11</v>
      </c>
      <c r="D1768" s="1" t="s">
        <v>2290</v>
      </c>
      <c r="E1768" s="1" t="n">
        <v>1695</v>
      </c>
      <c r="F1768" s="1" t="s">
        <v>269</v>
      </c>
      <c r="I1768" s="1" t="n">
        <v>18657</v>
      </c>
      <c r="J1768" s="1" t="n">
        <v>15013</v>
      </c>
      <c r="K1768" s="1" t="n">
        <v>7897395040307</v>
      </c>
      <c r="L1768" s="1" t="s">
        <v>3102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5" t="n">
        <v>46189</v>
      </c>
      <c r="C1769" s="1" t="n">
        <v>11</v>
      </c>
      <c r="D1769" s="1" t="s">
        <v>2290</v>
      </c>
      <c r="E1769" s="1" t="n">
        <v>1695</v>
      </c>
      <c r="F1769" s="1" t="s">
        <v>269</v>
      </c>
      <c r="I1769" s="1" t="n">
        <v>18657</v>
      </c>
      <c r="J1769" s="1" t="n">
        <v>17178</v>
      </c>
      <c r="K1769" s="1" t="n">
        <v>7895800164501</v>
      </c>
      <c r="L1769" s="1" t="s">
        <v>3119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5" t="n">
        <v>46189</v>
      </c>
      <c r="C1770" s="1" t="n">
        <v>11</v>
      </c>
      <c r="D1770" s="1" t="s">
        <v>2290</v>
      </c>
      <c r="E1770" s="1" t="n">
        <v>1695</v>
      </c>
      <c r="F1770" s="1" t="s">
        <v>269</v>
      </c>
      <c r="I1770" s="1" t="n">
        <v>18657</v>
      </c>
      <c r="J1770" s="1" t="n">
        <v>19978</v>
      </c>
      <c r="K1770" s="1" t="n">
        <v>7896321000149</v>
      </c>
      <c r="L1770" s="1" t="s">
        <v>3120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5" t="n">
        <v>46189</v>
      </c>
      <c r="C1771" s="1" t="n">
        <v>11</v>
      </c>
      <c r="D1771" s="1" t="s">
        <v>2290</v>
      </c>
      <c r="E1771" s="1" t="n">
        <v>1695</v>
      </c>
      <c r="F1771" s="1" t="s">
        <v>269</v>
      </c>
      <c r="I1771" s="1" t="n">
        <v>18657</v>
      </c>
      <c r="J1771" s="1" t="n">
        <v>23223</v>
      </c>
      <c r="K1771" s="1" t="n">
        <v>7891118013593</v>
      </c>
      <c r="L1771" s="1" t="s">
        <v>3121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5" t="n">
        <v>46189</v>
      </c>
      <c r="C1772" s="1" t="n">
        <v>11</v>
      </c>
      <c r="D1772" s="1" t="s">
        <v>2290</v>
      </c>
      <c r="E1772" s="1" t="n">
        <v>1695</v>
      </c>
      <c r="F1772" s="1" t="s">
        <v>269</v>
      </c>
      <c r="I1772" s="1" t="n">
        <v>18657</v>
      </c>
      <c r="J1772" s="1" t="n">
        <v>23225</v>
      </c>
      <c r="K1772" s="1" t="n">
        <v>7891118013609</v>
      </c>
      <c r="L1772" s="1" t="s">
        <v>3122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5" t="n">
        <v>46189</v>
      </c>
      <c r="C1773" s="1" t="n">
        <v>11</v>
      </c>
      <c r="D1773" s="1" t="s">
        <v>2290</v>
      </c>
      <c r="E1773" s="1" t="n">
        <v>1695</v>
      </c>
      <c r="F1773" s="1" t="s">
        <v>269</v>
      </c>
      <c r="I1773" s="1" t="n">
        <v>18657</v>
      </c>
      <c r="J1773" s="1" t="n">
        <v>23226</v>
      </c>
      <c r="K1773" s="1" t="n">
        <v>7891118013586</v>
      </c>
      <c r="L1773" s="1" t="s">
        <v>3123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5" t="n">
        <v>46189</v>
      </c>
      <c r="C1774" s="1" t="n">
        <v>11</v>
      </c>
      <c r="D1774" s="1" t="s">
        <v>2290</v>
      </c>
      <c r="E1774" s="1" t="n">
        <v>1695</v>
      </c>
      <c r="F1774" s="1" t="s">
        <v>269</v>
      </c>
      <c r="I1774" s="1" t="n">
        <v>18657</v>
      </c>
      <c r="J1774" s="1" t="n">
        <v>25451</v>
      </c>
      <c r="K1774" s="1" t="n">
        <v>7896451911575</v>
      </c>
      <c r="L1774" s="1" t="s">
        <v>3124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5" t="n">
        <v>46189</v>
      </c>
      <c r="C1775" s="1" t="n">
        <v>11</v>
      </c>
      <c r="D1775" s="1" t="s">
        <v>2290</v>
      </c>
      <c r="E1775" s="1" t="n">
        <v>1695</v>
      </c>
      <c r="F1775" s="1" t="s">
        <v>269</v>
      </c>
      <c r="I1775" s="1" t="n">
        <v>18657</v>
      </c>
      <c r="J1775" s="1" t="n">
        <v>25681</v>
      </c>
      <c r="K1775" s="1" t="n">
        <v>7896321014948</v>
      </c>
      <c r="L1775" s="1" t="s">
        <v>3125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5" t="n">
        <v>46189</v>
      </c>
      <c r="C1776" s="1" t="n">
        <v>11</v>
      </c>
      <c r="D1776" s="1" t="s">
        <v>2290</v>
      </c>
      <c r="E1776" s="1" t="n">
        <v>1695</v>
      </c>
      <c r="F1776" s="1" t="s">
        <v>269</v>
      </c>
      <c r="I1776" s="1" t="n">
        <v>18657</v>
      </c>
      <c r="J1776" s="1" t="n">
        <v>25682</v>
      </c>
      <c r="K1776" s="1" t="n">
        <v>7896321000378</v>
      </c>
      <c r="L1776" s="1" t="s">
        <v>3126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5" t="n">
        <v>46189</v>
      </c>
      <c r="C1777" s="1" t="n">
        <v>11</v>
      </c>
      <c r="D1777" s="1" t="s">
        <v>2290</v>
      </c>
      <c r="E1777" s="1" t="n">
        <v>1695</v>
      </c>
      <c r="F1777" s="1" t="s">
        <v>269</v>
      </c>
      <c r="I1777" s="1" t="n">
        <v>18657</v>
      </c>
      <c r="J1777" s="1" t="n">
        <v>33496</v>
      </c>
      <c r="K1777" s="1" t="n">
        <v>7896451911582</v>
      </c>
      <c r="L1777" s="1" t="s">
        <v>3127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5" t="n">
        <v>46189</v>
      </c>
      <c r="C1778" s="1" t="n">
        <v>11</v>
      </c>
      <c r="D1778" s="1" t="s">
        <v>2290</v>
      </c>
      <c r="E1778" s="1" t="n">
        <v>1695</v>
      </c>
      <c r="F1778" s="1" t="s">
        <v>269</v>
      </c>
      <c r="I1778" s="1" t="n">
        <v>18657</v>
      </c>
      <c r="J1778" s="1" t="n">
        <v>33822</v>
      </c>
      <c r="K1778" s="1" t="n">
        <v>797511</v>
      </c>
      <c r="L1778" s="1" t="s">
        <v>3128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5" t="n">
        <v>46189</v>
      </c>
      <c r="C1779" s="1" t="n">
        <v>11</v>
      </c>
      <c r="D1779" s="1" t="s">
        <v>2290</v>
      </c>
      <c r="E1779" s="1" t="n">
        <v>1695</v>
      </c>
      <c r="F1779" s="1" t="s">
        <v>269</v>
      </c>
      <c r="I1779" s="1" t="n">
        <v>18657</v>
      </c>
      <c r="J1779" s="1" t="n">
        <v>36473</v>
      </c>
      <c r="K1779" s="1" t="n">
        <v>7896383073495</v>
      </c>
      <c r="L1779" s="1" t="s">
        <v>3129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5" t="n">
        <v>46189</v>
      </c>
      <c r="C1780" s="1" t="n">
        <v>11</v>
      </c>
      <c r="D1780" s="1" t="s">
        <v>2290</v>
      </c>
      <c r="E1780" s="1" t="n">
        <v>1695</v>
      </c>
      <c r="F1780" s="1" t="s">
        <v>269</v>
      </c>
      <c r="I1780" s="1" t="n">
        <v>18657</v>
      </c>
      <c r="J1780" s="1" t="n">
        <v>37568</v>
      </c>
      <c r="K1780" s="1" t="n">
        <v>7891151039772</v>
      </c>
      <c r="L1780" s="1" t="s">
        <v>3130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5" t="n">
        <v>46189</v>
      </c>
      <c r="C1781" s="1" t="n">
        <v>11</v>
      </c>
      <c r="D1781" s="1" t="s">
        <v>2290</v>
      </c>
      <c r="E1781" s="1" t="n">
        <v>1695</v>
      </c>
      <c r="F1781" s="1" t="s">
        <v>269</v>
      </c>
      <c r="I1781" s="1" t="n">
        <v>18657</v>
      </c>
      <c r="J1781" s="1" t="n">
        <v>40512</v>
      </c>
      <c r="K1781" s="1" t="n">
        <v>7898210430075</v>
      </c>
      <c r="L1781" s="1" t="s">
        <v>3131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5" t="n">
        <v>46189</v>
      </c>
      <c r="C1782" s="1" t="n">
        <v>11</v>
      </c>
      <c r="D1782" s="1" t="s">
        <v>2290</v>
      </c>
      <c r="E1782" s="1" t="n">
        <v>1695</v>
      </c>
      <c r="F1782" s="1" t="s">
        <v>269</v>
      </c>
      <c r="I1782" s="1" t="n">
        <v>18657</v>
      </c>
      <c r="J1782" s="1" t="n">
        <v>40833</v>
      </c>
      <c r="K1782" s="1" t="n">
        <v>7891151039635</v>
      </c>
      <c r="L1782" s="1" t="s">
        <v>3132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5" t="n">
        <v>46189</v>
      </c>
      <c r="C1783" s="1" t="n">
        <v>11</v>
      </c>
      <c r="D1783" s="1" t="s">
        <v>2290</v>
      </c>
      <c r="E1783" s="1" t="n">
        <v>1695</v>
      </c>
      <c r="F1783" s="1" t="s">
        <v>269</v>
      </c>
      <c r="I1783" s="1" t="n">
        <v>18657</v>
      </c>
      <c r="J1783" s="1" t="n">
        <v>41502</v>
      </c>
      <c r="K1783" s="1" t="n">
        <v>7891151039505</v>
      </c>
      <c r="L1783" s="1" t="s">
        <v>3133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5" t="n">
        <v>46189</v>
      </c>
      <c r="C1784" s="1" t="n">
        <v>11</v>
      </c>
      <c r="D1784" s="1" t="s">
        <v>2290</v>
      </c>
      <c r="E1784" s="1" t="n">
        <v>1695</v>
      </c>
      <c r="F1784" s="1" t="s">
        <v>269</v>
      </c>
      <c r="I1784" s="1" t="n">
        <v>18657</v>
      </c>
      <c r="J1784" s="1" t="n">
        <v>41506</v>
      </c>
      <c r="K1784" s="1" t="n">
        <v>7891151039574</v>
      </c>
      <c r="L1784" s="1" t="s">
        <v>3134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5" t="n">
        <v>46189</v>
      </c>
      <c r="C1785" s="1" t="n">
        <v>11</v>
      </c>
      <c r="D1785" s="1" t="s">
        <v>2290</v>
      </c>
      <c r="E1785" s="1" t="n">
        <v>1695</v>
      </c>
      <c r="F1785" s="1" t="s">
        <v>269</v>
      </c>
      <c r="I1785" s="1" t="n">
        <v>18657</v>
      </c>
      <c r="J1785" s="1" t="n">
        <v>42817</v>
      </c>
      <c r="K1785" s="1" t="n">
        <v>7891151039758</v>
      </c>
      <c r="L1785" s="1" t="s">
        <v>3135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5" t="n">
        <v>46189</v>
      </c>
      <c r="C1786" s="1" t="n">
        <v>11</v>
      </c>
      <c r="D1786" s="1" t="s">
        <v>2290</v>
      </c>
      <c r="E1786" s="1" t="n">
        <v>1695</v>
      </c>
      <c r="F1786" s="1" t="s">
        <v>269</v>
      </c>
      <c r="I1786" s="1" t="n">
        <v>18657</v>
      </c>
      <c r="J1786" s="1" t="n">
        <v>42981</v>
      </c>
      <c r="K1786" s="1" t="n">
        <v>7891151039734</v>
      </c>
      <c r="L1786" s="1" t="s">
        <v>3136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5" t="n">
        <v>46189</v>
      </c>
      <c r="C1787" s="1" t="n">
        <v>11</v>
      </c>
      <c r="D1787" s="1" t="s">
        <v>2290</v>
      </c>
      <c r="E1787" s="1" t="n">
        <v>1695</v>
      </c>
      <c r="F1787" s="1" t="s">
        <v>269</v>
      </c>
      <c r="I1787" s="1" t="n">
        <v>18657</v>
      </c>
      <c r="J1787" s="1" t="n">
        <v>43002</v>
      </c>
      <c r="K1787" s="1" t="n">
        <v>7891151039802</v>
      </c>
      <c r="L1787" s="1" t="s">
        <v>3137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5" t="n">
        <v>46189</v>
      </c>
      <c r="C1788" s="1" t="n">
        <v>11</v>
      </c>
      <c r="D1788" s="1" t="s">
        <v>2290</v>
      </c>
      <c r="E1788" s="1" t="n">
        <v>1695</v>
      </c>
      <c r="F1788" s="1" t="s">
        <v>269</v>
      </c>
      <c r="I1788" s="1" t="n">
        <v>18657</v>
      </c>
      <c r="J1788" s="1" t="n">
        <v>43007</v>
      </c>
      <c r="K1788" s="1" t="n">
        <v>7891151039567</v>
      </c>
      <c r="L1788" s="1" t="s">
        <v>3138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5" t="n">
        <v>46189</v>
      </c>
      <c r="C1789" s="1" t="n">
        <v>11</v>
      </c>
      <c r="D1789" s="1" t="s">
        <v>2290</v>
      </c>
      <c r="E1789" s="1" t="n">
        <v>1695</v>
      </c>
      <c r="F1789" s="1" t="s">
        <v>269</v>
      </c>
      <c r="I1789" s="1" t="n">
        <v>18657</v>
      </c>
      <c r="J1789" s="1" t="n">
        <v>47238</v>
      </c>
      <c r="K1789" s="1" t="n">
        <v>7896058507188</v>
      </c>
      <c r="L1789" s="1" t="s">
        <v>3139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5" t="n">
        <v>46189</v>
      </c>
      <c r="C1790" s="1" t="n">
        <v>11</v>
      </c>
      <c r="D1790" s="1" t="s">
        <v>2290</v>
      </c>
      <c r="E1790" s="1" t="n">
        <v>1695</v>
      </c>
      <c r="F1790" s="1" t="s">
        <v>269</v>
      </c>
      <c r="I1790" s="1" t="n">
        <v>18657</v>
      </c>
      <c r="J1790" s="1" t="n">
        <v>50351</v>
      </c>
      <c r="K1790" s="1" t="n">
        <v>7891118025961</v>
      </c>
      <c r="L1790" s="1" t="s">
        <v>3140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5" t="n">
        <v>46189</v>
      </c>
      <c r="C1791" s="1" t="n">
        <v>11</v>
      </c>
      <c r="D1791" s="1" t="s">
        <v>2290</v>
      </c>
      <c r="E1791" s="1" t="n">
        <v>1816</v>
      </c>
      <c r="F1791" s="1" t="s">
        <v>554</v>
      </c>
      <c r="I1791" s="1" t="n">
        <v>54575</v>
      </c>
      <c r="J1791" s="1" t="n">
        <v>14259</v>
      </c>
      <c r="K1791" s="1" t="n">
        <v>7898910758172</v>
      </c>
      <c r="L1791" s="1" t="s">
        <v>3141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5" t="n">
        <v>46189</v>
      </c>
      <c r="C1792" s="1" t="n">
        <v>11</v>
      </c>
      <c r="D1792" s="1" t="s">
        <v>2290</v>
      </c>
      <c r="E1792" s="1" t="n">
        <v>1816</v>
      </c>
      <c r="F1792" s="1" t="s">
        <v>554</v>
      </c>
      <c r="I1792" s="1" t="n">
        <v>54575</v>
      </c>
      <c r="J1792" s="1" t="n">
        <v>27241</v>
      </c>
      <c r="K1792" s="1" t="n">
        <v>7898910758639</v>
      </c>
      <c r="L1792" s="1" t="s">
        <v>3142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5" t="n">
        <v>46189</v>
      </c>
      <c r="C1793" s="1" t="n">
        <v>11</v>
      </c>
      <c r="D1793" s="1" t="s">
        <v>2290</v>
      </c>
      <c r="E1793" s="1" t="n">
        <v>1816</v>
      </c>
      <c r="F1793" s="1" t="s">
        <v>554</v>
      </c>
      <c r="I1793" s="1" t="n">
        <v>54575</v>
      </c>
      <c r="J1793" s="1" t="n">
        <v>27242</v>
      </c>
      <c r="K1793" s="1" t="n">
        <v>7898910758622</v>
      </c>
      <c r="L1793" s="1" t="s">
        <v>3143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5" t="n">
        <v>46189</v>
      </c>
      <c r="C1794" s="1" t="n">
        <v>11</v>
      </c>
      <c r="D1794" s="1" t="s">
        <v>2290</v>
      </c>
      <c r="E1794" s="1" t="n">
        <v>1723</v>
      </c>
      <c r="F1794" s="1" t="s">
        <v>76</v>
      </c>
      <c r="I1794" s="1" t="n">
        <v>171259</v>
      </c>
      <c r="J1794" s="1" t="n">
        <v>29079</v>
      </c>
      <c r="K1794" s="1" t="n">
        <v>55515</v>
      </c>
      <c r="L1794" s="1" t="s">
        <v>2360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5" t="n">
        <v>46189</v>
      </c>
      <c r="C1795" s="1" t="n">
        <v>11</v>
      </c>
      <c r="D1795" s="1" t="s">
        <v>2290</v>
      </c>
      <c r="E1795" s="1" t="n">
        <v>1024</v>
      </c>
      <c r="F1795" s="1" t="s">
        <v>161</v>
      </c>
      <c r="I1795" s="1" t="n">
        <v>584765</v>
      </c>
      <c r="J1795" s="1" t="n">
        <v>30387</v>
      </c>
      <c r="K1795" s="1" t="n">
        <v>7898654710092</v>
      </c>
      <c r="L1795" s="1" t="s">
        <v>3144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5" t="n">
        <v>46189</v>
      </c>
      <c r="C1796" s="1" t="n">
        <v>11</v>
      </c>
      <c r="D1796" s="1" t="s">
        <v>2290</v>
      </c>
      <c r="E1796" s="1" t="n">
        <v>1024</v>
      </c>
      <c r="F1796" s="1" t="s">
        <v>161</v>
      </c>
      <c r="I1796" s="1" t="n">
        <v>584765</v>
      </c>
      <c r="J1796" s="1" t="n">
        <v>103169</v>
      </c>
      <c r="K1796" s="1" t="n">
        <v>7898919635016</v>
      </c>
      <c r="L1796" s="1" t="s">
        <v>3145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5" t="n">
        <v>46189</v>
      </c>
      <c r="C1797" s="1" t="n">
        <v>11</v>
      </c>
      <c r="D1797" s="1" t="s">
        <v>2290</v>
      </c>
      <c r="E1797" s="1" t="n">
        <v>1024</v>
      </c>
      <c r="F1797" s="1" t="s">
        <v>161</v>
      </c>
      <c r="I1797" s="1" t="n">
        <v>584765</v>
      </c>
      <c r="J1797" s="1" t="n">
        <v>103170</v>
      </c>
      <c r="K1797" s="1" t="n">
        <v>7896792000020</v>
      </c>
      <c r="L1797" s="1" t="s">
        <v>3146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5" t="n">
        <v>46189</v>
      </c>
      <c r="C1798" s="1" t="n">
        <v>11</v>
      </c>
      <c r="D1798" s="1" t="s">
        <v>2290</v>
      </c>
      <c r="E1798" s="1" t="n">
        <v>1024</v>
      </c>
      <c r="F1798" s="1" t="s">
        <v>161</v>
      </c>
      <c r="I1798" s="1" t="n">
        <v>584765</v>
      </c>
      <c r="J1798" s="1" t="n">
        <v>104359</v>
      </c>
      <c r="K1798" s="1" t="n">
        <v>7896792350071</v>
      </c>
      <c r="L1798" s="1" t="s">
        <v>3147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5" t="n">
        <v>46189</v>
      </c>
      <c r="C1799" s="1" t="n">
        <v>11</v>
      </c>
      <c r="D1799" s="1" t="s">
        <v>2290</v>
      </c>
      <c r="E1799" s="1" t="n">
        <v>1024</v>
      </c>
      <c r="F1799" s="1" t="s">
        <v>161</v>
      </c>
      <c r="I1799" s="1" t="n">
        <v>584765</v>
      </c>
      <c r="J1799" s="1" t="n">
        <v>104429</v>
      </c>
      <c r="K1799" s="1" t="n">
        <v>7896792350064</v>
      </c>
      <c r="L1799" s="1" t="s">
        <v>3148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5" t="n">
        <v>46189</v>
      </c>
      <c r="C1800" s="1" t="n">
        <v>11</v>
      </c>
      <c r="D1800" s="1" t="s">
        <v>2290</v>
      </c>
      <c r="E1800" s="1" t="n">
        <v>1024</v>
      </c>
      <c r="F1800" s="1" t="s">
        <v>161</v>
      </c>
      <c r="I1800" s="1" t="n">
        <v>584765</v>
      </c>
      <c r="J1800" s="1" t="n">
        <v>10276</v>
      </c>
      <c r="K1800" s="1" t="n">
        <v>7898919635030</v>
      </c>
      <c r="L1800" s="1" t="s">
        <v>3149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5" t="n">
        <v>46189</v>
      </c>
      <c r="C1801" s="1" t="n">
        <v>11</v>
      </c>
      <c r="D1801" s="1" t="s">
        <v>2290</v>
      </c>
      <c r="E1801" s="1" t="n">
        <v>1024</v>
      </c>
      <c r="F1801" s="1" t="s">
        <v>161</v>
      </c>
      <c r="I1801" s="1" t="n">
        <v>584765</v>
      </c>
      <c r="J1801" s="1" t="n">
        <v>23449</v>
      </c>
      <c r="K1801" s="1" t="n">
        <v>7896792510000</v>
      </c>
      <c r="L1801" s="1" t="s">
        <v>3150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5" t="n">
        <v>46189</v>
      </c>
      <c r="C1802" s="1" t="n">
        <v>11</v>
      </c>
      <c r="D1802" s="1" t="s">
        <v>2290</v>
      </c>
      <c r="E1802" s="1" t="n">
        <v>1024</v>
      </c>
      <c r="F1802" s="1" t="s">
        <v>161</v>
      </c>
      <c r="I1802" s="1" t="n">
        <v>584765</v>
      </c>
      <c r="J1802" s="1" t="n">
        <v>25748</v>
      </c>
      <c r="K1802" s="1" t="n">
        <v>7898919635962</v>
      </c>
      <c r="L1802" s="1" t="s">
        <v>3151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5" t="n">
        <v>46189</v>
      </c>
      <c r="C1803" s="1" t="n">
        <v>11</v>
      </c>
      <c r="D1803" s="1" t="s">
        <v>2290</v>
      </c>
      <c r="E1803" s="1" t="n">
        <v>1024</v>
      </c>
      <c r="F1803" s="1" t="s">
        <v>161</v>
      </c>
      <c r="I1803" s="1" t="n">
        <v>584765</v>
      </c>
      <c r="J1803" s="1" t="n">
        <v>25749</v>
      </c>
      <c r="K1803" s="1" t="n">
        <v>7898919635955</v>
      </c>
      <c r="L1803" s="1" t="s">
        <v>3152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5" t="n">
        <v>46189</v>
      </c>
      <c r="C1804" s="1" t="n">
        <v>11</v>
      </c>
      <c r="D1804" s="1" t="s">
        <v>2290</v>
      </c>
      <c r="E1804" s="1" t="n">
        <v>1024</v>
      </c>
      <c r="F1804" s="1" t="s">
        <v>161</v>
      </c>
      <c r="I1804" s="1" t="n">
        <v>584765</v>
      </c>
      <c r="J1804" s="1" t="n">
        <v>28733</v>
      </c>
      <c r="K1804" s="1" t="n">
        <v>7898654710108</v>
      </c>
      <c r="L1804" s="1" t="s">
        <v>3153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5" t="n">
        <v>46189</v>
      </c>
      <c r="C1805" s="1" t="n">
        <v>11</v>
      </c>
      <c r="D1805" s="1" t="s">
        <v>2290</v>
      </c>
      <c r="E1805" s="1" t="n">
        <v>1024</v>
      </c>
      <c r="F1805" s="1" t="s">
        <v>161</v>
      </c>
      <c r="I1805" s="1" t="n">
        <v>584765</v>
      </c>
      <c r="J1805" s="1" t="n">
        <v>36458</v>
      </c>
      <c r="K1805" s="1" t="n">
        <v>7898654710122</v>
      </c>
      <c r="L1805" s="1" t="s">
        <v>3154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5" t="n">
        <v>46189</v>
      </c>
      <c r="C1806" s="1" t="n">
        <v>11</v>
      </c>
      <c r="D1806" s="1" t="s">
        <v>2290</v>
      </c>
      <c r="E1806" s="1" t="n">
        <v>1024</v>
      </c>
      <c r="F1806" s="1" t="s">
        <v>161</v>
      </c>
      <c r="I1806" s="1" t="n">
        <v>584765</v>
      </c>
      <c r="J1806" s="1" t="n">
        <v>39214</v>
      </c>
      <c r="K1806" s="1" t="n">
        <v>7898654710306</v>
      </c>
      <c r="L1806" s="1" t="s">
        <v>3155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5" t="n">
        <v>46189</v>
      </c>
      <c r="C1807" s="1" t="n">
        <v>11</v>
      </c>
      <c r="D1807" s="1" t="s">
        <v>2290</v>
      </c>
      <c r="E1807" s="1" t="n">
        <v>1024</v>
      </c>
      <c r="F1807" s="1" t="s">
        <v>161</v>
      </c>
      <c r="I1807" s="1" t="n">
        <v>584765</v>
      </c>
      <c r="J1807" s="1" t="n">
        <v>43155</v>
      </c>
      <c r="K1807" s="1" t="n">
        <v>7898654710313</v>
      </c>
      <c r="L1807" s="1" t="s">
        <v>3156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5" t="n">
        <v>46189</v>
      </c>
      <c r="C1808" s="1" t="n">
        <v>11</v>
      </c>
      <c r="D1808" s="1" t="s">
        <v>2290</v>
      </c>
      <c r="E1808" s="1" t="n">
        <v>1024</v>
      </c>
      <c r="F1808" s="1" t="s">
        <v>161</v>
      </c>
      <c r="I1808" s="1" t="n">
        <v>584765</v>
      </c>
      <c r="J1808" s="1" t="n">
        <v>46561</v>
      </c>
      <c r="K1808" s="1" t="n">
        <v>7898654710320</v>
      </c>
      <c r="L1808" s="1" t="s">
        <v>3157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5" t="n">
        <v>46189</v>
      </c>
      <c r="C1809" s="1" t="n">
        <v>11</v>
      </c>
      <c r="D1809" s="1" t="s">
        <v>2290</v>
      </c>
      <c r="E1809" s="1" t="n">
        <v>1024</v>
      </c>
      <c r="F1809" s="1" t="s">
        <v>161</v>
      </c>
      <c r="I1809" s="1" t="n">
        <v>584765</v>
      </c>
      <c r="J1809" s="1" t="n">
        <v>46562</v>
      </c>
      <c r="K1809" s="1" t="n">
        <v>7898654710337</v>
      </c>
      <c r="L1809" s="1" t="s">
        <v>3158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5" t="n">
        <v>46189</v>
      </c>
      <c r="C1810" s="1" t="n">
        <v>11</v>
      </c>
      <c r="D1810" s="1" t="s">
        <v>2290</v>
      </c>
      <c r="E1810" s="1" t="n">
        <v>1024</v>
      </c>
      <c r="F1810" s="1" t="s">
        <v>161</v>
      </c>
      <c r="I1810" s="1" t="n">
        <v>584765</v>
      </c>
      <c r="J1810" s="1" t="n">
        <v>60866</v>
      </c>
      <c r="K1810" s="1" t="n">
        <v>7898654710474</v>
      </c>
      <c r="L1810" s="1" t="s">
        <v>3159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5" t="n">
        <v>46189</v>
      </c>
      <c r="C1811" s="1" t="n">
        <v>11</v>
      </c>
      <c r="D1811" s="1" t="s">
        <v>2290</v>
      </c>
      <c r="E1811" s="1" t="n">
        <v>1616</v>
      </c>
      <c r="F1811" s="1" t="s">
        <v>697</v>
      </c>
      <c r="I1811" s="1" t="n">
        <v>645768</v>
      </c>
      <c r="J1811" s="1" t="n">
        <v>30378</v>
      </c>
      <c r="K1811" s="1" t="n">
        <v>7891022860566</v>
      </c>
      <c r="L1811" s="1" t="s">
        <v>3160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5" t="n">
        <v>46189</v>
      </c>
      <c r="C1812" s="1" t="n">
        <v>11</v>
      </c>
      <c r="D1812" s="1" t="s">
        <v>2290</v>
      </c>
      <c r="E1812" s="1" t="n">
        <v>1616</v>
      </c>
      <c r="F1812" s="1" t="s">
        <v>697</v>
      </c>
      <c r="I1812" s="1" t="n">
        <v>645768</v>
      </c>
      <c r="J1812" s="1" t="n">
        <v>30379</v>
      </c>
      <c r="K1812" s="1" t="n">
        <v>7891022860986</v>
      </c>
      <c r="L1812" s="1" t="s">
        <v>3161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5" t="n">
        <v>46189</v>
      </c>
      <c r="C1813" s="1" t="n">
        <v>11</v>
      </c>
      <c r="D1813" s="1" t="s">
        <v>2290</v>
      </c>
      <c r="E1813" s="1" t="n">
        <v>1616</v>
      </c>
      <c r="F1813" s="1" t="s">
        <v>697</v>
      </c>
      <c r="I1813" s="1" t="n">
        <v>645768</v>
      </c>
      <c r="J1813" s="1" t="n">
        <v>100842</v>
      </c>
      <c r="K1813" s="1" t="n">
        <v>7891022639001</v>
      </c>
      <c r="L1813" s="1" t="s">
        <v>3162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5" t="n">
        <v>46189</v>
      </c>
      <c r="C1814" s="1" t="n">
        <v>11</v>
      </c>
      <c r="D1814" s="1" t="s">
        <v>2290</v>
      </c>
      <c r="E1814" s="1" t="n">
        <v>1616</v>
      </c>
      <c r="F1814" s="1" t="s">
        <v>697</v>
      </c>
      <c r="I1814" s="1" t="n">
        <v>645768</v>
      </c>
      <c r="J1814" s="1" t="n">
        <v>100843</v>
      </c>
      <c r="K1814" s="1" t="n">
        <v>7891022637007</v>
      </c>
      <c r="L1814" s="1" t="s">
        <v>3163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5" t="n">
        <v>46189</v>
      </c>
      <c r="C1815" s="1" t="n">
        <v>11</v>
      </c>
      <c r="D1815" s="1" t="s">
        <v>2290</v>
      </c>
      <c r="E1815" s="1" t="n">
        <v>1616</v>
      </c>
      <c r="F1815" s="1" t="s">
        <v>697</v>
      </c>
      <c r="I1815" s="1" t="n">
        <v>645768</v>
      </c>
      <c r="J1815" s="1" t="n">
        <v>100844</v>
      </c>
      <c r="K1815" s="1" t="n">
        <v>7891022638004</v>
      </c>
      <c r="L1815" s="1" t="s">
        <v>3164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5" t="n">
        <v>46189</v>
      </c>
      <c r="C1816" s="1" t="n">
        <v>11</v>
      </c>
      <c r="D1816" s="1" t="s">
        <v>2290</v>
      </c>
      <c r="E1816" s="1" t="n">
        <v>1616</v>
      </c>
      <c r="F1816" s="1" t="s">
        <v>697</v>
      </c>
      <c r="I1816" s="1" t="n">
        <v>645768</v>
      </c>
      <c r="J1816" s="1" t="n">
        <v>100846</v>
      </c>
      <c r="K1816" s="1" t="n">
        <v>7891022640007</v>
      </c>
      <c r="L1816" s="1" t="s">
        <v>3165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5" t="n">
        <v>46189</v>
      </c>
      <c r="C1817" s="1" t="n">
        <v>11</v>
      </c>
      <c r="D1817" s="1" t="s">
        <v>2290</v>
      </c>
      <c r="E1817" s="1" t="n">
        <v>1616</v>
      </c>
      <c r="F1817" s="1" t="s">
        <v>697</v>
      </c>
      <c r="I1817" s="1" t="n">
        <v>645768</v>
      </c>
      <c r="J1817" s="1" t="n">
        <v>101251</v>
      </c>
      <c r="K1817" s="1" t="n">
        <v>7891022101096</v>
      </c>
      <c r="L1817" s="1" t="s">
        <v>3166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5" t="n">
        <v>46189</v>
      </c>
      <c r="C1818" s="1" t="n">
        <v>11</v>
      </c>
      <c r="D1818" s="1" t="s">
        <v>2290</v>
      </c>
      <c r="E1818" s="1" t="n">
        <v>1616</v>
      </c>
      <c r="F1818" s="1" t="s">
        <v>697</v>
      </c>
      <c r="I1818" s="1" t="n">
        <v>645768</v>
      </c>
      <c r="J1818" s="1" t="n">
        <v>101252</v>
      </c>
      <c r="K1818" s="1" t="n">
        <v>7891022101478</v>
      </c>
      <c r="L1818" s="1" t="s">
        <v>3166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5" t="n">
        <v>46189</v>
      </c>
      <c r="C1819" s="1" t="n">
        <v>11</v>
      </c>
      <c r="D1819" s="1" t="s">
        <v>2290</v>
      </c>
      <c r="E1819" s="1" t="n">
        <v>1616</v>
      </c>
      <c r="F1819" s="1" t="s">
        <v>697</v>
      </c>
      <c r="I1819" s="1" t="n">
        <v>645768</v>
      </c>
      <c r="J1819" s="1" t="n">
        <v>101254</v>
      </c>
      <c r="K1819" s="1" t="n">
        <v>7891022080049</v>
      </c>
      <c r="L1819" s="1" t="s">
        <v>3167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5" t="n">
        <v>46189</v>
      </c>
      <c r="C1820" s="1" t="n">
        <v>11</v>
      </c>
      <c r="D1820" s="1" t="s">
        <v>2290</v>
      </c>
      <c r="E1820" s="1" t="n">
        <v>1616</v>
      </c>
      <c r="F1820" s="1" t="s">
        <v>697</v>
      </c>
      <c r="I1820" s="1" t="n">
        <v>645768</v>
      </c>
      <c r="J1820" s="1" t="n">
        <v>11583</v>
      </c>
      <c r="K1820" s="1" t="n">
        <v>7891022854244</v>
      </c>
      <c r="L1820" s="1" t="s">
        <v>3168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5" t="n">
        <v>46189</v>
      </c>
      <c r="C1821" s="1" t="n">
        <v>11</v>
      </c>
      <c r="D1821" s="1" t="s">
        <v>2290</v>
      </c>
      <c r="E1821" s="1" t="n">
        <v>1616</v>
      </c>
      <c r="F1821" s="1" t="s">
        <v>697</v>
      </c>
      <c r="I1821" s="1" t="n">
        <v>645768</v>
      </c>
      <c r="J1821" s="1" t="n">
        <v>11584</v>
      </c>
      <c r="K1821" s="1" t="n">
        <v>7891022854336</v>
      </c>
      <c r="L1821" s="1" t="s">
        <v>3169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5" t="n">
        <v>46189</v>
      </c>
      <c r="C1822" s="1" t="n">
        <v>11</v>
      </c>
      <c r="D1822" s="1" t="s">
        <v>2290</v>
      </c>
      <c r="E1822" s="1" t="n">
        <v>1616</v>
      </c>
      <c r="F1822" s="1" t="s">
        <v>697</v>
      </c>
      <c r="I1822" s="1" t="n">
        <v>645768</v>
      </c>
      <c r="J1822" s="1" t="n">
        <v>11739</v>
      </c>
      <c r="K1822" s="1" t="n">
        <v>7891022854794</v>
      </c>
      <c r="L1822" s="1" t="s">
        <v>3170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5" t="n">
        <v>46189</v>
      </c>
      <c r="C1823" s="1" t="n">
        <v>11</v>
      </c>
      <c r="D1823" s="1" t="s">
        <v>2290</v>
      </c>
      <c r="E1823" s="1" t="n">
        <v>1616</v>
      </c>
      <c r="F1823" s="1" t="s">
        <v>697</v>
      </c>
      <c r="I1823" s="1" t="n">
        <v>645768</v>
      </c>
      <c r="J1823" s="1" t="n">
        <v>16641</v>
      </c>
      <c r="K1823" s="1" t="n">
        <v>7891022855876</v>
      </c>
      <c r="L1823" s="1" t="s">
        <v>3171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5" t="n">
        <v>46189</v>
      </c>
      <c r="C1824" s="1" t="n">
        <v>11</v>
      </c>
      <c r="D1824" s="1" t="s">
        <v>2290</v>
      </c>
      <c r="E1824" s="1" t="n">
        <v>1616</v>
      </c>
      <c r="F1824" s="1" t="s">
        <v>697</v>
      </c>
      <c r="I1824" s="1" t="n">
        <v>645768</v>
      </c>
      <c r="J1824" s="1" t="n">
        <v>20432</v>
      </c>
      <c r="K1824" s="1" t="n">
        <v>7891022859515</v>
      </c>
      <c r="L1824" s="1" t="s">
        <v>3172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5" t="n">
        <v>46189</v>
      </c>
      <c r="C1825" s="1" t="n">
        <v>11</v>
      </c>
      <c r="D1825" s="1" t="s">
        <v>2290</v>
      </c>
      <c r="E1825" s="1" t="n">
        <v>1616</v>
      </c>
      <c r="F1825" s="1" t="s">
        <v>697</v>
      </c>
      <c r="I1825" s="1" t="n">
        <v>645768</v>
      </c>
      <c r="J1825" s="1" t="n">
        <v>21704</v>
      </c>
      <c r="K1825" s="1" t="n">
        <v>7891022854787</v>
      </c>
      <c r="L1825" s="1" t="s">
        <v>3173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5" t="n">
        <v>46189</v>
      </c>
      <c r="C1826" s="1" t="n">
        <v>11</v>
      </c>
      <c r="D1826" s="1" t="s">
        <v>2290</v>
      </c>
      <c r="E1826" s="1" t="n">
        <v>1616</v>
      </c>
      <c r="F1826" s="1" t="s">
        <v>697</v>
      </c>
      <c r="I1826" s="1" t="n">
        <v>645768</v>
      </c>
      <c r="J1826" s="1" t="n">
        <v>36010</v>
      </c>
      <c r="K1826" s="1" t="n">
        <v>7891022100976</v>
      </c>
      <c r="L1826" s="1" t="s">
        <v>3174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5" t="n">
        <v>46189</v>
      </c>
      <c r="C1827" s="1" t="n">
        <v>11</v>
      </c>
      <c r="D1827" s="1" t="s">
        <v>2290</v>
      </c>
      <c r="E1827" s="1" t="n">
        <v>1616</v>
      </c>
      <c r="F1827" s="1" t="s">
        <v>697</v>
      </c>
      <c r="I1827" s="1" t="n">
        <v>645768</v>
      </c>
      <c r="J1827" s="1" t="n">
        <v>37769</v>
      </c>
      <c r="K1827" s="1" t="n">
        <v>7891022860672</v>
      </c>
      <c r="L1827" s="1" t="s">
        <v>3175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5" t="n">
        <v>46189</v>
      </c>
      <c r="C1828" s="1" t="n">
        <v>11</v>
      </c>
      <c r="D1828" s="1" t="s">
        <v>2290</v>
      </c>
      <c r="E1828" s="1" t="n">
        <v>1616</v>
      </c>
      <c r="F1828" s="1" t="s">
        <v>697</v>
      </c>
      <c r="I1828" s="1" t="n">
        <v>645768</v>
      </c>
      <c r="J1828" s="1" t="n">
        <v>50280</v>
      </c>
      <c r="K1828" s="1" t="n">
        <v>7891022860856</v>
      </c>
      <c r="L1828" s="1" t="s">
        <v>3176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5" t="n">
        <v>46189</v>
      </c>
      <c r="C1829" s="1" t="n">
        <v>11</v>
      </c>
      <c r="D1829" s="1" t="s">
        <v>2290</v>
      </c>
      <c r="E1829" s="1" t="n">
        <v>1616</v>
      </c>
      <c r="F1829" s="1" t="s">
        <v>697</v>
      </c>
      <c r="I1829" s="1" t="n">
        <v>645768</v>
      </c>
      <c r="J1829" s="1" t="n">
        <v>51854</v>
      </c>
      <c r="K1829" s="1" t="n">
        <v>7891022100938</v>
      </c>
      <c r="L1829" s="1" t="s">
        <v>3177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5" t="n">
        <v>46189</v>
      </c>
      <c r="C1830" s="1" t="n">
        <v>11</v>
      </c>
      <c r="D1830" s="1" t="s">
        <v>2290</v>
      </c>
      <c r="E1830" s="1" t="n">
        <v>1616</v>
      </c>
      <c r="F1830" s="1" t="s">
        <v>697</v>
      </c>
      <c r="I1830" s="1" t="n">
        <v>645768</v>
      </c>
      <c r="J1830" s="1" t="n">
        <v>52210</v>
      </c>
      <c r="K1830" s="1" t="n">
        <v>7891022859812</v>
      </c>
      <c r="L1830" s="1" t="s">
        <v>3177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5" t="n">
        <v>46189</v>
      </c>
      <c r="C1831" s="1" t="n">
        <v>11</v>
      </c>
      <c r="D1831" s="1" t="s">
        <v>2290</v>
      </c>
      <c r="E1831" s="1" t="n">
        <v>1616</v>
      </c>
      <c r="F1831" s="1" t="s">
        <v>697</v>
      </c>
      <c r="I1831" s="1" t="n">
        <v>645768</v>
      </c>
      <c r="J1831" s="1" t="n">
        <v>52407</v>
      </c>
      <c r="K1831" s="1" t="n">
        <v>7891022860870</v>
      </c>
      <c r="L1831" s="1" t="s">
        <v>3178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5" t="n">
        <v>46189</v>
      </c>
      <c r="C1832" s="1" t="n">
        <v>11</v>
      </c>
      <c r="D1832" s="1" t="s">
        <v>2290</v>
      </c>
      <c r="E1832" s="1" t="n">
        <v>1616</v>
      </c>
      <c r="F1832" s="1" t="s">
        <v>697</v>
      </c>
      <c r="I1832" s="1" t="n">
        <v>645768</v>
      </c>
      <c r="J1832" s="1" t="n">
        <v>52408</v>
      </c>
      <c r="K1832" s="1" t="n">
        <v>7891022860887</v>
      </c>
      <c r="L1832" s="1" t="s">
        <v>3179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5" t="n">
        <v>46189</v>
      </c>
      <c r="C1833" s="1" t="n">
        <v>11</v>
      </c>
      <c r="D1833" s="1" t="s">
        <v>2290</v>
      </c>
      <c r="E1833" s="1" t="n">
        <v>1616</v>
      </c>
      <c r="F1833" s="1" t="s">
        <v>697</v>
      </c>
      <c r="I1833" s="1" t="n">
        <v>645768</v>
      </c>
      <c r="J1833" s="1" t="n">
        <v>54076</v>
      </c>
      <c r="K1833" s="1" t="n">
        <v>7891022851021</v>
      </c>
      <c r="L1833" s="1" t="s">
        <v>3180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5" t="n">
        <v>46189</v>
      </c>
      <c r="C1834" s="1" t="n">
        <v>11</v>
      </c>
      <c r="D1834" s="1" t="s">
        <v>2290</v>
      </c>
      <c r="E1834" s="1" t="n">
        <v>1616</v>
      </c>
      <c r="F1834" s="1" t="s">
        <v>697</v>
      </c>
      <c r="I1834" s="1" t="n">
        <v>645768</v>
      </c>
      <c r="J1834" s="1" t="n">
        <v>57042</v>
      </c>
      <c r="K1834" s="1" t="n">
        <v>7891022860450</v>
      </c>
      <c r="L1834" s="1" t="s">
        <v>3181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5" t="n">
        <v>46189</v>
      </c>
      <c r="C1835" s="1" t="n">
        <v>11</v>
      </c>
      <c r="D1835" s="1" t="s">
        <v>2290</v>
      </c>
      <c r="E1835" s="1" t="n">
        <v>1616</v>
      </c>
      <c r="F1835" s="1" t="s">
        <v>697</v>
      </c>
      <c r="I1835" s="1" t="n">
        <v>645768</v>
      </c>
      <c r="J1835" s="1" t="n">
        <v>57047</v>
      </c>
      <c r="K1835" s="1" t="n">
        <v>7891022860436</v>
      </c>
      <c r="L1835" s="1" t="s">
        <v>3181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5" t="n">
        <v>46189</v>
      </c>
      <c r="C1836" s="1" t="n">
        <v>11</v>
      </c>
      <c r="D1836" s="1" t="s">
        <v>2290</v>
      </c>
      <c r="E1836" s="1" t="n">
        <v>1616</v>
      </c>
      <c r="F1836" s="1" t="s">
        <v>697</v>
      </c>
      <c r="I1836" s="1" t="n">
        <v>645768</v>
      </c>
      <c r="J1836" s="1" t="n">
        <v>59764</v>
      </c>
      <c r="K1836" s="1" t="n">
        <v>7891022860498</v>
      </c>
      <c r="L1836" s="1" t="s">
        <v>3181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5" t="n">
        <v>46189</v>
      </c>
      <c r="C1837" s="1" t="n">
        <v>11</v>
      </c>
      <c r="D1837" s="1" t="s">
        <v>2290</v>
      </c>
      <c r="E1837" s="1" t="n">
        <v>1616</v>
      </c>
      <c r="F1837" s="1" t="s">
        <v>697</v>
      </c>
      <c r="I1837" s="1" t="n">
        <v>645768</v>
      </c>
      <c r="J1837" s="1" t="n">
        <v>59768</v>
      </c>
      <c r="K1837" s="1" t="n">
        <v>7891022867442</v>
      </c>
      <c r="L1837" s="1" t="s">
        <v>3181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5" t="n">
        <v>46189</v>
      </c>
      <c r="C1838" s="1" t="n">
        <v>11</v>
      </c>
      <c r="D1838" s="1" t="s">
        <v>2290</v>
      </c>
      <c r="E1838" s="1" t="n">
        <v>1616</v>
      </c>
      <c r="F1838" s="1" t="s">
        <v>697</v>
      </c>
      <c r="I1838" s="1" t="n">
        <v>645768</v>
      </c>
      <c r="J1838" s="1" t="n">
        <v>67544</v>
      </c>
      <c r="K1838" s="1" t="n">
        <v>7891022860283</v>
      </c>
      <c r="L1838" s="1" t="s">
        <v>3182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5" t="n">
        <v>46189</v>
      </c>
      <c r="C1839" s="1" t="n">
        <v>11</v>
      </c>
      <c r="D1839" s="1" t="s">
        <v>2290</v>
      </c>
      <c r="E1839" s="1" t="n">
        <v>1616</v>
      </c>
      <c r="F1839" s="1" t="s">
        <v>697</v>
      </c>
      <c r="I1839" s="1" t="n">
        <v>645768</v>
      </c>
      <c r="J1839" s="1" t="n">
        <v>78487</v>
      </c>
      <c r="K1839" s="1" t="n">
        <v>7891022867794</v>
      </c>
      <c r="L1839" s="1" t="s">
        <v>3183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5" t="n">
        <v>46189</v>
      </c>
      <c r="C1840" s="1" t="n">
        <v>11</v>
      </c>
      <c r="D1840" s="1" t="s">
        <v>2290</v>
      </c>
      <c r="E1840" s="1" t="n">
        <v>1616</v>
      </c>
      <c r="F1840" s="1" t="s">
        <v>697</v>
      </c>
      <c r="I1840" s="1" t="n">
        <v>645768</v>
      </c>
      <c r="J1840" s="1" t="n">
        <v>81378</v>
      </c>
      <c r="K1840" s="1" t="n">
        <v>7891022867374</v>
      </c>
      <c r="L1840" s="1" t="s">
        <v>3184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5" t="n">
        <v>46189</v>
      </c>
      <c r="C1841" s="1" t="n">
        <v>11</v>
      </c>
      <c r="D1841" s="1" t="s">
        <v>2290</v>
      </c>
      <c r="E1841" s="1" t="n">
        <v>1616</v>
      </c>
      <c r="F1841" s="1" t="s">
        <v>697</v>
      </c>
      <c r="I1841" s="1" t="n">
        <v>645768</v>
      </c>
      <c r="J1841" s="1" t="n">
        <v>81379</v>
      </c>
      <c r="K1841" s="1" t="n">
        <v>7891022860306</v>
      </c>
      <c r="L1841" s="1" t="s">
        <v>3185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5" t="n">
        <v>46189</v>
      </c>
      <c r="C1842" s="1" t="n">
        <v>11</v>
      </c>
      <c r="D1842" s="1" t="s">
        <v>2290</v>
      </c>
      <c r="E1842" s="1" t="n">
        <v>1616</v>
      </c>
      <c r="F1842" s="1" t="s">
        <v>697</v>
      </c>
      <c r="I1842" s="1" t="n">
        <v>645768</v>
      </c>
      <c r="J1842" s="1" t="n">
        <v>81380</v>
      </c>
      <c r="K1842" s="1" t="n">
        <v>7891022867961</v>
      </c>
      <c r="L1842" s="1" t="s">
        <v>3186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5" t="n">
        <v>46189</v>
      </c>
      <c r="C1843" s="1" t="n">
        <v>11</v>
      </c>
      <c r="D1843" s="1" t="s">
        <v>2290</v>
      </c>
      <c r="E1843" s="1" t="n">
        <v>1705</v>
      </c>
      <c r="F1843" s="1" t="s">
        <v>122</v>
      </c>
      <c r="I1843" s="1" t="n">
        <v>1162002</v>
      </c>
      <c r="J1843" s="1" t="n">
        <v>102360</v>
      </c>
      <c r="K1843" s="1" t="n">
        <v>7894900593709</v>
      </c>
      <c r="L1843" s="1" t="s">
        <v>3187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5" t="n">
        <v>46189</v>
      </c>
      <c r="C1844" s="1" t="n">
        <v>11</v>
      </c>
      <c r="D1844" s="1" t="s">
        <v>2290</v>
      </c>
      <c r="E1844" s="1" t="n">
        <v>1705</v>
      </c>
      <c r="F1844" s="1" t="s">
        <v>122</v>
      </c>
      <c r="I1844" s="1" t="n">
        <v>1162002</v>
      </c>
      <c r="J1844" s="1" t="n">
        <v>102362</v>
      </c>
      <c r="K1844" s="1" t="n">
        <v>7894900583700</v>
      </c>
      <c r="L1844" s="1" t="s">
        <v>3188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5" t="n">
        <v>46189</v>
      </c>
      <c r="C1845" s="1" t="n">
        <v>11</v>
      </c>
      <c r="D1845" s="1" t="s">
        <v>2290</v>
      </c>
      <c r="E1845" s="1" t="n">
        <v>1705</v>
      </c>
      <c r="F1845" s="1" t="s">
        <v>122</v>
      </c>
      <c r="I1845" s="1" t="n">
        <v>1162002</v>
      </c>
      <c r="J1845" s="1" t="n">
        <v>25906</v>
      </c>
      <c r="K1845" s="1" t="n">
        <v>7894900030396</v>
      </c>
      <c r="L1845" s="1" t="s">
        <v>3189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5" t="n">
        <v>46189</v>
      </c>
      <c r="C1846" s="1" t="n">
        <v>11</v>
      </c>
      <c r="D1846" s="1" t="s">
        <v>2290</v>
      </c>
      <c r="E1846" s="1" t="n">
        <v>1705</v>
      </c>
      <c r="F1846" s="1" t="s">
        <v>122</v>
      </c>
      <c r="I1846" s="1" t="n">
        <v>1162002</v>
      </c>
      <c r="J1846" s="1" t="n">
        <v>62378</v>
      </c>
      <c r="K1846" s="1" t="n">
        <v>7896045506934</v>
      </c>
      <c r="L1846" s="1" t="s">
        <v>3190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5" t="n">
        <v>46189</v>
      </c>
      <c r="C1847" s="1" t="n">
        <v>11</v>
      </c>
      <c r="D1847" s="1" t="s">
        <v>2290</v>
      </c>
      <c r="E1847" s="1" t="n">
        <v>1705</v>
      </c>
      <c r="F1847" s="1" t="s">
        <v>122</v>
      </c>
      <c r="I1847" s="1" t="n">
        <v>1162002</v>
      </c>
      <c r="J1847" s="1" t="n">
        <v>77914</v>
      </c>
      <c r="K1847" s="1" t="n">
        <v>7894900530001</v>
      </c>
      <c r="L1847" s="1" t="s">
        <v>2299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5" t="n">
        <v>46189</v>
      </c>
      <c r="C1848" s="1" t="n">
        <v>11</v>
      </c>
      <c r="D1848" s="1" t="s">
        <v>2290</v>
      </c>
      <c r="E1848" s="1" t="n">
        <v>1705</v>
      </c>
      <c r="F1848" s="1" t="s">
        <v>122</v>
      </c>
      <c r="I1848" s="1" t="n">
        <v>1162002</v>
      </c>
      <c r="J1848" s="1" t="n">
        <v>78077</v>
      </c>
      <c r="K1848" s="1" t="n">
        <v>7894900531008</v>
      </c>
      <c r="L1848" s="1" t="s">
        <v>3191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5" t="n">
        <v>46189</v>
      </c>
      <c r="C1849" s="1" t="n">
        <v>11</v>
      </c>
      <c r="D1849" s="1" t="s">
        <v>2290</v>
      </c>
      <c r="E1849" s="1" t="n">
        <v>1672</v>
      </c>
      <c r="F1849" s="1" t="s">
        <v>67</v>
      </c>
      <c r="I1849" s="1" t="n">
        <v>1371725</v>
      </c>
      <c r="J1849" s="1" t="n">
        <v>37507</v>
      </c>
      <c r="K1849" s="1" t="n">
        <v>7896579310854</v>
      </c>
      <c r="L1849" s="1" t="s">
        <v>2435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5" t="n">
        <v>46189</v>
      </c>
      <c r="C1850" s="1" t="n">
        <v>11</v>
      </c>
      <c r="D1850" s="1" t="s">
        <v>2290</v>
      </c>
      <c r="E1850" s="1" t="n">
        <v>1705</v>
      </c>
      <c r="F1850" s="1" t="s">
        <v>122</v>
      </c>
      <c r="I1850" s="1" t="n">
        <v>1881132</v>
      </c>
      <c r="J1850" s="1" t="n">
        <v>103161</v>
      </c>
      <c r="K1850" s="1" t="n">
        <v>7894900010015</v>
      </c>
      <c r="L1850" s="1" t="s">
        <v>3192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5" t="n">
        <v>46189</v>
      </c>
      <c r="C1851" s="1" t="n">
        <v>11</v>
      </c>
      <c r="D1851" s="1" t="s">
        <v>2290</v>
      </c>
      <c r="E1851" s="1" t="n">
        <v>1705</v>
      </c>
      <c r="F1851" s="1" t="s">
        <v>122</v>
      </c>
      <c r="I1851" s="1" t="n">
        <v>1881132</v>
      </c>
      <c r="J1851" s="1" t="n">
        <v>107100</v>
      </c>
      <c r="K1851" s="1" t="n">
        <v>7894900700015</v>
      </c>
      <c r="L1851" s="1" t="s">
        <v>2878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5" t="n">
        <v>46189</v>
      </c>
      <c r="C1852" s="1" t="n">
        <v>11</v>
      </c>
      <c r="D1852" s="1" t="s">
        <v>2290</v>
      </c>
      <c r="E1852" s="1" t="n">
        <v>1705</v>
      </c>
      <c r="F1852" s="1" t="s">
        <v>122</v>
      </c>
      <c r="I1852" s="1" t="n">
        <v>1881132</v>
      </c>
      <c r="J1852" s="1" t="n">
        <v>21425</v>
      </c>
      <c r="K1852" s="1" t="n">
        <v>7894900034219</v>
      </c>
      <c r="L1852" s="1" t="s">
        <v>2880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5" t="n">
        <v>46189</v>
      </c>
      <c r="C1853" s="1" t="n">
        <v>11</v>
      </c>
      <c r="D1853" s="1" t="s">
        <v>2290</v>
      </c>
      <c r="E1853" s="1" t="n">
        <v>1705</v>
      </c>
      <c r="F1853" s="1" t="s">
        <v>122</v>
      </c>
      <c r="I1853" s="1" t="n">
        <v>1881132</v>
      </c>
      <c r="J1853" s="1" t="n">
        <v>21426</v>
      </c>
      <c r="K1853" s="1" t="n">
        <v>7894900014211</v>
      </c>
      <c r="L1853" s="1" t="s">
        <v>2309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5" t="n">
        <v>46189</v>
      </c>
      <c r="C1854" s="1" t="n">
        <v>11</v>
      </c>
      <c r="D1854" s="1" t="s">
        <v>2290</v>
      </c>
      <c r="E1854" s="1" t="n">
        <v>1705</v>
      </c>
      <c r="F1854" s="1" t="s">
        <v>122</v>
      </c>
      <c r="I1854" s="1" t="n">
        <v>1881132</v>
      </c>
      <c r="J1854" s="1" t="n">
        <v>31367</v>
      </c>
      <c r="K1854" s="1" t="n">
        <v>7894900704211</v>
      </c>
      <c r="L1854" s="1" t="s">
        <v>2310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5" t="n">
        <v>46189</v>
      </c>
      <c r="C1855" s="1" t="n">
        <v>22</v>
      </c>
      <c r="D1855" s="1" t="s">
        <v>2436</v>
      </c>
      <c r="E1855" s="1" t="n">
        <v>42</v>
      </c>
      <c r="F1855" s="1" t="s">
        <v>80</v>
      </c>
      <c r="I1855" s="1" t="n">
        <v>4277</v>
      </c>
      <c r="J1855" s="1" t="n">
        <v>100000</v>
      </c>
      <c r="K1855" s="1" t="n">
        <v>1</v>
      </c>
      <c r="L1855" s="1" t="s">
        <v>2451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5" t="n">
        <v>46189</v>
      </c>
      <c r="C1856" s="1" t="n">
        <v>22</v>
      </c>
      <c r="D1856" s="1" t="s">
        <v>2436</v>
      </c>
      <c r="E1856" s="1" t="n">
        <v>42</v>
      </c>
      <c r="F1856" s="1" t="s">
        <v>80</v>
      </c>
      <c r="I1856" s="1" t="n">
        <v>4277</v>
      </c>
      <c r="J1856" s="1" t="n">
        <v>100006</v>
      </c>
      <c r="K1856" s="1" t="n">
        <v>7</v>
      </c>
      <c r="L1856" s="1" t="s">
        <v>2437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5" t="n">
        <v>46189</v>
      </c>
      <c r="C1857" s="1" t="n">
        <v>22</v>
      </c>
      <c r="D1857" s="1" t="s">
        <v>2436</v>
      </c>
      <c r="E1857" s="1" t="n">
        <v>42</v>
      </c>
      <c r="F1857" s="1" t="s">
        <v>80</v>
      </c>
      <c r="I1857" s="1" t="n">
        <v>4277</v>
      </c>
      <c r="J1857" s="1" t="n">
        <v>100008</v>
      </c>
      <c r="K1857" s="1" t="n">
        <v>9</v>
      </c>
      <c r="L1857" s="1" t="s">
        <v>2438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5" t="n">
        <v>46189</v>
      </c>
      <c r="C1858" s="1" t="n">
        <v>22</v>
      </c>
      <c r="D1858" s="1" t="s">
        <v>2436</v>
      </c>
      <c r="E1858" s="1" t="n">
        <v>42</v>
      </c>
      <c r="F1858" s="1" t="s">
        <v>80</v>
      </c>
      <c r="I1858" s="1" t="n">
        <v>4277</v>
      </c>
      <c r="J1858" s="1" t="n">
        <v>100010</v>
      </c>
      <c r="K1858" s="1" t="n">
        <v>11</v>
      </c>
      <c r="L1858" s="1" t="s">
        <v>2439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5" t="n">
        <v>46189</v>
      </c>
      <c r="C1859" s="1" t="n">
        <v>22</v>
      </c>
      <c r="D1859" s="1" t="s">
        <v>2436</v>
      </c>
      <c r="E1859" s="1" t="n">
        <v>42</v>
      </c>
      <c r="F1859" s="1" t="s">
        <v>80</v>
      </c>
      <c r="I1859" s="1" t="n">
        <v>4277</v>
      </c>
      <c r="J1859" s="1" t="n">
        <v>100011</v>
      </c>
      <c r="K1859" s="1" t="n">
        <v>12</v>
      </c>
      <c r="L1859" s="1" t="s">
        <v>2440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5" t="n">
        <v>46189</v>
      </c>
      <c r="C1860" s="1" t="n">
        <v>22</v>
      </c>
      <c r="D1860" s="1" t="s">
        <v>2436</v>
      </c>
      <c r="E1860" s="1" t="n">
        <v>42</v>
      </c>
      <c r="F1860" s="1" t="s">
        <v>80</v>
      </c>
      <c r="I1860" s="1" t="n">
        <v>4277</v>
      </c>
      <c r="J1860" s="1" t="n">
        <v>100012</v>
      </c>
      <c r="K1860" s="1" t="n">
        <v>13</v>
      </c>
      <c r="L1860" s="1" t="s">
        <v>2441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5" t="n">
        <v>46189</v>
      </c>
      <c r="C1861" s="1" t="n">
        <v>22</v>
      </c>
      <c r="D1861" s="1" t="s">
        <v>2436</v>
      </c>
      <c r="E1861" s="1" t="n">
        <v>42</v>
      </c>
      <c r="F1861" s="1" t="s">
        <v>80</v>
      </c>
      <c r="I1861" s="1" t="n">
        <v>4277</v>
      </c>
      <c r="J1861" s="1" t="n">
        <v>100013</v>
      </c>
      <c r="K1861" s="1" t="n">
        <v>14</v>
      </c>
      <c r="L1861" s="1" t="s">
        <v>2442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5" t="n">
        <v>46189</v>
      </c>
      <c r="C1862" s="1" t="n">
        <v>22</v>
      </c>
      <c r="D1862" s="1" t="s">
        <v>2436</v>
      </c>
      <c r="E1862" s="1" t="n">
        <v>42</v>
      </c>
      <c r="F1862" s="1" t="s">
        <v>80</v>
      </c>
      <c r="I1862" s="1" t="n">
        <v>4277</v>
      </c>
      <c r="J1862" s="1" t="n">
        <v>100014</v>
      </c>
      <c r="K1862" s="1" t="n">
        <v>15</v>
      </c>
      <c r="L1862" s="1" t="s">
        <v>2443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5" t="n">
        <v>46189</v>
      </c>
      <c r="C1863" s="1" t="n">
        <v>22</v>
      </c>
      <c r="D1863" s="1" t="s">
        <v>2436</v>
      </c>
      <c r="E1863" s="1" t="n">
        <v>42</v>
      </c>
      <c r="F1863" s="1" t="s">
        <v>80</v>
      </c>
      <c r="I1863" s="1" t="n">
        <v>4277</v>
      </c>
      <c r="J1863" s="1" t="n">
        <v>100015</v>
      </c>
      <c r="K1863" s="1" t="n">
        <v>16</v>
      </c>
      <c r="L1863" s="1" t="s">
        <v>2444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5" t="n">
        <v>46189</v>
      </c>
      <c r="C1864" s="1" t="n">
        <v>22</v>
      </c>
      <c r="D1864" s="1" t="s">
        <v>2436</v>
      </c>
      <c r="E1864" s="1" t="n">
        <v>42</v>
      </c>
      <c r="F1864" s="1" t="s">
        <v>80</v>
      </c>
      <c r="I1864" s="1" t="n">
        <v>4277</v>
      </c>
      <c r="J1864" s="1" t="n">
        <v>100016</v>
      </c>
      <c r="K1864" s="1" t="n">
        <v>17</v>
      </c>
      <c r="L1864" s="1" t="s">
        <v>2445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5" t="n">
        <v>46189</v>
      </c>
      <c r="C1865" s="1" t="n">
        <v>22</v>
      </c>
      <c r="D1865" s="1" t="s">
        <v>2436</v>
      </c>
      <c r="E1865" s="1" t="n">
        <v>42</v>
      </c>
      <c r="F1865" s="1" t="s">
        <v>80</v>
      </c>
      <c r="I1865" s="1" t="n">
        <v>4277</v>
      </c>
      <c r="J1865" s="1" t="n">
        <v>100017</v>
      </c>
      <c r="K1865" s="1" t="n">
        <v>18</v>
      </c>
      <c r="L1865" s="1" t="s">
        <v>2446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5" t="n">
        <v>46189</v>
      </c>
      <c r="C1866" s="1" t="n">
        <v>22</v>
      </c>
      <c r="D1866" s="1" t="s">
        <v>2436</v>
      </c>
      <c r="E1866" s="1" t="n">
        <v>42</v>
      </c>
      <c r="F1866" s="1" t="s">
        <v>80</v>
      </c>
      <c r="I1866" s="1" t="n">
        <v>4277</v>
      </c>
      <c r="J1866" s="1" t="n">
        <v>100020</v>
      </c>
      <c r="K1866" s="1" t="n">
        <v>21</v>
      </c>
      <c r="L1866" s="1" t="s">
        <v>2456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5" t="n">
        <v>46189</v>
      </c>
      <c r="C1867" s="1" t="n">
        <v>22</v>
      </c>
      <c r="D1867" s="1" t="s">
        <v>2436</v>
      </c>
      <c r="E1867" s="1" t="n">
        <v>42</v>
      </c>
      <c r="F1867" s="1" t="s">
        <v>80</v>
      </c>
      <c r="I1867" s="1" t="n">
        <v>4277</v>
      </c>
      <c r="J1867" s="1" t="n">
        <v>100053</v>
      </c>
      <c r="K1867" s="1" t="n">
        <v>54</v>
      </c>
      <c r="L1867" s="1" t="s">
        <v>2447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5" t="n">
        <v>46189</v>
      </c>
      <c r="C1868" s="1" t="n">
        <v>22</v>
      </c>
      <c r="D1868" s="1" t="s">
        <v>2436</v>
      </c>
      <c r="E1868" s="1" t="n">
        <v>42</v>
      </c>
      <c r="F1868" s="1" t="s">
        <v>80</v>
      </c>
      <c r="I1868" s="1" t="n">
        <v>4277</v>
      </c>
      <c r="J1868" s="1" t="n">
        <v>100638</v>
      </c>
      <c r="K1868" s="1" t="n">
        <v>508</v>
      </c>
      <c r="L1868" s="1" t="s">
        <v>2448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5" t="n">
        <v>46189</v>
      </c>
      <c r="C1869" s="1" t="n">
        <v>22</v>
      </c>
      <c r="D1869" s="1" t="s">
        <v>2436</v>
      </c>
      <c r="E1869" s="1" t="n">
        <v>42</v>
      </c>
      <c r="F1869" s="1" t="s">
        <v>80</v>
      </c>
      <c r="I1869" s="1" t="n">
        <v>4277</v>
      </c>
      <c r="J1869" s="1" t="n">
        <v>100520</v>
      </c>
      <c r="K1869" s="1" t="n">
        <v>507</v>
      </c>
      <c r="L1869" s="1" t="s">
        <v>2449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5" t="n">
        <v>46189</v>
      </c>
      <c r="C1870" s="1" t="n">
        <v>22</v>
      </c>
      <c r="D1870" s="1" t="s">
        <v>2436</v>
      </c>
      <c r="E1870" s="1" t="n">
        <v>42</v>
      </c>
      <c r="F1870" s="1" t="s">
        <v>80</v>
      </c>
      <c r="I1870" s="1" t="n">
        <v>4277</v>
      </c>
      <c r="J1870" s="1" t="n">
        <v>110455</v>
      </c>
      <c r="K1870" s="1" t="n">
        <v>53212</v>
      </c>
      <c r="L1870" s="1" t="s">
        <v>2450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5" t="n">
        <v>46189</v>
      </c>
      <c r="C1871" s="1" t="n">
        <v>100</v>
      </c>
      <c r="D1871" s="1" t="s">
        <v>2457</v>
      </c>
      <c r="E1871" s="1" t="n">
        <v>42</v>
      </c>
      <c r="F1871" s="1" t="s">
        <v>80</v>
      </c>
      <c r="I1871" s="1" t="n">
        <v>1260120</v>
      </c>
      <c r="J1871" s="1" t="n">
        <v>100000</v>
      </c>
      <c r="K1871" s="1" t="n">
        <v>1</v>
      </c>
      <c r="L1871" s="1" t="s">
        <v>2451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5" t="n">
        <v>46189</v>
      </c>
      <c r="C1872" s="1" t="n">
        <v>100</v>
      </c>
      <c r="D1872" s="1" t="s">
        <v>2457</v>
      </c>
      <c r="E1872" s="1" t="n">
        <v>42</v>
      </c>
      <c r="F1872" s="1" t="s">
        <v>80</v>
      </c>
      <c r="I1872" s="1" t="n">
        <v>1260120</v>
      </c>
      <c r="J1872" s="1" t="n">
        <v>100006</v>
      </c>
      <c r="K1872" s="1" t="n">
        <v>7</v>
      </c>
      <c r="L1872" s="1" t="s">
        <v>2437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5" t="n">
        <v>46189</v>
      </c>
      <c r="C1873" s="1" t="n">
        <v>100</v>
      </c>
      <c r="D1873" s="1" t="s">
        <v>2457</v>
      </c>
      <c r="E1873" s="1" t="n">
        <v>42</v>
      </c>
      <c r="F1873" s="1" t="s">
        <v>80</v>
      </c>
      <c r="I1873" s="1" t="n">
        <v>1260120</v>
      </c>
      <c r="J1873" s="1" t="n">
        <v>100008</v>
      </c>
      <c r="K1873" s="1" t="n">
        <v>9</v>
      </c>
      <c r="L1873" s="1" t="s">
        <v>2438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5" t="n">
        <v>46189</v>
      </c>
      <c r="C1874" s="1" t="n">
        <v>100</v>
      </c>
      <c r="D1874" s="1" t="s">
        <v>2457</v>
      </c>
      <c r="E1874" s="1" t="n">
        <v>42</v>
      </c>
      <c r="F1874" s="1" t="s">
        <v>80</v>
      </c>
      <c r="I1874" s="1" t="n">
        <v>1260120</v>
      </c>
      <c r="J1874" s="1" t="n">
        <v>100010</v>
      </c>
      <c r="K1874" s="1" t="n">
        <v>11</v>
      </c>
      <c r="L1874" s="1" t="s">
        <v>2439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5" t="n">
        <v>46189</v>
      </c>
      <c r="C1875" s="1" t="n">
        <v>100</v>
      </c>
      <c r="D1875" s="1" t="s">
        <v>2457</v>
      </c>
      <c r="E1875" s="1" t="n">
        <v>42</v>
      </c>
      <c r="F1875" s="1" t="s">
        <v>80</v>
      </c>
      <c r="I1875" s="1" t="n">
        <v>1260120</v>
      </c>
      <c r="J1875" s="1" t="n">
        <v>100011</v>
      </c>
      <c r="K1875" s="1" t="n">
        <v>12</v>
      </c>
      <c r="L1875" s="1" t="s">
        <v>2440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5" t="n">
        <v>46189</v>
      </c>
      <c r="C1876" s="1" t="n">
        <v>100</v>
      </c>
      <c r="D1876" s="1" t="s">
        <v>2457</v>
      </c>
      <c r="E1876" s="1" t="n">
        <v>42</v>
      </c>
      <c r="F1876" s="1" t="s">
        <v>80</v>
      </c>
      <c r="I1876" s="1" t="n">
        <v>1260120</v>
      </c>
      <c r="J1876" s="1" t="n">
        <v>100012</v>
      </c>
      <c r="K1876" s="1" t="n">
        <v>13</v>
      </c>
      <c r="L1876" s="1" t="s">
        <v>2441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5" t="n">
        <v>46189</v>
      </c>
      <c r="C1877" s="1" t="n">
        <v>100</v>
      </c>
      <c r="D1877" s="1" t="s">
        <v>2457</v>
      </c>
      <c r="E1877" s="1" t="n">
        <v>42</v>
      </c>
      <c r="F1877" s="1" t="s">
        <v>80</v>
      </c>
      <c r="I1877" s="1" t="n">
        <v>1260120</v>
      </c>
      <c r="J1877" s="1" t="n">
        <v>100013</v>
      </c>
      <c r="K1877" s="1" t="n">
        <v>14</v>
      </c>
      <c r="L1877" s="1" t="s">
        <v>2442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5" t="n">
        <v>46189</v>
      </c>
      <c r="C1878" s="1" t="n">
        <v>100</v>
      </c>
      <c r="D1878" s="1" t="s">
        <v>2457</v>
      </c>
      <c r="E1878" s="1" t="n">
        <v>42</v>
      </c>
      <c r="F1878" s="1" t="s">
        <v>80</v>
      </c>
      <c r="I1878" s="1" t="n">
        <v>1260120</v>
      </c>
      <c r="J1878" s="1" t="n">
        <v>100014</v>
      </c>
      <c r="K1878" s="1" t="n">
        <v>15</v>
      </c>
      <c r="L1878" s="1" t="s">
        <v>2443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5" t="n">
        <v>46189</v>
      </c>
      <c r="C1879" s="1" t="n">
        <v>100</v>
      </c>
      <c r="D1879" s="1" t="s">
        <v>2457</v>
      </c>
      <c r="E1879" s="1" t="n">
        <v>42</v>
      </c>
      <c r="F1879" s="1" t="s">
        <v>80</v>
      </c>
      <c r="I1879" s="1" t="n">
        <v>1260120</v>
      </c>
      <c r="J1879" s="1" t="n">
        <v>100015</v>
      </c>
      <c r="K1879" s="1" t="n">
        <v>16</v>
      </c>
      <c r="L1879" s="1" t="s">
        <v>2444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5" t="n">
        <v>46189</v>
      </c>
      <c r="C1880" s="1" t="n">
        <v>100</v>
      </c>
      <c r="D1880" s="1" t="s">
        <v>2457</v>
      </c>
      <c r="E1880" s="1" t="n">
        <v>42</v>
      </c>
      <c r="F1880" s="1" t="s">
        <v>80</v>
      </c>
      <c r="I1880" s="1" t="n">
        <v>1260120</v>
      </c>
      <c r="J1880" s="1" t="n">
        <v>100016</v>
      </c>
      <c r="K1880" s="1" t="n">
        <v>17</v>
      </c>
      <c r="L1880" s="1" t="s">
        <v>2445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5" t="n">
        <v>46189</v>
      </c>
      <c r="C1881" s="1" t="n">
        <v>100</v>
      </c>
      <c r="D1881" s="1" t="s">
        <v>2457</v>
      </c>
      <c r="E1881" s="1" t="n">
        <v>42</v>
      </c>
      <c r="F1881" s="1" t="s">
        <v>80</v>
      </c>
      <c r="I1881" s="1" t="n">
        <v>1260120</v>
      </c>
      <c r="J1881" s="1" t="n">
        <v>100017</v>
      </c>
      <c r="K1881" s="1" t="n">
        <v>18</v>
      </c>
      <c r="L1881" s="1" t="s">
        <v>2446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5" t="n">
        <v>46189</v>
      </c>
      <c r="C1882" s="1" t="n">
        <v>100</v>
      </c>
      <c r="D1882" s="1" t="s">
        <v>2457</v>
      </c>
      <c r="E1882" s="1" t="n">
        <v>42</v>
      </c>
      <c r="F1882" s="1" t="s">
        <v>80</v>
      </c>
      <c r="I1882" s="1" t="n">
        <v>1260120</v>
      </c>
      <c r="J1882" s="1" t="n">
        <v>100020</v>
      </c>
      <c r="K1882" s="1" t="n">
        <v>21</v>
      </c>
      <c r="L1882" s="1" t="s">
        <v>2456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5" t="n">
        <v>46189</v>
      </c>
      <c r="C1883" s="1" t="n">
        <v>100</v>
      </c>
      <c r="D1883" s="1" t="s">
        <v>2457</v>
      </c>
      <c r="E1883" s="1" t="n">
        <v>42</v>
      </c>
      <c r="F1883" s="1" t="s">
        <v>80</v>
      </c>
      <c r="I1883" s="1" t="n">
        <v>1260120</v>
      </c>
      <c r="J1883" s="1" t="n">
        <v>100053</v>
      </c>
      <c r="K1883" s="1" t="n">
        <v>54</v>
      </c>
      <c r="L1883" s="1" t="s">
        <v>2447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5" t="n">
        <v>46189</v>
      </c>
      <c r="C1884" s="1" t="n">
        <v>100</v>
      </c>
      <c r="D1884" s="1" t="s">
        <v>2457</v>
      </c>
      <c r="E1884" s="1" t="n">
        <v>42</v>
      </c>
      <c r="F1884" s="1" t="s">
        <v>80</v>
      </c>
      <c r="I1884" s="1" t="n">
        <v>1260120</v>
      </c>
      <c r="J1884" s="1" t="n">
        <v>100638</v>
      </c>
      <c r="K1884" s="1" t="n">
        <v>508</v>
      </c>
      <c r="L1884" s="1" t="s">
        <v>2448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5" t="n">
        <v>46189</v>
      </c>
      <c r="C1885" s="1" t="n">
        <v>100</v>
      </c>
      <c r="D1885" s="1" t="s">
        <v>2457</v>
      </c>
      <c r="E1885" s="1" t="n">
        <v>42</v>
      </c>
      <c r="F1885" s="1" t="s">
        <v>80</v>
      </c>
      <c r="I1885" s="1" t="n">
        <v>1260120</v>
      </c>
      <c r="J1885" s="1" t="n">
        <v>100520</v>
      </c>
      <c r="K1885" s="1" t="n">
        <v>507</v>
      </c>
      <c r="L1885" s="1" t="s">
        <v>2449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5" t="n">
        <v>46189</v>
      </c>
      <c r="C1886" s="1" t="n">
        <v>100</v>
      </c>
      <c r="D1886" s="1" t="s">
        <v>2457</v>
      </c>
      <c r="E1886" s="1" t="n">
        <v>42</v>
      </c>
      <c r="F1886" s="1" t="s">
        <v>80</v>
      </c>
      <c r="I1886" s="1" t="n">
        <v>1260120</v>
      </c>
      <c r="J1886" s="1" t="n">
        <v>110455</v>
      </c>
      <c r="K1886" s="1" t="n">
        <v>53212</v>
      </c>
      <c r="L1886" s="1" t="s">
        <v>2450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5" t="n">
        <v>46189</v>
      </c>
      <c r="C1887" s="1" t="n">
        <v>171</v>
      </c>
      <c r="D1887" s="1" t="s">
        <v>2517</v>
      </c>
      <c r="E1887" s="1" t="n">
        <v>1740</v>
      </c>
      <c r="F1887" s="1" t="s">
        <v>170</v>
      </c>
      <c r="I1887" s="1" t="n">
        <v>1237463</v>
      </c>
      <c r="J1887" s="1" t="n">
        <v>20583</v>
      </c>
      <c r="K1887" s="1" t="n">
        <v>7891000103852</v>
      </c>
      <c r="L1887" s="1" t="s">
        <v>3193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5" t="n">
        <v>46189</v>
      </c>
      <c r="C1888" s="1" t="n">
        <v>171</v>
      </c>
      <c r="D1888" s="1" t="s">
        <v>2517</v>
      </c>
      <c r="E1888" s="1" t="n">
        <v>1740</v>
      </c>
      <c r="F1888" s="1" t="s">
        <v>170</v>
      </c>
      <c r="I1888" s="1" t="n">
        <v>1237463</v>
      </c>
      <c r="J1888" s="1" t="n">
        <v>25112</v>
      </c>
      <c r="K1888" s="1" t="n">
        <v>7891000244425</v>
      </c>
      <c r="L1888" s="1" t="s">
        <v>2487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5" t="n">
        <v>46189</v>
      </c>
      <c r="C1889" s="1" t="n">
        <v>171</v>
      </c>
      <c r="D1889" s="1" t="s">
        <v>2517</v>
      </c>
      <c r="E1889" s="1" t="n">
        <v>1740</v>
      </c>
      <c r="F1889" s="1" t="s">
        <v>170</v>
      </c>
      <c r="I1889" s="1" t="n">
        <v>1237463</v>
      </c>
      <c r="J1889" s="1" t="n">
        <v>27878</v>
      </c>
      <c r="K1889" s="1" t="n">
        <v>7891000261026</v>
      </c>
      <c r="L1889" s="1" t="s">
        <v>2489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5" t="n">
        <v>46189</v>
      </c>
      <c r="C1890" s="1" t="n">
        <v>171</v>
      </c>
      <c r="D1890" s="1" t="s">
        <v>2517</v>
      </c>
      <c r="E1890" s="1" t="n">
        <v>1740</v>
      </c>
      <c r="F1890" s="1" t="s">
        <v>170</v>
      </c>
      <c r="I1890" s="1" t="n">
        <v>1237463</v>
      </c>
      <c r="J1890" s="1" t="n">
        <v>79560</v>
      </c>
      <c r="K1890" s="1" t="n">
        <v>7898755200461</v>
      </c>
      <c r="L1890" s="1" t="s">
        <v>3194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5" t="n">
        <v>46190</v>
      </c>
      <c r="C1891" s="1" t="n">
        <v>1</v>
      </c>
      <c r="D1891" s="1" t="s">
        <v>2317</v>
      </c>
      <c r="E1891" s="1" t="n">
        <v>1628</v>
      </c>
      <c r="F1891" s="1" t="s">
        <v>809</v>
      </c>
      <c r="I1891" s="1" t="n">
        <v>88887</v>
      </c>
      <c r="J1891" s="1" t="n">
        <v>104544</v>
      </c>
      <c r="K1891" s="1" t="n">
        <v>7897412400121</v>
      </c>
      <c r="L1891" s="1" t="s">
        <v>3195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5" t="n">
        <v>46190</v>
      </c>
      <c r="C1892" s="1" t="n">
        <v>1</v>
      </c>
      <c r="D1892" s="1" t="s">
        <v>2317</v>
      </c>
      <c r="E1892" s="1" t="n">
        <v>1628</v>
      </c>
      <c r="F1892" s="1" t="s">
        <v>809</v>
      </c>
      <c r="I1892" s="1" t="n">
        <v>88887</v>
      </c>
      <c r="J1892" s="1" t="n">
        <v>11153</v>
      </c>
      <c r="K1892" s="1" t="n">
        <v>7897412400152</v>
      </c>
      <c r="L1892" s="1" t="s">
        <v>3196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5" t="n">
        <v>46190</v>
      </c>
      <c r="C1893" s="1" t="n">
        <v>1</v>
      </c>
      <c r="D1893" s="1" t="s">
        <v>2317</v>
      </c>
      <c r="E1893" s="1" t="n">
        <v>1628</v>
      </c>
      <c r="F1893" s="1" t="s">
        <v>809</v>
      </c>
      <c r="I1893" s="1" t="n">
        <v>88887</v>
      </c>
      <c r="J1893" s="1" t="n">
        <v>11165</v>
      </c>
      <c r="K1893" s="1" t="n">
        <v>7897412400176</v>
      </c>
      <c r="L1893" s="1" t="s">
        <v>3197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5" t="n">
        <v>46190</v>
      </c>
      <c r="C1894" s="1" t="n">
        <v>1</v>
      </c>
      <c r="D1894" s="1" t="s">
        <v>2317</v>
      </c>
      <c r="E1894" s="1" t="n">
        <v>1628</v>
      </c>
      <c r="F1894" s="1" t="s">
        <v>809</v>
      </c>
      <c r="I1894" s="1" t="n">
        <v>88887</v>
      </c>
      <c r="J1894" s="1" t="n">
        <v>11285</v>
      </c>
      <c r="K1894" s="1" t="n">
        <v>7897412400169</v>
      </c>
      <c r="L1894" s="1" t="s">
        <v>3198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5" t="n">
        <v>46190</v>
      </c>
      <c r="C1895" s="1" t="n">
        <v>1</v>
      </c>
      <c r="D1895" s="1" t="s">
        <v>2317</v>
      </c>
      <c r="E1895" s="1" t="n">
        <v>1628</v>
      </c>
      <c r="F1895" s="1" t="s">
        <v>809</v>
      </c>
      <c r="I1895" s="1" t="n">
        <v>88887</v>
      </c>
      <c r="J1895" s="1" t="n">
        <v>79430</v>
      </c>
      <c r="K1895" s="1" t="n">
        <v>7897412400558</v>
      </c>
      <c r="L1895" s="1" t="s">
        <v>3199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5" t="n">
        <v>46190</v>
      </c>
      <c r="C1896" s="1" t="n">
        <v>1</v>
      </c>
      <c r="D1896" s="1" t="s">
        <v>2317</v>
      </c>
      <c r="E1896" s="1" t="n">
        <v>1734</v>
      </c>
      <c r="F1896" s="1" t="s">
        <v>125</v>
      </c>
      <c r="I1896" s="1" t="n">
        <v>253629</v>
      </c>
      <c r="J1896" s="1" t="n">
        <v>38783</v>
      </c>
      <c r="K1896" s="1" t="n">
        <v>7898055450481</v>
      </c>
      <c r="L1896" s="1" t="s">
        <v>3200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5" t="n">
        <v>46190</v>
      </c>
      <c r="C1897" s="1" t="n">
        <v>1</v>
      </c>
      <c r="D1897" s="1" t="s">
        <v>2317</v>
      </c>
      <c r="E1897" s="1" t="n">
        <v>1734</v>
      </c>
      <c r="F1897" s="1" t="s">
        <v>125</v>
      </c>
      <c r="I1897" s="1" t="n">
        <v>253629</v>
      </c>
      <c r="J1897" s="1" t="n">
        <v>38791</v>
      </c>
      <c r="K1897" s="1" t="n">
        <v>7898055450931</v>
      </c>
      <c r="L1897" s="1" t="s">
        <v>2377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5" t="n">
        <v>46190</v>
      </c>
      <c r="C1898" s="1" t="n">
        <v>1</v>
      </c>
      <c r="D1898" s="1" t="s">
        <v>2317</v>
      </c>
      <c r="E1898" s="1" t="n">
        <v>1734</v>
      </c>
      <c r="F1898" s="1" t="s">
        <v>125</v>
      </c>
      <c r="I1898" s="1" t="n">
        <v>253629</v>
      </c>
      <c r="J1898" s="1" t="n">
        <v>38792</v>
      </c>
      <c r="K1898" s="1" t="n">
        <v>7898055450894</v>
      </c>
      <c r="L1898" s="1" t="s">
        <v>3201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5" t="n">
        <v>46190</v>
      </c>
      <c r="C1899" s="1" t="n">
        <v>1</v>
      </c>
      <c r="D1899" s="1" t="s">
        <v>2317</v>
      </c>
      <c r="E1899" s="1" t="n">
        <v>1734</v>
      </c>
      <c r="F1899" s="1" t="s">
        <v>125</v>
      </c>
      <c r="I1899" s="1" t="n">
        <v>253629</v>
      </c>
      <c r="J1899" s="1" t="n">
        <v>44940</v>
      </c>
      <c r="K1899" s="1" t="n">
        <v>7898055450382</v>
      </c>
      <c r="L1899" s="1" t="s">
        <v>3202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5" t="n">
        <v>46190</v>
      </c>
      <c r="C1900" s="1" t="n">
        <v>1</v>
      </c>
      <c r="D1900" s="1" t="s">
        <v>2317</v>
      </c>
      <c r="E1900" s="1" t="n">
        <v>1734</v>
      </c>
      <c r="F1900" s="1" t="s">
        <v>125</v>
      </c>
      <c r="I1900" s="1" t="n">
        <v>253629</v>
      </c>
      <c r="J1900" s="1" t="n">
        <v>46813</v>
      </c>
      <c r="K1900" s="1" t="n">
        <v>7898055450351</v>
      </c>
      <c r="L1900" s="1" t="s">
        <v>3203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5" t="n">
        <v>46190</v>
      </c>
      <c r="C1901" s="1" t="n">
        <v>2</v>
      </c>
      <c r="D1901" s="1" t="s">
        <v>2283</v>
      </c>
      <c r="E1901" s="1" t="n">
        <v>42</v>
      </c>
      <c r="F1901" s="1" t="s">
        <v>80</v>
      </c>
      <c r="I1901" s="1" t="n">
        <v>170601</v>
      </c>
      <c r="J1901" s="1" t="n">
        <v>109791</v>
      </c>
      <c r="K1901" s="1" t="n">
        <v>9667</v>
      </c>
      <c r="L1901" s="1" t="s">
        <v>2284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5" t="n">
        <v>46190</v>
      </c>
      <c r="C1902" s="1" t="n">
        <v>2</v>
      </c>
      <c r="D1902" s="1" t="s">
        <v>2283</v>
      </c>
      <c r="E1902" s="1" t="n">
        <v>42</v>
      </c>
      <c r="F1902" s="1" t="s">
        <v>80</v>
      </c>
      <c r="I1902" s="1" t="n">
        <v>170601</v>
      </c>
      <c r="J1902" s="1" t="n">
        <v>37359</v>
      </c>
      <c r="K1902" s="1" t="n">
        <v>55526</v>
      </c>
      <c r="L1902" s="1" t="s">
        <v>2285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5" t="n">
        <v>46190</v>
      </c>
      <c r="C1903" s="1" t="n">
        <v>2</v>
      </c>
      <c r="D1903" s="1" t="s">
        <v>2283</v>
      </c>
      <c r="E1903" s="1" t="n">
        <v>42</v>
      </c>
      <c r="F1903" s="1" t="s">
        <v>80</v>
      </c>
      <c r="I1903" s="1" t="n">
        <v>170601</v>
      </c>
      <c r="J1903" s="1" t="n">
        <v>37361</v>
      </c>
      <c r="K1903" s="1" t="n">
        <v>2240817</v>
      </c>
      <c r="L1903" s="1" t="s">
        <v>2286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5" t="n">
        <v>46190</v>
      </c>
      <c r="C1904" s="1" t="n">
        <v>6</v>
      </c>
      <c r="D1904" s="1" t="s">
        <v>2289</v>
      </c>
      <c r="E1904" s="1" t="n">
        <v>42</v>
      </c>
      <c r="F1904" s="1" t="s">
        <v>80</v>
      </c>
      <c r="I1904" s="1" t="n">
        <v>4282</v>
      </c>
      <c r="J1904" s="1" t="n">
        <v>109791</v>
      </c>
      <c r="K1904" s="1" t="n">
        <v>9667</v>
      </c>
      <c r="L1904" s="1" t="s">
        <v>2284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5" t="n">
        <v>46190</v>
      </c>
      <c r="C1905" s="1" t="n">
        <v>6</v>
      </c>
      <c r="D1905" s="1" t="s">
        <v>2289</v>
      </c>
      <c r="E1905" s="1" t="n">
        <v>42</v>
      </c>
      <c r="F1905" s="1" t="s">
        <v>80</v>
      </c>
      <c r="I1905" s="1" t="n">
        <v>4282</v>
      </c>
      <c r="J1905" s="1" t="n">
        <v>37359</v>
      </c>
      <c r="K1905" s="1" t="n">
        <v>55526</v>
      </c>
      <c r="L1905" s="1" t="s">
        <v>2285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5" t="n">
        <v>46190</v>
      </c>
      <c r="C1906" s="1" t="n">
        <v>6</v>
      </c>
      <c r="D1906" s="1" t="s">
        <v>2289</v>
      </c>
      <c r="E1906" s="1" t="n">
        <v>42</v>
      </c>
      <c r="F1906" s="1" t="s">
        <v>80</v>
      </c>
      <c r="I1906" s="1" t="n">
        <v>4282</v>
      </c>
      <c r="J1906" s="1" t="n">
        <v>37361</v>
      </c>
      <c r="K1906" s="1" t="n">
        <v>2240817</v>
      </c>
      <c r="L1906" s="1" t="s">
        <v>2286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5" t="n">
        <v>46190</v>
      </c>
      <c r="C1907" s="1" t="n">
        <v>11</v>
      </c>
      <c r="D1907" s="1" t="s">
        <v>2290</v>
      </c>
      <c r="E1907" s="1" t="n">
        <v>1921</v>
      </c>
      <c r="F1907" s="1" t="s">
        <v>247</v>
      </c>
      <c r="I1907" s="1" t="n">
        <v>20916</v>
      </c>
      <c r="J1907" s="1" t="n">
        <v>44581</v>
      </c>
      <c r="K1907" s="1" t="n">
        <v>144827</v>
      </c>
      <c r="L1907" s="1" t="s">
        <v>3204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5" t="n">
        <v>46190</v>
      </c>
      <c r="C1908" s="1" t="n">
        <v>11</v>
      </c>
      <c r="D1908" s="1" t="s">
        <v>2290</v>
      </c>
      <c r="E1908" s="1" t="n">
        <v>1921</v>
      </c>
      <c r="F1908" s="1" t="s">
        <v>247</v>
      </c>
      <c r="I1908" s="1" t="n">
        <v>20916</v>
      </c>
      <c r="J1908" s="1" t="n">
        <v>45512</v>
      </c>
      <c r="K1908" s="1" t="n">
        <v>7899085120023</v>
      </c>
      <c r="L1908" s="1" t="s">
        <v>3205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5" t="n">
        <v>46190</v>
      </c>
      <c r="C1909" s="1" t="n">
        <v>11</v>
      </c>
      <c r="D1909" s="1" t="s">
        <v>2290</v>
      </c>
      <c r="E1909" s="1" t="n">
        <v>1921</v>
      </c>
      <c r="F1909" s="1" t="s">
        <v>247</v>
      </c>
      <c r="I1909" s="1" t="n">
        <v>20916</v>
      </c>
      <c r="J1909" s="1" t="n">
        <v>45677</v>
      </c>
      <c r="K1909" s="1" t="n">
        <v>7899085120627</v>
      </c>
      <c r="L1909" s="1" t="s">
        <v>3206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5" t="n">
        <v>46190</v>
      </c>
      <c r="C1910" s="1" t="n">
        <v>11</v>
      </c>
      <c r="D1910" s="1" t="s">
        <v>2290</v>
      </c>
      <c r="E1910" s="1" t="n">
        <v>1921</v>
      </c>
      <c r="F1910" s="1" t="s">
        <v>247</v>
      </c>
      <c r="I1910" s="1" t="n">
        <v>20916</v>
      </c>
      <c r="J1910" s="1" t="n">
        <v>45856</v>
      </c>
      <c r="K1910" s="1" t="n">
        <v>7899085120443</v>
      </c>
      <c r="L1910" s="1" t="s">
        <v>3207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5" t="n">
        <v>46190</v>
      </c>
      <c r="C1911" s="1" t="n">
        <v>11</v>
      </c>
      <c r="D1911" s="1" t="s">
        <v>2290</v>
      </c>
      <c r="E1911" s="1" t="n">
        <v>1921</v>
      </c>
      <c r="F1911" s="1" t="s">
        <v>247</v>
      </c>
      <c r="I1911" s="1" t="n">
        <v>20916</v>
      </c>
      <c r="J1911" s="1" t="n">
        <v>46077</v>
      </c>
      <c r="K1911" s="1" t="n">
        <v>7899085120221</v>
      </c>
      <c r="L1911" s="1" t="s">
        <v>3208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5" t="n">
        <v>46190</v>
      </c>
      <c r="C1912" s="1" t="n">
        <v>11</v>
      </c>
      <c r="D1912" s="1" t="s">
        <v>2290</v>
      </c>
      <c r="E1912" s="1" t="n">
        <v>1921</v>
      </c>
      <c r="F1912" s="1" t="s">
        <v>247</v>
      </c>
      <c r="I1912" s="1" t="n">
        <v>20916</v>
      </c>
      <c r="J1912" s="1" t="n">
        <v>46078</v>
      </c>
      <c r="K1912" s="1" t="n">
        <v>7899085120016</v>
      </c>
      <c r="L1912" s="1" t="s">
        <v>3209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5" t="n">
        <v>46190</v>
      </c>
      <c r="C1913" s="1" t="n">
        <v>11</v>
      </c>
      <c r="D1913" s="1" t="s">
        <v>2290</v>
      </c>
      <c r="E1913" s="1" t="n">
        <v>1921</v>
      </c>
      <c r="F1913" s="1" t="s">
        <v>247</v>
      </c>
      <c r="I1913" s="1" t="n">
        <v>20916</v>
      </c>
      <c r="J1913" s="1" t="n">
        <v>46087</v>
      </c>
      <c r="K1913" s="1" t="n">
        <v>7899085120559</v>
      </c>
      <c r="L1913" s="1" t="s">
        <v>3210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5" t="n">
        <v>46190</v>
      </c>
      <c r="C1914" s="1" t="n">
        <v>11</v>
      </c>
      <c r="D1914" s="1" t="s">
        <v>2290</v>
      </c>
      <c r="E1914" s="1" t="n">
        <v>1921</v>
      </c>
      <c r="F1914" s="1" t="s">
        <v>247</v>
      </c>
      <c r="I1914" s="1" t="n">
        <v>20916</v>
      </c>
      <c r="J1914" s="1" t="n">
        <v>46088</v>
      </c>
      <c r="K1914" s="1" t="n">
        <v>7899085120269</v>
      </c>
      <c r="L1914" s="1" t="s">
        <v>3211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5" t="n">
        <v>46190</v>
      </c>
      <c r="C1915" s="1" t="n">
        <v>11</v>
      </c>
      <c r="D1915" s="1" t="s">
        <v>2290</v>
      </c>
      <c r="E1915" s="1" t="n">
        <v>1921</v>
      </c>
      <c r="F1915" s="1" t="s">
        <v>247</v>
      </c>
      <c r="I1915" s="1" t="n">
        <v>20916</v>
      </c>
      <c r="J1915" s="1" t="n">
        <v>46089</v>
      </c>
      <c r="K1915" s="1" t="n">
        <v>7899085120542</v>
      </c>
      <c r="L1915" s="1" t="s">
        <v>3212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5" t="n">
        <v>46190</v>
      </c>
      <c r="C1916" s="1" t="n">
        <v>11</v>
      </c>
      <c r="D1916" s="1" t="s">
        <v>2290</v>
      </c>
      <c r="E1916" s="1" t="n">
        <v>1921</v>
      </c>
      <c r="F1916" s="1" t="s">
        <v>247</v>
      </c>
      <c r="I1916" s="1" t="n">
        <v>20916</v>
      </c>
      <c r="J1916" s="1" t="n">
        <v>46094</v>
      </c>
      <c r="K1916" s="1" t="n">
        <v>7899085120580</v>
      </c>
      <c r="L1916" s="1" t="s">
        <v>3213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5" t="n">
        <v>46190</v>
      </c>
      <c r="C1917" s="1" t="n">
        <v>11</v>
      </c>
      <c r="D1917" s="1" t="s">
        <v>2290</v>
      </c>
      <c r="E1917" s="1" t="n">
        <v>1921</v>
      </c>
      <c r="F1917" s="1" t="s">
        <v>247</v>
      </c>
      <c r="I1917" s="1" t="n">
        <v>20916</v>
      </c>
      <c r="J1917" s="1" t="n">
        <v>46095</v>
      </c>
      <c r="K1917" s="1" t="n">
        <v>7899085120641</v>
      </c>
      <c r="L1917" s="1" t="s">
        <v>3214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5" t="n">
        <v>46190</v>
      </c>
      <c r="C1918" s="1" t="n">
        <v>11</v>
      </c>
      <c r="D1918" s="1" t="s">
        <v>2290</v>
      </c>
      <c r="E1918" s="1" t="n">
        <v>1921</v>
      </c>
      <c r="F1918" s="1" t="s">
        <v>247</v>
      </c>
      <c r="I1918" s="1" t="n">
        <v>20916</v>
      </c>
      <c r="J1918" s="1" t="n">
        <v>46588</v>
      </c>
      <c r="K1918" s="1" t="n">
        <v>7899085120924</v>
      </c>
      <c r="L1918" s="1" t="s">
        <v>3215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5" t="n">
        <v>46190</v>
      </c>
      <c r="C1919" s="1" t="n">
        <v>11</v>
      </c>
      <c r="D1919" s="1" t="s">
        <v>2290</v>
      </c>
      <c r="E1919" s="1" t="n">
        <v>1921</v>
      </c>
      <c r="F1919" s="1" t="s">
        <v>247</v>
      </c>
      <c r="I1919" s="1" t="n">
        <v>20916</v>
      </c>
      <c r="J1919" s="1" t="n">
        <v>47025</v>
      </c>
      <c r="K1919" s="1" t="n">
        <v>7899085120160</v>
      </c>
      <c r="L1919" s="1" t="s">
        <v>3216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5" t="n">
        <v>46190</v>
      </c>
      <c r="C1920" s="1" t="n">
        <v>11</v>
      </c>
      <c r="D1920" s="1" t="s">
        <v>2290</v>
      </c>
      <c r="E1920" s="1" t="n">
        <v>1921</v>
      </c>
      <c r="F1920" s="1" t="s">
        <v>247</v>
      </c>
      <c r="I1920" s="1" t="n">
        <v>20916</v>
      </c>
      <c r="J1920" s="1" t="n">
        <v>47041</v>
      </c>
      <c r="K1920" s="1" t="n">
        <v>7899085120252</v>
      </c>
      <c r="L1920" s="1" t="s">
        <v>3217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5" t="n">
        <v>46190</v>
      </c>
      <c r="C1921" s="1" t="n">
        <v>11</v>
      </c>
      <c r="D1921" s="1" t="s">
        <v>2290</v>
      </c>
      <c r="E1921" s="1" t="n">
        <v>1921</v>
      </c>
      <c r="F1921" s="1" t="s">
        <v>247</v>
      </c>
      <c r="I1921" s="1" t="n">
        <v>20916</v>
      </c>
      <c r="J1921" s="1" t="n">
        <v>47044</v>
      </c>
      <c r="K1921" s="1" t="n">
        <v>7899085120290</v>
      </c>
      <c r="L1921" s="1" t="s">
        <v>3218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5" t="n">
        <v>46190</v>
      </c>
      <c r="C1922" s="1" t="n">
        <v>11</v>
      </c>
      <c r="D1922" s="1" t="s">
        <v>2290</v>
      </c>
      <c r="E1922" s="1" t="n">
        <v>1921</v>
      </c>
      <c r="F1922" s="1" t="s">
        <v>247</v>
      </c>
      <c r="I1922" s="1" t="n">
        <v>20916</v>
      </c>
      <c r="J1922" s="1" t="n">
        <v>47047</v>
      </c>
      <c r="K1922" s="1" t="n">
        <v>7899085120108</v>
      </c>
      <c r="L1922" s="1" t="s">
        <v>3219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5" t="n">
        <v>46190</v>
      </c>
      <c r="C1923" s="1" t="n">
        <v>11</v>
      </c>
      <c r="D1923" s="1" t="s">
        <v>2290</v>
      </c>
      <c r="E1923" s="1" t="n">
        <v>1921</v>
      </c>
      <c r="F1923" s="1" t="s">
        <v>247</v>
      </c>
      <c r="I1923" s="1" t="n">
        <v>20916</v>
      </c>
      <c r="J1923" s="1" t="n">
        <v>47048</v>
      </c>
      <c r="K1923" s="1" t="n">
        <v>7899085120498</v>
      </c>
      <c r="L1923" s="1" t="s">
        <v>3220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5" t="n">
        <v>46190</v>
      </c>
      <c r="C1924" s="1" t="n">
        <v>11</v>
      </c>
      <c r="D1924" s="1" t="s">
        <v>2290</v>
      </c>
      <c r="E1924" s="1" t="n">
        <v>1921</v>
      </c>
      <c r="F1924" s="1" t="s">
        <v>247</v>
      </c>
      <c r="I1924" s="1" t="n">
        <v>20916</v>
      </c>
      <c r="J1924" s="1" t="n">
        <v>47049</v>
      </c>
      <c r="K1924" s="1" t="n">
        <v>7899085120474</v>
      </c>
      <c r="L1924" s="1" t="s">
        <v>3221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5" t="n">
        <v>46190</v>
      </c>
      <c r="C1925" s="1" t="n">
        <v>11</v>
      </c>
      <c r="D1925" s="1" t="s">
        <v>2290</v>
      </c>
      <c r="E1925" s="1" t="n">
        <v>1921</v>
      </c>
      <c r="F1925" s="1" t="s">
        <v>247</v>
      </c>
      <c r="I1925" s="1" t="n">
        <v>20916</v>
      </c>
      <c r="J1925" s="1" t="n">
        <v>47051</v>
      </c>
      <c r="K1925" s="1" t="n">
        <v>7899085120825</v>
      </c>
      <c r="L1925" s="1" t="s">
        <v>3222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5" t="n">
        <v>46190</v>
      </c>
      <c r="C1926" s="1" t="n">
        <v>11</v>
      </c>
      <c r="D1926" s="1" t="s">
        <v>2290</v>
      </c>
      <c r="E1926" s="1" t="n">
        <v>1921</v>
      </c>
      <c r="F1926" s="1" t="s">
        <v>247</v>
      </c>
      <c r="I1926" s="1" t="n">
        <v>20916</v>
      </c>
      <c r="J1926" s="1" t="n">
        <v>47064</v>
      </c>
      <c r="K1926" s="1" t="n">
        <v>7899085120122</v>
      </c>
      <c r="L1926" s="1" t="s">
        <v>3223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5" t="n">
        <v>46190</v>
      </c>
      <c r="C1927" s="1" t="n">
        <v>11</v>
      </c>
      <c r="D1927" s="1" t="s">
        <v>2290</v>
      </c>
      <c r="E1927" s="1" t="n">
        <v>1921</v>
      </c>
      <c r="F1927" s="1" t="s">
        <v>247</v>
      </c>
      <c r="I1927" s="1" t="n">
        <v>20916</v>
      </c>
      <c r="J1927" s="1" t="n">
        <v>47067</v>
      </c>
      <c r="K1927" s="1" t="n">
        <v>7899085120573</v>
      </c>
      <c r="L1927" s="1" t="s">
        <v>3224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5" t="n">
        <v>46190</v>
      </c>
      <c r="C1928" s="1" t="n">
        <v>11</v>
      </c>
      <c r="D1928" s="1" t="s">
        <v>2290</v>
      </c>
      <c r="E1928" s="1" t="n">
        <v>1921</v>
      </c>
      <c r="F1928" s="1" t="s">
        <v>247</v>
      </c>
      <c r="I1928" s="1" t="n">
        <v>20916</v>
      </c>
      <c r="J1928" s="1" t="n">
        <v>49811</v>
      </c>
      <c r="K1928" s="1" t="n">
        <v>7899085120917</v>
      </c>
      <c r="L1928" s="1" t="s">
        <v>3225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5" t="n">
        <v>46190</v>
      </c>
      <c r="C1929" s="1" t="n">
        <v>11</v>
      </c>
      <c r="D1929" s="1" t="s">
        <v>2290</v>
      </c>
      <c r="E1929" s="1" t="n">
        <v>1921</v>
      </c>
      <c r="F1929" s="1" t="s">
        <v>247</v>
      </c>
      <c r="I1929" s="1" t="n">
        <v>20916</v>
      </c>
      <c r="J1929" s="1" t="n">
        <v>50789</v>
      </c>
      <c r="K1929" s="1" t="n">
        <v>7899085120085</v>
      </c>
      <c r="L1929" s="1" t="s">
        <v>3226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5" t="n">
        <v>46190</v>
      </c>
      <c r="C1930" s="1" t="n">
        <v>11</v>
      </c>
      <c r="D1930" s="1" t="s">
        <v>2290</v>
      </c>
      <c r="E1930" s="1" t="n">
        <v>1921</v>
      </c>
      <c r="F1930" s="1" t="s">
        <v>247</v>
      </c>
      <c r="I1930" s="1" t="n">
        <v>20916</v>
      </c>
      <c r="J1930" s="1" t="n">
        <v>51244</v>
      </c>
      <c r="K1930" s="1" t="n">
        <v>7899085120818</v>
      </c>
      <c r="L1930" s="1" t="s">
        <v>3227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5" t="n">
        <v>46190</v>
      </c>
      <c r="C1931" s="1" t="n">
        <v>11</v>
      </c>
      <c r="D1931" s="1" t="s">
        <v>2290</v>
      </c>
      <c r="E1931" s="1" t="n">
        <v>1921</v>
      </c>
      <c r="F1931" s="1" t="s">
        <v>247</v>
      </c>
      <c r="I1931" s="1" t="n">
        <v>20916</v>
      </c>
      <c r="J1931" s="1" t="n">
        <v>51817</v>
      </c>
      <c r="K1931" s="1" t="n">
        <v>7899085120801</v>
      </c>
      <c r="L1931" s="1" t="s">
        <v>3228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5" t="n">
        <v>46190</v>
      </c>
      <c r="C1932" s="1" t="n">
        <v>11</v>
      </c>
      <c r="D1932" s="1" t="s">
        <v>2290</v>
      </c>
      <c r="E1932" s="1" t="n">
        <v>1921</v>
      </c>
      <c r="F1932" s="1" t="s">
        <v>247</v>
      </c>
      <c r="I1932" s="1" t="n">
        <v>20916</v>
      </c>
      <c r="J1932" s="1" t="n">
        <v>52679</v>
      </c>
      <c r="K1932" s="1" t="n">
        <v>7899085120658</v>
      </c>
      <c r="L1932" s="1" t="s">
        <v>3229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5" t="n">
        <v>46190</v>
      </c>
      <c r="C1933" s="1" t="n">
        <v>11</v>
      </c>
      <c r="D1933" s="1" t="s">
        <v>2290</v>
      </c>
      <c r="E1933" s="1" t="n">
        <v>1814</v>
      </c>
      <c r="F1933" s="1" t="s">
        <v>339</v>
      </c>
      <c r="I1933" s="1" t="n">
        <v>26826</v>
      </c>
      <c r="J1933" s="1" t="n">
        <v>25090</v>
      </c>
      <c r="K1933" s="1" t="n">
        <v>7898951519152</v>
      </c>
      <c r="L1933" s="1" t="s">
        <v>2345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5" t="n">
        <v>46190</v>
      </c>
      <c r="C1934" s="1" t="n">
        <v>11</v>
      </c>
      <c r="D1934" s="1" t="s">
        <v>2290</v>
      </c>
      <c r="E1934" s="1" t="n">
        <v>1814</v>
      </c>
      <c r="F1934" s="1" t="s">
        <v>339</v>
      </c>
      <c r="I1934" s="1" t="n">
        <v>26826</v>
      </c>
      <c r="J1934" s="1" t="n">
        <v>25091</v>
      </c>
      <c r="K1934" s="1" t="n">
        <v>7898951519176</v>
      </c>
      <c r="L1934" s="1" t="s">
        <v>2346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5" t="n">
        <v>46190</v>
      </c>
      <c r="C1935" s="1" t="n">
        <v>11</v>
      </c>
      <c r="D1935" s="1" t="s">
        <v>2290</v>
      </c>
      <c r="E1935" s="1" t="n">
        <v>1814</v>
      </c>
      <c r="F1935" s="1" t="s">
        <v>339</v>
      </c>
      <c r="I1935" s="1" t="n">
        <v>26826</v>
      </c>
      <c r="J1935" s="1" t="n">
        <v>25092</v>
      </c>
      <c r="K1935" s="1" t="n">
        <v>7896883601105</v>
      </c>
      <c r="L1935" s="1" t="s">
        <v>3230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5" t="n">
        <v>46190</v>
      </c>
      <c r="C1936" s="1" t="n">
        <v>11</v>
      </c>
      <c r="D1936" s="1" t="s">
        <v>2290</v>
      </c>
      <c r="E1936" s="1" t="n">
        <v>1814</v>
      </c>
      <c r="F1936" s="1" t="s">
        <v>339</v>
      </c>
      <c r="I1936" s="1" t="n">
        <v>26826</v>
      </c>
      <c r="J1936" s="1" t="n">
        <v>25093</v>
      </c>
      <c r="K1936" s="1" t="n">
        <v>7898951519169</v>
      </c>
      <c r="L1936" s="1" t="s">
        <v>2347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5" t="n">
        <v>46190</v>
      </c>
      <c r="C1937" s="1" t="n">
        <v>11</v>
      </c>
      <c r="D1937" s="1" t="s">
        <v>2290</v>
      </c>
      <c r="E1937" s="1" t="n">
        <v>1814</v>
      </c>
      <c r="F1937" s="1" t="s">
        <v>339</v>
      </c>
      <c r="I1937" s="1" t="n">
        <v>26826</v>
      </c>
      <c r="J1937" s="1" t="n">
        <v>25095</v>
      </c>
      <c r="K1937" s="1" t="n">
        <v>7898951519145</v>
      </c>
      <c r="L1937" s="1" t="s">
        <v>2348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5" t="n">
        <v>46190</v>
      </c>
      <c r="C1938" s="1" t="n">
        <v>11</v>
      </c>
      <c r="D1938" s="1" t="s">
        <v>2290</v>
      </c>
      <c r="E1938" s="1" t="n">
        <v>1814</v>
      </c>
      <c r="F1938" s="1" t="s">
        <v>339</v>
      </c>
      <c r="I1938" s="1" t="n">
        <v>26826</v>
      </c>
      <c r="J1938" s="1" t="n">
        <v>25096</v>
      </c>
      <c r="K1938" s="1" t="n">
        <v>7898951519138</v>
      </c>
      <c r="L1938" s="1" t="s">
        <v>3231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5" t="n">
        <v>46190</v>
      </c>
      <c r="C1939" s="1" t="n">
        <v>11</v>
      </c>
      <c r="D1939" s="1" t="s">
        <v>2290</v>
      </c>
      <c r="E1939" s="1" t="n">
        <v>1814</v>
      </c>
      <c r="F1939" s="1" t="s">
        <v>339</v>
      </c>
      <c r="I1939" s="1" t="n">
        <v>26826</v>
      </c>
      <c r="J1939" s="1" t="n">
        <v>25134</v>
      </c>
      <c r="K1939" s="1" t="n">
        <v>7898951519114</v>
      </c>
      <c r="L1939" s="1" t="s">
        <v>2350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5" t="n">
        <v>46190</v>
      </c>
      <c r="C1940" s="1" t="n">
        <v>11</v>
      </c>
      <c r="D1940" s="1" t="s">
        <v>2290</v>
      </c>
      <c r="E1940" s="1" t="n">
        <v>1814</v>
      </c>
      <c r="F1940" s="1" t="s">
        <v>339</v>
      </c>
      <c r="I1940" s="1" t="n">
        <v>26826</v>
      </c>
      <c r="J1940" s="1" t="n">
        <v>25757</v>
      </c>
      <c r="K1940" s="1" t="n">
        <v>7898951519107</v>
      </c>
      <c r="L1940" s="1" t="s">
        <v>2351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5" t="n">
        <v>46190</v>
      </c>
      <c r="C1941" s="1" t="n">
        <v>11</v>
      </c>
      <c r="D1941" s="1" t="s">
        <v>2290</v>
      </c>
      <c r="E1941" s="1" t="n">
        <v>1814</v>
      </c>
      <c r="F1941" s="1" t="s">
        <v>339</v>
      </c>
      <c r="I1941" s="1" t="n">
        <v>26826</v>
      </c>
      <c r="J1941" s="1" t="n">
        <v>39927</v>
      </c>
      <c r="K1941" s="1" t="n">
        <v>7898951519077</v>
      </c>
      <c r="L1941" s="1" t="s">
        <v>2352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5" t="n">
        <v>46190</v>
      </c>
      <c r="C1942" s="1" t="n">
        <v>11</v>
      </c>
      <c r="D1942" s="1" t="s">
        <v>2290</v>
      </c>
      <c r="E1942" s="1" t="n">
        <v>1814</v>
      </c>
      <c r="F1942" s="1" t="s">
        <v>339</v>
      </c>
      <c r="I1942" s="1" t="n">
        <v>26826</v>
      </c>
      <c r="J1942" s="1" t="n">
        <v>39928</v>
      </c>
      <c r="K1942" s="1" t="n">
        <v>7898951519015</v>
      </c>
      <c r="L1942" s="1" t="s">
        <v>2353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5" t="n">
        <v>46190</v>
      </c>
      <c r="C1943" s="1" t="n">
        <v>11</v>
      </c>
      <c r="D1943" s="1" t="s">
        <v>2290</v>
      </c>
      <c r="E1943" s="1" t="n">
        <v>1814</v>
      </c>
      <c r="F1943" s="1" t="s">
        <v>339</v>
      </c>
      <c r="I1943" s="1" t="n">
        <v>26826</v>
      </c>
      <c r="J1943" s="1" t="n">
        <v>39935</v>
      </c>
      <c r="K1943" s="1" t="n">
        <v>7898951519053</v>
      </c>
      <c r="L1943" s="1" t="s">
        <v>2357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5" t="n">
        <v>46190</v>
      </c>
      <c r="C1944" s="1" t="n">
        <v>11</v>
      </c>
      <c r="D1944" s="1" t="s">
        <v>2290</v>
      </c>
      <c r="E1944" s="1" t="n">
        <v>1814</v>
      </c>
      <c r="F1944" s="1" t="s">
        <v>339</v>
      </c>
      <c r="I1944" s="1" t="n">
        <v>26826</v>
      </c>
      <c r="J1944" s="1" t="n">
        <v>81422</v>
      </c>
      <c r="K1944" s="1" t="n">
        <v>7898951519336</v>
      </c>
      <c r="L1944" s="1" t="s">
        <v>3232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5" t="n">
        <v>46190</v>
      </c>
      <c r="C1945" s="1" t="n">
        <v>11</v>
      </c>
      <c r="D1945" s="1" t="s">
        <v>2290</v>
      </c>
      <c r="E1945" s="1" t="n">
        <v>754</v>
      </c>
      <c r="F1945" s="1" t="s">
        <v>223</v>
      </c>
      <c r="I1945" s="1" t="n">
        <v>31172</v>
      </c>
      <c r="J1945" s="1" t="n">
        <v>110184</v>
      </c>
      <c r="K1945" s="1" t="n">
        <v>37393</v>
      </c>
      <c r="L1945" s="1" t="s">
        <v>2584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5" t="n">
        <v>46190</v>
      </c>
      <c r="C1946" s="1" t="n">
        <v>11</v>
      </c>
      <c r="D1946" s="1" t="s">
        <v>2290</v>
      </c>
      <c r="E1946" s="1" t="n">
        <v>1734</v>
      </c>
      <c r="F1946" s="1" t="s">
        <v>125</v>
      </c>
      <c r="I1946" s="1" t="n">
        <v>253632</v>
      </c>
      <c r="J1946" s="1" t="n">
        <v>38209</v>
      </c>
      <c r="K1946" s="1" t="n">
        <v>7898055451761</v>
      </c>
      <c r="L1946" s="1" t="s">
        <v>2381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5" t="n">
        <v>46190</v>
      </c>
      <c r="C1947" s="1" t="n">
        <v>11</v>
      </c>
      <c r="D1947" s="1" t="s">
        <v>2290</v>
      </c>
      <c r="E1947" s="1" t="n">
        <v>1734</v>
      </c>
      <c r="F1947" s="1" t="s">
        <v>125</v>
      </c>
      <c r="I1947" s="1" t="n">
        <v>253632</v>
      </c>
      <c r="J1947" s="1" t="n">
        <v>38210</v>
      </c>
      <c r="K1947" s="1" t="n">
        <v>7898055452119</v>
      </c>
      <c r="L1947" s="1" t="s">
        <v>2700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5" t="n">
        <v>46190</v>
      </c>
      <c r="C1948" s="1" t="n">
        <v>11</v>
      </c>
      <c r="D1948" s="1" t="s">
        <v>2290</v>
      </c>
      <c r="E1948" s="1" t="n">
        <v>1734</v>
      </c>
      <c r="F1948" s="1" t="s">
        <v>125</v>
      </c>
      <c r="I1948" s="1" t="n">
        <v>253632</v>
      </c>
      <c r="J1948" s="1" t="n">
        <v>38212</v>
      </c>
      <c r="K1948" s="1" t="n">
        <v>7898055451624</v>
      </c>
      <c r="L1948" s="1" t="s">
        <v>2701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5" t="n">
        <v>46190</v>
      </c>
      <c r="C1949" s="1" t="n">
        <v>11</v>
      </c>
      <c r="D1949" s="1" t="s">
        <v>2290</v>
      </c>
      <c r="E1949" s="1" t="n">
        <v>1734</v>
      </c>
      <c r="F1949" s="1" t="s">
        <v>125</v>
      </c>
      <c r="I1949" s="1" t="n">
        <v>253632</v>
      </c>
      <c r="J1949" s="1" t="n">
        <v>38214</v>
      </c>
      <c r="K1949" s="1" t="n">
        <v>7898055452249</v>
      </c>
      <c r="L1949" s="1" t="s">
        <v>2702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5" t="n">
        <v>46190</v>
      </c>
      <c r="C1950" s="1" t="n">
        <v>11</v>
      </c>
      <c r="D1950" s="1" t="s">
        <v>2290</v>
      </c>
      <c r="E1950" s="1" t="n">
        <v>1734</v>
      </c>
      <c r="F1950" s="1" t="s">
        <v>125</v>
      </c>
      <c r="I1950" s="1" t="n">
        <v>253632</v>
      </c>
      <c r="J1950" s="1" t="n">
        <v>38216</v>
      </c>
      <c r="K1950" s="1" t="n">
        <v>7898055454281</v>
      </c>
      <c r="L1950" s="1" t="s">
        <v>2703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5" t="n">
        <v>46190</v>
      </c>
      <c r="C1951" s="1" t="n">
        <v>11</v>
      </c>
      <c r="D1951" s="1" t="s">
        <v>2290</v>
      </c>
      <c r="E1951" s="1" t="n">
        <v>1734</v>
      </c>
      <c r="F1951" s="1" t="s">
        <v>125</v>
      </c>
      <c r="I1951" s="1" t="n">
        <v>253632</v>
      </c>
      <c r="J1951" s="1" t="n">
        <v>38221</v>
      </c>
      <c r="K1951" s="1" t="n">
        <v>7898055452102</v>
      </c>
      <c r="L1951" s="1" t="s">
        <v>2704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5" t="n">
        <v>46190</v>
      </c>
      <c r="C1952" s="1" t="n">
        <v>11</v>
      </c>
      <c r="D1952" s="1" t="s">
        <v>2290</v>
      </c>
      <c r="E1952" s="1" t="n">
        <v>1734</v>
      </c>
      <c r="F1952" s="1" t="s">
        <v>125</v>
      </c>
      <c r="I1952" s="1" t="n">
        <v>253632</v>
      </c>
      <c r="J1952" s="1" t="n">
        <v>39259</v>
      </c>
      <c r="K1952" s="1" t="n">
        <v>7898055450085</v>
      </c>
      <c r="L1952" s="1" t="s">
        <v>2383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5" t="n">
        <v>46190</v>
      </c>
      <c r="C1953" s="1" t="n">
        <v>11</v>
      </c>
      <c r="D1953" s="1" t="s">
        <v>2290</v>
      </c>
      <c r="E1953" s="1" t="n">
        <v>1734</v>
      </c>
      <c r="F1953" s="1" t="s">
        <v>125</v>
      </c>
      <c r="I1953" s="1" t="n">
        <v>253632</v>
      </c>
      <c r="J1953" s="1" t="n">
        <v>39443</v>
      </c>
      <c r="K1953" s="1" t="n">
        <v>7898055451648</v>
      </c>
      <c r="L1953" s="1" t="s">
        <v>3233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5" t="n">
        <v>46190</v>
      </c>
      <c r="C1954" s="1" t="n">
        <v>11</v>
      </c>
      <c r="D1954" s="1" t="s">
        <v>2290</v>
      </c>
      <c r="E1954" s="1" t="n">
        <v>1734</v>
      </c>
      <c r="F1954" s="1" t="s">
        <v>125</v>
      </c>
      <c r="I1954" s="1" t="n">
        <v>253632</v>
      </c>
      <c r="J1954" s="1" t="n">
        <v>39449</v>
      </c>
      <c r="K1954" s="1" t="n">
        <v>7898055450122</v>
      </c>
      <c r="L1954" s="1" t="s">
        <v>3234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5" t="n">
        <v>46190</v>
      </c>
      <c r="C1955" s="1" t="n">
        <v>11</v>
      </c>
      <c r="D1955" s="1" t="s">
        <v>2290</v>
      </c>
      <c r="E1955" s="1" t="n">
        <v>1734</v>
      </c>
      <c r="F1955" s="1" t="s">
        <v>125</v>
      </c>
      <c r="I1955" s="1" t="n">
        <v>253632</v>
      </c>
      <c r="J1955" s="1" t="n">
        <v>40840</v>
      </c>
      <c r="K1955" s="1" t="n">
        <v>7898055451655</v>
      </c>
      <c r="L1955" s="1" t="s">
        <v>3235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5" t="n">
        <v>46190</v>
      </c>
      <c r="C1956" s="1" t="n">
        <v>11</v>
      </c>
      <c r="D1956" s="1" t="s">
        <v>2290</v>
      </c>
      <c r="E1956" s="1" t="n">
        <v>1734</v>
      </c>
      <c r="F1956" s="1" t="s">
        <v>125</v>
      </c>
      <c r="I1956" s="1" t="n">
        <v>253632</v>
      </c>
      <c r="J1956" s="1" t="n">
        <v>44693</v>
      </c>
      <c r="K1956" s="1" t="n">
        <v>7898055451631</v>
      </c>
      <c r="L1956" s="1" t="s">
        <v>3236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5" t="n">
        <v>46190</v>
      </c>
      <c r="C1957" s="1" t="n">
        <v>11</v>
      </c>
      <c r="D1957" s="1" t="s">
        <v>2290</v>
      </c>
      <c r="E1957" s="1" t="n">
        <v>1734</v>
      </c>
      <c r="F1957" s="1" t="s">
        <v>125</v>
      </c>
      <c r="I1957" s="1" t="n">
        <v>253632</v>
      </c>
      <c r="J1957" s="1" t="n">
        <v>57024</v>
      </c>
      <c r="K1957" s="1" t="n">
        <v>7898055455172</v>
      </c>
      <c r="L1957" s="1" t="s">
        <v>3237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5" t="n">
        <v>46190</v>
      </c>
      <c r="C1958" s="1" t="n">
        <v>11</v>
      </c>
      <c r="D1958" s="1" t="s">
        <v>2290</v>
      </c>
      <c r="E1958" s="1" t="n">
        <v>1734</v>
      </c>
      <c r="F1958" s="1" t="s">
        <v>125</v>
      </c>
      <c r="I1958" s="1" t="n">
        <v>253632</v>
      </c>
      <c r="J1958" s="1" t="n">
        <v>78071</v>
      </c>
      <c r="K1958" s="1" t="n">
        <v>7898055455622</v>
      </c>
      <c r="L1958" s="1" t="s">
        <v>2389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5" t="n">
        <v>46190</v>
      </c>
      <c r="C1959" s="1" t="n">
        <v>11</v>
      </c>
      <c r="D1959" s="1" t="s">
        <v>2290</v>
      </c>
      <c r="E1959" s="1" t="n">
        <v>1626</v>
      </c>
      <c r="F1959" s="1" t="s">
        <v>807</v>
      </c>
      <c r="I1959" s="1" t="n">
        <v>309501</v>
      </c>
      <c r="J1959" s="1" t="n">
        <v>16832</v>
      </c>
      <c r="K1959" s="1" t="n">
        <v>7894904500116</v>
      </c>
      <c r="L1959" s="1" t="s">
        <v>3238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5" t="n">
        <v>46190</v>
      </c>
      <c r="C1960" s="1" t="n">
        <v>11</v>
      </c>
      <c r="D1960" s="1" t="s">
        <v>2290</v>
      </c>
      <c r="E1960" s="1" t="n">
        <v>1626</v>
      </c>
      <c r="F1960" s="1" t="s">
        <v>807</v>
      </c>
      <c r="I1960" s="1" t="n">
        <v>309501</v>
      </c>
      <c r="J1960" s="1" t="n">
        <v>31331</v>
      </c>
      <c r="K1960" s="1" t="n">
        <v>7894904577897</v>
      </c>
      <c r="L1960" s="1" t="s">
        <v>3239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5" t="n">
        <v>46190</v>
      </c>
      <c r="C1961" s="1" t="n">
        <v>11</v>
      </c>
      <c r="D1961" s="1" t="s">
        <v>2290</v>
      </c>
      <c r="E1961" s="1" t="n">
        <v>1626</v>
      </c>
      <c r="F1961" s="1" t="s">
        <v>807</v>
      </c>
      <c r="I1961" s="1" t="n">
        <v>309501</v>
      </c>
      <c r="J1961" s="1" t="n">
        <v>47538</v>
      </c>
      <c r="K1961" s="1" t="n">
        <v>7898921567077</v>
      </c>
      <c r="L1961" s="1" t="s">
        <v>3240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5" t="n">
        <v>46190</v>
      </c>
      <c r="C1962" s="1" t="n">
        <v>11</v>
      </c>
      <c r="D1962" s="1" t="s">
        <v>2290</v>
      </c>
      <c r="E1962" s="1" t="n">
        <v>1815</v>
      </c>
      <c r="F1962" s="1" t="s">
        <v>53</v>
      </c>
      <c r="I1962" s="1" t="n">
        <v>387572</v>
      </c>
      <c r="J1962" s="1" t="n">
        <v>23197</v>
      </c>
      <c r="K1962" s="1" t="n">
        <v>7896116900029</v>
      </c>
      <c r="L1962" s="1" t="s">
        <v>3241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5" t="n">
        <v>46190</v>
      </c>
      <c r="C1963" s="1" t="n">
        <v>11</v>
      </c>
      <c r="D1963" s="1" t="s">
        <v>2290</v>
      </c>
      <c r="E1963" s="1" t="n">
        <v>1815</v>
      </c>
      <c r="F1963" s="1" t="s">
        <v>53</v>
      </c>
      <c r="I1963" s="1" t="n">
        <v>387572</v>
      </c>
      <c r="J1963" s="1" t="n">
        <v>24025</v>
      </c>
      <c r="K1963" s="1" t="n">
        <v>7896116900050</v>
      </c>
      <c r="L1963" s="1" t="s">
        <v>2393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5" t="n">
        <v>46190</v>
      </c>
      <c r="C1964" s="1" t="n">
        <v>11</v>
      </c>
      <c r="D1964" s="1" t="s">
        <v>2290</v>
      </c>
      <c r="E1964" s="1" t="n">
        <v>1815</v>
      </c>
      <c r="F1964" s="1" t="s">
        <v>53</v>
      </c>
      <c r="I1964" s="1" t="n">
        <v>387572</v>
      </c>
      <c r="J1964" s="1" t="n">
        <v>24026</v>
      </c>
      <c r="K1964" s="1" t="n">
        <v>7896116901385</v>
      </c>
      <c r="L1964" s="1" t="s">
        <v>3242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5" t="n">
        <v>46190</v>
      </c>
      <c r="C1965" s="1" t="n">
        <v>11</v>
      </c>
      <c r="D1965" s="1" t="s">
        <v>2290</v>
      </c>
      <c r="E1965" s="1" t="n">
        <v>1815</v>
      </c>
      <c r="F1965" s="1" t="s">
        <v>53</v>
      </c>
      <c r="I1965" s="1" t="n">
        <v>387572</v>
      </c>
      <c r="J1965" s="1" t="n">
        <v>31798</v>
      </c>
      <c r="K1965" s="1" t="n">
        <v>7898922012392</v>
      </c>
      <c r="L1965" s="1" t="s">
        <v>2394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5" t="n">
        <v>46190</v>
      </c>
      <c r="C1966" s="1" t="n">
        <v>11</v>
      </c>
      <c r="D1966" s="1" t="s">
        <v>2290</v>
      </c>
      <c r="E1966" s="1" t="n">
        <v>1815</v>
      </c>
      <c r="F1966" s="1" t="s">
        <v>53</v>
      </c>
      <c r="I1966" s="1" t="n">
        <v>387572</v>
      </c>
      <c r="J1966" s="1" t="n">
        <v>31859</v>
      </c>
      <c r="K1966" s="1" t="n">
        <v>7898922012385</v>
      </c>
      <c r="L1966" s="1" t="s">
        <v>3243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5" t="n">
        <v>46190</v>
      </c>
      <c r="C1967" s="1" t="n">
        <v>11</v>
      </c>
      <c r="D1967" s="1" t="s">
        <v>2290</v>
      </c>
      <c r="E1967" s="1" t="n">
        <v>1667</v>
      </c>
      <c r="F1967" s="1" t="s">
        <v>807</v>
      </c>
      <c r="I1967" s="1" t="n">
        <v>395087</v>
      </c>
      <c r="J1967" s="1" t="n">
        <v>105626</v>
      </c>
      <c r="K1967" s="1" t="n">
        <v>7898215152347</v>
      </c>
      <c r="L1967" s="1" t="s">
        <v>3244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5" t="n">
        <v>46190</v>
      </c>
      <c r="C1968" s="1" t="n">
        <v>11</v>
      </c>
      <c r="D1968" s="1" t="s">
        <v>2290</v>
      </c>
      <c r="E1968" s="1" t="n">
        <v>1667</v>
      </c>
      <c r="F1968" s="1" t="s">
        <v>807</v>
      </c>
      <c r="I1968" s="1" t="n">
        <v>395087</v>
      </c>
      <c r="J1968" s="1" t="n">
        <v>106546</v>
      </c>
      <c r="K1968" s="1" t="n">
        <v>7898330150013</v>
      </c>
      <c r="L1968" s="1" t="s">
        <v>3245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5" t="n">
        <v>46190</v>
      </c>
      <c r="C1969" s="1" t="n">
        <v>11</v>
      </c>
      <c r="D1969" s="1" t="s">
        <v>2290</v>
      </c>
      <c r="E1969" s="1" t="n">
        <v>1667</v>
      </c>
      <c r="F1969" s="1" t="s">
        <v>807</v>
      </c>
      <c r="I1969" s="1" t="n">
        <v>395087</v>
      </c>
      <c r="J1969" s="1" t="n">
        <v>41669</v>
      </c>
      <c r="K1969" s="1" t="n">
        <v>7898330152178</v>
      </c>
      <c r="L1969" s="1" t="s">
        <v>3246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5" t="n">
        <v>46190</v>
      </c>
      <c r="C1970" s="1" t="n">
        <v>11</v>
      </c>
      <c r="D1970" s="1" t="s">
        <v>2290</v>
      </c>
      <c r="E1970" s="1" t="n">
        <v>1667</v>
      </c>
      <c r="F1970" s="1" t="s">
        <v>807</v>
      </c>
      <c r="I1970" s="1" t="n">
        <v>395087</v>
      </c>
      <c r="J1970" s="1" t="n">
        <v>44738</v>
      </c>
      <c r="K1970" s="1" t="n">
        <v>7898330152161</v>
      </c>
      <c r="L1970" s="1" t="s">
        <v>3247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15" t="n">
        <v>46190</v>
      </c>
      <c r="C1971" s="1" t="n">
        <v>11</v>
      </c>
      <c r="D1971" s="1" t="s">
        <v>2290</v>
      </c>
      <c r="E1971" s="1" t="n">
        <v>1667</v>
      </c>
      <c r="F1971" s="1" t="s">
        <v>807</v>
      </c>
      <c r="I1971" s="1" t="n">
        <v>395087</v>
      </c>
      <c r="J1971" s="1" t="n">
        <v>45820</v>
      </c>
      <c r="K1971" s="1" t="n">
        <v>7896098909737</v>
      </c>
      <c r="L1971" s="1" t="s">
        <v>3248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15" t="n">
        <v>46190</v>
      </c>
      <c r="C1972" s="1" t="n">
        <v>11</v>
      </c>
      <c r="D1972" s="1" t="s">
        <v>2290</v>
      </c>
      <c r="E1972" s="1" t="n">
        <v>1667</v>
      </c>
      <c r="F1972" s="1" t="s">
        <v>807</v>
      </c>
      <c r="I1972" s="1" t="n">
        <v>395087</v>
      </c>
      <c r="J1972" s="1" t="n">
        <v>46292</v>
      </c>
      <c r="K1972" s="1" t="n">
        <v>7896098909782</v>
      </c>
      <c r="L1972" s="1" t="s">
        <v>3249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15" t="n">
        <v>46190</v>
      </c>
      <c r="C1973" s="1" t="n">
        <v>11</v>
      </c>
      <c r="D1973" s="1" t="s">
        <v>2290</v>
      </c>
      <c r="E1973" s="1" t="n">
        <v>1667</v>
      </c>
      <c r="F1973" s="1" t="s">
        <v>807</v>
      </c>
      <c r="I1973" s="1" t="n">
        <v>395087</v>
      </c>
      <c r="J1973" s="1" t="n">
        <v>46296</v>
      </c>
      <c r="K1973" s="1" t="n">
        <v>7896098909799</v>
      </c>
      <c r="L1973" s="1" t="s">
        <v>3250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5" t="n">
        <v>46190</v>
      </c>
      <c r="C1974" s="1" t="n">
        <v>11</v>
      </c>
      <c r="D1974" s="1" t="s">
        <v>2290</v>
      </c>
      <c r="E1974" s="1" t="n">
        <v>1667</v>
      </c>
      <c r="F1974" s="1" t="s">
        <v>807</v>
      </c>
      <c r="I1974" s="1" t="n">
        <v>395087</v>
      </c>
      <c r="J1974" s="1" t="n">
        <v>51856</v>
      </c>
      <c r="K1974" s="1" t="n">
        <v>7896256600278</v>
      </c>
      <c r="L1974" s="1" t="s">
        <v>3251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15" t="n">
        <v>46190</v>
      </c>
      <c r="C1975" s="1" t="n">
        <v>11</v>
      </c>
      <c r="D1975" s="1" t="s">
        <v>2290</v>
      </c>
      <c r="E1975" s="1" t="n">
        <v>1705</v>
      </c>
      <c r="F1975" s="1" t="s">
        <v>122</v>
      </c>
      <c r="I1975" s="1" t="n">
        <v>1167047</v>
      </c>
      <c r="J1975" s="1" t="n">
        <v>102360</v>
      </c>
      <c r="K1975" s="1" t="n">
        <v>7894900593709</v>
      </c>
      <c r="L1975" s="1" t="s">
        <v>3187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5" t="n">
        <v>46190</v>
      </c>
      <c r="C1976" s="1" t="n">
        <v>11</v>
      </c>
      <c r="D1976" s="1" t="s">
        <v>2290</v>
      </c>
      <c r="E1976" s="1" t="n">
        <v>1705</v>
      </c>
      <c r="F1976" s="1" t="s">
        <v>122</v>
      </c>
      <c r="I1976" s="1" t="n">
        <v>1167047</v>
      </c>
      <c r="J1976" s="1" t="n">
        <v>102362</v>
      </c>
      <c r="K1976" s="1" t="n">
        <v>7894900583700</v>
      </c>
      <c r="L1976" s="1" t="s">
        <v>3188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5" t="n">
        <v>46190</v>
      </c>
      <c r="C1977" s="1" t="n">
        <v>11</v>
      </c>
      <c r="D1977" s="1" t="s">
        <v>2290</v>
      </c>
      <c r="E1977" s="1" t="n">
        <v>1705</v>
      </c>
      <c r="F1977" s="1" t="s">
        <v>122</v>
      </c>
      <c r="I1977" s="1" t="n">
        <v>1167047</v>
      </c>
      <c r="J1977" s="1" t="n">
        <v>104575</v>
      </c>
      <c r="K1977" s="1" t="n">
        <v>7898341430098</v>
      </c>
      <c r="L1977" s="1" t="s">
        <v>3252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5" t="n">
        <v>46190</v>
      </c>
      <c r="C1978" s="1" t="n">
        <v>11</v>
      </c>
      <c r="D1978" s="1" t="s">
        <v>2290</v>
      </c>
      <c r="E1978" s="1" t="n">
        <v>1705</v>
      </c>
      <c r="F1978" s="1" t="s">
        <v>122</v>
      </c>
      <c r="I1978" s="1" t="n">
        <v>1167047</v>
      </c>
      <c r="J1978" s="1" t="n">
        <v>104576</v>
      </c>
      <c r="K1978" s="1" t="n">
        <v>7898341430111</v>
      </c>
      <c r="L1978" s="1" t="s">
        <v>3253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5" t="n">
        <v>46190</v>
      </c>
      <c r="C1979" s="1" t="n">
        <v>11</v>
      </c>
      <c r="D1979" s="1" t="s">
        <v>2290</v>
      </c>
      <c r="E1979" s="1" t="n">
        <v>1705</v>
      </c>
      <c r="F1979" s="1" t="s">
        <v>122</v>
      </c>
      <c r="I1979" s="1" t="n">
        <v>1167047</v>
      </c>
      <c r="J1979" s="1" t="n">
        <v>26195</v>
      </c>
      <c r="K1979" s="1" t="n">
        <v>7894900010398</v>
      </c>
      <c r="L1979" s="1" t="s">
        <v>3254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5" t="n">
        <v>46190</v>
      </c>
      <c r="C1980" s="1" t="n">
        <v>11</v>
      </c>
      <c r="D1980" s="1" t="s">
        <v>2290</v>
      </c>
      <c r="E1980" s="1" t="n">
        <v>1705</v>
      </c>
      <c r="F1980" s="1" t="s">
        <v>122</v>
      </c>
      <c r="I1980" s="1" t="n">
        <v>1167047</v>
      </c>
      <c r="J1980" s="1" t="n">
        <v>62378</v>
      </c>
      <c r="K1980" s="1" t="n">
        <v>7896045506934</v>
      </c>
      <c r="L1980" s="1" t="s">
        <v>3190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5" t="n">
        <v>46190</v>
      </c>
      <c r="C1981" s="1" t="n">
        <v>11</v>
      </c>
      <c r="D1981" s="1" t="s">
        <v>2290</v>
      </c>
      <c r="E1981" s="1" t="n">
        <v>1705</v>
      </c>
      <c r="F1981" s="1" t="s">
        <v>122</v>
      </c>
      <c r="I1981" s="1" t="n">
        <v>1167047</v>
      </c>
      <c r="J1981" s="1" t="n">
        <v>79144</v>
      </c>
      <c r="K1981" s="1" t="n">
        <v>7894900025026</v>
      </c>
      <c r="L1981" s="1" t="s">
        <v>3255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5" t="n">
        <v>46190</v>
      </c>
      <c r="C1982" s="1" t="n">
        <v>11</v>
      </c>
      <c r="D1982" s="1" t="s">
        <v>2290</v>
      </c>
      <c r="E1982" s="1" t="n">
        <v>1740</v>
      </c>
      <c r="F1982" s="1" t="s">
        <v>170</v>
      </c>
      <c r="I1982" s="1" t="n">
        <v>1238202</v>
      </c>
      <c r="J1982" s="1" t="n">
        <v>100036</v>
      </c>
      <c r="K1982" s="1" t="n">
        <v>37</v>
      </c>
      <c r="L1982" s="1" t="s">
        <v>2432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5" t="n">
        <v>46190</v>
      </c>
      <c r="C1983" s="1" t="n">
        <v>11</v>
      </c>
      <c r="D1983" s="1" t="s">
        <v>2290</v>
      </c>
      <c r="E1983" s="1" t="n">
        <v>1740</v>
      </c>
      <c r="F1983" s="1" t="s">
        <v>170</v>
      </c>
      <c r="I1983" s="1" t="n">
        <v>1238202</v>
      </c>
      <c r="J1983" s="1" t="n">
        <v>110530</v>
      </c>
      <c r="K1983" s="1" t="n">
        <v>57638</v>
      </c>
      <c r="L1983" s="1" t="s">
        <v>2433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5" t="n">
        <v>46190</v>
      </c>
      <c r="C1984" s="1" t="n">
        <v>11</v>
      </c>
      <c r="D1984" s="1" t="s">
        <v>2290</v>
      </c>
      <c r="E1984" s="1" t="n">
        <v>1672</v>
      </c>
      <c r="F1984" s="1" t="s">
        <v>67</v>
      </c>
      <c r="I1984" s="1" t="n">
        <v>1372173</v>
      </c>
      <c r="J1984" s="1" t="n">
        <v>101308</v>
      </c>
      <c r="K1984" s="1" t="n">
        <v>7896579330098</v>
      </c>
      <c r="L1984" s="1" t="s">
        <v>2434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5" t="n">
        <v>46190</v>
      </c>
      <c r="C1985" s="1" t="n">
        <v>11</v>
      </c>
      <c r="D1985" s="1" t="s">
        <v>2290</v>
      </c>
      <c r="E1985" s="1" t="n">
        <v>1672</v>
      </c>
      <c r="F1985" s="1" t="s">
        <v>67</v>
      </c>
      <c r="I1985" s="1" t="n">
        <v>1372173</v>
      </c>
      <c r="J1985" s="1" t="n">
        <v>37507</v>
      </c>
      <c r="K1985" s="1" t="n">
        <v>7896579310854</v>
      </c>
      <c r="L1985" s="1" t="s">
        <v>2435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5" t="n">
        <v>46190</v>
      </c>
      <c r="C1986" s="1" t="n">
        <v>11</v>
      </c>
      <c r="D1986" s="1" t="s">
        <v>2290</v>
      </c>
      <c r="E1986" s="1" t="n">
        <v>1705</v>
      </c>
      <c r="F1986" s="1" t="s">
        <v>122</v>
      </c>
      <c r="I1986" s="1" t="n">
        <v>1886844</v>
      </c>
      <c r="J1986" s="1" t="n">
        <v>30322</v>
      </c>
      <c r="K1986" s="1" t="n">
        <v>7894900681109</v>
      </c>
      <c r="L1986" s="1" t="s">
        <v>3256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5" t="n">
        <v>46190</v>
      </c>
      <c r="C1987" s="1" t="n">
        <v>11</v>
      </c>
      <c r="D1987" s="1" t="s">
        <v>2290</v>
      </c>
      <c r="E1987" s="1" t="n">
        <v>1705</v>
      </c>
      <c r="F1987" s="1" t="s">
        <v>122</v>
      </c>
      <c r="I1987" s="1" t="n">
        <v>1886844</v>
      </c>
      <c r="J1987" s="1" t="n">
        <v>103139</v>
      </c>
      <c r="K1987" s="1" t="n">
        <v>7894900051759</v>
      </c>
      <c r="L1987" s="1" t="s">
        <v>2303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5" t="n">
        <v>46190</v>
      </c>
      <c r="C1988" s="1" t="n">
        <v>11</v>
      </c>
      <c r="D1988" s="1" t="s">
        <v>2290</v>
      </c>
      <c r="E1988" s="1" t="n">
        <v>1705</v>
      </c>
      <c r="F1988" s="1" t="s">
        <v>122</v>
      </c>
      <c r="I1988" s="1" t="n">
        <v>1886844</v>
      </c>
      <c r="J1988" s="1" t="n">
        <v>103140</v>
      </c>
      <c r="K1988" s="1" t="n">
        <v>7894900031751</v>
      </c>
      <c r="L1988" s="1" t="s">
        <v>2304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5" t="n">
        <v>46190</v>
      </c>
      <c r="C1989" s="1" t="n">
        <v>11</v>
      </c>
      <c r="D1989" s="1" t="s">
        <v>2290</v>
      </c>
      <c r="E1989" s="1" t="n">
        <v>1705</v>
      </c>
      <c r="F1989" s="1" t="s">
        <v>122</v>
      </c>
      <c r="I1989" s="1" t="n">
        <v>1886844</v>
      </c>
      <c r="J1989" s="1" t="n">
        <v>103145</v>
      </c>
      <c r="K1989" s="1" t="n">
        <v>7894900051513</v>
      </c>
      <c r="L1989" s="1" t="s">
        <v>2306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5" t="n">
        <v>46190</v>
      </c>
      <c r="C1990" s="1" t="n">
        <v>11</v>
      </c>
      <c r="D1990" s="1" t="s">
        <v>2290</v>
      </c>
      <c r="E1990" s="1" t="n">
        <v>1705</v>
      </c>
      <c r="F1990" s="1" t="s">
        <v>122</v>
      </c>
      <c r="I1990" s="1" t="n">
        <v>1886844</v>
      </c>
      <c r="J1990" s="1" t="n">
        <v>103146</v>
      </c>
      <c r="K1990" s="1" t="n">
        <v>7894900031515</v>
      </c>
      <c r="L1990" s="1" t="s">
        <v>2876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5" t="n">
        <v>46190</v>
      </c>
      <c r="C1991" s="1" t="n">
        <v>11</v>
      </c>
      <c r="D1991" s="1" t="s">
        <v>2290</v>
      </c>
      <c r="E1991" s="1" t="n">
        <v>1705</v>
      </c>
      <c r="F1991" s="1" t="s">
        <v>122</v>
      </c>
      <c r="I1991" s="1" t="n">
        <v>1886844</v>
      </c>
      <c r="J1991" s="1" t="n">
        <v>104472</v>
      </c>
      <c r="K1991" s="1" t="n">
        <v>7897105200038</v>
      </c>
      <c r="L1991" s="1" t="s">
        <v>3257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5" t="n">
        <v>46190</v>
      </c>
      <c r="C1992" s="1" t="n">
        <v>11</v>
      </c>
      <c r="D1992" s="1" t="s">
        <v>2290</v>
      </c>
      <c r="E1992" s="1" t="n">
        <v>1705</v>
      </c>
      <c r="F1992" s="1" t="s">
        <v>122</v>
      </c>
      <c r="I1992" s="1" t="n">
        <v>1886844</v>
      </c>
      <c r="J1992" s="1" t="n">
        <v>105323</v>
      </c>
      <c r="K1992" s="1" t="n">
        <v>7894900701753</v>
      </c>
      <c r="L1992" s="1" t="s">
        <v>2307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5" t="n">
        <v>46190</v>
      </c>
      <c r="C1993" s="1" t="n">
        <v>11</v>
      </c>
      <c r="D1993" s="1" t="s">
        <v>2290</v>
      </c>
      <c r="E1993" s="1" t="n">
        <v>1705</v>
      </c>
      <c r="F1993" s="1" t="s">
        <v>122</v>
      </c>
      <c r="I1993" s="1" t="n">
        <v>1886844</v>
      </c>
      <c r="J1993" s="1" t="n">
        <v>21426</v>
      </c>
      <c r="K1993" s="1" t="n">
        <v>7894900014211</v>
      </c>
      <c r="L1993" s="1" t="s">
        <v>2309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5" t="n">
        <v>46190</v>
      </c>
      <c r="C1994" s="1" t="n">
        <v>11</v>
      </c>
      <c r="D1994" s="1" t="s">
        <v>2290</v>
      </c>
      <c r="E1994" s="1" t="n">
        <v>1705</v>
      </c>
      <c r="F1994" s="1" t="s">
        <v>122</v>
      </c>
      <c r="I1994" s="1" t="n">
        <v>1886844</v>
      </c>
      <c r="J1994" s="1" t="n">
        <v>27643</v>
      </c>
      <c r="K1994" s="1" t="n">
        <v>7894900031713</v>
      </c>
      <c r="L1994" s="1" t="s">
        <v>2881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5" t="n">
        <v>46190</v>
      </c>
      <c r="C1995" s="1" t="n">
        <v>11</v>
      </c>
      <c r="D1995" s="1" t="s">
        <v>2290</v>
      </c>
      <c r="E1995" s="1" t="n">
        <v>1705</v>
      </c>
      <c r="F1995" s="1" t="s">
        <v>122</v>
      </c>
      <c r="I1995" s="1" t="n">
        <v>1886844</v>
      </c>
      <c r="J1995" s="1" t="n">
        <v>29614</v>
      </c>
      <c r="K1995" s="1" t="n">
        <v>7894900550030</v>
      </c>
      <c r="L1995" s="1" t="s">
        <v>3258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5" t="n">
        <v>46190</v>
      </c>
      <c r="C1996" s="1" t="n">
        <v>11</v>
      </c>
      <c r="D1996" s="1" t="s">
        <v>2290</v>
      </c>
      <c r="E1996" s="1" t="n">
        <v>1705</v>
      </c>
      <c r="F1996" s="1" t="s">
        <v>122</v>
      </c>
      <c r="I1996" s="1" t="n">
        <v>1886844</v>
      </c>
      <c r="J1996" s="1" t="n">
        <v>30085</v>
      </c>
      <c r="K1996" s="1" t="n">
        <v>7894900054217</v>
      </c>
      <c r="L1996" s="1" t="s">
        <v>3259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5" t="n">
        <v>46190</v>
      </c>
      <c r="C1997" s="1" t="n">
        <v>11</v>
      </c>
      <c r="D1997" s="1" t="s">
        <v>2290</v>
      </c>
      <c r="E1997" s="1" t="n">
        <v>1705</v>
      </c>
      <c r="F1997" s="1" t="s">
        <v>122</v>
      </c>
      <c r="I1997" s="1" t="n">
        <v>1886844</v>
      </c>
      <c r="J1997" s="1" t="n">
        <v>32286</v>
      </c>
      <c r="K1997" s="1" t="n">
        <v>78939790</v>
      </c>
      <c r="L1997" s="1" t="s">
        <v>3260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5" t="n">
        <v>46190</v>
      </c>
      <c r="C1998" s="1" t="n">
        <v>11</v>
      </c>
      <c r="D1998" s="1" t="s">
        <v>2290</v>
      </c>
      <c r="E1998" s="1" t="n">
        <v>1705</v>
      </c>
      <c r="F1998" s="1" t="s">
        <v>122</v>
      </c>
      <c r="I1998" s="1" t="n">
        <v>1886844</v>
      </c>
      <c r="J1998" s="1" t="n">
        <v>32339</v>
      </c>
      <c r="K1998" s="1" t="n">
        <v>7894900681000</v>
      </c>
      <c r="L1998" s="1" t="s">
        <v>3261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5" t="n">
        <v>46190</v>
      </c>
      <c r="C1999" s="1" t="n">
        <v>11</v>
      </c>
      <c r="D1999" s="1" t="s">
        <v>2290</v>
      </c>
      <c r="E1999" s="1" t="n">
        <v>1705</v>
      </c>
      <c r="F1999" s="1" t="s">
        <v>122</v>
      </c>
      <c r="I1999" s="1" t="n">
        <v>1886844</v>
      </c>
      <c r="J1999" s="1" t="n">
        <v>34629</v>
      </c>
      <c r="K1999" s="1" t="n">
        <v>7894900027020</v>
      </c>
      <c r="L1999" s="1" t="s">
        <v>2313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5" t="n">
        <v>46190</v>
      </c>
      <c r="C2000" s="1" t="n">
        <v>11</v>
      </c>
      <c r="D2000" s="1" t="s">
        <v>2290</v>
      </c>
      <c r="E2000" s="1" t="n">
        <v>1705</v>
      </c>
      <c r="F2000" s="1" t="s">
        <v>122</v>
      </c>
      <c r="I2000" s="1" t="n">
        <v>1886844</v>
      </c>
      <c r="J2000" s="1" t="n">
        <v>37279</v>
      </c>
      <c r="K2000" s="1" t="n">
        <v>7894900027013</v>
      </c>
      <c r="L2000" s="1" t="s">
        <v>2305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5" t="n">
        <v>46190</v>
      </c>
      <c r="C2001" s="1" t="n">
        <v>11</v>
      </c>
      <c r="D2001" s="1" t="s">
        <v>2290</v>
      </c>
      <c r="E2001" s="1" t="n">
        <v>1705</v>
      </c>
      <c r="F2001" s="1" t="s">
        <v>122</v>
      </c>
      <c r="I2001" s="1" t="n">
        <v>1886844</v>
      </c>
      <c r="J2001" s="1" t="n">
        <v>38060</v>
      </c>
      <c r="K2001" s="1" t="n">
        <v>7894900701609</v>
      </c>
      <c r="L2001" s="1" t="s">
        <v>2884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5" t="n">
        <v>46190</v>
      </c>
      <c r="C2002" s="1" t="n">
        <v>11</v>
      </c>
      <c r="D2002" s="1" t="s">
        <v>2290</v>
      </c>
      <c r="E2002" s="1" t="n">
        <v>1705</v>
      </c>
      <c r="F2002" s="1" t="s">
        <v>122</v>
      </c>
      <c r="I2002" s="1" t="n">
        <v>1886844</v>
      </c>
      <c r="J2002" s="1" t="n">
        <v>38978</v>
      </c>
      <c r="K2002" s="1" t="n">
        <v>7894900034097</v>
      </c>
      <c r="L2002" s="1" t="s">
        <v>2314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5" t="n">
        <v>46190</v>
      </c>
      <c r="C2003" s="1" t="n">
        <v>11</v>
      </c>
      <c r="D2003" s="1" t="s">
        <v>2290</v>
      </c>
      <c r="E2003" s="1" t="n">
        <v>1705</v>
      </c>
      <c r="F2003" s="1" t="s">
        <v>122</v>
      </c>
      <c r="I2003" s="1" t="n">
        <v>1886844</v>
      </c>
      <c r="J2003" s="1" t="n">
        <v>38984</v>
      </c>
      <c r="K2003" s="1" t="n">
        <v>7894900027457</v>
      </c>
      <c r="L2003" s="1" t="s">
        <v>2315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5" t="n">
        <v>46190</v>
      </c>
      <c r="C2004" s="1" t="n">
        <v>11</v>
      </c>
      <c r="D2004" s="1" t="s">
        <v>2290</v>
      </c>
      <c r="E2004" s="1" t="n">
        <v>1705</v>
      </c>
      <c r="F2004" s="1" t="s">
        <v>122</v>
      </c>
      <c r="I2004" s="1" t="n">
        <v>1886844</v>
      </c>
      <c r="J2004" s="1" t="n">
        <v>38985</v>
      </c>
      <c r="K2004" s="1" t="n">
        <v>7894900044096</v>
      </c>
      <c r="L2004" s="1" t="s">
        <v>2316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5" t="n">
        <v>46190</v>
      </c>
      <c r="C2005" s="1" t="n">
        <v>11</v>
      </c>
      <c r="D2005" s="1" t="s">
        <v>2290</v>
      </c>
      <c r="E2005" s="1" t="n">
        <v>1705</v>
      </c>
      <c r="F2005" s="1" t="s">
        <v>122</v>
      </c>
      <c r="I2005" s="1" t="n">
        <v>1886844</v>
      </c>
      <c r="J2005" s="1" t="n">
        <v>47954</v>
      </c>
      <c r="K2005" s="1" t="n">
        <v>7894900666519</v>
      </c>
      <c r="L2005" s="1" t="s">
        <v>3262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5" t="n">
        <v>46190</v>
      </c>
      <c r="C2006" s="1" t="n">
        <v>11</v>
      </c>
      <c r="D2006" s="1" t="s">
        <v>2290</v>
      </c>
      <c r="E2006" s="1" t="n">
        <v>1705</v>
      </c>
      <c r="F2006" s="1" t="s">
        <v>122</v>
      </c>
      <c r="I2006" s="1" t="n">
        <v>1886844</v>
      </c>
      <c r="J2006" s="1" t="n">
        <v>64292</v>
      </c>
      <c r="K2006" s="1" t="n">
        <v>78938588</v>
      </c>
      <c r="L2006" s="1" t="s">
        <v>3263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5" t="n">
        <v>46190</v>
      </c>
      <c r="C2007" s="1" t="n">
        <v>11</v>
      </c>
      <c r="D2007" s="1" t="s">
        <v>2290</v>
      </c>
      <c r="E2007" s="1" t="n">
        <v>1636</v>
      </c>
      <c r="F2007" s="1" t="s">
        <v>49</v>
      </c>
      <c r="I2007" s="1" t="n">
        <v>3204267</v>
      </c>
      <c r="J2007" s="1" t="n">
        <v>102054</v>
      </c>
      <c r="K2007" s="1" t="n">
        <v>7894000030470</v>
      </c>
      <c r="L2007" s="1" t="s">
        <v>3264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5" t="n">
        <v>46190</v>
      </c>
      <c r="C2008" s="1" t="n">
        <v>171</v>
      </c>
      <c r="D2008" s="1" t="s">
        <v>2517</v>
      </c>
      <c r="E2008" s="1" t="n">
        <v>1636</v>
      </c>
      <c r="F2008" s="1" t="s">
        <v>49</v>
      </c>
      <c r="I2008" s="1" t="n">
        <v>3204270</v>
      </c>
      <c r="J2008" s="1" t="n">
        <v>57639</v>
      </c>
      <c r="K2008" s="1" t="n">
        <v>7896004006277</v>
      </c>
      <c r="L2008" s="1" t="s">
        <v>2364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5" t="n">
        <v>46191</v>
      </c>
      <c r="C2009" s="1" t="n">
        <v>1</v>
      </c>
      <c r="D2009" s="1" t="s">
        <v>2317</v>
      </c>
      <c r="E2009" s="1" t="n">
        <v>1609</v>
      </c>
      <c r="F2009" s="1" t="s">
        <v>410</v>
      </c>
      <c r="I2009" s="1" t="n">
        <v>5672</v>
      </c>
      <c r="J2009" s="1" t="n">
        <v>13720</v>
      </c>
      <c r="K2009" s="1" t="n">
        <v>7896981600307</v>
      </c>
      <c r="L2009" s="1" t="s">
        <v>2523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5" t="n">
        <v>46191</v>
      </c>
      <c r="C2010" s="1" t="n">
        <v>1</v>
      </c>
      <c r="D2010" s="1" t="s">
        <v>2317</v>
      </c>
      <c r="E2010" s="1" t="n">
        <v>1609</v>
      </c>
      <c r="F2010" s="1" t="s">
        <v>410</v>
      </c>
      <c r="I2010" s="1" t="n">
        <v>5672</v>
      </c>
      <c r="J2010" s="1" t="n">
        <v>17163</v>
      </c>
      <c r="K2010" s="1" t="n">
        <v>7896981600567</v>
      </c>
      <c r="L2010" s="1" t="s">
        <v>2524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5" t="n">
        <v>46191</v>
      </c>
      <c r="C2011" s="1" t="n">
        <v>1</v>
      </c>
      <c r="D2011" s="1" t="s">
        <v>2317</v>
      </c>
      <c r="E2011" s="1" t="n">
        <v>1609</v>
      </c>
      <c r="F2011" s="1" t="s">
        <v>410</v>
      </c>
      <c r="I2011" s="1" t="n">
        <v>5672</v>
      </c>
      <c r="J2011" s="1" t="n">
        <v>18385</v>
      </c>
      <c r="K2011" s="1" t="n">
        <v>7896878801220</v>
      </c>
      <c r="L2011" s="1" t="s">
        <v>2527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5" t="n">
        <v>46191</v>
      </c>
      <c r="C2012" s="1" t="n">
        <v>1</v>
      </c>
      <c r="D2012" s="1" t="s">
        <v>2317</v>
      </c>
      <c r="E2012" s="1" t="n">
        <v>1609</v>
      </c>
      <c r="F2012" s="1" t="s">
        <v>410</v>
      </c>
      <c r="I2012" s="1" t="n">
        <v>5672</v>
      </c>
      <c r="J2012" s="1" t="n">
        <v>18775</v>
      </c>
      <c r="K2012" s="1" t="n">
        <v>7896878801237</v>
      </c>
      <c r="L2012" s="1" t="s">
        <v>2528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5" t="n">
        <v>46191</v>
      </c>
      <c r="C2013" s="1" t="n">
        <v>1</v>
      </c>
      <c r="D2013" s="1" t="s">
        <v>2317</v>
      </c>
      <c r="E2013" s="1" t="n">
        <v>1609</v>
      </c>
      <c r="F2013" s="1" t="s">
        <v>410</v>
      </c>
      <c r="I2013" s="1" t="n">
        <v>5672</v>
      </c>
      <c r="J2013" s="1" t="n">
        <v>18968</v>
      </c>
      <c r="K2013" s="1" t="n">
        <v>7896878801244</v>
      </c>
      <c r="L2013" s="1" t="s">
        <v>2529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5" t="n">
        <v>46191</v>
      </c>
      <c r="C2014" s="1" t="n">
        <v>1</v>
      </c>
      <c r="D2014" s="1" t="s">
        <v>2317</v>
      </c>
      <c r="E2014" s="1" t="n">
        <v>1609</v>
      </c>
      <c r="F2014" s="1" t="s">
        <v>410</v>
      </c>
      <c r="I2014" s="1" t="n">
        <v>5672</v>
      </c>
      <c r="J2014" s="1" t="n">
        <v>20028</v>
      </c>
      <c r="K2014" s="1" t="n">
        <v>7896878801091</v>
      </c>
      <c r="L2014" s="1" t="s">
        <v>3265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5" t="n">
        <v>46191</v>
      </c>
      <c r="C2015" s="1" t="n">
        <v>1</v>
      </c>
      <c r="D2015" s="1" t="s">
        <v>2317</v>
      </c>
      <c r="E2015" s="1" t="n">
        <v>1609</v>
      </c>
      <c r="F2015" s="1" t="s">
        <v>410</v>
      </c>
      <c r="I2015" s="1" t="n">
        <v>5672</v>
      </c>
      <c r="J2015" s="1" t="n">
        <v>41614</v>
      </c>
      <c r="K2015" s="1" t="n">
        <v>7896878801213</v>
      </c>
      <c r="L2015" s="1" t="s">
        <v>2530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5" t="n">
        <v>46191</v>
      </c>
      <c r="C2016" s="1" t="n">
        <v>1</v>
      </c>
      <c r="D2016" s="1" t="s">
        <v>2317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2737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5" t="n">
        <v>46191</v>
      </c>
      <c r="C2017" s="1" t="n">
        <v>1</v>
      </c>
      <c r="D2017" s="1" t="s">
        <v>2317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2738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5" t="n">
        <v>46191</v>
      </c>
      <c r="C2018" s="1" t="n">
        <v>1</v>
      </c>
      <c r="D2018" s="1" t="s">
        <v>2317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2739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5" t="n">
        <v>46191</v>
      </c>
      <c r="C2019" s="1" t="n">
        <v>1</v>
      </c>
      <c r="D2019" s="1" t="s">
        <v>2317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2481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5" t="n">
        <v>46191</v>
      </c>
      <c r="C2020" s="1" t="n">
        <v>1</v>
      </c>
      <c r="D2020" s="1" t="s">
        <v>2317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2741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5" t="n">
        <v>46191</v>
      </c>
      <c r="C2021" s="1" t="n">
        <v>1</v>
      </c>
      <c r="D2021" s="1" t="s">
        <v>2317</v>
      </c>
      <c r="E2021" s="1" t="n">
        <v>1642</v>
      </c>
      <c r="F2021" s="1" t="s">
        <v>274</v>
      </c>
      <c r="I2021" s="1" t="n">
        <v>1027742</v>
      </c>
      <c r="J2021" s="1" t="n">
        <v>104335</v>
      </c>
      <c r="K2021" s="1" t="n">
        <v>7896289210512</v>
      </c>
      <c r="L2021" s="1" t="s">
        <v>2466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5" t="n">
        <v>46191</v>
      </c>
      <c r="C2022" s="1" t="n">
        <v>1</v>
      </c>
      <c r="D2022" s="1" t="s">
        <v>2317</v>
      </c>
      <c r="E2022" s="1" t="n">
        <v>1642</v>
      </c>
      <c r="F2022" s="1" t="s">
        <v>274</v>
      </c>
      <c r="I2022" s="1" t="n">
        <v>1027742</v>
      </c>
      <c r="J2022" s="1" t="n">
        <v>105780</v>
      </c>
      <c r="K2022" s="1" t="n">
        <v>7896289210017</v>
      </c>
      <c r="L2022" s="1" t="s">
        <v>2467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5" t="n">
        <v>46191</v>
      </c>
      <c r="C2023" s="1" t="n">
        <v>1</v>
      </c>
      <c r="D2023" s="1" t="s">
        <v>2317</v>
      </c>
      <c r="E2023" s="1" t="n">
        <v>1642</v>
      </c>
      <c r="F2023" s="1" t="s">
        <v>274</v>
      </c>
      <c r="I2023" s="1" t="n">
        <v>1027742</v>
      </c>
      <c r="J2023" s="1" t="n">
        <v>105782</v>
      </c>
      <c r="K2023" s="1" t="n">
        <v>7896289210352</v>
      </c>
      <c r="L2023" s="1" t="s">
        <v>2468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5" t="n">
        <v>46191</v>
      </c>
      <c r="C2024" s="1" t="n">
        <v>1</v>
      </c>
      <c r="D2024" s="1" t="s">
        <v>2317</v>
      </c>
      <c r="E2024" s="1" t="n">
        <v>1642</v>
      </c>
      <c r="F2024" s="1" t="s">
        <v>274</v>
      </c>
      <c r="I2024" s="1" t="n">
        <v>1027742</v>
      </c>
      <c r="J2024" s="1" t="n">
        <v>106079</v>
      </c>
      <c r="K2024" s="1" t="n">
        <v>7896289210130</v>
      </c>
      <c r="L2024" s="1" t="s">
        <v>2469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5" t="n">
        <v>46191</v>
      </c>
      <c r="C2025" s="1" t="n">
        <v>1</v>
      </c>
      <c r="D2025" s="1" t="s">
        <v>2317</v>
      </c>
      <c r="E2025" s="1" t="n">
        <v>1642</v>
      </c>
      <c r="F2025" s="1" t="s">
        <v>274</v>
      </c>
      <c r="I2025" s="1" t="n">
        <v>1027742</v>
      </c>
      <c r="J2025" s="1" t="n">
        <v>106274</v>
      </c>
      <c r="K2025" s="1" t="n">
        <v>7896289210086</v>
      </c>
      <c r="L2025" s="1" t="s">
        <v>2470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5" t="n">
        <v>46191</v>
      </c>
      <c r="C2026" s="1" t="n">
        <v>1</v>
      </c>
      <c r="D2026" s="1" t="s">
        <v>2317</v>
      </c>
      <c r="E2026" s="1" t="n">
        <v>1642</v>
      </c>
      <c r="F2026" s="1" t="s">
        <v>274</v>
      </c>
      <c r="I2026" s="1" t="n">
        <v>1027742</v>
      </c>
      <c r="J2026" s="1" t="n">
        <v>106280</v>
      </c>
      <c r="K2026" s="1" t="n">
        <v>7896289210062</v>
      </c>
      <c r="L2026" s="1" t="s">
        <v>2471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5" t="n">
        <v>46191</v>
      </c>
      <c r="C2027" s="1" t="n">
        <v>1</v>
      </c>
      <c r="D2027" s="1" t="s">
        <v>2317</v>
      </c>
      <c r="E2027" s="1" t="n">
        <v>1642</v>
      </c>
      <c r="F2027" s="1" t="s">
        <v>274</v>
      </c>
      <c r="I2027" s="1" t="n">
        <v>1027742</v>
      </c>
      <c r="J2027" s="1" t="n">
        <v>106407</v>
      </c>
      <c r="K2027" s="1" t="n">
        <v>7896289210031</v>
      </c>
      <c r="L2027" s="1" t="s">
        <v>2472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5" t="n">
        <v>46191</v>
      </c>
      <c r="C2028" s="1" t="n">
        <v>2</v>
      </c>
      <c r="D2028" s="1" t="s">
        <v>2283</v>
      </c>
      <c r="E2028" s="1" t="n">
        <v>42</v>
      </c>
      <c r="F2028" s="1" t="s">
        <v>80</v>
      </c>
      <c r="I2028" s="1" t="n">
        <v>180601</v>
      </c>
      <c r="J2028" s="1" t="n">
        <v>109791</v>
      </c>
      <c r="K2028" s="1" t="n">
        <v>9667</v>
      </c>
      <c r="L2028" s="1" t="s">
        <v>2284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5" t="n">
        <v>46191</v>
      </c>
      <c r="C2029" s="1" t="n">
        <v>2</v>
      </c>
      <c r="D2029" s="1" t="s">
        <v>2283</v>
      </c>
      <c r="E2029" s="1" t="n">
        <v>42</v>
      </c>
      <c r="F2029" s="1" t="s">
        <v>80</v>
      </c>
      <c r="I2029" s="1" t="n">
        <v>180601</v>
      </c>
      <c r="J2029" s="1" t="n">
        <v>37359</v>
      </c>
      <c r="K2029" s="1" t="n">
        <v>55526</v>
      </c>
      <c r="L2029" s="1" t="s">
        <v>2285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5" t="n">
        <v>46191</v>
      </c>
      <c r="C2030" s="1" t="n">
        <v>2</v>
      </c>
      <c r="D2030" s="1" t="s">
        <v>2283</v>
      </c>
      <c r="E2030" s="1" t="n">
        <v>42</v>
      </c>
      <c r="F2030" s="1" t="s">
        <v>80</v>
      </c>
      <c r="I2030" s="1" t="n">
        <v>180601</v>
      </c>
      <c r="J2030" s="1" t="n">
        <v>37361</v>
      </c>
      <c r="K2030" s="1" t="n">
        <v>2240817</v>
      </c>
      <c r="L2030" s="1" t="s">
        <v>2286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5" t="n">
        <v>46191</v>
      </c>
      <c r="C2031" s="1" t="n">
        <v>2</v>
      </c>
      <c r="D2031" s="1" t="s">
        <v>2283</v>
      </c>
      <c r="E2031" s="1" t="n">
        <v>42</v>
      </c>
      <c r="F2031" s="1" t="s">
        <v>80</v>
      </c>
      <c r="I2031" s="1" t="n">
        <v>180602</v>
      </c>
      <c r="J2031" s="1" t="n">
        <v>72679</v>
      </c>
      <c r="K2031" s="1" t="n">
        <v>246</v>
      </c>
      <c r="L2031" s="1" t="s">
        <v>2288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5" t="n">
        <v>46191</v>
      </c>
      <c r="C2032" s="1" t="n">
        <v>2</v>
      </c>
      <c r="D2032" s="1" t="s">
        <v>2283</v>
      </c>
      <c r="E2032" s="1" t="n">
        <v>42</v>
      </c>
      <c r="F2032" s="1" t="s">
        <v>80</v>
      </c>
      <c r="I2032" s="1" t="n">
        <v>180603</v>
      </c>
      <c r="J2032" s="1" t="n">
        <v>100103</v>
      </c>
      <c r="K2032" s="1" t="n">
        <v>104</v>
      </c>
      <c r="L2032" s="1" t="s">
        <v>2287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5" t="n">
        <v>46191</v>
      </c>
      <c r="C2033" s="1" t="n">
        <v>6</v>
      </c>
      <c r="D2033" s="1" t="s">
        <v>2289</v>
      </c>
      <c r="E2033" s="1" t="n">
        <v>42</v>
      </c>
      <c r="F2033" s="1" t="s">
        <v>80</v>
      </c>
      <c r="I2033" s="1" t="n">
        <v>4283</v>
      </c>
      <c r="J2033" s="1" t="n">
        <v>109791</v>
      </c>
      <c r="K2033" s="1" t="n">
        <v>9667</v>
      </c>
      <c r="L2033" s="1" t="s">
        <v>2284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5" t="n">
        <v>46191</v>
      </c>
      <c r="C2034" s="1" t="n">
        <v>6</v>
      </c>
      <c r="D2034" s="1" t="s">
        <v>2289</v>
      </c>
      <c r="E2034" s="1" t="n">
        <v>42</v>
      </c>
      <c r="F2034" s="1" t="s">
        <v>80</v>
      </c>
      <c r="I2034" s="1" t="n">
        <v>4283</v>
      </c>
      <c r="J2034" s="1" t="n">
        <v>37359</v>
      </c>
      <c r="K2034" s="1" t="n">
        <v>55526</v>
      </c>
      <c r="L2034" s="1" t="s">
        <v>2285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5" t="n">
        <v>46191</v>
      </c>
      <c r="C2035" s="1" t="n">
        <v>6</v>
      </c>
      <c r="D2035" s="1" t="s">
        <v>2289</v>
      </c>
      <c r="E2035" s="1" t="n">
        <v>42</v>
      </c>
      <c r="F2035" s="1" t="s">
        <v>80</v>
      </c>
      <c r="I2035" s="1" t="n">
        <v>4283</v>
      </c>
      <c r="J2035" s="1" t="n">
        <v>37361</v>
      </c>
      <c r="K2035" s="1" t="n">
        <v>2240817</v>
      </c>
      <c r="L2035" s="1" t="s">
        <v>2286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5" t="n">
        <v>46191</v>
      </c>
      <c r="C2036" s="1" t="n">
        <v>6</v>
      </c>
      <c r="D2036" s="1" t="s">
        <v>2289</v>
      </c>
      <c r="E2036" s="1" t="n">
        <v>42</v>
      </c>
      <c r="F2036" s="1" t="s">
        <v>80</v>
      </c>
      <c r="I2036" s="1" t="n">
        <v>4284</v>
      </c>
      <c r="J2036" s="1" t="n">
        <v>72679</v>
      </c>
      <c r="K2036" s="1" t="n">
        <v>246</v>
      </c>
      <c r="L2036" s="1" t="s">
        <v>2288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5" t="n">
        <v>46191</v>
      </c>
      <c r="C2037" s="1" t="n">
        <v>6</v>
      </c>
      <c r="D2037" s="1" t="s">
        <v>2289</v>
      </c>
      <c r="E2037" s="1" t="n">
        <v>42</v>
      </c>
      <c r="F2037" s="1" t="s">
        <v>80</v>
      </c>
      <c r="I2037" s="1" t="n">
        <v>4285</v>
      </c>
      <c r="J2037" s="1" t="n">
        <v>100103</v>
      </c>
      <c r="K2037" s="1" t="n">
        <v>104</v>
      </c>
      <c r="L2037" s="1" t="s">
        <v>2287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5" t="n">
        <v>46191</v>
      </c>
      <c r="C2038" s="1" t="n">
        <v>11</v>
      </c>
      <c r="D2038" s="1" t="s">
        <v>2290</v>
      </c>
      <c r="E2038" s="1" t="n">
        <v>1613</v>
      </c>
      <c r="F2038" s="1" t="s">
        <v>177</v>
      </c>
      <c r="I2038" s="1" t="n">
        <v>1598348</v>
      </c>
      <c r="J2038" s="1" t="n">
        <v>100034</v>
      </c>
      <c r="K2038" s="1" t="n">
        <v>35</v>
      </c>
      <c r="L2038" s="1" t="s">
        <v>3266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5" t="n">
        <v>46191</v>
      </c>
      <c r="C2039" s="1" t="n">
        <v>11</v>
      </c>
      <c r="D2039" s="1" t="s">
        <v>2290</v>
      </c>
      <c r="E2039" s="1" t="n">
        <v>1613</v>
      </c>
      <c r="F2039" s="1" t="s">
        <v>177</v>
      </c>
      <c r="I2039" s="1" t="n">
        <v>1598348</v>
      </c>
      <c r="J2039" s="1" t="n">
        <v>100035</v>
      </c>
      <c r="K2039" s="1" t="n">
        <v>36</v>
      </c>
      <c r="L2039" s="1" t="s">
        <v>2391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5" t="n">
        <v>46191</v>
      </c>
      <c r="C2040" s="1" t="n">
        <v>11</v>
      </c>
      <c r="D2040" s="1" t="s">
        <v>2290</v>
      </c>
      <c r="E2040" s="1" t="n">
        <v>1613</v>
      </c>
      <c r="F2040" s="1" t="s">
        <v>177</v>
      </c>
      <c r="I2040" s="1" t="n">
        <v>1598348</v>
      </c>
      <c r="J2040" s="1" t="n">
        <v>110883</v>
      </c>
      <c r="K2040" s="1" t="n">
        <v>45</v>
      </c>
      <c r="L2040" s="1" t="s">
        <v>3267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5" t="n">
        <v>46191</v>
      </c>
      <c r="C2041" s="1" t="n">
        <v>11</v>
      </c>
      <c r="D2041" s="1" t="s">
        <v>2290</v>
      </c>
      <c r="E2041" s="1" t="n">
        <v>1613</v>
      </c>
      <c r="F2041" s="1" t="s">
        <v>177</v>
      </c>
      <c r="I2041" s="1" t="n">
        <v>1598348</v>
      </c>
      <c r="J2041" s="1" t="n">
        <v>100045</v>
      </c>
      <c r="K2041" s="1" t="n">
        <v>46</v>
      </c>
      <c r="L2041" s="1" t="s">
        <v>3268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5" t="n">
        <v>46191</v>
      </c>
      <c r="C2042" s="1" t="n">
        <v>11</v>
      </c>
      <c r="D2042" s="1" t="s">
        <v>2290</v>
      </c>
      <c r="E2042" s="1" t="n">
        <v>1613</v>
      </c>
      <c r="F2042" s="1" t="s">
        <v>177</v>
      </c>
      <c r="I2042" s="1" t="n">
        <v>1598348</v>
      </c>
      <c r="J2042" s="1" t="n">
        <v>108591</v>
      </c>
      <c r="K2042" s="1" t="n">
        <v>8461</v>
      </c>
      <c r="L2042" s="1" t="s">
        <v>3269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5" t="n">
        <v>46191</v>
      </c>
      <c r="C2043" s="1" t="n">
        <v>11</v>
      </c>
      <c r="D2043" s="1" t="s">
        <v>2290</v>
      </c>
      <c r="E2043" s="1" t="n">
        <v>1613</v>
      </c>
      <c r="F2043" s="1" t="s">
        <v>177</v>
      </c>
      <c r="I2043" s="1" t="n">
        <v>1598348</v>
      </c>
      <c r="J2043" s="1" t="n">
        <v>110181</v>
      </c>
      <c r="K2043" s="1" t="n">
        <v>37389</v>
      </c>
      <c r="L2043" s="1" t="s">
        <v>3270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5" t="n">
        <v>46191</v>
      </c>
      <c r="C2044" s="1" t="n">
        <v>11</v>
      </c>
      <c r="D2044" s="1" t="s">
        <v>2290</v>
      </c>
      <c r="E2044" s="1" t="n">
        <v>10012</v>
      </c>
      <c r="F2044" s="1" t="s">
        <v>393</v>
      </c>
      <c r="I2044" s="1" t="n">
        <v>1959198</v>
      </c>
      <c r="J2044" s="1" t="n">
        <v>103295</v>
      </c>
      <c r="K2044" s="1" t="n">
        <v>7896046713157</v>
      </c>
      <c r="L2044" s="1" t="s">
        <v>3271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5" t="n">
        <v>46191</v>
      </c>
      <c r="C2045" s="1" t="n">
        <v>11</v>
      </c>
      <c r="D2045" s="1" t="s">
        <v>2290</v>
      </c>
      <c r="E2045" s="1" t="n">
        <v>10012</v>
      </c>
      <c r="F2045" s="1" t="s">
        <v>393</v>
      </c>
      <c r="I2045" s="1" t="n">
        <v>1959198</v>
      </c>
      <c r="J2045" s="1" t="n">
        <v>10988</v>
      </c>
      <c r="K2045" s="1" t="n">
        <v>7891010010577</v>
      </c>
      <c r="L2045" s="1" t="s">
        <v>3272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5" t="n">
        <v>46191</v>
      </c>
      <c r="C2046" s="1" t="n">
        <v>11</v>
      </c>
      <c r="D2046" s="1" t="s">
        <v>2290</v>
      </c>
      <c r="E2046" s="1" t="n">
        <v>10012</v>
      </c>
      <c r="F2046" s="1" t="s">
        <v>393</v>
      </c>
      <c r="I2046" s="1" t="n">
        <v>1959198</v>
      </c>
      <c r="J2046" s="1" t="n">
        <v>15713</v>
      </c>
      <c r="K2046" s="1" t="n">
        <v>7891010886547</v>
      </c>
      <c r="L2046" s="1" t="s">
        <v>3273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5" t="n">
        <v>46191</v>
      </c>
      <c r="C2047" s="1" t="n">
        <v>11</v>
      </c>
      <c r="D2047" s="1" t="s">
        <v>2290</v>
      </c>
      <c r="E2047" s="1" t="n">
        <v>10012</v>
      </c>
      <c r="F2047" s="1" t="s">
        <v>393</v>
      </c>
      <c r="I2047" s="1" t="n">
        <v>1959198</v>
      </c>
      <c r="J2047" s="1" t="n">
        <v>16469</v>
      </c>
      <c r="K2047" s="1" t="n">
        <v>7896512904621</v>
      </c>
      <c r="L2047" s="1" t="s">
        <v>3274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5" t="n">
        <v>46191</v>
      </c>
      <c r="C2048" s="1" t="n">
        <v>11</v>
      </c>
      <c r="D2048" s="1" t="s">
        <v>2290</v>
      </c>
      <c r="E2048" s="1" t="n">
        <v>10012</v>
      </c>
      <c r="F2048" s="1" t="s">
        <v>393</v>
      </c>
      <c r="I2048" s="1" t="n">
        <v>1959198</v>
      </c>
      <c r="J2048" s="1" t="n">
        <v>18769</v>
      </c>
      <c r="K2048" s="1" t="n">
        <v>7896512911933</v>
      </c>
      <c r="L2048" s="1" t="s">
        <v>3275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5" t="n">
        <v>46191</v>
      </c>
      <c r="C2049" s="1" t="n">
        <v>11</v>
      </c>
      <c r="D2049" s="1" t="s">
        <v>2290</v>
      </c>
      <c r="E2049" s="1" t="n">
        <v>10012</v>
      </c>
      <c r="F2049" s="1" t="s">
        <v>393</v>
      </c>
      <c r="I2049" s="1" t="n">
        <v>1959198</v>
      </c>
      <c r="J2049" s="1" t="n">
        <v>27005</v>
      </c>
      <c r="K2049" s="1" t="n">
        <v>7896512922472</v>
      </c>
      <c r="L2049" s="1" t="s">
        <v>3276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5" t="n">
        <v>46191</v>
      </c>
      <c r="C2050" s="1" t="n">
        <v>11</v>
      </c>
      <c r="D2050" s="1" t="s">
        <v>2290</v>
      </c>
      <c r="E2050" s="1" t="n">
        <v>10012</v>
      </c>
      <c r="F2050" s="1" t="s">
        <v>393</v>
      </c>
      <c r="I2050" s="1" t="n">
        <v>1959198</v>
      </c>
      <c r="J2050" s="1" t="n">
        <v>27006</v>
      </c>
      <c r="K2050" s="1" t="n">
        <v>7896512922373</v>
      </c>
      <c r="L2050" s="1" t="s">
        <v>3276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5" t="n">
        <v>46191</v>
      </c>
      <c r="C2051" s="1" t="n">
        <v>11</v>
      </c>
      <c r="D2051" s="1" t="s">
        <v>2290</v>
      </c>
      <c r="E2051" s="1" t="n">
        <v>10012</v>
      </c>
      <c r="F2051" s="1" t="s">
        <v>393</v>
      </c>
      <c r="I2051" s="1" t="n">
        <v>1959198</v>
      </c>
      <c r="J2051" s="1" t="n">
        <v>63141</v>
      </c>
      <c r="K2051" s="1" t="n">
        <v>7898172345080</v>
      </c>
      <c r="L2051" s="1" t="s">
        <v>3277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5" t="n">
        <v>46191</v>
      </c>
      <c r="C2052" s="1" t="n">
        <v>11</v>
      </c>
      <c r="D2052" s="1" t="s">
        <v>2290</v>
      </c>
      <c r="E2052" s="1" t="n">
        <v>10012</v>
      </c>
      <c r="F2052" s="1" t="s">
        <v>393</v>
      </c>
      <c r="I2052" s="1" t="n">
        <v>1959198</v>
      </c>
      <c r="J2052" s="1" t="n">
        <v>63142</v>
      </c>
      <c r="K2052" s="1" t="n">
        <v>7898172345110</v>
      </c>
      <c r="L2052" s="1" t="s">
        <v>3278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5" t="n">
        <v>46191</v>
      </c>
      <c r="C2053" s="1" t="n">
        <v>11</v>
      </c>
      <c r="D2053" s="1" t="s">
        <v>2290</v>
      </c>
      <c r="E2053" s="1" t="n">
        <v>10012</v>
      </c>
      <c r="F2053" s="1" t="s">
        <v>393</v>
      </c>
      <c r="I2053" s="1" t="n">
        <v>1959198</v>
      </c>
      <c r="J2053" s="1" t="n">
        <v>69876</v>
      </c>
      <c r="K2053" s="1" t="n">
        <v>7896010175967</v>
      </c>
      <c r="L2053" s="1" t="s">
        <v>3279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5" t="n">
        <v>46191</v>
      </c>
      <c r="C2054" s="1" t="n">
        <v>39</v>
      </c>
      <c r="D2054" s="1" t="s">
        <v>2515</v>
      </c>
      <c r="E2054" s="1" t="n">
        <v>1266</v>
      </c>
      <c r="F2054" s="1" t="s">
        <v>195</v>
      </c>
      <c r="I2054" s="1" t="n">
        <v>2438</v>
      </c>
      <c r="J2054" s="1" t="n">
        <v>37521</v>
      </c>
      <c r="K2054" s="1" t="n">
        <v>7890780001716</v>
      </c>
      <c r="L2054" s="1" t="s">
        <v>3280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5" t="n">
        <v>46191</v>
      </c>
      <c r="C2055" s="1" t="n">
        <v>39</v>
      </c>
      <c r="D2055" s="1" t="s">
        <v>2515</v>
      </c>
      <c r="E2055" s="1" t="n">
        <v>1266</v>
      </c>
      <c r="F2055" s="1" t="s">
        <v>195</v>
      </c>
      <c r="I2055" s="1" t="n">
        <v>2438</v>
      </c>
      <c r="J2055" s="1" t="n">
        <v>37523</v>
      </c>
      <c r="K2055" s="1" t="n">
        <v>7890780026443</v>
      </c>
      <c r="L2055" s="1" t="s">
        <v>3280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5" t="n">
        <v>46191</v>
      </c>
      <c r="C2056" s="1" t="n">
        <v>39</v>
      </c>
      <c r="D2056" s="1" t="s">
        <v>2515</v>
      </c>
      <c r="E2056" s="1" t="n">
        <v>1266</v>
      </c>
      <c r="F2056" s="1" t="s">
        <v>195</v>
      </c>
      <c r="I2056" s="1" t="n">
        <v>2438</v>
      </c>
      <c r="J2056" s="1" t="n">
        <v>37527</v>
      </c>
      <c r="K2056" s="1" t="n">
        <v>2241463</v>
      </c>
      <c r="L2056" s="1" t="s">
        <v>3280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5" t="n">
        <v>46191</v>
      </c>
      <c r="C2057" s="1" t="n">
        <v>171</v>
      </c>
      <c r="D2057" s="1" t="s">
        <v>2517</v>
      </c>
      <c r="E2057" s="1" t="n">
        <v>1636</v>
      </c>
      <c r="F2057" s="1" t="s">
        <v>49</v>
      </c>
      <c r="I2057" s="1" t="n">
        <v>3204266</v>
      </c>
      <c r="J2057" s="1" t="n">
        <v>40578</v>
      </c>
      <c r="K2057" s="1" t="n">
        <v>7896000727497</v>
      </c>
      <c r="L2057" s="1" t="s">
        <v>3281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5" t="n">
        <v>46191</v>
      </c>
      <c r="C2058" s="1" t="n">
        <v>171</v>
      </c>
      <c r="D2058" s="1" t="s">
        <v>2517</v>
      </c>
      <c r="E2058" s="1" t="n">
        <v>1636</v>
      </c>
      <c r="F2058" s="1" t="s">
        <v>49</v>
      </c>
      <c r="I2058" s="1" t="n">
        <v>3204266</v>
      </c>
      <c r="J2058" s="1" t="n">
        <v>69857</v>
      </c>
      <c r="K2058" s="1" t="n">
        <v>7894650939918</v>
      </c>
      <c r="L2058" s="1" t="s">
        <v>3282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5" t="n">
        <v>46192</v>
      </c>
      <c r="C2059" s="1" t="n">
        <v>1</v>
      </c>
      <c r="D2059" s="1" t="s">
        <v>2317</v>
      </c>
      <c r="E2059" s="1" t="n">
        <v>10035</v>
      </c>
      <c r="F2059" s="1" t="s">
        <v>227</v>
      </c>
      <c r="I2059" s="1" t="n">
        <v>317</v>
      </c>
      <c r="J2059" s="1" t="n">
        <v>38652</v>
      </c>
      <c r="K2059" s="1" t="n">
        <v>7898994684220</v>
      </c>
      <c r="L2059" s="1" t="s">
        <v>2458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5" t="n">
        <v>46192</v>
      </c>
      <c r="C2060" s="1" t="n">
        <v>1</v>
      </c>
      <c r="D2060" s="1" t="s">
        <v>2317</v>
      </c>
      <c r="E2060" s="1" t="n">
        <v>10035</v>
      </c>
      <c r="F2060" s="1" t="s">
        <v>227</v>
      </c>
      <c r="I2060" s="1" t="n">
        <v>317</v>
      </c>
      <c r="J2060" s="1" t="n">
        <v>38653</v>
      </c>
      <c r="K2060" s="1" t="n">
        <v>7898994684275</v>
      </c>
      <c r="L2060" s="1" t="s">
        <v>2459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5" t="n">
        <v>46192</v>
      </c>
      <c r="C2061" s="1" t="n">
        <v>1</v>
      </c>
      <c r="D2061" s="1" t="s">
        <v>2317</v>
      </c>
      <c r="E2061" s="1" t="n">
        <v>10035</v>
      </c>
      <c r="F2061" s="1" t="s">
        <v>227</v>
      </c>
      <c r="I2061" s="1" t="n">
        <v>317</v>
      </c>
      <c r="J2061" s="1" t="n">
        <v>43726</v>
      </c>
      <c r="K2061" s="1" t="n">
        <v>2245461</v>
      </c>
      <c r="L2061" s="1" t="s">
        <v>2460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5" t="n">
        <v>46192</v>
      </c>
      <c r="C2062" s="1" t="n">
        <v>1</v>
      </c>
      <c r="D2062" s="1" t="s">
        <v>2317</v>
      </c>
      <c r="E2062" s="1" t="n">
        <v>1828</v>
      </c>
      <c r="F2062" s="1" t="s">
        <v>278</v>
      </c>
      <c r="I2062" s="1" t="n">
        <v>1340</v>
      </c>
      <c r="J2062" s="1" t="n">
        <v>14247</v>
      </c>
      <c r="K2062" s="1" t="n">
        <v>2229416</v>
      </c>
      <c r="L2062" s="1" t="s">
        <v>2747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5" t="n">
        <v>46192</v>
      </c>
      <c r="C2063" s="1" t="n">
        <v>1</v>
      </c>
      <c r="D2063" s="1" t="s">
        <v>2317</v>
      </c>
      <c r="E2063" s="1" t="n">
        <v>1828</v>
      </c>
      <c r="F2063" s="1" t="s">
        <v>278</v>
      </c>
      <c r="I2063" s="1" t="n">
        <v>1340</v>
      </c>
      <c r="J2063" s="1" t="n">
        <v>14248</v>
      </c>
      <c r="K2063" s="1" t="n">
        <v>2229423</v>
      </c>
      <c r="L2063" s="1" t="s">
        <v>2748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5" t="n">
        <v>46192</v>
      </c>
      <c r="C2064" s="1" t="n">
        <v>1</v>
      </c>
      <c r="D2064" s="1" t="s">
        <v>2317</v>
      </c>
      <c r="E2064" s="1" t="n">
        <v>1828</v>
      </c>
      <c r="F2064" s="1" t="s">
        <v>278</v>
      </c>
      <c r="I2064" s="1" t="n">
        <v>1340</v>
      </c>
      <c r="J2064" s="1" t="n">
        <v>20541</v>
      </c>
      <c r="K2064" s="1" t="n">
        <v>2232829</v>
      </c>
      <c r="L2064" s="1" t="s">
        <v>2749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5" t="n">
        <v>46192</v>
      </c>
      <c r="C2065" s="1" t="n">
        <v>1</v>
      </c>
      <c r="D2065" s="1" t="s">
        <v>2317</v>
      </c>
      <c r="E2065" s="1" t="n">
        <v>1615</v>
      </c>
      <c r="F2065" s="1" t="s">
        <v>130</v>
      </c>
      <c r="I2065" s="1" t="n">
        <v>14714</v>
      </c>
      <c r="J2065" s="1" t="n">
        <v>100114</v>
      </c>
      <c r="K2065" s="1" t="n">
        <v>115</v>
      </c>
      <c r="L2065" s="1" t="s">
        <v>2568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5" t="n">
        <v>46192</v>
      </c>
      <c r="C2066" s="1" t="n">
        <v>1</v>
      </c>
      <c r="D2066" s="1" t="s">
        <v>2317</v>
      </c>
      <c r="E2066" s="1" t="n">
        <v>1378</v>
      </c>
      <c r="F2066" s="1" t="s">
        <v>120</v>
      </c>
      <c r="I2066" s="1" t="n">
        <v>17861</v>
      </c>
      <c r="J2066" s="1" t="n">
        <v>74061</v>
      </c>
      <c r="K2066" s="1" t="n">
        <v>42882264255</v>
      </c>
      <c r="L2066" s="1" t="s">
        <v>2340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5" t="n">
        <v>46192</v>
      </c>
      <c r="C2067" s="1" t="n">
        <v>1</v>
      </c>
      <c r="D2067" s="1" t="s">
        <v>2317</v>
      </c>
      <c r="E2067" s="1" t="n">
        <v>1378</v>
      </c>
      <c r="F2067" s="1" t="s">
        <v>120</v>
      </c>
      <c r="I2067" s="1" t="n">
        <v>17861</v>
      </c>
      <c r="J2067" s="1" t="n">
        <v>74064</v>
      </c>
      <c r="K2067" s="1" t="n">
        <v>42882264279</v>
      </c>
      <c r="L2067" s="1" t="s">
        <v>2342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5" t="n">
        <v>46192</v>
      </c>
      <c r="C2068" s="1" t="n">
        <v>1</v>
      </c>
      <c r="D2068" s="1" t="s">
        <v>2317</v>
      </c>
      <c r="E2068" s="1" t="n">
        <v>1378</v>
      </c>
      <c r="F2068" s="1" t="s">
        <v>120</v>
      </c>
      <c r="I2068" s="1" t="n">
        <v>17861</v>
      </c>
      <c r="J2068" s="1" t="n">
        <v>77994</v>
      </c>
      <c r="K2068" s="1" t="n">
        <v>780117</v>
      </c>
      <c r="L2068" s="1" t="s">
        <v>2344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5" t="n">
        <v>46192</v>
      </c>
      <c r="C2069" s="1" t="n">
        <v>2</v>
      </c>
      <c r="D2069" s="1" t="s">
        <v>2283</v>
      </c>
      <c r="E2069" s="1" t="n">
        <v>42</v>
      </c>
      <c r="F2069" s="1" t="s">
        <v>80</v>
      </c>
      <c r="I2069" s="1" t="n">
        <v>190601</v>
      </c>
      <c r="J2069" s="1" t="n">
        <v>109791</v>
      </c>
      <c r="K2069" s="1" t="n">
        <v>9667</v>
      </c>
      <c r="L2069" s="1" t="s">
        <v>2284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5" t="n">
        <v>46192</v>
      </c>
      <c r="C2070" s="1" t="n">
        <v>2</v>
      </c>
      <c r="D2070" s="1" t="s">
        <v>2283</v>
      </c>
      <c r="E2070" s="1" t="n">
        <v>42</v>
      </c>
      <c r="F2070" s="1" t="s">
        <v>80</v>
      </c>
      <c r="I2070" s="1" t="n">
        <v>190601</v>
      </c>
      <c r="J2070" s="1" t="n">
        <v>37361</v>
      </c>
      <c r="K2070" s="1" t="n">
        <v>2240817</v>
      </c>
      <c r="L2070" s="1" t="s">
        <v>2286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5" t="n">
        <v>46192</v>
      </c>
      <c r="C2071" s="1" t="n">
        <v>2</v>
      </c>
      <c r="D2071" s="1" t="s">
        <v>2283</v>
      </c>
      <c r="E2071" s="1" t="n">
        <v>42</v>
      </c>
      <c r="F2071" s="1" t="s">
        <v>80</v>
      </c>
      <c r="I2071" s="1" t="n">
        <v>190602</v>
      </c>
      <c r="J2071" s="1" t="n">
        <v>100062</v>
      </c>
      <c r="K2071" s="1" t="n">
        <v>63</v>
      </c>
      <c r="L2071" s="1" t="s">
        <v>2320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5" t="n">
        <v>46192</v>
      </c>
      <c r="C2072" s="1" t="n">
        <v>2</v>
      </c>
      <c r="D2072" s="1" t="s">
        <v>2283</v>
      </c>
      <c r="E2072" s="1" t="n">
        <v>42</v>
      </c>
      <c r="F2072" s="1" t="s">
        <v>80</v>
      </c>
      <c r="I2072" s="1" t="n">
        <v>190602</v>
      </c>
      <c r="J2072" s="1" t="n">
        <v>100104</v>
      </c>
      <c r="K2072" s="1" t="n">
        <v>105</v>
      </c>
      <c r="L2072" s="1" t="s">
        <v>2321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5" t="n">
        <v>46192</v>
      </c>
      <c r="C2073" s="1" t="n">
        <v>2</v>
      </c>
      <c r="D2073" s="1" t="s">
        <v>2283</v>
      </c>
      <c r="E2073" s="1" t="n">
        <v>42</v>
      </c>
      <c r="F2073" s="1" t="s">
        <v>80</v>
      </c>
      <c r="I2073" s="1" t="n">
        <v>190602</v>
      </c>
      <c r="J2073" s="1" t="n">
        <v>100105</v>
      </c>
      <c r="K2073" s="1" t="n">
        <v>106</v>
      </c>
      <c r="L2073" s="1" t="s">
        <v>2322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5" t="n">
        <v>46192</v>
      </c>
      <c r="C2074" s="1" t="n">
        <v>2</v>
      </c>
      <c r="D2074" s="1" t="s">
        <v>2283</v>
      </c>
      <c r="E2074" s="1" t="n">
        <v>42</v>
      </c>
      <c r="F2074" s="1" t="s">
        <v>80</v>
      </c>
      <c r="I2074" s="1" t="n">
        <v>190602</v>
      </c>
      <c r="J2074" s="1" t="n">
        <v>100107</v>
      </c>
      <c r="K2074" s="1" t="n">
        <v>108</v>
      </c>
      <c r="L2074" s="1" t="s">
        <v>2323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5" t="n">
        <v>46192</v>
      </c>
      <c r="C2075" s="1" t="n">
        <v>2</v>
      </c>
      <c r="D2075" s="1" t="s">
        <v>2283</v>
      </c>
      <c r="E2075" s="1" t="n">
        <v>42</v>
      </c>
      <c r="F2075" s="1" t="s">
        <v>80</v>
      </c>
      <c r="I2075" s="1" t="n">
        <v>190602</v>
      </c>
      <c r="J2075" s="1" t="n">
        <v>100109</v>
      </c>
      <c r="K2075" s="1" t="n">
        <v>110</v>
      </c>
      <c r="L2075" s="1" t="s">
        <v>2324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5" t="n">
        <v>46192</v>
      </c>
      <c r="C2076" s="1" t="n">
        <v>2</v>
      </c>
      <c r="D2076" s="1" t="s">
        <v>2283</v>
      </c>
      <c r="E2076" s="1" t="n">
        <v>42</v>
      </c>
      <c r="F2076" s="1" t="s">
        <v>80</v>
      </c>
      <c r="I2076" s="1" t="n">
        <v>190602</v>
      </c>
      <c r="J2076" s="1" t="n">
        <v>100110</v>
      </c>
      <c r="K2076" s="1" t="n">
        <v>111</v>
      </c>
      <c r="L2076" s="1" t="s">
        <v>2473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5" t="n">
        <v>46192</v>
      </c>
      <c r="C2077" s="1" t="n">
        <v>2</v>
      </c>
      <c r="D2077" s="1" t="s">
        <v>2283</v>
      </c>
      <c r="E2077" s="1" t="n">
        <v>42</v>
      </c>
      <c r="F2077" s="1" t="s">
        <v>80</v>
      </c>
      <c r="I2077" s="1" t="n">
        <v>190602</v>
      </c>
      <c r="J2077" s="1" t="n">
        <v>100112</v>
      </c>
      <c r="K2077" s="1" t="n">
        <v>113</v>
      </c>
      <c r="L2077" s="1" t="s">
        <v>2325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5" t="n">
        <v>46192</v>
      </c>
      <c r="C2078" s="1" t="n">
        <v>2</v>
      </c>
      <c r="D2078" s="1" t="s">
        <v>2283</v>
      </c>
      <c r="E2078" s="1" t="n">
        <v>42</v>
      </c>
      <c r="F2078" s="1" t="s">
        <v>80</v>
      </c>
      <c r="I2078" s="1" t="n">
        <v>190602</v>
      </c>
      <c r="J2078" s="1" t="n">
        <v>100113</v>
      </c>
      <c r="K2078" s="1" t="n">
        <v>114</v>
      </c>
      <c r="L2078" s="1" t="s">
        <v>2326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5" t="n">
        <v>46192</v>
      </c>
      <c r="C2079" s="1" t="n">
        <v>2</v>
      </c>
      <c r="D2079" s="1" t="s">
        <v>2283</v>
      </c>
      <c r="E2079" s="1" t="n">
        <v>42</v>
      </c>
      <c r="F2079" s="1" t="s">
        <v>80</v>
      </c>
      <c r="I2079" s="1" t="n">
        <v>190602</v>
      </c>
      <c r="J2079" s="1" t="n">
        <v>100115</v>
      </c>
      <c r="K2079" s="1" t="n">
        <v>116</v>
      </c>
      <c r="L2079" s="1" t="s">
        <v>2474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5" t="n">
        <v>46192</v>
      </c>
      <c r="C2080" s="1" t="n">
        <v>2</v>
      </c>
      <c r="D2080" s="1" t="s">
        <v>2283</v>
      </c>
      <c r="E2080" s="1" t="n">
        <v>42</v>
      </c>
      <c r="F2080" s="1" t="s">
        <v>80</v>
      </c>
      <c r="I2080" s="1" t="n">
        <v>190602</v>
      </c>
      <c r="J2080" s="1" t="n">
        <v>100116</v>
      </c>
      <c r="K2080" s="1" t="n">
        <v>117</v>
      </c>
      <c r="L2080" s="1" t="s">
        <v>2327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5" t="n">
        <v>46192</v>
      </c>
      <c r="C2081" s="1" t="n">
        <v>2</v>
      </c>
      <c r="D2081" s="1" t="s">
        <v>2283</v>
      </c>
      <c r="E2081" s="1" t="n">
        <v>42</v>
      </c>
      <c r="F2081" s="1" t="s">
        <v>80</v>
      </c>
      <c r="I2081" s="1" t="n">
        <v>190602</v>
      </c>
      <c r="J2081" s="1" t="n">
        <v>100118</v>
      </c>
      <c r="K2081" s="1" t="n">
        <v>119</v>
      </c>
      <c r="L2081" s="1" t="s">
        <v>2328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5" t="n">
        <v>46192</v>
      </c>
      <c r="C2082" s="1" t="n">
        <v>2</v>
      </c>
      <c r="D2082" s="1" t="s">
        <v>2283</v>
      </c>
      <c r="E2082" s="1" t="n">
        <v>42</v>
      </c>
      <c r="F2082" s="1" t="s">
        <v>80</v>
      </c>
      <c r="I2082" s="1" t="n">
        <v>190602</v>
      </c>
      <c r="J2082" s="1" t="n">
        <v>100121</v>
      </c>
      <c r="K2082" s="1" t="n">
        <v>122</v>
      </c>
      <c r="L2082" s="1" t="s">
        <v>2329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5" t="n">
        <v>46192</v>
      </c>
      <c r="C2083" s="1" t="n">
        <v>2</v>
      </c>
      <c r="D2083" s="1" t="s">
        <v>2283</v>
      </c>
      <c r="E2083" s="1" t="n">
        <v>42</v>
      </c>
      <c r="F2083" s="1" t="s">
        <v>80</v>
      </c>
      <c r="I2083" s="1" t="n">
        <v>190602</v>
      </c>
      <c r="J2083" s="1" t="n">
        <v>100122</v>
      </c>
      <c r="K2083" s="1" t="n">
        <v>123</v>
      </c>
      <c r="L2083" s="1" t="s">
        <v>2330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5" t="n">
        <v>46192</v>
      </c>
      <c r="C2084" s="1" t="n">
        <v>2</v>
      </c>
      <c r="D2084" s="1" t="s">
        <v>2283</v>
      </c>
      <c r="E2084" s="1" t="n">
        <v>42</v>
      </c>
      <c r="F2084" s="1" t="s">
        <v>80</v>
      </c>
      <c r="I2084" s="1" t="n">
        <v>190602</v>
      </c>
      <c r="J2084" s="1" t="n">
        <v>100123</v>
      </c>
      <c r="K2084" s="1" t="n">
        <v>124</v>
      </c>
      <c r="L2084" s="1" t="s">
        <v>2475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5" t="n">
        <v>46192</v>
      </c>
      <c r="C2085" s="1" t="n">
        <v>2</v>
      </c>
      <c r="D2085" s="1" t="s">
        <v>2283</v>
      </c>
      <c r="E2085" s="1" t="n">
        <v>42</v>
      </c>
      <c r="F2085" s="1" t="s">
        <v>80</v>
      </c>
      <c r="I2085" s="1" t="n">
        <v>190602</v>
      </c>
      <c r="J2085" s="1" t="n">
        <v>100124</v>
      </c>
      <c r="K2085" s="1" t="n">
        <v>125</v>
      </c>
      <c r="L2085" s="1" t="s">
        <v>2476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5" t="n">
        <v>46192</v>
      </c>
      <c r="C2086" s="1" t="n">
        <v>2</v>
      </c>
      <c r="D2086" s="1" t="s">
        <v>2283</v>
      </c>
      <c r="E2086" s="1" t="n">
        <v>42</v>
      </c>
      <c r="F2086" s="1" t="s">
        <v>80</v>
      </c>
      <c r="I2086" s="1" t="n">
        <v>190602</v>
      </c>
      <c r="J2086" s="1" t="n">
        <v>100125</v>
      </c>
      <c r="K2086" s="1" t="n">
        <v>126</v>
      </c>
      <c r="L2086" s="1" t="s">
        <v>2477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5" t="n">
        <v>46192</v>
      </c>
      <c r="C2087" s="1" t="n">
        <v>2</v>
      </c>
      <c r="D2087" s="1" t="s">
        <v>2283</v>
      </c>
      <c r="E2087" s="1" t="n">
        <v>42</v>
      </c>
      <c r="F2087" s="1" t="s">
        <v>80</v>
      </c>
      <c r="I2087" s="1" t="n">
        <v>190602</v>
      </c>
      <c r="J2087" s="1" t="n">
        <v>100131</v>
      </c>
      <c r="K2087" s="1" t="n">
        <v>132</v>
      </c>
      <c r="L2087" s="1" t="s">
        <v>3103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5" t="n">
        <v>46192</v>
      </c>
      <c r="C2088" s="1" t="n">
        <v>2</v>
      </c>
      <c r="D2088" s="1" t="s">
        <v>2283</v>
      </c>
      <c r="E2088" s="1" t="n">
        <v>42</v>
      </c>
      <c r="F2088" s="1" t="s">
        <v>80</v>
      </c>
      <c r="I2088" s="1" t="n">
        <v>190602</v>
      </c>
      <c r="J2088" s="1" t="n">
        <v>100132</v>
      </c>
      <c r="K2088" s="1" t="n">
        <v>133</v>
      </c>
      <c r="L2088" s="1" t="s">
        <v>3104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5" t="n">
        <v>46192</v>
      </c>
      <c r="C2089" s="1" t="n">
        <v>2</v>
      </c>
      <c r="D2089" s="1" t="s">
        <v>2283</v>
      </c>
      <c r="E2089" s="1" t="n">
        <v>42</v>
      </c>
      <c r="F2089" s="1" t="s">
        <v>80</v>
      </c>
      <c r="I2089" s="1" t="n">
        <v>190602</v>
      </c>
      <c r="J2089" s="1" t="n">
        <v>100148</v>
      </c>
      <c r="K2089" s="1" t="n">
        <v>149</v>
      </c>
      <c r="L2089" s="1" t="s">
        <v>2676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5" t="n">
        <v>46192</v>
      </c>
      <c r="C2090" s="1" t="n">
        <v>2</v>
      </c>
      <c r="D2090" s="1" t="s">
        <v>2283</v>
      </c>
      <c r="E2090" s="1" t="n">
        <v>42</v>
      </c>
      <c r="F2090" s="1" t="s">
        <v>80</v>
      </c>
      <c r="I2090" s="1" t="n">
        <v>190602</v>
      </c>
      <c r="J2090" s="1" t="n">
        <v>110142</v>
      </c>
      <c r="K2090" s="1" t="n">
        <v>16699</v>
      </c>
      <c r="L2090" s="1" t="s">
        <v>2334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5" t="n">
        <v>46192</v>
      </c>
      <c r="C2091" s="1" t="n">
        <v>2</v>
      </c>
      <c r="D2091" s="1" t="s">
        <v>2283</v>
      </c>
      <c r="E2091" s="1" t="n">
        <v>42</v>
      </c>
      <c r="F2091" s="1" t="s">
        <v>80</v>
      </c>
      <c r="I2091" s="1" t="n">
        <v>190602</v>
      </c>
      <c r="J2091" s="1" t="n">
        <v>110160</v>
      </c>
      <c r="K2091" s="1" t="n">
        <v>38562</v>
      </c>
      <c r="L2091" s="1" t="s">
        <v>3283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5" t="n">
        <v>46192</v>
      </c>
      <c r="C2092" s="1" t="n">
        <v>2</v>
      </c>
      <c r="D2092" s="1" t="s">
        <v>2283</v>
      </c>
      <c r="E2092" s="1" t="n">
        <v>42</v>
      </c>
      <c r="F2092" s="1" t="s">
        <v>80</v>
      </c>
      <c r="I2092" s="1" t="n">
        <v>190602</v>
      </c>
      <c r="J2092" s="1" t="n">
        <v>110265</v>
      </c>
      <c r="K2092" s="1" t="n">
        <v>41346</v>
      </c>
      <c r="L2092" s="1" t="s">
        <v>2478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5" t="n">
        <v>46192</v>
      </c>
      <c r="C2093" s="1" t="n">
        <v>6</v>
      </c>
      <c r="D2093" s="1" t="s">
        <v>2289</v>
      </c>
      <c r="E2093" s="1" t="n">
        <v>42</v>
      </c>
      <c r="F2093" s="1" t="s">
        <v>80</v>
      </c>
      <c r="I2093" s="1" t="n">
        <v>4290</v>
      </c>
      <c r="J2093" s="1" t="n">
        <v>109791</v>
      </c>
      <c r="K2093" s="1" t="n">
        <v>9667</v>
      </c>
      <c r="L2093" s="1" t="s">
        <v>2284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5" t="n">
        <v>46192</v>
      </c>
      <c r="C2094" s="1" t="n">
        <v>6</v>
      </c>
      <c r="D2094" s="1" t="s">
        <v>2289</v>
      </c>
      <c r="E2094" s="1" t="n">
        <v>42</v>
      </c>
      <c r="F2094" s="1" t="s">
        <v>80</v>
      </c>
      <c r="I2094" s="1" t="n">
        <v>4290</v>
      </c>
      <c r="J2094" s="1" t="n">
        <v>37361</v>
      </c>
      <c r="K2094" s="1" t="n">
        <v>2240817</v>
      </c>
      <c r="L2094" s="1" t="s">
        <v>2286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5" t="n">
        <v>46192</v>
      </c>
      <c r="C2095" s="1" t="n">
        <v>6</v>
      </c>
      <c r="D2095" s="1" t="s">
        <v>2289</v>
      </c>
      <c r="E2095" s="1" t="n">
        <v>42</v>
      </c>
      <c r="F2095" s="1" t="s">
        <v>80</v>
      </c>
      <c r="I2095" s="1" t="n">
        <v>4291</v>
      </c>
      <c r="J2095" s="1" t="n">
        <v>100062</v>
      </c>
      <c r="K2095" s="1" t="n">
        <v>63</v>
      </c>
      <c r="L2095" s="1" t="s">
        <v>2320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5" t="n">
        <v>46192</v>
      </c>
      <c r="C2096" s="1" t="n">
        <v>6</v>
      </c>
      <c r="D2096" s="1" t="s">
        <v>2289</v>
      </c>
      <c r="E2096" s="1" t="n">
        <v>42</v>
      </c>
      <c r="F2096" s="1" t="s">
        <v>80</v>
      </c>
      <c r="I2096" s="1" t="n">
        <v>4291</v>
      </c>
      <c r="J2096" s="1" t="n">
        <v>100104</v>
      </c>
      <c r="K2096" s="1" t="n">
        <v>105</v>
      </c>
      <c r="L2096" s="1" t="s">
        <v>2321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5" t="n">
        <v>46192</v>
      </c>
      <c r="C2097" s="1" t="n">
        <v>6</v>
      </c>
      <c r="D2097" s="1" t="s">
        <v>2289</v>
      </c>
      <c r="E2097" s="1" t="n">
        <v>42</v>
      </c>
      <c r="F2097" s="1" t="s">
        <v>80</v>
      </c>
      <c r="I2097" s="1" t="n">
        <v>4291</v>
      </c>
      <c r="J2097" s="1" t="n">
        <v>100105</v>
      </c>
      <c r="K2097" s="1" t="n">
        <v>106</v>
      </c>
      <c r="L2097" s="1" t="s">
        <v>2322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5" t="n">
        <v>46192</v>
      </c>
      <c r="C2098" s="1" t="n">
        <v>6</v>
      </c>
      <c r="D2098" s="1" t="s">
        <v>2289</v>
      </c>
      <c r="E2098" s="1" t="n">
        <v>42</v>
      </c>
      <c r="F2098" s="1" t="s">
        <v>80</v>
      </c>
      <c r="I2098" s="1" t="n">
        <v>4291</v>
      </c>
      <c r="J2098" s="1" t="n">
        <v>100107</v>
      </c>
      <c r="K2098" s="1" t="n">
        <v>108</v>
      </c>
      <c r="L2098" s="1" t="s">
        <v>2323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5" t="n">
        <v>46192</v>
      </c>
      <c r="C2099" s="1" t="n">
        <v>6</v>
      </c>
      <c r="D2099" s="1" t="s">
        <v>2289</v>
      </c>
      <c r="E2099" s="1" t="n">
        <v>42</v>
      </c>
      <c r="F2099" s="1" t="s">
        <v>80</v>
      </c>
      <c r="I2099" s="1" t="n">
        <v>4291</v>
      </c>
      <c r="J2099" s="1" t="n">
        <v>100109</v>
      </c>
      <c r="K2099" s="1" t="n">
        <v>110</v>
      </c>
      <c r="L2099" s="1" t="s">
        <v>2324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5" t="n">
        <v>46192</v>
      </c>
      <c r="C2100" s="1" t="n">
        <v>6</v>
      </c>
      <c r="D2100" s="1" t="s">
        <v>2289</v>
      </c>
      <c r="E2100" s="1" t="n">
        <v>42</v>
      </c>
      <c r="F2100" s="1" t="s">
        <v>80</v>
      </c>
      <c r="I2100" s="1" t="n">
        <v>4291</v>
      </c>
      <c r="J2100" s="1" t="n">
        <v>100110</v>
      </c>
      <c r="K2100" s="1" t="n">
        <v>111</v>
      </c>
      <c r="L2100" s="1" t="s">
        <v>2473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5" t="n">
        <v>46192</v>
      </c>
      <c r="C2101" s="1" t="n">
        <v>6</v>
      </c>
      <c r="D2101" s="1" t="s">
        <v>2289</v>
      </c>
      <c r="E2101" s="1" t="n">
        <v>42</v>
      </c>
      <c r="F2101" s="1" t="s">
        <v>80</v>
      </c>
      <c r="I2101" s="1" t="n">
        <v>4291</v>
      </c>
      <c r="J2101" s="1" t="n">
        <v>100112</v>
      </c>
      <c r="K2101" s="1" t="n">
        <v>113</v>
      </c>
      <c r="L2101" s="1" t="s">
        <v>2325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5" t="n">
        <v>46192</v>
      </c>
      <c r="C2102" s="1" t="n">
        <v>6</v>
      </c>
      <c r="D2102" s="1" t="s">
        <v>2289</v>
      </c>
      <c r="E2102" s="1" t="n">
        <v>42</v>
      </c>
      <c r="F2102" s="1" t="s">
        <v>80</v>
      </c>
      <c r="I2102" s="1" t="n">
        <v>4291</v>
      </c>
      <c r="J2102" s="1" t="n">
        <v>100113</v>
      </c>
      <c r="K2102" s="1" t="n">
        <v>114</v>
      </c>
      <c r="L2102" s="1" t="s">
        <v>2326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5" t="n">
        <v>46192</v>
      </c>
      <c r="C2103" s="1" t="n">
        <v>6</v>
      </c>
      <c r="D2103" s="1" t="s">
        <v>2289</v>
      </c>
      <c r="E2103" s="1" t="n">
        <v>42</v>
      </c>
      <c r="F2103" s="1" t="s">
        <v>80</v>
      </c>
      <c r="I2103" s="1" t="n">
        <v>4291</v>
      </c>
      <c r="J2103" s="1" t="n">
        <v>100115</v>
      </c>
      <c r="K2103" s="1" t="n">
        <v>116</v>
      </c>
      <c r="L2103" s="1" t="s">
        <v>2474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5" t="n">
        <v>46192</v>
      </c>
      <c r="C2104" s="1" t="n">
        <v>6</v>
      </c>
      <c r="D2104" s="1" t="s">
        <v>2289</v>
      </c>
      <c r="E2104" s="1" t="n">
        <v>42</v>
      </c>
      <c r="F2104" s="1" t="s">
        <v>80</v>
      </c>
      <c r="I2104" s="1" t="n">
        <v>4291</v>
      </c>
      <c r="J2104" s="1" t="n">
        <v>100116</v>
      </c>
      <c r="K2104" s="1" t="n">
        <v>117</v>
      </c>
      <c r="L2104" s="1" t="s">
        <v>2327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5" t="n">
        <v>46192</v>
      </c>
      <c r="C2105" s="1" t="n">
        <v>6</v>
      </c>
      <c r="D2105" s="1" t="s">
        <v>2289</v>
      </c>
      <c r="E2105" s="1" t="n">
        <v>42</v>
      </c>
      <c r="F2105" s="1" t="s">
        <v>80</v>
      </c>
      <c r="I2105" s="1" t="n">
        <v>4291</v>
      </c>
      <c r="J2105" s="1" t="n">
        <v>100118</v>
      </c>
      <c r="K2105" s="1" t="n">
        <v>119</v>
      </c>
      <c r="L2105" s="1" t="s">
        <v>2328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5" t="n">
        <v>46192</v>
      </c>
      <c r="C2106" s="1" t="n">
        <v>6</v>
      </c>
      <c r="D2106" s="1" t="s">
        <v>2289</v>
      </c>
      <c r="E2106" s="1" t="n">
        <v>42</v>
      </c>
      <c r="F2106" s="1" t="s">
        <v>80</v>
      </c>
      <c r="I2106" s="1" t="n">
        <v>4291</v>
      </c>
      <c r="J2106" s="1" t="n">
        <v>100121</v>
      </c>
      <c r="K2106" s="1" t="n">
        <v>122</v>
      </c>
      <c r="L2106" s="1" t="s">
        <v>2329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5" t="n">
        <v>46192</v>
      </c>
      <c r="C2107" s="1" t="n">
        <v>6</v>
      </c>
      <c r="D2107" s="1" t="s">
        <v>2289</v>
      </c>
      <c r="E2107" s="1" t="n">
        <v>42</v>
      </c>
      <c r="F2107" s="1" t="s">
        <v>80</v>
      </c>
      <c r="I2107" s="1" t="n">
        <v>4291</v>
      </c>
      <c r="J2107" s="1" t="n">
        <v>100122</v>
      </c>
      <c r="K2107" s="1" t="n">
        <v>123</v>
      </c>
      <c r="L2107" s="1" t="s">
        <v>2330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5" t="n">
        <v>46192</v>
      </c>
      <c r="C2108" s="1" t="n">
        <v>6</v>
      </c>
      <c r="D2108" s="1" t="s">
        <v>2289</v>
      </c>
      <c r="E2108" s="1" t="n">
        <v>42</v>
      </c>
      <c r="F2108" s="1" t="s">
        <v>80</v>
      </c>
      <c r="I2108" s="1" t="n">
        <v>4291</v>
      </c>
      <c r="J2108" s="1" t="n">
        <v>100123</v>
      </c>
      <c r="K2108" s="1" t="n">
        <v>124</v>
      </c>
      <c r="L2108" s="1" t="s">
        <v>2475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5" t="n">
        <v>46192</v>
      </c>
      <c r="C2109" s="1" t="n">
        <v>6</v>
      </c>
      <c r="D2109" s="1" t="s">
        <v>2289</v>
      </c>
      <c r="E2109" s="1" t="n">
        <v>42</v>
      </c>
      <c r="F2109" s="1" t="s">
        <v>80</v>
      </c>
      <c r="I2109" s="1" t="n">
        <v>4291</v>
      </c>
      <c r="J2109" s="1" t="n">
        <v>100124</v>
      </c>
      <c r="K2109" s="1" t="n">
        <v>125</v>
      </c>
      <c r="L2109" s="1" t="s">
        <v>2476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5" t="n">
        <v>46192</v>
      </c>
      <c r="C2110" s="1" t="n">
        <v>6</v>
      </c>
      <c r="D2110" s="1" t="s">
        <v>2289</v>
      </c>
      <c r="E2110" s="1" t="n">
        <v>42</v>
      </c>
      <c r="F2110" s="1" t="s">
        <v>80</v>
      </c>
      <c r="I2110" s="1" t="n">
        <v>4291</v>
      </c>
      <c r="J2110" s="1" t="n">
        <v>100125</v>
      </c>
      <c r="K2110" s="1" t="n">
        <v>126</v>
      </c>
      <c r="L2110" s="1" t="s">
        <v>2477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5" t="n">
        <v>46192</v>
      </c>
      <c r="C2111" s="1" t="n">
        <v>6</v>
      </c>
      <c r="D2111" s="1" t="s">
        <v>2289</v>
      </c>
      <c r="E2111" s="1" t="n">
        <v>42</v>
      </c>
      <c r="F2111" s="1" t="s">
        <v>80</v>
      </c>
      <c r="I2111" s="1" t="n">
        <v>4291</v>
      </c>
      <c r="J2111" s="1" t="n">
        <v>100131</v>
      </c>
      <c r="K2111" s="1" t="n">
        <v>132</v>
      </c>
      <c r="L2111" s="1" t="s">
        <v>3103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5" t="n">
        <v>46192</v>
      </c>
      <c r="C2112" s="1" t="n">
        <v>6</v>
      </c>
      <c r="D2112" s="1" t="s">
        <v>2289</v>
      </c>
      <c r="E2112" s="1" t="n">
        <v>42</v>
      </c>
      <c r="F2112" s="1" t="s">
        <v>80</v>
      </c>
      <c r="I2112" s="1" t="n">
        <v>4291</v>
      </c>
      <c r="J2112" s="1" t="n">
        <v>100132</v>
      </c>
      <c r="K2112" s="1" t="n">
        <v>133</v>
      </c>
      <c r="L2112" s="1" t="s">
        <v>3104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5" t="n">
        <v>46192</v>
      </c>
      <c r="C2113" s="1" t="n">
        <v>6</v>
      </c>
      <c r="D2113" s="1" t="s">
        <v>2289</v>
      </c>
      <c r="E2113" s="1" t="n">
        <v>42</v>
      </c>
      <c r="F2113" s="1" t="s">
        <v>80</v>
      </c>
      <c r="I2113" s="1" t="n">
        <v>4291</v>
      </c>
      <c r="J2113" s="1" t="n">
        <v>100148</v>
      </c>
      <c r="K2113" s="1" t="n">
        <v>149</v>
      </c>
      <c r="L2113" s="1" t="s">
        <v>2676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5" t="n">
        <v>46192</v>
      </c>
      <c r="C2114" s="1" t="n">
        <v>6</v>
      </c>
      <c r="D2114" s="1" t="s">
        <v>2289</v>
      </c>
      <c r="E2114" s="1" t="n">
        <v>42</v>
      </c>
      <c r="F2114" s="1" t="s">
        <v>80</v>
      </c>
      <c r="I2114" s="1" t="n">
        <v>4291</v>
      </c>
      <c r="J2114" s="1" t="n">
        <v>110142</v>
      </c>
      <c r="K2114" s="1" t="n">
        <v>16699</v>
      </c>
      <c r="L2114" s="1" t="s">
        <v>2334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5" t="n">
        <v>46192</v>
      </c>
      <c r="C2115" s="1" t="n">
        <v>6</v>
      </c>
      <c r="D2115" s="1" t="s">
        <v>2289</v>
      </c>
      <c r="E2115" s="1" t="n">
        <v>42</v>
      </c>
      <c r="F2115" s="1" t="s">
        <v>80</v>
      </c>
      <c r="I2115" s="1" t="n">
        <v>4291</v>
      </c>
      <c r="J2115" s="1" t="n">
        <v>110160</v>
      </c>
      <c r="K2115" s="1" t="n">
        <v>38562</v>
      </c>
      <c r="L2115" s="1" t="s">
        <v>3283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5" t="n">
        <v>46192</v>
      </c>
      <c r="C2116" s="1" t="n">
        <v>6</v>
      </c>
      <c r="D2116" s="1" t="s">
        <v>2289</v>
      </c>
      <c r="E2116" s="1" t="n">
        <v>42</v>
      </c>
      <c r="F2116" s="1" t="s">
        <v>80</v>
      </c>
      <c r="I2116" s="1" t="n">
        <v>4291</v>
      </c>
      <c r="J2116" s="1" t="n">
        <v>110265</v>
      </c>
      <c r="K2116" s="1" t="n">
        <v>41346</v>
      </c>
      <c r="L2116" s="1" t="s">
        <v>2478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5" t="n">
        <v>46192</v>
      </c>
      <c r="C2117" s="1" t="n">
        <v>11</v>
      </c>
      <c r="D2117" s="1" t="s">
        <v>2290</v>
      </c>
      <c r="E2117" s="1" t="n">
        <v>10063</v>
      </c>
      <c r="F2117" s="1" t="s">
        <v>218</v>
      </c>
      <c r="I2117" s="1" t="n">
        <v>2347</v>
      </c>
      <c r="J2117" s="1" t="n">
        <v>100174</v>
      </c>
      <c r="K2117" s="1" t="n">
        <v>7898141930286</v>
      </c>
      <c r="L2117" s="1" t="s">
        <v>2519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5" t="n">
        <v>46192</v>
      </c>
      <c r="C2118" s="1" t="n">
        <v>11</v>
      </c>
      <c r="D2118" s="1" t="s">
        <v>2290</v>
      </c>
      <c r="E2118" s="1" t="n">
        <v>10063</v>
      </c>
      <c r="F2118" s="1" t="s">
        <v>218</v>
      </c>
      <c r="I2118" s="1" t="n">
        <v>2347</v>
      </c>
      <c r="J2118" s="1" t="n">
        <v>100933</v>
      </c>
      <c r="K2118" s="1" t="n">
        <v>7896982100059</v>
      </c>
      <c r="L2118" s="1" t="s">
        <v>2520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5" t="n">
        <v>46192</v>
      </c>
      <c r="C2119" s="1" t="n">
        <v>11</v>
      </c>
      <c r="D2119" s="1" t="s">
        <v>2290</v>
      </c>
      <c r="E2119" s="1" t="n">
        <v>957</v>
      </c>
      <c r="F2119" s="1" t="s">
        <v>720</v>
      </c>
      <c r="I2119" s="1" t="n">
        <v>20469</v>
      </c>
      <c r="J2119" s="1" t="n">
        <v>26461</v>
      </c>
      <c r="K2119" s="1" t="n">
        <v>7896029052327</v>
      </c>
      <c r="L2119" s="1" t="s">
        <v>3284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5" t="n">
        <v>46192</v>
      </c>
      <c r="C2120" s="1" t="n">
        <v>11</v>
      </c>
      <c r="D2120" s="1" t="s">
        <v>2290</v>
      </c>
      <c r="E2120" s="1" t="n">
        <v>957</v>
      </c>
      <c r="F2120" s="1" t="s">
        <v>720</v>
      </c>
      <c r="I2120" s="1" t="n">
        <v>20469</v>
      </c>
      <c r="J2120" s="1" t="n">
        <v>26772</v>
      </c>
      <c r="K2120" s="1" t="n">
        <v>7896029052341</v>
      </c>
      <c r="L2120" s="1" t="s">
        <v>3285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5" t="n">
        <v>46192</v>
      </c>
      <c r="C2121" s="1" t="n">
        <v>11</v>
      </c>
      <c r="D2121" s="1" t="s">
        <v>2290</v>
      </c>
      <c r="E2121" s="1" t="n">
        <v>957</v>
      </c>
      <c r="F2121" s="1" t="s">
        <v>720</v>
      </c>
      <c r="I2121" s="1" t="n">
        <v>20469</v>
      </c>
      <c r="J2121" s="1" t="n">
        <v>48937</v>
      </c>
      <c r="K2121" s="1" t="n">
        <v>7896029089620</v>
      </c>
      <c r="L2121" s="1" t="s">
        <v>3286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5" t="n">
        <v>46192</v>
      </c>
      <c r="C2122" s="1" t="n">
        <v>11</v>
      </c>
      <c r="D2122" s="1" t="s">
        <v>2290</v>
      </c>
      <c r="E2122" s="1" t="n">
        <v>957</v>
      </c>
      <c r="F2122" s="1" t="s">
        <v>720</v>
      </c>
      <c r="I2122" s="1" t="n">
        <v>20469</v>
      </c>
      <c r="J2122" s="1" t="n">
        <v>79597</v>
      </c>
      <c r="K2122" s="1" t="n">
        <v>7896029046906</v>
      </c>
      <c r="L2122" s="1" t="s">
        <v>3287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5" t="n">
        <v>46192</v>
      </c>
      <c r="C2123" s="1" t="n">
        <v>11</v>
      </c>
      <c r="D2123" s="1" t="s">
        <v>2290</v>
      </c>
      <c r="E2123" s="1" t="n">
        <v>957</v>
      </c>
      <c r="F2123" s="1" t="s">
        <v>720</v>
      </c>
      <c r="I2123" s="1" t="n">
        <v>20469</v>
      </c>
      <c r="J2123" s="1" t="n">
        <v>80194</v>
      </c>
      <c r="K2123" s="1" t="n">
        <v>7896029046142</v>
      </c>
      <c r="L2123" s="1" t="s">
        <v>3288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5" t="n">
        <v>46192</v>
      </c>
      <c r="C2124" s="1" t="n">
        <v>11</v>
      </c>
      <c r="D2124" s="1" t="s">
        <v>2290</v>
      </c>
      <c r="E2124" s="1" t="n">
        <v>957</v>
      </c>
      <c r="F2124" s="1" t="s">
        <v>720</v>
      </c>
      <c r="I2124" s="1" t="n">
        <v>20469</v>
      </c>
      <c r="J2124" s="1" t="n">
        <v>81462</v>
      </c>
      <c r="K2124" s="1" t="n">
        <v>7896029047378</v>
      </c>
      <c r="L2124" s="1" t="s">
        <v>3289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5" t="n">
        <v>46192</v>
      </c>
      <c r="C2125" s="1" t="n">
        <v>11</v>
      </c>
      <c r="D2125" s="1" t="s">
        <v>2290</v>
      </c>
      <c r="E2125" s="1" t="n">
        <v>957</v>
      </c>
      <c r="F2125" s="1" t="s">
        <v>720</v>
      </c>
      <c r="I2125" s="1" t="n">
        <v>20469</v>
      </c>
      <c r="J2125" s="1" t="n">
        <v>81463</v>
      </c>
      <c r="K2125" s="1" t="n">
        <v>7896029047392</v>
      </c>
      <c r="L2125" s="1" t="s">
        <v>3290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5" t="n">
        <v>46192</v>
      </c>
      <c r="C2126" s="1" t="n">
        <v>11</v>
      </c>
      <c r="D2126" s="1" t="s">
        <v>2290</v>
      </c>
      <c r="E2126" s="1" t="n">
        <v>957</v>
      </c>
      <c r="F2126" s="1" t="s">
        <v>720</v>
      </c>
      <c r="I2126" s="1" t="n">
        <v>20469</v>
      </c>
      <c r="J2126" s="1" t="n">
        <v>81464</v>
      </c>
      <c r="K2126" s="1" t="n">
        <v>7896029047354</v>
      </c>
      <c r="L2126" s="1" t="s">
        <v>3291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5" t="n">
        <v>46192</v>
      </c>
      <c r="C2127" s="1" t="n">
        <v>11</v>
      </c>
      <c r="D2127" s="1" t="s">
        <v>2290</v>
      </c>
      <c r="E2127" s="1" t="n">
        <v>957</v>
      </c>
      <c r="F2127" s="1" t="s">
        <v>720</v>
      </c>
      <c r="I2127" s="1" t="n">
        <v>20469</v>
      </c>
      <c r="J2127" s="1" t="n">
        <v>81466</v>
      </c>
      <c r="K2127" s="1" t="n">
        <v>7896029047361</v>
      </c>
      <c r="L2127" s="1" t="s">
        <v>3292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5" t="n">
        <v>46192</v>
      </c>
      <c r="C2128" s="1" t="n">
        <v>11</v>
      </c>
      <c r="D2128" s="1" t="s">
        <v>2290</v>
      </c>
      <c r="E2128" s="1" t="n">
        <v>1723</v>
      </c>
      <c r="F2128" s="1" t="s">
        <v>76</v>
      </c>
      <c r="I2128" s="1" t="n">
        <v>171605</v>
      </c>
      <c r="J2128" s="1" t="n">
        <v>29080</v>
      </c>
      <c r="K2128" s="1" t="n">
        <v>55516</v>
      </c>
      <c r="L2128" s="1" t="s">
        <v>2362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5" t="n">
        <v>46192</v>
      </c>
      <c r="C2129" s="1" t="n">
        <v>11</v>
      </c>
      <c r="D2129" s="1" t="s">
        <v>2290</v>
      </c>
      <c r="E2129" s="1" t="n">
        <v>1723</v>
      </c>
      <c r="F2129" s="1" t="s">
        <v>76</v>
      </c>
      <c r="I2129" s="1" t="n">
        <v>171649</v>
      </c>
      <c r="J2129" s="1" t="n">
        <v>29079</v>
      </c>
      <c r="K2129" s="1" t="n">
        <v>55515</v>
      </c>
      <c r="L2129" s="1" t="s">
        <v>2360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5" t="n">
        <v>46192</v>
      </c>
      <c r="C2130" s="1" t="n">
        <v>11</v>
      </c>
      <c r="D2130" s="1" t="s">
        <v>2290</v>
      </c>
      <c r="E2130" s="1" t="n">
        <v>1699</v>
      </c>
      <c r="F2130" s="1" t="s">
        <v>60</v>
      </c>
      <c r="I2130" s="1" t="n">
        <v>304792</v>
      </c>
      <c r="J2130" s="1" t="n">
        <v>13188</v>
      </c>
      <c r="K2130" s="1" t="n">
        <v>7896393601046</v>
      </c>
      <c r="L2130" s="1" t="s">
        <v>3293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5" t="n">
        <v>46192</v>
      </c>
      <c r="C2131" s="1" t="n">
        <v>11</v>
      </c>
      <c r="D2131" s="1" t="s">
        <v>2290</v>
      </c>
      <c r="E2131" s="1" t="n">
        <v>1699</v>
      </c>
      <c r="F2131" s="1" t="s">
        <v>60</v>
      </c>
      <c r="I2131" s="1" t="n">
        <v>304792</v>
      </c>
      <c r="J2131" s="1" t="n">
        <v>20485</v>
      </c>
      <c r="K2131" s="1" t="n">
        <v>7898342050240</v>
      </c>
      <c r="L2131" s="1" t="s">
        <v>3294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5" t="n">
        <v>46192</v>
      </c>
      <c r="C2132" s="1" t="n">
        <v>11</v>
      </c>
      <c r="D2132" s="1" t="s">
        <v>2290</v>
      </c>
      <c r="E2132" s="1" t="n">
        <v>1699</v>
      </c>
      <c r="F2132" s="1" t="s">
        <v>60</v>
      </c>
      <c r="I2132" s="1" t="n">
        <v>304792</v>
      </c>
      <c r="J2132" s="1" t="n">
        <v>25964</v>
      </c>
      <c r="K2132" s="1" t="n">
        <v>7896763621858</v>
      </c>
      <c r="L2132" s="1" t="s">
        <v>3295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5" t="n">
        <v>46192</v>
      </c>
      <c r="C2133" s="1" t="n">
        <v>11</v>
      </c>
      <c r="D2133" s="1" t="s">
        <v>2290</v>
      </c>
      <c r="E2133" s="1" t="n">
        <v>1699</v>
      </c>
      <c r="F2133" s="1" t="s">
        <v>60</v>
      </c>
      <c r="I2133" s="1" t="n">
        <v>304792</v>
      </c>
      <c r="J2133" s="1" t="n">
        <v>32805</v>
      </c>
      <c r="K2133" s="1" t="n">
        <v>7896433800378</v>
      </c>
      <c r="L2133" s="1" t="s">
        <v>3296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5" t="n">
        <v>46192</v>
      </c>
      <c r="C2134" s="1" t="n">
        <v>11</v>
      </c>
      <c r="D2134" s="1" t="s">
        <v>2290</v>
      </c>
      <c r="E2134" s="1" t="n">
        <v>1699</v>
      </c>
      <c r="F2134" s="1" t="s">
        <v>60</v>
      </c>
      <c r="I2134" s="1" t="n">
        <v>304792</v>
      </c>
      <c r="J2134" s="1" t="n">
        <v>37982</v>
      </c>
      <c r="K2134" s="1" t="n">
        <v>7896219183107</v>
      </c>
      <c r="L2134" s="1" t="s">
        <v>3297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5" t="n">
        <v>46192</v>
      </c>
      <c r="C2135" s="1" t="n">
        <v>11</v>
      </c>
      <c r="D2135" s="1" t="s">
        <v>2290</v>
      </c>
      <c r="E2135" s="1" t="n">
        <v>1666</v>
      </c>
      <c r="F2135" s="1" t="s">
        <v>212</v>
      </c>
      <c r="I2135" s="1" t="n">
        <v>564106</v>
      </c>
      <c r="J2135" s="1" t="n">
        <v>24990</v>
      </c>
      <c r="K2135" s="1" t="n">
        <v>78935761</v>
      </c>
      <c r="L2135" s="1" t="s">
        <v>2589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5" t="n">
        <v>46192</v>
      </c>
      <c r="C2136" s="1" t="n">
        <v>11</v>
      </c>
      <c r="D2136" s="1" t="s">
        <v>2290</v>
      </c>
      <c r="E2136" s="1" t="n">
        <v>1666</v>
      </c>
      <c r="F2136" s="1" t="s">
        <v>212</v>
      </c>
      <c r="I2136" s="1" t="n">
        <v>564106</v>
      </c>
      <c r="J2136" s="1" t="n">
        <v>25392</v>
      </c>
      <c r="K2136" s="1" t="n">
        <v>7898591450600</v>
      </c>
      <c r="L2136" s="1" t="s">
        <v>3298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5" t="n">
        <v>46192</v>
      </c>
      <c r="C2137" s="1" t="n">
        <v>11</v>
      </c>
      <c r="D2137" s="1" t="s">
        <v>2290</v>
      </c>
      <c r="E2137" s="1" t="n">
        <v>1666</v>
      </c>
      <c r="F2137" s="1" t="s">
        <v>212</v>
      </c>
      <c r="I2137" s="1" t="n">
        <v>564106</v>
      </c>
      <c r="J2137" s="1" t="n">
        <v>37536</v>
      </c>
      <c r="K2137" s="1" t="n">
        <v>78942066</v>
      </c>
      <c r="L2137" s="1" t="s">
        <v>2593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5" t="n">
        <v>46192</v>
      </c>
      <c r="C2138" s="1" t="n">
        <v>11</v>
      </c>
      <c r="D2138" s="1" t="s">
        <v>2290</v>
      </c>
      <c r="E2138" s="1" t="n">
        <v>1666</v>
      </c>
      <c r="F2138" s="1" t="s">
        <v>212</v>
      </c>
      <c r="I2138" s="1" t="n">
        <v>564106</v>
      </c>
      <c r="J2138" s="1" t="n">
        <v>50760</v>
      </c>
      <c r="K2138" s="1" t="n">
        <v>78943087</v>
      </c>
      <c r="L2138" s="1" t="s">
        <v>2595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5" t="n">
        <v>46192</v>
      </c>
      <c r="C2139" s="1" t="n">
        <v>11</v>
      </c>
      <c r="D2139" s="1" t="s">
        <v>2290</v>
      </c>
      <c r="E2139" s="1" t="n">
        <v>1666</v>
      </c>
      <c r="F2139" s="1" t="s">
        <v>212</v>
      </c>
      <c r="I2139" s="1" t="n">
        <v>564106</v>
      </c>
      <c r="J2139" s="1" t="n">
        <v>67009</v>
      </c>
      <c r="K2139" s="1" t="n">
        <v>78944237</v>
      </c>
      <c r="L2139" s="1" t="s">
        <v>2597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5" t="n">
        <v>46192</v>
      </c>
      <c r="C2140" s="1" t="n">
        <v>11</v>
      </c>
      <c r="D2140" s="1" t="s">
        <v>2290</v>
      </c>
      <c r="E2140" s="1" t="n">
        <v>1666</v>
      </c>
      <c r="F2140" s="1" t="s">
        <v>212</v>
      </c>
      <c r="I2140" s="1" t="n">
        <v>564106</v>
      </c>
      <c r="J2140" s="1" t="n">
        <v>67177</v>
      </c>
      <c r="K2140" s="1" t="n">
        <v>78944466</v>
      </c>
      <c r="L2140" s="1" t="s">
        <v>2598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5" t="n">
        <v>46192</v>
      </c>
      <c r="C2141" s="1" t="n">
        <v>11</v>
      </c>
      <c r="D2141" s="1" t="s">
        <v>2290</v>
      </c>
      <c r="E2141" s="1" t="n">
        <v>1666</v>
      </c>
      <c r="F2141" s="1" t="s">
        <v>212</v>
      </c>
      <c r="I2141" s="1" t="n">
        <v>564106</v>
      </c>
      <c r="J2141" s="1" t="n">
        <v>68068</v>
      </c>
      <c r="K2141" s="1" t="n">
        <v>78946354</v>
      </c>
      <c r="L2141" s="1" t="s">
        <v>3299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5" t="n">
        <v>46192</v>
      </c>
      <c r="C2142" s="1" t="n">
        <v>11</v>
      </c>
      <c r="D2142" s="1" t="s">
        <v>2290</v>
      </c>
      <c r="E2142" s="1" t="n">
        <v>1666</v>
      </c>
      <c r="F2142" s="1" t="s">
        <v>212</v>
      </c>
      <c r="I2142" s="1" t="n">
        <v>564106</v>
      </c>
      <c r="J2142" s="1" t="n">
        <v>78026</v>
      </c>
      <c r="K2142" s="1" t="n">
        <v>78947504</v>
      </c>
      <c r="L2142" s="1" t="s">
        <v>3300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5" t="n">
        <v>46192</v>
      </c>
      <c r="C2143" s="1" t="n">
        <v>11</v>
      </c>
      <c r="D2143" s="1" t="s">
        <v>2290</v>
      </c>
      <c r="E2143" s="1" t="n">
        <v>1611</v>
      </c>
      <c r="F2143" s="1" t="s">
        <v>445</v>
      </c>
      <c r="I2143" s="1" t="n">
        <v>1773256</v>
      </c>
      <c r="J2143" s="1" t="n">
        <v>80722</v>
      </c>
      <c r="K2143" s="1" t="n">
        <v>7897653549146</v>
      </c>
      <c r="L2143" s="1" t="s">
        <v>2734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5" t="n">
        <v>46192</v>
      </c>
      <c r="C2144" s="1" t="n">
        <v>11</v>
      </c>
      <c r="D2144" s="1" t="s">
        <v>2290</v>
      </c>
      <c r="E2144" s="1" t="n">
        <v>1636</v>
      </c>
      <c r="F2144" s="1" t="s">
        <v>49</v>
      </c>
      <c r="I2144" s="1" t="n">
        <v>3204263</v>
      </c>
      <c r="J2144" s="1" t="n">
        <v>101906</v>
      </c>
      <c r="K2144" s="1" t="n">
        <v>7896094910904</v>
      </c>
      <c r="L2144" s="1" t="s">
        <v>3301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5" t="n">
        <v>46192</v>
      </c>
      <c r="C2145" s="1" t="n">
        <v>11</v>
      </c>
      <c r="D2145" s="1" t="s">
        <v>2290</v>
      </c>
      <c r="E2145" s="1" t="n">
        <v>1636</v>
      </c>
      <c r="F2145" s="1" t="s">
        <v>49</v>
      </c>
      <c r="I2145" s="1" t="n">
        <v>3204263</v>
      </c>
      <c r="J2145" s="1" t="n">
        <v>24762</v>
      </c>
      <c r="K2145" s="1" t="n">
        <v>7891152340433</v>
      </c>
      <c r="L2145" s="1" t="s">
        <v>3302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5" t="n">
        <v>46192</v>
      </c>
      <c r="C2146" s="1" t="n">
        <v>11</v>
      </c>
      <c r="D2146" s="1" t="s">
        <v>2290</v>
      </c>
      <c r="E2146" s="1" t="n">
        <v>1636</v>
      </c>
      <c r="F2146" s="1" t="s">
        <v>49</v>
      </c>
      <c r="I2146" s="1" t="n">
        <v>3204263</v>
      </c>
      <c r="J2146" s="1" t="n">
        <v>29112</v>
      </c>
      <c r="K2146" s="1" t="n">
        <v>7891152800517</v>
      </c>
      <c r="L2146" s="1" t="s">
        <v>3303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5" t="n">
        <v>46192</v>
      </c>
      <c r="C2147" s="1" t="n">
        <v>11</v>
      </c>
      <c r="D2147" s="1" t="s">
        <v>2290</v>
      </c>
      <c r="E2147" s="1" t="n">
        <v>1636</v>
      </c>
      <c r="F2147" s="1" t="s">
        <v>49</v>
      </c>
      <c r="I2147" s="1" t="n">
        <v>3204263</v>
      </c>
      <c r="J2147" s="1" t="n">
        <v>31679</v>
      </c>
      <c r="K2147" s="1" t="n">
        <v>7896094906020</v>
      </c>
      <c r="L2147" s="1" t="s">
        <v>3304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5" t="n">
        <v>46192</v>
      </c>
      <c r="C2148" s="1" t="n">
        <v>11</v>
      </c>
      <c r="D2148" s="1" t="s">
        <v>2290</v>
      </c>
      <c r="E2148" s="1" t="n">
        <v>1636</v>
      </c>
      <c r="F2148" s="1" t="s">
        <v>49</v>
      </c>
      <c r="I2148" s="1" t="n">
        <v>3204263</v>
      </c>
      <c r="J2148" s="1" t="n">
        <v>36033</v>
      </c>
      <c r="K2148" s="1" t="n">
        <v>7891152800951</v>
      </c>
      <c r="L2148" s="1" t="s">
        <v>3305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5" t="n">
        <v>46192</v>
      </c>
      <c r="C2149" s="1" t="n">
        <v>11</v>
      </c>
      <c r="D2149" s="1" t="s">
        <v>2290</v>
      </c>
      <c r="E2149" s="1" t="n">
        <v>1636</v>
      </c>
      <c r="F2149" s="1" t="s">
        <v>49</v>
      </c>
      <c r="I2149" s="1" t="n">
        <v>3204263</v>
      </c>
      <c r="J2149" s="1" t="n">
        <v>36034</v>
      </c>
      <c r="K2149" s="1" t="n">
        <v>7891152800937</v>
      </c>
      <c r="L2149" s="1" t="s">
        <v>3306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5" t="n">
        <v>46192</v>
      </c>
      <c r="C2150" s="1" t="n">
        <v>11</v>
      </c>
      <c r="D2150" s="1" t="s">
        <v>2290</v>
      </c>
      <c r="E2150" s="1" t="n">
        <v>1636</v>
      </c>
      <c r="F2150" s="1" t="s">
        <v>49</v>
      </c>
      <c r="I2150" s="1" t="n">
        <v>3204263</v>
      </c>
      <c r="J2150" s="1" t="n">
        <v>36225</v>
      </c>
      <c r="K2150" s="1" t="n">
        <v>7891152800968</v>
      </c>
      <c r="L2150" s="1" t="s">
        <v>3307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5" t="n">
        <v>46192</v>
      </c>
      <c r="C2151" s="1" t="n">
        <v>11</v>
      </c>
      <c r="D2151" s="1" t="s">
        <v>2290</v>
      </c>
      <c r="E2151" s="1" t="n">
        <v>1636</v>
      </c>
      <c r="F2151" s="1" t="s">
        <v>49</v>
      </c>
      <c r="I2151" s="1" t="n">
        <v>3204263</v>
      </c>
      <c r="J2151" s="1" t="n">
        <v>39867</v>
      </c>
      <c r="K2151" s="1" t="n">
        <v>7891152800746</v>
      </c>
      <c r="L2151" s="1" t="s">
        <v>3308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5" t="n">
        <v>46192</v>
      </c>
      <c r="C2152" s="1" t="n">
        <v>11</v>
      </c>
      <c r="D2152" s="1" t="s">
        <v>2290</v>
      </c>
      <c r="E2152" s="1" t="n">
        <v>1636</v>
      </c>
      <c r="F2152" s="1" t="s">
        <v>49</v>
      </c>
      <c r="I2152" s="1" t="n">
        <v>3204263</v>
      </c>
      <c r="J2152" s="1" t="n">
        <v>41566</v>
      </c>
      <c r="K2152" s="1" t="n">
        <v>7891152800753</v>
      </c>
      <c r="L2152" s="1" t="s">
        <v>3309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5" t="n">
        <v>46192</v>
      </c>
      <c r="C2153" s="1" t="n">
        <v>11</v>
      </c>
      <c r="D2153" s="1" t="s">
        <v>2290</v>
      </c>
      <c r="E2153" s="1" t="n">
        <v>1636</v>
      </c>
      <c r="F2153" s="1" t="s">
        <v>49</v>
      </c>
      <c r="I2153" s="1" t="n">
        <v>3204263</v>
      </c>
      <c r="J2153" s="1" t="n">
        <v>41919</v>
      </c>
      <c r="K2153" s="1" t="n">
        <v>7891152801354</v>
      </c>
      <c r="L2153" s="1" t="s">
        <v>3310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5" t="n">
        <v>46192</v>
      </c>
      <c r="C2154" s="1" t="n">
        <v>11</v>
      </c>
      <c r="D2154" s="1" t="s">
        <v>2290</v>
      </c>
      <c r="E2154" s="1" t="n">
        <v>1636</v>
      </c>
      <c r="F2154" s="1" t="s">
        <v>49</v>
      </c>
      <c r="I2154" s="1" t="n">
        <v>3204263</v>
      </c>
      <c r="J2154" s="1" t="n">
        <v>41944</v>
      </c>
      <c r="K2154" s="1" t="n">
        <v>7891152801286</v>
      </c>
      <c r="L2154" s="1" t="s">
        <v>3311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5" t="n">
        <v>46192</v>
      </c>
      <c r="C2155" s="1" t="n">
        <v>11</v>
      </c>
      <c r="D2155" s="1" t="s">
        <v>2290</v>
      </c>
      <c r="E2155" s="1" t="n">
        <v>1636</v>
      </c>
      <c r="F2155" s="1" t="s">
        <v>49</v>
      </c>
      <c r="I2155" s="1" t="n">
        <v>3204263</v>
      </c>
      <c r="J2155" s="1" t="n">
        <v>41945</v>
      </c>
      <c r="K2155" s="1" t="n">
        <v>7891152801323</v>
      </c>
      <c r="L2155" s="1" t="s">
        <v>3312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5" t="n">
        <v>46192</v>
      </c>
      <c r="C2156" s="1" t="n">
        <v>11</v>
      </c>
      <c r="D2156" s="1" t="s">
        <v>2290</v>
      </c>
      <c r="E2156" s="1" t="n">
        <v>1636</v>
      </c>
      <c r="F2156" s="1" t="s">
        <v>49</v>
      </c>
      <c r="I2156" s="1" t="n">
        <v>3204263</v>
      </c>
      <c r="J2156" s="1" t="n">
        <v>41947</v>
      </c>
      <c r="K2156" s="1" t="n">
        <v>7891152801330</v>
      </c>
      <c r="L2156" s="1" t="s">
        <v>3313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5" t="n">
        <v>46192</v>
      </c>
      <c r="C2157" s="1" t="n">
        <v>11</v>
      </c>
      <c r="D2157" s="1" t="s">
        <v>2290</v>
      </c>
      <c r="E2157" s="1" t="n">
        <v>1636</v>
      </c>
      <c r="F2157" s="1" t="s">
        <v>49</v>
      </c>
      <c r="I2157" s="1" t="n">
        <v>3204263</v>
      </c>
      <c r="J2157" s="1" t="n">
        <v>44049</v>
      </c>
      <c r="K2157" s="1" t="n">
        <v>7891152801378</v>
      </c>
      <c r="L2157" s="1" t="s">
        <v>3314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5" t="n">
        <v>46192</v>
      </c>
      <c r="C2158" s="1" t="n">
        <v>11</v>
      </c>
      <c r="D2158" s="1" t="s">
        <v>2290</v>
      </c>
      <c r="E2158" s="1" t="n">
        <v>1636</v>
      </c>
      <c r="F2158" s="1" t="s">
        <v>49</v>
      </c>
      <c r="I2158" s="1" t="n">
        <v>3204263</v>
      </c>
      <c r="J2158" s="1" t="n">
        <v>47894</v>
      </c>
      <c r="K2158" s="1" t="n">
        <v>7891152801866</v>
      </c>
      <c r="L2158" s="1" t="s">
        <v>3315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5" t="n">
        <v>46192</v>
      </c>
      <c r="C2159" s="1" t="n">
        <v>11</v>
      </c>
      <c r="D2159" s="1" t="s">
        <v>2290</v>
      </c>
      <c r="E2159" s="1" t="n">
        <v>1636</v>
      </c>
      <c r="F2159" s="1" t="s">
        <v>49</v>
      </c>
      <c r="I2159" s="1" t="n">
        <v>3204263</v>
      </c>
      <c r="J2159" s="1" t="n">
        <v>48470</v>
      </c>
      <c r="K2159" s="1" t="n">
        <v>7891152801279</v>
      </c>
      <c r="L2159" s="1" t="s">
        <v>3316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5" t="n">
        <v>46192</v>
      </c>
      <c r="C2160" s="1" t="n">
        <v>11</v>
      </c>
      <c r="D2160" s="1" t="s">
        <v>2290</v>
      </c>
      <c r="E2160" s="1" t="n">
        <v>1636</v>
      </c>
      <c r="F2160" s="1" t="s">
        <v>49</v>
      </c>
      <c r="I2160" s="1" t="n">
        <v>3204263</v>
      </c>
      <c r="J2160" s="1" t="n">
        <v>48476</v>
      </c>
      <c r="K2160" s="1" t="n">
        <v>7891152801880</v>
      </c>
      <c r="L2160" s="1" t="s">
        <v>3317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5" t="n">
        <v>46192</v>
      </c>
      <c r="C2161" s="1" t="n">
        <v>11</v>
      </c>
      <c r="D2161" s="1" t="s">
        <v>2290</v>
      </c>
      <c r="E2161" s="1" t="n">
        <v>1636</v>
      </c>
      <c r="F2161" s="1" t="s">
        <v>49</v>
      </c>
      <c r="I2161" s="1" t="n">
        <v>3204263</v>
      </c>
      <c r="J2161" s="1" t="n">
        <v>48477</v>
      </c>
      <c r="K2161" s="1" t="n">
        <v>7891152801828</v>
      </c>
      <c r="L2161" s="1" t="s">
        <v>3318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5" t="n">
        <v>46192</v>
      </c>
      <c r="C2162" s="1" t="n">
        <v>11</v>
      </c>
      <c r="D2162" s="1" t="s">
        <v>2290</v>
      </c>
      <c r="E2162" s="1" t="n">
        <v>1636</v>
      </c>
      <c r="F2162" s="1" t="s">
        <v>49</v>
      </c>
      <c r="I2162" s="1" t="n">
        <v>3204263</v>
      </c>
      <c r="J2162" s="1" t="n">
        <v>48697</v>
      </c>
      <c r="K2162" s="1" t="n">
        <v>7891152801804</v>
      </c>
      <c r="L2162" s="1" t="s">
        <v>3319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5" t="n">
        <v>46192</v>
      </c>
      <c r="C2163" s="1" t="n">
        <v>11</v>
      </c>
      <c r="D2163" s="1" t="s">
        <v>2290</v>
      </c>
      <c r="E2163" s="1" t="n">
        <v>1636</v>
      </c>
      <c r="F2163" s="1" t="s">
        <v>49</v>
      </c>
      <c r="I2163" s="1" t="n">
        <v>3204263</v>
      </c>
      <c r="J2163" s="1" t="n">
        <v>48698</v>
      </c>
      <c r="K2163" s="1" t="n">
        <v>7891152801781</v>
      </c>
      <c r="L2163" s="1" t="s">
        <v>3320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5" t="n">
        <v>46192</v>
      </c>
      <c r="C2164" s="1" t="n">
        <v>11</v>
      </c>
      <c r="D2164" s="1" t="s">
        <v>2290</v>
      </c>
      <c r="E2164" s="1" t="n">
        <v>1636</v>
      </c>
      <c r="F2164" s="1" t="s">
        <v>49</v>
      </c>
      <c r="I2164" s="1" t="n">
        <v>3204263</v>
      </c>
      <c r="J2164" s="1" t="n">
        <v>48699</v>
      </c>
      <c r="K2164" s="1" t="n">
        <v>7891152801842</v>
      </c>
      <c r="L2164" s="1" t="s">
        <v>3321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5" t="n">
        <v>46192</v>
      </c>
      <c r="C2165" s="1" t="n">
        <v>11</v>
      </c>
      <c r="D2165" s="1" t="s">
        <v>2290</v>
      </c>
      <c r="E2165" s="1" t="n">
        <v>1636</v>
      </c>
      <c r="F2165" s="1" t="s">
        <v>49</v>
      </c>
      <c r="I2165" s="1" t="n">
        <v>3204263</v>
      </c>
      <c r="J2165" s="1" t="n">
        <v>48867</v>
      </c>
      <c r="K2165" s="1" t="n">
        <v>7891152801798</v>
      </c>
      <c r="L2165" s="1" t="s">
        <v>3322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5" t="n">
        <v>46192</v>
      </c>
      <c r="C2166" s="1" t="n">
        <v>11</v>
      </c>
      <c r="D2166" s="1" t="s">
        <v>2290</v>
      </c>
      <c r="E2166" s="1" t="n">
        <v>1636</v>
      </c>
      <c r="F2166" s="1" t="s">
        <v>49</v>
      </c>
      <c r="I2166" s="1" t="n">
        <v>3204263</v>
      </c>
      <c r="J2166" s="1" t="n">
        <v>48919</v>
      </c>
      <c r="K2166" s="1" t="n">
        <v>7891152801873</v>
      </c>
      <c r="L2166" s="1" t="s">
        <v>3323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5" t="n">
        <v>46192</v>
      </c>
      <c r="C2167" s="1" t="n">
        <v>11</v>
      </c>
      <c r="D2167" s="1" t="s">
        <v>2290</v>
      </c>
      <c r="E2167" s="1" t="n">
        <v>1636</v>
      </c>
      <c r="F2167" s="1" t="s">
        <v>49</v>
      </c>
      <c r="I2167" s="1" t="n">
        <v>3204263</v>
      </c>
      <c r="J2167" s="1" t="n">
        <v>52434</v>
      </c>
      <c r="K2167" s="1" t="n">
        <v>7891152801965</v>
      </c>
      <c r="L2167" s="1" t="s">
        <v>3324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5" t="n">
        <v>46192</v>
      </c>
      <c r="C2168" s="1" t="n">
        <v>11</v>
      </c>
      <c r="D2168" s="1" t="s">
        <v>2290</v>
      </c>
      <c r="E2168" s="1" t="n">
        <v>1636</v>
      </c>
      <c r="F2168" s="1" t="s">
        <v>49</v>
      </c>
      <c r="I2168" s="1" t="n">
        <v>3204263</v>
      </c>
      <c r="J2168" s="1" t="n">
        <v>53055</v>
      </c>
      <c r="K2168" s="1" t="n">
        <v>7891152801972</v>
      </c>
      <c r="L2168" s="1" t="s">
        <v>3325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5" t="n">
        <v>46192</v>
      </c>
      <c r="C2169" s="1" t="n">
        <v>11</v>
      </c>
      <c r="D2169" s="1" t="s">
        <v>2290</v>
      </c>
      <c r="E2169" s="1" t="n">
        <v>1636</v>
      </c>
      <c r="F2169" s="1" t="s">
        <v>49</v>
      </c>
      <c r="I2169" s="1" t="n">
        <v>3204263</v>
      </c>
      <c r="J2169" s="1" t="n">
        <v>54605</v>
      </c>
      <c r="K2169" s="1" t="n">
        <v>7891331018191</v>
      </c>
      <c r="L2169" s="1" t="s">
        <v>3326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5" t="n">
        <v>46192</v>
      </c>
      <c r="C2170" s="1" t="n">
        <v>11</v>
      </c>
      <c r="D2170" s="1" t="s">
        <v>2290</v>
      </c>
      <c r="E2170" s="1" t="n">
        <v>1636</v>
      </c>
      <c r="F2170" s="1" t="s">
        <v>49</v>
      </c>
      <c r="I2170" s="1" t="n">
        <v>3204263</v>
      </c>
      <c r="J2170" s="1" t="n">
        <v>55061</v>
      </c>
      <c r="K2170" s="1" t="n">
        <v>7891331018207</v>
      </c>
      <c r="L2170" s="1" t="s">
        <v>3327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5" t="n">
        <v>46192</v>
      </c>
      <c r="C2171" s="1" t="n">
        <v>11</v>
      </c>
      <c r="D2171" s="1" t="s">
        <v>2290</v>
      </c>
      <c r="E2171" s="1" t="n">
        <v>1636</v>
      </c>
      <c r="F2171" s="1" t="s">
        <v>49</v>
      </c>
      <c r="I2171" s="1" t="n">
        <v>3204263</v>
      </c>
      <c r="J2171" s="1" t="n">
        <v>55062</v>
      </c>
      <c r="K2171" s="1" t="n">
        <v>7891331018184</v>
      </c>
      <c r="L2171" s="1" t="s">
        <v>3328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5" t="n">
        <v>46192</v>
      </c>
      <c r="C2172" s="1" t="n">
        <v>11</v>
      </c>
      <c r="D2172" s="1" t="s">
        <v>2290</v>
      </c>
      <c r="E2172" s="1" t="n">
        <v>1636</v>
      </c>
      <c r="F2172" s="1" t="s">
        <v>49</v>
      </c>
      <c r="I2172" s="1" t="n">
        <v>3204263</v>
      </c>
      <c r="J2172" s="1" t="n">
        <v>55701</v>
      </c>
      <c r="K2172" s="1" t="n">
        <v>7891331018153</v>
      </c>
      <c r="L2172" s="1" t="s">
        <v>3329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5" t="n">
        <v>46192</v>
      </c>
      <c r="C2173" s="1" t="n">
        <v>11</v>
      </c>
      <c r="D2173" s="1" t="s">
        <v>2290</v>
      </c>
      <c r="E2173" s="1" t="n">
        <v>1636</v>
      </c>
      <c r="F2173" s="1" t="s">
        <v>49</v>
      </c>
      <c r="I2173" s="1" t="n">
        <v>3204263</v>
      </c>
      <c r="J2173" s="1" t="n">
        <v>69639</v>
      </c>
      <c r="K2173" s="1" t="n">
        <v>7896235354727</v>
      </c>
      <c r="L2173" s="1" t="s">
        <v>3330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5" t="n">
        <v>46192</v>
      </c>
      <c r="C2174" s="1" t="n">
        <v>11</v>
      </c>
      <c r="D2174" s="1" t="s">
        <v>2290</v>
      </c>
      <c r="E2174" s="1" t="n">
        <v>1636</v>
      </c>
      <c r="F2174" s="1" t="s">
        <v>49</v>
      </c>
      <c r="I2174" s="1" t="n">
        <v>3204263</v>
      </c>
      <c r="J2174" s="1" t="n">
        <v>78370</v>
      </c>
      <c r="K2174" s="1" t="n">
        <v>7891152802597</v>
      </c>
      <c r="L2174" s="1" t="s">
        <v>3331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5" t="n">
        <v>46192</v>
      </c>
      <c r="C2175" s="1" t="n">
        <v>11</v>
      </c>
      <c r="D2175" s="1" t="s">
        <v>2290</v>
      </c>
      <c r="E2175" s="1" t="n">
        <v>1636</v>
      </c>
      <c r="F2175" s="1" t="s">
        <v>49</v>
      </c>
      <c r="I2175" s="1" t="n">
        <v>3204263</v>
      </c>
      <c r="J2175" s="1" t="n">
        <v>78371</v>
      </c>
      <c r="K2175" s="1" t="n">
        <v>7891152802641</v>
      </c>
      <c r="L2175" s="1" t="s">
        <v>3332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5" t="n">
        <v>46192</v>
      </c>
      <c r="C2176" s="1" t="n">
        <v>11</v>
      </c>
      <c r="D2176" s="1" t="s">
        <v>2290</v>
      </c>
      <c r="E2176" s="1" t="n">
        <v>1636</v>
      </c>
      <c r="F2176" s="1" t="s">
        <v>49</v>
      </c>
      <c r="I2176" s="1" t="n">
        <v>3204264</v>
      </c>
      <c r="J2176" s="1" t="n">
        <v>101018</v>
      </c>
      <c r="K2176" s="1" t="n">
        <v>7894650079171</v>
      </c>
      <c r="L2176" s="1" t="s">
        <v>3333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5" t="n">
        <v>46192</v>
      </c>
      <c r="C2177" s="1" t="n">
        <v>11</v>
      </c>
      <c r="D2177" s="1" t="s">
        <v>2290</v>
      </c>
      <c r="E2177" s="1" t="n">
        <v>1636</v>
      </c>
      <c r="F2177" s="1" t="s">
        <v>49</v>
      </c>
      <c r="I2177" s="1" t="n">
        <v>3204264</v>
      </c>
      <c r="J2177" s="1" t="n">
        <v>101380</v>
      </c>
      <c r="K2177" s="1" t="n">
        <v>7891010087722</v>
      </c>
      <c r="L2177" s="1" t="s">
        <v>3334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5" t="n">
        <v>46192</v>
      </c>
      <c r="C2178" s="1" t="n">
        <v>11</v>
      </c>
      <c r="D2178" s="1" t="s">
        <v>2290</v>
      </c>
      <c r="E2178" s="1" t="n">
        <v>1636</v>
      </c>
      <c r="F2178" s="1" t="s">
        <v>49</v>
      </c>
      <c r="I2178" s="1" t="n">
        <v>3204264</v>
      </c>
      <c r="J2178" s="1" t="n">
        <v>104951</v>
      </c>
      <c r="K2178" s="1" t="n">
        <v>7896061915109</v>
      </c>
      <c r="L2178" s="1" t="s">
        <v>3335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5" t="n">
        <v>46192</v>
      </c>
      <c r="C2179" s="1" t="n">
        <v>11</v>
      </c>
      <c r="D2179" s="1" t="s">
        <v>2290</v>
      </c>
      <c r="E2179" s="1" t="n">
        <v>1636</v>
      </c>
      <c r="F2179" s="1" t="s">
        <v>49</v>
      </c>
      <c r="I2179" s="1" t="n">
        <v>3204264</v>
      </c>
      <c r="J2179" s="1" t="n">
        <v>107043</v>
      </c>
      <c r="K2179" s="1" t="n">
        <v>7891010009618</v>
      </c>
      <c r="L2179" s="1" t="s">
        <v>3336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5" t="n">
        <v>46192</v>
      </c>
      <c r="C2180" s="1" t="n">
        <v>11</v>
      </c>
      <c r="D2180" s="1" t="s">
        <v>2290</v>
      </c>
      <c r="E2180" s="1" t="n">
        <v>1636</v>
      </c>
      <c r="F2180" s="1" t="s">
        <v>49</v>
      </c>
      <c r="I2180" s="1" t="n">
        <v>3204264</v>
      </c>
      <c r="J2180" s="1" t="n">
        <v>12152</v>
      </c>
      <c r="K2180" s="1" t="n">
        <v>7899026420571</v>
      </c>
      <c r="L2180" s="1" t="s">
        <v>3337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5" t="n">
        <v>46192</v>
      </c>
      <c r="C2181" s="1" t="n">
        <v>11</v>
      </c>
      <c r="D2181" s="1" t="s">
        <v>2290</v>
      </c>
      <c r="E2181" s="1" t="n">
        <v>1636</v>
      </c>
      <c r="F2181" s="1" t="s">
        <v>49</v>
      </c>
      <c r="I2181" s="1" t="n">
        <v>3204264</v>
      </c>
      <c r="J2181" s="1" t="n">
        <v>16038</v>
      </c>
      <c r="K2181" s="1" t="n">
        <v>7896061916106</v>
      </c>
      <c r="L2181" s="1" t="s">
        <v>3338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5" t="n">
        <v>46192</v>
      </c>
      <c r="C2182" s="1" t="n">
        <v>11</v>
      </c>
      <c r="D2182" s="1" t="s">
        <v>2290</v>
      </c>
      <c r="E2182" s="1" t="n">
        <v>1636</v>
      </c>
      <c r="F2182" s="1" t="s">
        <v>49</v>
      </c>
      <c r="I2182" s="1" t="n">
        <v>3204264</v>
      </c>
      <c r="J2182" s="1" t="n">
        <v>17461</v>
      </c>
      <c r="K2182" s="1" t="n">
        <v>7894650004227</v>
      </c>
      <c r="L2182" s="1" t="s">
        <v>3339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5" t="n">
        <v>46192</v>
      </c>
      <c r="C2183" s="1" t="n">
        <v>11</v>
      </c>
      <c r="D2183" s="1" t="s">
        <v>2290</v>
      </c>
      <c r="E2183" s="1" t="n">
        <v>1636</v>
      </c>
      <c r="F2183" s="1" t="s">
        <v>49</v>
      </c>
      <c r="I2183" s="1" t="n">
        <v>3204264</v>
      </c>
      <c r="J2183" s="1" t="n">
        <v>17976</v>
      </c>
      <c r="K2183" s="1" t="n">
        <v>7894650003848</v>
      </c>
      <c r="L2183" s="1" t="s">
        <v>3340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5" t="n">
        <v>46192</v>
      </c>
      <c r="C2184" s="1" t="n">
        <v>11</v>
      </c>
      <c r="D2184" s="1" t="s">
        <v>2290</v>
      </c>
      <c r="E2184" s="1" t="n">
        <v>1636</v>
      </c>
      <c r="F2184" s="1" t="s">
        <v>49</v>
      </c>
      <c r="I2184" s="1" t="n">
        <v>3204264</v>
      </c>
      <c r="J2184" s="1" t="n">
        <v>19862</v>
      </c>
      <c r="K2184" s="1" t="n">
        <v>7897000800456</v>
      </c>
      <c r="L2184" s="1" t="s">
        <v>3341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5" t="n">
        <v>46192</v>
      </c>
      <c r="C2185" s="1" t="n">
        <v>11</v>
      </c>
      <c r="D2185" s="1" t="s">
        <v>2290</v>
      </c>
      <c r="E2185" s="1" t="n">
        <v>1636</v>
      </c>
      <c r="F2185" s="1" t="s">
        <v>49</v>
      </c>
      <c r="I2185" s="1" t="n">
        <v>3204264</v>
      </c>
      <c r="J2185" s="1" t="n">
        <v>21599</v>
      </c>
      <c r="K2185" s="1" t="n">
        <v>7891010875596</v>
      </c>
      <c r="L2185" s="1" t="s">
        <v>3342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5" t="n">
        <v>46192</v>
      </c>
      <c r="C2186" s="1" t="n">
        <v>11</v>
      </c>
      <c r="D2186" s="1" t="s">
        <v>2290</v>
      </c>
      <c r="E2186" s="1" t="n">
        <v>1636</v>
      </c>
      <c r="F2186" s="1" t="s">
        <v>49</v>
      </c>
      <c r="I2186" s="1" t="n">
        <v>3204264</v>
      </c>
      <c r="J2186" s="1" t="n">
        <v>23316</v>
      </c>
      <c r="K2186" s="1" t="n">
        <v>7894650005569</v>
      </c>
      <c r="L2186" s="1" t="s">
        <v>3343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5" t="n">
        <v>46192</v>
      </c>
      <c r="C2187" s="1" t="n">
        <v>11</v>
      </c>
      <c r="D2187" s="1" t="s">
        <v>2290</v>
      </c>
      <c r="E2187" s="1" t="n">
        <v>1636</v>
      </c>
      <c r="F2187" s="1" t="s">
        <v>49</v>
      </c>
      <c r="I2187" s="1" t="n">
        <v>3204264</v>
      </c>
      <c r="J2187" s="1" t="n">
        <v>26544</v>
      </c>
      <c r="K2187" s="1" t="n">
        <v>7894650013861</v>
      </c>
      <c r="L2187" s="1" t="s">
        <v>3344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5" t="n">
        <v>46192</v>
      </c>
      <c r="C2188" s="1" t="n">
        <v>11</v>
      </c>
      <c r="D2188" s="1" t="s">
        <v>2290</v>
      </c>
      <c r="E2188" s="1" t="n">
        <v>1636</v>
      </c>
      <c r="F2188" s="1" t="s">
        <v>49</v>
      </c>
      <c r="I2188" s="1" t="n">
        <v>3204264</v>
      </c>
      <c r="J2188" s="1" t="n">
        <v>31329</v>
      </c>
      <c r="K2188" s="1" t="n">
        <v>7894650938430</v>
      </c>
      <c r="L2188" s="1" t="s">
        <v>3345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5" t="n">
        <v>46192</v>
      </c>
      <c r="C2189" s="1" t="n">
        <v>11</v>
      </c>
      <c r="D2189" s="1" t="s">
        <v>2290</v>
      </c>
      <c r="E2189" s="1" t="n">
        <v>1636</v>
      </c>
      <c r="F2189" s="1" t="s">
        <v>49</v>
      </c>
      <c r="I2189" s="1" t="n">
        <v>3204264</v>
      </c>
      <c r="J2189" s="1" t="n">
        <v>32001</v>
      </c>
      <c r="K2189" s="1" t="n">
        <v>7899706170857</v>
      </c>
      <c r="L2189" s="1" t="s">
        <v>3346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5" t="n">
        <v>46192</v>
      </c>
      <c r="C2190" s="1" t="n">
        <v>11</v>
      </c>
      <c r="D2190" s="1" t="s">
        <v>2290</v>
      </c>
      <c r="E2190" s="1" t="n">
        <v>1636</v>
      </c>
      <c r="F2190" s="1" t="s">
        <v>49</v>
      </c>
      <c r="I2190" s="1" t="n">
        <v>3204264</v>
      </c>
      <c r="J2190" s="1" t="n">
        <v>37037</v>
      </c>
      <c r="K2190" s="1" t="n">
        <v>7899706187404</v>
      </c>
      <c r="L2190" s="1" t="s">
        <v>3347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5" t="n">
        <v>46192</v>
      </c>
      <c r="C2191" s="1" t="n">
        <v>11</v>
      </c>
      <c r="D2191" s="1" t="s">
        <v>2290</v>
      </c>
      <c r="E2191" s="1" t="n">
        <v>1636</v>
      </c>
      <c r="F2191" s="1" t="s">
        <v>49</v>
      </c>
      <c r="I2191" s="1" t="n">
        <v>3204264</v>
      </c>
      <c r="J2191" s="1" t="n">
        <v>50259</v>
      </c>
      <c r="K2191" s="1" t="n">
        <v>7896061990502</v>
      </c>
      <c r="L2191" s="1" t="s">
        <v>3348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5" t="n">
        <v>46192</v>
      </c>
      <c r="C2192" s="1" t="n">
        <v>11</v>
      </c>
      <c r="D2192" s="1" t="s">
        <v>2290</v>
      </c>
      <c r="E2192" s="1" t="n">
        <v>1636</v>
      </c>
      <c r="F2192" s="1" t="s">
        <v>49</v>
      </c>
      <c r="I2192" s="1" t="n">
        <v>3204264</v>
      </c>
      <c r="J2192" s="1" t="n">
        <v>58861</v>
      </c>
      <c r="K2192" s="1" t="n">
        <v>7899706244084</v>
      </c>
      <c r="L2192" s="1" t="s">
        <v>3349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5" t="n">
        <v>46192</v>
      </c>
      <c r="C2193" s="1" t="n">
        <v>11</v>
      </c>
      <c r="D2193" s="1" t="s">
        <v>2290</v>
      </c>
      <c r="E2193" s="1" t="n">
        <v>1636</v>
      </c>
      <c r="F2193" s="1" t="s">
        <v>49</v>
      </c>
      <c r="I2193" s="1" t="n">
        <v>3204264</v>
      </c>
      <c r="J2193" s="1" t="n">
        <v>61552</v>
      </c>
      <c r="K2193" s="1" t="n">
        <v>7896914002512</v>
      </c>
      <c r="L2193" s="1" t="s">
        <v>3350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5" t="n">
        <v>46192</v>
      </c>
      <c r="C2194" s="1" t="n">
        <v>11</v>
      </c>
      <c r="D2194" s="1" t="s">
        <v>2290</v>
      </c>
      <c r="E2194" s="1" t="n">
        <v>1636</v>
      </c>
      <c r="F2194" s="1" t="s">
        <v>49</v>
      </c>
      <c r="I2194" s="1" t="n">
        <v>3204264</v>
      </c>
      <c r="J2194" s="1" t="n">
        <v>63814</v>
      </c>
      <c r="K2194" s="1" t="n">
        <v>7894650008553</v>
      </c>
      <c r="L2194" s="1" t="s">
        <v>3351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5" t="n">
        <v>46192</v>
      </c>
      <c r="C2195" s="1" t="n">
        <v>11</v>
      </c>
      <c r="D2195" s="1" t="s">
        <v>2290</v>
      </c>
      <c r="E2195" s="1" t="n">
        <v>1636</v>
      </c>
      <c r="F2195" s="1" t="s">
        <v>49</v>
      </c>
      <c r="I2195" s="1" t="n">
        <v>3204264</v>
      </c>
      <c r="J2195" s="1" t="n">
        <v>65737</v>
      </c>
      <c r="K2195" s="1" t="n">
        <v>7894650008539</v>
      </c>
      <c r="L2195" s="1" t="s">
        <v>3352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5" t="n">
        <v>46192</v>
      </c>
      <c r="C2196" s="1" t="n">
        <v>11</v>
      </c>
      <c r="D2196" s="1" t="s">
        <v>2290</v>
      </c>
      <c r="E2196" s="1" t="n">
        <v>1636</v>
      </c>
      <c r="F2196" s="1" t="s">
        <v>49</v>
      </c>
      <c r="I2196" s="1" t="n">
        <v>3204264</v>
      </c>
      <c r="J2196" s="1" t="n">
        <v>67075</v>
      </c>
      <c r="K2196" s="1" t="n">
        <v>7894650009918</v>
      </c>
      <c r="L2196" s="1" t="s">
        <v>3353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5" t="n">
        <v>46192</v>
      </c>
      <c r="C2197" s="1" t="n">
        <v>11</v>
      </c>
      <c r="D2197" s="1" t="s">
        <v>2290</v>
      </c>
      <c r="E2197" s="1" t="n">
        <v>1636</v>
      </c>
      <c r="F2197" s="1" t="s">
        <v>49</v>
      </c>
      <c r="I2197" s="1" t="n">
        <v>3204264</v>
      </c>
      <c r="J2197" s="1" t="n">
        <v>68043</v>
      </c>
      <c r="K2197" s="1" t="n">
        <v>7908615055169</v>
      </c>
      <c r="L2197" s="1" t="s">
        <v>3354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5" t="n">
        <v>46192</v>
      </c>
      <c r="C2198" s="1" t="n">
        <v>11</v>
      </c>
      <c r="D2198" s="1" t="s">
        <v>2290</v>
      </c>
      <c r="E2198" s="1" t="n">
        <v>1636</v>
      </c>
      <c r="F2198" s="1" t="s">
        <v>49</v>
      </c>
      <c r="I2198" s="1" t="n">
        <v>3204264</v>
      </c>
      <c r="J2198" s="1" t="n">
        <v>69857</v>
      </c>
      <c r="K2198" s="1" t="n">
        <v>7894650939918</v>
      </c>
      <c r="L2198" s="1" t="s">
        <v>3282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5" t="n">
        <v>46192</v>
      </c>
      <c r="C2199" s="1" t="n">
        <v>11</v>
      </c>
      <c r="D2199" s="1" t="s">
        <v>2290</v>
      </c>
      <c r="E2199" s="1" t="n">
        <v>1636</v>
      </c>
      <c r="F2199" s="1" t="s">
        <v>49</v>
      </c>
      <c r="I2199" s="1" t="n">
        <v>3204264</v>
      </c>
      <c r="J2199" s="1" t="n">
        <v>72984</v>
      </c>
      <c r="K2199" s="1" t="n">
        <v>7908785461654</v>
      </c>
      <c r="L2199" s="1" t="s">
        <v>3355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5" t="n">
        <v>46192</v>
      </c>
      <c r="C2200" s="1" t="n">
        <v>11</v>
      </c>
      <c r="D2200" s="1" t="s">
        <v>2290</v>
      </c>
      <c r="E2200" s="1" t="n">
        <v>1636</v>
      </c>
      <c r="F2200" s="1" t="s">
        <v>49</v>
      </c>
      <c r="I2200" s="1" t="n">
        <v>3204264</v>
      </c>
      <c r="J2200" s="1" t="n">
        <v>72985</v>
      </c>
      <c r="K2200" s="1" t="n">
        <v>7908785461753</v>
      </c>
      <c r="L2200" s="1" t="s">
        <v>3356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5" t="n">
        <v>46192</v>
      </c>
      <c r="C2201" s="1" t="n">
        <v>11</v>
      </c>
      <c r="D2201" s="1" t="s">
        <v>2290</v>
      </c>
      <c r="E2201" s="1" t="n">
        <v>1636</v>
      </c>
      <c r="F2201" s="1" t="s">
        <v>49</v>
      </c>
      <c r="I2201" s="1" t="n">
        <v>3204264</v>
      </c>
      <c r="J2201" s="1" t="n">
        <v>73572</v>
      </c>
      <c r="K2201" s="1" t="n">
        <v>7894650013595</v>
      </c>
      <c r="L2201" s="1" t="s">
        <v>3357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5" t="n">
        <v>46192</v>
      </c>
      <c r="C2202" s="1" t="n">
        <v>11</v>
      </c>
      <c r="D2202" s="1" t="s">
        <v>2290</v>
      </c>
      <c r="E2202" s="1" t="n">
        <v>1636</v>
      </c>
      <c r="F2202" s="1" t="s">
        <v>49</v>
      </c>
      <c r="I2202" s="1" t="n">
        <v>3204264</v>
      </c>
      <c r="J2202" s="1" t="n">
        <v>73775</v>
      </c>
      <c r="K2202" s="1" t="n">
        <v>7908785461500</v>
      </c>
      <c r="L2202" s="1" t="s">
        <v>3358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5" t="n">
        <v>46192</v>
      </c>
      <c r="C2203" s="1" t="n">
        <v>11</v>
      </c>
      <c r="D2203" s="1" t="s">
        <v>2290</v>
      </c>
      <c r="E2203" s="1" t="n">
        <v>1636</v>
      </c>
      <c r="F2203" s="1" t="s">
        <v>49</v>
      </c>
      <c r="I2203" s="1" t="n">
        <v>3204264</v>
      </c>
      <c r="J2203" s="1" t="n">
        <v>74629</v>
      </c>
      <c r="K2203" s="1" t="n">
        <v>7896061997440</v>
      </c>
      <c r="L2203" s="1" t="s">
        <v>3359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5" t="n">
        <v>46192</v>
      </c>
      <c r="C2204" s="1" t="n">
        <v>11</v>
      </c>
      <c r="D2204" s="1" t="s">
        <v>2290</v>
      </c>
      <c r="E2204" s="1" t="n">
        <v>1636</v>
      </c>
      <c r="F2204" s="1" t="s">
        <v>49</v>
      </c>
      <c r="I2204" s="1" t="n">
        <v>3204264</v>
      </c>
      <c r="J2204" s="1" t="n">
        <v>75783</v>
      </c>
      <c r="K2204" s="1" t="n">
        <v>7896061997273</v>
      </c>
      <c r="L2204" s="1" t="s">
        <v>3360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5" t="n">
        <v>46192</v>
      </c>
      <c r="C2205" s="1" t="n">
        <v>11</v>
      </c>
      <c r="D2205" s="1" t="s">
        <v>2290</v>
      </c>
      <c r="E2205" s="1" t="n">
        <v>1636</v>
      </c>
      <c r="F2205" s="1" t="s">
        <v>49</v>
      </c>
      <c r="I2205" s="1" t="n">
        <v>3204264</v>
      </c>
      <c r="J2205" s="1" t="n">
        <v>81434</v>
      </c>
      <c r="K2205" s="1" t="n">
        <v>7894650013465</v>
      </c>
      <c r="L2205" s="1" t="s">
        <v>3361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5" t="n">
        <v>46192</v>
      </c>
      <c r="C2206" s="1" t="n">
        <v>11</v>
      </c>
      <c r="D2206" s="1" t="s">
        <v>2290</v>
      </c>
      <c r="E2206" s="1" t="n">
        <v>1636</v>
      </c>
      <c r="F2206" s="1" t="s">
        <v>49</v>
      </c>
      <c r="I2206" s="1" t="n">
        <v>3204264</v>
      </c>
      <c r="J2206" s="1" t="n">
        <v>81435</v>
      </c>
      <c r="K2206" s="1" t="n">
        <v>7896914002536</v>
      </c>
      <c r="L2206" s="1" t="s">
        <v>3362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5" t="n">
        <v>46192</v>
      </c>
      <c r="C2207" s="1" t="n">
        <v>11</v>
      </c>
      <c r="D2207" s="1" t="s">
        <v>2290</v>
      </c>
      <c r="E2207" s="1" t="n">
        <v>1636</v>
      </c>
      <c r="F2207" s="1" t="s">
        <v>49</v>
      </c>
      <c r="I2207" s="1" t="n">
        <v>3204264</v>
      </c>
      <c r="J2207" s="1" t="n">
        <v>81436</v>
      </c>
      <c r="K2207" s="1" t="n">
        <v>7894650014059</v>
      </c>
      <c r="L2207" s="1" t="s">
        <v>3363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5" t="n">
        <v>46192</v>
      </c>
      <c r="C2208" s="1" t="n">
        <v>11</v>
      </c>
      <c r="D2208" s="1" t="s">
        <v>2290</v>
      </c>
      <c r="E2208" s="1" t="n">
        <v>1636</v>
      </c>
      <c r="F2208" s="1" t="s">
        <v>49</v>
      </c>
      <c r="I2208" s="1" t="n">
        <v>3204264</v>
      </c>
      <c r="J2208" s="1" t="n">
        <v>81437</v>
      </c>
      <c r="K2208" s="1" t="n">
        <v>7896914011590</v>
      </c>
      <c r="L2208" s="1" t="s">
        <v>3364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5" t="n">
        <v>46192</v>
      </c>
      <c r="C2209" s="1" t="n">
        <v>11</v>
      </c>
      <c r="D2209" s="1" t="s">
        <v>2290</v>
      </c>
      <c r="E2209" s="1" t="n">
        <v>1636</v>
      </c>
      <c r="F2209" s="1" t="s">
        <v>49</v>
      </c>
      <c r="I2209" s="1" t="n">
        <v>3204264</v>
      </c>
      <c r="J2209" s="1" t="n">
        <v>81438</v>
      </c>
      <c r="K2209" s="1" t="n">
        <v>7896914002833</v>
      </c>
      <c r="L2209" s="1" t="s">
        <v>3365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5" t="n">
        <v>46192</v>
      </c>
      <c r="C2210" s="1" t="n">
        <v>11</v>
      </c>
      <c r="D2210" s="1" t="s">
        <v>2290</v>
      </c>
      <c r="E2210" s="1" t="n">
        <v>1636</v>
      </c>
      <c r="F2210" s="1" t="s">
        <v>49</v>
      </c>
      <c r="I2210" s="1" t="n">
        <v>3204265</v>
      </c>
      <c r="J2210" s="1" t="n">
        <v>40121</v>
      </c>
      <c r="K2210" s="1" t="n">
        <v>7891035200007</v>
      </c>
      <c r="L2210" s="1" t="s">
        <v>3366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5" t="n">
        <v>46192</v>
      </c>
      <c r="C2211" s="1" t="n">
        <v>11</v>
      </c>
      <c r="D2211" s="1" t="s">
        <v>2290</v>
      </c>
      <c r="E2211" s="1" t="n">
        <v>1636</v>
      </c>
      <c r="F2211" s="1" t="s">
        <v>49</v>
      </c>
      <c r="I2211" s="1" t="n">
        <v>3204265</v>
      </c>
      <c r="J2211" s="1" t="n">
        <v>101070</v>
      </c>
      <c r="K2211" s="1" t="n">
        <v>7791130002554</v>
      </c>
      <c r="L2211" s="1" t="s">
        <v>3367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5" t="n">
        <v>46192</v>
      </c>
      <c r="C2212" s="1" t="n">
        <v>11</v>
      </c>
      <c r="D2212" s="1" t="s">
        <v>2290</v>
      </c>
      <c r="E2212" s="1" t="n">
        <v>1636</v>
      </c>
      <c r="F2212" s="1" t="s">
        <v>49</v>
      </c>
      <c r="I2212" s="1" t="n">
        <v>3204265</v>
      </c>
      <c r="J2212" s="1" t="n">
        <v>105837</v>
      </c>
      <c r="K2212" s="1" t="n">
        <v>7891035001529</v>
      </c>
      <c r="L2212" s="1" t="s">
        <v>3368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5" t="n">
        <v>46192</v>
      </c>
      <c r="C2213" s="1" t="n">
        <v>11</v>
      </c>
      <c r="D2213" s="1" t="s">
        <v>2290</v>
      </c>
      <c r="E2213" s="1" t="n">
        <v>1636</v>
      </c>
      <c r="F2213" s="1" t="s">
        <v>49</v>
      </c>
      <c r="I2213" s="1" t="n">
        <v>3204265</v>
      </c>
      <c r="J2213" s="1" t="n">
        <v>105839</v>
      </c>
      <c r="K2213" s="1" t="n">
        <v>7891035001512</v>
      </c>
      <c r="L2213" s="1" t="s">
        <v>3368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5" t="n">
        <v>46192</v>
      </c>
      <c r="C2214" s="1" t="n">
        <v>11</v>
      </c>
      <c r="D2214" s="1" t="s">
        <v>2290</v>
      </c>
      <c r="E2214" s="1" t="n">
        <v>1636</v>
      </c>
      <c r="F2214" s="1" t="s">
        <v>49</v>
      </c>
      <c r="I2214" s="1" t="n">
        <v>3204265</v>
      </c>
      <c r="J2214" s="1" t="n">
        <v>105848</v>
      </c>
      <c r="K2214" s="1" t="n">
        <v>7891035001482</v>
      </c>
      <c r="L2214" s="1" t="s">
        <v>3369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5" t="n">
        <v>46192</v>
      </c>
      <c r="C2215" s="1" t="n">
        <v>11</v>
      </c>
      <c r="D2215" s="1" t="s">
        <v>2290</v>
      </c>
      <c r="E2215" s="1" t="n">
        <v>1636</v>
      </c>
      <c r="F2215" s="1" t="s">
        <v>49</v>
      </c>
      <c r="I2215" s="1" t="n">
        <v>3204265</v>
      </c>
      <c r="J2215" s="1" t="n">
        <v>108706</v>
      </c>
      <c r="K2215" s="1" t="n">
        <v>7891035041006</v>
      </c>
      <c r="L2215" s="1" t="s">
        <v>3370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5" t="n">
        <v>46192</v>
      </c>
      <c r="C2216" s="1" t="n">
        <v>11</v>
      </c>
      <c r="D2216" s="1" t="s">
        <v>2290</v>
      </c>
      <c r="E2216" s="1" t="n">
        <v>1636</v>
      </c>
      <c r="F2216" s="1" t="s">
        <v>49</v>
      </c>
      <c r="I2216" s="1" t="n">
        <v>3204265</v>
      </c>
      <c r="J2216" s="1" t="n">
        <v>12059</v>
      </c>
      <c r="K2216" s="1" t="n">
        <v>7891035524240</v>
      </c>
      <c r="L2216" s="1" t="s">
        <v>3371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5" t="n">
        <v>46192</v>
      </c>
      <c r="C2217" s="1" t="n">
        <v>11</v>
      </c>
      <c r="D2217" s="1" t="s">
        <v>2290</v>
      </c>
      <c r="E2217" s="1" t="n">
        <v>1636</v>
      </c>
      <c r="F2217" s="1" t="s">
        <v>49</v>
      </c>
      <c r="I2217" s="1" t="n">
        <v>3204265</v>
      </c>
      <c r="J2217" s="1" t="n">
        <v>12343</v>
      </c>
      <c r="K2217" s="1" t="n">
        <v>7891035539602</v>
      </c>
      <c r="L2217" s="1" t="s">
        <v>3372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5" t="n">
        <v>46192</v>
      </c>
      <c r="C2218" s="1" t="n">
        <v>11</v>
      </c>
      <c r="D2218" s="1" t="s">
        <v>2290</v>
      </c>
      <c r="E2218" s="1" t="n">
        <v>1636</v>
      </c>
      <c r="F2218" s="1" t="s">
        <v>49</v>
      </c>
      <c r="I2218" s="1" t="n">
        <v>3204265</v>
      </c>
      <c r="J2218" s="1" t="n">
        <v>12383</v>
      </c>
      <c r="K2218" s="1" t="n">
        <v>7891035040009</v>
      </c>
      <c r="L2218" s="1" t="s">
        <v>3373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5" t="n">
        <v>46192</v>
      </c>
      <c r="C2219" s="1" t="n">
        <v>11</v>
      </c>
      <c r="D2219" s="1" t="s">
        <v>2290</v>
      </c>
      <c r="E2219" s="1" t="n">
        <v>1636</v>
      </c>
      <c r="F2219" s="1" t="s">
        <v>49</v>
      </c>
      <c r="I2219" s="1" t="n">
        <v>3204265</v>
      </c>
      <c r="J2219" s="1" t="n">
        <v>12592</v>
      </c>
      <c r="K2219" s="1" t="n">
        <v>7891035040702</v>
      </c>
      <c r="L2219" s="1" t="s">
        <v>3374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5" t="n">
        <v>46192</v>
      </c>
      <c r="C2220" s="1" t="n">
        <v>11</v>
      </c>
      <c r="D2220" s="1" t="s">
        <v>2290</v>
      </c>
      <c r="E2220" s="1" t="n">
        <v>1636</v>
      </c>
      <c r="F2220" s="1" t="s">
        <v>49</v>
      </c>
      <c r="I2220" s="1" t="n">
        <v>3204265</v>
      </c>
      <c r="J2220" s="1" t="n">
        <v>13599</v>
      </c>
      <c r="K2220" s="1" t="n">
        <v>7891035040436</v>
      </c>
      <c r="L2220" s="1" t="s">
        <v>3375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5" t="n">
        <v>46192</v>
      </c>
      <c r="C2221" s="1" t="n">
        <v>11</v>
      </c>
      <c r="D2221" s="1" t="s">
        <v>2290</v>
      </c>
      <c r="E2221" s="1" t="n">
        <v>1636</v>
      </c>
      <c r="F2221" s="1" t="s">
        <v>49</v>
      </c>
      <c r="I2221" s="1" t="n">
        <v>3204265</v>
      </c>
      <c r="J2221" s="1" t="n">
        <v>13756</v>
      </c>
      <c r="K2221" s="1" t="n">
        <v>7891035249228</v>
      </c>
      <c r="L2221" s="1" t="s">
        <v>3376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5" t="n">
        <v>46192</v>
      </c>
      <c r="C2222" s="1" t="n">
        <v>11</v>
      </c>
      <c r="D2222" s="1" t="s">
        <v>2290</v>
      </c>
      <c r="E2222" s="1" t="n">
        <v>1636</v>
      </c>
      <c r="F2222" s="1" t="s">
        <v>49</v>
      </c>
      <c r="I2222" s="1" t="n">
        <v>3204265</v>
      </c>
      <c r="J2222" s="1" t="n">
        <v>13757</v>
      </c>
      <c r="K2222" s="1" t="n">
        <v>7891035249433</v>
      </c>
      <c r="L2222" s="1" t="s">
        <v>3377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5" t="n">
        <v>46192</v>
      </c>
      <c r="C2223" s="1" t="n">
        <v>11</v>
      </c>
      <c r="D2223" s="1" t="s">
        <v>2290</v>
      </c>
      <c r="E2223" s="1" t="n">
        <v>1636</v>
      </c>
      <c r="F2223" s="1" t="s">
        <v>49</v>
      </c>
      <c r="I2223" s="1" t="n">
        <v>3204265</v>
      </c>
      <c r="J2223" s="1" t="n">
        <v>14079</v>
      </c>
      <c r="K2223" s="1" t="n">
        <v>7891035040405</v>
      </c>
      <c r="L2223" s="1" t="s">
        <v>3378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5" t="n">
        <v>46192</v>
      </c>
      <c r="C2224" s="1" t="n">
        <v>11</v>
      </c>
      <c r="D2224" s="1" t="s">
        <v>2290</v>
      </c>
      <c r="E2224" s="1" t="n">
        <v>1636</v>
      </c>
      <c r="F2224" s="1" t="s">
        <v>49</v>
      </c>
      <c r="I2224" s="1" t="n">
        <v>3204265</v>
      </c>
      <c r="J2224" s="1" t="n">
        <v>14083</v>
      </c>
      <c r="K2224" s="1" t="n">
        <v>7891035017001</v>
      </c>
      <c r="L2224" s="1" t="s">
        <v>3379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5" t="n">
        <v>46192</v>
      </c>
      <c r="C2225" s="1" t="n">
        <v>11</v>
      </c>
      <c r="D2225" s="1" t="s">
        <v>2290</v>
      </c>
      <c r="E2225" s="1" t="n">
        <v>1636</v>
      </c>
      <c r="F2225" s="1" t="s">
        <v>49</v>
      </c>
      <c r="I2225" s="1" t="n">
        <v>3204265</v>
      </c>
      <c r="J2225" s="1" t="n">
        <v>14497</v>
      </c>
      <c r="K2225" s="1" t="n">
        <v>7891035534072</v>
      </c>
      <c r="L2225" s="1" t="s">
        <v>3380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5" t="n">
        <v>46192</v>
      </c>
      <c r="C2226" s="1" t="n">
        <v>11</v>
      </c>
      <c r="D2226" s="1" t="s">
        <v>2290</v>
      </c>
      <c r="E2226" s="1" t="n">
        <v>1636</v>
      </c>
      <c r="F2226" s="1" t="s">
        <v>49</v>
      </c>
      <c r="I2226" s="1" t="n">
        <v>3204265</v>
      </c>
      <c r="J2226" s="1" t="n">
        <v>14927</v>
      </c>
      <c r="K2226" s="1" t="n">
        <v>7891035050602</v>
      </c>
      <c r="L2226" s="1" t="s">
        <v>3381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5" t="n">
        <v>46192</v>
      </c>
      <c r="C2227" s="1" t="n">
        <v>11</v>
      </c>
      <c r="D2227" s="1" t="s">
        <v>2290</v>
      </c>
      <c r="E2227" s="1" t="n">
        <v>1636</v>
      </c>
      <c r="F2227" s="1" t="s">
        <v>49</v>
      </c>
      <c r="I2227" s="1" t="n">
        <v>3204265</v>
      </c>
      <c r="J2227" s="1" t="n">
        <v>15944</v>
      </c>
      <c r="K2227" s="1" t="n">
        <v>7891035524349</v>
      </c>
      <c r="L2227" s="1" t="s">
        <v>3382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5" t="n">
        <v>46192</v>
      </c>
      <c r="C2228" s="1" t="n">
        <v>11</v>
      </c>
      <c r="D2228" s="1" t="s">
        <v>2290</v>
      </c>
      <c r="E2228" s="1" t="n">
        <v>1636</v>
      </c>
      <c r="F2228" s="1" t="s">
        <v>49</v>
      </c>
      <c r="I2228" s="1" t="n">
        <v>3204265</v>
      </c>
      <c r="J2228" s="1" t="n">
        <v>18744</v>
      </c>
      <c r="K2228" s="1" t="n">
        <v>7891035524271</v>
      </c>
      <c r="L2228" s="1" t="s">
        <v>3383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5" t="n">
        <v>46192</v>
      </c>
      <c r="C2229" s="1" t="n">
        <v>11</v>
      </c>
      <c r="D2229" s="1" t="s">
        <v>2290</v>
      </c>
      <c r="E2229" s="1" t="n">
        <v>1636</v>
      </c>
      <c r="F2229" s="1" t="s">
        <v>49</v>
      </c>
      <c r="I2229" s="1" t="n">
        <v>3204265</v>
      </c>
      <c r="J2229" s="1" t="n">
        <v>19069</v>
      </c>
      <c r="K2229" s="1" t="n">
        <v>7891035040191</v>
      </c>
      <c r="L2229" s="1" t="s">
        <v>3384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5" t="n">
        <v>46192</v>
      </c>
      <c r="C2230" s="1" t="n">
        <v>11</v>
      </c>
      <c r="D2230" s="1" t="s">
        <v>2290</v>
      </c>
      <c r="E2230" s="1" t="n">
        <v>1636</v>
      </c>
      <c r="F2230" s="1" t="s">
        <v>49</v>
      </c>
      <c r="I2230" s="1" t="n">
        <v>3204265</v>
      </c>
      <c r="J2230" s="1" t="n">
        <v>19629</v>
      </c>
      <c r="K2230" s="1" t="n">
        <v>7891035539701</v>
      </c>
      <c r="L2230" s="1" t="s">
        <v>3385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5" t="n">
        <v>46192</v>
      </c>
      <c r="C2231" s="1" t="n">
        <v>11</v>
      </c>
      <c r="D2231" s="1" t="s">
        <v>2290</v>
      </c>
      <c r="E2231" s="1" t="n">
        <v>1636</v>
      </c>
      <c r="F2231" s="1" t="s">
        <v>49</v>
      </c>
      <c r="I2231" s="1" t="n">
        <v>3204265</v>
      </c>
      <c r="J2231" s="1" t="n">
        <v>21542</v>
      </c>
      <c r="K2231" s="1" t="n">
        <v>7891035800214</v>
      </c>
      <c r="L2231" s="1" t="s">
        <v>3386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5" t="n">
        <v>46192</v>
      </c>
      <c r="C2232" s="1" t="n">
        <v>11</v>
      </c>
      <c r="D2232" s="1" t="s">
        <v>2290</v>
      </c>
      <c r="E2232" s="1" t="n">
        <v>1636</v>
      </c>
      <c r="F2232" s="1" t="s">
        <v>49</v>
      </c>
      <c r="I2232" s="1" t="n">
        <v>3204265</v>
      </c>
      <c r="J2232" s="1" t="n">
        <v>21705</v>
      </c>
      <c r="K2232" s="1" t="n">
        <v>7891035040269</v>
      </c>
      <c r="L2232" s="1" t="s">
        <v>3387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5" t="n">
        <v>46192</v>
      </c>
      <c r="C2233" s="1" t="n">
        <v>11</v>
      </c>
      <c r="D2233" s="1" t="s">
        <v>2290</v>
      </c>
      <c r="E2233" s="1" t="n">
        <v>1636</v>
      </c>
      <c r="F2233" s="1" t="s">
        <v>49</v>
      </c>
      <c r="I2233" s="1" t="n">
        <v>3204265</v>
      </c>
      <c r="J2233" s="1" t="n">
        <v>21980</v>
      </c>
      <c r="K2233" s="1" t="n">
        <v>7891035800245</v>
      </c>
      <c r="L2233" s="1" t="s">
        <v>3388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5" t="n">
        <v>46192</v>
      </c>
      <c r="C2234" s="1" t="n">
        <v>11</v>
      </c>
      <c r="D2234" s="1" t="s">
        <v>2290</v>
      </c>
      <c r="E2234" s="1" t="n">
        <v>1636</v>
      </c>
      <c r="F2234" s="1" t="s">
        <v>49</v>
      </c>
      <c r="I2234" s="1" t="n">
        <v>3204265</v>
      </c>
      <c r="J2234" s="1" t="n">
        <v>26617</v>
      </c>
      <c r="K2234" s="1" t="n">
        <v>7891035116551</v>
      </c>
      <c r="L2234" s="1" t="s">
        <v>3389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5" t="n">
        <v>46192</v>
      </c>
      <c r="C2235" s="1" t="n">
        <v>11</v>
      </c>
      <c r="D2235" s="1" t="s">
        <v>2290</v>
      </c>
      <c r="E2235" s="1" t="n">
        <v>1636</v>
      </c>
      <c r="F2235" s="1" t="s">
        <v>49</v>
      </c>
      <c r="I2235" s="1" t="n">
        <v>3204265</v>
      </c>
      <c r="J2235" s="1" t="n">
        <v>26619</v>
      </c>
      <c r="K2235" s="1" t="n">
        <v>7891035800238</v>
      </c>
      <c r="L2235" s="1" t="s">
        <v>3390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5" t="n">
        <v>46192</v>
      </c>
      <c r="C2236" s="1" t="n">
        <v>11</v>
      </c>
      <c r="D2236" s="1" t="s">
        <v>2290</v>
      </c>
      <c r="E2236" s="1" t="n">
        <v>1636</v>
      </c>
      <c r="F2236" s="1" t="s">
        <v>49</v>
      </c>
      <c r="I2236" s="1" t="n">
        <v>3204265</v>
      </c>
      <c r="J2236" s="1" t="n">
        <v>26899</v>
      </c>
      <c r="K2236" s="1" t="n">
        <v>7891035285172</v>
      </c>
      <c r="L2236" s="1" t="s">
        <v>3391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5" t="n">
        <v>46192</v>
      </c>
      <c r="C2237" s="1" t="n">
        <v>11</v>
      </c>
      <c r="D2237" s="1" t="s">
        <v>2290</v>
      </c>
      <c r="E2237" s="1" t="n">
        <v>1636</v>
      </c>
      <c r="F2237" s="1" t="s">
        <v>49</v>
      </c>
      <c r="I2237" s="1" t="n">
        <v>3204265</v>
      </c>
      <c r="J2237" s="1" t="n">
        <v>26900</v>
      </c>
      <c r="K2237" s="1" t="n">
        <v>7891035285158</v>
      </c>
      <c r="L2237" s="1" t="s">
        <v>3392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5" t="n">
        <v>46192</v>
      </c>
      <c r="C2238" s="1" t="n">
        <v>11</v>
      </c>
      <c r="D2238" s="1" t="s">
        <v>2290</v>
      </c>
      <c r="E2238" s="1" t="n">
        <v>1636</v>
      </c>
      <c r="F2238" s="1" t="s">
        <v>49</v>
      </c>
      <c r="I2238" s="1" t="n">
        <v>3204265</v>
      </c>
      <c r="J2238" s="1" t="n">
        <v>27085</v>
      </c>
      <c r="K2238" s="1" t="n">
        <v>7891035051265</v>
      </c>
      <c r="L2238" s="1" t="s">
        <v>3393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5" t="n">
        <v>46192</v>
      </c>
      <c r="C2239" s="1" t="n">
        <v>11</v>
      </c>
      <c r="D2239" s="1" t="s">
        <v>2290</v>
      </c>
      <c r="E2239" s="1" t="n">
        <v>1636</v>
      </c>
      <c r="F2239" s="1" t="s">
        <v>49</v>
      </c>
      <c r="I2239" s="1" t="n">
        <v>3204265</v>
      </c>
      <c r="J2239" s="1" t="n">
        <v>27126</v>
      </c>
      <c r="K2239" s="1" t="n">
        <v>7891035285196</v>
      </c>
      <c r="L2239" s="1" t="s">
        <v>3394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5" t="n">
        <v>46192</v>
      </c>
      <c r="C2240" s="1" t="n">
        <v>11</v>
      </c>
      <c r="D2240" s="1" t="s">
        <v>2290</v>
      </c>
      <c r="E2240" s="1" t="n">
        <v>1636</v>
      </c>
      <c r="F2240" s="1" t="s">
        <v>49</v>
      </c>
      <c r="I2240" s="1" t="n">
        <v>3204265</v>
      </c>
      <c r="J2240" s="1" t="n">
        <v>28080</v>
      </c>
      <c r="K2240" s="1" t="n">
        <v>7891035325595</v>
      </c>
      <c r="L2240" s="1" t="s">
        <v>3395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5" t="n">
        <v>46192</v>
      </c>
      <c r="C2241" s="1" t="n">
        <v>11</v>
      </c>
      <c r="D2241" s="1" t="s">
        <v>2290</v>
      </c>
      <c r="E2241" s="1" t="n">
        <v>1636</v>
      </c>
      <c r="F2241" s="1" t="s">
        <v>49</v>
      </c>
      <c r="I2241" s="1" t="n">
        <v>3204265</v>
      </c>
      <c r="J2241" s="1" t="n">
        <v>28081</v>
      </c>
      <c r="K2241" s="1" t="n">
        <v>7891035325625</v>
      </c>
      <c r="L2241" s="1" t="s">
        <v>3396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5" t="n">
        <v>46192</v>
      </c>
      <c r="C2242" s="1" t="n">
        <v>11</v>
      </c>
      <c r="D2242" s="1" t="s">
        <v>2290</v>
      </c>
      <c r="E2242" s="1" t="n">
        <v>1636</v>
      </c>
      <c r="F2242" s="1" t="s">
        <v>49</v>
      </c>
      <c r="I2242" s="1" t="n">
        <v>3204265</v>
      </c>
      <c r="J2242" s="1" t="n">
        <v>29179</v>
      </c>
      <c r="K2242" s="1" t="n">
        <v>7891035285165</v>
      </c>
      <c r="L2242" s="1" t="s">
        <v>3397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5" t="n">
        <v>46192</v>
      </c>
      <c r="C2243" s="1" t="n">
        <v>11</v>
      </c>
      <c r="D2243" s="1" t="s">
        <v>2290</v>
      </c>
      <c r="E2243" s="1" t="n">
        <v>1636</v>
      </c>
      <c r="F2243" s="1" t="s">
        <v>49</v>
      </c>
      <c r="I2243" s="1" t="n">
        <v>3204265</v>
      </c>
      <c r="J2243" s="1" t="n">
        <v>29675</v>
      </c>
      <c r="K2243" s="1" t="n">
        <v>7891035990571</v>
      </c>
      <c r="L2243" s="1" t="s">
        <v>3398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5" t="n">
        <v>46192</v>
      </c>
      <c r="C2244" s="1" t="n">
        <v>11</v>
      </c>
      <c r="D2244" s="1" t="s">
        <v>2290</v>
      </c>
      <c r="E2244" s="1" t="n">
        <v>1636</v>
      </c>
      <c r="F2244" s="1" t="s">
        <v>49</v>
      </c>
      <c r="I2244" s="1" t="n">
        <v>3204265</v>
      </c>
      <c r="J2244" s="1" t="n">
        <v>29820</v>
      </c>
      <c r="K2244" s="1" t="n">
        <v>7891035990557</v>
      </c>
      <c r="L2244" s="1" t="s">
        <v>3399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5" t="n">
        <v>46192</v>
      </c>
      <c r="C2245" s="1" t="n">
        <v>11</v>
      </c>
      <c r="D2245" s="1" t="s">
        <v>2290</v>
      </c>
      <c r="E2245" s="1" t="n">
        <v>1636</v>
      </c>
      <c r="F2245" s="1" t="s">
        <v>49</v>
      </c>
      <c r="I2245" s="1" t="n">
        <v>3204265</v>
      </c>
      <c r="J2245" s="1" t="n">
        <v>35568</v>
      </c>
      <c r="K2245" s="1" t="n">
        <v>7891035051272</v>
      </c>
      <c r="L2245" s="1" t="s">
        <v>3400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5" t="n">
        <v>46192</v>
      </c>
      <c r="C2246" s="1" t="n">
        <v>11</v>
      </c>
      <c r="D2246" s="1" t="s">
        <v>2290</v>
      </c>
      <c r="E2246" s="1" t="n">
        <v>1636</v>
      </c>
      <c r="F2246" s="1" t="s">
        <v>49</v>
      </c>
      <c r="I2246" s="1" t="n">
        <v>3204265</v>
      </c>
      <c r="J2246" s="1" t="n">
        <v>36559</v>
      </c>
      <c r="K2246" s="1" t="n">
        <v>7891035000973</v>
      </c>
      <c r="L2246" s="1" t="s">
        <v>3401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5" t="n">
        <v>46192</v>
      </c>
      <c r="C2247" s="1" t="n">
        <v>11</v>
      </c>
      <c r="D2247" s="1" t="s">
        <v>2290</v>
      </c>
      <c r="E2247" s="1" t="n">
        <v>1636</v>
      </c>
      <c r="F2247" s="1" t="s">
        <v>49</v>
      </c>
      <c r="I2247" s="1" t="n">
        <v>3204265</v>
      </c>
      <c r="J2247" s="1" t="n">
        <v>37812</v>
      </c>
      <c r="K2247" s="1" t="n">
        <v>7891035001475</v>
      </c>
      <c r="L2247" s="1" t="s">
        <v>3402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5" t="n">
        <v>46192</v>
      </c>
      <c r="C2248" s="1" t="n">
        <v>11</v>
      </c>
      <c r="D2248" s="1" t="s">
        <v>2290</v>
      </c>
      <c r="E2248" s="1" t="n">
        <v>1636</v>
      </c>
      <c r="F2248" s="1" t="s">
        <v>49</v>
      </c>
      <c r="I2248" s="1" t="n">
        <v>3204265</v>
      </c>
      <c r="J2248" s="1" t="n">
        <v>41545</v>
      </c>
      <c r="K2248" s="1" t="n">
        <v>7896213005771</v>
      </c>
      <c r="L2248" s="1" t="s">
        <v>3403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5" t="n">
        <v>46192</v>
      </c>
      <c r="C2249" s="1" t="n">
        <v>11</v>
      </c>
      <c r="D2249" s="1" t="s">
        <v>2290</v>
      </c>
      <c r="E2249" s="1" t="n">
        <v>1636</v>
      </c>
      <c r="F2249" s="1" t="s">
        <v>49</v>
      </c>
      <c r="I2249" s="1" t="n">
        <v>3204265</v>
      </c>
      <c r="J2249" s="1" t="n">
        <v>44980</v>
      </c>
      <c r="K2249" s="1" t="n">
        <v>7891035001741</v>
      </c>
      <c r="L2249" s="1" t="s">
        <v>3404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5" t="n">
        <v>46192</v>
      </c>
      <c r="C2250" s="1" t="n">
        <v>11</v>
      </c>
      <c r="D2250" s="1" t="s">
        <v>2290</v>
      </c>
      <c r="E2250" s="1" t="n">
        <v>1636</v>
      </c>
      <c r="F2250" s="1" t="s">
        <v>49</v>
      </c>
      <c r="I2250" s="1" t="n">
        <v>3204265</v>
      </c>
      <c r="J2250" s="1" t="n">
        <v>48451</v>
      </c>
      <c r="K2250" s="1" t="n">
        <v>7891152801583</v>
      </c>
      <c r="L2250" s="1" t="s">
        <v>3405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5" t="n">
        <v>46192</v>
      </c>
      <c r="C2251" s="1" t="n">
        <v>11</v>
      </c>
      <c r="D2251" s="1" t="s">
        <v>2290</v>
      </c>
      <c r="E2251" s="1" t="n">
        <v>1636</v>
      </c>
      <c r="F2251" s="1" t="s">
        <v>49</v>
      </c>
      <c r="I2251" s="1" t="n">
        <v>3204265</v>
      </c>
      <c r="J2251" s="1" t="n">
        <v>48644</v>
      </c>
      <c r="K2251" s="1" t="n">
        <v>7891152801590</v>
      </c>
      <c r="L2251" s="1" t="s">
        <v>3405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5" t="n">
        <v>46192</v>
      </c>
      <c r="C2252" s="1" t="n">
        <v>11</v>
      </c>
      <c r="D2252" s="1" t="s">
        <v>2290</v>
      </c>
      <c r="E2252" s="1" t="n">
        <v>1636</v>
      </c>
      <c r="F2252" s="1" t="s">
        <v>49</v>
      </c>
      <c r="I2252" s="1" t="n">
        <v>3204265</v>
      </c>
      <c r="J2252" s="1" t="n">
        <v>50614</v>
      </c>
      <c r="K2252" s="1" t="n">
        <v>7891035002427</v>
      </c>
      <c r="L2252" s="1" t="s">
        <v>3406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5" t="n">
        <v>46192</v>
      </c>
      <c r="C2253" s="1" t="n">
        <v>11</v>
      </c>
      <c r="D2253" s="1" t="s">
        <v>2290</v>
      </c>
      <c r="E2253" s="1" t="n">
        <v>1636</v>
      </c>
      <c r="F2253" s="1" t="s">
        <v>49</v>
      </c>
      <c r="I2253" s="1" t="n">
        <v>3204265</v>
      </c>
      <c r="J2253" s="1" t="n">
        <v>51177</v>
      </c>
      <c r="K2253" s="1" t="n">
        <v>7891035560798</v>
      </c>
      <c r="L2253" s="1" t="s">
        <v>3407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5" t="n">
        <v>46192</v>
      </c>
      <c r="C2254" s="1" t="n">
        <v>11</v>
      </c>
      <c r="D2254" s="1" t="s">
        <v>2290</v>
      </c>
      <c r="E2254" s="1" t="n">
        <v>1636</v>
      </c>
      <c r="F2254" s="1" t="s">
        <v>49</v>
      </c>
      <c r="I2254" s="1" t="n">
        <v>3204265</v>
      </c>
      <c r="J2254" s="1" t="n">
        <v>51178</v>
      </c>
      <c r="K2254" s="1" t="n">
        <v>7891035002434</v>
      </c>
      <c r="L2254" s="1" t="s">
        <v>3406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5" t="n">
        <v>46192</v>
      </c>
      <c r="C2255" s="1" t="n">
        <v>11</v>
      </c>
      <c r="D2255" s="1" t="s">
        <v>2290</v>
      </c>
      <c r="E2255" s="1" t="n">
        <v>1636</v>
      </c>
      <c r="F2255" s="1" t="s">
        <v>49</v>
      </c>
      <c r="I2255" s="1" t="n">
        <v>3204265</v>
      </c>
      <c r="J2255" s="1" t="n">
        <v>51180</v>
      </c>
      <c r="K2255" s="1" t="n">
        <v>7891035002410</v>
      </c>
      <c r="L2255" s="1" t="s">
        <v>3406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5" t="n">
        <v>46192</v>
      </c>
      <c r="C2256" s="1" t="n">
        <v>11</v>
      </c>
      <c r="D2256" s="1" t="s">
        <v>2290</v>
      </c>
      <c r="E2256" s="1" t="n">
        <v>1636</v>
      </c>
      <c r="F2256" s="1" t="s">
        <v>49</v>
      </c>
      <c r="I2256" s="1" t="n">
        <v>3204265</v>
      </c>
      <c r="J2256" s="1" t="n">
        <v>51274</v>
      </c>
      <c r="K2256" s="1" t="n">
        <v>7891035001451</v>
      </c>
      <c r="L2256" s="1" t="s">
        <v>3408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5" t="n">
        <v>46192</v>
      </c>
      <c r="C2257" s="1" t="n">
        <v>11</v>
      </c>
      <c r="D2257" s="1" t="s">
        <v>2290</v>
      </c>
      <c r="E2257" s="1" t="n">
        <v>1636</v>
      </c>
      <c r="F2257" s="1" t="s">
        <v>49</v>
      </c>
      <c r="I2257" s="1" t="n">
        <v>3204265</v>
      </c>
      <c r="J2257" s="1" t="n">
        <v>51275</v>
      </c>
      <c r="K2257" s="1" t="n">
        <v>7891035001468</v>
      </c>
      <c r="L2257" s="1" t="s">
        <v>3409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5" t="n">
        <v>46192</v>
      </c>
      <c r="C2258" s="1" t="n">
        <v>11</v>
      </c>
      <c r="D2258" s="1" t="s">
        <v>2290</v>
      </c>
      <c r="E2258" s="1" t="n">
        <v>1636</v>
      </c>
      <c r="F2258" s="1" t="s">
        <v>49</v>
      </c>
      <c r="I2258" s="1" t="n">
        <v>3204265</v>
      </c>
      <c r="J2258" s="1" t="n">
        <v>57067</v>
      </c>
      <c r="K2258" s="1" t="n">
        <v>7891152802146</v>
      </c>
      <c r="L2258" s="1" t="s">
        <v>3410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5" t="n">
        <v>46192</v>
      </c>
      <c r="C2259" s="1" t="n">
        <v>11</v>
      </c>
      <c r="D2259" s="1" t="s">
        <v>2290</v>
      </c>
      <c r="E2259" s="1" t="n">
        <v>1636</v>
      </c>
      <c r="F2259" s="1" t="s">
        <v>49</v>
      </c>
      <c r="I2259" s="1" t="n">
        <v>3204265</v>
      </c>
      <c r="J2259" s="1" t="n">
        <v>58018</v>
      </c>
      <c r="K2259" s="1" t="n">
        <v>7891035002588</v>
      </c>
      <c r="L2259" s="1" t="s">
        <v>3411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5" t="n">
        <v>46192</v>
      </c>
      <c r="C2260" s="1" t="n">
        <v>11</v>
      </c>
      <c r="D2260" s="1" t="s">
        <v>2290</v>
      </c>
      <c r="E2260" s="1" t="n">
        <v>1636</v>
      </c>
      <c r="F2260" s="1" t="s">
        <v>49</v>
      </c>
      <c r="I2260" s="1" t="n">
        <v>3204265</v>
      </c>
      <c r="J2260" s="1" t="n">
        <v>81433</v>
      </c>
      <c r="K2260" s="1" t="n">
        <v>7896222721273</v>
      </c>
      <c r="L2260" s="1" t="s">
        <v>3412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5" t="n">
        <v>46192</v>
      </c>
      <c r="C2261" s="1" t="n">
        <v>11</v>
      </c>
      <c r="D2261" s="1" t="s">
        <v>2290</v>
      </c>
      <c r="E2261" s="1" t="n">
        <v>1636</v>
      </c>
      <c r="F2261" s="1" t="s">
        <v>49</v>
      </c>
      <c r="I2261" s="1" t="n">
        <v>3204268</v>
      </c>
      <c r="J2261" s="1" t="n">
        <v>20236</v>
      </c>
      <c r="K2261" s="1" t="n">
        <v>7896036096437</v>
      </c>
      <c r="L2261" s="1" t="s">
        <v>3413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5" t="n">
        <v>46192</v>
      </c>
      <c r="C2262" s="1" t="n">
        <v>11</v>
      </c>
      <c r="D2262" s="1" t="s">
        <v>2290</v>
      </c>
      <c r="E2262" s="1" t="n">
        <v>1636</v>
      </c>
      <c r="F2262" s="1" t="s">
        <v>49</v>
      </c>
      <c r="I2262" s="1" t="n">
        <v>3204268</v>
      </c>
      <c r="J2262" s="1" t="n">
        <v>104146</v>
      </c>
      <c r="K2262" s="1" t="n">
        <v>7896031217080</v>
      </c>
      <c r="L2262" s="1" t="s">
        <v>3414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5" t="n">
        <v>46192</v>
      </c>
      <c r="C2263" s="1" t="n">
        <v>11</v>
      </c>
      <c r="D2263" s="1" t="s">
        <v>2290</v>
      </c>
      <c r="E2263" s="1" t="n">
        <v>1636</v>
      </c>
      <c r="F2263" s="1" t="s">
        <v>49</v>
      </c>
      <c r="I2263" s="1" t="n">
        <v>3204268</v>
      </c>
      <c r="J2263" s="1" t="n">
        <v>105388</v>
      </c>
      <c r="K2263" s="1" t="n">
        <v>7891167021013</v>
      </c>
      <c r="L2263" s="1" t="s">
        <v>3415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5" t="n">
        <v>46192</v>
      </c>
      <c r="C2264" s="1" t="n">
        <v>11</v>
      </c>
      <c r="D2264" s="1" t="s">
        <v>2290</v>
      </c>
      <c r="E2264" s="1" t="n">
        <v>1636</v>
      </c>
      <c r="F2264" s="1" t="s">
        <v>49</v>
      </c>
      <c r="I2264" s="1" t="n">
        <v>3204268</v>
      </c>
      <c r="J2264" s="1" t="n">
        <v>108885</v>
      </c>
      <c r="K2264" s="1" t="n">
        <v>7891167021020</v>
      </c>
      <c r="L2264" s="1" t="s">
        <v>3416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5" t="n">
        <v>46192</v>
      </c>
      <c r="C2265" s="1" t="n">
        <v>11</v>
      </c>
      <c r="D2265" s="1" t="s">
        <v>2290</v>
      </c>
      <c r="E2265" s="1" t="n">
        <v>1636</v>
      </c>
      <c r="F2265" s="1" t="s">
        <v>49</v>
      </c>
      <c r="I2265" s="1" t="n">
        <v>3204268</v>
      </c>
      <c r="J2265" s="1" t="n">
        <v>14246</v>
      </c>
      <c r="K2265" s="1" t="n">
        <v>7896036090602</v>
      </c>
      <c r="L2265" s="1" t="s">
        <v>3417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5" t="n">
        <v>46192</v>
      </c>
      <c r="C2266" s="1" t="n">
        <v>11</v>
      </c>
      <c r="D2266" s="1" t="s">
        <v>2290</v>
      </c>
      <c r="E2266" s="1" t="n">
        <v>1636</v>
      </c>
      <c r="F2266" s="1" t="s">
        <v>49</v>
      </c>
      <c r="I2266" s="1" t="n">
        <v>3204268</v>
      </c>
      <c r="J2266" s="1" t="n">
        <v>14874</v>
      </c>
      <c r="K2266" s="1" t="n">
        <v>7896036095102</v>
      </c>
      <c r="L2266" s="1" t="s">
        <v>3418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5" t="n">
        <v>46192</v>
      </c>
      <c r="C2267" s="1" t="n">
        <v>11</v>
      </c>
      <c r="D2267" s="1" t="s">
        <v>2290</v>
      </c>
      <c r="E2267" s="1" t="n">
        <v>1636</v>
      </c>
      <c r="F2267" s="1" t="s">
        <v>49</v>
      </c>
      <c r="I2267" s="1" t="n">
        <v>3204268</v>
      </c>
      <c r="J2267" s="1" t="n">
        <v>15633</v>
      </c>
      <c r="K2267" s="1" t="n">
        <v>7896036090619</v>
      </c>
      <c r="L2267" s="1" t="s">
        <v>3419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5" t="n">
        <v>46192</v>
      </c>
      <c r="C2268" s="1" t="n">
        <v>11</v>
      </c>
      <c r="D2268" s="1" t="s">
        <v>2290</v>
      </c>
      <c r="E2268" s="1" t="n">
        <v>1636</v>
      </c>
      <c r="F2268" s="1" t="s">
        <v>49</v>
      </c>
      <c r="I2268" s="1" t="n">
        <v>3204268</v>
      </c>
      <c r="J2268" s="1" t="n">
        <v>15864</v>
      </c>
      <c r="K2268" s="1" t="n">
        <v>7896036095119</v>
      </c>
      <c r="L2268" s="1" t="s">
        <v>3420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5" t="n">
        <v>46192</v>
      </c>
      <c r="C2269" s="1" t="n">
        <v>11</v>
      </c>
      <c r="D2269" s="1" t="s">
        <v>2290</v>
      </c>
      <c r="E2269" s="1" t="n">
        <v>1636</v>
      </c>
      <c r="F2269" s="1" t="s">
        <v>49</v>
      </c>
      <c r="I2269" s="1" t="n">
        <v>3204268</v>
      </c>
      <c r="J2269" s="1" t="n">
        <v>16518</v>
      </c>
      <c r="K2269" s="1" t="n">
        <v>7891167011847</v>
      </c>
      <c r="L2269" s="1" t="s">
        <v>3421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5" t="n">
        <v>46192</v>
      </c>
      <c r="C2270" s="1" t="n">
        <v>11</v>
      </c>
      <c r="D2270" s="1" t="s">
        <v>2290</v>
      </c>
      <c r="E2270" s="1" t="n">
        <v>1636</v>
      </c>
      <c r="F2270" s="1" t="s">
        <v>49</v>
      </c>
      <c r="I2270" s="1" t="n">
        <v>3204268</v>
      </c>
      <c r="J2270" s="1" t="n">
        <v>20581</v>
      </c>
      <c r="K2270" s="1" t="n">
        <v>7896036095065</v>
      </c>
      <c r="L2270" s="1" t="s">
        <v>3422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5" t="n">
        <v>46192</v>
      </c>
      <c r="C2271" s="1" t="n">
        <v>11</v>
      </c>
      <c r="D2271" s="1" t="s">
        <v>2290</v>
      </c>
      <c r="E2271" s="1" t="n">
        <v>1636</v>
      </c>
      <c r="F2271" s="1" t="s">
        <v>49</v>
      </c>
      <c r="I2271" s="1" t="n">
        <v>3204268</v>
      </c>
      <c r="J2271" s="1" t="n">
        <v>23188</v>
      </c>
      <c r="K2271" s="1" t="n">
        <v>7896036096062</v>
      </c>
      <c r="L2271" s="1" t="s">
        <v>3423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5" t="n">
        <v>46192</v>
      </c>
      <c r="C2272" s="1" t="n">
        <v>11</v>
      </c>
      <c r="D2272" s="1" t="s">
        <v>2290</v>
      </c>
      <c r="E2272" s="1" t="n">
        <v>1636</v>
      </c>
      <c r="F2272" s="1" t="s">
        <v>49</v>
      </c>
      <c r="I2272" s="1" t="n">
        <v>3204268</v>
      </c>
      <c r="J2272" s="1" t="n">
        <v>23189</v>
      </c>
      <c r="K2272" s="1" t="n">
        <v>7896036036051</v>
      </c>
      <c r="L2272" s="1" t="s">
        <v>3424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5" t="n">
        <v>46192</v>
      </c>
      <c r="C2273" s="1" t="n">
        <v>11</v>
      </c>
      <c r="D2273" s="1" t="s">
        <v>2290</v>
      </c>
      <c r="E2273" s="1" t="n">
        <v>1636</v>
      </c>
      <c r="F2273" s="1" t="s">
        <v>49</v>
      </c>
      <c r="I2273" s="1" t="n">
        <v>3204268</v>
      </c>
      <c r="J2273" s="1" t="n">
        <v>24317</v>
      </c>
      <c r="K2273" s="1" t="n">
        <v>7896036095072</v>
      </c>
      <c r="L2273" s="1" t="s">
        <v>3425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5" t="n">
        <v>46192</v>
      </c>
      <c r="C2274" s="1" t="n">
        <v>11</v>
      </c>
      <c r="D2274" s="1" t="s">
        <v>2290</v>
      </c>
      <c r="E2274" s="1" t="n">
        <v>1636</v>
      </c>
      <c r="F2274" s="1" t="s">
        <v>49</v>
      </c>
      <c r="I2274" s="1" t="n">
        <v>3204268</v>
      </c>
      <c r="J2274" s="1" t="n">
        <v>25230</v>
      </c>
      <c r="K2274" s="1" t="n">
        <v>7896036096079</v>
      </c>
      <c r="L2274" s="1" t="s">
        <v>3426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5" t="n">
        <v>46192</v>
      </c>
      <c r="C2275" s="1" t="n">
        <v>11</v>
      </c>
      <c r="D2275" s="1" t="s">
        <v>2290</v>
      </c>
      <c r="E2275" s="1" t="n">
        <v>1636</v>
      </c>
      <c r="F2275" s="1" t="s">
        <v>49</v>
      </c>
      <c r="I2275" s="1" t="n">
        <v>3204268</v>
      </c>
      <c r="J2275" s="1" t="n">
        <v>29032</v>
      </c>
      <c r="K2275" s="1" t="n">
        <v>7896423419276</v>
      </c>
      <c r="L2275" s="1" t="s">
        <v>3427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5" t="n">
        <v>46192</v>
      </c>
      <c r="C2276" s="1" t="n">
        <v>11</v>
      </c>
      <c r="D2276" s="1" t="s">
        <v>2290</v>
      </c>
      <c r="E2276" s="1" t="n">
        <v>1636</v>
      </c>
      <c r="F2276" s="1" t="s">
        <v>49</v>
      </c>
      <c r="I2276" s="1" t="n">
        <v>3204268</v>
      </c>
      <c r="J2276" s="1" t="n">
        <v>30015</v>
      </c>
      <c r="K2276" s="1" t="n">
        <v>7896423420180</v>
      </c>
      <c r="L2276" s="1" t="s">
        <v>3428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5" t="n">
        <v>46192</v>
      </c>
      <c r="C2277" s="1" t="n">
        <v>11</v>
      </c>
      <c r="D2277" s="1" t="s">
        <v>2290</v>
      </c>
      <c r="E2277" s="1" t="n">
        <v>1636</v>
      </c>
      <c r="F2277" s="1" t="s">
        <v>49</v>
      </c>
      <c r="I2277" s="1" t="n">
        <v>3204268</v>
      </c>
      <c r="J2277" s="1" t="n">
        <v>36761</v>
      </c>
      <c r="K2277" s="1" t="n">
        <v>7896036095126</v>
      </c>
      <c r="L2277" s="1" t="s">
        <v>3429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5" t="n">
        <v>46192</v>
      </c>
      <c r="C2278" s="1" t="n">
        <v>11</v>
      </c>
      <c r="D2278" s="1" t="s">
        <v>2290</v>
      </c>
      <c r="E2278" s="1" t="n">
        <v>1636</v>
      </c>
      <c r="F2278" s="1" t="s">
        <v>49</v>
      </c>
      <c r="I2278" s="1" t="n">
        <v>3204268</v>
      </c>
      <c r="J2278" s="1" t="n">
        <v>37688</v>
      </c>
      <c r="K2278" s="1" t="n">
        <v>7896423481853</v>
      </c>
      <c r="L2278" s="1" t="s">
        <v>3430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5" t="n">
        <v>46192</v>
      </c>
      <c r="C2279" s="1" t="n">
        <v>11</v>
      </c>
      <c r="D2279" s="1" t="s">
        <v>2290</v>
      </c>
      <c r="E2279" s="1" t="n">
        <v>1636</v>
      </c>
      <c r="F2279" s="1" t="s">
        <v>49</v>
      </c>
      <c r="I2279" s="1" t="n">
        <v>3204268</v>
      </c>
      <c r="J2279" s="1" t="n">
        <v>41237</v>
      </c>
      <c r="K2279" s="1" t="n">
        <v>7899567248559</v>
      </c>
      <c r="L2279" s="1" t="s">
        <v>3431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5" t="n">
        <v>46192</v>
      </c>
      <c r="C2280" s="1" t="n">
        <v>11</v>
      </c>
      <c r="D2280" s="1" t="s">
        <v>2290</v>
      </c>
      <c r="E2280" s="1" t="n">
        <v>1636</v>
      </c>
      <c r="F2280" s="1" t="s">
        <v>49</v>
      </c>
      <c r="I2280" s="1" t="n">
        <v>3204268</v>
      </c>
      <c r="J2280" s="1" t="n">
        <v>43997</v>
      </c>
      <c r="K2280" s="1" t="n">
        <v>7896036091340</v>
      </c>
      <c r="L2280" s="1" t="s">
        <v>3432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5" t="n">
        <v>46192</v>
      </c>
      <c r="C2281" s="1" t="n">
        <v>11</v>
      </c>
      <c r="D2281" s="1" t="s">
        <v>2290</v>
      </c>
      <c r="E2281" s="1" t="n">
        <v>1636</v>
      </c>
      <c r="F2281" s="1" t="s">
        <v>49</v>
      </c>
      <c r="I2281" s="1" t="n">
        <v>3204268</v>
      </c>
      <c r="J2281" s="1" t="n">
        <v>45365</v>
      </c>
      <c r="K2281" s="1" t="n">
        <v>7896036098981</v>
      </c>
      <c r="L2281" s="1" t="s">
        <v>3433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5" t="n">
        <v>46192</v>
      </c>
      <c r="C2282" s="1" t="n">
        <v>11</v>
      </c>
      <c r="D2282" s="1" t="s">
        <v>2290</v>
      </c>
      <c r="E2282" s="1" t="n">
        <v>1636</v>
      </c>
      <c r="F2282" s="1" t="s">
        <v>49</v>
      </c>
      <c r="I2282" s="1" t="n">
        <v>3204268</v>
      </c>
      <c r="J2282" s="1" t="n">
        <v>48493</v>
      </c>
      <c r="K2282" s="1" t="n">
        <v>7896036099544</v>
      </c>
      <c r="L2282" s="1" t="s">
        <v>3434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5" t="n">
        <v>46192</v>
      </c>
      <c r="C2283" s="1" t="n">
        <v>11</v>
      </c>
      <c r="D2283" s="1" t="s">
        <v>2290</v>
      </c>
      <c r="E2283" s="1" t="n">
        <v>1636</v>
      </c>
      <c r="F2283" s="1" t="s">
        <v>49</v>
      </c>
      <c r="I2283" s="1" t="n">
        <v>3204268</v>
      </c>
      <c r="J2283" s="1" t="n">
        <v>48494</v>
      </c>
      <c r="K2283" s="1" t="n">
        <v>7896036099520</v>
      </c>
      <c r="L2283" s="1" t="s">
        <v>3435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5" t="n">
        <v>46192</v>
      </c>
      <c r="C2284" s="1" t="n">
        <v>11</v>
      </c>
      <c r="D2284" s="1" t="s">
        <v>2290</v>
      </c>
      <c r="E2284" s="1" t="n">
        <v>1636</v>
      </c>
      <c r="F2284" s="1" t="s">
        <v>49</v>
      </c>
      <c r="I2284" s="1" t="n">
        <v>3204268</v>
      </c>
      <c r="J2284" s="1" t="n">
        <v>50370</v>
      </c>
      <c r="K2284" s="1" t="n">
        <v>7896036099537</v>
      </c>
      <c r="L2284" s="1" t="s">
        <v>3436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5" t="n">
        <v>46192</v>
      </c>
      <c r="C2285" s="1" t="n">
        <v>11</v>
      </c>
      <c r="D2285" s="1" t="s">
        <v>2290</v>
      </c>
      <c r="E2285" s="1" t="n">
        <v>1636</v>
      </c>
      <c r="F2285" s="1" t="s">
        <v>49</v>
      </c>
      <c r="I2285" s="1" t="n">
        <v>3204268</v>
      </c>
      <c r="J2285" s="1" t="n">
        <v>50371</v>
      </c>
      <c r="K2285" s="1" t="n">
        <v>7896036099490</v>
      </c>
      <c r="L2285" s="1" t="s">
        <v>3437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5" t="n">
        <v>46192</v>
      </c>
      <c r="C2286" s="1" t="n">
        <v>11</v>
      </c>
      <c r="D2286" s="1" t="s">
        <v>2290</v>
      </c>
      <c r="E2286" s="1" t="n">
        <v>1636</v>
      </c>
      <c r="F2286" s="1" t="s">
        <v>49</v>
      </c>
      <c r="I2286" s="1" t="n">
        <v>3204268</v>
      </c>
      <c r="J2286" s="1" t="n">
        <v>52194</v>
      </c>
      <c r="K2286" s="1" t="n">
        <v>7896036099506</v>
      </c>
      <c r="L2286" s="1" t="s">
        <v>3438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5" t="n">
        <v>46192</v>
      </c>
      <c r="C2287" s="1" t="n">
        <v>11</v>
      </c>
      <c r="D2287" s="1" t="s">
        <v>2290</v>
      </c>
      <c r="E2287" s="1" t="n">
        <v>1636</v>
      </c>
      <c r="F2287" s="1" t="s">
        <v>49</v>
      </c>
      <c r="I2287" s="1" t="n">
        <v>3204268</v>
      </c>
      <c r="J2287" s="1" t="n">
        <v>54680</v>
      </c>
      <c r="K2287" s="1" t="n">
        <v>7891331018146</v>
      </c>
      <c r="L2287" s="1" t="s">
        <v>3439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5" t="n">
        <v>46192</v>
      </c>
      <c r="C2288" s="1" t="n">
        <v>11</v>
      </c>
      <c r="D2288" s="1" t="s">
        <v>2290</v>
      </c>
      <c r="E2288" s="1" t="n">
        <v>1636</v>
      </c>
      <c r="F2288" s="1" t="s">
        <v>49</v>
      </c>
      <c r="I2288" s="1" t="n">
        <v>3204268</v>
      </c>
      <c r="J2288" s="1" t="n">
        <v>55509</v>
      </c>
      <c r="K2288" s="1" t="n">
        <v>7891331018122</v>
      </c>
      <c r="L2288" s="1" t="s">
        <v>3440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5" t="n">
        <v>46192</v>
      </c>
      <c r="C2289" s="1" t="n">
        <v>11</v>
      </c>
      <c r="D2289" s="1" t="s">
        <v>2290</v>
      </c>
      <c r="E2289" s="1" t="n">
        <v>1636</v>
      </c>
      <c r="F2289" s="1" t="s">
        <v>49</v>
      </c>
      <c r="I2289" s="1" t="n">
        <v>3204268</v>
      </c>
      <c r="J2289" s="1" t="n">
        <v>55584</v>
      </c>
      <c r="K2289" s="1" t="n">
        <v>7896036000427</v>
      </c>
      <c r="L2289" s="1" t="s">
        <v>3441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5" t="n">
        <v>46192</v>
      </c>
      <c r="C2290" s="1" t="n">
        <v>11</v>
      </c>
      <c r="D2290" s="1" t="s">
        <v>2290</v>
      </c>
      <c r="E2290" s="1" t="n">
        <v>1636</v>
      </c>
      <c r="F2290" s="1" t="s">
        <v>49</v>
      </c>
      <c r="I2290" s="1" t="n">
        <v>3204268</v>
      </c>
      <c r="J2290" s="1" t="n">
        <v>60936</v>
      </c>
      <c r="K2290" s="1" t="n">
        <v>7896036099759</v>
      </c>
      <c r="L2290" s="1" t="s">
        <v>3441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5" t="n">
        <v>46192</v>
      </c>
      <c r="C2291" s="1" t="n">
        <v>11</v>
      </c>
      <c r="D2291" s="1" t="s">
        <v>2290</v>
      </c>
      <c r="E2291" s="1" t="n">
        <v>1636</v>
      </c>
      <c r="F2291" s="1" t="s">
        <v>49</v>
      </c>
      <c r="I2291" s="1" t="n">
        <v>3204268</v>
      </c>
      <c r="J2291" s="1" t="n">
        <v>65885</v>
      </c>
      <c r="K2291" s="1" t="n">
        <v>7896036001219</v>
      </c>
      <c r="L2291" s="1" t="s">
        <v>3442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5" t="n">
        <v>46192</v>
      </c>
      <c r="C2292" s="1" t="n">
        <v>11</v>
      </c>
      <c r="D2292" s="1" t="s">
        <v>2290</v>
      </c>
      <c r="E2292" s="1" t="n">
        <v>1636</v>
      </c>
      <c r="F2292" s="1" t="s">
        <v>49</v>
      </c>
      <c r="I2292" s="1" t="n">
        <v>3204268</v>
      </c>
      <c r="J2292" s="1" t="n">
        <v>66069</v>
      </c>
      <c r="K2292" s="1" t="n">
        <v>7896004010076</v>
      </c>
      <c r="L2292" s="1" t="s">
        <v>3443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5" t="n">
        <v>46192</v>
      </c>
      <c r="C2293" s="1" t="n">
        <v>11</v>
      </c>
      <c r="D2293" s="1" t="s">
        <v>2290</v>
      </c>
      <c r="E2293" s="1" t="n">
        <v>1636</v>
      </c>
      <c r="F2293" s="1" t="s">
        <v>49</v>
      </c>
      <c r="I2293" s="1" t="n">
        <v>3204268</v>
      </c>
      <c r="J2293" s="1" t="n">
        <v>71380</v>
      </c>
      <c r="K2293" s="1" t="n">
        <v>7896423488883</v>
      </c>
      <c r="L2293" s="1" t="s">
        <v>3444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5" t="n">
        <v>46192</v>
      </c>
      <c r="C2294" s="1" t="n">
        <v>11</v>
      </c>
      <c r="D2294" s="1" t="s">
        <v>2290</v>
      </c>
      <c r="E2294" s="1" t="n">
        <v>1636</v>
      </c>
      <c r="F2294" s="1" t="s">
        <v>49</v>
      </c>
      <c r="I2294" s="1" t="n">
        <v>3204268</v>
      </c>
      <c r="J2294" s="1" t="n">
        <v>78481</v>
      </c>
      <c r="K2294" s="1" t="n">
        <v>7896423438727</v>
      </c>
      <c r="L2294" s="1" t="s">
        <v>3445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5" t="n">
        <v>46192</v>
      </c>
      <c r="C2295" s="1" t="n">
        <v>11</v>
      </c>
      <c r="D2295" s="1" t="s">
        <v>2290</v>
      </c>
      <c r="E2295" s="1" t="n">
        <v>1636</v>
      </c>
      <c r="F2295" s="1" t="s">
        <v>49</v>
      </c>
      <c r="I2295" s="1" t="n">
        <v>3204268</v>
      </c>
      <c r="J2295" s="1" t="n">
        <v>80262</v>
      </c>
      <c r="K2295" s="1" t="n">
        <v>7896036001684</v>
      </c>
      <c r="L2295" s="1" t="s">
        <v>3446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5" t="n">
        <v>46192</v>
      </c>
      <c r="C2296" s="1" t="n">
        <v>11</v>
      </c>
      <c r="D2296" s="1" t="s">
        <v>2290</v>
      </c>
      <c r="E2296" s="1" t="n">
        <v>1636</v>
      </c>
      <c r="F2296" s="1" t="s">
        <v>49</v>
      </c>
      <c r="I2296" s="1" t="n">
        <v>3204268</v>
      </c>
      <c r="J2296" s="1" t="n">
        <v>80816</v>
      </c>
      <c r="K2296" s="1" t="n">
        <v>7896423438772</v>
      </c>
      <c r="L2296" s="1" t="s">
        <v>3447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5" t="n">
        <v>46192</v>
      </c>
      <c r="C2297" s="1" t="n">
        <v>22</v>
      </c>
      <c r="D2297" s="1" t="s">
        <v>2436</v>
      </c>
      <c r="E2297" s="1" t="n">
        <v>42</v>
      </c>
      <c r="F2297" s="1" t="s">
        <v>80</v>
      </c>
      <c r="I2297" s="1" t="n">
        <v>4287</v>
      </c>
      <c r="J2297" s="1" t="n">
        <v>100000</v>
      </c>
      <c r="K2297" s="1" t="n">
        <v>1</v>
      </c>
      <c r="L2297" s="1" t="s">
        <v>2451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5" t="n">
        <v>46192</v>
      </c>
      <c r="C2298" s="1" t="n">
        <v>22</v>
      </c>
      <c r="D2298" s="1" t="s">
        <v>2436</v>
      </c>
      <c r="E2298" s="1" t="n">
        <v>42</v>
      </c>
      <c r="F2298" s="1" t="s">
        <v>80</v>
      </c>
      <c r="I2298" s="1" t="n">
        <v>4287</v>
      </c>
      <c r="J2298" s="1" t="n">
        <v>100006</v>
      </c>
      <c r="K2298" s="1" t="n">
        <v>7</v>
      </c>
      <c r="L2298" s="1" t="s">
        <v>2437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5" t="n">
        <v>46192</v>
      </c>
      <c r="C2299" s="1" t="n">
        <v>22</v>
      </c>
      <c r="D2299" s="1" t="s">
        <v>2436</v>
      </c>
      <c r="E2299" s="1" t="n">
        <v>42</v>
      </c>
      <c r="F2299" s="1" t="s">
        <v>80</v>
      </c>
      <c r="I2299" s="1" t="n">
        <v>4287</v>
      </c>
      <c r="J2299" s="1" t="n">
        <v>100008</v>
      </c>
      <c r="K2299" s="1" t="n">
        <v>9</v>
      </c>
      <c r="L2299" s="1" t="s">
        <v>2438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5" t="n">
        <v>46192</v>
      </c>
      <c r="C2300" s="1" t="n">
        <v>22</v>
      </c>
      <c r="D2300" s="1" t="s">
        <v>2436</v>
      </c>
      <c r="E2300" s="1" t="n">
        <v>42</v>
      </c>
      <c r="F2300" s="1" t="s">
        <v>80</v>
      </c>
      <c r="I2300" s="1" t="n">
        <v>4287</v>
      </c>
      <c r="J2300" s="1" t="n">
        <v>100010</v>
      </c>
      <c r="K2300" s="1" t="n">
        <v>11</v>
      </c>
      <c r="L2300" s="1" t="s">
        <v>2439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5" t="n">
        <v>46192</v>
      </c>
      <c r="C2301" s="1" t="n">
        <v>22</v>
      </c>
      <c r="D2301" s="1" t="s">
        <v>2436</v>
      </c>
      <c r="E2301" s="1" t="n">
        <v>42</v>
      </c>
      <c r="F2301" s="1" t="s">
        <v>80</v>
      </c>
      <c r="I2301" s="1" t="n">
        <v>4287</v>
      </c>
      <c r="J2301" s="1" t="n">
        <v>100011</v>
      </c>
      <c r="K2301" s="1" t="n">
        <v>12</v>
      </c>
      <c r="L2301" s="1" t="s">
        <v>2440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5" t="n">
        <v>46192</v>
      </c>
      <c r="C2302" s="1" t="n">
        <v>22</v>
      </c>
      <c r="D2302" s="1" t="s">
        <v>2436</v>
      </c>
      <c r="E2302" s="1" t="n">
        <v>42</v>
      </c>
      <c r="F2302" s="1" t="s">
        <v>80</v>
      </c>
      <c r="I2302" s="1" t="n">
        <v>4287</v>
      </c>
      <c r="J2302" s="1" t="n">
        <v>100012</v>
      </c>
      <c r="K2302" s="1" t="n">
        <v>13</v>
      </c>
      <c r="L2302" s="1" t="s">
        <v>2441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5" t="n">
        <v>46192</v>
      </c>
      <c r="C2303" s="1" t="n">
        <v>22</v>
      </c>
      <c r="D2303" s="1" t="s">
        <v>2436</v>
      </c>
      <c r="E2303" s="1" t="n">
        <v>42</v>
      </c>
      <c r="F2303" s="1" t="s">
        <v>80</v>
      </c>
      <c r="I2303" s="1" t="n">
        <v>4287</v>
      </c>
      <c r="J2303" s="1" t="n">
        <v>100013</v>
      </c>
      <c r="K2303" s="1" t="n">
        <v>14</v>
      </c>
      <c r="L2303" s="1" t="s">
        <v>2442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5" t="n">
        <v>46192</v>
      </c>
      <c r="C2304" s="1" t="n">
        <v>22</v>
      </c>
      <c r="D2304" s="1" t="s">
        <v>2436</v>
      </c>
      <c r="E2304" s="1" t="n">
        <v>42</v>
      </c>
      <c r="F2304" s="1" t="s">
        <v>80</v>
      </c>
      <c r="I2304" s="1" t="n">
        <v>4287</v>
      </c>
      <c r="J2304" s="1" t="n">
        <v>100014</v>
      </c>
      <c r="K2304" s="1" t="n">
        <v>15</v>
      </c>
      <c r="L2304" s="1" t="s">
        <v>2443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5" t="n">
        <v>46192</v>
      </c>
      <c r="C2305" s="1" t="n">
        <v>22</v>
      </c>
      <c r="D2305" s="1" t="s">
        <v>2436</v>
      </c>
      <c r="E2305" s="1" t="n">
        <v>42</v>
      </c>
      <c r="F2305" s="1" t="s">
        <v>80</v>
      </c>
      <c r="I2305" s="1" t="n">
        <v>4287</v>
      </c>
      <c r="J2305" s="1" t="n">
        <v>100015</v>
      </c>
      <c r="K2305" s="1" t="n">
        <v>16</v>
      </c>
      <c r="L2305" s="1" t="s">
        <v>2444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5" t="n">
        <v>46192</v>
      </c>
      <c r="C2306" s="1" t="n">
        <v>22</v>
      </c>
      <c r="D2306" s="1" t="s">
        <v>2436</v>
      </c>
      <c r="E2306" s="1" t="n">
        <v>42</v>
      </c>
      <c r="F2306" s="1" t="s">
        <v>80</v>
      </c>
      <c r="I2306" s="1" t="n">
        <v>4287</v>
      </c>
      <c r="J2306" s="1" t="n">
        <v>100016</v>
      </c>
      <c r="K2306" s="1" t="n">
        <v>17</v>
      </c>
      <c r="L2306" s="1" t="s">
        <v>2445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5" t="n">
        <v>46192</v>
      </c>
      <c r="C2307" s="1" t="n">
        <v>22</v>
      </c>
      <c r="D2307" s="1" t="s">
        <v>2436</v>
      </c>
      <c r="E2307" s="1" t="n">
        <v>42</v>
      </c>
      <c r="F2307" s="1" t="s">
        <v>80</v>
      </c>
      <c r="I2307" s="1" t="n">
        <v>4287</v>
      </c>
      <c r="J2307" s="1" t="n">
        <v>100017</v>
      </c>
      <c r="K2307" s="1" t="n">
        <v>18</v>
      </c>
      <c r="L2307" s="1" t="s">
        <v>2446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5" t="n">
        <v>46192</v>
      </c>
      <c r="C2308" s="1" t="n">
        <v>22</v>
      </c>
      <c r="D2308" s="1" t="s">
        <v>2436</v>
      </c>
      <c r="E2308" s="1" t="n">
        <v>42</v>
      </c>
      <c r="F2308" s="1" t="s">
        <v>80</v>
      </c>
      <c r="I2308" s="1" t="n">
        <v>4287</v>
      </c>
      <c r="J2308" s="1" t="n">
        <v>100020</v>
      </c>
      <c r="K2308" s="1" t="n">
        <v>21</v>
      </c>
      <c r="L2308" s="1" t="s">
        <v>2456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5" t="n">
        <v>46192</v>
      </c>
      <c r="C2309" s="1" t="n">
        <v>22</v>
      </c>
      <c r="D2309" s="1" t="s">
        <v>2436</v>
      </c>
      <c r="E2309" s="1" t="n">
        <v>42</v>
      </c>
      <c r="F2309" s="1" t="s">
        <v>80</v>
      </c>
      <c r="I2309" s="1" t="n">
        <v>4287</v>
      </c>
      <c r="J2309" s="1" t="n">
        <v>100053</v>
      </c>
      <c r="K2309" s="1" t="n">
        <v>54</v>
      </c>
      <c r="L2309" s="1" t="s">
        <v>2447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5" t="n">
        <v>46192</v>
      </c>
      <c r="C2310" s="1" t="n">
        <v>22</v>
      </c>
      <c r="D2310" s="1" t="s">
        <v>2436</v>
      </c>
      <c r="E2310" s="1" t="n">
        <v>42</v>
      </c>
      <c r="F2310" s="1" t="s">
        <v>80</v>
      </c>
      <c r="I2310" s="1" t="n">
        <v>4287</v>
      </c>
      <c r="J2310" s="1" t="n">
        <v>100638</v>
      </c>
      <c r="K2310" s="1" t="n">
        <v>508</v>
      </c>
      <c r="L2310" s="1" t="s">
        <v>2448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5" t="n">
        <v>46192</v>
      </c>
      <c r="C2311" s="1" t="n">
        <v>22</v>
      </c>
      <c r="D2311" s="1" t="s">
        <v>2436</v>
      </c>
      <c r="E2311" s="1" t="n">
        <v>42</v>
      </c>
      <c r="F2311" s="1" t="s">
        <v>80</v>
      </c>
      <c r="I2311" s="1" t="n">
        <v>4287</v>
      </c>
      <c r="J2311" s="1" t="n">
        <v>100520</v>
      </c>
      <c r="K2311" s="1" t="n">
        <v>507</v>
      </c>
      <c r="L2311" s="1" t="s">
        <v>2449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5" t="n">
        <v>46192</v>
      </c>
      <c r="C2312" s="1" t="n">
        <v>22</v>
      </c>
      <c r="D2312" s="1" t="s">
        <v>2436</v>
      </c>
      <c r="E2312" s="1" t="n">
        <v>42</v>
      </c>
      <c r="F2312" s="1" t="s">
        <v>80</v>
      </c>
      <c r="I2312" s="1" t="n">
        <v>4287</v>
      </c>
      <c r="J2312" s="1" t="n">
        <v>110455</v>
      </c>
      <c r="K2312" s="1" t="n">
        <v>53212</v>
      </c>
      <c r="L2312" s="1" t="s">
        <v>2450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5" t="n">
        <v>46192</v>
      </c>
      <c r="C2313" s="1" t="n">
        <v>22</v>
      </c>
      <c r="D2313" s="1" t="s">
        <v>2436</v>
      </c>
      <c r="E2313" s="1" t="n">
        <v>42</v>
      </c>
      <c r="F2313" s="1" t="s">
        <v>80</v>
      </c>
      <c r="I2313" s="1" t="n">
        <v>4289</v>
      </c>
      <c r="J2313" s="1" t="n">
        <v>100000</v>
      </c>
      <c r="K2313" s="1" t="n">
        <v>1</v>
      </c>
      <c r="L2313" s="1" t="s">
        <v>2451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5" t="n">
        <v>46192</v>
      </c>
      <c r="C2314" s="1" t="n">
        <v>22</v>
      </c>
      <c r="D2314" s="1" t="s">
        <v>2436</v>
      </c>
      <c r="E2314" s="1" t="n">
        <v>42</v>
      </c>
      <c r="F2314" s="1" t="s">
        <v>80</v>
      </c>
      <c r="I2314" s="1" t="n">
        <v>4289</v>
      </c>
      <c r="J2314" s="1" t="n">
        <v>100001</v>
      </c>
      <c r="K2314" s="1" t="n">
        <v>2</v>
      </c>
      <c r="L2314" s="1" t="s">
        <v>2452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5" t="n">
        <v>46192</v>
      </c>
      <c r="C2315" s="1" t="n">
        <v>22</v>
      </c>
      <c r="D2315" s="1" t="s">
        <v>2436</v>
      </c>
      <c r="E2315" s="1" t="n">
        <v>42</v>
      </c>
      <c r="F2315" s="1" t="s">
        <v>80</v>
      </c>
      <c r="I2315" s="1" t="n">
        <v>4289</v>
      </c>
      <c r="J2315" s="1" t="n">
        <v>100002</v>
      </c>
      <c r="K2315" s="1" t="n">
        <v>3</v>
      </c>
      <c r="L2315" s="1" t="s">
        <v>2453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5" t="n">
        <v>46192</v>
      </c>
      <c r="C2316" s="1" t="n">
        <v>22</v>
      </c>
      <c r="D2316" s="1" t="s">
        <v>2436</v>
      </c>
      <c r="E2316" s="1" t="n">
        <v>42</v>
      </c>
      <c r="F2316" s="1" t="s">
        <v>80</v>
      </c>
      <c r="I2316" s="1" t="n">
        <v>4289</v>
      </c>
      <c r="J2316" s="1" t="n">
        <v>100003</v>
      </c>
      <c r="K2316" s="1" t="n">
        <v>4</v>
      </c>
      <c r="L2316" s="1" t="s">
        <v>2454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5" t="n">
        <v>46192</v>
      </c>
      <c r="C2317" s="1" t="n">
        <v>22</v>
      </c>
      <c r="D2317" s="1" t="s">
        <v>2436</v>
      </c>
      <c r="E2317" s="1" t="n">
        <v>42</v>
      </c>
      <c r="F2317" s="1" t="s">
        <v>80</v>
      </c>
      <c r="I2317" s="1" t="n">
        <v>4289</v>
      </c>
      <c r="J2317" s="1" t="n">
        <v>100007</v>
      </c>
      <c r="K2317" s="1" t="n">
        <v>8</v>
      </c>
      <c r="L2317" s="1" t="s">
        <v>2455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5" t="n">
        <v>46192</v>
      </c>
      <c r="C2318" s="1" t="n">
        <v>22</v>
      </c>
      <c r="D2318" s="1" t="s">
        <v>2436</v>
      </c>
      <c r="E2318" s="1" t="n">
        <v>42</v>
      </c>
      <c r="F2318" s="1" t="s">
        <v>80</v>
      </c>
      <c r="I2318" s="1" t="n">
        <v>4289</v>
      </c>
      <c r="J2318" s="1" t="n">
        <v>100638</v>
      </c>
      <c r="K2318" s="1" t="n">
        <v>508</v>
      </c>
      <c r="L2318" s="1" t="s">
        <v>2448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5" t="n">
        <v>46192</v>
      </c>
      <c r="C2319" s="1" t="n">
        <v>22</v>
      </c>
      <c r="D2319" s="1" t="s">
        <v>2436</v>
      </c>
      <c r="E2319" s="1" t="n">
        <v>42</v>
      </c>
      <c r="F2319" s="1" t="s">
        <v>80</v>
      </c>
      <c r="I2319" s="1" t="n">
        <v>4289</v>
      </c>
      <c r="J2319" s="1" t="n">
        <v>100520</v>
      </c>
      <c r="K2319" s="1" t="n">
        <v>507</v>
      </c>
      <c r="L2319" s="1" t="s">
        <v>2449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5" t="n">
        <v>46192</v>
      </c>
      <c r="C2320" s="1" t="n">
        <v>22</v>
      </c>
      <c r="D2320" s="1" t="s">
        <v>2436</v>
      </c>
      <c r="E2320" s="1" t="n">
        <v>42</v>
      </c>
      <c r="F2320" s="1" t="s">
        <v>80</v>
      </c>
      <c r="I2320" s="1" t="n">
        <v>4289</v>
      </c>
      <c r="J2320" s="1" t="n">
        <v>110455</v>
      </c>
      <c r="K2320" s="1" t="n">
        <v>53212</v>
      </c>
      <c r="L2320" s="1" t="s">
        <v>2450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5" t="n">
        <v>46192</v>
      </c>
      <c r="C2321" s="1" t="n">
        <v>100</v>
      </c>
      <c r="D2321" s="1" t="s">
        <v>2457</v>
      </c>
      <c r="E2321" s="1" t="n">
        <v>42</v>
      </c>
      <c r="F2321" s="1" t="s">
        <v>80</v>
      </c>
      <c r="I2321" s="1" t="n">
        <v>1272773</v>
      </c>
      <c r="J2321" s="1" t="n">
        <v>100000</v>
      </c>
      <c r="K2321" s="1" t="n">
        <v>1</v>
      </c>
      <c r="L2321" s="1" t="s">
        <v>2451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5" t="n">
        <v>46192</v>
      </c>
      <c r="C2322" s="1" t="n">
        <v>100</v>
      </c>
      <c r="D2322" s="1" t="s">
        <v>2457</v>
      </c>
      <c r="E2322" s="1" t="n">
        <v>42</v>
      </c>
      <c r="F2322" s="1" t="s">
        <v>80</v>
      </c>
      <c r="I2322" s="1" t="n">
        <v>1272773</v>
      </c>
      <c r="J2322" s="1" t="n">
        <v>100006</v>
      </c>
      <c r="K2322" s="1" t="n">
        <v>7</v>
      </c>
      <c r="L2322" s="1" t="s">
        <v>2437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5" t="n">
        <v>46192</v>
      </c>
      <c r="C2323" s="1" t="n">
        <v>100</v>
      </c>
      <c r="D2323" s="1" t="s">
        <v>2457</v>
      </c>
      <c r="E2323" s="1" t="n">
        <v>42</v>
      </c>
      <c r="F2323" s="1" t="s">
        <v>80</v>
      </c>
      <c r="I2323" s="1" t="n">
        <v>1272773</v>
      </c>
      <c r="J2323" s="1" t="n">
        <v>100008</v>
      </c>
      <c r="K2323" s="1" t="n">
        <v>9</v>
      </c>
      <c r="L2323" s="1" t="s">
        <v>2438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5" t="n">
        <v>46192</v>
      </c>
      <c r="C2324" s="1" t="n">
        <v>100</v>
      </c>
      <c r="D2324" s="1" t="s">
        <v>2457</v>
      </c>
      <c r="E2324" s="1" t="n">
        <v>42</v>
      </c>
      <c r="F2324" s="1" t="s">
        <v>80</v>
      </c>
      <c r="I2324" s="1" t="n">
        <v>1272773</v>
      </c>
      <c r="J2324" s="1" t="n">
        <v>100010</v>
      </c>
      <c r="K2324" s="1" t="n">
        <v>11</v>
      </c>
      <c r="L2324" s="1" t="s">
        <v>2439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5" t="n">
        <v>46192</v>
      </c>
      <c r="C2325" s="1" t="n">
        <v>100</v>
      </c>
      <c r="D2325" s="1" t="s">
        <v>2457</v>
      </c>
      <c r="E2325" s="1" t="n">
        <v>42</v>
      </c>
      <c r="F2325" s="1" t="s">
        <v>80</v>
      </c>
      <c r="I2325" s="1" t="n">
        <v>1272773</v>
      </c>
      <c r="J2325" s="1" t="n">
        <v>100011</v>
      </c>
      <c r="K2325" s="1" t="n">
        <v>12</v>
      </c>
      <c r="L2325" s="1" t="s">
        <v>2440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5" t="n">
        <v>46192</v>
      </c>
      <c r="C2326" s="1" t="n">
        <v>100</v>
      </c>
      <c r="D2326" s="1" t="s">
        <v>2457</v>
      </c>
      <c r="E2326" s="1" t="n">
        <v>42</v>
      </c>
      <c r="F2326" s="1" t="s">
        <v>80</v>
      </c>
      <c r="I2326" s="1" t="n">
        <v>1272773</v>
      </c>
      <c r="J2326" s="1" t="n">
        <v>100012</v>
      </c>
      <c r="K2326" s="1" t="n">
        <v>13</v>
      </c>
      <c r="L2326" s="1" t="s">
        <v>2441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5" t="n">
        <v>46192</v>
      </c>
      <c r="C2327" s="1" t="n">
        <v>100</v>
      </c>
      <c r="D2327" s="1" t="s">
        <v>2457</v>
      </c>
      <c r="E2327" s="1" t="n">
        <v>42</v>
      </c>
      <c r="F2327" s="1" t="s">
        <v>80</v>
      </c>
      <c r="I2327" s="1" t="n">
        <v>1272773</v>
      </c>
      <c r="J2327" s="1" t="n">
        <v>100013</v>
      </c>
      <c r="K2327" s="1" t="n">
        <v>14</v>
      </c>
      <c r="L2327" s="1" t="s">
        <v>2442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5" t="n">
        <v>46192</v>
      </c>
      <c r="C2328" s="1" t="n">
        <v>100</v>
      </c>
      <c r="D2328" s="1" t="s">
        <v>2457</v>
      </c>
      <c r="E2328" s="1" t="n">
        <v>42</v>
      </c>
      <c r="F2328" s="1" t="s">
        <v>80</v>
      </c>
      <c r="I2328" s="1" t="n">
        <v>1272773</v>
      </c>
      <c r="J2328" s="1" t="n">
        <v>100014</v>
      </c>
      <c r="K2328" s="1" t="n">
        <v>15</v>
      </c>
      <c r="L2328" s="1" t="s">
        <v>2443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5" t="n">
        <v>46192</v>
      </c>
      <c r="C2329" s="1" t="n">
        <v>100</v>
      </c>
      <c r="D2329" s="1" t="s">
        <v>2457</v>
      </c>
      <c r="E2329" s="1" t="n">
        <v>42</v>
      </c>
      <c r="F2329" s="1" t="s">
        <v>80</v>
      </c>
      <c r="I2329" s="1" t="n">
        <v>1272773</v>
      </c>
      <c r="J2329" s="1" t="n">
        <v>100015</v>
      </c>
      <c r="K2329" s="1" t="n">
        <v>16</v>
      </c>
      <c r="L2329" s="1" t="s">
        <v>2444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5" t="n">
        <v>46192</v>
      </c>
      <c r="C2330" s="1" t="n">
        <v>100</v>
      </c>
      <c r="D2330" s="1" t="s">
        <v>2457</v>
      </c>
      <c r="E2330" s="1" t="n">
        <v>42</v>
      </c>
      <c r="F2330" s="1" t="s">
        <v>80</v>
      </c>
      <c r="I2330" s="1" t="n">
        <v>1272773</v>
      </c>
      <c r="J2330" s="1" t="n">
        <v>100016</v>
      </c>
      <c r="K2330" s="1" t="n">
        <v>17</v>
      </c>
      <c r="L2330" s="1" t="s">
        <v>2445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5" t="n">
        <v>46192</v>
      </c>
      <c r="C2331" s="1" t="n">
        <v>100</v>
      </c>
      <c r="D2331" s="1" t="s">
        <v>2457</v>
      </c>
      <c r="E2331" s="1" t="n">
        <v>42</v>
      </c>
      <c r="F2331" s="1" t="s">
        <v>80</v>
      </c>
      <c r="I2331" s="1" t="n">
        <v>1272773</v>
      </c>
      <c r="J2331" s="1" t="n">
        <v>100017</v>
      </c>
      <c r="K2331" s="1" t="n">
        <v>18</v>
      </c>
      <c r="L2331" s="1" t="s">
        <v>2446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5" t="n">
        <v>46192</v>
      </c>
      <c r="C2332" s="1" t="n">
        <v>100</v>
      </c>
      <c r="D2332" s="1" t="s">
        <v>2457</v>
      </c>
      <c r="E2332" s="1" t="n">
        <v>42</v>
      </c>
      <c r="F2332" s="1" t="s">
        <v>80</v>
      </c>
      <c r="I2332" s="1" t="n">
        <v>1272773</v>
      </c>
      <c r="J2332" s="1" t="n">
        <v>100020</v>
      </c>
      <c r="K2332" s="1" t="n">
        <v>21</v>
      </c>
      <c r="L2332" s="1" t="s">
        <v>2456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5" t="n">
        <v>46192</v>
      </c>
      <c r="C2333" s="1" t="n">
        <v>100</v>
      </c>
      <c r="D2333" s="1" t="s">
        <v>2457</v>
      </c>
      <c r="E2333" s="1" t="n">
        <v>42</v>
      </c>
      <c r="F2333" s="1" t="s">
        <v>80</v>
      </c>
      <c r="I2333" s="1" t="n">
        <v>1272773</v>
      </c>
      <c r="J2333" s="1" t="n">
        <v>100053</v>
      </c>
      <c r="K2333" s="1" t="n">
        <v>54</v>
      </c>
      <c r="L2333" s="1" t="s">
        <v>2447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5" t="n">
        <v>46192</v>
      </c>
      <c r="C2334" s="1" t="n">
        <v>100</v>
      </c>
      <c r="D2334" s="1" t="s">
        <v>2457</v>
      </c>
      <c r="E2334" s="1" t="n">
        <v>42</v>
      </c>
      <c r="F2334" s="1" t="s">
        <v>80</v>
      </c>
      <c r="I2334" s="1" t="n">
        <v>1272773</v>
      </c>
      <c r="J2334" s="1" t="n">
        <v>100638</v>
      </c>
      <c r="K2334" s="1" t="n">
        <v>508</v>
      </c>
      <c r="L2334" s="1" t="s">
        <v>2448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5" t="n">
        <v>46192</v>
      </c>
      <c r="C2335" s="1" t="n">
        <v>100</v>
      </c>
      <c r="D2335" s="1" t="s">
        <v>2457</v>
      </c>
      <c r="E2335" s="1" t="n">
        <v>42</v>
      </c>
      <c r="F2335" s="1" t="s">
        <v>80</v>
      </c>
      <c r="I2335" s="1" t="n">
        <v>1272773</v>
      </c>
      <c r="J2335" s="1" t="n">
        <v>100520</v>
      </c>
      <c r="K2335" s="1" t="n">
        <v>507</v>
      </c>
      <c r="L2335" s="1" t="s">
        <v>2449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5" t="n">
        <v>46192</v>
      </c>
      <c r="C2336" s="1" t="n">
        <v>100</v>
      </c>
      <c r="D2336" s="1" t="s">
        <v>2457</v>
      </c>
      <c r="E2336" s="1" t="n">
        <v>42</v>
      </c>
      <c r="F2336" s="1" t="s">
        <v>80</v>
      </c>
      <c r="I2336" s="1" t="n">
        <v>1272773</v>
      </c>
      <c r="J2336" s="1" t="n">
        <v>110455</v>
      </c>
      <c r="K2336" s="1" t="n">
        <v>53212</v>
      </c>
      <c r="L2336" s="1" t="s">
        <v>2450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5" t="n">
        <v>46192</v>
      </c>
      <c r="C2337" s="1" t="n">
        <v>100</v>
      </c>
      <c r="D2337" s="1" t="s">
        <v>2457</v>
      </c>
      <c r="E2337" s="1" t="n">
        <v>42</v>
      </c>
      <c r="F2337" s="1" t="s">
        <v>80</v>
      </c>
      <c r="I2337" s="1" t="n">
        <v>1272829</v>
      </c>
      <c r="J2337" s="1" t="n">
        <v>100000</v>
      </c>
      <c r="K2337" s="1" t="n">
        <v>1</v>
      </c>
      <c r="L2337" s="1" t="s">
        <v>2451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5" t="n">
        <v>46192</v>
      </c>
      <c r="C2338" s="1" t="n">
        <v>100</v>
      </c>
      <c r="D2338" s="1" t="s">
        <v>2457</v>
      </c>
      <c r="E2338" s="1" t="n">
        <v>42</v>
      </c>
      <c r="F2338" s="1" t="s">
        <v>80</v>
      </c>
      <c r="I2338" s="1" t="n">
        <v>1272829</v>
      </c>
      <c r="J2338" s="1" t="n">
        <v>100001</v>
      </c>
      <c r="K2338" s="1" t="n">
        <v>2</v>
      </c>
      <c r="L2338" s="1" t="s">
        <v>2452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5" t="n">
        <v>46192</v>
      </c>
      <c r="C2339" s="1" t="n">
        <v>100</v>
      </c>
      <c r="D2339" s="1" t="s">
        <v>2457</v>
      </c>
      <c r="E2339" s="1" t="n">
        <v>42</v>
      </c>
      <c r="F2339" s="1" t="s">
        <v>80</v>
      </c>
      <c r="I2339" s="1" t="n">
        <v>1272829</v>
      </c>
      <c r="J2339" s="1" t="n">
        <v>100002</v>
      </c>
      <c r="K2339" s="1" t="n">
        <v>3</v>
      </c>
      <c r="L2339" s="1" t="s">
        <v>2453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5" t="n">
        <v>46192</v>
      </c>
      <c r="C2340" s="1" t="n">
        <v>100</v>
      </c>
      <c r="D2340" s="1" t="s">
        <v>2457</v>
      </c>
      <c r="E2340" s="1" t="n">
        <v>42</v>
      </c>
      <c r="F2340" s="1" t="s">
        <v>80</v>
      </c>
      <c r="I2340" s="1" t="n">
        <v>1272829</v>
      </c>
      <c r="J2340" s="1" t="n">
        <v>100003</v>
      </c>
      <c r="K2340" s="1" t="n">
        <v>4</v>
      </c>
      <c r="L2340" s="1" t="s">
        <v>2454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5" t="n">
        <v>46192</v>
      </c>
      <c r="C2341" s="1" t="n">
        <v>100</v>
      </c>
      <c r="D2341" s="1" t="s">
        <v>2457</v>
      </c>
      <c r="E2341" s="1" t="n">
        <v>42</v>
      </c>
      <c r="F2341" s="1" t="s">
        <v>80</v>
      </c>
      <c r="I2341" s="1" t="n">
        <v>1272829</v>
      </c>
      <c r="J2341" s="1" t="n">
        <v>100007</v>
      </c>
      <c r="K2341" s="1" t="n">
        <v>8</v>
      </c>
      <c r="L2341" s="1" t="s">
        <v>2455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5" t="n">
        <v>46192</v>
      </c>
      <c r="C2342" s="1" t="n">
        <v>100</v>
      </c>
      <c r="D2342" s="1" t="s">
        <v>2457</v>
      </c>
      <c r="E2342" s="1" t="n">
        <v>42</v>
      </c>
      <c r="F2342" s="1" t="s">
        <v>80</v>
      </c>
      <c r="I2342" s="1" t="n">
        <v>1272829</v>
      </c>
      <c r="J2342" s="1" t="n">
        <v>100638</v>
      </c>
      <c r="K2342" s="1" t="n">
        <v>508</v>
      </c>
      <c r="L2342" s="1" t="s">
        <v>2448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5" t="n">
        <v>46192</v>
      </c>
      <c r="C2343" s="1" t="n">
        <v>100</v>
      </c>
      <c r="D2343" s="1" t="s">
        <v>2457</v>
      </c>
      <c r="E2343" s="1" t="n">
        <v>42</v>
      </c>
      <c r="F2343" s="1" t="s">
        <v>80</v>
      </c>
      <c r="I2343" s="1" t="n">
        <v>1272829</v>
      </c>
      <c r="J2343" s="1" t="n">
        <v>100520</v>
      </c>
      <c r="K2343" s="1" t="n">
        <v>507</v>
      </c>
      <c r="L2343" s="1" t="s">
        <v>2449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5" t="n">
        <v>46192</v>
      </c>
      <c r="C2344" s="1" t="n">
        <v>100</v>
      </c>
      <c r="D2344" s="1" t="s">
        <v>2457</v>
      </c>
      <c r="E2344" s="1" t="n">
        <v>42</v>
      </c>
      <c r="F2344" s="1" t="s">
        <v>80</v>
      </c>
      <c r="I2344" s="1" t="n">
        <v>1272829</v>
      </c>
      <c r="J2344" s="1" t="n">
        <v>110455</v>
      </c>
      <c r="K2344" s="1" t="n">
        <v>53212</v>
      </c>
      <c r="L2344" s="1" t="s">
        <v>2450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5" t="n">
        <v>46192</v>
      </c>
      <c r="C2345" s="1" t="n">
        <v>171</v>
      </c>
      <c r="D2345" s="1" t="s">
        <v>2517</v>
      </c>
      <c r="E2345" s="1" t="n">
        <v>1705</v>
      </c>
      <c r="F2345" s="1" t="s">
        <v>122</v>
      </c>
      <c r="I2345" s="1" t="n">
        <v>1884916</v>
      </c>
      <c r="J2345" s="1" t="n">
        <v>81446</v>
      </c>
      <c r="K2345" s="1" t="n">
        <v>814478</v>
      </c>
      <c r="L2345" s="1" t="s">
        <v>3448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5" t="n">
        <v>46192</v>
      </c>
      <c r="C2346" s="1" t="n">
        <v>171</v>
      </c>
      <c r="D2346" s="1" t="s">
        <v>2517</v>
      </c>
      <c r="E2346" s="1" t="n">
        <v>1705</v>
      </c>
      <c r="F2346" s="1" t="s">
        <v>122</v>
      </c>
      <c r="I2346" s="1" t="n">
        <v>1887872</v>
      </c>
      <c r="J2346" s="1" t="n">
        <v>81446</v>
      </c>
      <c r="K2346" s="1" t="n">
        <v>814478</v>
      </c>
      <c r="L2346" s="1" t="s">
        <v>3448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5" t="n">
        <v>46193</v>
      </c>
      <c r="C2347" s="1" t="n">
        <v>1</v>
      </c>
      <c r="D2347" s="1" t="s">
        <v>2317</v>
      </c>
      <c r="E2347" s="1" t="n">
        <v>1916</v>
      </c>
      <c r="F2347" s="1" t="s">
        <v>351</v>
      </c>
      <c r="I2347" s="1" t="n">
        <v>39436</v>
      </c>
      <c r="J2347" s="1" t="n">
        <v>43963</v>
      </c>
      <c r="K2347" s="1" t="n">
        <v>7890000002844</v>
      </c>
      <c r="L2347" s="1" t="s">
        <v>3449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5" t="n">
        <v>46193</v>
      </c>
      <c r="C2348" s="1" t="n">
        <v>1</v>
      </c>
      <c r="D2348" s="1" t="s">
        <v>2317</v>
      </c>
      <c r="E2348" s="1" t="n">
        <v>1916</v>
      </c>
      <c r="F2348" s="1" t="s">
        <v>351</v>
      </c>
      <c r="I2348" s="1" t="n">
        <v>39436</v>
      </c>
      <c r="J2348" s="1" t="n">
        <v>47759</v>
      </c>
      <c r="K2348" s="1" t="n">
        <v>7898592350336</v>
      </c>
      <c r="L2348" s="1" t="s">
        <v>2572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5" t="n">
        <v>46193</v>
      </c>
      <c r="C2349" s="1" t="n">
        <v>1</v>
      </c>
      <c r="D2349" s="1" t="s">
        <v>2317</v>
      </c>
      <c r="E2349" s="1" t="n">
        <v>1916</v>
      </c>
      <c r="F2349" s="1" t="s">
        <v>351</v>
      </c>
      <c r="I2349" s="1" t="n">
        <v>39436</v>
      </c>
      <c r="J2349" s="1" t="n">
        <v>48436</v>
      </c>
      <c r="K2349" s="1" t="n">
        <v>7898592350251</v>
      </c>
      <c r="L2349" s="1" t="s">
        <v>3450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5" t="n">
        <v>46193</v>
      </c>
      <c r="C2350" s="1" t="n">
        <v>1</v>
      </c>
      <c r="D2350" s="1" t="s">
        <v>2317</v>
      </c>
      <c r="E2350" s="1" t="n">
        <v>1665</v>
      </c>
      <c r="F2350" s="1" t="s">
        <v>937</v>
      </c>
      <c r="I2350" s="1" t="n">
        <v>133055</v>
      </c>
      <c r="J2350" s="1" t="n">
        <v>25716</v>
      </c>
      <c r="K2350" s="1" t="n">
        <v>7896353301184</v>
      </c>
      <c r="L2350" s="1" t="s">
        <v>3451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5" t="n">
        <v>46193</v>
      </c>
      <c r="C2351" s="1" t="n">
        <v>1</v>
      </c>
      <c r="D2351" s="1" t="s">
        <v>2317</v>
      </c>
      <c r="E2351" s="1" t="n">
        <v>1665</v>
      </c>
      <c r="F2351" s="1" t="s">
        <v>937</v>
      </c>
      <c r="I2351" s="1" t="n">
        <v>133055</v>
      </c>
      <c r="J2351" s="1" t="n">
        <v>25717</v>
      </c>
      <c r="K2351" s="1" t="n">
        <v>7896353301191</v>
      </c>
      <c r="L2351" s="1" t="s">
        <v>3452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5" t="n">
        <v>46193</v>
      </c>
      <c r="C2352" s="1" t="n">
        <v>1</v>
      </c>
      <c r="D2352" s="1" t="s">
        <v>2317</v>
      </c>
      <c r="E2352" s="1" t="n">
        <v>1665</v>
      </c>
      <c r="F2352" s="1" t="s">
        <v>937</v>
      </c>
      <c r="I2352" s="1" t="n">
        <v>133055</v>
      </c>
      <c r="J2352" s="1" t="n">
        <v>56960</v>
      </c>
      <c r="K2352" s="1" t="n">
        <v>7896353302969</v>
      </c>
      <c r="L2352" s="1" t="s">
        <v>3453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5" t="n">
        <v>46193</v>
      </c>
      <c r="C2353" s="1" t="n">
        <v>1</v>
      </c>
      <c r="D2353" s="1" t="s">
        <v>2317</v>
      </c>
      <c r="E2353" s="1" t="n">
        <v>1621</v>
      </c>
      <c r="F2353" s="1" t="s">
        <v>306</v>
      </c>
      <c r="I2353" s="1" t="n">
        <v>867516</v>
      </c>
      <c r="J2353" s="1" t="n">
        <v>20242</v>
      </c>
      <c r="K2353" s="1" t="n">
        <v>7891149104932</v>
      </c>
      <c r="L2353" s="1" t="s">
        <v>3454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5" t="n">
        <v>46193</v>
      </c>
      <c r="C2354" s="1" t="n">
        <v>1</v>
      </c>
      <c r="D2354" s="1" t="s">
        <v>2317</v>
      </c>
      <c r="E2354" s="1" t="n">
        <v>1621</v>
      </c>
      <c r="F2354" s="1" t="s">
        <v>306</v>
      </c>
      <c r="I2354" s="1" t="n">
        <v>867516</v>
      </c>
      <c r="J2354" s="1" t="n">
        <v>103792</v>
      </c>
      <c r="K2354" s="1" t="n">
        <v>7891149010509</v>
      </c>
      <c r="L2354" s="1" t="s">
        <v>2898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5" t="n">
        <v>46193</v>
      </c>
      <c r="C2355" s="1" t="n">
        <v>1</v>
      </c>
      <c r="D2355" s="1" t="s">
        <v>2317</v>
      </c>
      <c r="E2355" s="1" t="n">
        <v>1621</v>
      </c>
      <c r="F2355" s="1" t="s">
        <v>306</v>
      </c>
      <c r="I2355" s="1" t="n">
        <v>867516</v>
      </c>
      <c r="J2355" s="1" t="n">
        <v>103943</v>
      </c>
      <c r="K2355" s="1" t="n">
        <v>7891149200504</v>
      </c>
      <c r="L2355" s="1" t="s">
        <v>2900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5" t="n">
        <v>46193</v>
      </c>
      <c r="C2356" s="1" t="n">
        <v>1</v>
      </c>
      <c r="D2356" s="1" t="s">
        <v>2317</v>
      </c>
      <c r="E2356" s="1" t="n">
        <v>1621</v>
      </c>
      <c r="F2356" s="1" t="s">
        <v>306</v>
      </c>
      <c r="I2356" s="1" t="n">
        <v>867516</v>
      </c>
      <c r="J2356" s="1" t="n">
        <v>32100</v>
      </c>
      <c r="K2356" s="1" t="n">
        <v>7891991015493</v>
      </c>
      <c r="L2356" s="1" t="s">
        <v>2905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5" t="n">
        <v>46193</v>
      </c>
      <c r="C2357" s="1" t="n">
        <v>1</v>
      </c>
      <c r="D2357" s="1" t="s">
        <v>2317</v>
      </c>
      <c r="E2357" s="1" t="n">
        <v>1621</v>
      </c>
      <c r="F2357" s="1" t="s">
        <v>306</v>
      </c>
      <c r="I2357" s="1" t="n">
        <v>867516</v>
      </c>
      <c r="J2357" s="1" t="n">
        <v>34937</v>
      </c>
      <c r="K2357" s="1" t="n">
        <v>7891991015462</v>
      </c>
      <c r="L2357" s="1" t="s">
        <v>3455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5" t="n">
        <v>46193</v>
      </c>
      <c r="C2358" s="1" t="n">
        <v>1</v>
      </c>
      <c r="D2358" s="1" t="s">
        <v>2317</v>
      </c>
      <c r="E2358" s="1" t="n">
        <v>1621</v>
      </c>
      <c r="F2358" s="1" t="s">
        <v>306</v>
      </c>
      <c r="I2358" s="1" t="n">
        <v>867516</v>
      </c>
      <c r="J2358" s="1" t="n">
        <v>44674</v>
      </c>
      <c r="K2358" s="1" t="n">
        <v>7891991297424</v>
      </c>
      <c r="L2358" s="1" t="s">
        <v>3456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5" t="n">
        <v>46193</v>
      </c>
      <c r="C2359" s="1" t="n">
        <v>1</v>
      </c>
      <c r="D2359" s="1" t="s">
        <v>2317</v>
      </c>
      <c r="E2359" s="1" t="n">
        <v>1621</v>
      </c>
      <c r="F2359" s="1" t="s">
        <v>306</v>
      </c>
      <c r="I2359" s="1" t="n">
        <v>867516</v>
      </c>
      <c r="J2359" s="1" t="n">
        <v>55510</v>
      </c>
      <c r="K2359" s="1" t="n">
        <v>7891991303347</v>
      </c>
      <c r="L2359" s="1" t="s">
        <v>2911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5" t="n">
        <v>46193</v>
      </c>
      <c r="C2360" s="1" t="n">
        <v>1</v>
      </c>
      <c r="D2360" s="1" t="s">
        <v>2317</v>
      </c>
      <c r="E2360" s="1" t="n">
        <v>1621</v>
      </c>
      <c r="F2360" s="1" t="s">
        <v>306</v>
      </c>
      <c r="I2360" s="1" t="n">
        <v>867516</v>
      </c>
      <c r="J2360" s="1" t="n">
        <v>64674</v>
      </c>
      <c r="K2360" s="1" t="n">
        <v>7891991304870</v>
      </c>
      <c r="L2360" s="1" t="s">
        <v>2913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5" t="n">
        <v>46193</v>
      </c>
      <c r="C2361" s="1" t="n">
        <v>1</v>
      </c>
      <c r="D2361" s="1" t="s">
        <v>2317</v>
      </c>
      <c r="E2361" s="1" t="n">
        <v>1621</v>
      </c>
      <c r="F2361" s="1" t="s">
        <v>306</v>
      </c>
      <c r="I2361" s="1" t="n">
        <v>867516</v>
      </c>
      <c r="J2361" s="1" t="n">
        <v>78038</v>
      </c>
      <c r="K2361" s="1" t="n">
        <v>7891991010481</v>
      </c>
      <c r="L2361" s="1" t="s">
        <v>2556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5" t="n">
        <v>46193</v>
      </c>
      <c r="C2362" s="1" t="n">
        <v>1</v>
      </c>
      <c r="D2362" s="1" t="s">
        <v>2317</v>
      </c>
      <c r="E2362" s="1" t="n">
        <v>1621</v>
      </c>
      <c r="F2362" s="1" t="s">
        <v>306</v>
      </c>
      <c r="I2362" s="1" t="n">
        <v>867516</v>
      </c>
      <c r="J2362" s="1" t="n">
        <v>78063</v>
      </c>
      <c r="K2362" s="1" t="n">
        <v>7891149108718</v>
      </c>
      <c r="L2362" s="1" t="s">
        <v>2914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5" t="n">
        <v>46193</v>
      </c>
      <c r="C2363" s="1" t="n">
        <v>2</v>
      </c>
      <c r="D2363" s="1" t="s">
        <v>2283</v>
      </c>
      <c r="E2363" s="1" t="n">
        <v>42</v>
      </c>
      <c r="F2363" s="1" t="s">
        <v>80</v>
      </c>
      <c r="I2363" s="1" t="n">
        <v>200601</v>
      </c>
      <c r="J2363" s="1" t="n">
        <v>109791</v>
      </c>
      <c r="K2363" s="1" t="n">
        <v>9667</v>
      </c>
      <c r="L2363" s="1" t="s">
        <v>2284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5" t="n">
        <v>46193</v>
      </c>
      <c r="C2364" s="1" t="n">
        <v>2</v>
      </c>
      <c r="D2364" s="1" t="s">
        <v>2283</v>
      </c>
      <c r="E2364" s="1" t="n">
        <v>42</v>
      </c>
      <c r="F2364" s="1" t="s">
        <v>80</v>
      </c>
      <c r="I2364" s="1" t="n">
        <v>200601</v>
      </c>
      <c r="J2364" s="1" t="n">
        <v>37359</v>
      </c>
      <c r="K2364" s="1" t="n">
        <v>55526</v>
      </c>
      <c r="L2364" s="1" t="s">
        <v>2285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5" t="n">
        <v>46193</v>
      </c>
      <c r="C2365" s="1" t="n">
        <v>2</v>
      </c>
      <c r="D2365" s="1" t="s">
        <v>2283</v>
      </c>
      <c r="E2365" s="1" t="n">
        <v>42</v>
      </c>
      <c r="F2365" s="1" t="s">
        <v>80</v>
      </c>
      <c r="I2365" s="1" t="n">
        <v>200601</v>
      </c>
      <c r="J2365" s="1" t="n">
        <v>37361</v>
      </c>
      <c r="K2365" s="1" t="n">
        <v>2240817</v>
      </c>
      <c r="L2365" s="1" t="s">
        <v>2286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5" t="n">
        <v>46193</v>
      </c>
      <c r="C2366" s="1" t="n">
        <v>2</v>
      </c>
      <c r="D2366" s="1" t="s">
        <v>2283</v>
      </c>
      <c r="E2366" s="1" t="n">
        <v>42</v>
      </c>
      <c r="F2366" s="1" t="s">
        <v>80</v>
      </c>
      <c r="I2366" s="1" t="n">
        <v>200602</v>
      </c>
      <c r="J2366" s="1" t="n">
        <v>100103</v>
      </c>
      <c r="K2366" s="1" t="n">
        <v>104</v>
      </c>
      <c r="L2366" s="1" t="s">
        <v>2287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5" t="n">
        <v>46193</v>
      </c>
      <c r="C2367" s="1" t="n">
        <v>6</v>
      </c>
      <c r="D2367" s="1" t="s">
        <v>2289</v>
      </c>
      <c r="E2367" s="1" t="n">
        <v>42</v>
      </c>
      <c r="F2367" s="1" t="s">
        <v>80</v>
      </c>
      <c r="I2367" s="1" t="n">
        <v>4292</v>
      </c>
      <c r="J2367" s="1" t="n">
        <v>109791</v>
      </c>
      <c r="K2367" s="1" t="n">
        <v>9667</v>
      </c>
      <c r="L2367" s="1" t="s">
        <v>2284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5" t="n">
        <v>46193</v>
      </c>
      <c r="C2368" s="1" t="n">
        <v>6</v>
      </c>
      <c r="D2368" s="1" t="s">
        <v>2289</v>
      </c>
      <c r="E2368" s="1" t="n">
        <v>42</v>
      </c>
      <c r="F2368" s="1" t="s">
        <v>80</v>
      </c>
      <c r="I2368" s="1" t="n">
        <v>4292</v>
      </c>
      <c r="J2368" s="1" t="n">
        <v>37359</v>
      </c>
      <c r="K2368" s="1" t="n">
        <v>55526</v>
      </c>
      <c r="L2368" s="1" t="s">
        <v>2285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5" t="n">
        <v>46193</v>
      </c>
      <c r="C2369" s="1" t="n">
        <v>6</v>
      </c>
      <c r="D2369" s="1" t="s">
        <v>2289</v>
      </c>
      <c r="E2369" s="1" t="n">
        <v>42</v>
      </c>
      <c r="F2369" s="1" t="s">
        <v>80</v>
      </c>
      <c r="I2369" s="1" t="n">
        <v>4292</v>
      </c>
      <c r="J2369" s="1" t="n">
        <v>37361</v>
      </c>
      <c r="K2369" s="1" t="n">
        <v>2240817</v>
      </c>
      <c r="L2369" s="1" t="s">
        <v>2286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5" t="n">
        <v>46193</v>
      </c>
      <c r="C2370" s="1" t="n">
        <v>6</v>
      </c>
      <c r="D2370" s="1" t="s">
        <v>2289</v>
      </c>
      <c r="E2370" s="1" t="n">
        <v>42</v>
      </c>
      <c r="F2370" s="1" t="s">
        <v>80</v>
      </c>
      <c r="I2370" s="1" t="n">
        <v>4293</v>
      </c>
      <c r="J2370" s="1" t="n">
        <v>100103</v>
      </c>
      <c r="K2370" s="1" t="n">
        <v>104</v>
      </c>
      <c r="L2370" s="1" t="s">
        <v>2287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5" t="n">
        <v>46193</v>
      </c>
      <c r="C2371" s="1" t="n">
        <v>11</v>
      </c>
      <c r="D2371" s="1" t="s">
        <v>2290</v>
      </c>
      <c r="E2371" s="1" t="n">
        <v>1657</v>
      </c>
      <c r="F2371" s="1" t="s">
        <v>255</v>
      </c>
      <c r="I2371" s="1" t="n">
        <v>293817</v>
      </c>
      <c r="J2371" s="1" t="n">
        <v>101345</v>
      </c>
      <c r="K2371" s="1" t="n">
        <v>78913639</v>
      </c>
      <c r="L2371" s="1" t="s">
        <v>3457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5" t="n">
        <v>46193</v>
      </c>
      <c r="C2372" s="1" t="n">
        <v>11</v>
      </c>
      <c r="D2372" s="1" t="s">
        <v>2290</v>
      </c>
      <c r="E2372" s="1" t="n">
        <v>1657</v>
      </c>
      <c r="F2372" s="1" t="s">
        <v>255</v>
      </c>
      <c r="I2372" s="1" t="n">
        <v>293817</v>
      </c>
      <c r="J2372" s="1" t="n">
        <v>102335</v>
      </c>
      <c r="K2372" s="1" t="n">
        <v>7896547500218</v>
      </c>
      <c r="L2372" s="1" t="s">
        <v>3458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5" t="n">
        <v>46193</v>
      </c>
      <c r="C2373" s="1" t="n">
        <v>11</v>
      </c>
      <c r="D2373" s="1" t="s">
        <v>2290</v>
      </c>
      <c r="E2373" s="1" t="n">
        <v>1657</v>
      </c>
      <c r="F2373" s="1" t="s">
        <v>255</v>
      </c>
      <c r="I2373" s="1" t="n">
        <v>293817</v>
      </c>
      <c r="J2373" s="1" t="n">
        <v>102713</v>
      </c>
      <c r="K2373" s="1" t="n">
        <v>7891528016498</v>
      </c>
      <c r="L2373" s="1" t="s">
        <v>3459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5" t="n">
        <v>46193</v>
      </c>
      <c r="C2374" s="1" t="n">
        <v>11</v>
      </c>
      <c r="D2374" s="1" t="s">
        <v>2290</v>
      </c>
      <c r="E2374" s="1" t="n">
        <v>1657</v>
      </c>
      <c r="F2374" s="1" t="s">
        <v>255</v>
      </c>
      <c r="I2374" s="1" t="n">
        <v>293817</v>
      </c>
      <c r="J2374" s="1" t="n">
        <v>103596</v>
      </c>
      <c r="K2374" s="1" t="n">
        <v>7891528016511</v>
      </c>
      <c r="L2374" s="1" t="s">
        <v>3460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5" t="n">
        <v>46193</v>
      </c>
      <c r="C2375" s="1" t="n">
        <v>11</v>
      </c>
      <c r="D2375" s="1" t="s">
        <v>2290</v>
      </c>
      <c r="E2375" s="1" t="n">
        <v>1657</v>
      </c>
      <c r="F2375" s="1" t="s">
        <v>255</v>
      </c>
      <c r="I2375" s="1" t="n">
        <v>293817</v>
      </c>
      <c r="J2375" s="1" t="n">
        <v>103791</v>
      </c>
      <c r="K2375" s="1" t="n">
        <v>7897006310010</v>
      </c>
      <c r="L2375" s="1" t="s">
        <v>3461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5" t="n">
        <v>46193</v>
      </c>
      <c r="C2376" s="1" t="n">
        <v>11</v>
      </c>
      <c r="D2376" s="1" t="s">
        <v>2290</v>
      </c>
      <c r="E2376" s="1" t="n">
        <v>1657</v>
      </c>
      <c r="F2376" s="1" t="s">
        <v>255</v>
      </c>
      <c r="I2376" s="1" t="n">
        <v>293817</v>
      </c>
      <c r="J2376" s="1" t="n">
        <v>15793</v>
      </c>
      <c r="K2376" s="1" t="n">
        <v>7896179501690</v>
      </c>
      <c r="L2376" s="1" t="s">
        <v>3462</v>
      </c>
      <c r="N2376" s="1" t="n">
        <v>24</v>
      </c>
      <c r="O2376" s="1" t="n">
        <v>38.95</v>
      </c>
    </row>
    <row r="2377" customFormat="false" ht="15" hidden="false" customHeight="true" outlineLevel="0" collapsed="false">
      <c r="A2377" s="1" t="n">
        <v>3</v>
      </c>
      <c r="B2377" s="15" t="n">
        <v>46193</v>
      </c>
      <c r="C2377" s="1" t="n">
        <v>11</v>
      </c>
      <c r="D2377" s="1" t="s">
        <v>2290</v>
      </c>
      <c r="E2377" s="1" t="n">
        <v>1657</v>
      </c>
      <c r="F2377" s="1" t="s">
        <v>255</v>
      </c>
      <c r="I2377" s="1" t="n">
        <v>293817</v>
      </c>
      <c r="J2377" s="1" t="n">
        <v>103801</v>
      </c>
      <c r="K2377" s="1" t="n">
        <v>7897006310133</v>
      </c>
      <c r="L2377" s="1" t="s">
        <v>3463</v>
      </c>
      <c r="N2377" s="1" t="n">
        <v>12</v>
      </c>
      <c r="O2377" s="1" t="n">
        <v>26.95</v>
      </c>
    </row>
    <row r="2378" customFormat="false" ht="15" hidden="false" customHeight="true" outlineLevel="0" collapsed="false">
      <c r="A2378" s="1" t="n">
        <v>3</v>
      </c>
      <c r="B2378" s="15" t="n">
        <v>46193</v>
      </c>
      <c r="C2378" s="1" t="n">
        <v>11</v>
      </c>
      <c r="D2378" s="1" t="s">
        <v>2290</v>
      </c>
      <c r="E2378" s="1" t="n">
        <v>1657</v>
      </c>
      <c r="F2378" s="1" t="s">
        <v>255</v>
      </c>
      <c r="I2378" s="1" t="n">
        <v>293817</v>
      </c>
      <c r="J2378" s="1" t="n">
        <v>104032</v>
      </c>
      <c r="K2378" s="1" t="n">
        <v>7897006310072</v>
      </c>
      <c r="L2378" s="1" t="s">
        <v>3464</v>
      </c>
      <c r="N2378" s="1" t="n">
        <v>12</v>
      </c>
      <c r="O2378" s="1" t="n">
        <v>24.95</v>
      </c>
    </row>
    <row r="2379" customFormat="false" ht="15" hidden="false" customHeight="true" outlineLevel="0" collapsed="false">
      <c r="A2379" s="1" t="n">
        <v>3</v>
      </c>
      <c r="B2379" s="15" t="n">
        <v>46193</v>
      </c>
      <c r="C2379" s="1" t="n">
        <v>11</v>
      </c>
      <c r="D2379" s="1" t="s">
        <v>2290</v>
      </c>
      <c r="E2379" s="1" t="n">
        <v>1657</v>
      </c>
      <c r="F2379" s="1" t="s">
        <v>255</v>
      </c>
      <c r="I2379" s="1" t="n">
        <v>293817</v>
      </c>
      <c r="J2379" s="1" t="n">
        <v>104211</v>
      </c>
      <c r="K2379" s="1" t="n">
        <v>7891528016504</v>
      </c>
      <c r="L2379" s="1" t="s">
        <v>3465</v>
      </c>
      <c r="N2379" s="1" t="n">
        <v>36</v>
      </c>
      <c r="O2379" s="1" t="n">
        <v>128.85</v>
      </c>
    </row>
    <row r="2380" customFormat="false" ht="15" hidden="false" customHeight="true" outlineLevel="0" collapsed="false">
      <c r="A2380" s="1" t="n">
        <v>3</v>
      </c>
      <c r="B2380" s="15" t="n">
        <v>46193</v>
      </c>
      <c r="C2380" s="1" t="n">
        <v>11</v>
      </c>
      <c r="D2380" s="1" t="s">
        <v>2290</v>
      </c>
      <c r="E2380" s="1" t="n">
        <v>1657</v>
      </c>
      <c r="F2380" s="1" t="s">
        <v>255</v>
      </c>
      <c r="I2380" s="1" t="n">
        <v>293817</v>
      </c>
      <c r="J2380" s="1" t="n">
        <v>104249</v>
      </c>
      <c r="K2380" s="1" t="n">
        <v>7897006310034</v>
      </c>
      <c r="L2380" s="1" t="s">
        <v>3466</v>
      </c>
      <c r="N2380" s="1" t="n">
        <v>12</v>
      </c>
      <c r="O2380" s="1" t="n">
        <v>20.95</v>
      </c>
    </row>
    <row r="2381" customFormat="false" ht="15" hidden="false" customHeight="true" outlineLevel="0" collapsed="false">
      <c r="A2381" s="1" t="n">
        <v>3</v>
      </c>
      <c r="B2381" s="15" t="n">
        <v>46193</v>
      </c>
      <c r="C2381" s="1" t="n">
        <v>11</v>
      </c>
      <c r="D2381" s="1" t="s">
        <v>2290</v>
      </c>
      <c r="E2381" s="1" t="n">
        <v>1657</v>
      </c>
      <c r="F2381" s="1" t="s">
        <v>255</v>
      </c>
      <c r="I2381" s="1" t="n">
        <v>293817</v>
      </c>
      <c r="J2381" s="1" t="n">
        <v>104252</v>
      </c>
      <c r="K2381" s="1" t="n">
        <v>7897006310089</v>
      </c>
      <c r="L2381" s="1" t="s">
        <v>3467</v>
      </c>
      <c r="N2381" s="1" t="n">
        <v>12</v>
      </c>
      <c r="O2381" s="1" t="n">
        <v>24.95</v>
      </c>
    </row>
    <row r="2382" customFormat="false" ht="15" hidden="false" customHeight="true" outlineLevel="0" collapsed="false">
      <c r="A2382" s="1" t="n">
        <v>3</v>
      </c>
      <c r="B2382" s="15" t="n">
        <v>46193</v>
      </c>
      <c r="C2382" s="1" t="n">
        <v>11</v>
      </c>
      <c r="D2382" s="1" t="s">
        <v>2290</v>
      </c>
      <c r="E2382" s="1" t="n">
        <v>1657</v>
      </c>
      <c r="F2382" s="1" t="s">
        <v>255</v>
      </c>
      <c r="I2382" s="1" t="n">
        <v>293817</v>
      </c>
      <c r="J2382" s="1" t="n">
        <v>108113</v>
      </c>
      <c r="K2382" s="1" t="n">
        <v>7896050500071</v>
      </c>
      <c r="L2382" s="1" t="s">
        <v>3468</v>
      </c>
      <c r="N2382" s="1" t="n">
        <v>12</v>
      </c>
      <c r="O2382" s="1" t="n">
        <v>74.95</v>
      </c>
    </row>
    <row r="2383" customFormat="false" ht="15" hidden="false" customHeight="true" outlineLevel="0" collapsed="false">
      <c r="A2383" s="1" t="n">
        <v>3</v>
      </c>
      <c r="B2383" s="15" t="n">
        <v>46193</v>
      </c>
      <c r="C2383" s="1" t="n">
        <v>11</v>
      </c>
      <c r="D2383" s="1" t="s">
        <v>2290</v>
      </c>
      <c r="E2383" s="1" t="n">
        <v>1657</v>
      </c>
      <c r="F2383" s="1" t="s">
        <v>255</v>
      </c>
      <c r="I2383" s="1" t="n">
        <v>293817</v>
      </c>
      <c r="J2383" s="1" t="n">
        <v>108503</v>
      </c>
      <c r="K2383" s="1" t="n">
        <v>7896179501768</v>
      </c>
      <c r="L2383" s="1" t="s">
        <v>3469</v>
      </c>
      <c r="N2383" s="1" t="n">
        <v>24</v>
      </c>
      <c r="O2383" s="1" t="n">
        <v>38.95</v>
      </c>
    </row>
    <row r="2384" customFormat="false" ht="15" hidden="false" customHeight="true" outlineLevel="0" collapsed="false">
      <c r="A2384" s="1" t="n">
        <v>3</v>
      </c>
      <c r="B2384" s="15" t="n">
        <v>46193</v>
      </c>
      <c r="C2384" s="1" t="n">
        <v>11</v>
      </c>
      <c r="D2384" s="1" t="s">
        <v>2290</v>
      </c>
      <c r="E2384" s="1" t="n">
        <v>1657</v>
      </c>
      <c r="F2384" s="1" t="s">
        <v>255</v>
      </c>
      <c r="I2384" s="1" t="n">
        <v>293817</v>
      </c>
      <c r="J2384" s="1" t="n">
        <v>108506</v>
      </c>
      <c r="K2384" s="1" t="n">
        <v>7896179501799</v>
      </c>
      <c r="L2384" s="1" t="s">
        <v>3470</v>
      </c>
      <c r="N2384" s="1" t="n">
        <v>24</v>
      </c>
      <c r="O2384" s="1" t="n">
        <v>155.9</v>
      </c>
    </row>
    <row r="2385" customFormat="false" ht="15" hidden="false" customHeight="true" outlineLevel="0" collapsed="false">
      <c r="A2385" s="1" t="n">
        <v>3</v>
      </c>
      <c r="B2385" s="15" t="n">
        <v>46193</v>
      </c>
      <c r="C2385" s="1" t="n">
        <v>11</v>
      </c>
      <c r="D2385" s="1" t="s">
        <v>2290</v>
      </c>
      <c r="E2385" s="1" t="n">
        <v>1657</v>
      </c>
      <c r="F2385" s="1" t="s">
        <v>255</v>
      </c>
      <c r="I2385" s="1" t="n">
        <v>293817</v>
      </c>
      <c r="J2385" s="1" t="n">
        <v>108996</v>
      </c>
      <c r="K2385" s="1" t="n">
        <v>7891200007899</v>
      </c>
      <c r="L2385" s="1" t="s">
        <v>3471</v>
      </c>
      <c r="N2385" s="1" t="n">
        <v>12</v>
      </c>
      <c r="O2385" s="1" t="n">
        <v>94.95</v>
      </c>
    </row>
    <row r="2386" customFormat="false" ht="15" hidden="false" customHeight="true" outlineLevel="0" collapsed="false">
      <c r="A2386" s="1" t="n">
        <v>3</v>
      </c>
      <c r="B2386" s="15" t="n">
        <v>46193</v>
      </c>
      <c r="C2386" s="1" t="n">
        <v>11</v>
      </c>
      <c r="D2386" s="1" t="s">
        <v>2290</v>
      </c>
      <c r="E2386" s="1" t="n">
        <v>1657</v>
      </c>
      <c r="F2386" s="1" t="s">
        <v>255</v>
      </c>
      <c r="I2386" s="1" t="n">
        <v>293817</v>
      </c>
      <c r="J2386" s="1" t="n">
        <v>11881</v>
      </c>
      <c r="K2386" s="1" t="n">
        <v>7892300030688</v>
      </c>
      <c r="L2386" s="1" t="s">
        <v>3472</v>
      </c>
      <c r="N2386" s="1" t="n">
        <v>24</v>
      </c>
      <c r="O2386" s="1" t="n">
        <v>58.95</v>
      </c>
    </row>
    <row r="2387" customFormat="false" ht="15" hidden="false" customHeight="true" outlineLevel="0" collapsed="false">
      <c r="A2387" s="1" t="n">
        <v>3</v>
      </c>
      <c r="B2387" s="15" t="n">
        <v>46193</v>
      </c>
      <c r="C2387" s="1" t="n">
        <v>11</v>
      </c>
      <c r="D2387" s="1" t="s">
        <v>2290</v>
      </c>
      <c r="E2387" s="1" t="n">
        <v>1657</v>
      </c>
      <c r="F2387" s="1" t="s">
        <v>255</v>
      </c>
      <c r="I2387" s="1" t="n">
        <v>293817</v>
      </c>
      <c r="J2387" s="1" t="n">
        <v>12541</v>
      </c>
      <c r="K2387" s="1" t="n">
        <v>7896180782392</v>
      </c>
      <c r="L2387" s="1" t="s">
        <v>3473</v>
      </c>
      <c r="N2387" s="1" t="n">
        <v>36</v>
      </c>
      <c r="O2387" s="1" t="n">
        <v>110.85</v>
      </c>
    </row>
    <row r="2388" customFormat="false" ht="15" hidden="false" customHeight="true" outlineLevel="0" collapsed="false">
      <c r="A2388" s="1" t="n">
        <v>3</v>
      </c>
      <c r="B2388" s="15" t="n">
        <v>46193</v>
      </c>
      <c r="C2388" s="1" t="n">
        <v>11</v>
      </c>
      <c r="D2388" s="1" t="s">
        <v>2290</v>
      </c>
      <c r="E2388" s="1" t="n">
        <v>1657</v>
      </c>
      <c r="F2388" s="1" t="s">
        <v>255</v>
      </c>
      <c r="I2388" s="1" t="n">
        <v>293817</v>
      </c>
      <c r="J2388" s="1" t="n">
        <v>21197</v>
      </c>
      <c r="K2388" s="1" t="n">
        <v>7898956358022</v>
      </c>
      <c r="L2388" s="1" t="s">
        <v>3474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5" t="n">
        <v>46193</v>
      </c>
      <c r="C2389" s="1" t="n">
        <v>11</v>
      </c>
      <c r="D2389" s="1" t="s">
        <v>2290</v>
      </c>
      <c r="E2389" s="1" t="n">
        <v>1657</v>
      </c>
      <c r="F2389" s="1" t="s">
        <v>255</v>
      </c>
      <c r="I2389" s="1" t="n">
        <v>293817</v>
      </c>
      <c r="J2389" s="1" t="n">
        <v>21479</v>
      </c>
      <c r="K2389" s="1" t="n">
        <v>7898956358077</v>
      </c>
      <c r="L2389" s="1" t="s">
        <v>3475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5" t="n">
        <v>46193</v>
      </c>
      <c r="C2390" s="1" t="n">
        <v>11</v>
      </c>
      <c r="D2390" s="1" t="s">
        <v>2290</v>
      </c>
      <c r="E2390" s="1" t="n">
        <v>1657</v>
      </c>
      <c r="F2390" s="1" t="s">
        <v>255</v>
      </c>
      <c r="I2390" s="1" t="n">
        <v>293817</v>
      </c>
      <c r="J2390" s="1" t="n">
        <v>26913</v>
      </c>
      <c r="K2390" s="1" t="n">
        <v>7896237903145</v>
      </c>
      <c r="L2390" s="1" t="s">
        <v>3476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15" t="n">
        <v>46193</v>
      </c>
      <c r="C2391" s="1" t="n">
        <v>11</v>
      </c>
      <c r="D2391" s="1" t="s">
        <v>2290</v>
      </c>
      <c r="E2391" s="1" t="n">
        <v>1657</v>
      </c>
      <c r="F2391" s="1" t="s">
        <v>255</v>
      </c>
      <c r="I2391" s="1" t="n">
        <v>293817</v>
      </c>
      <c r="J2391" s="1" t="n">
        <v>27004</v>
      </c>
      <c r="K2391" s="1" t="n">
        <v>7898956358114</v>
      </c>
      <c r="L2391" s="1" t="s">
        <v>3477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15" t="n">
        <v>46193</v>
      </c>
      <c r="C2392" s="1" t="n">
        <v>11</v>
      </c>
      <c r="D2392" s="1" t="s">
        <v>2290</v>
      </c>
      <c r="E2392" s="1" t="n">
        <v>1657</v>
      </c>
      <c r="F2392" s="1" t="s">
        <v>255</v>
      </c>
      <c r="I2392" s="1" t="n">
        <v>293817</v>
      </c>
      <c r="J2392" s="1" t="n">
        <v>27196</v>
      </c>
      <c r="K2392" s="1" t="n">
        <v>7896180783795</v>
      </c>
      <c r="L2392" s="1" t="s">
        <v>3478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15" t="n">
        <v>46193</v>
      </c>
      <c r="C2393" s="1" t="n">
        <v>11</v>
      </c>
      <c r="D2393" s="1" t="s">
        <v>2290</v>
      </c>
      <c r="E2393" s="1" t="n">
        <v>1657</v>
      </c>
      <c r="F2393" s="1" t="s">
        <v>255</v>
      </c>
      <c r="I2393" s="1" t="n">
        <v>293817</v>
      </c>
      <c r="J2393" s="1" t="n">
        <v>27612</v>
      </c>
      <c r="K2393" s="1" t="n">
        <v>7896237903138</v>
      </c>
      <c r="L2393" s="1" t="s">
        <v>3479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15" t="n">
        <v>46193</v>
      </c>
      <c r="C2394" s="1" t="n">
        <v>11</v>
      </c>
      <c r="D2394" s="1" t="s">
        <v>2290</v>
      </c>
      <c r="E2394" s="1" t="n">
        <v>1657</v>
      </c>
      <c r="F2394" s="1" t="s">
        <v>255</v>
      </c>
      <c r="I2394" s="1" t="n">
        <v>293817</v>
      </c>
      <c r="J2394" s="1" t="n">
        <v>27889</v>
      </c>
      <c r="K2394" s="1" t="n">
        <v>7896237903121</v>
      </c>
      <c r="L2394" s="1" t="s">
        <v>3480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15" t="n">
        <v>46193</v>
      </c>
      <c r="C2395" s="1" t="n">
        <v>11</v>
      </c>
      <c r="D2395" s="1" t="s">
        <v>2290</v>
      </c>
      <c r="E2395" s="1" t="n">
        <v>1657</v>
      </c>
      <c r="F2395" s="1" t="s">
        <v>255</v>
      </c>
      <c r="I2395" s="1" t="n">
        <v>293817</v>
      </c>
      <c r="J2395" s="1" t="n">
        <v>32996</v>
      </c>
      <c r="K2395" s="1" t="n">
        <v>7896360400061</v>
      </c>
      <c r="L2395" s="1" t="s">
        <v>3481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15" t="n">
        <v>46193</v>
      </c>
      <c r="C2396" s="1" t="n">
        <v>11</v>
      </c>
      <c r="D2396" s="1" t="s">
        <v>2290</v>
      </c>
      <c r="E2396" s="1" t="n">
        <v>1657</v>
      </c>
      <c r="F2396" s="1" t="s">
        <v>255</v>
      </c>
      <c r="I2396" s="1" t="n">
        <v>293817</v>
      </c>
      <c r="J2396" s="1" t="n">
        <v>34020</v>
      </c>
      <c r="K2396" s="1" t="n">
        <v>7896360400085</v>
      </c>
      <c r="L2396" s="1" t="s">
        <v>3482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5" t="n">
        <v>46193</v>
      </c>
      <c r="C2397" s="1" t="n">
        <v>11</v>
      </c>
      <c r="D2397" s="1" t="s">
        <v>2290</v>
      </c>
      <c r="E2397" s="1" t="n">
        <v>1657</v>
      </c>
      <c r="F2397" s="1" t="s">
        <v>255</v>
      </c>
      <c r="I2397" s="1" t="n">
        <v>293817</v>
      </c>
      <c r="J2397" s="1" t="n">
        <v>35098</v>
      </c>
      <c r="K2397" s="1" t="n">
        <v>7899567247309</v>
      </c>
      <c r="L2397" s="1" t="s">
        <v>2813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5" t="n">
        <v>46193</v>
      </c>
      <c r="C2398" s="1" t="n">
        <v>11</v>
      </c>
      <c r="D2398" s="1" t="s">
        <v>2290</v>
      </c>
      <c r="E2398" s="1" t="n">
        <v>1657</v>
      </c>
      <c r="F2398" s="1" t="s">
        <v>255</v>
      </c>
      <c r="I2398" s="1" t="n">
        <v>293817</v>
      </c>
      <c r="J2398" s="1" t="n">
        <v>35117</v>
      </c>
      <c r="K2398" s="1" t="n">
        <v>7899567247262</v>
      </c>
      <c r="L2398" s="1" t="s">
        <v>2797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5" t="n">
        <v>46193</v>
      </c>
      <c r="C2399" s="1" t="n">
        <v>11</v>
      </c>
      <c r="D2399" s="1" t="s">
        <v>2290</v>
      </c>
      <c r="E2399" s="1" t="n">
        <v>1657</v>
      </c>
      <c r="F2399" s="1" t="s">
        <v>255</v>
      </c>
      <c r="I2399" s="1" t="n">
        <v>293817</v>
      </c>
      <c r="J2399" s="1" t="n">
        <v>36800</v>
      </c>
      <c r="K2399" s="1" t="n">
        <v>7896180784266</v>
      </c>
      <c r="L2399" s="1" t="s">
        <v>3483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5" t="n">
        <v>46193</v>
      </c>
      <c r="C2400" s="1" t="n">
        <v>11</v>
      </c>
      <c r="D2400" s="1" t="s">
        <v>2290</v>
      </c>
      <c r="E2400" s="1" t="n">
        <v>1657</v>
      </c>
      <c r="F2400" s="1" t="s">
        <v>255</v>
      </c>
      <c r="I2400" s="1" t="n">
        <v>293817</v>
      </c>
      <c r="J2400" s="1" t="n">
        <v>37199</v>
      </c>
      <c r="K2400" s="1" t="n">
        <v>7892300002319</v>
      </c>
      <c r="L2400" s="1" t="s">
        <v>3484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5" t="n">
        <v>46193</v>
      </c>
      <c r="C2401" s="1" t="n">
        <v>11</v>
      </c>
      <c r="D2401" s="1" t="s">
        <v>2290</v>
      </c>
      <c r="E2401" s="1" t="n">
        <v>1657</v>
      </c>
      <c r="F2401" s="1" t="s">
        <v>255</v>
      </c>
      <c r="I2401" s="1" t="n">
        <v>293817</v>
      </c>
      <c r="J2401" s="1" t="n">
        <v>41114</v>
      </c>
      <c r="K2401" s="1" t="n">
        <v>7898905111548</v>
      </c>
      <c r="L2401" s="1" t="s">
        <v>3485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5" t="n">
        <v>46193</v>
      </c>
      <c r="C2402" s="1" t="n">
        <v>11</v>
      </c>
      <c r="D2402" s="1" t="s">
        <v>2290</v>
      </c>
      <c r="E2402" s="1" t="n">
        <v>1657</v>
      </c>
      <c r="F2402" s="1" t="s">
        <v>255</v>
      </c>
      <c r="I2402" s="1" t="n">
        <v>293817</v>
      </c>
      <c r="J2402" s="1" t="n">
        <v>42819</v>
      </c>
      <c r="K2402" s="1" t="n">
        <v>7898905111555</v>
      </c>
      <c r="L2402" s="1" t="s">
        <v>3486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5" t="n">
        <v>46193</v>
      </c>
      <c r="C2403" s="1" t="n">
        <v>11</v>
      </c>
      <c r="D2403" s="1" t="s">
        <v>2290</v>
      </c>
      <c r="E2403" s="1" t="n">
        <v>1657</v>
      </c>
      <c r="F2403" s="1" t="s">
        <v>255</v>
      </c>
      <c r="I2403" s="1" t="n">
        <v>293817</v>
      </c>
      <c r="J2403" s="1" t="n">
        <v>52458</v>
      </c>
      <c r="K2403" s="1" t="n">
        <v>7897312404199</v>
      </c>
      <c r="L2403" s="1" t="s">
        <v>3487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5" t="n">
        <v>46193</v>
      </c>
      <c r="C2404" s="1" t="n">
        <v>11</v>
      </c>
      <c r="D2404" s="1" t="s">
        <v>2290</v>
      </c>
      <c r="E2404" s="1" t="n">
        <v>1657</v>
      </c>
      <c r="F2404" s="1" t="s">
        <v>255</v>
      </c>
      <c r="I2404" s="1" t="n">
        <v>293817</v>
      </c>
      <c r="J2404" s="1" t="n">
        <v>57843</v>
      </c>
      <c r="K2404" s="1" t="n">
        <v>7896179503038</v>
      </c>
      <c r="L2404" s="1" t="s">
        <v>3488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5" t="n">
        <v>46193</v>
      </c>
      <c r="C2405" s="1" t="n">
        <v>11</v>
      </c>
      <c r="D2405" s="1" t="s">
        <v>2290</v>
      </c>
      <c r="E2405" s="1" t="n">
        <v>1657</v>
      </c>
      <c r="F2405" s="1" t="s">
        <v>255</v>
      </c>
      <c r="I2405" s="1" t="n">
        <v>293817</v>
      </c>
      <c r="J2405" s="1" t="n">
        <v>71391</v>
      </c>
      <c r="K2405" s="1" t="n">
        <v>7896237904272</v>
      </c>
      <c r="L2405" s="1" t="s">
        <v>3489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5" t="n">
        <v>46193</v>
      </c>
      <c r="C2406" s="1" t="n">
        <v>11</v>
      </c>
      <c r="D2406" s="1" t="s">
        <v>2290</v>
      </c>
      <c r="E2406" s="1" t="n">
        <v>1657</v>
      </c>
      <c r="F2406" s="1" t="s">
        <v>255</v>
      </c>
      <c r="I2406" s="1" t="n">
        <v>293817</v>
      </c>
      <c r="J2406" s="1" t="n">
        <v>72030</v>
      </c>
      <c r="K2406" s="1" t="n">
        <v>7898956358251</v>
      </c>
      <c r="L2406" s="1" t="s">
        <v>3490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5" t="n">
        <v>46193</v>
      </c>
      <c r="C2407" s="1" t="n">
        <v>11</v>
      </c>
      <c r="D2407" s="1" t="s">
        <v>2290</v>
      </c>
      <c r="E2407" s="1" t="n">
        <v>1657</v>
      </c>
      <c r="F2407" s="1" t="s">
        <v>255</v>
      </c>
      <c r="I2407" s="1" t="n">
        <v>293817</v>
      </c>
      <c r="J2407" s="1" t="n">
        <v>75566</v>
      </c>
      <c r="K2407" s="1" t="n">
        <v>7896031230386</v>
      </c>
      <c r="L2407" s="1" t="s">
        <v>3491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5" t="n">
        <v>46193</v>
      </c>
      <c r="C2408" s="1" t="n">
        <v>11</v>
      </c>
      <c r="D2408" s="1" t="s">
        <v>2290</v>
      </c>
      <c r="E2408" s="1" t="n">
        <v>1657</v>
      </c>
      <c r="F2408" s="1" t="s">
        <v>255</v>
      </c>
      <c r="I2408" s="1" t="n">
        <v>293817</v>
      </c>
      <c r="J2408" s="1" t="n">
        <v>81471</v>
      </c>
      <c r="K2408" s="1" t="n">
        <v>7896104991480</v>
      </c>
      <c r="L2408" s="1" t="s">
        <v>3492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5" t="n">
        <v>46193</v>
      </c>
      <c r="C2409" s="1" t="n">
        <v>11</v>
      </c>
      <c r="D2409" s="1" t="s">
        <v>2290</v>
      </c>
      <c r="E2409" s="1" t="n">
        <v>1657</v>
      </c>
      <c r="F2409" s="1" t="s">
        <v>255</v>
      </c>
      <c r="I2409" s="1" t="n">
        <v>293817</v>
      </c>
      <c r="J2409" s="1" t="n">
        <v>81472</v>
      </c>
      <c r="K2409" s="1" t="n">
        <v>7896104991497</v>
      </c>
      <c r="L2409" s="1" t="s">
        <v>3493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5" t="n">
        <v>46195</v>
      </c>
      <c r="C2410" s="1" t="n">
        <v>1</v>
      </c>
      <c r="D2410" s="1" t="s">
        <v>2317</v>
      </c>
      <c r="E2410" s="1" t="n">
        <v>642</v>
      </c>
      <c r="F2410" s="1" t="s">
        <v>135</v>
      </c>
      <c r="I2410" s="1" t="n">
        <v>505</v>
      </c>
      <c r="J2410" s="1" t="n">
        <v>71766</v>
      </c>
      <c r="K2410" s="1" t="n">
        <v>779180</v>
      </c>
      <c r="L2410" s="1" t="s">
        <v>2566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5" t="n">
        <v>46195</v>
      </c>
      <c r="C2411" s="1" t="n">
        <v>1</v>
      </c>
      <c r="D2411" s="1" t="s">
        <v>2317</v>
      </c>
      <c r="E2411" s="1" t="n">
        <v>1621</v>
      </c>
      <c r="F2411" s="1" t="s">
        <v>306</v>
      </c>
      <c r="I2411" s="1" t="n">
        <v>870113</v>
      </c>
      <c r="J2411" s="1" t="n">
        <v>33537</v>
      </c>
      <c r="K2411" s="1" t="n">
        <v>7891991294942</v>
      </c>
      <c r="L2411" s="1" t="s">
        <v>2907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5" t="n">
        <v>46195</v>
      </c>
      <c r="C2412" s="1" t="n">
        <v>1</v>
      </c>
      <c r="D2412" s="1" t="s">
        <v>2317</v>
      </c>
      <c r="E2412" s="1" t="n">
        <v>10009</v>
      </c>
      <c r="F2412" s="1" t="s">
        <v>373</v>
      </c>
      <c r="I2412" s="1" t="n">
        <v>1418632</v>
      </c>
      <c r="J2412" s="1" t="n">
        <v>79945</v>
      </c>
      <c r="K2412" s="1" t="n">
        <v>7891000457467</v>
      </c>
      <c r="L2412" s="1" t="s">
        <v>3494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5" t="n">
        <v>46195</v>
      </c>
      <c r="C2413" s="1" t="n">
        <v>1</v>
      </c>
      <c r="D2413" s="1" t="s">
        <v>2317</v>
      </c>
      <c r="E2413" s="1" t="n">
        <v>10009</v>
      </c>
      <c r="F2413" s="1" t="s">
        <v>373</v>
      </c>
      <c r="I2413" s="1" t="n">
        <v>1418632</v>
      </c>
      <c r="J2413" s="1" t="n">
        <v>80005</v>
      </c>
      <c r="K2413" s="1" t="n">
        <v>7891000457092</v>
      </c>
      <c r="L2413" s="1" t="s">
        <v>3495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5" t="n">
        <v>46195</v>
      </c>
      <c r="C2414" s="1" t="n">
        <v>1</v>
      </c>
      <c r="D2414" s="1" t="s">
        <v>2317</v>
      </c>
      <c r="E2414" s="1" t="n">
        <v>10009</v>
      </c>
      <c r="F2414" s="1" t="s">
        <v>373</v>
      </c>
      <c r="I2414" s="1" t="n">
        <v>1418633</v>
      </c>
      <c r="J2414" s="1" t="n">
        <v>102419</v>
      </c>
      <c r="K2414" s="1" t="n">
        <v>7891000462300</v>
      </c>
      <c r="L2414" s="1" t="s">
        <v>2602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5" t="n">
        <v>46195</v>
      </c>
      <c r="C2415" s="1" t="n">
        <v>1</v>
      </c>
      <c r="D2415" s="1" t="s">
        <v>2317</v>
      </c>
      <c r="E2415" s="1" t="n">
        <v>10009</v>
      </c>
      <c r="F2415" s="1" t="s">
        <v>373</v>
      </c>
      <c r="I2415" s="1" t="n">
        <v>1418633</v>
      </c>
      <c r="J2415" s="1" t="n">
        <v>107339</v>
      </c>
      <c r="K2415" s="1" t="n">
        <v>7896015603236</v>
      </c>
      <c r="L2415" s="1" t="s">
        <v>3496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5" t="n">
        <v>46195</v>
      </c>
      <c r="C2416" s="1" t="n">
        <v>1</v>
      </c>
      <c r="D2416" s="1" t="s">
        <v>2317</v>
      </c>
      <c r="E2416" s="1" t="n">
        <v>10009</v>
      </c>
      <c r="F2416" s="1" t="s">
        <v>373</v>
      </c>
      <c r="I2416" s="1" t="n">
        <v>1418633</v>
      </c>
      <c r="J2416" s="1" t="n">
        <v>26412</v>
      </c>
      <c r="K2416" s="1" t="n">
        <v>7891000248768</v>
      </c>
      <c r="L2416" s="1" t="s">
        <v>2613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5" t="n">
        <v>46195</v>
      </c>
      <c r="C2417" s="1" t="n">
        <v>2</v>
      </c>
      <c r="D2417" s="1" t="s">
        <v>2283</v>
      </c>
      <c r="E2417" s="1" t="n">
        <v>42</v>
      </c>
      <c r="F2417" s="1" t="s">
        <v>80</v>
      </c>
      <c r="I2417" s="1" t="n">
        <v>220601</v>
      </c>
      <c r="J2417" s="1" t="n">
        <v>109791</v>
      </c>
      <c r="K2417" s="1" t="n">
        <v>9667</v>
      </c>
      <c r="L2417" s="1" t="s">
        <v>2284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5" t="n">
        <v>46195</v>
      </c>
      <c r="C2418" s="1" t="n">
        <v>2</v>
      </c>
      <c r="D2418" s="1" t="s">
        <v>2283</v>
      </c>
      <c r="E2418" s="1" t="n">
        <v>42</v>
      </c>
      <c r="F2418" s="1" t="s">
        <v>80</v>
      </c>
      <c r="I2418" s="1" t="n">
        <v>220601</v>
      </c>
      <c r="J2418" s="1" t="n">
        <v>37359</v>
      </c>
      <c r="K2418" s="1" t="n">
        <v>55526</v>
      </c>
      <c r="L2418" s="1" t="s">
        <v>2285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5" t="n">
        <v>46195</v>
      </c>
      <c r="C2419" s="1" t="n">
        <v>2</v>
      </c>
      <c r="D2419" s="1" t="s">
        <v>2283</v>
      </c>
      <c r="E2419" s="1" t="n">
        <v>42</v>
      </c>
      <c r="F2419" s="1" t="s">
        <v>80</v>
      </c>
      <c r="I2419" s="1" t="n">
        <v>220601</v>
      </c>
      <c r="J2419" s="1" t="n">
        <v>37361</v>
      </c>
      <c r="K2419" s="1" t="n">
        <v>2240817</v>
      </c>
      <c r="L2419" s="1" t="s">
        <v>2286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5" t="n">
        <v>46195</v>
      </c>
      <c r="C2420" s="1" t="n">
        <v>2</v>
      </c>
      <c r="D2420" s="1" t="s">
        <v>2283</v>
      </c>
      <c r="E2420" s="1" t="n">
        <v>42</v>
      </c>
      <c r="F2420" s="1" t="s">
        <v>80</v>
      </c>
      <c r="I2420" s="1" t="n">
        <v>220602</v>
      </c>
      <c r="J2420" s="1" t="n">
        <v>100103</v>
      </c>
      <c r="K2420" s="1" t="n">
        <v>104</v>
      </c>
      <c r="L2420" s="1" t="s">
        <v>2287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5" t="n">
        <v>46195</v>
      </c>
      <c r="C2421" s="1" t="n">
        <v>2</v>
      </c>
      <c r="D2421" s="1" t="s">
        <v>2283</v>
      </c>
      <c r="E2421" s="1" t="n">
        <v>42</v>
      </c>
      <c r="F2421" s="1" t="s">
        <v>80</v>
      </c>
      <c r="I2421" s="1" t="n">
        <v>220603</v>
      </c>
      <c r="J2421" s="1" t="n">
        <v>52668</v>
      </c>
      <c r="K2421" s="1" t="n">
        <v>7898306020036</v>
      </c>
      <c r="L2421" s="1" t="s">
        <v>2918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5" t="n">
        <v>46195</v>
      </c>
      <c r="C2422" s="1" t="n">
        <v>2</v>
      </c>
      <c r="D2422" s="1" t="s">
        <v>2283</v>
      </c>
      <c r="E2422" s="1" t="n">
        <v>42</v>
      </c>
      <c r="F2422" s="1" t="s">
        <v>80</v>
      </c>
      <c r="I2422" s="1" t="n">
        <v>220603</v>
      </c>
      <c r="J2422" s="1" t="n">
        <v>74674</v>
      </c>
      <c r="K2422" s="1" t="n">
        <v>741</v>
      </c>
      <c r="L2422" s="1" t="s">
        <v>2919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5" t="n">
        <v>46195</v>
      </c>
      <c r="C2423" s="1" t="n">
        <v>2</v>
      </c>
      <c r="D2423" s="1" t="s">
        <v>2283</v>
      </c>
      <c r="E2423" s="1" t="n">
        <v>42</v>
      </c>
      <c r="F2423" s="1" t="s">
        <v>80</v>
      </c>
      <c r="I2423" s="1" t="n">
        <v>220603</v>
      </c>
      <c r="J2423" s="1" t="n">
        <v>81476</v>
      </c>
      <c r="K2423" s="1" t="n">
        <v>606529243579</v>
      </c>
      <c r="L2423" s="1" t="s">
        <v>3497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5" t="n">
        <v>46195</v>
      </c>
      <c r="C2424" s="1" t="n">
        <v>6</v>
      </c>
      <c r="D2424" s="1" t="s">
        <v>2289</v>
      </c>
      <c r="E2424" s="1" t="n">
        <v>42</v>
      </c>
      <c r="F2424" s="1" t="s">
        <v>80</v>
      </c>
      <c r="I2424" s="1" t="n">
        <v>4294</v>
      </c>
      <c r="J2424" s="1" t="n">
        <v>109791</v>
      </c>
      <c r="K2424" s="1" t="n">
        <v>9667</v>
      </c>
      <c r="L2424" s="1" t="s">
        <v>2284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5" t="n">
        <v>46195</v>
      </c>
      <c r="C2425" s="1" t="n">
        <v>6</v>
      </c>
      <c r="D2425" s="1" t="s">
        <v>2289</v>
      </c>
      <c r="E2425" s="1" t="n">
        <v>42</v>
      </c>
      <c r="F2425" s="1" t="s">
        <v>80</v>
      </c>
      <c r="I2425" s="1" t="n">
        <v>4294</v>
      </c>
      <c r="J2425" s="1" t="n">
        <v>37359</v>
      </c>
      <c r="K2425" s="1" t="n">
        <v>55526</v>
      </c>
      <c r="L2425" s="1" t="s">
        <v>2285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5" t="n">
        <v>46195</v>
      </c>
      <c r="C2426" s="1" t="n">
        <v>6</v>
      </c>
      <c r="D2426" s="1" t="s">
        <v>2289</v>
      </c>
      <c r="E2426" s="1" t="n">
        <v>42</v>
      </c>
      <c r="F2426" s="1" t="s">
        <v>80</v>
      </c>
      <c r="I2426" s="1" t="n">
        <v>4294</v>
      </c>
      <c r="J2426" s="1" t="n">
        <v>37361</v>
      </c>
      <c r="K2426" s="1" t="n">
        <v>2240817</v>
      </c>
      <c r="L2426" s="1" t="s">
        <v>2286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5" t="n">
        <v>46195</v>
      </c>
      <c r="C2427" s="1" t="n">
        <v>6</v>
      </c>
      <c r="D2427" s="1" t="s">
        <v>2289</v>
      </c>
      <c r="E2427" s="1" t="n">
        <v>42</v>
      </c>
      <c r="F2427" s="1" t="s">
        <v>80</v>
      </c>
      <c r="I2427" s="1" t="n">
        <v>4297</v>
      </c>
      <c r="J2427" s="1" t="n">
        <v>100103</v>
      </c>
      <c r="K2427" s="1" t="n">
        <v>104</v>
      </c>
      <c r="L2427" s="1" t="s">
        <v>2287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5" t="n">
        <v>46195</v>
      </c>
      <c r="C2428" s="1" t="n">
        <v>11</v>
      </c>
      <c r="D2428" s="1" t="s">
        <v>2290</v>
      </c>
      <c r="E2428" s="1" t="n">
        <v>1276</v>
      </c>
      <c r="F2428" s="1" t="s">
        <v>404</v>
      </c>
      <c r="I2428" s="1" t="n">
        <v>2937</v>
      </c>
      <c r="J2428" s="1" t="n">
        <v>70254</v>
      </c>
      <c r="K2428" s="1" t="n">
        <v>7902947673695</v>
      </c>
      <c r="L2428" s="1" t="s">
        <v>2461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5" t="n">
        <v>46195</v>
      </c>
      <c r="C2429" s="1" t="n">
        <v>11</v>
      </c>
      <c r="D2429" s="1" t="s">
        <v>2290</v>
      </c>
      <c r="E2429" s="1" t="n">
        <v>1276</v>
      </c>
      <c r="F2429" s="1" t="s">
        <v>404</v>
      </c>
      <c r="I2429" s="1" t="n">
        <v>2937</v>
      </c>
      <c r="J2429" s="1" t="n">
        <v>76242</v>
      </c>
      <c r="K2429" s="1" t="n">
        <v>7903056048954</v>
      </c>
      <c r="L2429" s="1" t="s">
        <v>2462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5" t="n">
        <v>46195</v>
      </c>
      <c r="C2430" s="1" t="n">
        <v>11</v>
      </c>
      <c r="D2430" s="1" t="s">
        <v>2290</v>
      </c>
      <c r="E2430" s="1" t="n">
        <v>1276</v>
      </c>
      <c r="F2430" s="1" t="s">
        <v>404</v>
      </c>
      <c r="I2430" s="1" t="n">
        <v>2937</v>
      </c>
      <c r="J2430" s="1" t="n">
        <v>78192</v>
      </c>
      <c r="K2430" s="1" t="n">
        <v>7905643455633</v>
      </c>
      <c r="L2430" s="1" t="s">
        <v>2463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5" t="n">
        <v>46195</v>
      </c>
      <c r="C2431" s="1" t="n">
        <v>11</v>
      </c>
      <c r="D2431" s="1" t="s">
        <v>2290</v>
      </c>
      <c r="E2431" s="1" t="n">
        <v>1625</v>
      </c>
      <c r="F2431" s="1" t="s">
        <v>320</v>
      </c>
      <c r="I2431" s="1" t="n">
        <v>14528</v>
      </c>
      <c r="J2431" s="1" t="n">
        <v>29079</v>
      </c>
      <c r="K2431" s="1" t="n">
        <v>55515</v>
      </c>
      <c r="L2431" s="1" t="s">
        <v>2360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5" t="n">
        <v>46195</v>
      </c>
      <c r="C2432" s="1" t="n">
        <v>11</v>
      </c>
      <c r="D2432" s="1" t="s">
        <v>2290</v>
      </c>
      <c r="E2432" s="1" t="n">
        <v>1625</v>
      </c>
      <c r="F2432" s="1" t="s">
        <v>320</v>
      </c>
      <c r="I2432" s="1" t="n">
        <v>14528</v>
      </c>
      <c r="J2432" s="1" t="n">
        <v>29079</v>
      </c>
      <c r="K2432" s="1" t="n">
        <v>55515</v>
      </c>
      <c r="L2432" s="1" t="s">
        <v>2360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5" t="n">
        <v>46195</v>
      </c>
      <c r="C2433" s="1" t="n">
        <v>11</v>
      </c>
      <c r="D2433" s="1" t="s">
        <v>2290</v>
      </c>
      <c r="E2433" s="1" t="n">
        <v>1625</v>
      </c>
      <c r="F2433" s="1" t="s">
        <v>320</v>
      </c>
      <c r="I2433" s="1" t="n">
        <v>14528</v>
      </c>
      <c r="J2433" s="1" t="n">
        <v>29079</v>
      </c>
      <c r="K2433" s="1" t="n">
        <v>55515</v>
      </c>
      <c r="L2433" s="1" t="s">
        <v>2360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5" t="n">
        <v>46195</v>
      </c>
      <c r="C2434" s="1" t="n">
        <v>11</v>
      </c>
      <c r="D2434" s="1" t="s">
        <v>2290</v>
      </c>
      <c r="E2434" s="1" t="n">
        <v>1625</v>
      </c>
      <c r="F2434" s="1" t="s">
        <v>320</v>
      </c>
      <c r="I2434" s="1" t="n">
        <v>14528</v>
      </c>
      <c r="J2434" s="1" t="n">
        <v>29080</v>
      </c>
      <c r="K2434" s="1" t="n">
        <v>55516</v>
      </c>
      <c r="L2434" s="1" t="s">
        <v>2362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5" t="n">
        <v>46195</v>
      </c>
      <c r="C2435" s="1" t="n">
        <v>11</v>
      </c>
      <c r="D2435" s="1" t="s">
        <v>2290</v>
      </c>
      <c r="E2435" s="1" t="n">
        <v>1625</v>
      </c>
      <c r="F2435" s="1" t="s">
        <v>320</v>
      </c>
      <c r="I2435" s="1" t="n">
        <v>14528</v>
      </c>
      <c r="J2435" s="1" t="n">
        <v>29080</v>
      </c>
      <c r="K2435" s="1" t="n">
        <v>55516</v>
      </c>
      <c r="L2435" s="1" t="s">
        <v>2362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5" t="n">
        <v>46195</v>
      </c>
      <c r="C2436" s="1" t="n">
        <v>11</v>
      </c>
      <c r="D2436" s="1" t="s">
        <v>2290</v>
      </c>
      <c r="E2436" s="1" t="n">
        <v>1695</v>
      </c>
      <c r="F2436" s="1" t="s">
        <v>269</v>
      </c>
      <c r="I2436" s="1" t="n">
        <v>18793</v>
      </c>
      <c r="J2436" s="1" t="n">
        <v>101859</v>
      </c>
      <c r="K2436" s="1" t="n">
        <v>7896224807098</v>
      </c>
      <c r="L2436" s="1" t="s">
        <v>3498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5" t="n">
        <v>46195</v>
      </c>
      <c r="C2437" s="1" t="n">
        <v>11</v>
      </c>
      <c r="D2437" s="1" t="s">
        <v>2290</v>
      </c>
      <c r="E2437" s="1" t="n">
        <v>1695</v>
      </c>
      <c r="F2437" s="1" t="s">
        <v>269</v>
      </c>
      <c r="I2437" s="1" t="n">
        <v>18793</v>
      </c>
      <c r="J2437" s="1" t="n">
        <v>104845</v>
      </c>
      <c r="K2437" s="1" t="n">
        <v>70330909229</v>
      </c>
      <c r="L2437" s="1" t="s">
        <v>3499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5" t="n">
        <v>46195</v>
      </c>
      <c r="C2438" s="1" t="n">
        <v>11</v>
      </c>
      <c r="D2438" s="1" t="s">
        <v>2290</v>
      </c>
      <c r="E2438" s="1" t="n">
        <v>1695</v>
      </c>
      <c r="F2438" s="1" t="s">
        <v>269</v>
      </c>
      <c r="I2438" s="1" t="n">
        <v>18793</v>
      </c>
      <c r="J2438" s="1" t="n">
        <v>107538</v>
      </c>
      <c r="K2438" s="1" t="n">
        <v>70330913431</v>
      </c>
      <c r="L2438" s="1" t="s">
        <v>3500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5" t="n">
        <v>46195</v>
      </c>
      <c r="C2439" s="1" t="n">
        <v>11</v>
      </c>
      <c r="D2439" s="1" t="s">
        <v>2290</v>
      </c>
      <c r="E2439" s="1" t="n">
        <v>1695</v>
      </c>
      <c r="F2439" s="1" t="s">
        <v>269</v>
      </c>
      <c r="I2439" s="1" t="n">
        <v>18793</v>
      </c>
      <c r="J2439" s="1" t="n">
        <v>13171</v>
      </c>
      <c r="K2439" s="1" t="n">
        <v>7896037913146</v>
      </c>
      <c r="L2439" s="1" t="s">
        <v>3117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5" t="n">
        <v>46195</v>
      </c>
      <c r="C2440" s="1" t="n">
        <v>11</v>
      </c>
      <c r="D2440" s="1" t="s">
        <v>2290</v>
      </c>
      <c r="E2440" s="1" t="n">
        <v>1695</v>
      </c>
      <c r="F2440" s="1" t="s">
        <v>269</v>
      </c>
      <c r="I2440" s="1" t="n">
        <v>18793</v>
      </c>
      <c r="J2440" s="1" t="n">
        <v>18833</v>
      </c>
      <c r="K2440" s="1" t="n">
        <v>7891000098950</v>
      </c>
      <c r="L2440" s="1" t="s">
        <v>3501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5" t="n">
        <v>46195</v>
      </c>
      <c r="C2441" s="1" t="n">
        <v>11</v>
      </c>
      <c r="D2441" s="1" t="s">
        <v>2290</v>
      </c>
      <c r="E2441" s="1" t="n">
        <v>1695</v>
      </c>
      <c r="F2441" s="1" t="s">
        <v>269</v>
      </c>
      <c r="I2441" s="1" t="n">
        <v>18793</v>
      </c>
      <c r="J2441" s="1" t="n">
        <v>50552</v>
      </c>
      <c r="K2441" s="1" t="n">
        <v>7891000369340</v>
      </c>
      <c r="L2441" s="1" t="s">
        <v>3502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5" t="n">
        <v>46195</v>
      </c>
      <c r="C2442" s="1" t="n">
        <v>11</v>
      </c>
      <c r="D2442" s="1" t="s">
        <v>2290</v>
      </c>
      <c r="E2442" s="1" t="n">
        <v>1695</v>
      </c>
      <c r="F2442" s="1" t="s">
        <v>269</v>
      </c>
      <c r="I2442" s="1" t="n">
        <v>18793</v>
      </c>
      <c r="J2442" s="1" t="n">
        <v>61012</v>
      </c>
      <c r="K2442" s="1" t="n">
        <v>7898617581271</v>
      </c>
      <c r="L2442" s="1" t="s">
        <v>3503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5" t="n">
        <v>46195</v>
      </c>
      <c r="C2443" s="1" t="n">
        <v>11</v>
      </c>
      <c r="D2443" s="1" t="s">
        <v>2290</v>
      </c>
      <c r="E2443" s="1" t="n">
        <v>1955</v>
      </c>
      <c r="F2443" s="1" t="s">
        <v>2216</v>
      </c>
      <c r="I2443" s="1" t="n">
        <v>46669</v>
      </c>
      <c r="J2443" s="1" t="n">
        <v>45153</v>
      </c>
      <c r="K2443" s="1" t="n">
        <v>7899403713715</v>
      </c>
      <c r="L2443" s="1" t="s">
        <v>3504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5" t="n">
        <v>46195</v>
      </c>
      <c r="C2444" s="1" t="n">
        <v>11</v>
      </c>
      <c r="D2444" s="1" t="s">
        <v>2290</v>
      </c>
      <c r="E2444" s="1" t="n">
        <v>1955</v>
      </c>
      <c r="F2444" s="1" t="s">
        <v>2216</v>
      </c>
      <c r="I2444" s="1" t="n">
        <v>46669</v>
      </c>
      <c r="J2444" s="1" t="n">
        <v>45154</v>
      </c>
      <c r="K2444" s="1" t="n">
        <v>2246390</v>
      </c>
      <c r="L2444" s="1" t="s">
        <v>3505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5" t="n">
        <v>46195</v>
      </c>
      <c r="C2445" s="1" t="n">
        <v>11</v>
      </c>
      <c r="D2445" s="1" t="s">
        <v>2290</v>
      </c>
      <c r="E2445" s="1" t="n">
        <v>1955</v>
      </c>
      <c r="F2445" s="1" t="s">
        <v>2216</v>
      </c>
      <c r="I2445" s="1" t="n">
        <v>46669</v>
      </c>
      <c r="J2445" s="1" t="n">
        <v>45155</v>
      </c>
      <c r="K2445" s="1" t="n">
        <v>2246406</v>
      </c>
      <c r="L2445" s="1" t="s">
        <v>3506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5" t="n">
        <v>46195</v>
      </c>
      <c r="C2446" s="1" t="n">
        <v>11</v>
      </c>
      <c r="D2446" s="1" t="s">
        <v>2290</v>
      </c>
      <c r="E2446" s="1" t="n">
        <v>1955</v>
      </c>
      <c r="F2446" s="1" t="s">
        <v>2216</v>
      </c>
      <c r="I2446" s="1" t="n">
        <v>46794</v>
      </c>
      <c r="J2446" s="1" t="n">
        <v>45153</v>
      </c>
      <c r="K2446" s="1" t="n">
        <v>7899403713715</v>
      </c>
      <c r="L2446" s="1" t="s">
        <v>3504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5" t="n">
        <v>46195</v>
      </c>
      <c r="C2447" s="1" t="n">
        <v>11</v>
      </c>
      <c r="D2447" s="1" t="s">
        <v>2290</v>
      </c>
      <c r="E2447" s="1" t="n">
        <v>1955</v>
      </c>
      <c r="F2447" s="1" t="s">
        <v>2216</v>
      </c>
      <c r="I2447" s="1" t="n">
        <v>46794</v>
      </c>
      <c r="J2447" s="1" t="n">
        <v>45154</v>
      </c>
      <c r="K2447" s="1" t="n">
        <v>2246390</v>
      </c>
      <c r="L2447" s="1" t="s">
        <v>3505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5" t="n">
        <v>46195</v>
      </c>
      <c r="C2448" s="1" t="n">
        <v>11</v>
      </c>
      <c r="D2448" s="1" t="s">
        <v>2290</v>
      </c>
      <c r="E2448" s="1" t="n">
        <v>1955</v>
      </c>
      <c r="F2448" s="1" t="s">
        <v>2216</v>
      </c>
      <c r="I2448" s="1" t="n">
        <v>46794</v>
      </c>
      <c r="J2448" s="1" t="n">
        <v>45155</v>
      </c>
      <c r="K2448" s="1" t="n">
        <v>2246406</v>
      </c>
      <c r="L2448" s="1" t="s">
        <v>3506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5" t="n">
        <v>46195</v>
      </c>
      <c r="C2449" s="1" t="n">
        <v>11</v>
      </c>
      <c r="D2449" s="1" t="s">
        <v>2290</v>
      </c>
      <c r="E2449" s="1" t="n">
        <v>1955</v>
      </c>
      <c r="F2449" s="1" t="s">
        <v>2216</v>
      </c>
      <c r="I2449" s="1" t="n">
        <v>46987</v>
      </c>
      <c r="J2449" s="1" t="n">
        <v>45153</v>
      </c>
      <c r="K2449" s="1" t="n">
        <v>7899403713715</v>
      </c>
      <c r="L2449" s="1" t="s">
        <v>3504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5" t="n">
        <v>46195</v>
      </c>
      <c r="C2450" s="1" t="n">
        <v>11</v>
      </c>
      <c r="D2450" s="1" t="s">
        <v>2290</v>
      </c>
      <c r="E2450" s="1" t="n">
        <v>1955</v>
      </c>
      <c r="F2450" s="1" t="s">
        <v>2216</v>
      </c>
      <c r="I2450" s="1" t="n">
        <v>46987</v>
      </c>
      <c r="J2450" s="1" t="n">
        <v>45154</v>
      </c>
      <c r="K2450" s="1" t="n">
        <v>2246390</v>
      </c>
      <c r="L2450" s="1" t="s">
        <v>3505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5" t="n">
        <v>46195</v>
      </c>
      <c r="C2451" s="1" t="n">
        <v>11</v>
      </c>
      <c r="D2451" s="1" t="s">
        <v>2290</v>
      </c>
      <c r="E2451" s="1" t="n">
        <v>1955</v>
      </c>
      <c r="F2451" s="1" t="s">
        <v>2216</v>
      </c>
      <c r="I2451" s="1" t="n">
        <v>46987</v>
      </c>
      <c r="J2451" s="1" t="n">
        <v>45155</v>
      </c>
      <c r="K2451" s="1" t="n">
        <v>2246406</v>
      </c>
      <c r="L2451" s="1" t="s">
        <v>3506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5" t="n">
        <v>46195</v>
      </c>
      <c r="C2452" s="1" t="n">
        <v>11</v>
      </c>
      <c r="D2452" s="1" t="s">
        <v>2290</v>
      </c>
      <c r="E2452" s="1" t="n">
        <v>1955</v>
      </c>
      <c r="F2452" s="1" t="s">
        <v>2216</v>
      </c>
      <c r="I2452" s="1" t="n">
        <v>47005</v>
      </c>
      <c r="J2452" s="1" t="n">
        <v>37742</v>
      </c>
      <c r="K2452" s="1" t="n">
        <v>7898575226504</v>
      </c>
      <c r="L2452" s="1" t="s">
        <v>3507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5" t="n">
        <v>46195</v>
      </c>
      <c r="C2453" s="1" t="n">
        <v>11</v>
      </c>
      <c r="D2453" s="1" t="s">
        <v>2290</v>
      </c>
      <c r="E2453" s="1" t="n">
        <v>1955</v>
      </c>
      <c r="F2453" s="1" t="s">
        <v>2216</v>
      </c>
      <c r="I2453" s="1" t="n">
        <v>47005</v>
      </c>
      <c r="J2453" s="1" t="n">
        <v>62812</v>
      </c>
      <c r="K2453" s="1" t="n">
        <v>7898933090877</v>
      </c>
      <c r="L2453" s="1" t="s">
        <v>3508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5" t="n">
        <v>46195</v>
      </c>
      <c r="C2454" s="1" t="n">
        <v>11</v>
      </c>
      <c r="D2454" s="1" t="s">
        <v>2290</v>
      </c>
      <c r="E2454" s="1" t="n">
        <v>1955</v>
      </c>
      <c r="F2454" s="1" t="s">
        <v>2216</v>
      </c>
      <c r="I2454" s="1" t="n">
        <v>47005</v>
      </c>
      <c r="J2454" s="1" t="n">
        <v>72901</v>
      </c>
      <c r="K2454" s="1" t="n">
        <v>7898602918563</v>
      </c>
      <c r="L2454" s="1" t="s">
        <v>3509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5" t="n">
        <v>46195</v>
      </c>
      <c r="C2455" s="1" t="n">
        <v>11</v>
      </c>
      <c r="D2455" s="1" t="s">
        <v>2290</v>
      </c>
      <c r="E2455" s="1" t="n">
        <v>1723</v>
      </c>
      <c r="F2455" s="1" t="s">
        <v>76</v>
      </c>
      <c r="I2455" s="1" t="n">
        <v>171756</v>
      </c>
      <c r="J2455" s="1" t="n">
        <v>29079</v>
      </c>
      <c r="K2455" s="1" t="n">
        <v>55515</v>
      </c>
      <c r="L2455" s="1" t="s">
        <v>2360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5" t="n">
        <v>46195</v>
      </c>
      <c r="C2456" s="1" t="n">
        <v>11</v>
      </c>
      <c r="D2456" s="1" t="s">
        <v>2290</v>
      </c>
      <c r="E2456" s="1" t="n">
        <v>1723</v>
      </c>
      <c r="F2456" s="1" t="s">
        <v>76</v>
      </c>
      <c r="I2456" s="1" t="n">
        <v>171756</v>
      </c>
      <c r="J2456" s="1" t="n">
        <v>29080</v>
      </c>
      <c r="K2456" s="1" t="n">
        <v>55516</v>
      </c>
      <c r="L2456" s="1" t="s">
        <v>2362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5" t="n">
        <v>46195</v>
      </c>
      <c r="C2457" s="1" t="n">
        <v>11</v>
      </c>
      <c r="D2457" s="1" t="s">
        <v>2290</v>
      </c>
      <c r="E2457" s="1" t="n">
        <v>1723</v>
      </c>
      <c r="F2457" s="1" t="s">
        <v>76</v>
      </c>
      <c r="I2457" s="1" t="n">
        <v>171756</v>
      </c>
      <c r="J2457" s="1" t="n">
        <v>78040</v>
      </c>
      <c r="K2457" s="1" t="n">
        <v>780414</v>
      </c>
      <c r="L2457" s="1" t="s">
        <v>2585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5" t="n">
        <v>46195</v>
      </c>
      <c r="C2458" s="1" t="n">
        <v>11</v>
      </c>
      <c r="D2458" s="1" t="s">
        <v>2290</v>
      </c>
      <c r="E2458" s="1" t="n">
        <v>1656</v>
      </c>
      <c r="F2458" s="1" t="s">
        <v>260</v>
      </c>
      <c r="I2458" s="1" t="n">
        <v>222263</v>
      </c>
      <c r="J2458" s="1" t="n">
        <v>16851</v>
      </c>
      <c r="K2458" s="1" t="n">
        <v>7898901732105</v>
      </c>
      <c r="L2458" s="1" t="s">
        <v>3510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5" t="n">
        <v>46195</v>
      </c>
      <c r="C2459" s="1" t="n">
        <v>11</v>
      </c>
      <c r="D2459" s="1" t="s">
        <v>2290</v>
      </c>
      <c r="E2459" s="1" t="n">
        <v>1656</v>
      </c>
      <c r="F2459" s="1" t="s">
        <v>260</v>
      </c>
      <c r="I2459" s="1" t="n">
        <v>222263</v>
      </c>
      <c r="J2459" s="1" t="n">
        <v>20529</v>
      </c>
      <c r="K2459" s="1" t="n">
        <v>7897235000324</v>
      </c>
      <c r="L2459" s="1" t="s">
        <v>3511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5" t="n">
        <v>46195</v>
      </c>
      <c r="C2460" s="1" t="n">
        <v>11</v>
      </c>
      <c r="D2460" s="1" t="s">
        <v>2290</v>
      </c>
      <c r="E2460" s="1" t="n">
        <v>1656</v>
      </c>
      <c r="F2460" s="1" t="s">
        <v>260</v>
      </c>
      <c r="I2460" s="1" t="n">
        <v>222263</v>
      </c>
      <c r="J2460" s="1" t="n">
        <v>36918</v>
      </c>
      <c r="K2460" s="1" t="n">
        <v>7898901732662</v>
      </c>
      <c r="L2460" s="1" t="s">
        <v>3512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5" t="n">
        <v>46195</v>
      </c>
      <c r="C2461" s="1" t="n">
        <v>11</v>
      </c>
      <c r="D2461" s="1" t="s">
        <v>2290</v>
      </c>
      <c r="E2461" s="1" t="n">
        <v>1656</v>
      </c>
      <c r="F2461" s="1" t="s">
        <v>260</v>
      </c>
      <c r="I2461" s="1" t="n">
        <v>222263</v>
      </c>
      <c r="J2461" s="1" t="n">
        <v>44171</v>
      </c>
      <c r="K2461" s="1" t="n">
        <v>7898969376242</v>
      </c>
      <c r="L2461" s="1" t="s">
        <v>3513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5" t="n">
        <v>46195</v>
      </c>
      <c r="C2462" s="1" t="n">
        <v>11</v>
      </c>
      <c r="D2462" s="1" t="s">
        <v>2290</v>
      </c>
      <c r="E2462" s="1" t="n">
        <v>1656</v>
      </c>
      <c r="F2462" s="1" t="s">
        <v>260</v>
      </c>
      <c r="I2462" s="1" t="n">
        <v>222263</v>
      </c>
      <c r="J2462" s="1" t="n">
        <v>44963</v>
      </c>
      <c r="K2462" s="1" t="n">
        <v>7896763621872</v>
      </c>
      <c r="L2462" s="1" t="s">
        <v>3514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5" t="n">
        <v>46195</v>
      </c>
      <c r="C2463" s="1" t="n">
        <v>11</v>
      </c>
      <c r="D2463" s="1" t="s">
        <v>2290</v>
      </c>
      <c r="E2463" s="1" t="n">
        <v>1656</v>
      </c>
      <c r="F2463" s="1" t="s">
        <v>260</v>
      </c>
      <c r="I2463" s="1" t="n">
        <v>222263</v>
      </c>
      <c r="J2463" s="1" t="n">
        <v>46484</v>
      </c>
      <c r="K2463" s="1" t="n">
        <v>7898969376334</v>
      </c>
      <c r="L2463" s="1" t="s">
        <v>3515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5" t="n">
        <v>46195</v>
      </c>
      <c r="C2464" s="1" t="n">
        <v>11</v>
      </c>
      <c r="D2464" s="1" t="s">
        <v>2290</v>
      </c>
      <c r="E2464" s="1" t="n">
        <v>1656</v>
      </c>
      <c r="F2464" s="1" t="s">
        <v>260</v>
      </c>
      <c r="I2464" s="1" t="n">
        <v>222263</v>
      </c>
      <c r="J2464" s="1" t="n">
        <v>46486</v>
      </c>
      <c r="K2464" s="1" t="n">
        <v>7898969376433</v>
      </c>
      <c r="L2464" s="1" t="s">
        <v>3516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5" t="n">
        <v>46195</v>
      </c>
      <c r="C2465" s="1" t="n">
        <v>11</v>
      </c>
      <c r="D2465" s="1" t="s">
        <v>2290</v>
      </c>
      <c r="E2465" s="1" t="n">
        <v>1656</v>
      </c>
      <c r="F2465" s="1" t="s">
        <v>260</v>
      </c>
      <c r="I2465" s="1" t="n">
        <v>222263</v>
      </c>
      <c r="J2465" s="1" t="n">
        <v>48224</v>
      </c>
      <c r="K2465" s="1" t="n">
        <v>7897013586231</v>
      </c>
      <c r="L2465" s="1" t="s">
        <v>3517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5" t="n">
        <v>46195</v>
      </c>
      <c r="C2466" s="1" t="n">
        <v>11</v>
      </c>
      <c r="D2466" s="1" t="s">
        <v>2290</v>
      </c>
      <c r="E2466" s="1" t="n">
        <v>1656</v>
      </c>
      <c r="F2466" s="1" t="s">
        <v>260</v>
      </c>
      <c r="I2466" s="1" t="n">
        <v>222263</v>
      </c>
      <c r="J2466" s="1" t="n">
        <v>48225</v>
      </c>
      <c r="K2466" s="1" t="n">
        <v>7897013586255</v>
      </c>
      <c r="L2466" s="1" t="s">
        <v>3518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5" t="n">
        <v>46195</v>
      </c>
      <c r="C2467" s="1" t="n">
        <v>11</v>
      </c>
      <c r="D2467" s="1" t="s">
        <v>2290</v>
      </c>
      <c r="E2467" s="1" t="n">
        <v>1656</v>
      </c>
      <c r="F2467" s="1" t="s">
        <v>260</v>
      </c>
      <c r="I2467" s="1" t="n">
        <v>222263</v>
      </c>
      <c r="J2467" s="1" t="n">
        <v>48722</v>
      </c>
      <c r="K2467" s="1" t="n">
        <v>7897013586194</v>
      </c>
      <c r="L2467" s="1" t="s">
        <v>3519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5" t="n">
        <v>46195</v>
      </c>
      <c r="C2468" s="1" t="n">
        <v>11</v>
      </c>
      <c r="D2468" s="1" t="s">
        <v>2290</v>
      </c>
      <c r="E2468" s="1" t="n">
        <v>1656</v>
      </c>
      <c r="F2468" s="1" t="s">
        <v>260</v>
      </c>
      <c r="I2468" s="1" t="n">
        <v>222263</v>
      </c>
      <c r="J2468" s="1" t="n">
        <v>48887</v>
      </c>
      <c r="K2468" s="1" t="n">
        <v>7897013585678</v>
      </c>
      <c r="L2468" s="1" t="s">
        <v>3520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5" t="n">
        <v>46195</v>
      </c>
      <c r="C2469" s="1" t="n">
        <v>11</v>
      </c>
      <c r="D2469" s="1" t="s">
        <v>2290</v>
      </c>
      <c r="E2469" s="1" t="n">
        <v>1656</v>
      </c>
      <c r="F2469" s="1" t="s">
        <v>260</v>
      </c>
      <c r="I2469" s="1" t="n">
        <v>222263</v>
      </c>
      <c r="J2469" s="1" t="n">
        <v>48895</v>
      </c>
      <c r="K2469" s="1" t="n">
        <v>7897013585654</v>
      </c>
      <c r="L2469" s="1" t="s">
        <v>3521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5" t="n">
        <v>46195</v>
      </c>
      <c r="C2470" s="1" t="n">
        <v>11</v>
      </c>
      <c r="D2470" s="1" t="s">
        <v>2290</v>
      </c>
      <c r="E2470" s="1" t="n">
        <v>1656</v>
      </c>
      <c r="F2470" s="1" t="s">
        <v>260</v>
      </c>
      <c r="I2470" s="1" t="n">
        <v>222263</v>
      </c>
      <c r="J2470" s="1" t="n">
        <v>50021</v>
      </c>
      <c r="K2470" s="1" t="n">
        <v>7898690980008</v>
      </c>
      <c r="L2470" s="1" t="s">
        <v>3522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5" t="n">
        <v>46195</v>
      </c>
      <c r="C2471" s="1" t="n">
        <v>11</v>
      </c>
      <c r="D2471" s="1" t="s">
        <v>2290</v>
      </c>
      <c r="E2471" s="1" t="n">
        <v>1656</v>
      </c>
      <c r="F2471" s="1" t="s">
        <v>260</v>
      </c>
      <c r="I2471" s="1" t="n">
        <v>222263</v>
      </c>
      <c r="J2471" s="1" t="n">
        <v>52317</v>
      </c>
      <c r="K2471" s="1" t="n">
        <v>7898690980015</v>
      </c>
      <c r="L2471" s="1" t="s">
        <v>3523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5" t="n">
        <v>46195</v>
      </c>
      <c r="C2472" s="1" t="n">
        <v>11</v>
      </c>
      <c r="D2472" s="1" t="s">
        <v>2290</v>
      </c>
      <c r="E2472" s="1" t="n">
        <v>1656</v>
      </c>
      <c r="F2472" s="1" t="s">
        <v>260</v>
      </c>
      <c r="I2472" s="1" t="n">
        <v>222263</v>
      </c>
      <c r="J2472" s="1" t="n">
        <v>53840</v>
      </c>
      <c r="K2472" s="1" t="n">
        <v>7897013585661</v>
      </c>
      <c r="L2472" s="1" t="s">
        <v>3524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5" t="n">
        <v>46195</v>
      </c>
      <c r="C2473" s="1" t="n">
        <v>11</v>
      </c>
      <c r="D2473" s="1" t="s">
        <v>2290</v>
      </c>
      <c r="E2473" s="1" t="n">
        <v>1656</v>
      </c>
      <c r="F2473" s="1" t="s">
        <v>260</v>
      </c>
      <c r="I2473" s="1" t="n">
        <v>222263</v>
      </c>
      <c r="J2473" s="1" t="n">
        <v>55009</v>
      </c>
      <c r="K2473" s="1" t="n">
        <v>7898901732709</v>
      </c>
      <c r="L2473" s="1" t="s">
        <v>3525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5" t="n">
        <v>46195</v>
      </c>
      <c r="C2474" s="1" t="n">
        <v>11</v>
      </c>
      <c r="D2474" s="1" t="s">
        <v>2290</v>
      </c>
      <c r="E2474" s="1" t="n">
        <v>1656</v>
      </c>
      <c r="F2474" s="1" t="s">
        <v>260</v>
      </c>
      <c r="I2474" s="1" t="n">
        <v>222263</v>
      </c>
      <c r="J2474" s="1" t="n">
        <v>63251</v>
      </c>
      <c r="K2474" s="1" t="n">
        <v>7897013585685</v>
      </c>
      <c r="L2474" s="1" t="s">
        <v>3526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5" t="n">
        <v>46195</v>
      </c>
      <c r="C2475" s="1" t="n">
        <v>11</v>
      </c>
      <c r="D2475" s="1" t="s">
        <v>2290</v>
      </c>
      <c r="E2475" s="1" t="n">
        <v>1656</v>
      </c>
      <c r="F2475" s="1" t="s">
        <v>260</v>
      </c>
      <c r="I2475" s="1" t="n">
        <v>222263</v>
      </c>
      <c r="J2475" s="1" t="n">
        <v>67253</v>
      </c>
      <c r="K2475" s="1" t="n">
        <v>7898657831473</v>
      </c>
      <c r="L2475" s="1" t="s">
        <v>3527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5" t="n">
        <v>46195</v>
      </c>
      <c r="C2476" s="1" t="n">
        <v>11</v>
      </c>
      <c r="D2476" s="1" t="s">
        <v>2290</v>
      </c>
      <c r="E2476" s="1" t="n">
        <v>1656</v>
      </c>
      <c r="F2476" s="1" t="s">
        <v>260</v>
      </c>
      <c r="I2476" s="1" t="n">
        <v>222263</v>
      </c>
      <c r="J2476" s="1" t="n">
        <v>67887</v>
      </c>
      <c r="K2476" s="1" t="n">
        <v>7898954857800</v>
      </c>
      <c r="L2476" s="1" t="s">
        <v>3528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5" t="n">
        <v>46195</v>
      </c>
      <c r="C2477" s="1" t="n">
        <v>11</v>
      </c>
      <c r="D2477" s="1" t="s">
        <v>2290</v>
      </c>
      <c r="E2477" s="1" t="n">
        <v>1656</v>
      </c>
      <c r="F2477" s="1" t="s">
        <v>260</v>
      </c>
      <c r="I2477" s="1" t="n">
        <v>222263</v>
      </c>
      <c r="J2477" s="1" t="n">
        <v>67902</v>
      </c>
      <c r="K2477" s="1" t="n">
        <v>7898954857831</v>
      </c>
      <c r="L2477" s="1" t="s">
        <v>3529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5" t="n">
        <v>46195</v>
      </c>
      <c r="C2478" s="1" t="n">
        <v>11</v>
      </c>
      <c r="D2478" s="1" t="s">
        <v>2290</v>
      </c>
      <c r="E2478" s="1" t="n">
        <v>1656</v>
      </c>
      <c r="F2478" s="1" t="s">
        <v>260</v>
      </c>
      <c r="I2478" s="1" t="n">
        <v>222263</v>
      </c>
      <c r="J2478" s="1" t="n">
        <v>69037</v>
      </c>
      <c r="K2478" s="1" t="n">
        <v>7898657832395</v>
      </c>
      <c r="L2478" s="1" t="s">
        <v>3530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5" t="n">
        <v>46195</v>
      </c>
      <c r="C2479" s="1" t="n">
        <v>11</v>
      </c>
      <c r="D2479" s="1" t="s">
        <v>2290</v>
      </c>
      <c r="E2479" s="1" t="n">
        <v>1656</v>
      </c>
      <c r="F2479" s="1" t="s">
        <v>260</v>
      </c>
      <c r="I2479" s="1" t="n">
        <v>222263</v>
      </c>
      <c r="J2479" s="1" t="n">
        <v>71350</v>
      </c>
      <c r="K2479" s="1" t="n">
        <v>7898657830056</v>
      </c>
      <c r="L2479" s="1" t="s">
        <v>3531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5" t="n">
        <v>46195</v>
      </c>
      <c r="C2480" s="1" t="n">
        <v>11</v>
      </c>
      <c r="D2480" s="1" t="s">
        <v>2290</v>
      </c>
      <c r="E2480" s="1" t="n">
        <v>1656</v>
      </c>
      <c r="F2480" s="1" t="s">
        <v>260</v>
      </c>
      <c r="I2480" s="1" t="n">
        <v>222263</v>
      </c>
      <c r="J2480" s="1" t="n">
        <v>71351</v>
      </c>
      <c r="K2480" s="1" t="n">
        <v>7898954857879</v>
      </c>
      <c r="L2480" s="1" t="s">
        <v>3532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5" t="n">
        <v>46195</v>
      </c>
      <c r="C2481" s="1" t="n">
        <v>11</v>
      </c>
      <c r="D2481" s="1" t="s">
        <v>2290</v>
      </c>
      <c r="E2481" s="1" t="n">
        <v>1656</v>
      </c>
      <c r="F2481" s="1" t="s">
        <v>260</v>
      </c>
      <c r="I2481" s="1" t="n">
        <v>222263</v>
      </c>
      <c r="J2481" s="1" t="n">
        <v>71352</v>
      </c>
      <c r="K2481" s="1" t="n">
        <v>7898657830889</v>
      </c>
      <c r="L2481" s="1" t="s">
        <v>3532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5" t="n">
        <v>46195</v>
      </c>
      <c r="C2482" s="1" t="n">
        <v>11</v>
      </c>
      <c r="D2482" s="1" t="s">
        <v>2290</v>
      </c>
      <c r="E2482" s="1" t="n">
        <v>1656</v>
      </c>
      <c r="F2482" s="1" t="s">
        <v>260</v>
      </c>
      <c r="I2482" s="1" t="n">
        <v>222263</v>
      </c>
      <c r="J2482" s="1" t="n">
        <v>72616</v>
      </c>
      <c r="K2482" s="1" t="n">
        <v>7908635101945</v>
      </c>
      <c r="L2482" s="1" t="s">
        <v>3533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5" t="n">
        <v>46195</v>
      </c>
      <c r="C2483" s="1" t="n">
        <v>11</v>
      </c>
      <c r="D2483" s="1" t="s">
        <v>2290</v>
      </c>
      <c r="E2483" s="1" t="n">
        <v>1656</v>
      </c>
      <c r="F2483" s="1" t="s">
        <v>260</v>
      </c>
      <c r="I2483" s="1" t="n">
        <v>222263</v>
      </c>
      <c r="J2483" s="1" t="n">
        <v>72617</v>
      </c>
      <c r="K2483" s="1" t="n">
        <v>7908635100702</v>
      </c>
      <c r="L2483" s="1" t="s">
        <v>3533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5" t="n">
        <v>46195</v>
      </c>
      <c r="C2484" s="1" t="n">
        <v>11</v>
      </c>
      <c r="D2484" s="1" t="s">
        <v>2290</v>
      </c>
      <c r="E2484" s="1" t="n">
        <v>1656</v>
      </c>
      <c r="F2484" s="1" t="s">
        <v>260</v>
      </c>
      <c r="I2484" s="1" t="n">
        <v>222263</v>
      </c>
      <c r="J2484" s="1" t="n">
        <v>72618</v>
      </c>
      <c r="K2484" s="1" t="n">
        <v>7908635100719</v>
      </c>
      <c r="L2484" s="1" t="s">
        <v>3534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5" t="n">
        <v>46195</v>
      </c>
      <c r="C2485" s="1" t="n">
        <v>11</v>
      </c>
      <c r="D2485" s="1" t="s">
        <v>2290</v>
      </c>
      <c r="E2485" s="1" t="n">
        <v>1656</v>
      </c>
      <c r="F2485" s="1" t="s">
        <v>260</v>
      </c>
      <c r="I2485" s="1" t="n">
        <v>222263</v>
      </c>
      <c r="J2485" s="1" t="n">
        <v>73311</v>
      </c>
      <c r="K2485" s="1" t="n">
        <v>7898657831770</v>
      </c>
      <c r="L2485" s="1" t="s">
        <v>3535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5" t="n">
        <v>46195</v>
      </c>
      <c r="C2486" s="1" t="n">
        <v>11</v>
      </c>
      <c r="D2486" s="1" t="s">
        <v>2290</v>
      </c>
      <c r="E2486" s="1" t="n">
        <v>1656</v>
      </c>
      <c r="F2486" s="1" t="s">
        <v>260</v>
      </c>
      <c r="I2486" s="1" t="n">
        <v>222263</v>
      </c>
      <c r="J2486" s="1" t="n">
        <v>73312</v>
      </c>
      <c r="K2486" s="1" t="n">
        <v>7898657831787</v>
      </c>
      <c r="L2486" s="1" t="s">
        <v>3535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5" t="n">
        <v>46195</v>
      </c>
      <c r="C2487" s="1" t="n">
        <v>11</v>
      </c>
      <c r="D2487" s="1" t="s">
        <v>2290</v>
      </c>
      <c r="E2487" s="1" t="n">
        <v>1656</v>
      </c>
      <c r="F2487" s="1" t="s">
        <v>260</v>
      </c>
      <c r="I2487" s="1" t="n">
        <v>222263</v>
      </c>
      <c r="J2487" s="1" t="n">
        <v>74606</v>
      </c>
      <c r="K2487" s="1" t="n">
        <v>7908635102423</v>
      </c>
      <c r="L2487" s="1" t="s">
        <v>3536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5" t="n">
        <v>46195</v>
      </c>
      <c r="C2488" s="1" t="n">
        <v>11</v>
      </c>
      <c r="D2488" s="1" t="s">
        <v>2290</v>
      </c>
      <c r="E2488" s="1" t="n">
        <v>1656</v>
      </c>
      <c r="F2488" s="1" t="s">
        <v>260</v>
      </c>
      <c r="I2488" s="1" t="n">
        <v>222263</v>
      </c>
      <c r="J2488" s="1" t="n">
        <v>75249</v>
      </c>
      <c r="K2488" s="1" t="n">
        <v>7898657831480</v>
      </c>
      <c r="L2488" s="1" t="s">
        <v>3527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5" t="n">
        <v>46195</v>
      </c>
      <c r="C2489" s="1" t="n">
        <v>11</v>
      </c>
      <c r="D2489" s="1" t="s">
        <v>2290</v>
      </c>
      <c r="E2489" s="1" t="n">
        <v>1656</v>
      </c>
      <c r="F2489" s="1" t="s">
        <v>260</v>
      </c>
      <c r="I2489" s="1" t="n">
        <v>222263</v>
      </c>
      <c r="J2489" s="1" t="n">
        <v>75250</v>
      </c>
      <c r="K2489" s="1" t="n">
        <v>7898657831459</v>
      </c>
      <c r="L2489" s="1" t="s">
        <v>3527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5" t="n">
        <v>46195</v>
      </c>
      <c r="C2490" s="1" t="n">
        <v>11</v>
      </c>
      <c r="D2490" s="1" t="s">
        <v>2290</v>
      </c>
      <c r="E2490" s="1" t="n">
        <v>1656</v>
      </c>
      <c r="F2490" s="1" t="s">
        <v>260</v>
      </c>
      <c r="I2490" s="1" t="n">
        <v>222263</v>
      </c>
      <c r="J2490" s="1" t="n">
        <v>76249</v>
      </c>
      <c r="K2490" s="1" t="n">
        <v>7898657832616</v>
      </c>
      <c r="L2490" s="1" t="s">
        <v>3537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5" t="n">
        <v>46195</v>
      </c>
      <c r="C2491" s="1" t="n">
        <v>11</v>
      </c>
      <c r="D2491" s="1" t="s">
        <v>2290</v>
      </c>
      <c r="E2491" s="1" t="n">
        <v>1656</v>
      </c>
      <c r="F2491" s="1" t="s">
        <v>260</v>
      </c>
      <c r="I2491" s="1" t="n">
        <v>222263</v>
      </c>
      <c r="J2491" s="1" t="n">
        <v>78010</v>
      </c>
      <c r="K2491" s="1" t="n">
        <v>7893596029912</v>
      </c>
      <c r="L2491" s="1" t="s">
        <v>3538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5" t="n">
        <v>46195</v>
      </c>
      <c r="C2492" s="1" t="n">
        <v>11</v>
      </c>
      <c r="D2492" s="1" t="s">
        <v>2290</v>
      </c>
      <c r="E2492" s="1" t="n">
        <v>1656</v>
      </c>
      <c r="F2492" s="1" t="s">
        <v>260</v>
      </c>
      <c r="I2492" s="1" t="n">
        <v>222263</v>
      </c>
      <c r="J2492" s="1" t="n">
        <v>78034</v>
      </c>
      <c r="K2492" s="1" t="n">
        <v>7908635100610</v>
      </c>
      <c r="L2492" s="1" t="s">
        <v>3539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5" t="n">
        <v>46195</v>
      </c>
      <c r="C2493" s="1" t="n">
        <v>11</v>
      </c>
      <c r="D2493" s="1" t="s">
        <v>2290</v>
      </c>
      <c r="E2493" s="1" t="n">
        <v>1656</v>
      </c>
      <c r="F2493" s="1" t="s">
        <v>260</v>
      </c>
      <c r="I2493" s="1" t="n">
        <v>222263</v>
      </c>
      <c r="J2493" s="1" t="n">
        <v>78035</v>
      </c>
      <c r="K2493" s="1" t="n">
        <v>7897013534232</v>
      </c>
      <c r="L2493" s="1" t="s">
        <v>3540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5" t="n">
        <v>46195</v>
      </c>
      <c r="C2494" s="1" t="n">
        <v>11</v>
      </c>
      <c r="D2494" s="1" t="s">
        <v>2290</v>
      </c>
      <c r="E2494" s="1" t="n">
        <v>1656</v>
      </c>
      <c r="F2494" s="1" t="s">
        <v>260</v>
      </c>
      <c r="I2494" s="1" t="n">
        <v>222263</v>
      </c>
      <c r="J2494" s="1" t="n">
        <v>80018</v>
      </c>
      <c r="K2494" s="1" t="n">
        <v>7891091010732</v>
      </c>
      <c r="L2494" s="1" t="s">
        <v>3541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5" t="n">
        <v>46195</v>
      </c>
      <c r="C2495" s="1" t="n">
        <v>11</v>
      </c>
      <c r="D2495" s="1" t="s">
        <v>2290</v>
      </c>
      <c r="E2495" s="1" t="n">
        <v>1636</v>
      </c>
      <c r="F2495" s="1" t="s">
        <v>49</v>
      </c>
      <c r="I2495" s="1" t="n">
        <v>3204269</v>
      </c>
      <c r="J2495" s="1" t="n">
        <v>30358</v>
      </c>
      <c r="K2495" s="1" t="n">
        <v>7500435137737</v>
      </c>
      <c r="L2495" s="1" t="s">
        <v>3542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5" t="n">
        <v>46195</v>
      </c>
      <c r="C2496" s="1" t="n">
        <v>11</v>
      </c>
      <c r="D2496" s="1" t="s">
        <v>2290</v>
      </c>
      <c r="E2496" s="1" t="n">
        <v>1636</v>
      </c>
      <c r="F2496" s="1" t="s">
        <v>49</v>
      </c>
      <c r="I2496" s="1" t="n">
        <v>3204269</v>
      </c>
      <c r="J2496" s="1" t="n">
        <v>103014</v>
      </c>
      <c r="K2496" s="1" t="n">
        <v>145794</v>
      </c>
      <c r="L2496" s="1" t="s">
        <v>3543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5" t="n">
        <v>46195</v>
      </c>
      <c r="C2497" s="1" t="n">
        <v>11</v>
      </c>
      <c r="D2497" s="1" t="s">
        <v>2290</v>
      </c>
      <c r="E2497" s="1" t="n">
        <v>1636</v>
      </c>
      <c r="F2497" s="1" t="s">
        <v>49</v>
      </c>
      <c r="I2497" s="1" t="n">
        <v>3204269</v>
      </c>
      <c r="J2497" s="1" t="n">
        <v>11610</v>
      </c>
      <c r="K2497" s="1" t="n">
        <v>7702018118823</v>
      </c>
      <c r="L2497" s="1" t="s">
        <v>3544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5" t="n">
        <v>46195</v>
      </c>
      <c r="C2498" s="1" t="n">
        <v>11</v>
      </c>
      <c r="D2498" s="1" t="s">
        <v>2290</v>
      </c>
      <c r="E2498" s="1" t="n">
        <v>1636</v>
      </c>
      <c r="F2498" s="1" t="s">
        <v>49</v>
      </c>
      <c r="I2498" s="1" t="n">
        <v>3204269</v>
      </c>
      <c r="J2498" s="1" t="n">
        <v>12118</v>
      </c>
      <c r="K2498" s="1" t="n">
        <v>3014260833176</v>
      </c>
      <c r="L2498" s="1" t="s">
        <v>3545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5" t="n">
        <v>46195</v>
      </c>
      <c r="C2499" s="1" t="n">
        <v>11</v>
      </c>
      <c r="D2499" s="1" t="s">
        <v>2290</v>
      </c>
      <c r="E2499" s="1" t="n">
        <v>1636</v>
      </c>
      <c r="F2499" s="1" t="s">
        <v>49</v>
      </c>
      <c r="I2499" s="1" t="n">
        <v>3204269</v>
      </c>
      <c r="J2499" s="1" t="n">
        <v>13388</v>
      </c>
      <c r="K2499" s="1" t="n">
        <v>7702018001071</v>
      </c>
      <c r="L2499" s="1" t="s">
        <v>3546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5" t="n">
        <v>46195</v>
      </c>
      <c r="C2500" s="1" t="n">
        <v>11</v>
      </c>
      <c r="D2500" s="1" t="s">
        <v>2290</v>
      </c>
      <c r="E2500" s="1" t="n">
        <v>1636</v>
      </c>
      <c r="F2500" s="1" t="s">
        <v>49</v>
      </c>
      <c r="I2500" s="1" t="n">
        <v>3204269</v>
      </c>
      <c r="J2500" s="1" t="n">
        <v>13544</v>
      </c>
      <c r="K2500" s="1" t="n">
        <v>7702018037803</v>
      </c>
      <c r="L2500" s="1" t="s">
        <v>3547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5" t="n">
        <v>46195</v>
      </c>
      <c r="C2501" s="1" t="n">
        <v>11</v>
      </c>
      <c r="D2501" s="1" t="s">
        <v>2290</v>
      </c>
      <c r="E2501" s="1" t="n">
        <v>1636</v>
      </c>
      <c r="F2501" s="1" t="s">
        <v>49</v>
      </c>
      <c r="I2501" s="1" t="n">
        <v>3204269</v>
      </c>
      <c r="J2501" s="1" t="n">
        <v>14290</v>
      </c>
      <c r="K2501" s="1" t="n">
        <v>7506195143834</v>
      </c>
      <c r="L2501" s="1" t="s">
        <v>3548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5" t="n">
        <v>46195</v>
      </c>
      <c r="C2502" s="1" t="n">
        <v>11</v>
      </c>
      <c r="D2502" s="1" t="s">
        <v>2290</v>
      </c>
      <c r="E2502" s="1" t="n">
        <v>1636</v>
      </c>
      <c r="F2502" s="1" t="s">
        <v>49</v>
      </c>
      <c r="I2502" s="1" t="n">
        <v>3204269</v>
      </c>
      <c r="J2502" s="1" t="n">
        <v>14494</v>
      </c>
      <c r="K2502" s="1" t="n">
        <v>7506195143872</v>
      </c>
      <c r="L2502" s="1" t="s">
        <v>3549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5" t="n">
        <v>46195</v>
      </c>
      <c r="C2503" s="1" t="n">
        <v>11</v>
      </c>
      <c r="D2503" s="1" t="s">
        <v>2290</v>
      </c>
      <c r="E2503" s="1" t="n">
        <v>1636</v>
      </c>
      <c r="F2503" s="1" t="s">
        <v>49</v>
      </c>
      <c r="I2503" s="1" t="n">
        <v>3204269</v>
      </c>
      <c r="J2503" s="1" t="n">
        <v>14670</v>
      </c>
      <c r="K2503" s="1" t="n">
        <v>7506195143858</v>
      </c>
      <c r="L2503" s="1" t="s">
        <v>3550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5" t="n">
        <v>46195</v>
      </c>
      <c r="C2504" s="1" t="n">
        <v>11</v>
      </c>
      <c r="D2504" s="1" t="s">
        <v>2290</v>
      </c>
      <c r="E2504" s="1" t="n">
        <v>1636</v>
      </c>
      <c r="F2504" s="1" t="s">
        <v>49</v>
      </c>
      <c r="I2504" s="1" t="n">
        <v>3204269</v>
      </c>
      <c r="J2504" s="1" t="n">
        <v>18381</v>
      </c>
      <c r="K2504" s="1" t="n">
        <v>7500435244688</v>
      </c>
      <c r="L2504" s="1" t="s">
        <v>3551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5" t="n">
        <v>46195</v>
      </c>
      <c r="C2505" s="1" t="n">
        <v>11</v>
      </c>
      <c r="D2505" s="1" t="s">
        <v>2290</v>
      </c>
      <c r="E2505" s="1" t="n">
        <v>1636</v>
      </c>
      <c r="F2505" s="1" t="s">
        <v>49</v>
      </c>
      <c r="I2505" s="1" t="n">
        <v>3204269</v>
      </c>
      <c r="J2505" s="1" t="n">
        <v>21723</v>
      </c>
      <c r="K2505" s="1" t="n">
        <v>7506339394603</v>
      </c>
      <c r="L2505" s="1" t="s">
        <v>3552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5" t="n">
        <v>46195</v>
      </c>
      <c r="C2506" s="1" t="n">
        <v>11</v>
      </c>
      <c r="D2506" s="1" t="s">
        <v>2290</v>
      </c>
      <c r="E2506" s="1" t="n">
        <v>1636</v>
      </c>
      <c r="F2506" s="1" t="s">
        <v>49</v>
      </c>
      <c r="I2506" s="1" t="n">
        <v>3204269</v>
      </c>
      <c r="J2506" s="1" t="n">
        <v>21921</v>
      </c>
      <c r="K2506" s="1" t="n">
        <v>7506339326031</v>
      </c>
      <c r="L2506" s="1" t="s">
        <v>3553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5" t="n">
        <v>46195</v>
      </c>
      <c r="C2507" s="1" t="n">
        <v>11</v>
      </c>
      <c r="D2507" s="1" t="s">
        <v>2290</v>
      </c>
      <c r="E2507" s="1" t="n">
        <v>1636</v>
      </c>
      <c r="F2507" s="1" t="s">
        <v>49</v>
      </c>
      <c r="I2507" s="1" t="n">
        <v>3204269</v>
      </c>
      <c r="J2507" s="1" t="n">
        <v>29220</v>
      </c>
      <c r="K2507" s="1" t="n">
        <v>7500435134415</v>
      </c>
      <c r="L2507" s="1" t="s">
        <v>3554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5" t="n">
        <v>46195</v>
      </c>
      <c r="C2508" s="1" t="n">
        <v>11</v>
      </c>
      <c r="D2508" s="1" t="s">
        <v>2290</v>
      </c>
      <c r="E2508" s="1" t="n">
        <v>1636</v>
      </c>
      <c r="F2508" s="1" t="s">
        <v>49</v>
      </c>
      <c r="I2508" s="1" t="n">
        <v>3204269</v>
      </c>
      <c r="J2508" s="1" t="n">
        <v>32202</v>
      </c>
      <c r="K2508" s="1" t="n">
        <v>7500435154772</v>
      </c>
      <c r="L2508" s="1" t="s">
        <v>3555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5" t="n">
        <v>46195</v>
      </c>
      <c r="C2509" s="1" t="n">
        <v>11</v>
      </c>
      <c r="D2509" s="1" t="s">
        <v>2290</v>
      </c>
      <c r="E2509" s="1" t="n">
        <v>1636</v>
      </c>
      <c r="F2509" s="1" t="s">
        <v>49</v>
      </c>
      <c r="I2509" s="1" t="n">
        <v>3204269</v>
      </c>
      <c r="J2509" s="1" t="n">
        <v>34052</v>
      </c>
      <c r="K2509" s="1" t="n">
        <v>7500435154437</v>
      </c>
      <c r="L2509" s="1" t="s">
        <v>3556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5" t="n">
        <v>46195</v>
      </c>
      <c r="C2510" s="1" t="n">
        <v>11</v>
      </c>
      <c r="D2510" s="1" t="s">
        <v>2290</v>
      </c>
      <c r="E2510" s="1" t="n">
        <v>1636</v>
      </c>
      <c r="F2510" s="1" t="s">
        <v>49</v>
      </c>
      <c r="I2510" s="1" t="n">
        <v>3204269</v>
      </c>
      <c r="J2510" s="1" t="n">
        <v>35556</v>
      </c>
      <c r="K2510" s="1" t="n">
        <v>7500435154420</v>
      </c>
      <c r="L2510" s="1" t="s">
        <v>3557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5" t="n">
        <v>46195</v>
      </c>
      <c r="C2511" s="1" t="n">
        <v>11</v>
      </c>
      <c r="D2511" s="1" t="s">
        <v>2290</v>
      </c>
      <c r="E2511" s="1" t="n">
        <v>1636</v>
      </c>
      <c r="F2511" s="1" t="s">
        <v>49</v>
      </c>
      <c r="I2511" s="1" t="n">
        <v>3204269</v>
      </c>
      <c r="J2511" s="1" t="n">
        <v>36251</v>
      </c>
      <c r="K2511" s="1" t="n">
        <v>7500435156981</v>
      </c>
      <c r="L2511" s="1" t="s">
        <v>3558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5" t="n">
        <v>46195</v>
      </c>
      <c r="C2512" s="1" t="n">
        <v>11</v>
      </c>
      <c r="D2512" s="1" t="s">
        <v>2290</v>
      </c>
      <c r="E2512" s="1" t="n">
        <v>1636</v>
      </c>
      <c r="F2512" s="1" t="s">
        <v>49</v>
      </c>
      <c r="I2512" s="1" t="n">
        <v>3204269</v>
      </c>
      <c r="J2512" s="1" t="n">
        <v>41681</v>
      </c>
      <c r="K2512" s="1" t="n">
        <v>7500435145152</v>
      </c>
      <c r="L2512" s="1" t="s">
        <v>3559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5" t="n">
        <v>46195</v>
      </c>
      <c r="C2513" s="1" t="n">
        <v>11</v>
      </c>
      <c r="D2513" s="1" t="s">
        <v>2290</v>
      </c>
      <c r="E2513" s="1" t="n">
        <v>1636</v>
      </c>
      <c r="F2513" s="1" t="s">
        <v>49</v>
      </c>
      <c r="I2513" s="1" t="n">
        <v>3204269</v>
      </c>
      <c r="J2513" s="1" t="n">
        <v>63607</v>
      </c>
      <c r="K2513" s="1" t="n">
        <v>7500435243612</v>
      </c>
      <c r="L2513" s="1" t="s">
        <v>3560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5" t="n">
        <v>46195</v>
      </c>
      <c r="C2514" s="1" t="n">
        <v>11</v>
      </c>
      <c r="D2514" s="1" t="s">
        <v>2290</v>
      </c>
      <c r="E2514" s="1" t="n">
        <v>1636</v>
      </c>
      <c r="F2514" s="1" t="s">
        <v>49</v>
      </c>
      <c r="I2514" s="1" t="n">
        <v>3204269</v>
      </c>
      <c r="J2514" s="1" t="n">
        <v>69595</v>
      </c>
      <c r="K2514" s="1" t="n">
        <v>7500435245845</v>
      </c>
      <c r="L2514" s="1" t="s">
        <v>3561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5" t="n">
        <v>46195</v>
      </c>
      <c r="C2515" s="1" t="n">
        <v>11</v>
      </c>
      <c r="D2515" s="1" t="s">
        <v>2290</v>
      </c>
      <c r="E2515" s="1" t="n">
        <v>1636</v>
      </c>
      <c r="F2515" s="1" t="s">
        <v>49</v>
      </c>
      <c r="I2515" s="1" t="n">
        <v>3204269</v>
      </c>
      <c r="J2515" s="1" t="n">
        <v>74385</v>
      </c>
      <c r="K2515" s="1" t="n">
        <v>7500435251938</v>
      </c>
      <c r="L2515" s="1" t="s">
        <v>3562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5" t="n">
        <v>46195</v>
      </c>
      <c r="C2516" s="1" t="n">
        <v>11</v>
      </c>
      <c r="D2516" s="1" t="s">
        <v>2290</v>
      </c>
      <c r="E2516" s="1" t="n">
        <v>1636</v>
      </c>
      <c r="F2516" s="1" t="s">
        <v>49</v>
      </c>
      <c r="I2516" s="1" t="n">
        <v>3204269</v>
      </c>
      <c r="J2516" s="1" t="n">
        <v>80835</v>
      </c>
      <c r="K2516" s="1" t="n">
        <v>7500435259088</v>
      </c>
      <c r="L2516" s="1" t="s">
        <v>3563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5" t="n">
        <v>46195</v>
      </c>
      <c r="C2517" s="1" t="n">
        <v>22</v>
      </c>
      <c r="D2517" s="1" t="s">
        <v>2436</v>
      </c>
      <c r="E2517" s="1" t="n">
        <v>42</v>
      </c>
      <c r="F2517" s="1" t="s">
        <v>80</v>
      </c>
      <c r="I2517" s="1" t="n">
        <v>4296</v>
      </c>
      <c r="J2517" s="1" t="n">
        <v>100000</v>
      </c>
      <c r="K2517" s="1" t="n">
        <v>1</v>
      </c>
      <c r="L2517" s="1" t="s">
        <v>2451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5" t="n">
        <v>46195</v>
      </c>
      <c r="C2518" s="1" t="n">
        <v>22</v>
      </c>
      <c r="D2518" s="1" t="s">
        <v>2436</v>
      </c>
      <c r="E2518" s="1" t="n">
        <v>42</v>
      </c>
      <c r="F2518" s="1" t="s">
        <v>80</v>
      </c>
      <c r="I2518" s="1" t="n">
        <v>4296</v>
      </c>
      <c r="J2518" s="1" t="n">
        <v>100000</v>
      </c>
      <c r="K2518" s="1" t="n">
        <v>1</v>
      </c>
      <c r="L2518" s="1" t="s">
        <v>2451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5" t="n">
        <v>46195</v>
      </c>
      <c r="C2519" s="1" t="n">
        <v>22</v>
      </c>
      <c r="D2519" s="1" t="s">
        <v>2436</v>
      </c>
      <c r="E2519" s="1" t="n">
        <v>42</v>
      </c>
      <c r="F2519" s="1" t="s">
        <v>80</v>
      </c>
      <c r="I2519" s="1" t="n">
        <v>4296</v>
      </c>
      <c r="J2519" s="1" t="n">
        <v>100001</v>
      </c>
      <c r="K2519" s="1" t="n">
        <v>2</v>
      </c>
      <c r="L2519" s="1" t="s">
        <v>2452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5" t="n">
        <v>46195</v>
      </c>
      <c r="C2520" s="1" t="n">
        <v>22</v>
      </c>
      <c r="D2520" s="1" t="s">
        <v>2436</v>
      </c>
      <c r="E2520" s="1" t="n">
        <v>42</v>
      </c>
      <c r="F2520" s="1" t="s">
        <v>80</v>
      </c>
      <c r="I2520" s="1" t="n">
        <v>4296</v>
      </c>
      <c r="J2520" s="1" t="n">
        <v>100002</v>
      </c>
      <c r="K2520" s="1" t="n">
        <v>3</v>
      </c>
      <c r="L2520" s="1" t="s">
        <v>2453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5" t="n">
        <v>46195</v>
      </c>
      <c r="C2521" s="1" t="n">
        <v>22</v>
      </c>
      <c r="D2521" s="1" t="s">
        <v>2436</v>
      </c>
      <c r="E2521" s="1" t="n">
        <v>42</v>
      </c>
      <c r="F2521" s="1" t="s">
        <v>80</v>
      </c>
      <c r="I2521" s="1" t="n">
        <v>4296</v>
      </c>
      <c r="J2521" s="1" t="n">
        <v>100003</v>
      </c>
      <c r="K2521" s="1" t="n">
        <v>4</v>
      </c>
      <c r="L2521" s="1" t="s">
        <v>2454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5" t="n">
        <v>46195</v>
      </c>
      <c r="C2522" s="1" t="n">
        <v>22</v>
      </c>
      <c r="D2522" s="1" t="s">
        <v>2436</v>
      </c>
      <c r="E2522" s="1" t="n">
        <v>42</v>
      </c>
      <c r="F2522" s="1" t="s">
        <v>80</v>
      </c>
      <c r="I2522" s="1" t="n">
        <v>4296</v>
      </c>
      <c r="J2522" s="1" t="n">
        <v>100004</v>
      </c>
      <c r="K2522" s="1" t="n">
        <v>5</v>
      </c>
      <c r="L2522" s="1" t="s">
        <v>2667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5" t="n">
        <v>46195</v>
      </c>
      <c r="C2523" s="1" t="n">
        <v>22</v>
      </c>
      <c r="D2523" s="1" t="s">
        <v>2436</v>
      </c>
      <c r="E2523" s="1" t="n">
        <v>42</v>
      </c>
      <c r="F2523" s="1" t="s">
        <v>80</v>
      </c>
      <c r="I2523" s="1" t="n">
        <v>4296</v>
      </c>
      <c r="J2523" s="1" t="n">
        <v>100006</v>
      </c>
      <c r="K2523" s="1" t="n">
        <v>7</v>
      </c>
      <c r="L2523" s="1" t="s">
        <v>2437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5" t="n">
        <v>46195</v>
      </c>
      <c r="C2524" s="1" t="n">
        <v>22</v>
      </c>
      <c r="D2524" s="1" t="s">
        <v>2436</v>
      </c>
      <c r="E2524" s="1" t="n">
        <v>42</v>
      </c>
      <c r="F2524" s="1" t="s">
        <v>80</v>
      </c>
      <c r="I2524" s="1" t="n">
        <v>4296</v>
      </c>
      <c r="J2524" s="1" t="n">
        <v>100007</v>
      </c>
      <c r="K2524" s="1" t="n">
        <v>8</v>
      </c>
      <c r="L2524" s="1" t="s">
        <v>2455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5" t="n">
        <v>46195</v>
      </c>
      <c r="C2525" s="1" t="n">
        <v>22</v>
      </c>
      <c r="D2525" s="1" t="s">
        <v>2436</v>
      </c>
      <c r="E2525" s="1" t="n">
        <v>42</v>
      </c>
      <c r="F2525" s="1" t="s">
        <v>80</v>
      </c>
      <c r="I2525" s="1" t="n">
        <v>4296</v>
      </c>
      <c r="J2525" s="1" t="n">
        <v>100008</v>
      </c>
      <c r="K2525" s="1" t="n">
        <v>9</v>
      </c>
      <c r="L2525" s="1" t="s">
        <v>2438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5" t="n">
        <v>46195</v>
      </c>
      <c r="C2526" s="1" t="n">
        <v>22</v>
      </c>
      <c r="D2526" s="1" t="s">
        <v>2436</v>
      </c>
      <c r="E2526" s="1" t="n">
        <v>42</v>
      </c>
      <c r="F2526" s="1" t="s">
        <v>80</v>
      </c>
      <c r="I2526" s="1" t="n">
        <v>4296</v>
      </c>
      <c r="J2526" s="1" t="n">
        <v>100010</v>
      </c>
      <c r="K2526" s="1" t="n">
        <v>11</v>
      </c>
      <c r="L2526" s="1" t="s">
        <v>2439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5" t="n">
        <v>46195</v>
      </c>
      <c r="C2527" s="1" t="n">
        <v>22</v>
      </c>
      <c r="D2527" s="1" t="s">
        <v>2436</v>
      </c>
      <c r="E2527" s="1" t="n">
        <v>42</v>
      </c>
      <c r="F2527" s="1" t="s">
        <v>80</v>
      </c>
      <c r="I2527" s="1" t="n">
        <v>4296</v>
      </c>
      <c r="J2527" s="1" t="n">
        <v>100011</v>
      </c>
      <c r="K2527" s="1" t="n">
        <v>12</v>
      </c>
      <c r="L2527" s="1" t="s">
        <v>2440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5" t="n">
        <v>46195</v>
      </c>
      <c r="C2528" s="1" t="n">
        <v>22</v>
      </c>
      <c r="D2528" s="1" t="s">
        <v>2436</v>
      </c>
      <c r="E2528" s="1" t="n">
        <v>42</v>
      </c>
      <c r="F2528" s="1" t="s">
        <v>80</v>
      </c>
      <c r="I2528" s="1" t="n">
        <v>4296</v>
      </c>
      <c r="J2528" s="1" t="n">
        <v>100012</v>
      </c>
      <c r="K2528" s="1" t="n">
        <v>13</v>
      </c>
      <c r="L2528" s="1" t="s">
        <v>2441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5" t="n">
        <v>46195</v>
      </c>
      <c r="C2529" s="1" t="n">
        <v>22</v>
      </c>
      <c r="D2529" s="1" t="s">
        <v>2436</v>
      </c>
      <c r="E2529" s="1" t="n">
        <v>42</v>
      </c>
      <c r="F2529" s="1" t="s">
        <v>80</v>
      </c>
      <c r="I2529" s="1" t="n">
        <v>4296</v>
      </c>
      <c r="J2529" s="1" t="n">
        <v>100013</v>
      </c>
      <c r="K2529" s="1" t="n">
        <v>14</v>
      </c>
      <c r="L2529" s="1" t="s">
        <v>2442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5" t="n">
        <v>46195</v>
      </c>
      <c r="C2530" s="1" t="n">
        <v>22</v>
      </c>
      <c r="D2530" s="1" t="s">
        <v>2436</v>
      </c>
      <c r="E2530" s="1" t="n">
        <v>42</v>
      </c>
      <c r="F2530" s="1" t="s">
        <v>80</v>
      </c>
      <c r="I2530" s="1" t="n">
        <v>4296</v>
      </c>
      <c r="J2530" s="1" t="n">
        <v>100014</v>
      </c>
      <c r="K2530" s="1" t="n">
        <v>15</v>
      </c>
      <c r="L2530" s="1" t="s">
        <v>2443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5" t="n">
        <v>46195</v>
      </c>
      <c r="C2531" s="1" t="n">
        <v>22</v>
      </c>
      <c r="D2531" s="1" t="s">
        <v>2436</v>
      </c>
      <c r="E2531" s="1" t="n">
        <v>42</v>
      </c>
      <c r="F2531" s="1" t="s">
        <v>80</v>
      </c>
      <c r="I2531" s="1" t="n">
        <v>4296</v>
      </c>
      <c r="J2531" s="1" t="n">
        <v>100015</v>
      </c>
      <c r="K2531" s="1" t="n">
        <v>16</v>
      </c>
      <c r="L2531" s="1" t="s">
        <v>2444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5" t="n">
        <v>46195</v>
      </c>
      <c r="C2532" s="1" t="n">
        <v>22</v>
      </c>
      <c r="D2532" s="1" t="s">
        <v>2436</v>
      </c>
      <c r="E2532" s="1" t="n">
        <v>42</v>
      </c>
      <c r="F2532" s="1" t="s">
        <v>80</v>
      </c>
      <c r="I2532" s="1" t="n">
        <v>4296</v>
      </c>
      <c r="J2532" s="1" t="n">
        <v>100016</v>
      </c>
      <c r="K2532" s="1" t="n">
        <v>17</v>
      </c>
      <c r="L2532" s="1" t="s">
        <v>2445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5" t="n">
        <v>46195</v>
      </c>
      <c r="C2533" s="1" t="n">
        <v>22</v>
      </c>
      <c r="D2533" s="1" t="s">
        <v>2436</v>
      </c>
      <c r="E2533" s="1" t="n">
        <v>42</v>
      </c>
      <c r="F2533" s="1" t="s">
        <v>80</v>
      </c>
      <c r="I2533" s="1" t="n">
        <v>4296</v>
      </c>
      <c r="J2533" s="1" t="n">
        <v>100017</v>
      </c>
      <c r="K2533" s="1" t="n">
        <v>18</v>
      </c>
      <c r="L2533" s="1" t="s">
        <v>2446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5" t="n">
        <v>46195</v>
      </c>
      <c r="C2534" s="1" t="n">
        <v>22</v>
      </c>
      <c r="D2534" s="1" t="s">
        <v>2436</v>
      </c>
      <c r="E2534" s="1" t="n">
        <v>42</v>
      </c>
      <c r="F2534" s="1" t="s">
        <v>80</v>
      </c>
      <c r="I2534" s="1" t="n">
        <v>4296</v>
      </c>
      <c r="J2534" s="1" t="n">
        <v>100020</v>
      </c>
      <c r="K2534" s="1" t="n">
        <v>21</v>
      </c>
      <c r="L2534" s="1" t="s">
        <v>2456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5" t="n">
        <v>46195</v>
      </c>
      <c r="C2535" s="1" t="n">
        <v>22</v>
      </c>
      <c r="D2535" s="1" t="s">
        <v>2436</v>
      </c>
      <c r="E2535" s="1" t="n">
        <v>42</v>
      </c>
      <c r="F2535" s="1" t="s">
        <v>80</v>
      </c>
      <c r="I2535" s="1" t="n">
        <v>4296</v>
      </c>
      <c r="J2535" s="1" t="n">
        <v>100053</v>
      </c>
      <c r="K2535" s="1" t="n">
        <v>54</v>
      </c>
      <c r="L2535" s="1" t="s">
        <v>2447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5" t="n">
        <v>46195</v>
      </c>
      <c r="C2536" s="1" t="n">
        <v>22</v>
      </c>
      <c r="D2536" s="1" t="s">
        <v>2436</v>
      </c>
      <c r="E2536" s="1" t="n">
        <v>42</v>
      </c>
      <c r="F2536" s="1" t="s">
        <v>80</v>
      </c>
      <c r="I2536" s="1" t="n">
        <v>4296</v>
      </c>
      <c r="J2536" s="1" t="n">
        <v>100638</v>
      </c>
      <c r="K2536" s="1" t="n">
        <v>508</v>
      </c>
      <c r="L2536" s="1" t="s">
        <v>2448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5" t="n">
        <v>46195</v>
      </c>
      <c r="C2537" s="1" t="n">
        <v>22</v>
      </c>
      <c r="D2537" s="1" t="s">
        <v>2436</v>
      </c>
      <c r="E2537" s="1" t="n">
        <v>42</v>
      </c>
      <c r="F2537" s="1" t="s">
        <v>80</v>
      </c>
      <c r="I2537" s="1" t="n">
        <v>4296</v>
      </c>
      <c r="J2537" s="1" t="n">
        <v>100638</v>
      </c>
      <c r="K2537" s="1" t="n">
        <v>508</v>
      </c>
      <c r="L2537" s="1" t="s">
        <v>2448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5" t="n">
        <v>46195</v>
      </c>
      <c r="C2538" s="1" t="n">
        <v>22</v>
      </c>
      <c r="D2538" s="1" t="s">
        <v>2436</v>
      </c>
      <c r="E2538" s="1" t="n">
        <v>42</v>
      </c>
      <c r="F2538" s="1" t="s">
        <v>80</v>
      </c>
      <c r="I2538" s="1" t="n">
        <v>4296</v>
      </c>
      <c r="J2538" s="1" t="n">
        <v>100638</v>
      </c>
      <c r="K2538" s="1" t="n">
        <v>508</v>
      </c>
      <c r="L2538" s="1" t="s">
        <v>2448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5" t="n">
        <v>46195</v>
      </c>
      <c r="C2539" s="1" t="n">
        <v>22</v>
      </c>
      <c r="D2539" s="1" t="s">
        <v>2436</v>
      </c>
      <c r="E2539" s="1" t="n">
        <v>42</v>
      </c>
      <c r="F2539" s="1" t="s">
        <v>80</v>
      </c>
      <c r="I2539" s="1" t="n">
        <v>4296</v>
      </c>
      <c r="J2539" s="1" t="n">
        <v>100520</v>
      </c>
      <c r="K2539" s="1" t="n">
        <v>507</v>
      </c>
      <c r="L2539" s="1" t="s">
        <v>2449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5" t="n">
        <v>46195</v>
      </c>
      <c r="C2540" s="1" t="n">
        <v>22</v>
      </c>
      <c r="D2540" s="1" t="s">
        <v>2436</v>
      </c>
      <c r="E2540" s="1" t="n">
        <v>42</v>
      </c>
      <c r="F2540" s="1" t="s">
        <v>80</v>
      </c>
      <c r="I2540" s="1" t="n">
        <v>4296</v>
      </c>
      <c r="J2540" s="1" t="n">
        <v>100520</v>
      </c>
      <c r="K2540" s="1" t="n">
        <v>507</v>
      </c>
      <c r="L2540" s="1" t="s">
        <v>2449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5" t="n">
        <v>46195</v>
      </c>
      <c r="C2541" s="1" t="n">
        <v>22</v>
      </c>
      <c r="D2541" s="1" t="s">
        <v>2436</v>
      </c>
      <c r="E2541" s="1" t="n">
        <v>42</v>
      </c>
      <c r="F2541" s="1" t="s">
        <v>80</v>
      </c>
      <c r="I2541" s="1" t="n">
        <v>4296</v>
      </c>
      <c r="J2541" s="1" t="n">
        <v>110455</v>
      </c>
      <c r="K2541" s="1" t="n">
        <v>53212</v>
      </c>
      <c r="L2541" s="1" t="s">
        <v>2450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5" t="n">
        <v>46195</v>
      </c>
      <c r="C2542" s="1" t="n">
        <v>22</v>
      </c>
      <c r="D2542" s="1" t="s">
        <v>2436</v>
      </c>
      <c r="E2542" s="1" t="n">
        <v>42</v>
      </c>
      <c r="F2542" s="1" t="s">
        <v>80</v>
      </c>
      <c r="I2542" s="1" t="n">
        <v>4296</v>
      </c>
      <c r="J2542" s="1" t="n">
        <v>110455</v>
      </c>
      <c r="K2542" s="1" t="n">
        <v>53212</v>
      </c>
      <c r="L2542" s="1" t="s">
        <v>2450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5" t="n">
        <v>46195</v>
      </c>
      <c r="C2543" s="1" t="n">
        <v>22</v>
      </c>
      <c r="D2543" s="1" t="s">
        <v>2436</v>
      </c>
      <c r="E2543" s="1" t="n">
        <v>42</v>
      </c>
      <c r="F2543" s="1" t="s">
        <v>80</v>
      </c>
      <c r="I2543" s="1" t="n">
        <v>4296</v>
      </c>
      <c r="J2543" s="1" t="n">
        <v>110455</v>
      </c>
      <c r="K2543" s="1" t="n">
        <v>53212</v>
      </c>
      <c r="L2543" s="1" t="s">
        <v>2450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5" t="n">
        <v>46195</v>
      </c>
      <c r="C2544" s="1" t="n">
        <v>22</v>
      </c>
      <c r="D2544" s="1" t="s">
        <v>2436</v>
      </c>
      <c r="E2544" s="1" t="n">
        <v>42</v>
      </c>
      <c r="F2544" s="1" t="s">
        <v>80</v>
      </c>
      <c r="I2544" s="1" t="n">
        <v>4299</v>
      </c>
      <c r="J2544" s="1" t="n">
        <v>100000</v>
      </c>
      <c r="K2544" s="1" t="n">
        <v>1</v>
      </c>
      <c r="L2544" s="1" t="s">
        <v>2451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5" t="n">
        <v>46195</v>
      </c>
      <c r="C2545" s="1" t="n">
        <v>22</v>
      </c>
      <c r="D2545" s="1" t="s">
        <v>2436</v>
      </c>
      <c r="E2545" s="1" t="n">
        <v>42</v>
      </c>
      <c r="F2545" s="1" t="s">
        <v>80</v>
      </c>
      <c r="I2545" s="1" t="n">
        <v>4299</v>
      </c>
      <c r="J2545" s="1" t="n">
        <v>100000</v>
      </c>
      <c r="K2545" s="1" t="n">
        <v>1</v>
      </c>
      <c r="L2545" s="1" t="s">
        <v>2451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5" t="n">
        <v>46195</v>
      </c>
      <c r="C2546" s="1" t="n">
        <v>22</v>
      </c>
      <c r="D2546" s="1" t="s">
        <v>2436</v>
      </c>
      <c r="E2546" s="1" t="n">
        <v>42</v>
      </c>
      <c r="F2546" s="1" t="s">
        <v>80</v>
      </c>
      <c r="I2546" s="1" t="n">
        <v>4299</v>
      </c>
      <c r="J2546" s="1" t="n">
        <v>100001</v>
      </c>
      <c r="K2546" s="1" t="n">
        <v>2</v>
      </c>
      <c r="L2546" s="1" t="s">
        <v>2452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5" t="n">
        <v>46195</v>
      </c>
      <c r="C2547" s="1" t="n">
        <v>22</v>
      </c>
      <c r="D2547" s="1" t="s">
        <v>2436</v>
      </c>
      <c r="E2547" s="1" t="n">
        <v>42</v>
      </c>
      <c r="F2547" s="1" t="s">
        <v>80</v>
      </c>
      <c r="I2547" s="1" t="n">
        <v>4299</v>
      </c>
      <c r="J2547" s="1" t="n">
        <v>100002</v>
      </c>
      <c r="K2547" s="1" t="n">
        <v>3</v>
      </c>
      <c r="L2547" s="1" t="s">
        <v>2453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5" t="n">
        <v>46195</v>
      </c>
      <c r="C2548" s="1" t="n">
        <v>22</v>
      </c>
      <c r="D2548" s="1" t="s">
        <v>2436</v>
      </c>
      <c r="E2548" s="1" t="n">
        <v>42</v>
      </c>
      <c r="F2548" s="1" t="s">
        <v>80</v>
      </c>
      <c r="I2548" s="1" t="n">
        <v>4299</v>
      </c>
      <c r="J2548" s="1" t="n">
        <v>100003</v>
      </c>
      <c r="K2548" s="1" t="n">
        <v>4</v>
      </c>
      <c r="L2548" s="1" t="s">
        <v>2454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5" t="n">
        <v>46195</v>
      </c>
      <c r="C2549" s="1" t="n">
        <v>22</v>
      </c>
      <c r="D2549" s="1" t="s">
        <v>2436</v>
      </c>
      <c r="E2549" s="1" t="n">
        <v>42</v>
      </c>
      <c r="F2549" s="1" t="s">
        <v>80</v>
      </c>
      <c r="I2549" s="1" t="n">
        <v>4299</v>
      </c>
      <c r="J2549" s="1" t="n">
        <v>100004</v>
      </c>
      <c r="K2549" s="1" t="n">
        <v>5</v>
      </c>
      <c r="L2549" s="1" t="s">
        <v>2667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5" t="n">
        <v>46195</v>
      </c>
      <c r="C2550" s="1" t="n">
        <v>22</v>
      </c>
      <c r="D2550" s="1" t="s">
        <v>2436</v>
      </c>
      <c r="E2550" s="1" t="n">
        <v>42</v>
      </c>
      <c r="F2550" s="1" t="s">
        <v>80</v>
      </c>
      <c r="I2550" s="1" t="n">
        <v>4299</v>
      </c>
      <c r="J2550" s="1" t="n">
        <v>100006</v>
      </c>
      <c r="K2550" s="1" t="n">
        <v>7</v>
      </c>
      <c r="L2550" s="1" t="s">
        <v>2437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5" t="n">
        <v>46195</v>
      </c>
      <c r="C2551" s="1" t="n">
        <v>22</v>
      </c>
      <c r="D2551" s="1" t="s">
        <v>2436</v>
      </c>
      <c r="E2551" s="1" t="n">
        <v>42</v>
      </c>
      <c r="F2551" s="1" t="s">
        <v>80</v>
      </c>
      <c r="I2551" s="1" t="n">
        <v>4299</v>
      </c>
      <c r="J2551" s="1" t="n">
        <v>100007</v>
      </c>
      <c r="K2551" s="1" t="n">
        <v>8</v>
      </c>
      <c r="L2551" s="1" t="s">
        <v>2455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5" t="n">
        <v>46195</v>
      </c>
      <c r="C2552" s="1" t="n">
        <v>22</v>
      </c>
      <c r="D2552" s="1" t="s">
        <v>2436</v>
      </c>
      <c r="E2552" s="1" t="n">
        <v>42</v>
      </c>
      <c r="F2552" s="1" t="s">
        <v>80</v>
      </c>
      <c r="I2552" s="1" t="n">
        <v>4299</v>
      </c>
      <c r="J2552" s="1" t="n">
        <v>100008</v>
      </c>
      <c r="K2552" s="1" t="n">
        <v>9</v>
      </c>
      <c r="L2552" s="1" t="s">
        <v>2438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5" t="n">
        <v>46195</v>
      </c>
      <c r="C2553" s="1" t="n">
        <v>22</v>
      </c>
      <c r="D2553" s="1" t="s">
        <v>2436</v>
      </c>
      <c r="E2553" s="1" t="n">
        <v>42</v>
      </c>
      <c r="F2553" s="1" t="s">
        <v>80</v>
      </c>
      <c r="I2553" s="1" t="n">
        <v>4299</v>
      </c>
      <c r="J2553" s="1" t="n">
        <v>100010</v>
      </c>
      <c r="K2553" s="1" t="n">
        <v>11</v>
      </c>
      <c r="L2553" s="1" t="s">
        <v>2439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5" t="n">
        <v>46195</v>
      </c>
      <c r="C2554" s="1" t="n">
        <v>22</v>
      </c>
      <c r="D2554" s="1" t="s">
        <v>2436</v>
      </c>
      <c r="E2554" s="1" t="n">
        <v>42</v>
      </c>
      <c r="F2554" s="1" t="s">
        <v>80</v>
      </c>
      <c r="I2554" s="1" t="n">
        <v>4299</v>
      </c>
      <c r="J2554" s="1" t="n">
        <v>100011</v>
      </c>
      <c r="K2554" s="1" t="n">
        <v>12</v>
      </c>
      <c r="L2554" s="1" t="s">
        <v>2440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5" t="n">
        <v>46195</v>
      </c>
      <c r="C2555" s="1" t="n">
        <v>22</v>
      </c>
      <c r="D2555" s="1" t="s">
        <v>2436</v>
      </c>
      <c r="E2555" s="1" t="n">
        <v>42</v>
      </c>
      <c r="F2555" s="1" t="s">
        <v>80</v>
      </c>
      <c r="I2555" s="1" t="n">
        <v>4299</v>
      </c>
      <c r="J2555" s="1" t="n">
        <v>100012</v>
      </c>
      <c r="K2555" s="1" t="n">
        <v>13</v>
      </c>
      <c r="L2555" s="1" t="s">
        <v>2441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5" t="n">
        <v>46195</v>
      </c>
      <c r="C2556" s="1" t="n">
        <v>22</v>
      </c>
      <c r="D2556" s="1" t="s">
        <v>2436</v>
      </c>
      <c r="E2556" s="1" t="n">
        <v>42</v>
      </c>
      <c r="F2556" s="1" t="s">
        <v>80</v>
      </c>
      <c r="I2556" s="1" t="n">
        <v>4299</v>
      </c>
      <c r="J2556" s="1" t="n">
        <v>100013</v>
      </c>
      <c r="K2556" s="1" t="n">
        <v>14</v>
      </c>
      <c r="L2556" s="1" t="s">
        <v>2442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5" t="n">
        <v>46195</v>
      </c>
      <c r="C2557" s="1" t="n">
        <v>22</v>
      </c>
      <c r="D2557" s="1" t="s">
        <v>2436</v>
      </c>
      <c r="E2557" s="1" t="n">
        <v>42</v>
      </c>
      <c r="F2557" s="1" t="s">
        <v>80</v>
      </c>
      <c r="I2557" s="1" t="n">
        <v>4299</v>
      </c>
      <c r="J2557" s="1" t="n">
        <v>100014</v>
      </c>
      <c r="K2557" s="1" t="n">
        <v>15</v>
      </c>
      <c r="L2557" s="1" t="s">
        <v>2443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5" t="n">
        <v>46195</v>
      </c>
      <c r="C2558" s="1" t="n">
        <v>22</v>
      </c>
      <c r="D2558" s="1" t="s">
        <v>2436</v>
      </c>
      <c r="E2558" s="1" t="n">
        <v>42</v>
      </c>
      <c r="F2558" s="1" t="s">
        <v>80</v>
      </c>
      <c r="I2558" s="1" t="n">
        <v>4299</v>
      </c>
      <c r="J2558" s="1" t="n">
        <v>100015</v>
      </c>
      <c r="K2558" s="1" t="n">
        <v>16</v>
      </c>
      <c r="L2558" s="1" t="s">
        <v>2444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5" t="n">
        <v>46195</v>
      </c>
      <c r="C2559" s="1" t="n">
        <v>22</v>
      </c>
      <c r="D2559" s="1" t="s">
        <v>2436</v>
      </c>
      <c r="E2559" s="1" t="n">
        <v>42</v>
      </c>
      <c r="F2559" s="1" t="s">
        <v>80</v>
      </c>
      <c r="I2559" s="1" t="n">
        <v>4299</v>
      </c>
      <c r="J2559" s="1" t="n">
        <v>100016</v>
      </c>
      <c r="K2559" s="1" t="n">
        <v>17</v>
      </c>
      <c r="L2559" s="1" t="s">
        <v>2445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5" t="n">
        <v>46195</v>
      </c>
      <c r="C2560" s="1" t="n">
        <v>22</v>
      </c>
      <c r="D2560" s="1" t="s">
        <v>2436</v>
      </c>
      <c r="E2560" s="1" t="n">
        <v>42</v>
      </c>
      <c r="F2560" s="1" t="s">
        <v>80</v>
      </c>
      <c r="I2560" s="1" t="n">
        <v>4299</v>
      </c>
      <c r="J2560" s="1" t="n">
        <v>100017</v>
      </c>
      <c r="K2560" s="1" t="n">
        <v>18</v>
      </c>
      <c r="L2560" s="1" t="s">
        <v>2446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5" t="n">
        <v>46195</v>
      </c>
      <c r="C2561" s="1" t="n">
        <v>22</v>
      </c>
      <c r="D2561" s="1" t="s">
        <v>2436</v>
      </c>
      <c r="E2561" s="1" t="n">
        <v>42</v>
      </c>
      <c r="F2561" s="1" t="s">
        <v>80</v>
      </c>
      <c r="I2561" s="1" t="n">
        <v>4299</v>
      </c>
      <c r="J2561" s="1" t="n">
        <v>100021</v>
      </c>
      <c r="K2561" s="1" t="n">
        <v>22</v>
      </c>
      <c r="L2561" s="1" t="s">
        <v>3564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5" t="n">
        <v>46195</v>
      </c>
      <c r="C2562" s="1" t="n">
        <v>22</v>
      </c>
      <c r="D2562" s="1" t="s">
        <v>2436</v>
      </c>
      <c r="E2562" s="1" t="n">
        <v>42</v>
      </c>
      <c r="F2562" s="1" t="s">
        <v>80</v>
      </c>
      <c r="I2562" s="1" t="n">
        <v>4299</v>
      </c>
      <c r="J2562" s="1" t="n">
        <v>100053</v>
      </c>
      <c r="K2562" s="1" t="n">
        <v>54</v>
      </c>
      <c r="L2562" s="1" t="s">
        <v>2447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5" t="n">
        <v>46195</v>
      </c>
      <c r="C2563" s="1" t="n">
        <v>22</v>
      </c>
      <c r="D2563" s="1" t="s">
        <v>2436</v>
      </c>
      <c r="E2563" s="1" t="n">
        <v>42</v>
      </c>
      <c r="F2563" s="1" t="s">
        <v>80</v>
      </c>
      <c r="I2563" s="1" t="n">
        <v>4299</v>
      </c>
      <c r="J2563" s="1" t="n">
        <v>100638</v>
      </c>
      <c r="K2563" s="1" t="n">
        <v>508</v>
      </c>
      <c r="L2563" s="1" t="s">
        <v>2448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5" t="n">
        <v>46195</v>
      </c>
      <c r="C2564" s="1" t="n">
        <v>22</v>
      </c>
      <c r="D2564" s="1" t="s">
        <v>2436</v>
      </c>
      <c r="E2564" s="1" t="n">
        <v>42</v>
      </c>
      <c r="F2564" s="1" t="s">
        <v>80</v>
      </c>
      <c r="I2564" s="1" t="n">
        <v>4299</v>
      </c>
      <c r="J2564" s="1" t="n">
        <v>100638</v>
      </c>
      <c r="K2564" s="1" t="n">
        <v>508</v>
      </c>
      <c r="L2564" s="1" t="s">
        <v>2448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5" t="n">
        <v>46195</v>
      </c>
      <c r="C2565" s="1" t="n">
        <v>22</v>
      </c>
      <c r="D2565" s="1" t="s">
        <v>2436</v>
      </c>
      <c r="E2565" s="1" t="n">
        <v>42</v>
      </c>
      <c r="F2565" s="1" t="s">
        <v>80</v>
      </c>
      <c r="I2565" s="1" t="n">
        <v>4299</v>
      </c>
      <c r="J2565" s="1" t="n">
        <v>100520</v>
      </c>
      <c r="K2565" s="1" t="n">
        <v>507</v>
      </c>
      <c r="L2565" s="1" t="s">
        <v>2449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5" t="n">
        <v>46195</v>
      </c>
      <c r="C2566" s="1" t="n">
        <v>22</v>
      </c>
      <c r="D2566" s="1" t="s">
        <v>2436</v>
      </c>
      <c r="E2566" s="1" t="n">
        <v>42</v>
      </c>
      <c r="F2566" s="1" t="s">
        <v>80</v>
      </c>
      <c r="I2566" s="1" t="n">
        <v>4299</v>
      </c>
      <c r="J2566" s="1" t="n">
        <v>100520</v>
      </c>
      <c r="K2566" s="1" t="n">
        <v>507</v>
      </c>
      <c r="L2566" s="1" t="s">
        <v>2449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5" t="n">
        <v>46195</v>
      </c>
      <c r="C2567" s="1" t="n">
        <v>22</v>
      </c>
      <c r="D2567" s="1" t="s">
        <v>2436</v>
      </c>
      <c r="E2567" s="1" t="n">
        <v>42</v>
      </c>
      <c r="F2567" s="1" t="s">
        <v>80</v>
      </c>
      <c r="I2567" s="1" t="n">
        <v>4299</v>
      </c>
      <c r="J2567" s="1" t="n">
        <v>110455</v>
      </c>
      <c r="K2567" s="1" t="n">
        <v>53212</v>
      </c>
      <c r="L2567" s="1" t="s">
        <v>2450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5" t="n">
        <v>46195</v>
      </c>
      <c r="C2568" s="1" t="n">
        <v>22</v>
      </c>
      <c r="D2568" s="1" t="s">
        <v>2436</v>
      </c>
      <c r="E2568" s="1" t="n">
        <v>42</v>
      </c>
      <c r="F2568" s="1" t="s">
        <v>80</v>
      </c>
      <c r="I2568" s="1" t="n">
        <v>4299</v>
      </c>
      <c r="J2568" s="1" t="n">
        <v>110455</v>
      </c>
      <c r="K2568" s="1" t="n">
        <v>53212</v>
      </c>
      <c r="L2568" s="1" t="s">
        <v>2450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5" t="n">
        <v>46195</v>
      </c>
      <c r="C2569" s="1" t="n">
        <v>100</v>
      </c>
      <c r="D2569" s="1" t="s">
        <v>2457</v>
      </c>
      <c r="E2569" s="1" t="n">
        <v>42</v>
      </c>
      <c r="F2569" s="1" t="s">
        <v>80</v>
      </c>
      <c r="I2569" s="1" t="n">
        <v>1289510</v>
      </c>
      <c r="J2569" s="1" t="n">
        <v>100004</v>
      </c>
      <c r="K2569" s="1" t="n">
        <v>5</v>
      </c>
      <c r="L2569" s="1" t="s">
        <v>2667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5" t="n">
        <v>46195</v>
      </c>
      <c r="C2570" s="1" t="n">
        <v>100</v>
      </c>
      <c r="D2570" s="1" t="s">
        <v>2457</v>
      </c>
      <c r="E2570" s="1" t="n">
        <v>42</v>
      </c>
      <c r="F2570" s="1" t="s">
        <v>80</v>
      </c>
      <c r="I2570" s="1" t="n">
        <v>1289510</v>
      </c>
      <c r="J2570" s="1" t="n">
        <v>100020</v>
      </c>
      <c r="K2570" s="1" t="n">
        <v>21</v>
      </c>
      <c r="L2570" s="1" t="s">
        <v>2456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5" t="n">
        <v>46195</v>
      </c>
      <c r="C2571" s="1" t="n">
        <v>100</v>
      </c>
      <c r="D2571" s="1" t="s">
        <v>2457</v>
      </c>
      <c r="E2571" s="1" t="n">
        <v>42</v>
      </c>
      <c r="F2571" s="1" t="s">
        <v>80</v>
      </c>
      <c r="I2571" s="1" t="n">
        <v>1289510</v>
      </c>
      <c r="J2571" s="1" t="n">
        <v>100638</v>
      </c>
      <c r="K2571" s="1" t="n">
        <v>508</v>
      </c>
      <c r="L2571" s="1" t="s">
        <v>2448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5" t="n">
        <v>46195</v>
      </c>
      <c r="C2572" s="1" t="n">
        <v>100</v>
      </c>
      <c r="D2572" s="1" t="s">
        <v>2457</v>
      </c>
      <c r="E2572" s="1" t="n">
        <v>42</v>
      </c>
      <c r="F2572" s="1" t="s">
        <v>80</v>
      </c>
      <c r="I2572" s="1" t="n">
        <v>1289510</v>
      </c>
      <c r="J2572" s="1" t="n">
        <v>110455</v>
      </c>
      <c r="K2572" s="1" t="n">
        <v>53212</v>
      </c>
      <c r="L2572" s="1" t="s">
        <v>2450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5" t="n">
        <v>46195</v>
      </c>
      <c r="C2573" s="1" t="n">
        <v>100</v>
      </c>
      <c r="D2573" s="1" t="s">
        <v>2457</v>
      </c>
      <c r="E2573" s="1" t="n">
        <v>42</v>
      </c>
      <c r="F2573" s="1" t="s">
        <v>80</v>
      </c>
      <c r="I2573" s="1" t="n">
        <v>1289512</v>
      </c>
      <c r="J2573" s="1" t="n">
        <v>100000</v>
      </c>
      <c r="K2573" s="1" t="n">
        <v>1</v>
      </c>
      <c r="L2573" s="1" t="s">
        <v>2451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5" t="n">
        <v>46195</v>
      </c>
      <c r="C2574" s="1" t="n">
        <v>100</v>
      </c>
      <c r="D2574" s="1" t="s">
        <v>2457</v>
      </c>
      <c r="E2574" s="1" t="n">
        <v>42</v>
      </c>
      <c r="F2574" s="1" t="s">
        <v>80</v>
      </c>
      <c r="I2574" s="1" t="n">
        <v>1289512</v>
      </c>
      <c r="J2574" s="1" t="n">
        <v>100001</v>
      </c>
      <c r="K2574" s="1" t="n">
        <v>2</v>
      </c>
      <c r="L2574" s="1" t="s">
        <v>2452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5" t="n">
        <v>46195</v>
      </c>
      <c r="C2575" s="1" t="n">
        <v>100</v>
      </c>
      <c r="D2575" s="1" t="s">
        <v>2457</v>
      </c>
      <c r="E2575" s="1" t="n">
        <v>42</v>
      </c>
      <c r="F2575" s="1" t="s">
        <v>80</v>
      </c>
      <c r="I2575" s="1" t="n">
        <v>1289512</v>
      </c>
      <c r="J2575" s="1" t="n">
        <v>100002</v>
      </c>
      <c r="K2575" s="1" t="n">
        <v>3</v>
      </c>
      <c r="L2575" s="1" t="s">
        <v>2453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5" t="n">
        <v>46195</v>
      </c>
      <c r="C2576" s="1" t="n">
        <v>100</v>
      </c>
      <c r="D2576" s="1" t="s">
        <v>2457</v>
      </c>
      <c r="E2576" s="1" t="n">
        <v>42</v>
      </c>
      <c r="F2576" s="1" t="s">
        <v>80</v>
      </c>
      <c r="I2576" s="1" t="n">
        <v>1289512</v>
      </c>
      <c r="J2576" s="1" t="n">
        <v>100003</v>
      </c>
      <c r="K2576" s="1" t="n">
        <v>4</v>
      </c>
      <c r="L2576" s="1" t="s">
        <v>2454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5" t="n">
        <v>46195</v>
      </c>
      <c r="C2577" s="1" t="n">
        <v>100</v>
      </c>
      <c r="D2577" s="1" t="s">
        <v>2457</v>
      </c>
      <c r="E2577" s="1" t="n">
        <v>42</v>
      </c>
      <c r="F2577" s="1" t="s">
        <v>80</v>
      </c>
      <c r="I2577" s="1" t="n">
        <v>1289512</v>
      </c>
      <c r="J2577" s="1" t="n">
        <v>100007</v>
      </c>
      <c r="K2577" s="1" t="n">
        <v>8</v>
      </c>
      <c r="L2577" s="1" t="s">
        <v>2455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5" t="n">
        <v>46195</v>
      </c>
      <c r="C2578" s="1" t="n">
        <v>100</v>
      </c>
      <c r="D2578" s="1" t="s">
        <v>2457</v>
      </c>
      <c r="E2578" s="1" t="n">
        <v>42</v>
      </c>
      <c r="F2578" s="1" t="s">
        <v>80</v>
      </c>
      <c r="I2578" s="1" t="n">
        <v>1289512</v>
      </c>
      <c r="J2578" s="1" t="n">
        <v>100638</v>
      </c>
      <c r="K2578" s="1" t="n">
        <v>508</v>
      </c>
      <c r="L2578" s="1" t="s">
        <v>2448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5" t="n">
        <v>46195</v>
      </c>
      <c r="C2579" s="1" t="n">
        <v>100</v>
      </c>
      <c r="D2579" s="1" t="s">
        <v>2457</v>
      </c>
      <c r="E2579" s="1" t="n">
        <v>42</v>
      </c>
      <c r="F2579" s="1" t="s">
        <v>80</v>
      </c>
      <c r="I2579" s="1" t="n">
        <v>1289512</v>
      </c>
      <c r="J2579" s="1" t="n">
        <v>100520</v>
      </c>
      <c r="K2579" s="1" t="n">
        <v>507</v>
      </c>
      <c r="L2579" s="1" t="s">
        <v>2449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5" t="n">
        <v>46195</v>
      </c>
      <c r="C2580" s="1" t="n">
        <v>100</v>
      </c>
      <c r="D2580" s="1" t="s">
        <v>2457</v>
      </c>
      <c r="E2580" s="1" t="n">
        <v>42</v>
      </c>
      <c r="F2580" s="1" t="s">
        <v>80</v>
      </c>
      <c r="I2580" s="1" t="n">
        <v>1289512</v>
      </c>
      <c r="J2580" s="1" t="n">
        <v>110455</v>
      </c>
      <c r="K2580" s="1" t="n">
        <v>53212</v>
      </c>
      <c r="L2580" s="1" t="s">
        <v>2450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5" t="n">
        <v>46195</v>
      </c>
      <c r="C2581" s="1" t="n">
        <v>100</v>
      </c>
      <c r="D2581" s="1" t="s">
        <v>2457</v>
      </c>
      <c r="E2581" s="1" t="n">
        <v>42</v>
      </c>
      <c r="F2581" s="1" t="s">
        <v>80</v>
      </c>
      <c r="I2581" s="1" t="n">
        <v>1289517</v>
      </c>
      <c r="J2581" s="1" t="n">
        <v>100000</v>
      </c>
      <c r="K2581" s="1" t="n">
        <v>1</v>
      </c>
      <c r="L2581" s="1" t="s">
        <v>2451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5" t="n">
        <v>46195</v>
      </c>
      <c r="C2582" s="1" t="n">
        <v>100</v>
      </c>
      <c r="D2582" s="1" t="s">
        <v>2457</v>
      </c>
      <c r="E2582" s="1" t="n">
        <v>42</v>
      </c>
      <c r="F2582" s="1" t="s">
        <v>80</v>
      </c>
      <c r="I2582" s="1" t="n">
        <v>1289517</v>
      </c>
      <c r="J2582" s="1" t="n">
        <v>100006</v>
      </c>
      <c r="K2582" s="1" t="n">
        <v>7</v>
      </c>
      <c r="L2582" s="1" t="s">
        <v>2437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5" t="n">
        <v>46195</v>
      </c>
      <c r="C2583" s="1" t="n">
        <v>100</v>
      </c>
      <c r="D2583" s="1" t="s">
        <v>2457</v>
      </c>
      <c r="E2583" s="1" t="n">
        <v>42</v>
      </c>
      <c r="F2583" s="1" t="s">
        <v>80</v>
      </c>
      <c r="I2583" s="1" t="n">
        <v>1289517</v>
      </c>
      <c r="J2583" s="1" t="n">
        <v>100008</v>
      </c>
      <c r="K2583" s="1" t="n">
        <v>9</v>
      </c>
      <c r="L2583" s="1" t="s">
        <v>2438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5" t="n">
        <v>46195</v>
      </c>
      <c r="C2584" s="1" t="n">
        <v>100</v>
      </c>
      <c r="D2584" s="1" t="s">
        <v>2457</v>
      </c>
      <c r="E2584" s="1" t="n">
        <v>42</v>
      </c>
      <c r="F2584" s="1" t="s">
        <v>80</v>
      </c>
      <c r="I2584" s="1" t="n">
        <v>1289517</v>
      </c>
      <c r="J2584" s="1" t="n">
        <v>100010</v>
      </c>
      <c r="K2584" s="1" t="n">
        <v>11</v>
      </c>
      <c r="L2584" s="1" t="s">
        <v>2439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5" t="n">
        <v>46195</v>
      </c>
      <c r="C2585" s="1" t="n">
        <v>100</v>
      </c>
      <c r="D2585" s="1" t="s">
        <v>2457</v>
      </c>
      <c r="E2585" s="1" t="n">
        <v>42</v>
      </c>
      <c r="F2585" s="1" t="s">
        <v>80</v>
      </c>
      <c r="I2585" s="1" t="n">
        <v>1289517</v>
      </c>
      <c r="J2585" s="1" t="n">
        <v>100011</v>
      </c>
      <c r="K2585" s="1" t="n">
        <v>12</v>
      </c>
      <c r="L2585" s="1" t="s">
        <v>2440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5" t="n">
        <v>46195</v>
      </c>
      <c r="C2586" s="1" t="n">
        <v>100</v>
      </c>
      <c r="D2586" s="1" t="s">
        <v>2457</v>
      </c>
      <c r="E2586" s="1" t="n">
        <v>42</v>
      </c>
      <c r="F2586" s="1" t="s">
        <v>80</v>
      </c>
      <c r="I2586" s="1" t="n">
        <v>1289517</v>
      </c>
      <c r="J2586" s="1" t="n">
        <v>100012</v>
      </c>
      <c r="K2586" s="1" t="n">
        <v>13</v>
      </c>
      <c r="L2586" s="1" t="s">
        <v>2441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5" t="n">
        <v>46195</v>
      </c>
      <c r="C2587" s="1" t="n">
        <v>100</v>
      </c>
      <c r="D2587" s="1" t="s">
        <v>2457</v>
      </c>
      <c r="E2587" s="1" t="n">
        <v>42</v>
      </c>
      <c r="F2587" s="1" t="s">
        <v>80</v>
      </c>
      <c r="I2587" s="1" t="n">
        <v>1289517</v>
      </c>
      <c r="J2587" s="1" t="n">
        <v>100013</v>
      </c>
      <c r="K2587" s="1" t="n">
        <v>14</v>
      </c>
      <c r="L2587" s="1" t="s">
        <v>2442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5" t="n">
        <v>46195</v>
      </c>
      <c r="C2588" s="1" t="n">
        <v>100</v>
      </c>
      <c r="D2588" s="1" t="s">
        <v>2457</v>
      </c>
      <c r="E2588" s="1" t="n">
        <v>42</v>
      </c>
      <c r="F2588" s="1" t="s">
        <v>80</v>
      </c>
      <c r="I2588" s="1" t="n">
        <v>1289517</v>
      </c>
      <c r="J2588" s="1" t="n">
        <v>100014</v>
      </c>
      <c r="K2588" s="1" t="n">
        <v>15</v>
      </c>
      <c r="L2588" s="1" t="s">
        <v>2443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5" t="n">
        <v>46195</v>
      </c>
      <c r="C2589" s="1" t="n">
        <v>100</v>
      </c>
      <c r="D2589" s="1" t="s">
        <v>2457</v>
      </c>
      <c r="E2589" s="1" t="n">
        <v>42</v>
      </c>
      <c r="F2589" s="1" t="s">
        <v>80</v>
      </c>
      <c r="I2589" s="1" t="n">
        <v>1289517</v>
      </c>
      <c r="J2589" s="1" t="n">
        <v>100015</v>
      </c>
      <c r="K2589" s="1" t="n">
        <v>16</v>
      </c>
      <c r="L2589" s="1" t="s">
        <v>2444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5" t="n">
        <v>46195</v>
      </c>
      <c r="C2590" s="1" t="n">
        <v>100</v>
      </c>
      <c r="D2590" s="1" t="s">
        <v>2457</v>
      </c>
      <c r="E2590" s="1" t="n">
        <v>42</v>
      </c>
      <c r="F2590" s="1" t="s">
        <v>80</v>
      </c>
      <c r="I2590" s="1" t="n">
        <v>1289517</v>
      </c>
      <c r="J2590" s="1" t="n">
        <v>100016</v>
      </c>
      <c r="K2590" s="1" t="n">
        <v>17</v>
      </c>
      <c r="L2590" s="1" t="s">
        <v>2445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5" t="n">
        <v>46195</v>
      </c>
      <c r="C2591" s="1" t="n">
        <v>100</v>
      </c>
      <c r="D2591" s="1" t="s">
        <v>2457</v>
      </c>
      <c r="E2591" s="1" t="n">
        <v>42</v>
      </c>
      <c r="F2591" s="1" t="s">
        <v>80</v>
      </c>
      <c r="I2591" s="1" t="n">
        <v>1289517</v>
      </c>
      <c r="J2591" s="1" t="n">
        <v>100017</v>
      </c>
      <c r="K2591" s="1" t="n">
        <v>18</v>
      </c>
      <c r="L2591" s="1" t="s">
        <v>2446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5" t="n">
        <v>46195</v>
      </c>
      <c r="C2592" s="1" t="n">
        <v>100</v>
      </c>
      <c r="D2592" s="1" t="s">
        <v>2457</v>
      </c>
      <c r="E2592" s="1" t="n">
        <v>42</v>
      </c>
      <c r="F2592" s="1" t="s">
        <v>80</v>
      </c>
      <c r="I2592" s="1" t="n">
        <v>1289517</v>
      </c>
      <c r="J2592" s="1" t="n">
        <v>100053</v>
      </c>
      <c r="K2592" s="1" t="n">
        <v>54</v>
      </c>
      <c r="L2592" s="1" t="s">
        <v>2447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5" t="n">
        <v>46195</v>
      </c>
      <c r="C2593" s="1" t="n">
        <v>100</v>
      </c>
      <c r="D2593" s="1" t="s">
        <v>2457</v>
      </c>
      <c r="E2593" s="1" t="n">
        <v>42</v>
      </c>
      <c r="F2593" s="1" t="s">
        <v>80</v>
      </c>
      <c r="I2593" s="1" t="n">
        <v>1289517</v>
      </c>
      <c r="J2593" s="1" t="n">
        <v>100638</v>
      </c>
      <c r="K2593" s="1" t="n">
        <v>508</v>
      </c>
      <c r="L2593" s="1" t="s">
        <v>2448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5" t="n">
        <v>46195</v>
      </c>
      <c r="C2594" s="1" t="n">
        <v>100</v>
      </c>
      <c r="D2594" s="1" t="s">
        <v>2457</v>
      </c>
      <c r="E2594" s="1" t="n">
        <v>42</v>
      </c>
      <c r="F2594" s="1" t="s">
        <v>80</v>
      </c>
      <c r="I2594" s="1" t="n">
        <v>1289517</v>
      </c>
      <c r="J2594" s="1" t="n">
        <v>100520</v>
      </c>
      <c r="K2594" s="1" t="n">
        <v>507</v>
      </c>
      <c r="L2594" s="1" t="s">
        <v>2449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5" t="n">
        <v>46195</v>
      </c>
      <c r="C2595" s="1" t="n">
        <v>100</v>
      </c>
      <c r="D2595" s="1" t="s">
        <v>2457</v>
      </c>
      <c r="E2595" s="1" t="n">
        <v>42</v>
      </c>
      <c r="F2595" s="1" t="s">
        <v>80</v>
      </c>
      <c r="I2595" s="1" t="n">
        <v>1289517</v>
      </c>
      <c r="J2595" s="1" t="n">
        <v>110455</v>
      </c>
      <c r="K2595" s="1" t="n">
        <v>53212</v>
      </c>
      <c r="L2595" s="1" t="s">
        <v>2450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5" t="n">
        <v>46195</v>
      </c>
      <c r="C2596" s="1" t="n">
        <v>100</v>
      </c>
      <c r="D2596" s="1" t="s">
        <v>2457</v>
      </c>
      <c r="E2596" s="1" t="n">
        <v>42</v>
      </c>
      <c r="F2596" s="1" t="s">
        <v>80</v>
      </c>
      <c r="I2596" s="1" t="n">
        <v>1290666</v>
      </c>
      <c r="J2596" s="1" t="n">
        <v>100000</v>
      </c>
      <c r="K2596" s="1" t="n">
        <v>1</v>
      </c>
      <c r="L2596" s="1" t="s">
        <v>2451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5" t="n">
        <v>46195</v>
      </c>
      <c r="C2597" s="1" t="n">
        <v>100</v>
      </c>
      <c r="D2597" s="1" t="s">
        <v>2457</v>
      </c>
      <c r="E2597" s="1" t="n">
        <v>42</v>
      </c>
      <c r="F2597" s="1" t="s">
        <v>80</v>
      </c>
      <c r="I2597" s="1" t="n">
        <v>1290666</v>
      </c>
      <c r="J2597" s="1" t="n">
        <v>100006</v>
      </c>
      <c r="K2597" s="1" t="n">
        <v>7</v>
      </c>
      <c r="L2597" s="1" t="s">
        <v>2437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5" t="n">
        <v>46195</v>
      </c>
      <c r="C2598" s="1" t="n">
        <v>100</v>
      </c>
      <c r="D2598" s="1" t="s">
        <v>2457</v>
      </c>
      <c r="E2598" s="1" t="n">
        <v>42</v>
      </c>
      <c r="F2598" s="1" t="s">
        <v>80</v>
      </c>
      <c r="I2598" s="1" t="n">
        <v>1290666</v>
      </c>
      <c r="J2598" s="1" t="n">
        <v>100008</v>
      </c>
      <c r="K2598" s="1" t="n">
        <v>9</v>
      </c>
      <c r="L2598" s="1" t="s">
        <v>2438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5" t="n">
        <v>46195</v>
      </c>
      <c r="C2599" s="1" t="n">
        <v>100</v>
      </c>
      <c r="D2599" s="1" t="s">
        <v>2457</v>
      </c>
      <c r="E2599" s="1" t="n">
        <v>42</v>
      </c>
      <c r="F2599" s="1" t="s">
        <v>80</v>
      </c>
      <c r="I2599" s="1" t="n">
        <v>1290666</v>
      </c>
      <c r="J2599" s="1" t="n">
        <v>100010</v>
      </c>
      <c r="K2599" s="1" t="n">
        <v>11</v>
      </c>
      <c r="L2599" s="1" t="s">
        <v>2439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5" t="n">
        <v>46195</v>
      </c>
      <c r="C2600" s="1" t="n">
        <v>100</v>
      </c>
      <c r="D2600" s="1" t="s">
        <v>2457</v>
      </c>
      <c r="E2600" s="1" t="n">
        <v>42</v>
      </c>
      <c r="F2600" s="1" t="s">
        <v>80</v>
      </c>
      <c r="I2600" s="1" t="n">
        <v>1290666</v>
      </c>
      <c r="J2600" s="1" t="n">
        <v>100011</v>
      </c>
      <c r="K2600" s="1" t="n">
        <v>12</v>
      </c>
      <c r="L2600" s="1" t="s">
        <v>2440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5" t="n">
        <v>46195</v>
      </c>
      <c r="C2601" s="1" t="n">
        <v>100</v>
      </c>
      <c r="D2601" s="1" t="s">
        <v>2457</v>
      </c>
      <c r="E2601" s="1" t="n">
        <v>42</v>
      </c>
      <c r="F2601" s="1" t="s">
        <v>80</v>
      </c>
      <c r="I2601" s="1" t="n">
        <v>1290666</v>
      </c>
      <c r="J2601" s="1" t="n">
        <v>100012</v>
      </c>
      <c r="K2601" s="1" t="n">
        <v>13</v>
      </c>
      <c r="L2601" s="1" t="s">
        <v>2441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5" t="n">
        <v>46195</v>
      </c>
      <c r="C2602" s="1" t="n">
        <v>100</v>
      </c>
      <c r="D2602" s="1" t="s">
        <v>2457</v>
      </c>
      <c r="E2602" s="1" t="n">
        <v>42</v>
      </c>
      <c r="F2602" s="1" t="s">
        <v>80</v>
      </c>
      <c r="I2602" s="1" t="n">
        <v>1290666</v>
      </c>
      <c r="J2602" s="1" t="n">
        <v>100013</v>
      </c>
      <c r="K2602" s="1" t="n">
        <v>14</v>
      </c>
      <c r="L2602" s="1" t="s">
        <v>2442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5" t="n">
        <v>46195</v>
      </c>
      <c r="C2603" s="1" t="n">
        <v>100</v>
      </c>
      <c r="D2603" s="1" t="s">
        <v>2457</v>
      </c>
      <c r="E2603" s="1" t="n">
        <v>42</v>
      </c>
      <c r="F2603" s="1" t="s">
        <v>80</v>
      </c>
      <c r="I2603" s="1" t="n">
        <v>1290666</v>
      </c>
      <c r="J2603" s="1" t="n">
        <v>100014</v>
      </c>
      <c r="K2603" s="1" t="n">
        <v>15</v>
      </c>
      <c r="L2603" s="1" t="s">
        <v>2443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5" t="n">
        <v>46195</v>
      </c>
      <c r="C2604" s="1" t="n">
        <v>100</v>
      </c>
      <c r="D2604" s="1" t="s">
        <v>2457</v>
      </c>
      <c r="E2604" s="1" t="n">
        <v>42</v>
      </c>
      <c r="F2604" s="1" t="s">
        <v>80</v>
      </c>
      <c r="I2604" s="1" t="n">
        <v>1290666</v>
      </c>
      <c r="J2604" s="1" t="n">
        <v>100015</v>
      </c>
      <c r="K2604" s="1" t="n">
        <v>16</v>
      </c>
      <c r="L2604" s="1" t="s">
        <v>2444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5" t="n">
        <v>46195</v>
      </c>
      <c r="C2605" s="1" t="n">
        <v>100</v>
      </c>
      <c r="D2605" s="1" t="s">
        <v>2457</v>
      </c>
      <c r="E2605" s="1" t="n">
        <v>42</v>
      </c>
      <c r="F2605" s="1" t="s">
        <v>80</v>
      </c>
      <c r="I2605" s="1" t="n">
        <v>1290666</v>
      </c>
      <c r="J2605" s="1" t="n">
        <v>100016</v>
      </c>
      <c r="K2605" s="1" t="n">
        <v>17</v>
      </c>
      <c r="L2605" s="1" t="s">
        <v>2445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5" t="n">
        <v>46195</v>
      </c>
      <c r="C2606" s="1" t="n">
        <v>100</v>
      </c>
      <c r="D2606" s="1" t="s">
        <v>2457</v>
      </c>
      <c r="E2606" s="1" t="n">
        <v>42</v>
      </c>
      <c r="F2606" s="1" t="s">
        <v>80</v>
      </c>
      <c r="I2606" s="1" t="n">
        <v>1290666</v>
      </c>
      <c r="J2606" s="1" t="n">
        <v>100017</v>
      </c>
      <c r="K2606" s="1" t="n">
        <v>18</v>
      </c>
      <c r="L2606" s="1" t="s">
        <v>2446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5" t="n">
        <v>46195</v>
      </c>
      <c r="C2607" s="1" t="n">
        <v>100</v>
      </c>
      <c r="D2607" s="1" t="s">
        <v>2457</v>
      </c>
      <c r="E2607" s="1" t="n">
        <v>42</v>
      </c>
      <c r="F2607" s="1" t="s">
        <v>80</v>
      </c>
      <c r="I2607" s="1" t="n">
        <v>1290666</v>
      </c>
      <c r="J2607" s="1" t="n">
        <v>100053</v>
      </c>
      <c r="K2607" s="1" t="n">
        <v>54</v>
      </c>
      <c r="L2607" s="1" t="s">
        <v>2447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5" t="n">
        <v>46195</v>
      </c>
      <c r="C2608" s="1" t="n">
        <v>100</v>
      </c>
      <c r="D2608" s="1" t="s">
        <v>2457</v>
      </c>
      <c r="E2608" s="1" t="n">
        <v>42</v>
      </c>
      <c r="F2608" s="1" t="s">
        <v>80</v>
      </c>
      <c r="I2608" s="1" t="n">
        <v>1290666</v>
      </c>
      <c r="J2608" s="1" t="n">
        <v>100638</v>
      </c>
      <c r="K2608" s="1" t="n">
        <v>508</v>
      </c>
      <c r="L2608" s="1" t="s">
        <v>2448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5" t="n">
        <v>46195</v>
      </c>
      <c r="C2609" s="1" t="n">
        <v>100</v>
      </c>
      <c r="D2609" s="1" t="s">
        <v>2457</v>
      </c>
      <c r="E2609" s="1" t="n">
        <v>42</v>
      </c>
      <c r="F2609" s="1" t="s">
        <v>80</v>
      </c>
      <c r="I2609" s="1" t="n">
        <v>1290666</v>
      </c>
      <c r="J2609" s="1" t="n">
        <v>100520</v>
      </c>
      <c r="K2609" s="1" t="n">
        <v>507</v>
      </c>
      <c r="L2609" s="1" t="s">
        <v>2449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5" t="n">
        <v>46195</v>
      </c>
      <c r="C2610" s="1" t="n">
        <v>100</v>
      </c>
      <c r="D2610" s="1" t="s">
        <v>2457</v>
      </c>
      <c r="E2610" s="1" t="n">
        <v>42</v>
      </c>
      <c r="F2610" s="1" t="s">
        <v>80</v>
      </c>
      <c r="I2610" s="1" t="n">
        <v>1290666</v>
      </c>
      <c r="J2610" s="1" t="n">
        <v>110455</v>
      </c>
      <c r="K2610" s="1" t="n">
        <v>53212</v>
      </c>
      <c r="L2610" s="1" t="s">
        <v>2450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5" t="n">
        <v>46195</v>
      </c>
      <c r="C2611" s="1" t="n">
        <v>100</v>
      </c>
      <c r="D2611" s="1" t="s">
        <v>2457</v>
      </c>
      <c r="E2611" s="1" t="n">
        <v>42</v>
      </c>
      <c r="F2611" s="1" t="s">
        <v>80</v>
      </c>
      <c r="I2611" s="1" t="n">
        <v>1290670</v>
      </c>
      <c r="J2611" s="1" t="n">
        <v>100006</v>
      </c>
      <c r="K2611" s="1" t="n">
        <v>7</v>
      </c>
      <c r="L2611" s="1" t="s">
        <v>2437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5" t="n">
        <v>46195</v>
      </c>
      <c r="C2612" s="1" t="n">
        <v>100</v>
      </c>
      <c r="D2612" s="1" t="s">
        <v>2457</v>
      </c>
      <c r="E2612" s="1" t="n">
        <v>42</v>
      </c>
      <c r="F2612" s="1" t="s">
        <v>80</v>
      </c>
      <c r="I2612" s="1" t="n">
        <v>1290670</v>
      </c>
      <c r="J2612" s="1" t="n">
        <v>100008</v>
      </c>
      <c r="K2612" s="1" t="n">
        <v>9</v>
      </c>
      <c r="L2612" s="1" t="s">
        <v>2438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5" t="n">
        <v>46195</v>
      </c>
      <c r="C2613" s="1" t="n">
        <v>100</v>
      </c>
      <c r="D2613" s="1" t="s">
        <v>2457</v>
      </c>
      <c r="E2613" s="1" t="n">
        <v>42</v>
      </c>
      <c r="F2613" s="1" t="s">
        <v>80</v>
      </c>
      <c r="I2613" s="1" t="n">
        <v>1290670</v>
      </c>
      <c r="J2613" s="1" t="n">
        <v>100010</v>
      </c>
      <c r="K2613" s="1" t="n">
        <v>11</v>
      </c>
      <c r="L2613" s="1" t="s">
        <v>2439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5" t="n">
        <v>46195</v>
      </c>
      <c r="C2614" s="1" t="n">
        <v>100</v>
      </c>
      <c r="D2614" s="1" t="s">
        <v>2457</v>
      </c>
      <c r="E2614" s="1" t="n">
        <v>42</v>
      </c>
      <c r="F2614" s="1" t="s">
        <v>80</v>
      </c>
      <c r="I2614" s="1" t="n">
        <v>1290670</v>
      </c>
      <c r="J2614" s="1" t="n">
        <v>100011</v>
      </c>
      <c r="K2614" s="1" t="n">
        <v>12</v>
      </c>
      <c r="L2614" s="1" t="s">
        <v>2440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5" t="n">
        <v>46195</v>
      </c>
      <c r="C2615" s="1" t="n">
        <v>100</v>
      </c>
      <c r="D2615" s="1" t="s">
        <v>2457</v>
      </c>
      <c r="E2615" s="1" t="n">
        <v>42</v>
      </c>
      <c r="F2615" s="1" t="s">
        <v>80</v>
      </c>
      <c r="I2615" s="1" t="n">
        <v>1290670</v>
      </c>
      <c r="J2615" s="1" t="n">
        <v>100012</v>
      </c>
      <c r="K2615" s="1" t="n">
        <v>13</v>
      </c>
      <c r="L2615" s="1" t="s">
        <v>2441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5" t="n">
        <v>46195</v>
      </c>
      <c r="C2616" s="1" t="n">
        <v>100</v>
      </c>
      <c r="D2616" s="1" t="s">
        <v>2457</v>
      </c>
      <c r="E2616" s="1" t="n">
        <v>42</v>
      </c>
      <c r="F2616" s="1" t="s">
        <v>80</v>
      </c>
      <c r="I2616" s="1" t="n">
        <v>1290670</v>
      </c>
      <c r="J2616" s="1" t="n">
        <v>100013</v>
      </c>
      <c r="K2616" s="1" t="n">
        <v>14</v>
      </c>
      <c r="L2616" s="1" t="s">
        <v>2442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5" t="n">
        <v>46195</v>
      </c>
      <c r="C2617" s="1" t="n">
        <v>100</v>
      </c>
      <c r="D2617" s="1" t="s">
        <v>2457</v>
      </c>
      <c r="E2617" s="1" t="n">
        <v>42</v>
      </c>
      <c r="F2617" s="1" t="s">
        <v>80</v>
      </c>
      <c r="I2617" s="1" t="n">
        <v>1290670</v>
      </c>
      <c r="J2617" s="1" t="n">
        <v>100014</v>
      </c>
      <c r="K2617" s="1" t="n">
        <v>15</v>
      </c>
      <c r="L2617" s="1" t="s">
        <v>2443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5" t="n">
        <v>46195</v>
      </c>
      <c r="C2618" s="1" t="n">
        <v>100</v>
      </c>
      <c r="D2618" s="1" t="s">
        <v>2457</v>
      </c>
      <c r="E2618" s="1" t="n">
        <v>42</v>
      </c>
      <c r="F2618" s="1" t="s">
        <v>80</v>
      </c>
      <c r="I2618" s="1" t="n">
        <v>1290670</v>
      </c>
      <c r="J2618" s="1" t="n">
        <v>100015</v>
      </c>
      <c r="K2618" s="1" t="n">
        <v>16</v>
      </c>
      <c r="L2618" s="1" t="s">
        <v>2444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5" t="n">
        <v>46195</v>
      </c>
      <c r="C2619" s="1" t="n">
        <v>100</v>
      </c>
      <c r="D2619" s="1" t="s">
        <v>2457</v>
      </c>
      <c r="E2619" s="1" t="n">
        <v>42</v>
      </c>
      <c r="F2619" s="1" t="s">
        <v>80</v>
      </c>
      <c r="I2619" s="1" t="n">
        <v>1290670</v>
      </c>
      <c r="J2619" s="1" t="n">
        <v>100016</v>
      </c>
      <c r="K2619" s="1" t="n">
        <v>17</v>
      </c>
      <c r="L2619" s="1" t="s">
        <v>2445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5" t="n">
        <v>46195</v>
      </c>
      <c r="C2620" s="1" t="n">
        <v>100</v>
      </c>
      <c r="D2620" s="1" t="s">
        <v>2457</v>
      </c>
      <c r="E2620" s="1" t="n">
        <v>42</v>
      </c>
      <c r="F2620" s="1" t="s">
        <v>80</v>
      </c>
      <c r="I2620" s="1" t="n">
        <v>1290670</v>
      </c>
      <c r="J2620" s="1" t="n">
        <v>100017</v>
      </c>
      <c r="K2620" s="1" t="n">
        <v>18</v>
      </c>
      <c r="L2620" s="1" t="s">
        <v>2446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5" t="n">
        <v>46195</v>
      </c>
      <c r="C2621" s="1" t="n">
        <v>100</v>
      </c>
      <c r="D2621" s="1" t="s">
        <v>2457</v>
      </c>
      <c r="E2621" s="1" t="n">
        <v>42</v>
      </c>
      <c r="F2621" s="1" t="s">
        <v>80</v>
      </c>
      <c r="I2621" s="1" t="n">
        <v>1290670</v>
      </c>
      <c r="J2621" s="1" t="n">
        <v>100053</v>
      </c>
      <c r="K2621" s="1" t="n">
        <v>54</v>
      </c>
      <c r="L2621" s="1" t="s">
        <v>2447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5" t="n">
        <v>46195</v>
      </c>
      <c r="C2622" s="1" t="n">
        <v>100</v>
      </c>
      <c r="D2622" s="1" t="s">
        <v>2457</v>
      </c>
      <c r="E2622" s="1" t="n">
        <v>42</v>
      </c>
      <c r="F2622" s="1" t="s">
        <v>80</v>
      </c>
      <c r="I2622" s="1" t="n">
        <v>1290670</v>
      </c>
      <c r="J2622" s="1" t="n">
        <v>100638</v>
      </c>
      <c r="K2622" s="1" t="n">
        <v>508</v>
      </c>
      <c r="L2622" s="1" t="s">
        <v>2448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5" t="n">
        <v>46195</v>
      </c>
      <c r="C2623" s="1" t="n">
        <v>100</v>
      </c>
      <c r="D2623" s="1" t="s">
        <v>2457</v>
      </c>
      <c r="E2623" s="1" t="n">
        <v>42</v>
      </c>
      <c r="F2623" s="1" t="s">
        <v>80</v>
      </c>
      <c r="I2623" s="1" t="n">
        <v>1290670</v>
      </c>
      <c r="J2623" s="1" t="n">
        <v>100520</v>
      </c>
      <c r="K2623" s="1" t="n">
        <v>507</v>
      </c>
      <c r="L2623" s="1" t="s">
        <v>2449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5" t="n">
        <v>46195</v>
      </c>
      <c r="C2624" s="1" t="n">
        <v>100</v>
      </c>
      <c r="D2624" s="1" t="s">
        <v>2457</v>
      </c>
      <c r="E2624" s="1" t="n">
        <v>42</v>
      </c>
      <c r="F2624" s="1" t="s">
        <v>80</v>
      </c>
      <c r="I2624" s="1" t="n">
        <v>1290670</v>
      </c>
      <c r="J2624" s="1" t="n">
        <v>110455</v>
      </c>
      <c r="K2624" s="1" t="n">
        <v>53212</v>
      </c>
      <c r="L2624" s="1" t="s">
        <v>2450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5" t="n">
        <v>46195</v>
      </c>
      <c r="C2625" s="1" t="n">
        <v>100</v>
      </c>
      <c r="D2625" s="1" t="s">
        <v>2457</v>
      </c>
      <c r="E2625" s="1" t="n">
        <v>42</v>
      </c>
      <c r="F2625" s="1" t="s">
        <v>80</v>
      </c>
      <c r="I2625" s="1" t="n">
        <v>1290680</v>
      </c>
      <c r="J2625" s="1" t="n">
        <v>100006</v>
      </c>
      <c r="K2625" s="1" t="n">
        <v>7</v>
      </c>
      <c r="L2625" s="1" t="s">
        <v>2437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5" t="n">
        <v>46195</v>
      </c>
      <c r="C2626" s="1" t="n">
        <v>100</v>
      </c>
      <c r="D2626" s="1" t="s">
        <v>2457</v>
      </c>
      <c r="E2626" s="1" t="n">
        <v>42</v>
      </c>
      <c r="F2626" s="1" t="s">
        <v>80</v>
      </c>
      <c r="I2626" s="1" t="n">
        <v>1290680</v>
      </c>
      <c r="J2626" s="1" t="n">
        <v>100008</v>
      </c>
      <c r="K2626" s="1" t="n">
        <v>9</v>
      </c>
      <c r="L2626" s="1" t="s">
        <v>2438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5" t="n">
        <v>46195</v>
      </c>
      <c r="C2627" s="1" t="n">
        <v>100</v>
      </c>
      <c r="D2627" s="1" t="s">
        <v>2457</v>
      </c>
      <c r="E2627" s="1" t="n">
        <v>42</v>
      </c>
      <c r="F2627" s="1" t="s">
        <v>80</v>
      </c>
      <c r="I2627" s="1" t="n">
        <v>1290680</v>
      </c>
      <c r="J2627" s="1" t="n">
        <v>100010</v>
      </c>
      <c r="K2627" s="1" t="n">
        <v>11</v>
      </c>
      <c r="L2627" s="1" t="s">
        <v>2439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5" t="n">
        <v>46195</v>
      </c>
      <c r="C2628" s="1" t="n">
        <v>100</v>
      </c>
      <c r="D2628" s="1" t="s">
        <v>2457</v>
      </c>
      <c r="E2628" s="1" t="n">
        <v>42</v>
      </c>
      <c r="F2628" s="1" t="s">
        <v>80</v>
      </c>
      <c r="I2628" s="1" t="n">
        <v>1290680</v>
      </c>
      <c r="J2628" s="1" t="n">
        <v>100011</v>
      </c>
      <c r="K2628" s="1" t="n">
        <v>12</v>
      </c>
      <c r="L2628" s="1" t="s">
        <v>2440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5" t="n">
        <v>46195</v>
      </c>
      <c r="C2629" s="1" t="n">
        <v>100</v>
      </c>
      <c r="D2629" s="1" t="s">
        <v>2457</v>
      </c>
      <c r="E2629" s="1" t="n">
        <v>42</v>
      </c>
      <c r="F2629" s="1" t="s">
        <v>80</v>
      </c>
      <c r="I2629" s="1" t="n">
        <v>1290680</v>
      </c>
      <c r="J2629" s="1" t="n">
        <v>100012</v>
      </c>
      <c r="K2629" s="1" t="n">
        <v>13</v>
      </c>
      <c r="L2629" s="1" t="s">
        <v>2441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5" t="n">
        <v>46195</v>
      </c>
      <c r="C2630" s="1" t="n">
        <v>100</v>
      </c>
      <c r="D2630" s="1" t="s">
        <v>2457</v>
      </c>
      <c r="E2630" s="1" t="n">
        <v>42</v>
      </c>
      <c r="F2630" s="1" t="s">
        <v>80</v>
      </c>
      <c r="I2630" s="1" t="n">
        <v>1290680</v>
      </c>
      <c r="J2630" s="1" t="n">
        <v>100013</v>
      </c>
      <c r="K2630" s="1" t="n">
        <v>14</v>
      </c>
      <c r="L2630" s="1" t="s">
        <v>2442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5" t="n">
        <v>46195</v>
      </c>
      <c r="C2631" s="1" t="n">
        <v>100</v>
      </c>
      <c r="D2631" s="1" t="s">
        <v>2457</v>
      </c>
      <c r="E2631" s="1" t="n">
        <v>42</v>
      </c>
      <c r="F2631" s="1" t="s">
        <v>80</v>
      </c>
      <c r="I2631" s="1" t="n">
        <v>1290680</v>
      </c>
      <c r="J2631" s="1" t="n">
        <v>100014</v>
      </c>
      <c r="K2631" s="1" t="n">
        <v>15</v>
      </c>
      <c r="L2631" s="1" t="s">
        <v>2443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5" t="n">
        <v>46195</v>
      </c>
      <c r="C2632" s="1" t="n">
        <v>100</v>
      </c>
      <c r="D2632" s="1" t="s">
        <v>2457</v>
      </c>
      <c r="E2632" s="1" t="n">
        <v>42</v>
      </c>
      <c r="F2632" s="1" t="s">
        <v>80</v>
      </c>
      <c r="I2632" s="1" t="n">
        <v>1290680</v>
      </c>
      <c r="J2632" s="1" t="n">
        <v>100015</v>
      </c>
      <c r="K2632" s="1" t="n">
        <v>16</v>
      </c>
      <c r="L2632" s="1" t="s">
        <v>2444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5" t="n">
        <v>46195</v>
      </c>
      <c r="C2633" s="1" t="n">
        <v>100</v>
      </c>
      <c r="D2633" s="1" t="s">
        <v>2457</v>
      </c>
      <c r="E2633" s="1" t="n">
        <v>42</v>
      </c>
      <c r="F2633" s="1" t="s">
        <v>80</v>
      </c>
      <c r="I2633" s="1" t="n">
        <v>1290680</v>
      </c>
      <c r="J2633" s="1" t="n">
        <v>100016</v>
      </c>
      <c r="K2633" s="1" t="n">
        <v>17</v>
      </c>
      <c r="L2633" s="1" t="s">
        <v>2445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5" t="n">
        <v>46195</v>
      </c>
      <c r="C2634" s="1" t="n">
        <v>100</v>
      </c>
      <c r="D2634" s="1" t="s">
        <v>2457</v>
      </c>
      <c r="E2634" s="1" t="n">
        <v>42</v>
      </c>
      <c r="F2634" s="1" t="s">
        <v>80</v>
      </c>
      <c r="I2634" s="1" t="n">
        <v>1290680</v>
      </c>
      <c r="J2634" s="1" t="n">
        <v>100017</v>
      </c>
      <c r="K2634" s="1" t="n">
        <v>18</v>
      </c>
      <c r="L2634" s="1" t="s">
        <v>2446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5" t="n">
        <v>46195</v>
      </c>
      <c r="C2635" s="1" t="n">
        <v>100</v>
      </c>
      <c r="D2635" s="1" t="s">
        <v>2457</v>
      </c>
      <c r="E2635" s="1" t="n">
        <v>42</v>
      </c>
      <c r="F2635" s="1" t="s">
        <v>80</v>
      </c>
      <c r="I2635" s="1" t="n">
        <v>1290680</v>
      </c>
      <c r="J2635" s="1" t="n">
        <v>100053</v>
      </c>
      <c r="K2635" s="1" t="n">
        <v>54</v>
      </c>
      <c r="L2635" s="1" t="s">
        <v>2447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5" t="n">
        <v>46195</v>
      </c>
      <c r="C2636" s="1" t="n">
        <v>100</v>
      </c>
      <c r="D2636" s="1" t="s">
        <v>2457</v>
      </c>
      <c r="E2636" s="1" t="n">
        <v>42</v>
      </c>
      <c r="F2636" s="1" t="s">
        <v>80</v>
      </c>
      <c r="I2636" s="1" t="n">
        <v>1290680</v>
      </c>
      <c r="J2636" s="1" t="n">
        <v>100638</v>
      </c>
      <c r="K2636" s="1" t="n">
        <v>508</v>
      </c>
      <c r="L2636" s="1" t="s">
        <v>2448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5" t="n">
        <v>46195</v>
      </c>
      <c r="C2637" s="1" t="n">
        <v>100</v>
      </c>
      <c r="D2637" s="1" t="s">
        <v>2457</v>
      </c>
      <c r="E2637" s="1" t="n">
        <v>42</v>
      </c>
      <c r="F2637" s="1" t="s">
        <v>80</v>
      </c>
      <c r="I2637" s="1" t="n">
        <v>1290680</v>
      </c>
      <c r="J2637" s="1" t="n">
        <v>100520</v>
      </c>
      <c r="K2637" s="1" t="n">
        <v>507</v>
      </c>
      <c r="L2637" s="1" t="s">
        <v>2449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5" t="n">
        <v>46195</v>
      </c>
      <c r="C2638" s="1" t="n">
        <v>100</v>
      </c>
      <c r="D2638" s="1" t="s">
        <v>2457</v>
      </c>
      <c r="E2638" s="1" t="n">
        <v>42</v>
      </c>
      <c r="F2638" s="1" t="s">
        <v>80</v>
      </c>
      <c r="I2638" s="1" t="n">
        <v>1290680</v>
      </c>
      <c r="J2638" s="1" t="n">
        <v>110455</v>
      </c>
      <c r="K2638" s="1" t="n">
        <v>53212</v>
      </c>
      <c r="L2638" s="1" t="s">
        <v>2450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5" t="n">
        <v>46195</v>
      </c>
      <c r="C2639" s="1" t="n">
        <v>100</v>
      </c>
      <c r="D2639" s="1" t="s">
        <v>2457</v>
      </c>
      <c r="E2639" s="1" t="n">
        <v>42</v>
      </c>
      <c r="F2639" s="1" t="s">
        <v>80</v>
      </c>
      <c r="I2639" s="1" t="n">
        <v>1290690</v>
      </c>
      <c r="J2639" s="1" t="n">
        <v>100000</v>
      </c>
      <c r="K2639" s="1" t="n">
        <v>1</v>
      </c>
      <c r="L2639" s="1" t="s">
        <v>2451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5" t="n">
        <v>46195</v>
      </c>
      <c r="C2640" s="1" t="n">
        <v>100</v>
      </c>
      <c r="D2640" s="1" t="s">
        <v>2457</v>
      </c>
      <c r="E2640" s="1" t="n">
        <v>42</v>
      </c>
      <c r="F2640" s="1" t="s">
        <v>80</v>
      </c>
      <c r="I2640" s="1" t="n">
        <v>1290690</v>
      </c>
      <c r="J2640" s="1" t="n">
        <v>100002</v>
      </c>
      <c r="K2640" s="1" t="n">
        <v>3</v>
      </c>
      <c r="L2640" s="1" t="s">
        <v>2453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5" t="n">
        <v>46195</v>
      </c>
      <c r="C2641" s="1" t="n">
        <v>100</v>
      </c>
      <c r="D2641" s="1" t="s">
        <v>2457</v>
      </c>
      <c r="E2641" s="1" t="n">
        <v>42</v>
      </c>
      <c r="F2641" s="1" t="s">
        <v>80</v>
      </c>
      <c r="I2641" s="1" t="n">
        <v>1290690</v>
      </c>
      <c r="J2641" s="1" t="n">
        <v>100003</v>
      </c>
      <c r="K2641" s="1" t="n">
        <v>4</v>
      </c>
      <c r="L2641" s="1" t="s">
        <v>2454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5" t="n">
        <v>46195</v>
      </c>
      <c r="C2642" s="1" t="n">
        <v>100</v>
      </c>
      <c r="D2642" s="1" t="s">
        <v>2457</v>
      </c>
      <c r="E2642" s="1" t="n">
        <v>42</v>
      </c>
      <c r="F2642" s="1" t="s">
        <v>80</v>
      </c>
      <c r="I2642" s="1" t="n">
        <v>1290690</v>
      </c>
      <c r="J2642" s="1" t="n">
        <v>100004</v>
      </c>
      <c r="K2642" s="1" t="n">
        <v>5</v>
      </c>
      <c r="L2642" s="1" t="s">
        <v>2667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5" t="n">
        <v>46195</v>
      </c>
      <c r="C2643" s="1" t="n">
        <v>100</v>
      </c>
      <c r="D2643" s="1" t="s">
        <v>2457</v>
      </c>
      <c r="E2643" s="1" t="n">
        <v>42</v>
      </c>
      <c r="F2643" s="1" t="s">
        <v>80</v>
      </c>
      <c r="I2643" s="1" t="n">
        <v>1290690</v>
      </c>
      <c r="J2643" s="1" t="n">
        <v>100007</v>
      </c>
      <c r="K2643" s="1" t="n">
        <v>8</v>
      </c>
      <c r="L2643" s="1" t="s">
        <v>2455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5" t="n">
        <v>46195</v>
      </c>
      <c r="C2644" s="1" t="n">
        <v>100</v>
      </c>
      <c r="D2644" s="1" t="s">
        <v>2457</v>
      </c>
      <c r="E2644" s="1" t="n">
        <v>42</v>
      </c>
      <c r="F2644" s="1" t="s">
        <v>80</v>
      </c>
      <c r="I2644" s="1" t="n">
        <v>1290690</v>
      </c>
      <c r="J2644" s="1" t="n">
        <v>100021</v>
      </c>
      <c r="K2644" s="1" t="n">
        <v>22</v>
      </c>
      <c r="L2644" s="1" t="s">
        <v>3564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5" t="n">
        <v>46195</v>
      </c>
      <c r="C2645" s="1" t="n">
        <v>100</v>
      </c>
      <c r="D2645" s="1" t="s">
        <v>2457</v>
      </c>
      <c r="E2645" s="1" t="n">
        <v>42</v>
      </c>
      <c r="F2645" s="1" t="s">
        <v>80</v>
      </c>
      <c r="I2645" s="1" t="n">
        <v>1290690</v>
      </c>
      <c r="J2645" s="1" t="n">
        <v>100638</v>
      </c>
      <c r="K2645" s="1" t="n">
        <v>508</v>
      </c>
      <c r="L2645" s="1" t="s">
        <v>2448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5" t="n">
        <v>46195</v>
      </c>
      <c r="C2646" s="1" t="n">
        <v>100</v>
      </c>
      <c r="D2646" s="1" t="s">
        <v>2457</v>
      </c>
      <c r="E2646" s="1" t="n">
        <v>42</v>
      </c>
      <c r="F2646" s="1" t="s">
        <v>80</v>
      </c>
      <c r="I2646" s="1" t="n">
        <v>1290690</v>
      </c>
      <c r="J2646" s="1" t="n">
        <v>110455</v>
      </c>
      <c r="K2646" s="1" t="n">
        <v>53212</v>
      </c>
      <c r="L2646" s="1" t="s">
        <v>2450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5" t="n">
        <v>46195</v>
      </c>
      <c r="C2647" s="1" t="n">
        <v>100</v>
      </c>
      <c r="D2647" s="1" t="s">
        <v>2457</v>
      </c>
      <c r="E2647" s="1" t="n">
        <v>42</v>
      </c>
      <c r="F2647" s="1" t="s">
        <v>80</v>
      </c>
      <c r="I2647" s="1" t="n">
        <v>1290705</v>
      </c>
      <c r="J2647" s="1" t="n">
        <v>100000</v>
      </c>
      <c r="K2647" s="1" t="n">
        <v>1</v>
      </c>
      <c r="L2647" s="1" t="s">
        <v>2451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5" t="n">
        <v>46195</v>
      </c>
      <c r="C2648" s="1" t="n">
        <v>100</v>
      </c>
      <c r="D2648" s="1" t="s">
        <v>2457</v>
      </c>
      <c r="E2648" s="1" t="n">
        <v>42</v>
      </c>
      <c r="F2648" s="1" t="s">
        <v>80</v>
      </c>
      <c r="I2648" s="1" t="n">
        <v>1290705</v>
      </c>
      <c r="J2648" s="1" t="n">
        <v>100001</v>
      </c>
      <c r="K2648" s="1" t="n">
        <v>2</v>
      </c>
      <c r="L2648" s="1" t="s">
        <v>2452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5" t="n">
        <v>46195</v>
      </c>
      <c r="C2649" s="1" t="n">
        <v>100</v>
      </c>
      <c r="D2649" s="1" t="s">
        <v>2457</v>
      </c>
      <c r="E2649" s="1" t="n">
        <v>42</v>
      </c>
      <c r="F2649" s="1" t="s">
        <v>80</v>
      </c>
      <c r="I2649" s="1" t="n">
        <v>1290705</v>
      </c>
      <c r="J2649" s="1" t="n">
        <v>100002</v>
      </c>
      <c r="K2649" s="1" t="n">
        <v>3</v>
      </c>
      <c r="L2649" s="1" t="s">
        <v>2453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5" t="n">
        <v>46195</v>
      </c>
      <c r="C2650" s="1" t="n">
        <v>100</v>
      </c>
      <c r="D2650" s="1" t="s">
        <v>2457</v>
      </c>
      <c r="E2650" s="1" t="n">
        <v>42</v>
      </c>
      <c r="F2650" s="1" t="s">
        <v>80</v>
      </c>
      <c r="I2650" s="1" t="n">
        <v>1290705</v>
      </c>
      <c r="J2650" s="1" t="n">
        <v>100003</v>
      </c>
      <c r="K2650" s="1" t="n">
        <v>4</v>
      </c>
      <c r="L2650" s="1" t="s">
        <v>2454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5" t="n">
        <v>46195</v>
      </c>
      <c r="C2651" s="1" t="n">
        <v>100</v>
      </c>
      <c r="D2651" s="1" t="s">
        <v>2457</v>
      </c>
      <c r="E2651" s="1" t="n">
        <v>42</v>
      </c>
      <c r="F2651" s="1" t="s">
        <v>80</v>
      </c>
      <c r="I2651" s="1" t="n">
        <v>1290705</v>
      </c>
      <c r="J2651" s="1" t="n">
        <v>100638</v>
      </c>
      <c r="K2651" s="1" t="n">
        <v>508</v>
      </c>
      <c r="L2651" s="1" t="s">
        <v>2448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5" t="n">
        <v>46195</v>
      </c>
      <c r="C2652" s="1" t="n">
        <v>100</v>
      </c>
      <c r="D2652" s="1" t="s">
        <v>2457</v>
      </c>
      <c r="E2652" s="1" t="n">
        <v>42</v>
      </c>
      <c r="F2652" s="1" t="s">
        <v>80</v>
      </c>
      <c r="I2652" s="1" t="n">
        <v>1290705</v>
      </c>
      <c r="J2652" s="1" t="n">
        <v>100520</v>
      </c>
      <c r="K2652" s="1" t="n">
        <v>507</v>
      </c>
      <c r="L2652" s="1" t="s">
        <v>2449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5" t="n">
        <v>46195</v>
      </c>
      <c r="C2653" s="1" t="n">
        <v>100</v>
      </c>
      <c r="D2653" s="1" t="s">
        <v>2457</v>
      </c>
      <c r="E2653" s="1" t="n">
        <v>42</v>
      </c>
      <c r="F2653" s="1" t="s">
        <v>80</v>
      </c>
      <c r="I2653" s="1" t="n">
        <v>1290705</v>
      </c>
      <c r="J2653" s="1" t="n">
        <v>110455</v>
      </c>
      <c r="K2653" s="1" t="n">
        <v>53212</v>
      </c>
      <c r="L2653" s="1" t="s">
        <v>2450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5" t="n">
        <v>46195</v>
      </c>
      <c r="C2654" s="1" t="n">
        <v>171</v>
      </c>
      <c r="D2654" s="1" t="s">
        <v>2517</v>
      </c>
      <c r="E2654" s="1" t="n">
        <v>1678</v>
      </c>
      <c r="F2654" s="1" t="s">
        <v>190</v>
      </c>
      <c r="I2654" s="1" t="n">
        <v>160777</v>
      </c>
      <c r="J2654" s="1" t="n">
        <v>51333</v>
      </c>
      <c r="K2654" s="1" t="n">
        <v>7898940790135</v>
      </c>
      <c r="L2654" s="1" t="s">
        <v>3565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5" t="n">
        <v>46195</v>
      </c>
      <c r="C2655" s="1" t="n">
        <v>171</v>
      </c>
      <c r="D2655" s="1" t="s">
        <v>2517</v>
      </c>
      <c r="E2655" s="1" t="n">
        <v>1678</v>
      </c>
      <c r="F2655" s="1" t="s">
        <v>190</v>
      </c>
      <c r="I2655" s="1" t="n">
        <v>160777</v>
      </c>
      <c r="J2655" s="1" t="n">
        <v>70546</v>
      </c>
      <c r="K2655" s="1" t="n">
        <v>7898940796113</v>
      </c>
      <c r="L2655" s="1" t="s">
        <v>3566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5" t="n">
        <v>46196</v>
      </c>
      <c r="C2656" s="1" t="n">
        <v>1</v>
      </c>
      <c r="D2656" s="1" t="s">
        <v>2317</v>
      </c>
      <c r="E2656" s="1" t="n">
        <v>10043</v>
      </c>
      <c r="F2656" s="1" t="s">
        <v>112</v>
      </c>
      <c r="I2656" s="1" t="n">
        <v>723</v>
      </c>
      <c r="J2656" s="1" t="n">
        <v>52096</v>
      </c>
      <c r="K2656" s="1" t="n">
        <v>144315</v>
      </c>
      <c r="L2656" s="1" t="s">
        <v>2318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5" t="n">
        <v>46196</v>
      </c>
      <c r="C2657" s="1" t="n">
        <v>1</v>
      </c>
      <c r="D2657" s="1" t="s">
        <v>2317</v>
      </c>
      <c r="E2657" s="1" t="n">
        <v>560</v>
      </c>
      <c r="F2657" s="1" t="s">
        <v>220</v>
      </c>
      <c r="I2657" s="1" t="n">
        <v>1716</v>
      </c>
      <c r="J2657" s="1" t="n">
        <v>72591</v>
      </c>
      <c r="K2657" s="1" t="n">
        <v>7891985925401</v>
      </c>
      <c r="L2657" s="1" t="s">
        <v>2736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5" t="n">
        <v>46196</v>
      </c>
      <c r="C2658" s="1" t="n">
        <v>2</v>
      </c>
      <c r="D2658" s="1" t="s">
        <v>2283</v>
      </c>
      <c r="E2658" s="1" t="n">
        <v>42</v>
      </c>
      <c r="F2658" s="1" t="s">
        <v>80</v>
      </c>
      <c r="I2658" s="1" t="n">
        <v>230601</v>
      </c>
      <c r="J2658" s="1" t="n">
        <v>109791</v>
      </c>
      <c r="K2658" s="1" t="n">
        <v>9667</v>
      </c>
      <c r="L2658" s="1" t="s">
        <v>2284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5" t="n">
        <v>46196</v>
      </c>
      <c r="C2659" s="1" t="n">
        <v>2</v>
      </c>
      <c r="D2659" s="1" t="s">
        <v>2283</v>
      </c>
      <c r="E2659" s="1" t="n">
        <v>42</v>
      </c>
      <c r="F2659" s="1" t="s">
        <v>80</v>
      </c>
      <c r="I2659" s="1" t="n">
        <v>230601</v>
      </c>
      <c r="J2659" s="1" t="n">
        <v>37359</v>
      </c>
      <c r="K2659" s="1" t="n">
        <v>55526</v>
      </c>
      <c r="L2659" s="1" t="s">
        <v>2285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5" t="n">
        <v>46196</v>
      </c>
      <c r="C2660" s="1" t="n">
        <v>2</v>
      </c>
      <c r="D2660" s="1" t="s">
        <v>2283</v>
      </c>
      <c r="E2660" s="1" t="n">
        <v>42</v>
      </c>
      <c r="F2660" s="1" t="s">
        <v>80</v>
      </c>
      <c r="I2660" s="1" t="n">
        <v>230601</v>
      </c>
      <c r="J2660" s="1" t="n">
        <v>37361</v>
      </c>
      <c r="K2660" s="1" t="n">
        <v>2240817</v>
      </c>
      <c r="L2660" s="1" t="s">
        <v>2286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5" t="n">
        <v>46196</v>
      </c>
      <c r="C2661" s="1" t="n">
        <v>2</v>
      </c>
      <c r="D2661" s="1" t="s">
        <v>2283</v>
      </c>
      <c r="E2661" s="1" t="n">
        <v>42</v>
      </c>
      <c r="F2661" s="1" t="s">
        <v>80</v>
      </c>
      <c r="I2661" s="1" t="n">
        <v>230602</v>
      </c>
      <c r="J2661" s="1" t="n">
        <v>100103</v>
      </c>
      <c r="K2661" s="1" t="n">
        <v>104</v>
      </c>
      <c r="L2661" s="1" t="s">
        <v>2287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5" t="n">
        <v>46196</v>
      </c>
      <c r="C2662" s="1" t="n">
        <v>2</v>
      </c>
      <c r="D2662" s="1" t="s">
        <v>2283</v>
      </c>
      <c r="E2662" s="1" t="n">
        <v>42</v>
      </c>
      <c r="F2662" s="1" t="s">
        <v>80</v>
      </c>
      <c r="I2662" s="1" t="n">
        <v>230603</v>
      </c>
      <c r="J2662" s="1" t="n">
        <v>72679</v>
      </c>
      <c r="K2662" s="1" t="n">
        <v>246</v>
      </c>
      <c r="L2662" s="1" t="s">
        <v>2288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5" t="n">
        <v>46196</v>
      </c>
      <c r="C2663" s="1" t="n">
        <v>2</v>
      </c>
      <c r="D2663" s="1" t="s">
        <v>2283</v>
      </c>
      <c r="E2663" s="1" t="n">
        <v>42</v>
      </c>
      <c r="F2663" s="1" t="s">
        <v>80</v>
      </c>
      <c r="I2663" s="1" t="n">
        <v>230604</v>
      </c>
      <c r="J2663" s="1" t="n">
        <v>100062</v>
      </c>
      <c r="K2663" s="1" t="n">
        <v>63</v>
      </c>
      <c r="L2663" s="1" t="s">
        <v>2320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5" t="n">
        <v>46196</v>
      </c>
      <c r="C2664" s="1" t="n">
        <v>2</v>
      </c>
      <c r="D2664" s="1" t="s">
        <v>2283</v>
      </c>
      <c r="E2664" s="1" t="n">
        <v>42</v>
      </c>
      <c r="F2664" s="1" t="s">
        <v>80</v>
      </c>
      <c r="I2664" s="1" t="n">
        <v>230604</v>
      </c>
      <c r="J2664" s="1" t="n">
        <v>100104</v>
      </c>
      <c r="K2664" s="1" t="n">
        <v>105</v>
      </c>
      <c r="L2664" s="1" t="s">
        <v>2321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5" t="n">
        <v>46196</v>
      </c>
      <c r="C2665" s="1" t="n">
        <v>2</v>
      </c>
      <c r="D2665" s="1" t="s">
        <v>2283</v>
      </c>
      <c r="E2665" s="1" t="n">
        <v>42</v>
      </c>
      <c r="F2665" s="1" t="s">
        <v>80</v>
      </c>
      <c r="I2665" s="1" t="n">
        <v>230604</v>
      </c>
      <c r="J2665" s="1" t="n">
        <v>100105</v>
      </c>
      <c r="K2665" s="1" t="n">
        <v>106</v>
      </c>
      <c r="L2665" s="1" t="s">
        <v>2322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5" t="n">
        <v>46196</v>
      </c>
      <c r="C2666" s="1" t="n">
        <v>2</v>
      </c>
      <c r="D2666" s="1" t="s">
        <v>2283</v>
      </c>
      <c r="E2666" s="1" t="n">
        <v>42</v>
      </c>
      <c r="F2666" s="1" t="s">
        <v>80</v>
      </c>
      <c r="I2666" s="1" t="n">
        <v>230604</v>
      </c>
      <c r="J2666" s="1" t="n">
        <v>100107</v>
      </c>
      <c r="K2666" s="1" t="n">
        <v>108</v>
      </c>
      <c r="L2666" s="1" t="s">
        <v>2323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5" t="n">
        <v>46196</v>
      </c>
      <c r="C2667" s="1" t="n">
        <v>2</v>
      </c>
      <c r="D2667" s="1" t="s">
        <v>2283</v>
      </c>
      <c r="E2667" s="1" t="n">
        <v>42</v>
      </c>
      <c r="F2667" s="1" t="s">
        <v>80</v>
      </c>
      <c r="I2667" s="1" t="n">
        <v>230604</v>
      </c>
      <c r="J2667" s="1" t="n">
        <v>100109</v>
      </c>
      <c r="K2667" s="1" t="n">
        <v>110</v>
      </c>
      <c r="L2667" s="1" t="s">
        <v>2324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5" t="n">
        <v>46196</v>
      </c>
      <c r="C2668" s="1" t="n">
        <v>2</v>
      </c>
      <c r="D2668" s="1" t="s">
        <v>2283</v>
      </c>
      <c r="E2668" s="1" t="n">
        <v>42</v>
      </c>
      <c r="F2668" s="1" t="s">
        <v>80</v>
      </c>
      <c r="I2668" s="1" t="n">
        <v>230604</v>
      </c>
      <c r="J2668" s="1" t="n">
        <v>100110</v>
      </c>
      <c r="K2668" s="1" t="n">
        <v>111</v>
      </c>
      <c r="L2668" s="1" t="s">
        <v>2473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5" t="n">
        <v>46196</v>
      </c>
      <c r="C2669" s="1" t="n">
        <v>2</v>
      </c>
      <c r="D2669" s="1" t="s">
        <v>2283</v>
      </c>
      <c r="E2669" s="1" t="n">
        <v>42</v>
      </c>
      <c r="F2669" s="1" t="s">
        <v>80</v>
      </c>
      <c r="I2669" s="1" t="n">
        <v>230604</v>
      </c>
      <c r="J2669" s="1" t="n">
        <v>100112</v>
      </c>
      <c r="K2669" s="1" t="n">
        <v>113</v>
      </c>
      <c r="L2669" s="1" t="s">
        <v>2325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5" t="n">
        <v>46196</v>
      </c>
      <c r="C2670" s="1" t="n">
        <v>2</v>
      </c>
      <c r="D2670" s="1" t="s">
        <v>2283</v>
      </c>
      <c r="E2670" s="1" t="n">
        <v>42</v>
      </c>
      <c r="F2670" s="1" t="s">
        <v>80</v>
      </c>
      <c r="I2670" s="1" t="n">
        <v>230604</v>
      </c>
      <c r="J2670" s="1" t="n">
        <v>100113</v>
      </c>
      <c r="K2670" s="1" t="n">
        <v>114</v>
      </c>
      <c r="L2670" s="1" t="s">
        <v>2326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5" t="n">
        <v>46196</v>
      </c>
      <c r="C2671" s="1" t="n">
        <v>2</v>
      </c>
      <c r="D2671" s="1" t="s">
        <v>2283</v>
      </c>
      <c r="E2671" s="1" t="n">
        <v>42</v>
      </c>
      <c r="F2671" s="1" t="s">
        <v>80</v>
      </c>
      <c r="I2671" s="1" t="n">
        <v>230604</v>
      </c>
      <c r="J2671" s="1" t="n">
        <v>100115</v>
      </c>
      <c r="K2671" s="1" t="n">
        <v>116</v>
      </c>
      <c r="L2671" s="1" t="s">
        <v>2474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5" t="n">
        <v>46196</v>
      </c>
      <c r="C2672" s="1" t="n">
        <v>2</v>
      </c>
      <c r="D2672" s="1" t="s">
        <v>2283</v>
      </c>
      <c r="E2672" s="1" t="n">
        <v>42</v>
      </c>
      <c r="F2672" s="1" t="s">
        <v>80</v>
      </c>
      <c r="I2672" s="1" t="n">
        <v>230604</v>
      </c>
      <c r="J2672" s="1" t="n">
        <v>100116</v>
      </c>
      <c r="K2672" s="1" t="n">
        <v>117</v>
      </c>
      <c r="L2672" s="1" t="s">
        <v>2327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5" t="n">
        <v>46196</v>
      </c>
      <c r="C2673" s="1" t="n">
        <v>2</v>
      </c>
      <c r="D2673" s="1" t="s">
        <v>2283</v>
      </c>
      <c r="E2673" s="1" t="n">
        <v>42</v>
      </c>
      <c r="F2673" s="1" t="s">
        <v>80</v>
      </c>
      <c r="I2673" s="1" t="n">
        <v>230604</v>
      </c>
      <c r="J2673" s="1" t="n">
        <v>100118</v>
      </c>
      <c r="K2673" s="1" t="n">
        <v>119</v>
      </c>
      <c r="L2673" s="1" t="s">
        <v>2328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5" t="n">
        <v>46196</v>
      </c>
      <c r="C2674" s="1" t="n">
        <v>2</v>
      </c>
      <c r="D2674" s="1" t="s">
        <v>2283</v>
      </c>
      <c r="E2674" s="1" t="n">
        <v>42</v>
      </c>
      <c r="F2674" s="1" t="s">
        <v>80</v>
      </c>
      <c r="I2674" s="1" t="n">
        <v>230604</v>
      </c>
      <c r="J2674" s="1" t="n">
        <v>100121</v>
      </c>
      <c r="K2674" s="1" t="n">
        <v>122</v>
      </c>
      <c r="L2674" s="1" t="s">
        <v>2329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5" t="n">
        <v>46196</v>
      </c>
      <c r="C2675" s="1" t="n">
        <v>2</v>
      </c>
      <c r="D2675" s="1" t="s">
        <v>2283</v>
      </c>
      <c r="E2675" s="1" t="n">
        <v>42</v>
      </c>
      <c r="F2675" s="1" t="s">
        <v>80</v>
      </c>
      <c r="I2675" s="1" t="n">
        <v>230604</v>
      </c>
      <c r="J2675" s="1" t="n">
        <v>100122</v>
      </c>
      <c r="K2675" s="1" t="n">
        <v>123</v>
      </c>
      <c r="L2675" s="1" t="s">
        <v>2330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5" t="n">
        <v>46196</v>
      </c>
      <c r="C2676" s="1" t="n">
        <v>2</v>
      </c>
      <c r="D2676" s="1" t="s">
        <v>2283</v>
      </c>
      <c r="E2676" s="1" t="n">
        <v>42</v>
      </c>
      <c r="F2676" s="1" t="s">
        <v>80</v>
      </c>
      <c r="I2676" s="1" t="n">
        <v>230604</v>
      </c>
      <c r="J2676" s="1" t="n">
        <v>100123</v>
      </c>
      <c r="K2676" s="1" t="n">
        <v>124</v>
      </c>
      <c r="L2676" s="1" t="s">
        <v>2475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5" t="n">
        <v>46196</v>
      </c>
      <c r="C2677" s="1" t="n">
        <v>2</v>
      </c>
      <c r="D2677" s="1" t="s">
        <v>2283</v>
      </c>
      <c r="E2677" s="1" t="n">
        <v>42</v>
      </c>
      <c r="F2677" s="1" t="s">
        <v>80</v>
      </c>
      <c r="I2677" s="1" t="n">
        <v>230604</v>
      </c>
      <c r="J2677" s="1" t="n">
        <v>100124</v>
      </c>
      <c r="K2677" s="1" t="n">
        <v>125</v>
      </c>
      <c r="L2677" s="1" t="s">
        <v>2476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5" t="n">
        <v>46196</v>
      </c>
      <c r="C2678" s="1" t="n">
        <v>2</v>
      </c>
      <c r="D2678" s="1" t="s">
        <v>2283</v>
      </c>
      <c r="E2678" s="1" t="n">
        <v>42</v>
      </c>
      <c r="F2678" s="1" t="s">
        <v>80</v>
      </c>
      <c r="I2678" s="1" t="n">
        <v>230604</v>
      </c>
      <c r="J2678" s="1" t="n">
        <v>100125</v>
      </c>
      <c r="K2678" s="1" t="n">
        <v>126</v>
      </c>
      <c r="L2678" s="1" t="s">
        <v>2477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5" t="n">
        <v>46196</v>
      </c>
      <c r="C2679" s="1" t="n">
        <v>2</v>
      </c>
      <c r="D2679" s="1" t="s">
        <v>2283</v>
      </c>
      <c r="E2679" s="1" t="n">
        <v>42</v>
      </c>
      <c r="F2679" s="1" t="s">
        <v>80</v>
      </c>
      <c r="I2679" s="1" t="n">
        <v>230604</v>
      </c>
      <c r="J2679" s="1" t="n">
        <v>100130</v>
      </c>
      <c r="K2679" s="1" t="n">
        <v>131</v>
      </c>
      <c r="L2679" s="1" t="s">
        <v>2331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5" t="n">
        <v>46196</v>
      </c>
      <c r="C2680" s="1" t="n">
        <v>2</v>
      </c>
      <c r="D2680" s="1" t="s">
        <v>2283</v>
      </c>
      <c r="E2680" s="1" t="n">
        <v>42</v>
      </c>
      <c r="F2680" s="1" t="s">
        <v>80</v>
      </c>
      <c r="I2680" s="1" t="n">
        <v>230604</v>
      </c>
      <c r="J2680" s="1" t="n">
        <v>100131</v>
      </c>
      <c r="K2680" s="1" t="n">
        <v>132</v>
      </c>
      <c r="L2680" s="1" t="s">
        <v>3103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5" t="n">
        <v>46196</v>
      </c>
      <c r="C2681" s="1" t="n">
        <v>2</v>
      </c>
      <c r="D2681" s="1" t="s">
        <v>2283</v>
      </c>
      <c r="E2681" s="1" t="n">
        <v>42</v>
      </c>
      <c r="F2681" s="1" t="s">
        <v>80</v>
      </c>
      <c r="I2681" s="1" t="n">
        <v>230604</v>
      </c>
      <c r="J2681" s="1" t="n">
        <v>100132</v>
      </c>
      <c r="K2681" s="1" t="n">
        <v>133</v>
      </c>
      <c r="L2681" s="1" t="s">
        <v>3104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5" t="n">
        <v>46196</v>
      </c>
      <c r="C2682" s="1" t="n">
        <v>2</v>
      </c>
      <c r="D2682" s="1" t="s">
        <v>2283</v>
      </c>
      <c r="E2682" s="1" t="n">
        <v>42</v>
      </c>
      <c r="F2682" s="1" t="s">
        <v>80</v>
      </c>
      <c r="I2682" s="1" t="n">
        <v>230604</v>
      </c>
      <c r="J2682" s="1" t="n">
        <v>100133</v>
      </c>
      <c r="K2682" s="1" t="n">
        <v>134</v>
      </c>
      <c r="L2682" s="1" t="s">
        <v>2332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5" t="n">
        <v>46196</v>
      </c>
      <c r="C2683" s="1" t="n">
        <v>2</v>
      </c>
      <c r="D2683" s="1" t="s">
        <v>2283</v>
      </c>
      <c r="E2683" s="1" t="n">
        <v>42</v>
      </c>
      <c r="F2683" s="1" t="s">
        <v>80</v>
      </c>
      <c r="I2683" s="1" t="n">
        <v>230604</v>
      </c>
      <c r="J2683" s="1" t="n">
        <v>100148</v>
      </c>
      <c r="K2683" s="1" t="n">
        <v>149</v>
      </c>
      <c r="L2683" s="1" t="s">
        <v>2676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5" t="n">
        <v>46196</v>
      </c>
      <c r="C2684" s="1" t="n">
        <v>2</v>
      </c>
      <c r="D2684" s="1" t="s">
        <v>2283</v>
      </c>
      <c r="E2684" s="1" t="n">
        <v>42</v>
      </c>
      <c r="F2684" s="1" t="s">
        <v>80</v>
      </c>
      <c r="I2684" s="1" t="n">
        <v>230604</v>
      </c>
      <c r="J2684" s="1" t="n">
        <v>110142</v>
      </c>
      <c r="K2684" s="1" t="n">
        <v>16699</v>
      </c>
      <c r="L2684" s="1" t="s">
        <v>2334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5" t="n">
        <v>46196</v>
      </c>
      <c r="C2685" s="1" t="n">
        <v>2</v>
      </c>
      <c r="D2685" s="1" t="s">
        <v>2283</v>
      </c>
      <c r="E2685" s="1" t="n">
        <v>42</v>
      </c>
      <c r="F2685" s="1" t="s">
        <v>80</v>
      </c>
      <c r="I2685" s="1" t="n">
        <v>230604</v>
      </c>
      <c r="J2685" s="1" t="n">
        <v>110160</v>
      </c>
      <c r="K2685" s="1" t="n">
        <v>38562</v>
      </c>
      <c r="L2685" s="1" t="s">
        <v>3283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5" t="n">
        <v>46196</v>
      </c>
      <c r="C2686" s="1" t="n">
        <v>6</v>
      </c>
      <c r="D2686" s="1" t="s">
        <v>2289</v>
      </c>
      <c r="E2686" s="1" t="n">
        <v>42</v>
      </c>
      <c r="F2686" s="1" t="s">
        <v>80</v>
      </c>
      <c r="I2686" s="1" t="n">
        <v>4300</v>
      </c>
      <c r="J2686" s="1" t="n">
        <v>109791</v>
      </c>
      <c r="K2686" s="1" t="n">
        <v>9667</v>
      </c>
      <c r="L2686" s="1" t="s">
        <v>2284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5" t="n">
        <v>46196</v>
      </c>
      <c r="C2687" s="1" t="n">
        <v>6</v>
      </c>
      <c r="D2687" s="1" t="s">
        <v>2289</v>
      </c>
      <c r="E2687" s="1" t="n">
        <v>42</v>
      </c>
      <c r="F2687" s="1" t="s">
        <v>80</v>
      </c>
      <c r="I2687" s="1" t="n">
        <v>4300</v>
      </c>
      <c r="J2687" s="1" t="n">
        <v>37359</v>
      </c>
      <c r="K2687" s="1" t="n">
        <v>55526</v>
      </c>
      <c r="L2687" s="1" t="s">
        <v>2285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5" t="n">
        <v>46196</v>
      </c>
      <c r="C2688" s="1" t="n">
        <v>6</v>
      </c>
      <c r="D2688" s="1" t="s">
        <v>2289</v>
      </c>
      <c r="E2688" s="1" t="n">
        <v>42</v>
      </c>
      <c r="F2688" s="1" t="s">
        <v>80</v>
      </c>
      <c r="I2688" s="1" t="n">
        <v>4300</v>
      </c>
      <c r="J2688" s="1" t="n">
        <v>37361</v>
      </c>
      <c r="K2688" s="1" t="n">
        <v>2240817</v>
      </c>
      <c r="L2688" s="1" t="s">
        <v>2286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5" t="n">
        <v>46196</v>
      </c>
      <c r="C2689" s="1" t="n">
        <v>6</v>
      </c>
      <c r="D2689" s="1" t="s">
        <v>2289</v>
      </c>
      <c r="E2689" s="1" t="n">
        <v>42</v>
      </c>
      <c r="F2689" s="1" t="s">
        <v>80</v>
      </c>
      <c r="I2689" s="1" t="n">
        <v>4301</v>
      </c>
      <c r="J2689" s="1" t="n">
        <v>100103</v>
      </c>
      <c r="K2689" s="1" t="n">
        <v>104</v>
      </c>
      <c r="L2689" s="1" t="s">
        <v>2287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5" t="n">
        <v>46196</v>
      </c>
      <c r="C2690" s="1" t="n">
        <v>6</v>
      </c>
      <c r="D2690" s="1" t="s">
        <v>2289</v>
      </c>
      <c r="E2690" s="1" t="n">
        <v>42</v>
      </c>
      <c r="F2690" s="1" t="s">
        <v>80</v>
      </c>
      <c r="I2690" s="1" t="n">
        <v>4302</v>
      </c>
      <c r="J2690" s="1" t="n">
        <v>72679</v>
      </c>
      <c r="K2690" s="1" t="n">
        <v>246</v>
      </c>
      <c r="L2690" s="1" t="s">
        <v>2288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5" t="n">
        <v>46196</v>
      </c>
      <c r="C2691" s="1" t="n">
        <v>6</v>
      </c>
      <c r="D2691" s="1" t="s">
        <v>2289</v>
      </c>
      <c r="E2691" s="1" t="n">
        <v>42</v>
      </c>
      <c r="F2691" s="1" t="s">
        <v>80</v>
      </c>
      <c r="I2691" s="1" t="n">
        <v>4303</v>
      </c>
      <c r="J2691" s="1" t="n">
        <v>100062</v>
      </c>
      <c r="K2691" s="1" t="n">
        <v>63</v>
      </c>
      <c r="L2691" s="1" t="s">
        <v>2320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5" t="n">
        <v>46196</v>
      </c>
      <c r="C2692" s="1" t="n">
        <v>6</v>
      </c>
      <c r="D2692" s="1" t="s">
        <v>2289</v>
      </c>
      <c r="E2692" s="1" t="n">
        <v>42</v>
      </c>
      <c r="F2692" s="1" t="s">
        <v>80</v>
      </c>
      <c r="I2692" s="1" t="n">
        <v>4303</v>
      </c>
      <c r="J2692" s="1" t="n">
        <v>100104</v>
      </c>
      <c r="K2692" s="1" t="n">
        <v>105</v>
      </c>
      <c r="L2692" s="1" t="s">
        <v>2321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5" t="n">
        <v>46196</v>
      </c>
      <c r="C2693" s="1" t="n">
        <v>6</v>
      </c>
      <c r="D2693" s="1" t="s">
        <v>2289</v>
      </c>
      <c r="E2693" s="1" t="n">
        <v>42</v>
      </c>
      <c r="F2693" s="1" t="s">
        <v>80</v>
      </c>
      <c r="I2693" s="1" t="n">
        <v>4303</v>
      </c>
      <c r="J2693" s="1" t="n">
        <v>100105</v>
      </c>
      <c r="K2693" s="1" t="n">
        <v>106</v>
      </c>
      <c r="L2693" s="1" t="s">
        <v>2322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5" t="n">
        <v>46196</v>
      </c>
      <c r="C2694" s="1" t="n">
        <v>6</v>
      </c>
      <c r="D2694" s="1" t="s">
        <v>2289</v>
      </c>
      <c r="E2694" s="1" t="n">
        <v>42</v>
      </c>
      <c r="F2694" s="1" t="s">
        <v>80</v>
      </c>
      <c r="I2694" s="1" t="n">
        <v>4303</v>
      </c>
      <c r="J2694" s="1" t="n">
        <v>100107</v>
      </c>
      <c r="K2694" s="1" t="n">
        <v>108</v>
      </c>
      <c r="L2694" s="1" t="s">
        <v>2323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5" t="n">
        <v>46196</v>
      </c>
      <c r="C2695" s="1" t="n">
        <v>6</v>
      </c>
      <c r="D2695" s="1" t="s">
        <v>2289</v>
      </c>
      <c r="E2695" s="1" t="n">
        <v>42</v>
      </c>
      <c r="F2695" s="1" t="s">
        <v>80</v>
      </c>
      <c r="I2695" s="1" t="n">
        <v>4303</v>
      </c>
      <c r="J2695" s="1" t="n">
        <v>100109</v>
      </c>
      <c r="K2695" s="1" t="n">
        <v>110</v>
      </c>
      <c r="L2695" s="1" t="s">
        <v>2324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5" t="n">
        <v>46196</v>
      </c>
      <c r="C2696" s="1" t="n">
        <v>6</v>
      </c>
      <c r="D2696" s="1" t="s">
        <v>2289</v>
      </c>
      <c r="E2696" s="1" t="n">
        <v>42</v>
      </c>
      <c r="F2696" s="1" t="s">
        <v>80</v>
      </c>
      <c r="I2696" s="1" t="n">
        <v>4303</v>
      </c>
      <c r="J2696" s="1" t="n">
        <v>100110</v>
      </c>
      <c r="K2696" s="1" t="n">
        <v>111</v>
      </c>
      <c r="L2696" s="1" t="s">
        <v>2473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5" t="n">
        <v>46196</v>
      </c>
      <c r="C2697" s="1" t="n">
        <v>6</v>
      </c>
      <c r="D2697" s="1" t="s">
        <v>2289</v>
      </c>
      <c r="E2697" s="1" t="n">
        <v>42</v>
      </c>
      <c r="F2697" s="1" t="s">
        <v>80</v>
      </c>
      <c r="I2697" s="1" t="n">
        <v>4303</v>
      </c>
      <c r="J2697" s="1" t="n">
        <v>100112</v>
      </c>
      <c r="K2697" s="1" t="n">
        <v>113</v>
      </c>
      <c r="L2697" s="1" t="s">
        <v>2325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5" t="n">
        <v>46196</v>
      </c>
      <c r="C2698" s="1" t="n">
        <v>6</v>
      </c>
      <c r="D2698" s="1" t="s">
        <v>2289</v>
      </c>
      <c r="E2698" s="1" t="n">
        <v>42</v>
      </c>
      <c r="F2698" s="1" t="s">
        <v>80</v>
      </c>
      <c r="I2698" s="1" t="n">
        <v>4303</v>
      </c>
      <c r="J2698" s="1" t="n">
        <v>100113</v>
      </c>
      <c r="K2698" s="1" t="n">
        <v>114</v>
      </c>
      <c r="L2698" s="1" t="s">
        <v>2326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5" t="n">
        <v>46196</v>
      </c>
      <c r="C2699" s="1" t="n">
        <v>6</v>
      </c>
      <c r="D2699" s="1" t="s">
        <v>2289</v>
      </c>
      <c r="E2699" s="1" t="n">
        <v>42</v>
      </c>
      <c r="F2699" s="1" t="s">
        <v>80</v>
      </c>
      <c r="I2699" s="1" t="n">
        <v>4303</v>
      </c>
      <c r="J2699" s="1" t="n">
        <v>100115</v>
      </c>
      <c r="K2699" s="1" t="n">
        <v>116</v>
      </c>
      <c r="L2699" s="1" t="s">
        <v>2474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5" t="n">
        <v>46196</v>
      </c>
      <c r="C2700" s="1" t="n">
        <v>6</v>
      </c>
      <c r="D2700" s="1" t="s">
        <v>2289</v>
      </c>
      <c r="E2700" s="1" t="n">
        <v>42</v>
      </c>
      <c r="F2700" s="1" t="s">
        <v>80</v>
      </c>
      <c r="I2700" s="1" t="n">
        <v>4303</v>
      </c>
      <c r="J2700" s="1" t="n">
        <v>100116</v>
      </c>
      <c r="K2700" s="1" t="n">
        <v>117</v>
      </c>
      <c r="L2700" s="1" t="s">
        <v>2327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5" t="n">
        <v>46196</v>
      </c>
      <c r="C2701" s="1" t="n">
        <v>6</v>
      </c>
      <c r="D2701" s="1" t="s">
        <v>2289</v>
      </c>
      <c r="E2701" s="1" t="n">
        <v>42</v>
      </c>
      <c r="F2701" s="1" t="s">
        <v>80</v>
      </c>
      <c r="I2701" s="1" t="n">
        <v>4303</v>
      </c>
      <c r="J2701" s="1" t="n">
        <v>100118</v>
      </c>
      <c r="K2701" s="1" t="n">
        <v>119</v>
      </c>
      <c r="L2701" s="1" t="s">
        <v>2328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5" t="n">
        <v>46196</v>
      </c>
      <c r="C2702" s="1" t="n">
        <v>6</v>
      </c>
      <c r="D2702" s="1" t="s">
        <v>2289</v>
      </c>
      <c r="E2702" s="1" t="n">
        <v>42</v>
      </c>
      <c r="F2702" s="1" t="s">
        <v>80</v>
      </c>
      <c r="I2702" s="1" t="n">
        <v>4303</v>
      </c>
      <c r="J2702" s="1" t="n">
        <v>100121</v>
      </c>
      <c r="K2702" s="1" t="n">
        <v>122</v>
      </c>
      <c r="L2702" s="1" t="s">
        <v>2329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5" t="n">
        <v>46196</v>
      </c>
      <c r="C2703" s="1" t="n">
        <v>6</v>
      </c>
      <c r="D2703" s="1" t="s">
        <v>2289</v>
      </c>
      <c r="E2703" s="1" t="n">
        <v>42</v>
      </c>
      <c r="F2703" s="1" t="s">
        <v>80</v>
      </c>
      <c r="I2703" s="1" t="n">
        <v>4303</v>
      </c>
      <c r="J2703" s="1" t="n">
        <v>100122</v>
      </c>
      <c r="K2703" s="1" t="n">
        <v>123</v>
      </c>
      <c r="L2703" s="1" t="s">
        <v>2330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5" t="n">
        <v>46196</v>
      </c>
      <c r="C2704" s="1" t="n">
        <v>6</v>
      </c>
      <c r="D2704" s="1" t="s">
        <v>2289</v>
      </c>
      <c r="E2704" s="1" t="n">
        <v>42</v>
      </c>
      <c r="F2704" s="1" t="s">
        <v>80</v>
      </c>
      <c r="I2704" s="1" t="n">
        <v>4303</v>
      </c>
      <c r="J2704" s="1" t="n">
        <v>100123</v>
      </c>
      <c r="K2704" s="1" t="n">
        <v>124</v>
      </c>
      <c r="L2704" s="1" t="s">
        <v>2475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5" t="n">
        <v>46196</v>
      </c>
      <c r="C2705" s="1" t="n">
        <v>6</v>
      </c>
      <c r="D2705" s="1" t="s">
        <v>2289</v>
      </c>
      <c r="E2705" s="1" t="n">
        <v>42</v>
      </c>
      <c r="F2705" s="1" t="s">
        <v>80</v>
      </c>
      <c r="I2705" s="1" t="n">
        <v>4303</v>
      </c>
      <c r="J2705" s="1" t="n">
        <v>100124</v>
      </c>
      <c r="K2705" s="1" t="n">
        <v>125</v>
      </c>
      <c r="L2705" s="1" t="s">
        <v>2476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5" t="n">
        <v>46196</v>
      </c>
      <c r="C2706" s="1" t="n">
        <v>6</v>
      </c>
      <c r="D2706" s="1" t="s">
        <v>2289</v>
      </c>
      <c r="E2706" s="1" t="n">
        <v>42</v>
      </c>
      <c r="F2706" s="1" t="s">
        <v>80</v>
      </c>
      <c r="I2706" s="1" t="n">
        <v>4303</v>
      </c>
      <c r="J2706" s="1" t="n">
        <v>100125</v>
      </c>
      <c r="K2706" s="1" t="n">
        <v>126</v>
      </c>
      <c r="L2706" s="1" t="s">
        <v>2477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5" t="n">
        <v>46196</v>
      </c>
      <c r="C2707" s="1" t="n">
        <v>6</v>
      </c>
      <c r="D2707" s="1" t="s">
        <v>2289</v>
      </c>
      <c r="E2707" s="1" t="n">
        <v>42</v>
      </c>
      <c r="F2707" s="1" t="s">
        <v>80</v>
      </c>
      <c r="I2707" s="1" t="n">
        <v>4303</v>
      </c>
      <c r="J2707" s="1" t="n">
        <v>100130</v>
      </c>
      <c r="K2707" s="1" t="n">
        <v>131</v>
      </c>
      <c r="L2707" s="1" t="s">
        <v>2331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5" t="n">
        <v>46196</v>
      </c>
      <c r="C2708" s="1" t="n">
        <v>6</v>
      </c>
      <c r="D2708" s="1" t="s">
        <v>2289</v>
      </c>
      <c r="E2708" s="1" t="n">
        <v>42</v>
      </c>
      <c r="F2708" s="1" t="s">
        <v>80</v>
      </c>
      <c r="I2708" s="1" t="n">
        <v>4303</v>
      </c>
      <c r="J2708" s="1" t="n">
        <v>100131</v>
      </c>
      <c r="K2708" s="1" t="n">
        <v>132</v>
      </c>
      <c r="L2708" s="1" t="s">
        <v>3103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5" t="n">
        <v>46196</v>
      </c>
      <c r="C2709" s="1" t="n">
        <v>6</v>
      </c>
      <c r="D2709" s="1" t="s">
        <v>2289</v>
      </c>
      <c r="E2709" s="1" t="n">
        <v>42</v>
      </c>
      <c r="F2709" s="1" t="s">
        <v>80</v>
      </c>
      <c r="I2709" s="1" t="n">
        <v>4303</v>
      </c>
      <c r="J2709" s="1" t="n">
        <v>100132</v>
      </c>
      <c r="K2709" s="1" t="n">
        <v>133</v>
      </c>
      <c r="L2709" s="1" t="s">
        <v>3104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5" t="n">
        <v>46196</v>
      </c>
      <c r="C2710" s="1" t="n">
        <v>6</v>
      </c>
      <c r="D2710" s="1" t="s">
        <v>2289</v>
      </c>
      <c r="E2710" s="1" t="n">
        <v>42</v>
      </c>
      <c r="F2710" s="1" t="s">
        <v>80</v>
      </c>
      <c r="I2710" s="1" t="n">
        <v>4303</v>
      </c>
      <c r="J2710" s="1" t="n">
        <v>100133</v>
      </c>
      <c r="K2710" s="1" t="n">
        <v>134</v>
      </c>
      <c r="L2710" s="1" t="s">
        <v>2332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5" t="n">
        <v>46196</v>
      </c>
      <c r="C2711" s="1" t="n">
        <v>6</v>
      </c>
      <c r="D2711" s="1" t="s">
        <v>2289</v>
      </c>
      <c r="E2711" s="1" t="n">
        <v>42</v>
      </c>
      <c r="F2711" s="1" t="s">
        <v>80</v>
      </c>
      <c r="I2711" s="1" t="n">
        <v>4303</v>
      </c>
      <c r="J2711" s="1" t="n">
        <v>100148</v>
      </c>
      <c r="K2711" s="1" t="n">
        <v>149</v>
      </c>
      <c r="L2711" s="1" t="s">
        <v>2676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5" t="n">
        <v>46196</v>
      </c>
      <c r="C2712" s="1" t="n">
        <v>6</v>
      </c>
      <c r="D2712" s="1" t="s">
        <v>2289</v>
      </c>
      <c r="E2712" s="1" t="n">
        <v>42</v>
      </c>
      <c r="F2712" s="1" t="s">
        <v>80</v>
      </c>
      <c r="I2712" s="1" t="n">
        <v>4303</v>
      </c>
      <c r="J2712" s="1" t="n">
        <v>110142</v>
      </c>
      <c r="K2712" s="1" t="n">
        <v>16699</v>
      </c>
      <c r="L2712" s="1" t="s">
        <v>2334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5" t="n">
        <v>46196</v>
      </c>
      <c r="C2713" s="1" t="n">
        <v>6</v>
      </c>
      <c r="D2713" s="1" t="s">
        <v>2289</v>
      </c>
      <c r="E2713" s="1" t="n">
        <v>42</v>
      </c>
      <c r="F2713" s="1" t="s">
        <v>80</v>
      </c>
      <c r="I2713" s="1" t="n">
        <v>4303</v>
      </c>
      <c r="J2713" s="1" t="n">
        <v>110160</v>
      </c>
      <c r="K2713" s="1" t="n">
        <v>38562</v>
      </c>
      <c r="L2713" s="1" t="s">
        <v>3283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5" t="n">
        <v>46196</v>
      </c>
      <c r="C2714" s="1" t="n">
        <v>11</v>
      </c>
      <c r="D2714" s="1" t="s">
        <v>2290</v>
      </c>
      <c r="E2714" s="1" t="n">
        <v>440</v>
      </c>
      <c r="F2714" s="1" t="s">
        <v>812</v>
      </c>
      <c r="I2714" s="1" t="n">
        <v>16675</v>
      </c>
      <c r="J2714" s="1" t="n">
        <v>27629</v>
      </c>
      <c r="K2714" s="1" t="n">
        <v>606529226558</v>
      </c>
      <c r="L2714" s="1" t="s">
        <v>3567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5" t="n">
        <v>46196</v>
      </c>
      <c r="C2715" s="1" t="n">
        <v>11</v>
      </c>
      <c r="D2715" s="1" t="s">
        <v>2290</v>
      </c>
      <c r="E2715" s="1" t="n">
        <v>440</v>
      </c>
      <c r="F2715" s="1" t="s">
        <v>812</v>
      </c>
      <c r="I2715" s="1" t="n">
        <v>16675</v>
      </c>
      <c r="J2715" s="1" t="n">
        <v>61293</v>
      </c>
      <c r="K2715" s="1" t="n">
        <v>7898922012149</v>
      </c>
      <c r="L2715" s="1" t="s">
        <v>3568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5" t="n">
        <v>46196</v>
      </c>
      <c r="C2716" s="1" t="n">
        <v>11</v>
      </c>
      <c r="D2716" s="1" t="s">
        <v>2290</v>
      </c>
      <c r="E2716" s="1" t="n">
        <v>1657</v>
      </c>
      <c r="F2716" s="1" t="s">
        <v>255</v>
      </c>
      <c r="I2716" s="1" t="n">
        <v>289529</v>
      </c>
      <c r="J2716" s="1" t="n">
        <v>102075</v>
      </c>
      <c r="K2716" s="1" t="n">
        <v>7898286200022</v>
      </c>
      <c r="L2716" s="1" t="s">
        <v>3569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5" t="n">
        <v>46196</v>
      </c>
      <c r="C2717" s="1" t="n">
        <v>11</v>
      </c>
      <c r="D2717" s="1" t="s">
        <v>2290</v>
      </c>
      <c r="E2717" s="1" t="n">
        <v>1657</v>
      </c>
      <c r="F2717" s="1" t="s">
        <v>255</v>
      </c>
      <c r="I2717" s="1" t="n">
        <v>289529</v>
      </c>
      <c r="J2717" s="1" t="n">
        <v>102496</v>
      </c>
      <c r="K2717" s="1" t="n">
        <v>7891032012658</v>
      </c>
      <c r="L2717" s="1" t="s">
        <v>3570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5" t="n">
        <v>46196</v>
      </c>
      <c r="C2718" s="1" t="n">
        <v>11</v>
      </c>
      <c r="D2718" s="1" t="s">
        <v>2290</v>
      </c>
      <c r="E2718" s="1" t="n">
        <v>1657</v>
      </c>
      <c r="F2718" s="1" t="s">
        <v>255</v>
      </c>
      <c r="I2718" s="1" t="n">
        <v>289529</v>
      </c>
      <c r="J2718" s="1" t="n">
        <v>102497</v>
      </c>
      <c r="K2718" s="1" t="n">
        <v>7891032013259</v>
      </c>
      <c r="L2718" s="1" t="s">
        <v>3571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5" t="n">
        <v>46196</v>
      </c>
      <c r="C2719" s="1" t="n">
        <v>11</v>
      </c>
      <c r="D2719" s="1" t="s">
        <v>2290</v>
      </c>
      <c r="E2719" s="1" t="n">
        <v>1657</v>
      </c>
      <c r="F2719" s="1" t="s">
        <v>255</v>
      </c>
      <c r="I2719" s="1" t="n">
        <v>289529</v>
      </c>
      <c r="J2719" s="1" t="n">
        <v>102543</v>
      </c>
      <c r="K2719" s="1" t="n">
        <v>7891032016908</v>
      </c>
      <c r="L2719" s="1" t="s">
        <v>3572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5" t="n">
        <v>46196</v>
      </c>
      <c r="C2720" s="1" t="n">
        <v>11</v>
      </c>
      <c r="D2720" s="1" t="s">
        <v>2290</v>
      </c>
      <c r="E2720" s="1" t="n">
        <v>1657</v>
      </c>
      <c r="F2720" s="1" t="s">
        <v>255</v>
      </c>
      <c r="I2720" s="1" t="n">
        <v>289529</v>
      </c>
      <c r="J2720" s="1" t="n">
        <v>104479</v>
      </c>
      <c r="K2720" s="1" t="n">
        <v>7898286200015</v>
      </c>
      <c r="L2720" s="1" t="s">
        <v>3573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5" t="n">
        <v>46196</v>
      </c>
      <c r="C2721" s="1" t="n">
        <v>11</v>
      </c>
      <c r="D2721" s="1" t="s">
        <v>2290</v>
      </c>
      <c r="E2721" s="1" t="n">
        <v>1657</v>
      </c>
      <c r="F2721" s="1" t="s">
        <v>255</v>
      </c>
      <c r="I2721" s="1" t="n">
        <v>289529</v>
      </c>
      <c r="J2721" s="1" t="n">
        <v>104845</v>
      </c>
      <c r="K2721" s="1" t="n">
        <v>70330909229</v>
      </c>
      <c r="L2721" s="1" t="s">
        <v>3499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5" t="n">
        <v>46196</v>
      </c>
      <c r="C2722" s="1" t="n">
        <v>11</v>
      </c>
      <c r="D2722" s="1" t="s">
        <v>2290</v>
      </c>
      <c r="E2722" s="1" t="n">
        <v>1657</v>
      </c>
      <c r="F2722" s="1" t="s">
        <v>255</v>
      </c>
      <c r="I2722" s="1" t="n">
        <v>289529</v>
      </c>
      <c r="J2722" s="1" t="n">
        <v>105794</v>
      </c>
      <c r="K2722" s="1" t="n">
        <v>7896382505898</v>
      </c>
      <c r="L2722" s="1" t="s">
        <v>3574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5" t="n">
        <v>46196</v>
      </c>
      <c r="C2723" s="1" t="n">
        <v>11</v>
      </c>
      <c r="D2723" s="1" t="s">
        <v>2290</v>
      </c>
      <c r="E2723" s="1" t="n">
        <v>1657</v>
      </c>
      <c r="F2723" s="1" t="s">
        <v>255</v>
      </c>
      <c r="I2723" s="1" t="n">
        <v>289529</v>
      </c>
      <c r="J2723" s="1" t="n">
        <v>106017</v>
      </c>
      <c r="K2723" s="1" t="n">
        <v>7891032012351</v>
      </c>
      <c r="L2723" s="1" t="s">
        <v>3575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5" t="n">
        <v>46196</v>
      </c>
      <c r="C2724" s="1" t="n">
        <v>11</v>
      </c>
      <c r="D2724" s="1" t="s">
        <v>2290</v>
      </c>
      <c r="E2724" s="1" t="n">
        <v>1657</v>
      </c>
      <c r="F2724" s="1" t="s">
        <v>255</v>
      </c>
      <c r="I2724" s="1" t="n">
        <v>289529</v>
      </c>
      <c r="J2724" s="1" t="n">
        <v>108743</v>
      </c>
      <c r="K2724" s="1" t="n">
        <v>7891032015604</v>
      </c>
      <c r="L2724" s="1" t="s">
        <v>3576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5" t="n">
        <v>46196</v>
      </c>
      <c r="C2725" s="1" t="n">
        <v>11</v>
      </c>
      <c r="D2725" s="1" t="s">
        <v>2290</v>
      </c>
      <c r="E2725" s="1" t="n">
        <v>1657</v>
      </c>
      <c r="F2725" s="1" t="s">
        <v>255</v>
      </c>
      <c r="I2725" s="1" t="n">
        <v>289529</v>
      </c>
      <c r="J2725" s="1" t="n">
        <v>110051</v>
      </c>
      <c r="K2725" s="1" t="n">
        <v>7896481130267</v>
      </c>
      <c r="L2725" s="1" t="s">
        <v>3577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5" t="n">
        <v>46196</v>
      </c>
      <c r="C2726" s="1" t="n">
        <v>11</v>
      </c>
      <c r="D2726" s="1" t="s">
        <v>2290</v>
      </c>
      <c r="E2726" s="1" t="n">
        <v>1657</v>
      </c>
      <c r="F2726" s="1" t="s">
        <v>255</v>
      </c>
      <c r="I2726" s="1" t="n">
        <v>289529</v>
      </c>
      <c r="J2726" s="1" t="n">
        <v>12703</v>
      </c>
      <c r="K2726" s="1" t="n">
        <v>70330710221</v>
      </c>
      <c r="L2726" s="1" t="s">
        <v>3578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5" t="n">
        <v>46196</v>
      </c>
      <c r="C2727" s="1" t="n">
        <v>11</v>
      </c>
      <c r="D2727" s="1" t="s">
        <v>2290</v>
      </c>
      <c r="E2727" s="1" t="n">
        <v>1657</v>
      </c>
      <c r="F2727" s="1" t="s">
        <v>255</v>
      </c>
      <c r="I2727" s="1" t="n">
        <v>289529</v>
      </c>
      <c r="J2727" s="1" t="n">
        <v>15397</v>
      </c>
      <c r="K2727" s="1" t="n">
        <v>7898927045012</v>
      </c>
      <c r="L2727" s="1" t="s">
        <v>2966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5" t="n">
        <v>46196</v>
      </c>
      <c r="C2728" s="1" t="n">
        <v>11</v>
      </c>
      <c r="D2728" s="1" t="s">
        <v>2290</v>
      </c>
      <c r="E2728" s="1" t="n">
        <v>1657</v>
      </c>
      <c r="F2728" s="1" t="s">
        <v>255</v>
      </c>
      <c r="I2728" s="1" t="n">
        <v>289529</v>
      </c>
      <c r="J2728" s="1" t="n">
        <v>16725</v>
      </c>
      <c r="K2728" s="1" t="n">
        <v>793573980939</v>
      </c>
      <c r="L2728" s="1" t="s">
        <v>3579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5" t="n">
        <v>46196</v>
      </c>
      <c r="C2729" s="1" t="n">
        <v>11</v>
      </c>
      <c r="D2729" s="1" t="s">
        <v>2290</v>
      </c>
      <c r="E2729" s="1" t="n">
        <v>1657</v>
      </c>
      <c r="F2729" s="1" t="s">
        <v>255</v>
      </c>
      <c r="I2729" s="1" t="n">
        <v>289529</v>
      </c>
      <c r="J2729" s="1" t="n">
        <v>28926</v>
      </c>
      <c r="K2729" s="1" t="n">
        <v>7896067203170</v>
      </c>
      <c r="L2729" s="1" t="s">
        <v>2940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5" t="n">
        <v>46196</v>
      </c>
      <c r="C2730" s="1" t="n">
        <v>11</v>
      </c>
      <c r="D2730" s="1" t="s">
        <v>2290</v>
      </c>
      <c r="E2730" s="1" t="n">
        <v>1657</v>
      </c>
      <c r="F2730" s="1" t="s">
        <v>255</v>
      </c>
      <c r="I2730" s="1" t="n">
        <v>289529</v>
      </c>
      <c r="J2730" s="1" t="n">
        <v>28981</v>
      </c>
      <c r="K2730" s="1" t="n">
        <v>58572</v>
      </c>
      <c r="L2730" s="1" t="s">
        <v>2941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5" t="n">
        <v>46196</v>
      </c>
      <c r="C2731" s="1" t="n">
        <v>11</v>
      </c>
      <c r="D2731" s="1" t="s">
        <v>2290</v>
      </c>
      <c r="E2731" s="1" t="n">
        <v>1657</v>
      </c>
      <c r="F2731" s="1" t="s">
        <v>255</v>
      </c>
      <c r="I2731" s="1" t="n">
        <v>289529</v>
      </c>
      <c r="J2731" s="1" t="n">
        <v>29561</v>
      </c>
      <c r="K2731" s="1" t="n">
        <v>7891032015765</v>
      </c>
      <c r="L2731" s="1" t="s">
        <v>3580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5" t="n">
        <v>46196</v>
      </c>
      <c r="C2732" s="1" t="n">
        <v>11</v>
      </c>
      <c r="D2732" s="1" t="s">
        <v>2290</v>
      </c>
      <c r="E2732" s="1" t="n">
        <v>1657</v>
      </c>
      <c r="F2732" s="1" t="s">
        <v>255</v>
      </c>
      <c r="I2732" s="1" t="n">
        <v>289529</v>
      </c>
      <c r="J2732" s="1" t="n">
        <v>29859</v>
      </c>
      <c r="K2732" s="1" t="n">
        <v>7892300002401</v>
      </c>
      <c r="L2732" s="1" t="s">
        <v>3581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5" t="n">
        <v>46196</v>
      </c>
      <c r="C2733" s="1" t="n">
        <v>11</v>
      </c>
      <c r="D2733" s="1" t="s">
        <v>2290</v>
      </c>
      <c r="E2733" s="1" t="n">
        <v>1657</v>
      </c>
      <c r="F2733" s="1" t="s">
        <v>255</v>
      </c>
      <c r="I2733" s="1" t="n">
        <v>289529</v>
      </c>
      <c r="J2733" s="1" t="n">
        <v>31326</v>
      </c>
      <c r="K2733" s="1" t="n">
        <v>7896369612830</v>
      </c>
      <c r="L2733" s="1" t="s">
        <v>3582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5" t="n">
        <v>46196</v>
      </c>
      <c r="C2734" s="1" t="n">
        <v>11</v>
      </c>
      <c r="D2734" s="1" t="s">
        <v>2290</v>
      </c>
      <c r="E2734" s="1" t="n">
        <v>1657</v>
      </c>
      <c r="F2734" s="1" t="s">
        <v>255</v>
      </c>
      <c r="I2734" s="1" t="n">
        <v>289529</v>
      </c>
      <c r="J2734" s="1" t="n">
        <v>35492</v>
      </c>
      <c r="K2734" s="1" t="n">
        <v>7891150068261</v>
      </c>
      <c r="L2734" s="1" t="s">
        <v>3583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5" t="n">
        <v>46196</v>
      </c>
      <c r="C2735" s="1" t="n">
        <v>11</v>
      </c>
      <c r="D2735" s="1" t="s">
        <v>2290</v>
      </c>
      <c r="E2735" s="1" t="n">
        <v>1657</v>
      </c>
      <c r="F2735" s="1" t="s">
        <v>255</v>
      </c>
      <c r="I2735" s="1" t="n">
        <v>289529</v>
      </c>
      <c r="J2735" s="1" t="n">
        <v>41880</v>
      </c>
      <c r="K2735" s="1" t="n">
        <v>70330631328</v>
      </c>
      <c r="L2735" s="1" t="s">
        <v>3584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5" t="n">
        <v>46196</v>
      </c>
      <c r="C2736" s="1" t="n">
        <v>11</v>
      </c>
      <c r="D2736" s="1" t="s">
        <v>2290</v>
      </c>
      <c r="E2736" s="1" t="n">
        <v>1657</v>
      </c>
      <c r="F2736" s="1" t="s">
        <v>255</v>
      </c>
      <c r="I2736" s="1" t="n">
        <v>289529</v>
      </c>
      <c r="J2736" s="1" t="n">
        <v>44962</v>
      </c>
      <c r="K2736" s="1" t="n">
        <v>7898677310002</v>
      </c>
      <c r="L2736" s="1" t="s">
        <v>3585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5" t="n">
        <v>46196</v>
      </c>
      <c r="C2737" s="1" t="n">
        <v>11</v>
      </c>
      <c r="D2737" s="1" t="s">
        <v>2290</v>
      </c>
      <c r="E2737" s="1" t="n">
        <v>1657</v>
      </c>
      <c r="F2737" s="1" t="s">
        <v>255</v>
      </c>
      <c r="I2737" s="1" t="n">
        <v>289529</v>
      </c>
      <c r="J2737" s="1" t="n">
        <v>45210</v>
      </c>
      <c r="K2737" s="1" t="n">
        <v>7891032014621</v>
      </c>
      <c r="L2737" s="1" t="s">
        <v>2773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5" t="n">
        <v>46196</v>
      </c>
      <c r="C2738" s="1" t="n">
        <v>11</v>
      </c>
      <c r="D2738" s="1" t="s">
        <v>2290</v>
      </c>
      <c r="E2738" s="1" t="n">
        <v>1657</v>
      </c>
      <c r="F2738" s="1" t="s">
        <v>255</v>
      </c>
      <c r="I2738" s="1" t="n">
        <v>289529</v>
      </c>
      <c r="J2738" s="1" t="n">
        <v>45289</v>
      </c>
      <c r="K2738" s="1" t="n">
        <v>27891032015554</v>
      </c>
      <c r="L2738" s="1" t="s">
        <v>3586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5" t="n">
        <v>46196</v>
      </c>
      <c r="C2739" s="1" t="n">
        <v>11</v>
      </c>
      <c r="D2739" s="1" t="s">
        <v>2290</v>
      </c>
      <c r="E2739" s="1" t="n">
        <v>1657</v>
      </c>
      <c r="F2739" s="1" t="s">
        <v>255</v>
      </c>
      <c r="I2739" s="1" t="n">
        <v>289529</v>
      </c>
      <c r="J2739" s="1" t="n">
        <v>50882</v>
      </c>
      <c r="K2739" s="1" t="n">
        <v>7898240675026</v>
      </c>
      <c r="L2739" s="1" t="s">
        <v>3587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5" t="n">
        <v>46196</v>
      </c>
      <c r="C2740" s="1" t="n">
        <v>11</v>
      </c>
      <c r="D2740" s="1" t="s">
        <v>2290</v>
      </c>
      <c r="E2740" s="1" t="n">
        <v>1657</v>
      </c>
      <c r="F2740" s="1" t="s">
        <v>255</v>
      </c>
      <c r="I2740" s="1" t="n">
        <v>289529</v>
      </c>
      <c r="J2740" s="1" t="n">
        <v>61012</v>
      </c>
      <c r="K2740" s="1" t="n">
        <v>7898617581271</v>
      </c>
      <c r="L2740" s="1" t="s">
        <v>3503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5" t="n">
        <v>46196</v>
      </c>
      <c r="C2741" s="1" t="n">
        <v>11</v>
      </c>
      <c r="D2741" s="1" t="s">
        <v>2290</v>
      </c>
      <c r="E2741" s="1" t="n">
        <v>1657</v>
      </c>
      <c r="F2741" s="1" t="s">
        <v>255</v>
      </c>
      <c r="I2741" s="1" t="n">
        <v>289529</v>
      </c>
      <c r="J2741" s="1" t="n">
        <v>80284</v>
      </c>
      <c r="K2741" s="1" t="n">
        <v>7891032014690</v>
      </c>
      <c r="L2741" s="1" t="s">
        <v>3588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5" t="n">
        <v>46196</v>
      </c>
      <c r="C2742" s="1" t="n">
        <v>11</v>
      </c>
      <c r="D2742" s="1" t="s">
        <v>2290</v>
      </c>
      <c r="E2742" s="1" t="n">
        <v>1608</v>
      </c>
      <c r="F2742" s="1" t="s">
        <v>41</v>
      </c>
      <c r="I2742" s="1" t="n">
        <v>1678500</v>
      </c>
      <c r="J2742" s="1" t="n">
        <v>80195</v>
      </c>
      <c r="K2742" s="1" t="n">
        <v>7892840824976</v>
      </c>
      <c r="L2742" s="1" t="s">
        <v>2512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5" t="n">
        <v>46196</v>
      </c>
      <c r="C2743" s="1" t="n">
        <v>11</v>
      </c>
      <c r="D2743" s="1" t="s">
        <v>2290</v>
      </c>
      <c r="E2743" s="1" t="n">
        <v>1608</v>
      </c>
      <c r="F2743" s="1" t="s">
        <v>41</v>
      </c>
      <c r="I2743" s="1" t="n">
        <v>1678500</v>
      </c>
      <c r="J2743" s="1" t="n">
        <v>80464</v>
      </c>
      <c r="K2743" s="1" t="n">
        <v>7892840825126</v>
      </c>
      <c r="L2743" s="1" t="s">
        <v>3589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5" t="n">
        <v>46196</v>
      </c>
      <c r="C2744" s="1" t="n">
        <v>171</v>
      </c>
      <c r="D2744" s="1" t="s">
        <v>2517</v>
      </c>
      <c r="E2744" s="1" t="n">
        <v>1955</v>
      </c>
      <c r="F2744" s="1" t="s">
        <v>2216</v>
      </c>
      <c r="I2744" s="1" t="n">
        <v>45988</v>
      </c>
      <c r="J2744" s="1" t="n">
        <v>45153</v>
      </c>
      <c r="K2744" s="1" t="n">
        <v>7899403713715</v>
      </c>
      <c r="L2744" s="1" t="s">
        <v>3504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5" t="n">
        <v>46196</v>
      </c>
      <c r="C2745" s="1" t="n">
        <v>171</v>
      </c>
      <c r="D2745" s="1" t="s">
        <v>2517</v>
      </c>
      <c r="E2745" s="1" t="n">
        <v>1955</v>
      </c>
      <c r="F2745" s="1" t="s">
        <v>2216</v>
      </c>
      <c r="I2745" s="1" t="n">
        <v>45988</v>
      </c>
      <c r="J2745" s="1" t="n">
        <v>45154</v>
      </c>
      <c r="K2745" s="1" t="n">
        <v>2246390</v>
      </c>
      <c r="L2745" s="1" t="s">
        <v>3505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5" t="n">
        <v>46196</v>
      </c>
      <c r="C2746" s="1" t="n">
        <v>171</v>
      </c>
      <c r="D2746" s="1" t="s">
        <v>2517</v>
      </c>
      <c r="E2746" s="1" t="n">
        <v>1955</v>
      </c>
      <c r="F2746" s="1" t="s">
        <v>2216</v>
      </c>
      <c r="I2746" s="1" t="n">
        <v>45988</v>
      </c>
      <c r="J2746" s="1" t="n">
        <v>45155</v>
      </c>
      <c r="K2746" s="1" t="n">
        <v>2246406</v>
      </c>
      <c r="L2746" s="1" t="s">
        <v>3506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5" t="n">
        <v>46197</v>
      </c>
      <c r="C2747" s="1" t="n">
        <v>1</v>
      </c>
      <c r="D2747" s="1" t="s">
        <v>2317</v>
      </c>
      <c r="E2747" s="1" t="n">
        <v>10086</v>
      </c>
      <c r="F2747" s="1" t="s">
        <v>608</v>
      </c>
      <c r="I2747" s="1" t="n">
        <v>27</v>
      </c>
      <c r="J2747" s="1" t="n">
        <v>61580</v>
      </c>
      <c r="K2747" s="1" t="n">
        <v>2258157</v>
      </c>
      <c r="L2747" s="1" t="s">
        <v>2339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5" t="n">
        <v>46197</v>
      </c>
      <c r="C2748" s="1" t="n">
        <v>1</v>
      </c>
      <c r="D2748" s="1" t="s">
        <v>2317</v>
      </c>
      <c r="E2748" s="1" t="n">
        <v>10086</v>
      </c>
      <c r="F2748" s="1" t="s">
        <v>608</v>
      </c>
      <c r="I2748" s="1" t="n">
        <v>28</v>
      </c>
      <c r="J2748" s="1" t="n">
        <v>61580</v>
      </c>
      <c r="K2748" s="1" t="n">
        <v>2258157</v>
      </c>
      <c r="L2748" s="1" t="s">
        <v>2339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5" t="n">
        <v>46197</v>
      </c>
      <c r="C2749" s="1" t="n">
        <v>1</v>
      </c>
      <c r="D2749" s="1" t="s">
        <v>2317</v>
      </c>
      <c r="E2749" s="1" t="n">
        <v>1643</v>
      </c>
      <c r="F2749" s="1" t="s">
        <v>198</v>
      </c>
      <c r="I2749" s="1" t="n">
        <v>10638</v>
      </c>
      <c r="J2749" s="1" t="n">
        <v>63172</v>
      </c>
      <c r="K2749" s="1" t="n">
        <v>7898928536526</v>
      </c>
      <c r="L2749" s="1" t="s">
        <v>2464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5" t="n">
        <v>46197</v>
      </c>
      <c r="C2750" s="1" t="n">
        <v>1</v>
      </c>
      <c r="D2750" s="1" t="s">
        <v>2317</v>
      </c>
      <c r="E2750" s="1" t="n">
        <v>1643</v>
      </c>
      <c r="F2750" s="1" t="s">
        <v>198</v>
      </c>
      <c r="I2750" s="1" t="n">
        <v>10638</v>
      </c>
      <c r="J2750" s="1" t="n">
        <v>63904</v>
      </c>
      <c r="K2750" s="1" t="n">
        <v>7898928536595</v>
      </c>
      <c r="L2750" s="1" t="s">
        <v>2465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5" t="n">
        <v>46197</v>
      </c>
      <c r="C2751" s="1" t="n">
        <v>1</v>
      </c>
      <c r="D2751" s="1" t="s">
        <v>2317</v>
      </c>
      <c r="E2751" s="1" t="n">
        <v>1643</v>
      </c>
      <c r="F2751" s="1" t="s">
        <v>198</v>
      </c>
      <c r="I2751" s="1" t="n">
        <v>10638</v>
      </c>
      <c r="J2751" s="1" t="n">
        <v>64175</v>
      </c>
      <c r="K2751" s="1" t="n">
        <v>7898928536533</v>
      </c>
      <c r="L2751" s="1" t="s">
        <v>2465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5" t="n">
        <v>46197</v>
      </c>
      <c r="C2752" s="1" t="n">
        <v>1</v>
      </c>
      <c r="D2752" s="1" t="s">
        <v>2317</v>
      </c>
      <c r="E2752" s="1" t="n">
        <v>1605</v>
      </c>
      <c r="F2752" s="1" t="s">
        <v>113</v>
      </c>
      <c r="I2752" s="1" t="n">
        <v>215700</v>
      </c>
      <c r="J2752" s="1" t="n">
        <v>102574</v>
      </c>
      <c r="K2752" s="1" t="n">
        <v>7896051114086</v>
      </c>
      <c r="L2752" s="1" t="s">
        <v>3590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5" t="n">
        <v>46197</v>
      </c>
      <c r="C2753" s="1" t="n">
        <v>1</v>
      </c>
      <c r="D2753" s="1" t="s">
        <v>2317</v>
      </c>
      <c r="E2753" s="1" t="n">
        <v>1605</v>
      </c>
      <c r="F2753" s="1" t="s">
        <v>113</v>
      </c>
      <c r="I2753" s="1" t="n">
        <v>215700</v>
      </c>
      <c r="J2753" s="1" t="n">
        <v>102577</v>
      </c>
      <c r="K2753" s="1" t="n">
        <v>7898080640222</v>
      </c>
      <c r="L2753" s="1" t="s">
        <v>2368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5" t="n">
        <v>46197</v>
      </c>
      <c r="C2754" s="1" t="n">
        <v>1</v>
      </c>
      <c r="D2754" s="1" t="s">
        <v>2317</v>
      </c>
      <c r="E2754" s="1" t="n">
        <v>1605</v>
      </c>
      <c r="F2754" s="1" t="s">
        <v>113</v>
      </c>
      <c r="I2754" s="1" t="n">
        <v>215700</v>
      </c>
      <c r="J2754" s="1" t="n">
        <v>103330</v>
      </c>
      <c r="K2754" s="1" t="n">
        <v>7898080640239</v>
      </c>
      <c r="L2754" s="1" t="s">
        <v>2369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5" t="n">
        <v>46197</v>
      </c>
      <c r="C2755" s="1" t="n">
        <v>1</v>
      </c>
      <c r="D2755" s="1" t="s">
        <v>2317</v>
      </c>
      <c r="E2755" s="1" t="n">
        <v>1605</v>
      </c>
      <c r="F2755" s="1" t="s">
        <v>113</v>
      </c>
      <c r="I2755" s="1" t="n">
        <v>215700</v>
      </c>
      <c r="J2755" s="1" t="n">
        <v>14127</v>
      </c>
      <c r="K2755" s="1" t="n">
        <v>7898080640635</v>
      </c>
      <c r="L2755" s="1" t="s">
        <v>3591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5" t="n">
        <v>46197</v>
      </c>
      <c r="C2756" s="1" t="n">
        <v>1</v>
      </c>
      <c r="D2756" s="1" t="s">
        <v>2317</v>
      </c>
      <c r="E2756" s="1" t="n">
        <v>1605</v>
      </c>
      <c r="F2756" s="1" t="s">
        <v>113</v>
      </c>
      <c r="I2756" s="1" t="n">
        <v>215700</v>
      </c>
      <c r="J2756" s="1" t="n">
        <v>14128</v>
      </c>
      <c r="K2756" s="1" t="n">
        <v>7898080640611</v>
      </c>
      <c r="L2756" s="1" t="s">
        <v>2794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5" t="n">
        <v>46197</v>
      </c>
      <c r="C2757" s="1" t="n">
        <v>1</v>
      </c>
      <c r="D2757" s="1" t="s">
        <v>2317</v>
      </c>
      <c r="E2757" s="1" t="n">
        <v>1605</v>
      </c>
      <c r="F2757" s="1" t="s">
        <v>113</v>
      </c>
      <c r="I2757" s="1" t="n">
        <v>215700</v>
      </c>
      <c r="J2757" s="1" t="n">
        <v>14222</v>
      </c>
      <c r="K2757" s="1" t="n">
        <v>7898080640536</v>
      </c>
      <c r="L2757" s="1" t="s">
        <v>2885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5" t="n">
        <v>46197</v>
      </c>
      <c r="C2758" s="1" t="n">
        <v>1</v>
      </c>
      <c r="D2758" s="1" t="s">
        <v>2317</v>
      </c>
      <c r="E2758" s="1" t="n">
        <v>1605</v>
      </c>
      <c r="F2758" s="1" t="s">
        <v>113</v>
      </c>
      <c r="I2758" s="1" t="n">
        <v>215700</v>
      </c>
      <c r="J2758" s="1" t="n">
        <v>14417</v>
      </c>
      <c r="K2758" s="1" t="n">
        <v>7898080640543</v>
      </c>
      <c r="L2758" s="1" t="s">
        <v>3592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5" t="n">
        <v>46197</v>
      </c>
      <c r="C2759" s="1" t="n">
        <v>1</v>
      </c>
      <c r="D2759" s="1" t="s">
        <v>2317</v>
      </c>
      <c r="E2759" s="1" t="n">
        <v>1605</v>
      </c>
      <c r="F2759" s="1" t="s">
        <v>113</v>
      </c>
      <c r="I2759" s="1" t="n">
        <v>215700</v>
      </c>
      <c r="J2759" s="1" t="n">
        <v>15645</v>
      </c>
      <c r="K2759" s="1" t="n">
        <v>7891999948908</v>
      </c>
      <c r="L2759" s="1" t="s">
        <v>2886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5" t="n">
        <v>46197</v>
      </c>
      <c r="C2760" s="1" t="n">
        <v>2</v>
      </c>
      <c r="D2760" s="1" t="s">
        <v>2283</v>
      </c>
      <c r="E2760" s="1" t="n">
        <v>42</v>
      </c>
      <c r="F2760" s="1" t="s">
        <v>80</v>
      </c>
      <c r="I2760" s="1" t="n">
        <v>240601</v>
      </c>
      <c r="J2760" s="1" t="n">
        <v>100103</v>
      </c>
      <c r="K2760" s="1" t="n">
        <v>104</v>
      </c>
      <c r="L2760" s="1" t="s">
        <v>2287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5" t="n">
        <v>46197</v>
      </c>
      <c r="C2761" s="1" t="n">
        <v>2</v>
      </c>
      <c r="D2761" s="1" t="s">
        <v>2283</v>
      </c>
      <c r="E2761" s="1" t="n">
        <v>42</v>
      </c>
      <c r="F2761" s="1" t="s">
        <v>80</v>
      </c>
      <c r="I2761" s="1" t="n">
        <v>240602</v>
      </c>
      <c r="J2761" s="1" t="n">
        <v>109791</v>
      </c>
      <c r="K2761" s="1" t="n">
        <v>9667</v>
      </c>
      <c r="L2761" s="1" t="s">
        <v>2284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5" t="n">
        <v>46197</v>
      </c>
      <c r="C2762" s="1" t="n">
        <v>2</v>
      </c>
      <c r="D2762" s="1" t="s">
        <v>2283</v>
      </c>
      <c r="E2762" s="1" t="n">
        <v>42</v>
      </c>
      <c r="F2762" s="1" t="s">
        <v>80</v>
      </c>
      <c r="I2762" s="1" t="n">
        <v>240602</v>
      </c>
      <c r="J2762" s="1" t="n">
        <v>37359</v>
      </c>
      <c r="K2762" s="1" t="n">
        <v>55526</v>
      </c>
      <c r="L2762" s="1" t="s">
        <v>2285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5" t="n">
        <v>46197</v>
      </c>
      <c r="C2763" s="1" t="n">
        <v>2</v>
      </c>
      <c r="D2763" s="1" t="s">
        <v>2283</v>
      </c>
      <c r="E2763" s="1" t="n">
        <v>42</v>
      </c>
      <c r="F2763" s="1" t="s">
        <v>80</v>
      </c>
      <c r="I2763" s="1" t="n">
        <v>240602</v>
      </c>
      <c r="J2763" s="1" t="n">
        <v>37361</v>
      </c>
      <c r="K2763" s="1" t="n">
        <v>2240817</v>
      </c>
      <c r="L2763" s="1" t="s">
        <v>2286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5" t="n">
        <v>46197</v>
      </c>
      <c r="C2764" s="1" t="n">
        <v>6</v>
      </c>
      <c r="D2764" s="1" t="s">
        <v>2289</v>
      </c>
      <c r="E2764" s="1" t="n">
        <v>42</v>
      </c>
      <c r="F2764" s="1" t="s">
        <v>80</v>
      </c>
      <c r="I2764" s="1" t="n">
        <v>4304</v>
      </c>
      <c r="J2764" s="1" t="n">
        <v>100103</v>
      </c>
      <c r="K2764" s="1" t="n">
        <v>104</v>
      </c>
      <c r="L2764" s="1" t="s">
        <v>2287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5" t="n">
        <v>46197</v>
      </c>
      <c r="C2765" s="1" t="n">
        <v>6</v>
      </c>
      <c r="D2765" s="1" t="s">
        <v>2289</v>
      </c>
      <c r="E2765" s="1" t="n">
        <v>42</v>
      </c>
      <c r="F2765" s="1" t="s">
        <v>80</v>
      </c>
      <c r="I2765" s="1" t="n">
        <v>4305</v>
      </c>
      <c r="J2765" s="1" t="n">
        <v>109791</v>
      </c>
      <c r="K2765" s="1" t="n">
        <v>9667</v>
      </c>
      <c r="L2765" s="1" t="s">
        <v>2284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5" t="n">
        <v>46197</v>
      </c>
      <c r="C2766" s="1" t="n">
        <v>6</v>
      </c>
      <c r="D2766" s="1" t="s">
        <v>2289</v>
      </c>
      <c r="E2766" s="1" t="n">
        <v>42</v>
      </c>
      <c r="F2766" s="1" t="s">
        <v>80</v>
      </c>
      <c r="I2766" s="1" t="n">
        <v>4305</v>
      </c>
      <c r="J2766" s="1" t="n">
        <v>37359</v>
      </c>
      <c r="K2766" s="1" t="n">
        <v>55526</v>
      </c>
      <c r="L2766" s="1" t="s">
        <v>2285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5" t="n">
        <v>46197</v>
      </c>
      <c r="C2767" s="1" t="n">
        <v>6</v>
      </c>
      <c r="D2767" s="1" t="s">
        <v>2289</v>
      </c>
      <c r="E2767" s="1" t="n">
        <v>42</v>
      </c>
      <c r="F2767" s="1" t="s">
        <v>80</v>
      </c>
      <c r="I2767" s="1" t="n">
        <v>4305</v>
      </c>
      <c r="J2767" s="1" t="n">
        <v>37361</v>
      </c>
      <c r="K2767" s="1" t="n">
        <v>2240817</v>
      </c>
      <c r="L2767" s="1" t="s">
        <v>2286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5" t="n">
        <v>46197</v>
      </c>
      <c r="C2768" s="1" t="n">
        <v>6</v>
      </c>
      <c r="D2768" s="1" t="s">
        <v>2289</v>
      </c>
      <c r="E2768" s="1" t="n">
        <v>42</v>
      </c>
      <c r="F2768" s="1" t="s">
        <v>80</v>
      </c>
      <c r="I2768" s="1" t="n">
        <v>4306</v>
      </c>
      <c r="J2768" s="1" t="n">
        <v>52668</v>
      </c>
      <c r="K2768" s="1" t="n">
        <v>7898306020036</v>
      </c>
      <c r="L2768" s="1" t="s">
        <v>2918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5" t="n">
        <v>46197</v>
      </c>
      <c r="C2769" s="1" t="n">
        <v>6</v>
      </c>
      <c r="D2769" s="1" t="s">
        <v>2289</v>
      </c>
      <c r="E2769" s="1" t="n">
        <v>42</v>
      </c>
      <c r="F2769" s="1" t="s">
        <v>80</v>
      </c>
      <c r="I2769" s="1" t="n">
        <v>4306</v>
      </c>
      <c r="J2769" s="1" t="n">
        <v>74674</v>
      </c>
      <c r="K2769" s="1" t="n">
        <v>741</v>
      </c>
      <c r="L2769" s="1" t="s">
        <v>2919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5" t="n">
        <v>46197</v>
      </c>
      <c r="C2770" s="1" t="n">
        <v>6</v>
      </c>
      <c r="D2770" s="1" t="s">
        <v>2289</v>
      </c>
      <c r="E2770" s="1" t="n">
        <v>42</v>
      </c>
      <c r="F2770" s="1" t="s">
        <v>80</v>
      </c>
      <c r="I2770" s="1" t="n">
        <v>4306</v>
      </c>
      <c r="J2770" s="1" t="n">
        <v>81476</v>
      </c>
      <c r="K2770" s="1" t="n">
        <v>606529243579</v>
      </c>
      <c r="L2770" s="1" t="s">
        <v>3497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5" t="n">
        <v>46197</v>
      </c>
      <c r="C2771" s="1" t="n">
        <v>11</v>
      </c>
      <c r="D2771" s="1" t="s">
        <v>2290</v>
      </c>
      <c r="E2771" s="1" t="n">
        <v>10018</v>
      </c>
      <c r="F2771" s="1" t="s">
        <v>654</v>
      </c>
      <c r="I2771" s="1" t="n">
        <v>310</v>
      </c>
      <c r="J2771" s="1" t="n">
        <v>100933</v>
      </c>
      <c r="K2771" s="1" t="n">
        <v>7896982100059</v>
      </c>
      <c r="L2771" s="1" t="s">
        <v>2520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5" t="n">
        <v>46197</v>
      </c>
      <c r="C2772" s="1" t="n">
        <v>11</v>
      </c>
      <c r="D2772" s="1" t="s">
        <v>2290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3593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5" t="n">
        <v>46197</v>
      </c>
      <c r="C2773" s="1" t="n">
        <v>11</v>
      </c>
      <c r="D2773" s="1" t="s">
        <v>2290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2739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5" t="n">
        <v>46197</v>
      </c>
      <c r="C2774" s="1" t="n">
        <v>11</v>
      </c>
      <c r="D2774" s="1" t="s">
        <v>2290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2740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5" t="n">
        <v>46197</v>
      </c>
      <c r="C2775" s="1" t="n">
        <v>11</v>
      </c>
      <c r="D2775" s="1" t="s">
        <v>2290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3594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5" t="n">
        <v>46197</v>
      </c>
      <c r="C2776" s="1" t="n">
        <v>11</v>
      </c>
      <c r="D2776" s="1" t="s">
        <v>2290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3595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5" t="n">
        <v>46197</v>
      </c>
      <c r="C2777" s="1" t="n">
        <v>11</v>
      </c>
      <c r="D2777" s="1" t="s">
        <v>2290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3596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5" t="n">
        <v>46197</v>
      </c>
      <c r="C2778" s="1" t="n">
        <v>11</v>
      </c>
      <c r="D2778" s="1" t="s">
        <v>2290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3597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5" t="n">
        <v>46197</v>
      </c>
      <c r="C2779" s="1" t="n">
        <v>11</v>
      </c>
      <c r="D2779" s="1" t="s">
        <v>2290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3598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5" t="n">
        <v>46197</v>
      </c>
      <c r="C2780" s="1" t="n">
        <v>11</v>
      </c>
      <c r="D2780" s="1" t="s">
        <v>2290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3599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5" t="n">
        <v>46197</v>
      </c>
      <c r="C2781" s="1" t="n">
        <v>11</v>
      </c>
      <c r="D2781" s="1" t="s">
        <v>2290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3600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5" t="n">
        <v>46197</v>
      </c>
      <c r="C2782" s="1" t="n">
        <v>11</v>
      </c>
      <c r="D2782" s="1" t="s">
        <v>2290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3601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5" t="n">
        <v>46197</v>
      </c>
      <c r="C2783" s="1" t="n">
        <v>11</v>
      </c>
      <c r="D2783" s="1" t="s">
        <v>2290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3602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5" t="n">
        <v>46197</v>
      </c>
      <c r="C2784" s="1" t="n">
        <v>11</v>
      </c>
      <c r="D2784" s="1" t="s">
        <v>2290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2481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5" t="n">
        <v>46197</v>
      </c>
      <c r="C2785" s="1" t="n">
        <v>11</v>
      </c>
      <c r="D2785" s="1" t="s">
        <v>2290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3603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5" t="n">
        <v>46197</v>
      </c>
      <c r="C2786" s="1" t="n">
        <v>11</v>
      </c>
      <c r="D2786" s="1" t="s">
        <v>2290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3604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5" t="n">
        <v>46197</v>
      </c>
      <c r="C2787" s="1" t="n">
        <v>11</v>
      </c>
      <c r="D2787" s="1" t="s">
        <v>2290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3605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5" t="n">
        <v>46197</v>
      </c>
      <c r="C2788" s="1" t="n">
        <v>11</v>
      </c>
      <c r="D2788" s="1" t="s">
        <v>2290</v>
      </c>
      <c r="E2788" s="1" t="n">
        <v>1166</v>
      </c>
      <c r="F2788" s="1" t="s">
        <v>941</v>
      </c>
      <c r="I2788" s="1" t="n">
        <v>34237</v>
      </c>
      <c r="J2788" s="1" t="n">
        <v>23695</v>
      </c>
      <c r="K2788" s="1" t="n">
        <v>7891515474126</v>
      </c>
      <c r="L2788" s="1" t="s">
        <v>2995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5" t="n">
        <v>46197</v>
      </c>
      <c r="C2789" s="1" t="n">
        <v>11</v>
      </c>
      <c r="D2789" s="1" t="s">
        <v>2290</v>
      </c>
      <c r="E2789" s="1" t="n">
        <v>1166</v>
      </c>
      <c r="F2789" s="1" t="s">
        <v>941</v>
      </c>
      <c r="I2789" s="1" t="n">
        <v>34237</v>
      </c>
      <c r="J2789" s="1" t="n">
        <v>37568</v>
      </c>
      <c r="K2789" s="1" t="n">
        <v>7891151039772</v>
      </c>
      <c r="L2789" s="1" t="s">
        <v>3130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5" t="n">
        <v>46197</v>
      </c>
      <c r="C2790" s="1" t="n">
        <v>11</v>
      </c>
      <c r="D2790" s="1" t="s">
        <v>2290</v>
      </c>
      <c r="E2790" s="1" t="n">
        <v>1166</v>
      </c>
      <c r="F2790" s="1" t="s">
        <v>941</v>
      </c>
      <c r="I2790" s="1" t="n">
        <v>34237</v>
      </c>
      <c r="J2790" s="1" t="n">
        <v>43002</v>
      </c>
      <c r="K2790" s="1" t="n">
        <v>7891151039802</v>
      </c>
      <c r="L2790" s="1" t="s">
        <v>3137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5" t="n">
        <v>46197</v>
      </c>
      <c r="C2791" s="1" t="n">
        <v>11</v>
      </c>
      <c r="D2791" s="1" t="s">
        <v>2290</v>
      </c>
      <c r="E2791" s="1" t="n">
        <v>1166</v>
      </c>
      <c r="F2791" s="1" t="s">
        <v>941</v>
      </c>
      <c r="I2791" s="1" t="n">
        <v>34237</v>
      </c>
      <c r="J2791" s="1" t="n">
        <v>75782</v>
      </c>
      <c r="K2791" s="1" t="n">
        <v>7891151042536</v>
      </c>
      <c r="L2791" s="1" t="s">
        <v>3606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5" t="n">
        <v>46197</v>
      </c>
      <c r="C2792" s="1" t="n">
        <v>11</v>
      </c>
      <c r="D2792" s="1" t="s">
        <v>2290</v>
      </c>
      <c r="E2792" s="1" t="n">
        <v>1166</v>
      </c>
      <c r="F2792" s="1" t="s">
        <v>941</v>
      </c>
      <c r="I2792" s="1" t="n">
        <v>34237</v>
      </c>
      <c r="J2792" s="1" t="n">
        <v>81488</v>
      </c>
      <c r="K2792" s="1" t="n">
        <v>7891151042475</v>
      </c>
      <c r="L2792" s="1" t="s">
        <v>3607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5" t="n">
        <v>46197</v>
      </c>
      <c r="C2793" s="1" t="n">
        <v>11</v>
      </c>
      <c r="D2793" s="1" t="s">
        <v>2290</v>
      </c>
      <c r="E2793" s="1" t="n">
        <v>616</v>
      </c>
      <c r="F2793" s="1" t="s">
        <v>2224</v>
      </c>
      <c r="I2793" s="1" t="n">
        <v>311947</v>
      </c>
      <c r="J2793" s="1" t="n">
        <v>61750</v>
      </c>
      <c r="K2793" s="1" t="n">
        <v>7895110044005</v>
      </c>
      <c r="L2793" s="1" t="s">
        <v>3608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5" t="n">
        <v>46197</v>
      </c>
      <c r="C2794" s="1" t="n">
        <v>11</v>
      </c>
      <c r="D2794" s="1" t="s">
        <v>2290</v>
      </c>
      <c r="E2794" s="1" t="n">
        <v>1671</v>
      </c>
      <c r="F2794" s="1" t="s">
        <v>57</v>
      </c>
      <c r="I2794" s="1" t="n">
        <v>563256</v>
      </c>
      <c r="J2794" s="1" t="n">
        <v>26029</v>
      </c>
      <c r="K2794" s="1" t="n">
        <v>7891024131459</v>
      </c>
      <c r="L2794" s="1" t="s">
        <v>3609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5" t="n">
        <v>46197</v>
      </c>
      <c r="C2795" s="1" t="n">
        <v>11</v>
      </c>
      <c r="D2795" s="1" t="s">
        <v>2290</v>
      </c>
      <c r="E2795" s="1" t="n">
        <v>1671</v>
      </c>
      <c r="F2795" s="1" t="s">
        <v>57</v>
      </c>
      <c r="I2795" s="1" t="n">
        <v>563256</v>
      </c>
      <c r="J2795" s="1" t="n">
        <v>37040</v>
      </c>
      <c r="K2795" s="1" t="n">
        <v>7896264670577</v>
      </c>
      <c r="L2795" s="1" t="s">
        <v>3610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5" t="n">
        <v>46197</v>
      </c>
      <c r="C2796" s="1" t="n">
        <v>11</v>
      </c>
      <c r="D2796" s="1" t="s">
        <v>2290</v>
      </c>
      <c r="E2796" s="1" t="n">
        <v>1705</v>
      </c>
      <c r="F2796" s="1" t="s">
        <v>122</v>
      </c>
      <c r="I2796" s="1" t="n">
        <v>1175872</v>
      </c>
      <c r="J2796" s="1" t="n">
        <v>102360</v>
      </c>
      <c r="K2796" s="1" t="n">
        <v>7894900593709</v>
      </c>
      <c r="L2796" s="1" t="s">
        <v>3187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5" t="n">
        <v>46197</v>
      </c>
      <c r="C2797" s="1" t="n">
        <v>11</v>
      </c>
      <c r="D2797" s="1" t="s">
        <v>2290</v>
      </c>
      <c r="E2797" s="1" t="n">
        <v>1705</v>
      </c>
      <c r="F2797" s="1" t="s">
        <v>122</v>
      </c>
      <c r="I2797" s="1" t="n">
        <v>1175872</v>
      </c>
      <c r="J2797" s="1" t="n">
        <v>102362</v>
      </c>
      <c r="K2797" s="1" t="n">
        <v>7894900583700</v>
      </c>
      <c r="L2797" s="1" t="s">
        <v>3188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5" t="n">
        <v>46197</v>
      </c>
      <c r="C2798" s="1" t="n">
        <v>11</v>
      </c>
      <c r="D2798" s="1" t="s">
        <v>2290</v>
      </c>
      <c r="E2798" s="1" t="n">
        <v>1705</v>
      </c>
      <c r="F2798" s="1" t="s">
        <v>122</v>
      </c>
      <c r="I2798" s="1" t="n">
        <v>1175872</v>
      </c>
      <c r="J2798" s="1" t="n">
        <v>24324</v>
      </c>
      <c r="K2798" s="1" t="n">
        <v>70847022015</v>
      </c>
      <c r="L2798" s="1" t="s">
        <v>2292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15" t="n">
        <v>46197</v>
      </c>
      <c r="C2799" s="1" t="n">
        <v>11</v>
      </c>
      <c r="D2799" s="1" t="s">
        <v>2290</v>
      </c>
      <c r="E2799" s="1" t="n">
        <v>1705</v>
      </c>
      <c r="F2799" s="1" t="s">
        <v>122</v>
      </c>
      <c r="I2799" s="1" t="n">
        <v>1175872</v>
      </c>
      <c r="J2799" s="1" t="n">
        <v>25136</v>
      </c>
      <c r="K2799" s="1" t="n">
        <v>70847022206</v>
      </c>
      <c r="L2799" s="1" t="s">
        <v>2293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15" t="n">
        <v>46197</v>
      </c>
      <c r="C2800" s="1" t="n">
        <v>11</v>
      </c>
      <c r="D2800" s="1" t="s">
        <v>2290</v>
      </c>
      <c r="E2800" s="1" t="n">
        <v>1705</v>
      </c>
      <c r="F2800" s="1" t="s">
        <v>122</v>
      </c>
      <c r="I2800" s="1" t="n">
        <v>1175872</v>
      </c>
      <c r="J2800" s="1" t="n">
        <v>25906</v>
      </c>
      <c r="K2800" s="1" t="n">
        <v>7894900030396</v>
      </c>
      <c r="L2800" s="1" t="s">
        <v>3189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15" t="n">
        <v>46197</v>
      </c>
      <c r="C2801" s="1" t="n">
        <v>11</v>
      </c>
      <c r="D2801" s="1" t="s">
        <v>2290</v>
      </c>
      <c r="E2801" s="1" t="n">
        <v>1705</v>
      </c>
      <c r="F2801" s="1" t="s">
        <v>122</v>
      </c>
      <c r="I2801" s="1" t="n">
        <v>1175872</v>
      </c>
      <c r="J2801" s="1" t="n">
        <v>26195</v>
      </c>
      <c r="K2801" s="1" t="n">
        <v>7894900010398</v>
      </c>
      <c r="L2801" s="1" t="s">
        <v>3254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5" t="n">
        <v>46197</v>
      </c>
      <c r="C2802" s="1" t="n">
        <v>11</v>
      </c>
      <c r="D2802" s="1" t="s">
        <v>2290</v>
      </c>
      <c r="E2802" s="1" t="n">
        <v>1705</v>
      </c>
      <c r="F2802" s="1" t="s">
        <v>122</v>
      </c>
      <c r="I2802" s="1" t="n">
        <v>1175872</v>
      </c>
      <c r="J2802" s="1" t="n">
        <v>29748</v>
      </c>
      <c r="K2802" s="1" t="n">
        <v>70847033301</v>
      </c>
      <c r="L2802" s="1" t="s">
        <v>3611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5" t="n">
        <v>46197</v>
      </c>
      <c r="C2803" s="1" t="n">
        <v>11</v>
      </c>
      <c r="D2803" s="1" t="s">
        <v>2290</v>
      </c>
      <c r="E2803" s="1" t="n">
        <v>1705</v>
      </c>
      <c r="F2803" s="1" t="s">
        <v>122</v>
      </c>
      <c r="I2803" s="1" t="n">
        <v>1175872</v>
      </c>
      <c r="J2803" s="1" t="n">
        <v>47082</v>
      </c>
      <c r="K2803" s="1" t="n">
        <v>1220000250031</v>
      </c>
      <c r="L2803" s="1" t="s">
        <v>2295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5" t="n">
        <v>46197</v>
      </c>
      <c r="C2804" s="1" t="n">
        <v>11</v>
      </c>
      <c r="D2804" s="1" t="s">
        <v>2290</v>
      </c>
      <c r="E2804" s="1" t="n">
        <v>1705</v>
      </c>
      <c r="F2804" s="1" t="s">
        <v>122</v>
      </c>
      <c r="I2804" s="1" t="n">
        <v>1175872</v>
      </c>
      <c r="J2804" s="1" t="n">
        <v>66038</v>
      </c>
      <c r="K2804" s="1" t="n">
        <v>7898938890076</v>
      </c>
      <c r="L2804" s="1" t="s">
        <v>3612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5" t="n">
        <v>46197</v>
      </c>
      <c r="C2805" s="1" t="n">
        <v>11</v>
      </c>
      <c r="D2805" s="1" t="s">
        <v>2290</v>
      </c>
      <c r="E2805" s="1" t="n">
        <v>1705</v>
      </c>
      <c r="F2805" s="1" t="s">
        <v>122</v>
      </c>
      <c r="I2805" s="1" t="n">
        <v>1175872</v>
      </c>
      <c r="J2805" s="1" t="n">
        <v>78351</v>
      </c>
      <c r="K2805" s="1" t="n">
        <v>7894900530032</v>
      </c>
      <c r="L2805" s="1" t="s">
        <v>3613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5" t="n">
        <v>46197</v>
      </c>
      <c r="C2806" s="1" t="n">
        <v>11</v>
      </c>
      <c r="D2806" s="1" t="s">
        <v>2290</v>
      </c>
      <c r="E2806" s="1" t="n">
        <v>1705</v>
      </c>
      <c r="F2806" s="1" t="s">
        <v>122</v>
      </c>
      <c r="I2806" s="1" t="n">
        <v>1175872</v>
      </c>
      <c r="J2806" s="1" t="n">
        <v>79144</v>
      </c>
      <c r="K2806" s="1" t="n">
        <v>7894900025026</v>
      </c>
      <c r="L2806" s="1" t="s">
        <v>3255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5" t="n">
        <v>46197</v>
      </c>
      <c r="C2807" s="1" t="n">
        <v>11</v>
      </c>
      <c r="D2807" s="1" t="s">
        <v>2290</v>
      </c>
      <c r="E2807" s="1" t="n">
        <v>1705</v>
      </c>
      <c r="F2807" s="1" t="s">
        <v>122</v>
      </c>
      <c r="I2807" s="1" t="n">
        <v>1175872</v>
      </c>
      <c r="J2807" s="1" t="n">
        <v>80105</v>
      </c>
      <c r="K2807" s="1" t="n">
        <v>7898770420042</v>
      </c>
      <c r="L2807" s="1" t="s">
        <v>3614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5" t="n">
        <v>46197</v>
      </c>
      <c r="C2808" s="1" t="n">
        <v>11</v>
      </c>
      <c r="D2808" s="1" t="s">
        <v>2290</v>
      </c>
      <c r="E2808" s="1" t="n">
        <v>1672</v>
      </c>
      <c r="F2808" s="1" t="s">
        <v>67</v>
      </c>
      <c r="I2808" s="1" t="n">
        <v>1376471</v>
      </c>
      <c r="J2808" s="1" t="n">
        <v>101308</v>
      </c>
      <c r="K2808" s="1" t="n">
        <v>7896579330098</v>
      </c>
      <c r="L2808" s="1" t="s">
        <v>2434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5" t="n">
        <v>46197</v>
      </c>
      <c r="C2809" s="1" t="n">
        <v>11</v>
      </c>
      <c r="D2809" s="1" t="s">
        <v>2290</v>
      </c>
      <c r="E2809" s="1" t="n">
        <v>1672</v>
      </c>
      <c r="F2809" s="1" t="s">
        <v>67</v>
      </c>
      <c r="I2809" s="1" t="n">
        <v>1376471</v>
      </c>
      <c r="J2809" s="1" t="n">
        <v>37507</v>
      </c>
      <c r="K2809" s="1" t="n">
        <v>7896579310854</v>
      </c>
      <c r="L2809" s="1" t="s">
        <v>2435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5" t="n">
        <v>46197</v>
      </c>
      <c r="C2810" s="1" t="n">
        <v>11</v>
      </c>
      <c r="D2810" s="1" t="s">
        <v>2290</v>
      </c>
      <c r="E2810" s="1" t="n">
        <v>1608</v>
      </c>
      <c r="F2810" s="1" t="s">
        <v>41</v>
      </c>
      <c r="I2810" s="1" t="n">
        <v>1678539</v>
      </c>
      <c r="J2810" s="1" t="n">
        <v>102366</v>
      </c>
      <c r="K2810" s="1" t="n">
        <v>7894321722016</v>
      </c>
      <c r="L2810" s="1" t="s">
        <v>2493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5" t="n">
        <v>46197</v>
      </c>
      <c r="C2811" s="1" t="n">
        <v>11</v>
      </c>
      <c r="D2811" s="1" t="s">
        <v>2290</v>
      </c>
      <c r="E2811" s="1" t="n">
        <v>1608</v>
      </c>
      <c r="F2811" s="1" t="s">
        <v>41</v>
      </c>
      <c r="I2811" s="1" t="n">
        <v>1678539</v>
      </c>
      <c r="J2811" s="1" t="n">
        <v>104454</v>
      </c>
      <c r="K2811" s="1" t="n">
        <v>7892840142124</v>
      </c>
      <c r="L2811" s="1" t="s">
        <v>2494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5" t="n">
        <v>46197</v>
      </c>
      <c r="C2812" s="1" t="n">
        <v>11</v>
      </c>
      <c r="D2812" s="1" t="s">
        <v>2290</v>
      </c>
      <c r="E2812" s="1" t="n">
        <v>1608</v>
      </c>
      <c r="F2812" s="1" t="s">
        <v>41</v>
      </c>
      <c r="I2812" s="1" t="n">
        <v>1678539</v>
      </c>
      <c r="J2812" s="1" t="n">
        <v>32249</v>
      </c>
      <c r="K2812" s="1" t="n">
        <v>7892840815752</v>
      </c>
      <c r="L2812" s="1" t="s">
        <v>2495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5" t="n">
        <v>46197</v>
      </c>
      <c r="C2813" s="1" t="n">
        <v>11</v>
      </c>
      <c r="D2813" s="1" t="s">
        <v>2290</v>
      </c>
      <c r="E2813" s="1" t="n">
        <v>1608</v>
      </c>
      <c r="F2813" s="1" t="s">
        <v>41</v>
      </c>
      <c r="I2813" s="1" t="n">
        <v>1678539</v>
      </c>
      <c r="J2813" s="1" t="n">
        <v>32648</v>
      </c>
      <c r="K2813" s="1" t="n">
        <v>7892840815769</v>
      </c>
      <c r="L2813" s="1" t="s">
        <v>2496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5" t="n">
        <v>46197</v>
      </c>
      <c r="C2814" s="1" t="n">
        <v>11</v>
      </c>
      <c r="D2814" s="1" t="s">
        <v>2290</v>
      </c>
      <c r="E2814" s="1" t="n">
        <v>1608</v>
      </c>
      <c r="F2814" s="1" t="s">
        <v>41</v>
      </c>
      <c r="I2814" s="1" t="n">
        <v>1678539</v>
      </c>
      <c r="J2814" s="1" t="n">
        <v>36474</v>
      </c>
      <c r="K2814" s="1" t="n">
        <v>7892840815745</v>
      </c>
      <c r="L2814" s="1" t="s">
        <v>2497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5" t="n">
        <v>46197</v>
      </c>
      <c r="C2815" s="1" t="n">
        <v>11</v>
      </c>
      <c r="D2815" s="1" t="s">
        <v>2290</v>
      </c>
      <c r="E2815" s="1" t="n">
        <v>1608</v>
      </c>
      <c r="F2815" s="1" t="s">
        <v>41</v>
      </c>
      <c r="I2815" s="1" t="n">
        <v>1678539</v>
      </c>
      <c r="J2815" s="1" t="n">
        <v>65341</v>
      </c>
      <c r="K2815" s="1" t="n">
        <v>7892840822309</v>
      </c>
      <c r="L2815" s="1" t="s">
        <v>2498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15" t="n">
        <v>46197</v>
      </c>
      <c r="C2816" s="1" t="n">
        <v>11</v>
      </c>
      <c r="D2816" s="1" t="s">
        <v>2290</v>
      </c>
      <c r="E2816" s="1" t="n">
        <v>1608</v>
      </c>
      <c r="F2816" s="1" t="s">
        <v>41</v>
      </c>
      <c r="I2816" s="1" t="n">
        <v>1678539</v>
      </c>
      <c r="J2816" s="1" t="n">
        <v>65342</v>
      </c>
      <c r="K2816" s="1" t="n">
        <v>7892840822446</v>
      </c>
      <c r="L2816" s="1" t="s">
        <v>2499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15" t="n">
        <v>46197</v>
      </c>
      <c r="C2817" s="1" t="n">
        <v>11</v>
      </c>
      <c r="D2817" s="1" t="s">
        <v>2290</v>
      </c>
      <c r="E2817" s="1" t="n">
        <v>1608</v>
      </c>
      <c r="F2817" s="1" t="s">
        <v>41</v>
      </c>
      <c r="I2817" s="1" t="n">
        <v>1678539</v>
      </c>
      <c r="J2817" s="1" t="n">
        <v>65383</v>
      </c>
      <c r="K2817" s="1" t="n">
        <v>7892840822859</v>
      </c>
      <c r="L2817" s="1" t="s">
        <v>2500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15" t="n">
        <v>46197</v>
      </c>
      <c r="C2818" s="1" t="n">
        <v>11</v>
      </c>
      <c r="D2818" s="1" t="s">
        <v>2290</v>
      </c>
      <c r="E2818" s="1" t="n">
        <v>1608</v>
      </c>
      <c r="F2818" s="1" t="s">
        <v>41</v>
      </c>
      <c r="I2818" s="1" t="n">
        <v>1678539</v>
      </c>
      <c r="J2818" s="1" t="n">
        <v>65597</v>
      </c>
      <c r="K2818" s="1" t="n">
        <v>7892840822736</v>
      </c>
      <c r="L2818" s="1" t="s">
        <v>2501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5" t="n">
        <v>46197</v>
      </c>
      <c r="C2819" s="1" t="n">
        <v>11</v>
      </c>
      <c r="D2819" s="1" t="s">
        <v>2290</v>
      </c>
      <c r="E2819" s="1" t="n">
        <v>1608</v>
      </c>
      <c r="F2819" s="1" t="s">
        <v>41</v>
      </c>
      <c r="I2819" s="1" t="n">
        <v>1678539</v>
      </c>
      <c r="J2819" s="1" t="n">
        <v>65598</v>
      </c>
      <c r="K2819" s="1" t="n">
        <v>7892840822361</v>
      </c>
      <c r="L2819" s="1" t="s">
        <v>2502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5" t="n">
        <v>46197</v>
      </c>
      <c r="C2820" s="1" t="n">
        <v>11</v>
      </c>
      <c r="D2820" s="1" t="s">
        <v>2290</v>
      </c>
      <c r="E2820" s="1" t="n">
        <v>1608</v>
      </c>
      <c r="F2820" s="1" t="s">
        <v>41</v>
      </c>
      <c r="I2820" s="1" t="n">
        <v>1678539</v>
      </c>
      <c r="J2820" s="1" t="n">
        <v>65734</v>
      </c>
      <c r="K2820" s="1" t="n">
        <v>7892840823047</v>
      </c>
      <c r="L2820" s="1" t="s">
        <v>2503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5" t="n">
        <v>46197</v>
      </c>
      <c r="C2821" s="1" t="n">
        <v>11</v>
      </c>
      <c r="D2821" s="1" t="s">
        <v>2290</v>
      </c>
      <c r="E2821" s="1" t="n">
        <v>1608</v>
      </c>
      <c r="F2821" s="1" t="s">
        <v>41</v>
      </c>
      <c r="I2821" s="1" t="n">
        <v>1678539</v>
      </c>
      <c r="J2821" s="1" t="n">
        <v>65736</v>
      </c>
      <c r="K2821" s="1" t="n">
        <v>7892840823054</v>
      </c>
      <c r="L2821" s="1" t="s">
        <v>2504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5" t="n">
        <v>46197</v>
      </c>
      <c r="C2822" s="1" t="n">
        <v>11</v>
      </c>
      <c r="D2822" s="1" t="s">
        <v>2290</v>
      </c>
      <c r="E2822" s="1" t="n">
        <v>1608</v>
      </c>
      <c r="F2822" s="1" t="s">
        <v>41</v>
      </c>
      <c r="I2822" s="1" t="n">
        <v>1678539</v>
      </c>
      <c r="J2822" s="1" t="n">
        <v>65799</v>
      </c>
      <c r="K2822" s="1" t="n">
        <v>7892840822385</v>
      </c>
      <c r="L2822" s="1" t="s">
        <v>2505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5" t="n">
        <v>46197</v>
      </c>
      <c r="C2823" s="1" t="n">
        <v>11</v>
      </c>
      <c r="D2823" s="1" t="s">
        <v>2290</v>
      </c>
      <c r="E2823" s="1" t="n">
        <v>1608</v>
      </c>
      <c r="F2823" s="1" t="s">
        <v>41</v>
      </c>
      <c r="I2823" s="1" t="n">
        <v>1678539</v>
      </c>
      <c r="J2823" s="1" t="n">
        <v>66000</v>
      </c>
      <c r="K2823" s="1" t="n">
        <v>7892840822484</v>
      </c>
      <c r="L2823" s="1" t="s">
        <v>2506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5" t="n">
        <v>46197</v>
      </c>
      <c r="C2824" s="1" t="n">
        <v>11</v>
      </c>
      <c r="D2824" s="1" t="s">
        <v>2290</v>
      </c>
      <c r="E2824" s="1" t="n">
        <v>1608</v>
      </c>
      <c r="F2824" s="1" t="s">
        <v>41</v>
      </c>
      <c r="I2824" s="1" t="n">
        <v>1678539</v>
      </c>
      <c r="J2824" s="1" t="n">
        <v>66002</v>
      </c>
      <c r="K2824" s="1" t="n">
        <v>7892840823481</v>
      </c>
      <c r="L2824" s="1" t="s">
        <v>2507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5" t="n">
        <v>46197</v>
      </c>
      <c r="C2825" s="1" t="n">
        <v>11</v>
      </c>
      <c r="D2825" s="1" t="s">
        <v>2290</v>
      </c>
      <c r="E2825" s="1" t="n">
        <v>1608</v>
      </c>
      <c r="F2825" s="1" t="s">
        <v>41</v>
      </c>
      <c r="I2825" s="1" t="n">
        <v>1678539</v>
      </c>
      <c r="J2825" s="1" t="n">
        <v>66089</v>
      </c>
      <c r="K2825" s="1" t="n">
        <v>7892840822323</v>
      </c>
      <c r="L2825" s="1" t="s">
        <v>2508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5" t="n">
        <v>46197</v>
      </c>
      <c r="C2826" s="1" t="n">
        <v>11</v>
      </c>
      <c r="D2826" s="1" t="s">
        <v>2290</v>
      </c>
      <c r="E2826" s="1" t="n">
        <v>1608</v>
      </c>
      <c r="F2826" s="1" t="s">
        <v>41</v>
      </c>
      <c r="I2826" s="1" t="n">
        <v>1678539</v>
      </c>
      <c r="J2826" s="1" t="n">
        <v>66764</v>
      </c>
      <c r="K2826" s="1" t="n">
        <v>7892840822293</v>
      </c>
      <c r="L2826" s="1" t="s">
        <v>2510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5" t="n">
        <v>46197</v>
      </c>
      <c r="C2827" s="1" t="n">
        <v>11</v>
      </c>
      <c r="D2827" s="1" t="s">
        <v>2290</v>
      </c>
      <c r="E2827" s="1" t="n">
        <v>1608</v>
      </c>
      <c r="F2827" s="1" t="s">
        <v>41</v>
      </c>
      <c r="I2827" s="1" t="n">
        <v>1678539</v>
      </c>
      <c r="J2827" s="1" t="n">
        <v>66993</v>
      </c>
      <c r="K2827" s="1" t="n">
        <v>7892840822347</v>
      </c>
      <c r="L2827" s="1" t="s">
        <v>2499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5" t="n">
        <v>46197</v>
      </c>
      <c r="C2828" s="1" t="n">
        <v>11</v>
      </c>
      <c r="D2828" s="1" t="s">
        <v>2290</v>
      </c>
      <c r="E2828" s="1" t="n">
        <v>1608</v>
      </c>
      <c r="F2828" s="1" t="s">
        <v>41</v>
      </c>
      <c r="I2828" s="1" t="n">
        <v>1678539</v>
      </c>
      <c r="J2828" s="1" t="n">
        <v>68927</v>
      </c>
      <c r="K2828" s="1" t="n">
        <v>7892840823030</v>
      </c>
      <c r="L2828" s="1" t="s">
        <v>2511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5" t="n">
        <v>46197</v>
      </c>
      <c r="C2829" s="1" t="n">
        <v>11</v>
      </c>
      <c r="D2829" s="1" t="s">
        <v>2290</v>
      </c>
      <c r="E2829" s="1" t="n">
        <v>1608</v>
      </c>
      <c r="F2829" s="1" t="s">
        <v>41</v>
      </c>
      <c r="I2829" s="1" t="n">
        <v>1678539</v>
      </c>
      <c r="J2829" s="1" t="n">
        <v>80195</v>
      </c>
      <c r="K2829" s="1" t="n">
        <v>7892840824976</v>
      </c>
      <c r="L2829" s="1" t="s">
        <v>2512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5" t="n">
        <v>46197</v>
      </c>
      <c r="C2830" s="1" t="n">
        <v>11</v>
      </c>
      <c r="D2830" s="1" t="s">
        <v>2290</v>
      </c>
      <c r="E2830" s="1" t="n">
        <v>1608</v>
      </c>
      <c r="F2830" s="1" t="s">
        <v>41</v>
      </c>
      <c r="I2830" s="1" t="n">
        <v>1678539</v>
      </c>
      <c r="J2830" s="1" t="n">
        <v>80198</v>
      </c>
      <c r="K2830" s="1" t="n">
        <v>7892840824693</v>
      </c>
      <c r="L2830" s="1" t="s">
        <v>2513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5" t="n">
        <v>46197</v>
      </c>
      <c r="C2831" s="1" t="n">
        <v>11</v>
      </c>
      <c r="D2831" s="1" t="s">
        <v>2290</v>
      </c>
      <c r="E2831" s="1" t="n">
        <v>1608</v>
      </c>
      <c r="F2831" s="1" t="s">
        <v>41</v>
      </c>
      <c r="I2831" s="1" t="n">
        <v>1678840</v>
      </c>
      <c r="J2831" s="1" t="n">
        <v>40020</v>
      </c>
      <c r="K2831" s="1" t="n">
        <v>7891132110216</v>
      </c>
      <c r="L2831" s="1" t="s">
        <v>3615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5" t="n">
        <v>46197</v>
      </c>
      <c r="C2832" s="1" t="n">
        <v>11</v>
      </c>
      <c r="D2832" s="1" t="s">
        <v>2290</v>
      </c>
      <c r="E2832" s="1" t="n">
        <v>1608</v>
      </c>
      <c r="F2832" s="1" t="s">
        <v>41</v>
      </c>
      <c r="I2832" s="1" t="n">
        <v>1678840</v>
      </c>
      <c r="J2832" s="1" t="n">
        <v>102475</v>
      </c>
      <c r="K2832" s="1" t="n">
        <v>7891132019045</v>
      </c>
      <c r="L2832" s="1" t="s">
        <v>3616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5" t="n">
        <v>46197</v>
      </c>
      <c r="C2833" s="1" t="n">
        <v>11</v>
      </c>
      <c r="D2833" s="1" t="s">
        <v>2290</v>
      </c>
      <c r="E2833" s="1" t="n">
        <v>1608</v>
      </c>
      <c r="F2833" s="1" t="s">
        <v>41</v>
      </c>
      <c r="I2833" s="1" t="n">
        <v>1678840</v>
      </c>
      <c r="J2833" s="1" t="n">
        <v>102476</v>
      </c>
      <c r="K2833" s="1" t="n">
        <v>7891132019021</v>
      </c>
      <c r="L2833" s="1" t="s">
        <v>3617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5" t="n">
        <v>46197</v>
      </c>
      <c r="C2834" s="1" t="n">
        <v>11</v>
      </c>
      <c r="D2834" s="1" t="s">
        <v>2290</v>
      </c>
      <c r="E2834" s="1" t="n">
        <v>1608</v>
      </c>
      <c r="F2834" s="1" t="s">
        <v>41</v>
      </c>
      <c r="I2834" s="1" t="n">
        <v>1678840</v>
      </c>
      <c r="J2834" s="1" t="n">
        <v>102512</v>
      </c>
      <c r="K2834" s="1" t="n">
        <v>7891132019274</v>
      </c>
      <c r="L2834" s="1" t="s">
        <v>3618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5" t="n">
        <v>46197</v>
      </c>
      <c r="C2835" s="1" t="n">
        <v>11</v>
      </c>
      <c r="D2835" s="1" t="s">
        <v>2290</v>
      </c>
      <c r="E2835" s="1" t="n">
        <v>1608</v>
      </c>
      <c r="F2835" s="1" t="s">
        <v>41</v>
      </c>
      <c r="I2835" s="1" t="n">
        <v>1678840</v>
      </c>
      <c r="J2835" s="1" t="n">
        <v>102516</v>
      </c>
      <c r="K2835" s="1" t="n">
        <v>7891132019403</v>
      </c>
      <c r="L2835" s="1" t="s">
        <v>3619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5" t="n">
        <v>46197</v>
      </c>
      <c r="C2836" s="1" t="n">
        <v>11</v>
      </c>
      <c r="D2836" s="1" t="s">
        <v>2290</v>
      </c>
      <c r="E2836" s="1" t="n">
        <v>1608</v>
      </c>
      <c r="F2836" s="1" t="s">
        <v>41</v>
      </c>
      <c r="I2836" s="1" t="n">
        <v>1678840</v>
      </c>
      <c r="J2836" s="1" t="n">
        <v>102517</v>
      </c>
      <c r="K2836" s="1" t="n">
        <v>7891132019281</v>
      </c>
      <c r="L2836" s="1" t="s">
        <v>3620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5" t="n">
        <v>46197</v>
      </c>
      <c r="C2837" s="1" t="n">
        <v>11</v>
      </c>
      <c r="D2837" s="1" t="s">
        <v>2290</v>
      </c>
      <c r="E2837" s="1" t="n">
        <v>1608</v>
      </c>
      <c r="F2837" s="1" t="s">
        <v>41</v>
      </c>
      <c r="I2837" s="1" t="n">
        <v>1678840</v>
      </c>
      <c r="J2837" s="1" t="n">
        <v>102519</v>
      </c>
      <c r="K2837" s="1" t="n">
        <v>7891132019724</v>
      </c>
      <c r="L2837" s="1" t="s">
        <v>3621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5" t="n">
        <v>46197</v>
      </c>
      <c r="C2838" s="1" t="n">
        <v>11</v>
      </c>
      <c r="D2838" s="1" t="s">
        <v>2290</v>
      </c>
      <c r="E2838" s="1" t="n">
        <v>1608</v>
      </c>
      <c r="F2838" s="1" t="s">
        <v>41</v>
      </c>
      <c r="I2838" s="1" t="n">
        <v>1678840</v>
      </c>
      <c r="J2838" s="1" t="n">
        <v>19596</v>
      </c>
      <c r="K2838" s="1" t="n">
        <v>7891132007509</v>
      </c>
      <c r="L2838" s="1" t="s">
        <v>3622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5" t="n">
        <v>46197</v>
      </c>
      <c r="C2839" s="1" t="n">
        <v>11</v>
      </c>
      <c r="D2839" s="1" t="s">
        <v>2290</v>
      </c>
      <c r="E2839" s="1" t="n">
        <v>1608</v>
      </c>
      <c r="F2839" s="1" t="s">
        <v>41</v>
      </c>
      <c r="I2839" s="1" t="n">
        <v>1678840</v>
      </c>
      <c r="J2839" s="1" t="n">
        <v>20040</v>
      </c>
      <c r="K2839" s="1" t="n">
        <v>7891132008421</v>
      </c>
      <c r="L2839" s="1" t="s">
        <v>3623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5" t="n">
        <v>46197</v>
      </c>
      <c r="C2840" s="1" t="n">
        <v>11</v>
      </c>
      <c r="D2840" s="1" t="s">
        <v>2290</v>
      </c>
      <c r="E2840" s="1" t="n">
        <v>1608</v>
      </c>
      <c r="F2840" s="1" t="s">
        <v>41</v>
      </c>
      <c r="I2840" s="1" t="n">
        <v>1678840</v>
      </c>
      <c r="J2840" s="1" t="n">
        <v>20041</v>
      </c>
      <c r="K2840" s="1" t="n">
        <v>7891132008391</v>
      </c>
      <c r="L2840" s="1" t="s">
        <v>3624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5" t="n">
        <v>46197</v>
      </c>
      <c r="C2841" s="1" t="n">
        <v>11</v>
      </c>
      <c r="D2841" s="1" t="s">
        <v>2290</v>
      </c>
      <c r="E2841" s="1" t="n">
        <v>1608</v>
      </c>
      <c r="F2841" s="1" t="s">
        <v>41</v>
      </c>
      <c r="I2841" s="1" t="n">
        <v>1678840</v>
      </c>
      <c r="J2841" s="1" t="n">
        <v>21162</v>
      </c>
      <c r="K2841" s="1" t="n">
        <v>7891132009084</v>
      </c>
      <c r="L2841" s="1" t="s">
        <v>3625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5" t="n">
        <v>46197</v>
      </c>
      <c r="C2842" s="1" t="n">
        <v>11</v>
      </c>
      <c r="D2842" s="1" t="s">
        <v>2290</v>
      </c>
      <c r="E2842" s="1" t="n">
        <v>1608</v>
      </c>
      <c r="F2842" s="1" t="s">
        <v>41</v>
      </c>
      <c r="I2842" s="1" t="n">
        <v>1678840</v>
      </c>
      <c r="J2842" s="1" t="n">
        <v>40449</v>
      </c>
      <c r="K2842" s="1" t="n">
        <v>7891132110186</v>
      </c>
      <c r="L2842" s="1" t="s">
        <v>3626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5" t="n">
        <v>46197</v>
      </c>
      <c r="C2843" s="1" t="n">
        <v>11</v>
      </c>
      <c r="D2843" s="1" t="s">
        <v>2290</v>
      </c>
      <c r="E2843" s="1" t="n">
        <v>1608</v>
      </c>
      <c r="F2843" s="1" t="s">
        <v>41</v>
      </c>
      <c r="I2843" s="1" t="n">
        <v>1678840</v>
      </c>
      <c r="J2843" s="1" t="n">
        <v>41038</v>
      </c>
      <c r="K2843" s="1" t="n">
        <v>7891132110223</v>
      </c>
      <c r="L2843" s="1" t="s">
        <v>3627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5" t="n">
        <v>46197</v>
      </c>
      <c r="C2844" s="1" t="n">
        <v>11</v>
      </c>
      <c r="D2844" s="1" t="s">
        <v>2290</v>
      </c>
      <c r="E2844" s="1" t="n">
        <v>1608</v>
      </c>
      <c r="F2844" s="1" t="s">
        <v>41</v>
      </c>
      <c r="I2844" s="1" t="n">
        <v>1678840</v>
      </c>
      <c r="J2844" s="1" t="n">
        <v>41039</v>
      </c>
      <c r="K2844" s="1" t="n">
        <v>7891132110261</v>
      </c>
      <c r="L2844" s="1" t="s">
        <v>3628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5" t="n">
        <v>46197</v>
      </c>
      <c r="C2845" s="1" t="n">
        <v>11</v>
      </c>
      <c r="D2845" s="1" t="s">
        <v>2290</v>
      </c>
      <c r="E2845" s="1" t="n">
        <v>1608</v>
      </c>
      <c r="F2845" s="1" t="s">
        <v>41</v>
      </c>
      <c r="I2845" s="1" t="n">
        <v>1678840</v>
      </c>
      <c r="J2845" s="1" t="n">
        <v>42793</v>
      </c>
      <c r="K2845" s="1" t="n">
        <v>7891132110230</v>
      </c>
      <c r="L2845" s="1" t="s">
        <v>3629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5" t="n">
        <v>46197</v>
      </c>
      <c r="C2846" s="1" t="n">
        <v>11</v>
      </c>
      <c r="D2846" s="1" t="s">
        <v>2290</v>
      </c>
      <c r="E2846" s="1" t="n">
        <v>1608</v>
      </c>
      <c r="F2846" s="1" t="s">
        <v>41</v>
      </c>
      <c r="I2846" s="1" t="n">
        <v>1678840</v>
      </c>
      <c r="J2846" s="1" t="n">
        <v>45658</v>
      </c>
      <c r="K2846" s="1" t="n">
        <v>7896009712012</v>
      </c>
      <c r="L2846" s="1" t="s">
        <v>3630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5" t="n">
        <v>46197</v>
      </c>
      <c r="C2847" s="1" t="n">
        <v>11</v>
      </c>
      <c r="D2847" s="1" t="s">
        <v>2290</v>
      </c>
      <c r="E2847" s="1" t="n">
        <v>1705</v>
      </c>
      <c r="F2847" s="1" t="s">
        <v>122</v>
      </c>
      <c r="I2847" s="1" t="n">
        <v>1899877</v>
      </c>
      <c r="J2847" s="1" t="n">
        <v>103140</v>
      </c>
      <c r="K2847" s="1" t="n">
        <v>7894900031751</v>
      </c>
      <c r="L2847" s="1" t="s">
        <v>2304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5" t="n">
        <v>46197</v>
      </c>
      <c r="C2848" s="1" t="n">
        <v>11</v>
      </c>
      <c r="D2848" s="1" t="s">
        <v>2290</v>
      </c>
      <c r="E2848" s="1" t="n">
        <v>1705</v>
      </c>
      <c r="F2848" s="1" t="s">
        <v>122</v>
      </c>
      <c r="I2848" s="1" t="n">
        <v>1899877</v>
      </c>
      <c r="J2848" s="1" t="n">
        <v>103142</v>
      </c>
      <c r="K2848" s="1" t="n">
        <v>7894900011753</v>
      </c>
      <c r="L2848" s="1" t="s">
        <v>2305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5" t="n">
        <v>46197</v>
      </c>
      <c r="C2849" s="1" t="n">
        <v>11</v>
      </c>
      <c r="D2849" s="1" t="s">
        <v>2290</v>
      </c>
      <c r="E2849" s="1" t="n">
        <v>1705</v>
      </c>
      <c r="F2849" s="1" t="s">
        <v>122</v>
      </c>
      <c r="I2849" s="1" t="n">
        <v>1899877</v>
      </c>
      <c r="J2849" s="1" t="n">
        <v>103145</v>
      </c>
      <c r="K2849" s="1" t="n">
        <v>7894900051513</v>
      </c>
      <c r="L2849" s="1" t="s">
        <v>2306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5" t="n">
        <v>46197</v>
      </c>
      <c r="C2850" s="1" t="n">
        <v>11</v>
      </c>
      <c r="D2850" s="1" t="s">
        <v>2290</v>
      </c>
      <c r="E2850" s="1" t="n">
        <v>1705</v>
      </c>
      <c r="F2850" s="1" t="s">
        <v>122</v>
      </c>
      <c r="I2850" s="1" t="n">
        <v>1899877</v>
      </c>
      <c r="J2850" s="1" t="n">
        <v>103146</v>
      </c>
      <c r="K2850" s="1" t="n">
        <v>7894900031515</v>
      </c>
      <c r="L2850" s="1" t="s">
        <v>2876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5" t="n">
        <v>46197</v>
      </c>
      <c r="C2851" s="1" t="n">
        <v>11</v>
      </c>
      <c r="D2851" s="1" t="s">
        <v>2290</v>
      </c>
      <c r="E2851" s="1" t="n">
        <v>1705</v>
      </c>
      <c r="F2851" s="1" t="s">
        <v>122</v>
      </c>
      <c r="I2851" s="1" t="n">
        <v>1899877</v>
      </c>
      <c r="J2851" s="1" t="n">
        <v>103158</v>
      </c>
      <c r="K2851" s="1" t="n">
        <v>7894900060010</v>
      </c>
      <c r="L2851" s="1" t="s">
        <v>3631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5" t="n">
        <v>46197</v>
      </c>
      <c r="C2852" s="1" t="n">
        <v>11</v>
      </c>
      <c r="D2852" s="1" t="s">
        <v>2290</v>
      </c>
      <c r="E2852" s="1" t="n">
        <v>1705</v>
      </c>
      <c r="F2852" s="1" t="s">
        <v>122</v>
      </c>
      <c r="I2852" s="1" t="n">
        <v>1899877</v>
      </c>
      <c r="J2852" s="1" t="n">
        <v>103160</v>
      </c>
      <c r="K2852" s="1" t="n">
        <v>7894900030013</v>
      </c>
      <c r="L2852" s="1" t="s">
        <v>3632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5" t="n">
        <v>46197</v>
      </c>
      <c r="C2853" s="1" t="n">
        <v>11</v>
      </c>
      <c r="D2853" s="1" t="s">
        <v>2290</v>
      </c>
      <c r="E2853" s="1" t="n">
        <v>1705</v>
      </c>
      <c r="F2853" s="1" t="s">
        <v>122</v>
      </c>
      <c r="I2853" s="1" t="n">
        <v>1899877</v>
      </c>
      <c r="J2853" s="1" t="n">
        <v>103161</v>
      </c>
      <c r="K2853" s="1" t="n">
        <v>7894900010015</v>
      </c>
      <c r="L2853" s="1" t="s">
        <v>3192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5" t="n">
        <v>46197</v>
      </c>
      <c r="C2854" s="1" t="n">
        <v>11</v>
      </c>
      <c r="D2854" s="1" t="s">
        <v>2290</v>
      </c>
      <c r="E2854" s="1" t="n">
        <v>1705</v>
      </c>
      <c r="F2854" s="1" t="s">
        <v>122</v>
      </c>
      <c r="I2854" s="1" t="n">
        <v>1899877</v>
      </c>
      <c r="J2854" s="1" t="n">
        <v>104472</v>
      </c>
      <c r="K2854" s="1" t="n">
        <v>7897105200038</v>
      </c>
      <c r="L2854" s="1" t="s">
        <v>3257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5" t="n">
        <v>46197</v>
      </c>
      <c r="C2855" s="1" t="n">
        <v>11</v>
      </c>
      <c r="D2855" s="1" t="s">
        <v>2290</v>
      </c>
      <c r="E2855" s="1" t="n">
        <v>1705</v>
      </c>
      <c r="F2855" s="1" t="s">
        <v>122</v>
      </c>
      <c r="I2855" s="1" t="n">
        <v>1899877</v>
      </c>
      <c r="J2855" s="1" t="n">
        <v>105323</v>
      </c>
      <c r="K2855" s="1" t="n">
        <v>7894900701753</v>
      </c>
      <c r="L2855" s="1" t="s">
        <v>2307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5" t="n">
        <v>46197</v>
      </c>
      <c r="C2856" s="1" t="n">
        <v>11</v>
      </c>
      <c r="D2856" s="1" t="s">
        <v>2290</v>
      </c>
      <c r="E2856" s="1" t="n">
        <v>1705</v>
      </c>
      <c r="F2856" s="1" t="s">
        <v>122</v>
      </c>
      <c r="I2856" s="1" t="n">
        <v>1899877</v>
      </c>
      <c r="J2856" s="1" t="n">
        <v>107100</v>
      </c>
      <c r="K2856" s="1" t="n">
        <v>7894900700015</v>
      </c>
      <c r="L2856" s="1" t="s">
        <v>2878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5" t="n">
        <v>46197</v>
      </c>
      <c r="C2857" s="1" t="n">
        <v>11</v>
      </c>
      <c r="D2857" s="1" t="s">
        <v>2290</v>
      </c>
      <c r="E2857" s="1" t="n">
        <v>1705</v>
      </c>
      <c r="F2857" s="1" t="s">
        <v>122</v>
      </c>
      <c r="I2857" s="1" t="n">
        <v>1899877</v>
      </c>
      <c r="J2857" s="1" t="n">
        <v>10830</v>
      </c>
      <c r="K2857" s="1" t="n">
        <v>7894900701517</v>
      </c>
      <c r="L2857" s="1" t="s">
        <v>2879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5" t="n">
        <v>46197</v>
      </c>
      <c r="C2858" s="1" t="n">
        <v>11</v>
      </c>
      <c r="D2858" s="1" t="s">
        <v>2290</v>
      </c>
      <c r="E2858" s="1" t="n">
        <v>1705</v>
      </c>
      <c r="F2858" s="1" t="s">
        <v>122</v>
      </c>
      <c r="I2858" s="1" t="n">
        <v>1899877</v>
      </c>
      <c r="J2858" s="1" t="n">
        <v>11678</v>
      </c>
      <c r="K2858" s="1" t="n">
        <v>7894900701593</v>
      </c>
      <c r="L2858" s="1" t="s">
        <v>3633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5" t="n">
        <v>46197</v>
      </c>
      <c r="C2859" s="1" t="n">
        <v>11</v>
      </c>
      <c r="D2859" s="1" t="s">
        <v>2290</v>
      </c>
      <c r="E2859" s="1" t="n">
        <v>1705</v>
      </c>
      <c r="F2859" s="1" t="s">
        <v>122</v>
      </c>
      <c r="I2859" s="1" t="n">
        <v>1899877</v>
      </c>
      <c r="J2859" s="1" t="n">
        <v>21183</v>
      </c>
      <c r="K2859" s="1" t="n">
        <v>7894900556063</v>
      </c>
      <c r="L2859" s="1" t="s">
        <v>3634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5" t="n">
        <v>46197</v>
      </c>
      <c r="C2860" s="1" t="n">
        <v>11</v>
      </c>
      <c r="D2860" s="1" t="s">
        <v>2290</v>
      </c>
      <c r="E2860" s="1" t="n">
        <v>1705</v>
      </c>
      <c r="F2860" s="1" t="s">
        <v>122</v>
      </c>
      <c r="I2860" s="1" t="n">
        <v>1899877</v>
      </c>
      <c r="J2860" s="1" t="n">
        <v>22346</v>
      </c>
      <c r="K2860" s="1" t="n">
        <v>7894900150018</v>
      </c>
      <c r="L2860" s="1" t="s">
        <v>3635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5" t="n">
        <v>46197</v>
      </c>
      <c r="C2861" s="1" t="n">
        <v>11</v>
      </c>
      <c r="D2861" s="1" t="s">
        <v>2290</v>
      </c>
      <c r="E2861" s="1" t="n">
        <v>1705</v>
      </c>
      <c r="F2861" s="1" t="s">
        <v>122</v>
      </c>
      <c r="I2861" s="1" t="n">
        <v>1899877</v>
      </c>
      <c r="J2861" s="1" t="n">
        <v>22893</v>
      </c>
      <c r="K2861" s="1" t="n">
        <v>7894900550061</v>
      </c>
      <c r="L2861" s="1" t="s">
        <v>3636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5" t="n">
        <v>46197</v>
      </c>
      <c r="C2862" s="1" t="n">
        <v>11</v>
      </c>
      <c r="D2862" s="1" t="s">
        <v>2290</v>
      </c>
      <c r="E2862" s="1" t="n">
        <v>1705</v>
      </c>
      <c r="F2862" s="1" t="s">
        <v>122</v>
      </c>
      <c r="I2862" s="1" t="n">
        <v>1899877</v>
      </c>
      <c r="J2862" s="1" t="n">
        <v>24662</v>
      </c>
      <c r="K2862" s="1" t="n">
        <v>7897105250019</v>
      </c>
      <c r="L2862" s="1" t="s">
        <v>3637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5" t="n">
        <v>46197</v>
      </c>
      <c r="C2863" s="1" t="n">
        <v>11</v>
      </c>
      <c r="D2863" s="1" t="s">
        <v>2290</v>
      </c>
      <c r="E2863" s="1" t="n">
        <v>1705</v>
      </c>
      <c r="F2863" s="1" t="s">
        <v>122</v>
      </c>
      <c r="I2863" s="1" t="n">
        <v>1899877</v>
      </c>
      <c r="J2863" s="1" t="n">
        <v>27643</v>
      </c>
      <c r="K2863" s="1" t="n">
        <v>7894900031713</v>
      </c>
      <c r="L2863" s="1" t="s">
        <v>2881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5" t="n">
        <v>46197</v>
      </c>
      <c r="C2864" s="1" t="n">
        <v>11</v>
      </c>
      <c r="D2864" s="1" t="s">
        <v>2290</v>
      </c>
      <c r="E2864" s="1" t="n">
        <v>1705</v>
      </c>
      <c r="F2864" s="1" t="s">
        <v>122</v>
      </c>
      <c r="I2864" s="1" t="n">
        <v>1899877</v>
      </c>
      <c r="J2864" s="1" t="n">
        <v>32086</v>
      </c>
      <c r="K2864" s="1" t="n">
        <v>7894900027037</v>
      </c>
      <c r="L2864" s="1" t="s">
        <v>2311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5" t="n">
        <v>46197</v>
      </c>
      <c r="C2865" s="1" t="n">
        <v>11</v>
      </c>
      <c r="D2865" s="1" t="s">
        <v>2290</v>
      </c>
      <c r="E2865" s="1" t="n">
        <v>1705</v>
      </c>
      <c r="F2865" s="1" t="s">
        <v>122</v>
      </c>
      <c r="I2865" s="1" t="n">
        <v>1899877</v>
      </c>
      <c r="J2865" s="1" t="n">
        <v>32339</v>
      </c>
      <c r="K2865" s="1" t="n">
        <v>7894900681000</v>
      </c>
      <c r="L2865" s="1" t="s">
        <v>3261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5" t="n">
        <v>46197</v>
      </c>
      <c r="C2866" s="1" t="n">
        <v>11</v>
      </c>
      <c r="D2866" s="1" t="s">
        <v>2290</v>
      </c>
      <c r="E2866" s="1" t="n">
        <v>1705</v>
      </c>
      <c r="F2866" s="1" t="s">
        <v>122</v>
      </c>
      <c r="I2866" s="1" t="n">
        <v>1899877</v>
      </c>
      <c r="J2866" s="1" t="n">
        <v>35357</v>
      </c>
      <c r="K2866" s="1" t="n">
        <v>7894900681017</v>
      </c>
      <c r="L2866" s="1" t="s">
        <v>3638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5" t="n">
        <v>46197</v>
      </c>
      <c r="C2867" s="1" t="n">
        <v>11</v>
      </c>
      <c r="D2867" s="1" t="s">
        <v>2290</v>
      </c>
      <c r="E2867" s="1" t="n">
        <v>1705</v>
      </c>
      <c r="F2867" s="1" t="s">
        <v>122</v>
      </c>
      <c r="I2867" s="1" t="n">
        <v>1899877</v>
      </c>
      <c r="J2867" s="1" t="n">
        <v>37279</v>
      </c>
      <c r="K2867" s="1" t="n">
        <v>7894900027013</v>
      </c>
      <c r="L2867" s="1" t="s">
        <v>2305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5" t="n">
        <v>46197</v>
      </c>
      <c r="C2868" s="1" t="n">
        <v>11</v>
      </c>
      <c r="D2868" s="1" t="s">
        <v>2290</v>
      </c>
      <c r="E2868" s="1" t="n">
        <v>1705</v>
      </c>
      <c r="F2868" s="1" t="s">
        <v>122</v>
      </c>
      <c r="I2868" s="1" t="n">
        <v>1899877</v>
      </c>
      <c r="J2868" s="1" t="n">
        <v>38060</v>
      </c>
      <c r="K2868" s="1" t="n">
        <v>7894900701609</v>
      </c>
      <c r="L2868" s="1" t="s">
        <v>2884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5" t="n">
        <v>46197</v>
      </c>
      <c r="C2869" s="1" t="n">
        <v>11</v>
      </c>
      <c r="D2869" s="1" t="s">
        <v>2290</v>
      </c>
      <c r="E2869" s="1" t="n">
        <v>1705</v>
      </c>
      <c r="F2869" s="1" t="s">
        <v>122</v>
      </c>
      <c r="I2869" s="1" t="n">
        <v>1899877</v>
      </c>
      <c r="J2869" s="1" t="n">
        <v>41322</v>
      </c>
      <c r="K2869" s="1" t="n">
        <v>7897105200076</v>
      </c>
      <c r="L2869" s="1" t="s">
        <v>3639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5" t="n">
        <v>46197</v>
      </c>
      <c r="C2870" s="1" t="n">
        <v>39</v>
      </c>
      <c r="D2870" s="1" t="s">
        <v>2515</v>
      </c>
      <c r="E2870" s="1" t="n">
        <v>10031</v>
      </c>
      <c r="F2870" s="1" t="s">
        <v>2221</v>
      </c>
      <c r="I2870" s="1" t="n">
        <v>14703</v>
      </c>
      <c r="J2870" s="1" t="n">
        <v>78290</v>
      </c>
      <c r="K2870" s="1" t="n">
        <v>7896587325604</v>
      </c>
      <c r="L2870" s="1" t="s">
        <v>3640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5" t="n">
        <v>46197</v>
      </c>
      <c r="C2871" s="1" t="n">
        <v>39</v>
      </c>
      <c r="D2871" s="1" t="s">
        <v>2515</v>
      </c>
      <c r="E2871" s="1" t="n">
        <v>10031</v>
      </c>
      <c r="F2871" s="1" t="s">
        <v>2221</v>
      </c>
      <c r="I2871" s="1" t="n">
        <v>14703</v>
      </c>
      <c r="J2871" s="1" t="n">
        <v>78291</v>
      </c>
      <c r="K2871" s="1" t="n">
        <v>7798159128272</v>
      </c>
      <c r="L2871" s="1" t="s">
        <v>3641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5" t="n">
        <v>46197</v>
      </c>
      <c r="C2872" s="1" t="n">
        <v>39</v>
      </c>
      <c r="D2872" s="1" t="s">
        <v>2515</v>
      </c>
      <c r="E2872" s="1" t="n">
        <v>10031</v>
      </c>
      <c r="F2872" s="1" t="s">
        <v>2221</v>
      </c>
      <c r="I2872" s="1" t="n">
        <v>14703</v>
      </c>
      <c r="J2872" s="1" t="n">
        <v>78292</v>
      </c>
      <c r="K2872" s="1" t="n">
        <v>7891342013024</v>
      </c>
      <c r="L2872" s="1" t="s">
        <v>3642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5" t="n">
        <v>46197</v>
      </c>
      <c r="C2873" s="1" t="n">
        <v>39</v>
      </c>
      <c r="D2873" s="1" t="s">
        <v>2515</v>
      </c>
      <c r="E2873" s="1" t="n">
        <v>10031</v>
      </c>
      <c r="F2873" s="1" t="s">
        <v>2221</v>
      </c>
      <c r="I2873" s="1" t="n">
        <v>14703</v>
      </c>
      <c r="J2873" s="1" t="n">
        <v>78293</v>
      </c>
      <c r="K2873" s="1" t="n">
        <v>7891342512466</v>
      </c>
      <c r="L2873" s="1" t="s">
        <v>3643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5" t="n">
        <v>46197</v>
      </c>
      <c r="C2874" s="1" t="n">
        <v>39</v>
      </c>
      <c r="D2874" s="1" t="s">
        <v>2515</v>
      </c>
      <c r="E2874" s="1" t="n">
        <v>10031</v>
      </c>
      <c r="F2874" s="1" t="s">
        <v>2221</v>
      </c>
      <c r="I2874" s="1" t="n">
        <v>14703</v>
      </c>
      <c r="J2874" s="1" t="n">
        <v>78298</v>
      </c>
      <c r="K2874" s="1" t="n">
        <v>782999</v>
      </c>
      <c r="L2874" s="1" t="s">
        <v>3644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5" t="n">
        <v>46197</v>
      </c>
      <c r="C2875" s="1" t="n">
        <v>107</v>
      </c>
      <c r="D2875" s="1" t="s">
        <v>2735</v>
      </c>
      <c r="E2875" s="1" t="n">
        <v>1674</v>
      </c>
      <c r="F2875" s="1" t="s">
        <v>149</v>
      </c>
      <c r="I2875" s="1" t="n">
        <v>3617224</v>
      </c>
      <c r="J2875" s="1" t="n">
        <v>37507</v>
      </c>
      <c r="K2875" s="1" t="n">
        <v>7896579310854</v>
      </c>
      <c r="L2875" s="1" t="s">
        <v>2435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5" t="n">
        <v>46197</v>
      </c>
      <c r="C2876" s="1" t="n">
        <v>171</v>
      </c>
      <c r="D2876" s="1" t="s">
        <v>2517</v>
      </c>
      <c r="E2876" s="1" t="n">
        <v>1166</v>
      </c>
      <c r="F2876" s="1" t="s">
        <v>941</v>
      </c>
      <c r="I2876" s="1" t="n">
        <v>34236</v>
      </c>
      <c r="J2876" s="1" t="n">
        <v>75551</v>
      </c>
      <c r="K2876" s="1" t="n">
        <v>7896071016032</v>
      </c>
      <c r="L2876" s="1" t="s">
        <v>3645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5" t="n">
        <v>46197</v>
      </c>
      <c r="C2877" s="1" t="n">
        <v>171</v>
      </c>
      <c r="D2877" s="1" t="s">
        <v>2517</v>
      </c>
      <c r="E2877" s="1" t="n">
        <v>1955</v>
      </c>
      <c r="F2877" s="1" t="s">
        <v>2216</v>
      </c>
      <c r="I2877" s="1" t="n">
        <v>45639</v>
      </c>
      <c r="J2877" s="1" t="n">
        <v>45154</v>
      </c>
      <c r="K2877" s="1" t="n">
        <v>2246390</v>
      </c>
      <c r="L2877" s="1" t="s">
        <v>3505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5" t="n">
        <v>46197</v>
      </c>
      <c r="C2878" s="1" t="n">
        <v>171</v>
      </c>
      <c r="D2878" s="1" t="s">
        <v>2517</v>
      </c>
      <c r="E2878" s="1" t="n">
        <v>1955</v>
      </c>
      <c r="F2878" s="1" t="s">
        <v>2216</v>
      </c>
      <c r="I2878" s="1" t="n">
        <v>45639</v>
      </c>
      <c r="J2878" s="1" t="n">
        <v>45155</v>
      </c>
      <c r="K2878" s="1" t="n">
        <v>2246406</v>
      </c>
      <c r="L2878" s="1" t="s">
        <v>3506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5" t="n">
        <v>46197</v>
      </c>
      <c r="C2879" s="1" t="n">
        <v>171</v>
      </c>
      <c r="D2879" s="1" t="s">
        <v>2517</v>
      </c>
      <c r="E2879" s="1" t="n">
        <v>1955</v>
      </c>
      <c r="F2879" s="1" t="s">
        <v>2216</v>
      </c>
      <c r="I2879" s="1" t="n">
        <v>45670</v>
      </c>
      <c r="J2879" s="1" t="n">
        <v>45153</v>
      </c>
      <c r="K2879" s="1" t="n">
        <v>7899403713715</v>
      </c>
      <c r="L2879" s="1" t="s">
        <v>3504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5" t="n">
        <v>46197</v>
      </c>
      <c r="C2880" s="1" t="n">
        <v>171</v>
      </c>
      <c r="D2880" s="1" t="s">
        <v>2517</v>
      </c>
      <c r="E2880" s="1" t="n">
        <v>1955</v>
      </c>
      <c r="F2880" s="1" t="s">
        <v>2216</v>
      </c>
      <c r="I2880" s="1" t="n">
        <v>45670</v>
      </c>
      <c r="J2880" s="1" t="n">
        <v>45154</v>
      </c>
      <c r="K2880" s="1" t="n">
        <v>2246390</v>
      </c>
      <c r="L2880" s="1" t="s">
        <v>3505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5" t="n">
        <v>46197</v>
      </c>
      <c r="C2881" s="1" t="n">
        <v>171</v>
      </c>
      <c r="D2881" s="1" t="s">
        <v>2517</v>
      </c>
      <c r="E2881" s="1" t="n">
        <v>1955</v>
      </c>
      <c r="F2881" s="1" t="s">
        <v>2216</v>
      </c>
      <c r="I2881" s="1" t="n">
        <v>45670</v>
      </c>
      <c r="J2881" s="1" t="n">
        <v>45155</v>
      </c>
      <c r="K2881" s="1" t="n">
        <v>2246406</v>
      </c>
      <c r="L2881" s="1" t="s">
        <v>3506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5" t="n">
        <v>46197</v>
      </c>
      <c r="C2882" s="1" t="n">
        <v>171</v>
      </c>
      <c r="D2882" s="1" t="s">
        <v>2517</v>
      </c>
      <c r="E2882" s="1" t="n">
        <v>1955</v>
      </c>
      <c r="F2882" s="1" t="s">
        <v>2216</v>
      </c>
      <c r="I2882" s="1" t="n">
        <v>45743</v>
      </c>
      <c r="J2882" s="1" t="n">
        <v>45154</v>
      </c>
      <c r="K2882" s="1" t="n">
        <v>2246390</v>
      </c>
      <c r="L2882" s="1" t="s">
        <v>3505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5" t="n">
        <v>46197</v>
      </c>
      <c r="C2883" s="1" t="n">
        <v>171</v>
      </c>
      <c r="D2883" s="1" t="s">
        <v>2517</v>
      </c>
      <c r="E2883" s="1" t="n">
        <v>1955</v>
      </c>
      <c r="F2883" s="1" t="s">
        <v>2216</v>
      </c>
      <c r="I2883" s="1" t="n">
        <v>45743</v>
      </c>
      <c r="J2883" s="1" t="n">
        <v>45155</v>
      </c>
      <c r="K2883" s="1" t="n">
        <v>2246406</v>
      </c>
      <c r="L2883" s="1" t="s">
        <v>3506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5" t="n">
        <v>46197</v>
      </c>
      <c r="C2884" s="1" t="n">
        <v>171</v>
      </c>
      <c r="D2884" s="1" t="s">
        <v>2517</v>
      </c>
      <c r="E2884" s="1" t="n">
        <v>1955</v>
      </c>
      <c r="F2884" s="1" t="s">
        <v>2216</v>
      </c>
      <c r="I2884" s="1" t="n">
        <v>45841</v>
      </c>
      <c r="J2884" s="1" t="n">
        <v>45153</v>
      </c>
      <c r="K2884" s="1" t="n">
        <v>7899403713715</v>
      </c>
      <c r="L2884" s="1" t="s">
        <v>3504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5" t="n">
        <v>46197</v>
      </c>
      <c r="C2885" s="1" t="n">
        <v>171</v>
      </c>
      <c r="D2885" s="1" t="s">
        <v>2517</v>
      </c>
      <c r="E2885" s="1" t="n">
        <v>1955</v>
      </c>
      <c r="F2885" s="1" t="s">
        <v>2216</v>
      </c>
      <c r="I2885" s="1" t="n">
        <v>45841</v>
      </c>
      <c r="J2885" s="1" t="n">
        <v>45154</v>
      </c>
      <c r="K2885" s="1" t="n">
        <v>2246390</v>
      </c>
      <c r="L2885" s="1" t="s">
        <v>3505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5" t="n">
        <v>46197</v>
      </c>
      <c r="C2886" s="1" t="n">
        <v>171</v>
      </c>
      <c r="D2886" s="1" t="s">
        <v>2517</v>
      </c>
      <c r="E2886" s="1" t="n">
        <v>1955</v>
      </c>
      <c r="F2886" s="1" t="s">
        <v>2216</v>
      </c>
      <c r="I2886" s="1" t="n">
        <v>45841</v>
      </c>
      <c r="J2886" s="1" t="n">
        <v>45155</v>
      </c>
      <c r="K2886" s="1" t="n">
        <v>2246406</v>
      </c>
      <c r="L2886" s="1" t="s">
        <v>3506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5" t="n">
        <v>46197</v>
      </c>
      <c r="C2887" s="1" t="n">
        <v>171</v>
      </c>
      <c r="D2887" s="1" t="s">
        <v>2517</v>
      </c>
      <c r="E2887" s="1" t="n">
        <v>1718</v>
      </c>
      <c r="F2887" s="1" t="s">
        <v>408</v>
      </c>
      <c r="I2887" s="1" t="n">
        <v>662341</v>
      </c>
      <c r="J2887" s="1" t="n">
        <v>50530</v>
      </c>
      <c r="K2887" s="1" t="n">
        <v>7622210571724</v>
      </c>
      <c r="L2887" s="1" t="s">
        <v>3646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5" t="n">
        <v>46197</v>
      </c>
      <c r="C2888" s="1" t="n">
        <v>171</v>
      </c>
      <c r="D2888" s="1" t="s">
        <v>2517</v>
      </c>
      <c r="E2888" s="1" t="n">
        <v>1718</v>
      </c>
      <c r="F2888" s="1" t="s">
        <v>408</v>
      </c>
      <c r="I2888" s="1" t="n">
        <v>662341</v>
      </c>
      <c r="J2888" s="1" t="n">
        <v>50645</v>
      </c>
      <c r="K2888" s="1" t="n">
        <v>7622210571540</v>
      </c>
      <c r="L2888" s="1" t="s">
        <v>3647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5" t="n">
        <v>46198</v>
      </c>
      <c r="C2889" s="1" t="n">
        <v>1</v>
      </c>
      <c r="D2889" s="1" t="s">
        <v>2317</v>
      </c>
      <c r="E2889" s="1" t="n">
        <v>1185</v>
      </c>
      <c r="F2889" s="1" t="s">
        <v>167</v>
      </c>
      <c r="I2889" s="1" t="n">
        <v>364</v>
      </c>
      <c r="J2889" s="1" t="n">
        <v>101306</v>
      </c>
      <c r="K2889" s="1" t="n">
        <v>7896959500035</v>
      </c>
      <c r="L2889" s="1" t="s">
        <v>3648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5" t="n">
        <v>46198</v>
      </c>
      <c r="C2890" s="1" t="n">
        <v>1</v>
      </c>
      <c r="D2890" s="1" t="s">
        <v>2317</v>
      </c>
      <c r="E2890" s="1" t="n">
        <v>1185</v>
      </c>
      <c r="F2890" s="1" t="s">
        <v>167</v>
      </c>
      <c r="I2890" s="1" t="n">
        <v>364</v>
      </c>
      <c r="J2890" s="1" t="n">
        <v>106966</v>
      </c>
      <c r="K2890" s="1" t="n">
        <v>7896959500233</v>
      </c>
      <c r="L2890" s="1" t="s">
        <v>3649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5" t="n">
        <v>46198</v>
      </c>
      <c r="C2891" s="1" t="n">
        <v>1</v>
      </c>
      <c r="D2891" s="1" t="s">
        <v>2317</v>
      </c>
      <c r="E2891" s="1" t="n">
        <v>1185</v>
      </c>
      <c r="F2891" s="1" t="s">
        <v>167</v>
      </c>
      <c r="I2891" s="1" t="n">
        <v>364</v>
      </c>
      <c r="J2891" s="1" t="n">
        <v>107158</v>
      </c>
      <c r="K2891" s="1" t="n">
        <v>7896959500080</v>
      </c>
      <c r="L2891" s="1" t="s">
        <v>3650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5" t="n">
        <v>46198</v>
      </c>
      <c r="C2892" s="1" t="n">
        <v>1</v>
      </c>
      <c r="D2892" s="1" t="s">
        <v>2317</v>
      </c>
      <c r="E2892" s="1" t="n">
        <v>1185</v>
      </c>
      <c r="F2892" s="1" t="s">
        <v>167</v>
      </c>
      <c r="I2892" s="1" t="n">
        <v>364</v>
      </c>
      <c r="J2892" s="1" t="n">
        <v>107159</v>
      </c>
      <c r="K2892" s="1" t="n">
        <v>7896959500042</v>
      </c>
      <c r="L2892" s="1" t="s">
        <v>3651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5" t="n">
        <v>46198</v>
      </c>
      <c r="C2893" s="1" t="n">
        <v>1</v>
      </c>
      <c r="D2893" s="1" t="s">
        <v>2317</v>
      </c>
      <c r="E2893" s="1" t="n">
        <v>1185</v>
      </c>
      <c r="F2893" s="1" t="s">
        <v>167</v>
      </c>
      <c r="I2893" s="1" t="n">
        <v>364</v>
      </c>
      <c r="J2893" s="1" t="n">
        <v>107163</v>
      </c>
      <c r="K2893" s="1" t="n">
        <v>7896959500141</v>
      </c>
      <c r="L2893" s="1" t="s">
        <v>3652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5" t="n">
        <v>46198</v>
      </c>
      <c r="C2894" s="1" t="n">
        <v>1</v>
      </c>
      <c r="D2894" s="1" t="s">
        <v>2317</v>
      </c>
      <c r="E2894" s="1" t="n">
        <v>1185</v>
      </c>
      <c r="F2894" s="1" t="s">
        <v>167</v>
      </c>
      <c r="I2894" s="1" t="n">
        <v>364</v>
      </c>
      <c r="J2894" s="1" t="n">
        <v>107172</v>
      </c>
      <c r="K2894" s="1" t="n">
        <v>7896959500011</v>
      </c>
      <c r="L2894" s="1" t="s">
        <v>3653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5" t="n">
        <v>46198</v>
      </c>
      <c r="C2895" s="1" t="n">
        <v>1</v>
      </c>
      <c r="D2895" s="1" t="s">
        <v>2317</v>
      </c>
      <c r="E2895" s="1" t="n">
        <v>1185</v>
      </c>
      <c r="F2895" s="1" t="s">
        <v>167</v>
      </c>
      <c r="I2895" s="1" t="n">
        <v>364</v>
      </c>
      <c r="J2895" s="1" t="n">
        <v>107174</v>
      </c>
      <c r="K2895" s="1" t="n">
        <v>7896959500066</v>
      </c>
      <c r="L2895" s="1" t="s">
        <v>3654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5" t="n">
        <v>46198</v>
      </c>
      <c r="C2896" s="1" t="n">
        <v>1</v>
      </c>
      <c r="D2896" s="1" t="s">
        <v>2317</v>
      </c>
      <c r="E2896" s="1" t="n">
        <v>1185</v>
      </c>
      <c r="F2896" s="1" t="s">
        <v>167</v>
      </c>
      <c r="I2896" s="1" t="n">
        <v>364</v>
      </c>
      <c r="J2896" s="1" t="n">
        <v>107175</v>
      </c>
      <c r="K2896" s="1" t="n">
        <v>7896959500219</v>
      </c>
      <c r="L2896" s="1" t="s">
        <v>3655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5" t="n">
        <v>46198</v>
      </c>
      <c r="C2897" s="1" t="n">
        <v>1</v>
      </c>
      <c r="D2897" s="1" t="s">
        <v>2317</v>
      </c>
      <c r="E2897" s="1" t="n">
        <v>1185</v>
      </c>
      <c r="F2897" s="1" t="s">
        <v>167</v>
      </c>
      <c r="I2897" s="1" t="n">
        <v>364</v>
      </c>
      <c r="J2897" s="1" t="n">
        <v>65162</v>
      </c>
      <c r="K2897" s="1" t="n">
        <v>7896959500257</v>
      </c>
      <c r="L2897" s="1" t="s">
        <v>3656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5" t="n">
        <v>46198</v>
      </c>
      <c r="C2898" s="1" t="n">
        <v>1</v>
      </c>
      <c r="D2898" s="1" t="s">
        <v>2317</v>
      </c>
      <c r="E2898" s="1" t="n">
        <v>1185</v>
      </c>
      <c r="F2898" s="1" t="s">
        <v>167</v>
      </c>
      <c r="I2898" s="1" t="n">
        <v>364</v>
      </c>
      <c r="J2898" s="1" t="n">
        <v>65163</v>
      </c>
      <c r="K2898" s="1" t="n">
        <v>7896959500059</v>
      </c>
      <c r="L2898" s="1" t="s">
        <v>3657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5" t="n">
        <v>46198</v>
      </c>
      <c r="C2899" s="1" t="n">
        <v>1</v>
      </c>
      <c r="D2899" s="1" t="s">
        <v>2317</v>
      </c>
      <c r="E2899" s="1" t="n">
        <v>1185</v>
      </c>
      <c r="F2899" s="1" t="s">
        <v>167</v>
      </c>
      <c r="I2899" s="1" t="n">
        <v>364</v>
      </c>
      <c r="J2899" s="1" t="n">
        <v>65165</v>
      </c>
      <c r="K2899" s="1" t="n">
        <v>7896959500158</v>
      </c>
      <c r="L2899" s="1" t="s">
        <v>3658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5" t="n">
        <v>46198</v>
      </c>
      <c r="C2900" s="1" t="n">
        <v>1</v>
      </c>
      <c r="D2900" s="1" t="s">
        <v>2317</v>
      </c>
      <c r="E2900" s="1" t="n">
        <v>1185</v>
      </c>
      <c r="F2900" s="1" t="s">
        <v>167</v>
      </c>
      <c r="I2900" s="1" t="n">
        <v>364</v>
      </c>
      <c r="J2900" s="1" t="n">
        <v>66381</v>
      </c>
      <c r="K2900" s="1" t="n">
        <v>40141989710</v>
      </c>
      <c r="L2900" s="1" t="s">
        <v>3659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5" t="n">
        <v>46198</v>
      </c>
      <c r="C2901" s="1" t="n">
        <v>1</v>
      </c>
      <c r="D2901" s="1" t="s">
        <v>2317</v>
      </c>
      <c r="E2901" s="1" t="n">
        <v>1185</v>
      </c>
      <c r="F2901" s="1" t="s">
        <v>167</v>
      </c>
      <c r="I2901" s="1" t="n">
        <v>364</v>
      </c>
      <c r="J2901" s="1" t="n">
        <v>66384</v>
      </c>
      <c r="K2901" s="1" t="n">
        <v>40141989628</v>
      </c>
      <c r="L2901" s="1" t="s">
        <v>3660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5" t="n">
        <v>46198</v>
      </c>
      <c r="C2902" s="1" t="n">
        <v>1</v>
      </c>
      <c r="D2902" s="1" t="s">
        <v>2317</v>
      </c>
      <c r="E2902" s="1" t="n">
        <v>1185</v>
      </c>
      <c r="F2902" s="1" t="s">
        <v>167</v>
      </c>
      <c r="I2902" s="1" t="n">
        <v>364</v>
      </c>
      <c r="J2902" s="1" t="n">
        <v>66385</v>
      </c>
      <c r="K2902" s="1" t="n">
        <v>40141989666</v>
      </c>
      <c r="L2902" s="1" t="s">
        <v>3661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5" t="n">
        <v>46198</v>
      </c>
      <c r="C2903" s="1" t="n">
        <v>1</v>
      </c>
      <c r="D2903" s="1" t="s">
        <v>2317</v>
      </c>
      <c r="E2903" s="1" t="n">
        <v>1185</v>
      </c>
      <c r="F2903" s="1" t="s">
        <v>167</v>
      </c>
      <c r="I2903" s="1" t="n">
        <v>364</v>
      </c>
      <c r="J2903" s="1" t="n">
        <v>66397</v>
      </c>
      <c r="K2903" s="1" t="n">
        <v>7896959500370</v>
      </c>
      <c r="L2903" s="1" t="s">
        <v>3662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5" t="n">
        <v>46198</v>
      </c>
      <c r="C2904" s="1" t="n">
        <v>1</v>
      </c>
      <c r="D2904" s="1" t="s">
        <v>2317</v>
      </c>
      <c r="E2904" s="1" t="n">
        <v>1185</v>
      </c>
      <c r="F2904" s="1" t="s">
        <v>167</v>
      </c>
      <c r="I2904" s="1" t="n">
        <v>364</v>
      </c>
      <c r="J2904" s="1" t="n">
        <v>66757</v>
      </c>
      <c r="K2904" s="1" t="n">
        <v>40141989697</v>
      </c>
      <c r="L2904" s="1" t="s">
        <v>3663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5" t="n">
        <v>46198</v>
      </c>
      <c r="C2905" s="1" t="n">
        <v>1</v>
      </c>
      <c r="D2905" s="1" t="s">
        <v>2317</v>
      </c>
      <c r="E2905" s="1" t="n">
        <v>1185</v>
      </c>
      <c r="F2905" s="1" t="s">
        <v>167</v>
      </c>
      <c r="I2905" s="1" t="n">
        <v>364</v>
      </c>
      <c r="J2905" s="1" t="n">
        <v>66760</v>
      </c>
      <c r="K2905" s="1" t="n">
        <v>40141989703</v>
      </c>
      <c r="L2905" s="1" t="s">
        <v>3664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5" t="n">
        <v>46198</v>
      </c>
      <c r="C2906" s="1" t="n">
        <v>1</v>
      </c>
      <c r="D2906" s="1" t="s">
        <v>2317</v>
      </c>
      <c r="E2906" s="1" t="n">
        <v>1185</v>
      </c>
      <c r="F2906" s="1" t="s">
        <v>167</v>
      </c>
      <c r="I2906" s="1" t="n">
        <v>364</v>
      </c>
      <c r="J2906" s="1" t="n">
        <v>66761</v>
      </c>
      <c r="K2906" s="1" t="n">
        <v>40141989680</v>
      </c>
      <c r="L2906" s="1" t="s">
        <v>3665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5" t="n">
        <v>46198</v>
      </c>
      <c r="C2907" s="1" t="n">
        <v>1</v>
      </c>
      <c r="D2907" s="1" t="s">
        <v>2317</v>
      </c>
      <c r="E2907" s="1" t="n">
        <v>1185</v>
      </c>
      <c r="F2907" s="1" t="s">
        <v>167</v>
      </c>
      <c r="I2907" s="1" t="n">
        <v>364</v>
      </c>
      <c r="J2907" s="1" t="n">
        <v>79652</v>
      </c>
      <c r="K2907" s="1" t="n">
        <v>631911126055</v>
      </c>
      <c r="L2907" s="1" t="s">
        <v>3666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5" t="n">
        <v>46198</v>
      </c>
      <c r="C2908" s="1" t="n">
        <v>1</v>
      </c>
      <c r="D2908" s="1" t="s">
        <v>2317</v>
      </c>
      <c r="E2908" s="1" t="n">
        <v>1185</v>
      </c>
      <c r="F2908" s="1" t="s">
        <v>167</v>
      </c>
      <c r="I2908" s="1" t="n">
        <v>364</v>
      </c>
      <c r="J2908" s="1" t="n">
        <v>80823</v>
      </c>
      <c r="K2908" s="1" t="n">
        <v>631911126062</v>
      </c>
      <c r="L2908" s="1" t="s">
        <v>3667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5" t="n">
        <v>46198</v>
      </c>
      <c r="C2909" s="1" t="n">
        <v>1</v>
      </c>
      <c r="D2909" s="1" t="s">
        <v>2317</v>
      </c>
      <c r="E2909" s="1" t="n">
        <v>1185</v>
      </c>
      <c r="F2909" s="1" t="s">
        <v>167</v>
      </c>
      <c r="I2909" s="1" t="n">
        <v>364</v>
      </c>
      <c r="J2909" s="1" t="n">
        <v>81512</v>
      </c>
      <c r="K2909" s="1" t="n">
        <v>631911126017</v>
      </c>
      <c r="L2909" s="1" t="s">
        <v>3668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5" t="n">
        <v>46198</v>
      </c>
      <c r="C2910" s="1" t="n">
        <v>1</v>
      </c>
      <c r="D2910" s="1" t="s">
        <v>2317</v>
      </c>
      <c r="E2910" s="1" t="n">
        <v>1378</v>
      </c>
      <c r="F2910" s="1" t="s">
        <v>120</v>
      </c>
      <c r="I2910" s="1" t="n">
        <v>17914</v>
      </c>
      <c r="J2910" s="1" t="n">
        <v>74061</v>
      </c>
      <c r="K2910" s="1" t="n">
        <v>42882264255</v>
      </c>
      <c r="L2910" s="1" t="s">
        <v>2340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5" t="n">
        <v>46198</v>
      </c>
      <c r="C2911" s="1" t="n">
        <v>1</v>
      </c>
      <c r="D2911" s="1" t="s">
        <v>2317</v>
      </c>
      <c r="E2911" s="1" t="n">
        <v>1378</v>
      </c>
      <c r="F2911" s="1" t="s">
        <v>120</v>
      </c>
      <c r="I2911" s="1" t="n">
        <v>17914</v>
      </c>
      <c r="J2911" s="1" t="n">
        <v>74063</v>
      </c>
      <c r="K2911" s="1" t="n">
        <v>42882264262</v>
      </c>
      <c r="L2911" s="1" t="s">
        <v>2341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5" t="n">
        <v>46198</v>
      </c>
      <c r="C2912" s="1" t="n">
        <v>1</v>
      </c>
      <c r="D2912" s="1" t="s">
        <v>2317</v>
      </c>
      <c r="E2912" s="1" t="n">
        <v>1378</v>
      </c>
      <c r="F2912" s="1" t="s">
        <v>120</v>
      </c>
      <c r="I2912" s="1" t="n">
        <v>17914</v>
      </c>
      <c r="J2912" s="1" t="n">
        <v>74064</v>
      </c>
      <c r="K2912" s="1" t="n">
        <v>42882264279</v>
      </c>
      <c r="L2912" s="1" t="s">
        <v>2342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5" t="n">
        <v>46198</v>
      </c>
      <c r="C2913" s="1" t="n">
        <v>1</v>
      </c>
      <c r="D2913" s="1" t="s">
        <v>2317</v>
      </c>
      <c r="E2913" s="1" t="n">
        <v>1378</v>
      </c>
      <c r="F2913" s="1" t="s">
        <v>120</v>
      </c>
      <c r="I2913" s="1" t="n">
        <v>17914</v>
      </c>
      <c r="J2913" s="1" t="n">
        <v>77994</v>
      </c>
      <c r="K2913" s="1" t="n">
        <v>780117</v>
      </c>
      <c r="L2913" s="1" t="s">
        <v>2344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5" t="n">
        <v>46198</v>
      </c>
      <c r="C2914" s="1" t="n">
        <v>1</v>
      </c>
      <c r="D2914" s="1" t="s">
        <v>2317</v>
      </c>
      <c r="E2914" s="1" t="n">
        <v>1734</v>
      </c>
      <c r="F2914" s="1" t="s">
        <v>125</v>
      </c>
      <c r="I2914" s="1" t="n">
        <v>254082</v>
      </c>
      <c r="J2914" s="1" t="n">
        <v>38208</v>
      </c>
      <c r="K2914" s="1" t="n">
        <v>7898055452126</v>
      </c>
      <c r="L2914" s="1" t="s">
        <v>2699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5" t="n">
        <v>46198</v>
      </c>
      <c r="C2915" s="1" t="n">
        <v>1</v>
      </c>
      <c r="D2915" s="1" t="s">
        <v>2317</v>
      </c>
      <c r="E2915" s="1" t="n">
        <v>1734</v>
      </c>
      <c r="F2915" s="1" t="s">
        <v>125</v>
      </c>
      <c r="I2915" s="1" t="n">
        <v>254082</v>
      </c>
      <c r="J2915" s="1" t="n">
        <v>38209</v>
      </c>
      <c r="K2915" s="1" t="n">
        <v>7898055451761</v>
      </c>
      <c r="L2915" s="1" t="s">
        <v>2381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5" t="n">
        <v>46198</v>
      </c>
      <c r="C2916" s="1" t="n">
        <v>1</v>
      </c>
      <c r="D2916" s="1" t="s">
        <v>2317</v>
      </c>
      <c r="E2916" s="1" t="n">
        <v>1734</v>
      </c>
      <c r="F2916" s="1" t="s">
        <v>125</v>
      </c>
      <c r="I2916" s="1" t="n">
        <v>254082</v>
      </c>
      <c r="J2916" s="1" t="n">
        <v>38213</v>
      </c>
      <c r="K2916" s="1" t="n">
        <v>7898055450023</v>
      </c>
      <c r="L2916" s="1" t="s">
        <v>2382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5" t="n">
        <v>46198</v>
      </c>
      <c r="C2917" s="1" t="n">
        <v>1</v>
      </c>
      <c r="D2917" s="1" t="s">
        <v>2317</v>
      </c>
      <c r="E2917" s="1" t="n">
        <v>1734</v>
      </c>
      <c r="F2917" s="1" t="s">
        <v>125</v>
      </c>
      <c r="I2917" s="1" t="n">
        <v>254082</v>
      </c>
      <c r="J2917" s="1" t="n">
        <v>38214</v>
      </c>
      <c r="K2917" s="1" t="n">
        <v>7898055452249</v>
      </c>
      <c r="L2917" s="1" t="s">
        <v>2702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5" t="n">
        <v>46198</v>
      </c>
      <c r="C2918" s="1" t="n">
        <v>1</v>
      </c>
      <c r="D2918" s="1" t="s">
        <v>2317</v>
      </c>
      <c r="E2918" s="1" t="n">
        <v>1734</v>
      </c>
      <c r="F2918" s="1" t="s">
        <v>125</v>
      </c>
      <c r="I2918" s="1" t="n">
        <v>254082</v>
      </c>
      <c r="J2918" s="1" t="n">
        <v>38220</v>
      </c>
      <c r="K2918" s="1" t="n">
        <v>7898055452355</v>
      </c>
      <c r="L2918" s="1" t="s">
        <v>2382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5" t="n">
        <v>46198</v>
      </c>
      <c r="C2919" s="1" t="n">
        <v>1</v>
      </c>
      <c r="D2919" s="1" t="s">
        <v>2317</v>
      </c>
      <c r="E2919" s="1" t="n">
        <v>1734</v>
      </c>
      <c r="F2919" s="1" t="s">
        <v>125</v>
      </c>
      <c r="I2919" s="1" t="n">
        <v>254082</v>
      </c>
      <c r="J2919" s="1" t="n">
        <v>38221</v>
      </c>
      <c r="K2919" s="1" t="n">
        <v>7898055452102</v>
      </c>
      <c r="L2919" s="1" t="s">
        <v>2704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5" t="n">
        <v>46198</v>
      </c>
      <c r="C2920" s="1" t="n">
        <v>1</v>
      </c>
      <c r="D2920" s="1" t="s">
        <v>2317</v>
      </c>
      <c r="E2920" s="1" t="n">
        <v>1734</v>
      </c>
      <c r="F2920" s="1" t="s">
        <v>125</v>
      </c>
      <c r="I2920" s="1" t="n">
        <v>254082</v>
      </c>
      <c r="J2920" s="1" t="n">
        <v>38790</v>
      </c>
      <c r="K2920" s="1" t="n">
        <v>7898055453659</v>
      </c>
      <c r="L2920" s="1" t="s">
        <v>3669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5" t="n">
        <v>46198</v>
      </c>
      <c r="C2921" s="1" t="n">
        <v>1</v>
      </c>
      <c r="D2921" s="1" t="s">
        <v>2317</v>
      </c>
      <c r="E2921" s="1" t="n">
        <v>1734</v>
      </c>
      <c r="F2921" s="1" t="s">
        <v>125</v>
      </c>
      <c r="I2921" s="1" t="n">
        <v>254082</v>
      </c>
      <c r="J2921" s="1" t="n">
        <v>39252</v>
      </c>
      <c r="K2921" s="1" t="n">
        <v>7898055450993</v>
      </c>
      <c r="L2921" s="1" t="s">
        <v>2705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5" t="n">
        <v>46198</v>
      </c>
      <c r="C2922" s="1" t="n">
        <v>1</v>
      </c>
      <c r="D2922" s="1" t="s">
        <v>2317</v>
      </c>
      <c r="E2922" s="1" t="n">
        <v>1734</v>
      </c>
      <c r="F2922" s="1" t="s">
        <v>125</v>
      </c>
      <c r="I2922" s="1" t="n">
        <v>254082</v>
      </c>
      <c r="J2922" s="1" t="n">
        <v>39450</v>
      </c>
      <c r="K2922" s="1" t="n">
        <v>7898055450030</v>
      </c>
      <c r="L2922" s="1" t="s">
        <v>2707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5" t="n">
        <v>46198</v>
      </c>
      <c r="C2923" s="1" t="n">
        <v>1</v>
      </c>
      <c r="D2923" s="1" t="s">
        <v>2317</v>
      </c>
      <c r="E2923" s="1" t="n">
        <v>1734</v>
      </c>
      <c r="F2923" s="1" t="s">
        <v>125</v>
      </c>
      <c r="I2923" s="1" t="n">
        <v>254082</v>
      </c>
      <c r="J2923" s="1" t="n">
        <v>56815</v>
      </c>
      <c r="K2923" s="1" t="n">
        <v>7898055455165</v>
      </c>
      <c r="L2923" s="1" t="s">
        <v>2387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5" t="n">
        <v>46198</v>
      </c>
      <c r="C2924" s="1" t="n">
        <v>1</v>
      </c>
      <c r="D2924" s="1" t="s">
        <v>2317</v>
      </c>
      <c r="E2924" s="1" t="n">
        <v>1734</v>
      </c>
      <c r="F2924" s="1" t="s">
        <v>125</v>
      </c>
      <c r="I2924" s="1" t="n">
        <v>254082</v>
      </c>
      <c r="J2924" s="1" t="n">
        <v>78071</v>
      </c>
      <c r="K2924" s="1" t="n">
        <v>7898055455622</v>
      </c>
      <c r="L2924" s="1" t="s">
        <v>2389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5" t="n">
        <v>46198</v>
      </c>
      <c r="C2925" s="1" t="n">
        <v>1</v>
      </c>
      <c r="D2925" s="1" t="s">
        <v>2317</v>
      </c>
      <c r="E2925" s="1" t="n">
        <v>1642</v>
      </c>
      <c r="F2925" s="1" t="s">
        <v>274</v>
      </c>
      <c r="I2925" s="1" t="n">
        <v>1028803</v>
      </c>
      <c r="J2925" s="1" t="n">
        <v>104335</v>
      </c>
      <c r="K2925" s="1" t="n">
        <v>7896289210512</v>
      </c>
      <c r="L2925" s="1" t="s">
        <v>2466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5" t="n">
        <v>46198</v>
      </c>
      <c r="C2926" s="1" t="n">
        <v>1</v>
      </c>
      <c r="D2926" s="1" t="s">
        <v>2317</v>
      </c>
      <c r="E2926" s="1" t="n">
        <v>1642</v>
      </c>
      <c r="F2926" s="1" t="s">
        <v>274</v>
      </c>
      <c r="I2926" s="1" t="n">
        <v>1028803</v>
      </c>
      <c r="J2926" s="1" t="n">
        <v>105780</v>
      </c>
      <c r="K2926" s="1" t="n">
        <v>7896289210017</v>
      </c>
      <c r="L2926" s="1" t="s">
        <v>2467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5" t="n">
        <v>46198</v>
      </c>
      <c r="C2927" s="1" t="n">
        <v>1</v>
      </c>
      <c r="D2927" s="1" t="s">
        <v>2317</v>
      </c>
      <c r="E2927" s="1" t="n">
        <v>1642</v>
      </c>
      <c r="F2927" s="1" t="s">
        <v>274</v>
      </c>
      <c r="I2927" s="1" t="n">
        <v>1028803</v>
      </c>
      <c r="J2927" s="1" t="n">
        <v>105782</v>
      </c>
      <c r="K2927" s="1" t="n">
        <v>7896289210352</v>
      </c>
      <c r="L2927" s="1" t="s">
        <v>2468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5" t="n">
        <v>46198</v>
      </c>
      <c r="C2928" s="1" t="n">
        <v>1</v>
      </c>
      <c r="D2928" s="1" t="s">
        <v>2317</v>
      </c>
      <c r="E2928" s="1" t="n">
        <v>1642</v>
      </c>
      <c r="F2928" s="1" t="s">
        <v>274</v>
      </c>
      <c r="I2928" s="1" t="n">
        <v>1028803</v>
      </c>
      <c r="J2928" s="1" t="n">
        <v>106079</v>
      </c>
      <c r="K2928" s="1" t="n">
        <v>7896289210130</v>
      </c>
      <c r="L2928" s="1" t="s">
        <v>2469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5" t="n">
        <v>46198</v>
      </c>
      <c r="C2929" s="1" t="n">
        <v>1</v>
      </c>
      <c r="D2929" s="1" t="s">
        <v>2317</v>
      </c>
      <c r="E2929" s="1" t="n">
        <v>1642</v>
      </c>
      <c r="F2929" s="1" t="s">
        <v>274</v>
      </c>
      <c r="I2929" s="1" t="n">
        <v>1028803</v>
      </c>
      <c r="J2929" s="1" t="n">
        <v>106274</v>
      </c>
      <c r="K2929" s="1" t="n">
        <v>7896289210086</v>
      </c>
      <c r="L2929" s="1" t="s">
        <v>2470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5" t="n">
        <v>46198</v>
      </c>
      <c r="C2930" s="1" t="n">
        <v>1</v>
      </c>
      <c r="D2930" s="1" t="s">
        <v>2317</v>
      </c>
      <c r="E2930" s="1" t="n">
        <v>1642</v>
      </c>
      <c r="F2930" s="1" t="s">
        <v>274</v>
      </c>
      <c r="I2930" s="1" t="n">
        <v>1028803</v>
      </c>
      <c r="J2930" s="1" t="n">
        <v>106280</v>
      </c>
      <c r="K2930" s="1" t="n">
        <v>7896289210062</v>
      </c>
      <c r="L2930" s="1" t="s">
        <v>2471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5" t="n">
        <v>46198</v>
      </c>
      <c r="C2931" s="1" t="n">
        <v>1</v>
      </c>
      <c r="D2931" s="1" t="s">
        <v>2317</v>
      </c>
      <c r="E2931" s="1" t="n">
        <v>1642</v>
      </c>
      <c r="F2931" s="1" t="s">
        <v>274</v>
      </c>
      <c r="I2931" s="1" t="n">
        <v>1028803</v>
      </c>
      <c r="J2931" s="1" t="n">
        <v>106407</v>
      </c>
      <c r="K2931" s="1" t="n">
        <v>7896289210031</v>
      </c>
      <c r="L2931" s="1" t="s">
        <v>2472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5" t="n">
        <v>46198</v>
      </c>
      <c r="C2932" s="1" t="n">
        <v>2</v>
      </c>
      <c r="D2932" s="1" t="s">
        <v>2283</v>
      </c>
      <c r="E2932" s="1" t="n">
        <v>42</v>
      </c>
      <c r="F2932" s="1" t="s">
        <v>80</v>
      </c>
      <c r="I2932" s="1" t="n">
        <v>250601</v>
      </c>
      <c r="J2932" s="1" t="n">
        <v>37361</v>
      </c>
      <c r="K2932" s="1" t="n">
        <v>2240817</v>
      </c>
      <c r="L2932" s="1" t="s">
        <v>2286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5" t="n">
        <v>46198</v>
      </c>
      <c r="C2933" s="1" t="n">
        <v>6</v>
      </c>
      <c r="D2933" s="1" t="s">
        <v>2289</v>
      </c>
      <c r="E2933" s="1" t="n">
        <v>42</v>
      </c>
      <c r="F2933" s="1" t="s">
        <v>80</v>
      </c>
      <c r="I2933" s="1" t="n">
        <v>4307</v>
      </c>
      <c r="J2933" s="1" t="n">
        <v>37361</v>
      </c>
      <c r="K2933" s="1" t="n">
        <v>2240817</v>
      </c>
      <c r="L2933" s="1" t="s">
        <v>2286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5" t="n">
        <v>46198</v>
      </c>
      <c r="C2934" s="1" t="n">
        <v>11</v>
      </c>
      <c r="D2934" s="1" t="s">
        <v>2290</v>
      </c>
      <c r="E2934" s="1" t="n">
        <v>1196</v>
      </c>
      <c r="F2934" s="1" t="s">
        <v>174</v>
      </c>
      <c r="I2934" s="1" t="n">
        <v>11957</v>
      </c>
      <c r="J2934" s="1" t="n">
        <v>102250</v>
      </c>
      <c r="K2934" s="1" t="n">
        <v>7891000100103</v>
      </c>
      <c r="L2934" s="1" t="s">
        <v>3670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5" t="n">
        <v>46198</v>
      </c>
      <c r="C2935" s="1" t="n">
        <v>11</v>
      </c>
      <c r="D2935" s="1" t="s">
        <v>2290</v>
      </c>
      <c r="E2935" s="1" t="n">
        <v>1196</v>
      </c>
      <c r="F2935" s="1" t="s">
        <v>174</v>
      </c>
      <c r="I2935" s="1" t="n">
        <v>11957</v>
      </c>
      <c r="J2935" s="1" t="n">
        <v>102434</v>
      </c>
      <c r="K2935" s="1" t="n">
        <v>7898366930344</v>
      </c>
      <c r="L2935" s="1" t="s">
        <v>3671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5" t="n">
        <v>46198</v>
      </c>
      <c r="C2936" s="1" t="n">
        <v>11</v>
      </c>
      <c r="D2936" s="1" t="s">
        <v>2290</v>
      </c>
      <c r="E2936" s="1" t="n">
        <v>1196</v>
      </c>
      <c r="F2936" s="1" t="s">
        <v>174</v>
      </c>
      <c r="I2936" s="1" t="n">
        <v>11957</v>
      </c>
      <c r="J2936" s="1" t="n">
        <v>34432</v>
      </c>
      <c r="K2936" s="1" t="n">
        <v>7896434920778</v>
      </c>
      <c r="L2936" s="1" t="s">
        <v>3672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5" t="n">
        <v>46198</v>
      </c>
      <c r="C2937" s="1" t="n">
        <v>11</v>
      </c>
      <c r="D2937" s="1" t="s">
        <v>2290</v>
      </c>
      <c r="E2937" s="1" t="n">
        <v>1196</v>
      </c>
      <c r="F2937" s="1" t="s">
        <v>174</v>
      </c>
      <c r="I2937" s="1" t="n">
        <v>11957</v>
      </c>
      <c r="J2937" s="1" t="n">
        <v>34923</v>
      </c>
      <c r="K2937" s="1" t="n">
        <v>7896253401465</v>
      </c>
      <c r="L2937" s="1" t="s">
        <v>3673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5" t="n">
        <v>46198</v>
      </c>
      <c r="C2938" s="1" t="n">
        <v>11</v>
      </c>
      <c r="D2938" s="1" t="s">
        <v>2290</v>
      </c>
      <c r="E2938" s="1" t="n">
        <v>1196</v>
      </c>
      <c r="F2938" s="1" t="s">
        <v>174</v>
      </c>
      <c r="I2938" s="1" t="n">
        <v>11957</v>
      </c>
      <c r="J2938" s="1" t="n">
        <v>44223</v>
      </c>
      <c r="K2938" s="1" t="n">
        <v>7896016441066</v>
      </c>
      <c r="L2938" s="1" t="s">
        <v>3674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5" t="n">
        <v>46198</v>
      </c>
      <c r="C2939" s="1" t="n">
        <v>11</v>
      </c>
      <c r="D2939" s="1" t="s">
        <v>2290</v>
      </c>
      <c r="E2939" s="1" t="n">
        <v>1196</v>
      </c>
      <c r="F2939" s="1" t="s">
        <v>174</v>
      </c>
      <c r="I2939" s="1" t="n">
        <v>11957</v>
      </c>
      <c r="J2939" s="1" t="n">
        <v>53324</v>
      </c>
      <c r="K2939" s="1" t="n">
        <v>7896253401472</v>
      </c>
      <c r="L2939" s="1" t="s">
        <v>3675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5" t="n">
        <v>46198</v>
      </c>
      <c r="C2940" s="1" t="n">
        <v>11</v>
      </c>
      <c r="D2940" s="1" t="s">
        <v>2290</v>
      </c>
      <c r="E2940" s="1" t="n">
        <v>1196</v>
      </c>
      <c r="F2940" s="1" t="s">
        <v>174</v>
      </c>
      <c r="I2940" s="1" t="n">
        <v>11957</v>
      </c>
      <c r="J2940" s="1" t="n">
        <v>62242</v>
      </c>
      <c r="K2940" s="1" t="n">
        <v>7891000379585</v>
      </c>
      <c r="L2940" s="1" t="s">
        <v>3676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5" t="n">
        <v>46198</v>
      </c>
      <c r="C2941" s="1" t="n">
        <v>11</v>
      </c>
      <c r="D2941" s="1" t="s">
        <v>2290</v>
      </c>
      <c r="E2941" s="1" t="n">
        <v>1196</v>
      </c>
      <c r="F2941" s="1" t="s">
        <v>174</v>
      </c>
      <c r="I2941" s="1" t="n">
        <v>11957</v>
      </c>
      <c r="J2941" s="1" t="n">
        <v>80456</v>
      </c>
      <c r="K2941" s="1" t="n">
        <v>7896016431296</v>
      </c>
      <c r="L2941" s="1" t="s">
        <v>3677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5" t="n">
        <v>46198</v>
      </c>
      <c r="C2942" s="1" t="n">
        <v>11</v>
      </c>
      <c r="D2942" s="1" t="s">
        <v>2290</v>
      </c>
      <c r="E2942" s="1" t="n">
        <v>1955</v>
      </c>
      <c r="F2942" s="1" t="s">
        <v>2216</v>
      </c>
      <c r="I2942" s="1" t="n">
        <v>45987</v>
      </c>
      <c r="J2942" s="1" t="n">
        <v>37740</v>
      </c>
      <c r="K2942" s="1" t="n">
        <v>7899403635857</v>
      </c>
      <c r="L2942" s="1" t="s">
        <v>3678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5" t="n">
        <v>46198</v>
      </c>
      <c r="C2943" s="1" t="n">
        <v>11</v>
      </c>
      <c r="D2943" s="1" t="s">
        <v>2290</v>
      </c>
      <c r="E2943" s="1" t="n">
        <v>1955</v>
      </c>
      <c r="F2943" s="1" t="s">
        <v>2216</v>
      </c>
      <c r="I2943" s="1" t="n">
        <v>45987</v>
      </c>
      <c r="J2943" s="1" t="n">
        <v>37742</v>
      </c>
      <c r="K2943" s="1" t="n">
        <v>7898575226504</v>
      </c>
      <c r="L2943" s="1" t="s">
        <v>3507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5" t="n">
        <v>46198</v>
      </c>
      <c r="C2944" s="1" t="n">
        <v>11</v>
      </c>
      <c r="D2944" s="1" t="s">
        <v>2290</v>
      </c>
      <c r="E2944" s="1" t="n">
        <v>1955</v>
      </c>
      <c r="F2944" s="1" t="s">
        <v>2216</v>
      </c>
      <c r="I2944" s="1" t="n">
        <v>45987</v>
      </c>
      <c r="J2944" s="1" t="n">
        <v>37744</v>
      </c>
      <c r="K2944" s="1" t="n">
        <v>7894537020739</v>
      </c>
      <c r="L2944" s="1" t="s">
        <v>3679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5" t="n">
        <v>46198</v>
      </c>
      <c r="C2945" s="1" t="n">
        <v>11</v>
      </c>
      <c r="D2945" s="1" t="s">
        <v>2290</v>
      </c>
      <c r="E2945" s="1" t="n">
        <v>1955</v>
      </c>
      <c r="F2945" s="1" t="s">
        <v>2216</v>
      </c>
      <c r="I2945" s="1" t="n">
        <v>45987</v>
      </c>
      <c r="J2945" s="1" t="n">
        <v>37744</v>
      </c>
      <c r="K2945" s="1" t="n">
        <v>7894537020739</v>
      </c>
      <c r="L2945" s="1" t="s">
        <v>3679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5" t="n">
        <v>46198</v>
      </c>
      <c r="C2946" s="1" t="n">
        <v>11</v>
      </c>
      <c r="D2946" s="1" t="s">
        <v>2290</v>
      </c>
      <c r="E2946" s="1" t="n">
        <v>1955</v>
      </c>
      <c r="F2946" s="1" t="s">
        <v>2216</v>
      </c>
      <c r="I2946" s="1" t="n">
        <v>45987</v>
      </c>
      <c r="J2946" s="1" t="n">
        <v>37745</v>
      </c>
      <c r="K2946" s="1" t="n">
        <v>7894537020746</v>
      </c>
      <c r="L2946" s="1" t="s">
        <v>3680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5" t="n">
        <v>46198</v>
      </c>
      <c r="C2947" s="1" t="n">
        <v>11</v>
      </c>
      <c r="D2947" s="1" t="s">
        <v>2290</v>
      </c>
      <c r="E2947" s="1" t="n">
        <v>1955</v>
      </c>
      <c r="F2947" s="1" t="s">
        <v>2216</v>
      </c>
      <c r="I2947" s="1" t="n">
        <v>45987</v>
      </c>
      <c r="J2947" s="1" t="n">
        <v>37858</v>
      </c>
      <c r="K2947" s="1" t="n">
        <v>7899403636076</v>
      </c>
      <c r="L2947" s="1" t="s">
        <v>3681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5" t="n">
        <v>46198</v>
      </c>
      <c r="C2948" s="1" t="n">
        <v>11</v>
      </c>
      <c r="D2948" s="1" t="s">
        <v>2290</v>
      </c>
      <c r="E2948" s="1" t="n">
        <v>1955</v>
      </c>
      <c r="F2948" s="1" t="s">
        <v>2216</v>
      </c>
      <c r="I2948" s="1" t="n">
        <v>45987</v>
      </c>
      <c r="J2948" s="1" t="n">
        <v>50870</v>
      </c>
      <c r="K2948" s="1" t="n">
        <v>7899403636373</v>
      </c>
      <c r="L2948" s="1" t="s">
        <v>3682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5" t="n">
        <v>46198</v>
      </c>
      <c r="C2949" s="1" t="n">
        <v>11</v>
      </c>
      <c r="D2949" s="1" t="s">
        <v>2290</v>
      </c>
      <c r="E2949" s="1" t="n">
        <v>1955</v>
      </c>
      <c r="F2949" s="1" t="s">
        <v>2216</v>
      </c>
      <c r="I2949" s="1" t="n">
        <v>45987</v>
      </c>
      <c r="J2949" s="1" t="n">
        <v>62812</v>
      </c>
      <c r="K2949" s="1" t="n">
        <v>7898933090877</v>
      </c>
      <c r="L2949" s="1" t="s">
        <v>3508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5" t="n">
        <v>46198</v>
      </c>
      <c r="C2950" s="1" t="n">
        <v>11</v>
      </c>
      <c r="D2950" s="1" t="s">
        <v>2290</v>
      </c>
      <c r="E2950" s="1" t="n">
        <v>1955</v>
      </c>
      <c r="F2950" s="1" t="s">
        <v>2216</v>
      </c>
      <c r="I2950" s="1" t="n">
        <v>45987</v>
      </c>
      <c r="J2950" s="1" t="n">
        <v>72901</v>
      </c>
      <c r="K2950" s="1" t="n">
        <v>7898602918563</v>
      </c>
      <c r="L2950" s="1" t="s">
        <v>3509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5" t="n">
        <v>46198</v>
      </c>
      <c r="C2951" s="1" t="n">
        <v>11</v>
      </c>
      <c r="D2951" s="1" t="s">
        <v>2290</v>
      </c>
      <c r="E2951" s="1" t="n">
        <v>1734</v>
      </c>
      <c r="F2951" s="1" t="s">
        <v>125</v>
      </c>
      <c r="I2951" s="1" t="n">
        <v>254081</v>
      </c>
      <c r="J2951" s="1" t="n">
        <v>38215</v>
      </c>
      <c r="K2951" s="1" t="n">
        <v>7898055450474</v>
      </c>
      <c r="L2951" s="1" t="s">
        <v>2719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5" t="n">
        <v>46198</v>
      </c>
      <c r="C2952" s="1" t="n">
        <v>11</v>
      </c>
      <c r="D2952" s="1" t="s">
        <v>2290</v>
      </c>
      <c r="E2952" s="1" t="n">
        <v>1734</v>
      </c>
      <c r="F2952" s="1" t="s">
        <v>125</v>
      </c>
      <c r="I2952" s="1" t="n">
        <v>254081</v>
      </c>
      <c r="J2952" s="1" t="n">
        <v>38784</v>
      </c>
      <c r="K2952" s="1" t="n">
        <v>7898055450320</v>
      </c>
      <c r="L2952" s="1" t="s">
        <v>2721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5" t="n">
        <v>46198</v>
      </c>
      <c r="C2953" s="1" t="n">
        <v>11</v>
      </c>
      <c r="D2953" s="1" t="s">
        <v>2290</v>
      </c>
      <c r="E2953" s="1" t="n">
        <v>1734</v>
      </c>
      <c r="F2953" s="1" t="s">
        <v>125</v>
      </c>
      <c r="I2953" s="1" t="n">
        <v>254081</v>
      </c>
      <c r="J2953" s="1" t="n">
        <v>38785</v>
      </c>
      <c r="K2953" s="1" t="n">
        <v>7898055450344</v>
      </c>
      <c r="L2953" s="1" t="s">
        <v>3683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5" t="n">
        <v>46198</v>
      </c>
      <c r="C2954" s="1" t="n">
        <v>11</v>
      </c>
      <c r="D2954" s="1" t="s">
        <v>2290</v>
      </c>
      <c r="E2954" s="1" t="n">
        <v>1734</v>
      </c>
      <c r="F2954" s="1" t="s">
        <v>125</v>
      </c>
      <c r="I2954" s="1" t="n">
        <v>254081</v>
      </c>
      <c r="J2954" s="1" t="n">
        <v>38787</v>
      </c>
      <c r="K2954" s="1" t="n">
        <v>7898055450849</v>
      </c>
      <c r="L2954" s="1" t="s">
        <v>2722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5" t="n">
        <v>46198</v>
      </c>
      <c r="C2955" s="1" t="n">
        <v>11</v>
      </c>
      <c r="D2955" s="1" t="s">
        <v>2290</v>
      </c>
      <c r="E2955" s="1" t="n">
        <v>1734</v>
      </c>
      <c r="F2955" s="1" t="s">
        <v>125</v>
      </c>
      <c r="I2955" s="1" t="n">
        <v>254081</v>
      </c>
      <c r="J2955" s="1" t="n">
        <v>40713</v>
      </c>
      <c r="K2955" s="1" t="n">
        <v>7898055452294</v>
      </c>
      <c r="L2955" s="1" t="s">
        <v>3684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5" t="n">
        <v>46198</v>
      </c>
      <c r="C2956" s="1" t="n">
        <v>11</v>
      </c>
      <c r="D2956" s="1" t="s">
        <v>2290</v>
      </c>
      <c r="E2956" s="1" t="n">
        <v>1734</v>
      </c>
      <c r="F2956" s="1" t="s">
        <v>125</v>
      </c>
      <c r="I2956" s="1" t="n">
        <v>254081</v>
      </c>
      <c r="J2956" s="1" t="n">
        <v>72253</v>
      </c>
      <c r="K2956" s="1" t="n">
        <v>7898055455554</v>
      </c>
      <c r="L2956" s="1" t="s">
        <v>3685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5" t="n">
        <v>46198</v>
      </c>
      <c r="C2957" s="1" t="n">
        <v>11</v>
      </c>
      <c r="D2957" s="1" t="s">
        <v>2290</v>
      </c>
      <c r="E2957" s="1" t="n">
        <v>1604</v>
      </c>
      <c r="F2957" s="1" t="s">
        <v>946</v>
      </c>
      <c r="I2957" s="1" t="n">
        <v>332759</v>
      </c>
      <c r="J2957" s="1" t="n">
        <v>15471</v>
      </c>
      <c r="K2957" s="1" t="n">
        <v>7898374660165</v>
      </c>
      <c r="L2957" s="1" t="s">
        <v>3686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5" t="n">
        <v>46198</v>
      </c>
      <c r="C2958" s="1" t="n">
        <v>11</v>
      </c>
      <c r="D2958" s="1" t="s">
        <v>2290</v>
      </c>
      <c r="E2958" s="1" t="n">
        <v>1604</v>
      </c>
      <c r="F2958" s="1" t="s">
        <v>946</v>
      </c>
      <c r="I2958" s="1" t="n">
        <v>332759</v>
      </c>
      <c r="J2958" s="1" t="n">
        <v>17048</v>
      </c>
      <c r="K2958" s="1" t="n">
        <v>7898933429479</v>
      </c>
      <c r="L2958" s="1" t="s">
        <v>3687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5" t="n">
        <v>46198</v>
      </c>
      <c r="C2959" s="1" t="n">
        <v>11</v>
      </c>
      <c r="D2959" s="1" t="s">
        <v>2290</v>
      </c>
      <c r="E2959" s="1" t="n">
        <v>1604</v>
      </c>
      <c r="F2959" s="1" t="s">
        <v>946</v>
      </c>
      <c r="I2959" s="1" t="n">
        <v>332759</v>
      </c>
      <c r="J2959" s="1" t="n">
        <v>18185</v>
      </c>
      <c r="K2959" s="1" t="n">
        <v>7898933429462</v>
      </c>
      <c r="L2959" s="1" t="s">
        <v>3688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5" t="n">
        <v>46198</v>
      </c>
      <c r="C2960" s="1" t="n">
        <v>11</v>
      </c>
      <c r="D2960" s="1" t="s">
        <v>2290</v>
      </c>
      <c r="E2960" s="1" t="n">
        <v>1604</v>
      </c>
      <c r="F2960" s="1" t="s">
        <v>946</v>
      </c>
      <c r="I2960" s="1" t="n">
        <v>332759</v>
      </c>
      <c r="J2960" s="1" t="n">
        <v>18368</v>
      </c>
      <c r="K2960" s="1" t="n">
        <v>7898933429035</v>
      </c>
      <c r="L2960" s="1" t="s">
        <v>3689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5" t="n">
        <v>46198</v>
      </c>
      <c r="C2961" s="1" t="n">
        <v>11</v>
      </c>
      <c r="D2961" s="1" t="s">
        <v>2290</v>
      </c>
      <c r="E2961" s="1" t="n">
        <v>1604</v>
      </c>
      <c r="F2961" s="1" t="s">
        <v>946</v>
      </c>
      <c r="I2961" s="1" t="n">
        <v>332759</v>
      </c>
      <c r="J2961" s="1" t="n">
        <v>18709</v>
      </c>
      <c r="K2961" s="1" t="n">
        <v>7898374661384</v>
      </c>
      <c r="L2961" s="1" t="s">
        <v>3690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5" t="n">
        <v>46198</v>
      </c>
      <c r="C2962" s="1" t="n">
        <v>11</v>
      </c>
      <c r="D2962" s="1" t="s">
        <v>2290</v>
      </c>
      <c r="E2962" s="1" t="n">
        <v>1604</v>
      </c>
      <c r="F2962" s="1" t="s">
        <v>946</v>
      </c>
      <c r="I2962" s="1" t="n">
        <v>332759</v>
      </c>
      <c r="J2962" s="1" t="n">
        <v>19033</v>
      </c>
      <c r="K2962" s="1" t="n">
        <v>7898933429417</v>
      </c>
      <c r="L2962" s="1" t="s">
        <v>3691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5" t="n">
        <v>46198</v>
      </c>
      <c r="C2963" s="1" t="n">
        <v>11</v>
      </c>
      <c r="D2963" s="1" t="s">
        <v>2290</v>
      </c>
      <c r="E2963" s="1" t="n">
        <v>1604</v>
      </c>
      <c r="F2963" s="1" t="s">
        <v>946</v>
      </c>
      <c r="I2963" s="1" t="n">
        <v>332759</v>
      </c>
      <c r="J2963" s="1" t="n">
        <v>23255</v>
      </c>
      <c r="K2963" s="1" t="n">
        <v>7898374662794</v>
      </c>
      <c r="L2963" s="1" t="s">
        <v>3692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5" t="n">
        <v>46198</v>
      </c>
      <c r="C2964" s="1" t="n">
        <v>11</v>
      </c>
      <c r="D2964" s="1" t="s">
        <v>2290</v>
      </c>
      <c r="E2964" s="1" t="n">
        <v>1604</v>
      </c>
      <c r="F2964" s="1" t="s">
        <v>946</v>
      </c>
      <c r="I2964" s="1" t="n">
        <v>332759</v>
      </c>
      <c r="J2964" s="1" t="n">
        <v>25297</v>
      </c>
      <c r="K2964" s="1" t="n">
        <v>7898933429868</v>
      </c>
      <c r="L2964" s="1" t="s">
        <v>3693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5" t="n">
        <v>46198</v>
      </c>
      <c r="C2965" s="1" t="n">
        <v>11</v>
      </c>
      <c r="D2965" s="1" t="s">
        <v>2290</v>
      </c>
      <c r="E2965" s="1" t="n">
        <v>1604</v>
      </c>
      <c r="F2965" s="1" t="s">
        <v>946</v>
      </c>
      <c r="I2965" s="1" t="n">
        <v>332759</v>
      </c>
      <c r="J2965" s="1" t="n">
        <v>31464</v>
      </c>
      <c r="K2965" s="1" t="n">
        <v>7897518221231</v>
      </c>
      <c r="L2965" s="1" t="s">
        <v>3694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5" t="n">
        <v>46198</v>
      </c>
      <c r="C2966" s="1" t="n">
        <v>11</v>
      </c>
      <c r="D2966" s="1" t="s">
        <v>2290</v>
      </c>
      <c r="E2966" s="1" t="n">
        <v>1604</v>
      </c>
      <c r="F2966" s="1" t="s">
        <v>946</v>
      </c>
      <c r="I2966" s="1" t="n">
        <v>332759</v>
      </c>
      <c r="J2966" s="1" t="n">
        <v>34883</v>
      </c>
      <c r="K2966" s="1" t="n">
        <v>7898933429875</v>
      </c>
      <c r="L2966" s="1" t="s">
        <v>3695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5" t="n">
        <v>46198</v>
      </c>
      <c r="C2967" s="1" t="n">
        <v>11</v>
      </c>
      <c r="D2967" s="1" t="s">
        <v>2290</v>
      </c>
      <c r="E2967" s="1" t="n">
        <v>1604</v>
      </c>
      <c r="F2967" s="1" t="s">
        <v>946</v>
      </c>
      <c r="I2967" s="1" t="n">
        <v>332759</v>
      </c>
      <c r="J2967" s="1" t="n">
        <v>35635</v>
      </c>
      <c r="K2967" s="1" t="n">
        <v>7898933430666</v>
      </c>
      <c r="L2967" s="1" t="s">
        <v>3696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5" t="n">
        <v>46198</v>
      </c>
      <c r="C2968" s="1" t="n">
        <v>11</v>
      </c>
      <c r="D2968" s="1" t="s">
        <v>2290</v>
      </c>
      <c r="E2968" s="1" t="n">
        <v>1604</v>
      </c>
      <c r="F2968" s="1" t="s">
        <v>946</v>
      </c>
      <c r="I2968" s="1" t="n">
        <v>332759</v>
      </c>
      <c r="J2968" s="1" t="n">
        <v>41480</v>
      </c>
      <c r="K2968" s="1" t="n">
        <v>7898933430086</v>
      </c>
      <c r="L2968" s="1" t="s">
        <v>3697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5" t="n">
        <v>46198</v>
      </c>
      <c r="C2969" s="1" t="n">
        <v>11</v>
      </c>
      <c r="D2969" s="1" t="s">
        <v>2290</v>
      </c>
      <c r="E2969" s="1" t="n">
        <v>1604</v>
      </c>
      <c r="F2969" s="1" t="s">
        <v>946</v>
      </c>
      <c r="I2969" s="1" t="n">
        <v>332759</v>
      </c>
      <c r="J2969" s="1" t="n">
        <v>41671</v>
      </c>
      <c r="K2969" s="1" t="n">
        <v>7898933430222</v>
      </c>
      <c r="L2969" s="1" t="s">
        <v>3698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5" t="n">
        <v>46198</v>
      </c>
      <c r="C2970" s="1" t="n">
        <v>11</v>
      </c>
      <c r="D2970" s="1" t="s">
        <v>2290</v>
      </c>
      <c r="E2970" s="1" t="n">
        <v>1604</v>
      </c>
      <c r="F2970" s="1" t="s">
        <v>946</v>
      </c>
      <c r="I2970" s="1" t="n">
        <v>332759</v>
      </c>
      <c r="J2970" s="1" t="n">
        <v>48540</v>
      </c>
      <c r="K2970" s="1" t="n">
        <v>7898629571376</v>
      </c>
      <c r="L2970" s="1" t="s">
        <v>3699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5" t="n">
        <v>46198</v>
      </c>
      <c r="C2971" s="1" t="n">
        <v>11</v>
      </c>
      <c r="D2971" s="1" t="s">
        <v>2290</v>
      </c>
      <c r="E2971" s="1" t="n">
        <v>1604</v>
      </c>
      <c r="F2971" s="1" t="s">
        <v>946</v>
      </c>
      <c r="I2971" s="1" t="n">
        <v>332759</v>
      </c>
      <c r="J2971" s="1" t="n">
        <v>50766</v>
      </c>
      <c r="K2971" s="1" t="n">
        <v>7898629571086</v>
      </c>
      <c r="L2971" s="1" t="s">
        <v>3700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5" t="n">
        <v>46198</v>
      </c>
      <c r="C2972" s="1" t="n">
        <v>11</v>
      </c>
      <c r="D2972" s="1" t="s">
        <v>2290</v>
      </c>
      <c r="E2972" s="1" t="n">
        <v>1604</v>
      </c>
      <c r="F2972" s="1" t="s">
        <v>946</v>
      </c>
      <c r="I2972" s="1" t="n">
        <v>332759</v>
      </c>
      <c r="J2972" s="1" t="n">
        <v>56809</v>
      </c>
      <c r="K2972" s="1" t="n">
        <v>7898961391328</v>
      </c>
      <c r="L2972" s="1" t="s">
        <v>3701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5" t="n">
        <v>46198</v>
      </c>
      <c r="C2973" s="1" t="n">
        <v>11</v>
      </c>
      <c r="D2973" s="1" t="s">
        <v>2290</v>
      </c>
      <c r="E2973" s="1" t="n">
        <v>1604</v>
      </c>
      <c r="F2973" s="1" t="s">
        <v>946</v>
      </c>
      <c r="I2973" s="1" t="n">
        <v>332759</v>
      </c>
      <c r="J2973" s="1" t="n">
        <v>56810</v>
      </c>
      <c r="K2973" s="1" t="n">
        <v>7898961391335</v>
      </c>
      <c r="L2973" s="1" t="s">
        <v>3702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5" t="n">
        <v>46198</v>
      </c>
      <c r="C2974" s="1" t="n">
        <v>11</v>
      </c>
      <c r="D2974" s="1" t="s">
        <v>2290</v>
      </c>
      <c r="E2974" s="1" t="n">
        <v>1604</v>
      </c>
      <c r="F2974" s="1" t="s">
        <v>946</v>
      </c>
      <c r="I2974" s="1" t="n">
        <v>332759</v>
      </c>
      <c r="J2974" s="1" t="n">
        <v>63635</v>
      </c>
      <c r="K2974" s="1" t="n">
        <v>7898713232237</v>
      </c>
      <c r="L2974" s="1" t="s">
        <v>3703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5" t="n">
        <v>46198</v>
      </c>
      <c r="C2975" s="1" t="n">
        <v>11</v>
      </c>
      <c r="D2975" s="1" t="s">
        <v>2290</v>
      </c>
      <c r="E2975" s="1" t="n">
        <v>1604</v>
      </c>
      <c r="F2975" s="1" t="s">
        <v>946</v>
      </c>
      <c r="I2975" s="1" t="n">
        <v>332759</v>
      </c>
      <c r="J2975" s="1" t="n">
        <v>63757</v>
      </c>
      <c r="K2975" s="1" t="n">
        <v>7898629571727</v>
      </c>
      <c r="L2975" s="1" t="s">
        <v>3704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5" t="n">
        <v>46198</v>
      </c>
      <c r="C2976" s="1" t="n">
        <v>11</v>
      </c>
      <c r="D2976" s="1" t="s">
        <v>2290</v>
      </c>
      <c r="E2976" s="1" t="n">
        <v>1604</v>
      </c>
      <c r="F2976" s="1" t="s">
        <v>946</v>
      </c>
      <c r="I2976" s="1" t="n">
        <v>332759</v>
      </c>
      <c r="J2976" s="1" t="n">
        <v>63763</v>
      </c>
      <c r="K2976" s="1" t="n">
        <v>7898629571734</v>
      </c>
      <c r="L2976" s="1" t="s">
        <v>3705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5" t="n">
        <v>46198</v>
      </c>
      <c r="C2977" s="1" t="n">
        <v>11</v>
      </c>
      <c r="D2977" s="1" t="s">
        <v>2290</v>
      </c>
      <c r="E2977" s="1" t="n">
        <v>1604</v>
      </c>
      <c r="F2977" s="1" t="s">
        <v>946</v>
      </c>
      <c r="I2977" s="1" t="n">
        <v>332759</v>
      </c>
      <c r="J2977" s="1" t="n">
        <v>63764</v>
      </c>
      <c r="K2977" s="1" t="n">
        <v>7898629571710</v>
      </c>
      <c r="L2977" s="1" t="s">
        <v>3706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5" t="n">
        <v>46198</v>
      </c>
      <c r="C2978" s="1" t="n">
        <v>11</v>
      </c>
      <c r="D2978" s="1" t="s">
        <v>2290</v>
      </c>
      <c r="E2978" s="1" t="n">
        <v>1604</v>
      </c>
      <c r="F2978" s="1" t="s">
        <v>946</v>
      </c>
      <c r="I2978" s="1" t="n">
        <v>332759</v>
      </c>
      <c r="J2978" s="1" t="n">
        <v>63767</v>
      </c>
      <c r="K2978" s="1" t="n">
        <v>7898629571741</v>
      </c>
      <c r="L2978" s="1" t="s">
        <v>3707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5" t="n">
        <v>46198</v>
      </c>
      <c r="C2979" s="1" t="n">
        <v>11</v>
      </c>
      <c r="D2979" s="1" t="s">
        <v>2290</v>
      </c>
      <c r="E2979" s="1" t="n">
        <v>1604</v>
      </c>
      <c r="F2979" s="1" t="s">
        <v>946</v>
      </c>
      <c r="I2979" s="1" t="n">
        <v>332759</v>
      </c>
      <c r="J2979" s="1" t="n">
        <v>63919</v>
      </c>
      <c r="K2979" s="1" t="n">
        <v>7898933430123</v>
      </c>
      <c r="L2979" s="1" t="s">
        <v>3708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5" t="n">
        <v>46198</v>
      </c>
      <c r="C2980" s="1" t="n">
        <v>11</v>
      </c>
      <c r="D2980" s="1" t="s">
        <v>2290</v>
      </c>
      <c r="E2980" s="1" t="n">
        <v>1604</v>
      </c>
      <c r="F2980" s="1" t="s">
        <v>946</v>
      </c>
      <c r="I2980" s="1" t="n">
        <v>332759</v>
      </c>
      <c r="J2980" s="1" t="n">
        <v>65815</v>
      </c>
      <c r="K2980" s="1" t="n">
        <v>7898629571918</v>
      </c>
      <c r="L2980" s="1" t="s">
        <v>3709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5" t="n">
        <v>46198</v>
      </c>
      <c r="C2981" s="1" t="n">
        <v>11</v>
      </c>
      <c r="D2981" s="1" t="s">
        <v>2290</v>
      </c>
      <c r="E2981" s="1" t="n">
        <v>1604</v>
      </c>
      <c r="F2981" s="1" t="s">
        <v>946</v>
      </c>
      <c r="I2981" s="1" t="n">
        <v>332759</v>
      </c>
      <c r="J2981" s="1" t="n">
        <v>65816</v>
      </c>
      <c r="K2981" s="1" t="n">
        <v>7898629571765</v>
      </c>
      <c r="L2981" s="1" t="s">
        <v>3710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5" t="n">
        <v>46198</v>
      </c>
      <c r="C2982" s="1" t="n">
        <v>11</v>
      </c>
      <c r="D2982" s="1" t="s">
        <v>2290</v>
      </c>
      <c r="E2982" s="1" t="n">
        <v>1604</v>
      </c>
      <c r="F2982" s="1" t="s">
        <v>946</v>
      </c>
      <c r="I2982" s="1" t="n">
        <v>332759</v>
      </c>
      <c r="J2982" s="1" t="n">
        <v>70558</v>
      </c>
      <c r="K2982" s="1" t="n">
        <v>7897518225260</v>
      </c>
      <c r="L2982" s="1" t="s">
        <v>3711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5" t="n">
        <v>46198</v>
      </c>
      <c r="C2983" s="1" t="n">
        <v>11</v>
      </c>
      <c r="D2983" s="1" t="s">
        <v>2290</v>
      </c>
      <c r="E2983" s="1" t="n">
        <v>1604</v>
      </c>
      <c r="F2983" s="1" t="s">
        <v>946</v>
      </c>
      <c r="I2983" s="1" t="n">
        <v>332759</v>
      </c>
      <c r="J2983" s="1" t="n">
        <v>72687</v>
      </c>
      <c r="K2983" s="1" t="n">
        <v>7898629571697</v>
      </c>
      <c r="L2983" s="1" t="s">
        <v>3712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5" t="n">
        <v>46198</v>
      </c>
      <c r="C2984" s="1" t="n">
        <v>11</v>
      </c>
      <c r="D2984" s="1" t="s">
        <v>2290</v>
      </c>
      <c r="E2984" s="1" t="n">
        <v>1604</v>
      </c>
      <c r="F2984" s="1" t="s">
        <v>946</v>
      </c>
      <c r="I2984" s="1" t="n">
        <v>332759</v>
      </c>
      <c r="J2984" s="1" t="n">
        <v>74622</v>
      </c>
      <c r="K2984" s="1" t="n">
        <v>7898629571789</v>
      </c>
      <c r="L2984" s="1" t="s">
        <v>3713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5" t="n">
        <v>46198</v>
      </c>
      <c r="C2985" s="1" t="n">
        <v>11</v>
      </c>
      <c r="D2985" s="1" t="s">
        <v>2290</v>
      </c>
      <c r="E2985" s="1" t="n">
        <v>1604</v>
      </c>
      <c r="F2985" s="1" t="s">
        <v>946</v>
      </c>
      <c r="I2985" s="1" t="n">
        <v>332759</v>
      </c>
      <c r="J2985" s="1" t="n">
        <v>75811</v>
      </c>
      <c r="K2985" s="1" t="n">
        <v>7898933429127</v>
      </c>
      <c r="L2985" s="1" t="s">
        <v>3714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5" t="n">
        <v>46198</v>
      </c>
      <c r="C2986" s="1" t="n">
        <v>11</v>
      </c>
      <c r="D2986" s="1" t="s">
        <v>2290</v>
      </c>
      <c r="E2986" s="1" t="n">
        <v>1815</v>
      </c>
      <c r="F2986" s="1" t="s">
        <v>53</v>
      </c>
      <c r="I2986" s="1" t="n">
        <v>388917</v>
      </c>
      <c r="J2986" s="1" t="n">
        <v>100029</v>
      </c>
      <c r="K2986" s="1" t="n">
        <v>30</v>
      </c>
      <c r="L2986" s="1" t="s">
        <v>2842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5" t="n">
        <v>46198</v>
      </c>
      <c r="C2987" s="1" t="n">
        <v>11</v>
      </c>
      <c r="D2987" s="1" t="s">
        <v>2290</v>
      </c>
      <c r="E2987" s="1" t="n">
        <v>1815</v>
      </c>
      <c r="F2987" s="1" t="s">
        <v>53</v>
      </c>
      <c r="I2987" s="1" t="n">
        <v>388917</v>
      </c>
      <c r="J2987" s="1" t="n">
        <v>100035</v>
      </c>
      <c r="K2987" s="1" t="n">
        <v>36</v>
      </c>
      <c r="L2987" s="1" t="s">
        <v>2391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5" t="n">
        <v>46198</v>
      </c>
      <c r="C2988" s="1" t="n">
        <v>11</v>
      </c>
      <c r="D2988" s="1" t="s">
        <v>2290</v>
      </c>
      <c r="E2988" s="1" t="n">
        <v>1815</v>
      </c>
      <c r="F2988" s="1" t="s">
        <v>53</v>
      </c>
      <c r="I2988" s="1" t="n">
        <v>388917</v>
      </c>
      <c r="J2988" s="1" t="n">
        <v>23695</v>
      </c>
      <c r="K2988" s="1" t="n">
        <v>7891515474126</v>
      </c>
      <c r="L2988" s="1" t="s">
        <v>2995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5" t="n">
        <v>46198</v>
      </c>
      <c r="C2989" s="1" t="n">
        <v>11</v>
      </c>
      <c r="D2989" s="1" t="s">
        <v>2290</v>
      </c>
      <c r="E2989" s="1" t="n">
        <v>1815</v>
      </c>
      <c r="F2989" s="1" t="s">
        <v>53</v>
      </c>
      <c r="I2989" s="1" t="n">
        <v>388917</v>
      </c>
      <c r="J2989" s="1" t="n">
        <v>110191</v>
      </c>
      <c r="K2989" s="1" t="n">
        <v>37402</v>
      </c>
      <c r="L2989" s="1" t="s">
        <v>2396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5" t="n">
        <v>46198</v>
      </c>
      <c r="C2990" s="1" t="n">
        <v>11</v>
      </c>
      <c r="D2990" s="1" t="s">
        <v>2290</v>
      </c>
      <c r="E2990" s="1" t="n">
        <v>1815</v>
      </c>
      <c r="F2990" s="1" t="s">
        <v>53</v>
      </c>
      <c r="I2990" s="1" t="n">
        <v>388917</v>
      </c>
      <c r="J2990" s="1" t="n">
        <v>38540</v>
      </c>
      <c r="K2990" s="1" t="n">
        <v>7894904015108</v>
      </c>
      <c r="L2990" s="1" t="s">
        <v>2397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5" t="n">
        <v>46198</v>
      </c>
      <c r="C2991" s="1" t="n">
        <v>11</v>
      </c>
      <c r="D2991" s="1" t="s">
        <v>2290</v>
      </c>
      <c r="E2991" s="1" t="n">
        <v>1659</v>
      </c>
      <c r="F2991" s="1" t="s">
        <v>251</v>
      </c>
      <c r="I2991" s="1" t="n">
        <v>881224</v>
      </c>
      <c r="J2991" s="1" t="n">
        <v>102350</v>
      </c>
      <c r="K2991" s="1" t="n">
        <v>7891030003016</v>
      </c>
      <c r="L2991" s="1" t="s">
        <v>3715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5" t="n">
        <v>46198</v>
      </c>
      <c r="C2992" s="1" t="n">
        <v>11</v>
      </c>
      <c r="D2992" s="1" t="s">
        <v>2290</v>
      </c>
      <c r="E2992" s="1" t="n">
        <v>1659</v>
      </c>
      <c r="F2992" s="1" t="s">
        <v>251</v>
      </c>
      <c r="I2992" s="1" t="n">
        <v>881224</v>
      </c>
      <c r="J2992" s="1" t="n">
        <v>102592</v>
      </c>
      <c r="K2992" s="1" t="n">
        <v>7891030003467</v>
      </c>
      <c r="L2992" s="1" t="s">
        <v>3716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5" t="n">
        <v>46198</v>
      </c>
      <c r="C2993" s="1" t="n">
        <v>11</v>
      </c>
      <c r="D2993" s="1" t="s">
        <v>2290</v>
      </c>
      <c r="E2993" s="1" t="n">
        <v>1659</v>
      </c>
      <c r="F2993" s="1" t="s">
        <v>251</v>
      </c>
      <c r="I2993" s="1" t="n">
        <v>881224</v>
      </c>
      <c r="J2993" s="1" t="n">
        <v>109988</v>
      </c>
      <c r="K2993" s="1" t="n">
        <v>7891167023017</v>
      </c>
      <c r="L2993" s="1" t="s">
        <v>3717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5" t="n">
        <v>46198</v>
      </c>
      <c r="C2994" s="1" t="n">
        <v>11</v>
      </c>
      <c r="D2994" s="1" t="s">
        <v>2290</v>
      </c>
      <c r="E2994" s="1" t="n">
        <v>1659</v>
      </c>
      <c r="F2994" s="1" t="s">
        <v>251</v>
      </c>
      <c r="I2994" s="1" t="n">
        <v>881224</v>
      </c>
      <c r="J2994" s="1" t="n">
        <v>19501</v>
      </c>
      <c r="K2994" s="1" t="n">
        <v>7896098900390</v>
      </c>
      <c r="L2994" s="1" t="s">
        <v>3718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5" t="n">
        <v>46198</v>
      </c>
      <c r="C2995" s="1" t="n">
        <v>11</v>
      </c>
      <c r="D2995" s="1" t="s">
        <v>2290</v>
      </c>
      <c r="E2995" s="1" t="n">
        <v>1659</v>
      </c>
      <c r="F2995" s="1" t="s">
        <v>251</v>
      </c>
      <c r="I2995" s="1" t="n">
        <v>881224</v>
      </c>
      <c r="J2995" s="1" t="n">
        <v>22510</v>
      </c>
      <c r="K2995" s="1" t="n">
        <v>7896098900383</v>
      </c>
      <c r="L2995" s="1" t="s">
        <v>3719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5" t="n">
        <v>46198</v>
      </c>
      <c r="C2996" s="1" t="n">
        <v>11</v>
      </c>
      <c r="D2996" s="1" t="s">
        <v>2290</v>
      </c>
      <c r="E2996" s="1" t="n">
        <v>1659</v>
      </c>
      <c r="F2996" s="1" t="s">
        <v>251</v>
      </c>
      <c r="I2996" s="1" t="n">
        <v>881224</v>
      </c>
      <c r="J2996" s="1" t="n">
        <v>22957</v>
      </c>
      <c r="K2996" s="1" t="n">
        <v>7899659900266</v>
      </c>
      <c r="L2996" s="1" t="s">
        <v>3720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5" t="n">
        <v>46198</v>
      </c>
      <c r="C2997" s="1" t="n">
        <v>11</v>
      </c>
      <c r="D2997" s="1" t="s">
        <v>2290</v>
      </c>
      <c r="E2997" s="1" t="n">
        <v>1659</v>
      </c>
      <c r="F2997" s="1" t="s">
        <v>251</v>
      </c>
      <c r="I2997" s="1" t="n">
        <v>881224</v>
      </c>
      <c r="J2997" s="1" t="n">
        <v>31312</v>
      </c>
      <c r="K2997" s="1" t="n">
        <v>7891030300306</v>
      </c>
      <c r="L2997" s="1" t="s">
        <v>3721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5" t="n">
        <v>46198</v>
      </c>
      <c r="C2998" s="1" t="n">
        <v>11</v>
      </c>
      <c r="D2998" s="1" t="s">
        <v>2290</v>
      </c>
      <c r="E2998" s="1" t="n">
        <v>1659</v>
      </c>
      <c r="F2998" s="1" t="s">
        <v>251</v>
      </c>
      <c r="I2998" s="1" t="n">
        <v>881224</v>
      </c>
      <c r="J2998" s="1" t="n">
        <v>33629</v>
      </c>
      <c r="K2998" s="1" t="n">
        <v>7896098901489</v>
      </c>
      <c r="L2998" s="1" t="s">
        <v>3722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5" t="n">
        <v>46198</v>
      </c>
      <c r="C2999" s="1" t="n">
        <v>11</v>
      </c>
      <c r="D2999" s="1" t="s">
        <v>2290</v>
      </c>
      <c r="E2999" s="1" t="n">
        <v>1659</v>
      </c>
      <c r="F2999" s="1" t="s">
        <v>251</v>
      </c>
      <c r="I2999" s="1" t="n">
        <v>881224</v>
      </c>
      <c r="J2999" s="1" t="n">
        <v>34728</v>
      </c>
      <c r="K2999" s="1" t="n">
        <v>7899659900815</v>
      </c>
      <c r="L2999" s="1" t="s">
        <v>3723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5" t="n">
        <v>46198</v>
      </c>
      <c r="C3000" s="1" t="n">
        <v>11</v>
      </c>
      <c r="D3000" s="1" t="s">
        <v>2290</v>
      </c>
      <c r="E3000" s="1" t="n">
        <v>1659</v>
      </c>
      <c r="F3000" s="1" t="s">
        <v>251</v>
      </c>
      <c r="I3000" s="1" t="n">
        <v>881224</v>
      </c>
      <c r="J3000" s="1" t="n">
        <v>34806</v>
      </c>
      <c r="K3000" s="1" t="n">
        <v>7899659900785</v>
      </c>
      <c r="L3000" s="1" t="s">
        <v>3724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5" t="n">
        <v>46198</v>
      </c>
      <c r="C3001" s="1" t="n">
        <v>11</v>
      </c>
      <c r="D3001" s="1" t="s">
        <v>2290</v>
      </c>
      <c r="E3001" s="1" t="n">
        <v>1659</v>
      </c>
      <c r="F3001" s="1" t="s">
        <v>251</v>
      </c>
      <c r="I3001" s="1" t="n">
        <v>881224</v>
      </c>
      <c r="J3001" s="1" t="n">
        <v>59510</v>
      </c>
      <c r="K3001" s="1" t="n">
        <v>7896532701064</v>
      </c>
      <c r="L3001" s="1" t="s">
        <v>2858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5" t="n">
        <v>46198</v>
      </c>
      <c r="C3002" s="1" t="n">
        <v>11</v>
      </c>
      <c r="D3002" s="1" t="s">
        <v>2290</v>
      </c>
      <c r="E3002" s="1" t="n">
        <v>1659</v>
      </c>
      <c r="F3002" s="1" t="s">
        <v>251</v>
      </c>
      <c r="I3002" s="1" t="n">
        <v>881224</v>
      </c>
      <c r="J3002" s="1" t="n">
        <v>59737</v>
      </c>
      <c r="K3002" s="1" t="n">
        <v>7899659901102</v>
      </c>
      <c r="L3002" s="1" t="s">
        <v>3725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5" t="n">
        <v>46198</v>
      </c>
      <c r="C3003" s="1" t="n">
        <v>11</v>
      </c>
      <c r="D3003" s="1" t="s">
        <v>2290</v>
      </c>
      <c r="E3003" s="1" t="n">
        <v>1659</v>
      </c>
      <c r="F3003" s="1" t="s">
        <v>251</v>
      </c>
      <c r="I3003" s="1" t="n">
        <v>881224</v>
      </c>
      <c r="J3003" s="1" t="n">
        <v>59739</v>
      </c>
      <c r="K3003" s="1" t="n">
        <v>7899659901133</v>
      </c>
      <c r="L3003" s="1" t="s">
        <v>3726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5" t="n">
        <v>46198</v>
      </c>
      <c r="C3004" s="1" t="n">
        <v>11</v>
      </c>
      <c r="D3004" s="1" t="s">
        <v>2290</v>
      </c>
      <c r="E3004" s="1" t="n">
        <v>1659</v>
      </c>
      <c r="F3004" s="1" t="s">
        <v>251</v>
      </c>
      <c r="I3004" s="1" t="n">
        <v>881224</v>
      </c>
      <c r="J3004" s="1" t="n">
        <v>69778</v>
      </c>
      <c r="K3004" s="1" t="n">
        <v>7896098906774</v>
      </c>
      <c r="L3004" s="1" t="s">
        <v>3727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5" t="n">
        <v>46198</v>
      </c>
      <c r="C3005" s="1" t="n">
        <v>11</v>
      </c>
      <c r="D3005" s="1" t="s">
        <v>2290</v>
      </c>
      <c r="E3005" s="1" t="n">
        <v>1740</v>
      </c>
      <c r="F3005" s="1" t="s">
        <v>170</v>
      </c>
      <c r="I3005" s="1" t="n">
        <v>1240473</v>
      </c>
      <c r="J3005" s="1" t="n">
        <v>100054</v>
      </c>
      <c r="K3005" s="1" t="n">
        <v>55</v>
      </c>
      <c r="L3005" s="1" t="s">
        <v>2732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5" t="n">
        <v>46198</v>
      </c>
      <c r="C3006" s="1" t="n">
        <v>11</v>
      </c>
      <c r="D3006" s="1" t="s">
        <v>2290</v>
      </c>
      <c r="E3006" s="1" t="n">
        <v>1740</v>
      </c>
      <c r="F3006" s="1" t="s">
        <v>170</v>
      </c>
      <c r="I3006" s="1" t="n">
        <v>1240473</v>
      </c>
      <c r="J3006" s="1" t="n">
        <v>110530</v>
      </c>
      <c r="K3006" s="1" t="n">
        <v>57638</v>
      </c>
      <c r="L3006" s="1" t="s">
        <v>2433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5" t="n">
        <v>46198</v>
      </c>
      <c r="C3007" s="1" t="n">
        <v>171</v>
      </c>
      <c r="D3007" s="1" t="s">
        <v>2517</v>
      </c>
      <c r="E3007" s="1" t="n">
        <v>1604</v>
      </c>
      <c r="F3007" s="1" t="s">
        <v>946</v>
      </c>
      <c r="I3007" s="1" t="n">
        <v>332760</v>
      </c>
      <c r="J3007" s="1" t="n">
        <v>36473</v>
      </c>
      <c r="K3007" s="1" t="n">
        <v>7896383073495</v>
      </c>
      <c r="L3007" s="1" t="s">
        <v>3129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5" t="n">
        <v>46199</v>
      </c>
      <c r="C3008" s="1" t="n">
        <v>1</v>
      </c>
      <c r="D3008" s="1" t="s">
        <v>2317</v>
      </c>
      <c r="E3008" s="1" t="n">
        <v>10035</v>
      </c>
      <c r="F3008" s="1" t="s">
        <v>227</v>
      </c>
      <c r="I3008" s="1" t="n">
        <v>329</v>
      </c>
      <c r="J3008" s="1" t="n">
        <v>38652</v>
      </c>
      <c r="K3008" s="1" t="n">
        <v>7898994684220</v>
      </c>
      <c r="L3008" s="1" t="s">
        <v>2458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5" t="n">
        <v>46199</v>
      </c>
      <c r="C3009" s="1" t="n">
        <v>1</v>
      </c>
      <c r="D3009" s="1" t="s">
        <v>2317</v>
      </c>
      <c r="E3009" s="1" t="n">
        <v>10035</v>
      </c>
      <c r="F3009" s="1" t="s">
        <v>227</v>
      </c>
      <c r="I3009" s="1" t="n">
        <v>329</v>
      </c>
      <c r="J3009" s="1" t="n">
        <v>38653</v>
      </c>
      <c r="K3009" s="1" t="n">
        <v>7898994684275</v>
      </c>
      <c r="L3009" s="1" t="s">
        <v>2459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5" t="n">
        <v>46199</v>
      </c>
      <c r="C3010" s="1" t="n">
        <v>1</v>
      </c>
      <c r="D3010" s="1" t="s">
        <v>2317</v>
      </c>
      <c r="E3010" s="1" t="n">
        <v>10035</v>
      </c>
      <c r="F3010" s="1" t="s">
        <v>227</v>
      </c>
      <c r="I3010" s="1" t="n">
        <v>329</v>
      </c>
      <c r="J3010" s="1" t="n">
        <v>43726</v>
      </c>
      <c r="K3010" s="1" t="n">
        <v>2245461</v>
      </c>
      <c r="L3010" s="1" t="s">
        <v>2460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5" t="n">
        <v>46199</v>
      </c>
      <c r="C3011" s="1" t="n">
        <v>1</v>
      </c>
      <c r="D3011" s="1" t="s">
        <v>2317</v>
      </c>
      <c r="E3011" s="1" t="n">
        <v>1615</v>
      </c>
      <c r="F3011" s="1" t="s">
        <v>130</v>
      </c>
      <c r="I3011" s="1" t="n">
        <v>14753</v>
      </c>
      <c r="J3011" s="1" t="n">
        <v>100101</v>
      </c>
      <c r="K3011" s="1" t="n">
        <v>102</v>
      </c>
      <c r="L3011" s="1" t="s">
        <v>2671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5" t="n">
        <v>46199</v>
      </c>
      <c r="C3012" s="1" t="n">
        <v>1</v>
      </c>
      <c r="D3012" s="1" t="s">
        <v>2317</v>
      </c>
      <c r="E3012" s="1" t="n">
        <v>1615</v>
      </c>
      <c r="F3012" s="1" t="s">
        <v>130</v>
      </c>
      <c r="I3012" s="1" t="n">
        <v>14753</v>
      </c>
      <c r="J3012" s="1" t="n">
        <v>100114</v>
      </c>
      <c r="K3012" s="1" t="n">
        <v>115</v>
      </c>
      <c r="L3012" s="1" t="s">
        <v>2568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5" t="n">
        <v>46199</v>
      </c>
      <c r="C3013" s="1" t="n">
        <v>1</v>
      </c>
      <c r="D3013" s="1" t="s">
        <v>2317</v>
      </c>
      <c r="E3013" s="1" t="n">
        <v>1615</v>
      </c>
      <c r="F3013" s="1" t="s">
        <v>130</v>
      </c>
      <c r="I3013" s="1" t="n">
        <v>14753</v>
      </c>
      <c r="J3013" s="1" t="n">
        <v>100119</v>
      </c>
      <c r="K3013" s="1" t="n">
        <v>120</v>
      </c>
      <c r="L3013" s="1" t="s">
        <v>3728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5" t="n">
        <v>46199</v>
      </c>
      <c r="C3014" s="1" t="n">
        <v>1</v>
      </c>
      <c r="D3014" s="1" t="s">
        <v>2317</v>
      </c>
      <c r="E3014" s="1" t="n">
        <v>1615</v>
      </c>
      <c r="F3014" s="1" t="s">
        <v>130</v>
      </c>
      <c r="I3014" s="1" t="n">
        <v>14753</v>
      </c>
      <c r="J3014" s="1" t="n">
        <v>37771</v>
      </c>
      <c r="K3014" s="1" t="n">
        <v>774574</v>
      </c>
      <c r="L3014" s="1" t="s">
        <v>2569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5" t="n">
        <v>46199</v>
      </c>
      <c r="C3015" s="1" t="n">
        <v>2</v>
      </c>
      <c r="D3015" s="1" t="s">
        <v>2283</v>
      </c>
      <c r="E3015" s="1" t="n">
        <v>42</v>
      </c>
      <c r="F3015" s="1" t="s">
        <v>80</v>
      </c>
      <c r="I3015" s="1" t="n">
        <v>260601</v>
      </c>
      <c r="J3015" s="1" t="n">
        <v>109791</v>
      </c>
      <c r="K3015" s="1" t="n">
        <v>9667</v>
      </c>
      <c r="L3015" s="1" t="s">
        <v>2284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5" t="n">
        <v>46199</v>
      </c>
      <c r="C3016" s="1" t="n">
        <v>2</v>
      </c>
      <c r="D3016" s="1" t="s">
        <v>2283</v>
      </c>
      <c r="E3016" s="1" t="n">
        <v>42</v>
      </c>
      <c r="F3016" s="1" t="s">
        <v>80</v>
      </c>
      <c r="I3016" s="1" t="n">
        <v>260601</v>
      </c>
      <c r="J3016" s="1" t="n">
        <v>37361</v>
      </c>
      <c r="K3016" s="1" t="n">
        <v>2240817</v>
      </c>
      <c r="L3016" s="1" t="s">
        <v>2286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5" t="n">
        <v>46199</v>
      </c>
      <c r="C3017" s="1" t="n">
        <v>2</v>
      </c>
      <c r="D3017" s="1" t="s">
        <v>2283</v>
      </c>
      <c r="E3017" s="1" t="n">
        <v>42</v>
      </c>
      <c r="F3017" s="1" t="s">
        <v>80</v>
      </c>
      <c r="I3017" s="1" t="n">
        <v>260602</v>
      </c>
      <c r="J3017" s="1" t="n">
        <v>100103</v>
      </c>
      <c r="K3017" s="1" t="n">
        <v>104</v>
      </c>
      <c r="L3017" s="1" t="s">
        <v>2287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5" t="n">
        <v>46199</v>
      </c>
      <c r="C3018" s="1" t="n">
        <v>2</v>
      </c>
      <c r="D3018" s="1" t="s">
        <v>2283</v>
      </c>
      <c r="E3018" s="1" t="n">
        <v>42</v>
      </c>
      <c r="F3018" s="1" t="s">
        <v>80</v>
      </c>
      <c r="I3018" s="1" t="n">
        <v>260603</v>
      </c>
      <c r="J3018" s="1" t="n">
        <v>100062</v>
      </c>
      <c r="K3018" s="1" t="n">
        <v>63</v>
      </c>
      <c r="L3018" s="1" t="s">
        <v>2320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5" t="n">
        <v>46199</v>
      </c>
      <c r="C3019" s="1" t="n">
        <v>2</v>
      </c>
      <c r="D3019" s="1" t="s">
        <v>2283</v>
      </c>
      <c r="E3019" s="1" t="n">
        <v>42</v>
      </c>
      <c r="F3019" s="1" t="s">
        <v>80</v>
      </c>
      <c r="I3019" s="1" t="n">
        <v>260603</v>
      </c>
      <c r="J3019" s="1" t="n">
        <v>100104</v>
      </c>
      <c r="K3019" s="1" t="n">
        <v>105</v>
      </c>
      <c r="L3019" s="1" t="s">
        <v>2321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5" t="n">
        <v>46199</v>
      </c>
      <c r="C3020" s="1" t="n">
        <v>2</v>
      </c>
      <c r="D3020" s="1" t="s">
        <v>2283</v>
      </c>
      <c r="E3020" s="1" t="n">
        <v>42</v>
      </c>
      <c r="F3020" s="1" t="s">
        <v>80</v>
      </c>
      <c r="I3020" s="1" t="n">
        <v>260603</v>
      </c>
      <c r="J3020" s="1" t="n">
        <v>100105</v>
      </c>
      <c r="K3020" s="1" t="n">
        <v>106</v>
      </c>
      <c r="L3020" s="1" t="s">
        <v>2322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5" t="n">
        <v>46199</v>
      </c>
      <c r="C3021" s="1" t="n">
        <v>2</v>
      </c>
      <c r="D3021" s="1" t="s">
        <v>2283</v>
      </c>
      <c r="E3021" s="1" t="n">
        <v>42</v>
      </c>
      <c r="F3021" s="1" t="s">
        <v>80</v>
      </c>
      <c r="I3021" s="1" t="n">
        <v>260603</v>
      </c>
      <c r="J3021" s="1" t="n">
        <v>100107</v>
      </c>
      <c r="K3021" s="1" t="n">
        <v>108</v>
      </c>
      <c r="L3021" s="1" t="s">
        <v>2323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5" t="n">
        <v>46199</v>
      </c>
      <c r="C3022" s="1" t="n">
        <v>2</v>
      </c>
      <c r="D3022" s="1" t="s">
        <v>2283</v>
      </c>
      <c r="E3022" s="1" t="n">
        <v>42</v>
      </c>
      <c r="F3022" s="1" t="s">
        <v>80</v>
      </c>
      <c r="I3022" s="1" t="n">
        <v>260603</v>
      </c>
      <c r="J3022" s="1" t="n">
        <v>100109</v>
      </c>
      <c r="K3022" s="1" t="n">
        <v>110</v>
      </c>
      <c r="L3022" s="1" t="s">
        <v>2324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5" t="n">
        <v>46199</v>
      </c>
      <c r="C3023" s="1" t="n">
        <v>2</v>
      </c>
      <c r="D3023" s="1" t="s">
        <v>2283</v>
      </c>
      <c r="E3023" s="1" t="n">
        <v>42</v>
      </c>
      <c r="F3023" s="1" t="s">
        <v>80</v>
      </c>
      <c r="I3023" s="1" t="n">
        <v>260603</v>
      </c>
      <c r="J3023" s="1" t="n">
        <v>100110</v>
      </c>
      <c r="K3023" s="1" t="n">
        <v>111</v>
      </c>
      <c r="L3023" s="1" t="s">
        <v>2473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5" t="n">
        <v>46199</v>
      </c>
      <c r="C3024" s="1" t="n">
        <v>2</v>
      </c>
      <c r="D3024" s="1" t="s">
        <v>2283</v>
      </c>
      <c r="E3024" s="1" t="n">
        <v>42</v>
      </c>
      <c r="F3024" s="1" t="s">
        <v>80</v>
      </c>
      <c r="I3024" s="1" t="n">
        <v>260603</v>
      </c>
      <c r="J3024" s="1" t="n">
        <v>100113</v>
      </c>
      <c r="K3024" s="1" t="n">
        <v>114</v>
      </c>
      <c r="L3024" s="1" t="s">
        <v>2326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5" t="n">
        <v>46199</v>
      </c>
      <c r="C3025" s="1" t="n">
        <v>2</v>
      </c>
      <c r="D3025" s="1" t="s">
        <v>2283</v>
      </c>
      <c r="E3025" s="1" t="n">
        <v>42</v>
      </c>
      <c r="F3025" s="1" t="s">
        <v>80</v>
      </c>
      <c r="I3025" s="1" t="n">
        <v>260603</v>
      </c>
      <c r="J3025" s="1" t="n">
        <v>100115</v>
      </c>
      <c r="K3025" s="1" t="n">
        <v>116</v>
      </c>
      <c r="L3025" s="1" t="s">
        <v>2474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5" t="n">
        <v>46199</v>
      </c>
      <c r="C3026" s="1" t="n">
        <v>2</v>
      </c>
      <c r="D3026" s="1" t="s">
        <v>2283</v>
      </c>
      <c r="E3026" s="1" t="n">
        <v>42</v>
      </c>
      <c r="F3026" s="1" t="s">
        <v>80</v>
      </c>
      <c r="I3026" s="1" t="n">
        <v>260603</v>
      </c>
      <c r="J3026" s="1" t="n">
        <v>100116</v>
      </c>
      <c r="K3026" s="1" t="n">
        <v>117</v>
      </c>
      <c r="L3026" s="1" t="s">
        <v>2327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5" t="n">
        <v>46199</v>
      </c>
      <c r="C3027" s="1" t="n">
        <v>2</v>
      </c>
      <c r="D3027" s="1" t="s">
        <v>2283</v>
      </c>
      <c r="E3027" s="1" t="n">
        <v>42</v>
      </c>
      <c r="F3027" s="1" t="s">
        <v>80</v>
      </c>
      <c r="I3027" s="1" t="n">
        <v>260603</v>
      </c>
      <c r="J3027" s="1" t="n">
        <v>100118</v>
      </c>
      <c r="K3027" s="1" t="n">
        <v>119</v>
      </c>
      <c r="L3027" s="1" t="s">
        <v>2328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5" t="n">
        <v>46199</v>
      </c>
      <c r="C3028" s="1" t="n">
        <v>2</v>
      </c>
      <c r="D3028" s="1" t="s">
        <v>2283</v>
      </c>
      <c r="E3028" s="1" t="n">
        <v>42</v>
      </c>
      <c r="F3028" s="1" t="s">
        <v>80</v>
      </c>
      <c r="I3028" s="1" t="n">
        <v>260603</v>
      </c>
      <c r="J3028" s="1" t="n">
        <v>100121</v>
      </c>
      <c r="K3028" s="1" t="n">
        <v>122</v>
      </c>
      <c r="L3028" s="1" t="s">
        <v>2329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5" t="n">
        <v>46199</v>
      </c>
      <c r="C3029" s="1" t="n">
        <v>2</v>
      </c>
      <c r="D3029" s="1" t="s">
        <v>2283</v>
      </c>
      <c r="E3029" s="1" t="n">
        <v>42</v>
      </c>
      <c r="F3029" s="1" t="s">
        <v>80</v>
      </c>
      <c r="I3029" s="1" t="n">
        <v>260603</v>
      </c>
      <c r="J3029" s="1" t="n">
        <v>100122</v>
      </c>
      <c r="K3029" s="1" t="n">
        <v>123</v>
      </c>
      <c r="L3029" s="1" t="s">
        <v>2330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5" t="n">
        <v>46199</v>
      </c>
      <c r="C3030" s="1" t="n">
        <v>2</v>
      </c>
      <c r="D3030" s="1" t="s">
        <v>2283</v>
      </c>
      <c r="E3030" s="1" t="n">
        <v>42</v>
      </c>
      <c r="F3030" s="1" t="s">
        <v>80</v>
      </c>
      <c r="I3030" s="1" t="n">
        <v>260603</v>
      </c>
      <c r="J3030" s="1" t="n">
        <v>100123</v>
      </c>
      <c r="K3030" s="1" t="n">
        <v>124</v>
      </c>
      <c r="L3030" s="1" t="s">
        <v>2475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5" t="n">
        <v>46199</v>
      </c>
      <c r="C3031" s="1" t="n">
        <v>2</v>
      </c>
      <c r="D3031" s="1" t="s">
        <v>2283</v>
      </c>
      <c r="E3031" s="1" t="n">
        <v>42</v>
      </c>
      <c r="F3031" s="1" t="s">
        <v>80</v>
      </c>
      <c r="I3031" s="1" t="n">
        <v>260603</v>
      </c>
      <c r="J3031" s="1" t="n">
        <v>100124</v>
      </c>
      <c r="K3031" s="1" t="n">
        <v>125</v>
      </c>
      <c r="L3031" s="1" t="s">
        <v>2476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5" t="n">
        <v>46199</v>
      </c>
      <c r="C3032" s="1" t="n">
        <v>2</v>
      </c>
      <c r="D3032" s="1" t="s">
        <v>2283</v>
      </c>
      <c r="E3032" s="1" t="n">
        <v>42</v>
      </c>
      <c r="F3032" s="1" t="s">
        <v>80</v>
      </c>
      <c r="I3032" s="1" t="n">
        <v>260603</v>
      </c>
      <c r="J3032" s="1" t="n">
        <v>100125</v>
      </c>
      <c r="K3032" s="1" t="n">
        <v>126</v>
      </c>
      <c r="L3032" s="1" t="s">
        <v>2477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5" t="n">
        <v>46199</v>
      </c>
      <c r="C3033" s="1" t="n">
        <v>2</v>
      </c>
      <c r="D3033" s="1" t="s">
        <v>2283</v>
      </c>
      <c r="E3033" s="1" t="n">
        <v>42</v>
      </c>
      <c r="F3033" s="1" t="s">
        <v>80</v>
      </c>
      <c r="I3033" s="1" t="n">
        <v>260603</v>
      </c>
      <c r="J3033" s="1" t="n">
        <v>100129</v>
      </c>
      <c r="K3033" s="1" t="n">
        <v>130</v>
      </c>
      <c r="L3033" s="1" t="s">
        <v>3729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5" t="n">
        <v>46199</v>
      </c>
      <c r="C3034" s="1" t="n">
        <v>2</v>
      </c>
      <c r="D3034" s="1" t="s">
        <v>2283</v>
      </c>
      <c r="E3034" s="1" t="n">
        <v>42</v>
      </c>
      <c r="F3034" s="1" t="s">
        <v>80</v>
      </c>
      <c r="I3034" s="1" t="n">
        <v>260603</v>
      </c>
      <c r="J3034" s="1" t="n">
        <v>100130</v>
      </c>
      <c r="K3034" s="1" t="n">
        <v>131</v>
      </c>
      <c r="L3034" s="1" t="s">
        <v>2331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5" t="n">
        <v>46199</v>
      </c>
      <c r="C3035" s="1" t="n">
        <v>2</v>
      </c>
      <c r="D3035" s="1" t="s">
        <v>2283</v>
      </c>
      <c r="E3035" s="1" t="n">
        <v>42</v>
      </c>
      <c r="F3035" s="1" t="s">
        <v>80</v>
      </c>
      <c r="I3035" s="1" t="n">
        <v>260603</v>
      </c>
      <c r="J3035" s="1" t="n">
        <v>100132</v>
      </c>
      <c r="K3035" s="1" t="n">
        <v>133</v>
      </c>
      <c r="L3035" s="1" t="s">
        <v>3104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5" t="n">
        <v>46199</v>
      </c>
      <c r="C3036" s="1" t="n">
        <v>2</v>
      </c>
      <c r="D3036" s="1" t="s">
        <v>2283</v>
      </c>
      <c r="E3036" s="1" t="n">
        <v>42</v>
      </c>
      <c r="F3036" s="1" t="s">
        <v>80</v>
      </c>
      <c r="I3036" s="1" t="n">
        <v>260603</v>
      </c>
      <c r="J3036" s="1" t="n">
        <v>100133</v>
      </c>
      <c r="K3036" s="1" t="n">
        <v>134</v>
      </c>
      <c r="L3036" s="1" t="s">
        <v>2332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5" t="n">
        <v>46199</v>
      </c>
      <c r="C3037" s="1" t="n">
        <v>2</v>
      </c>
      <c r="D3037" s="1" t="s">
        <v>2283</v>
      </c>
      <c r="E3037" s="1" t="n">
        <v>42</v>
      </c>
      <c r="F3037" s="1" t="s">
        <v>80</v>
      </c>
      <c r="I3037" s="1" t="n">
        <v>260603</v>
      </c>
      <c r="J3037" s="1" t="n">
        <v>100148</v>
      </c>
      <c r="K3037" s="1" t="n">
        <v>149</v>
      </c>
      <c r="L3037" s="1" t="s">
        <v>2676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5" t="n">
        <v>46199</v>
      </c>
      <c r="C3038" s="1" t="n">
        <v>2</v>
      </c>
      <c r="D3038" s="1" t="s">
        <v>2283</v>
      </c>
      <c r="E3038" s="1" t="n">
        <v>42</v>
      </c>
      <c r="F3038" s="1" t="s">
        <v>80</v>
      </c>
      <c r="I3038" s="1" t="n">
        <v>260603</v>
      </c>
      <c r="J3038" s="1" t="n">
        <v>43627</v>
      </c>
      <c r="K3038" s="1" t="n">
        <v>1175</v>
      </c>
      <c r="L3038" s="1" t="s">
        <v>2479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5" t="n">
        <v>46199</v>
      </c>
      <c r="C3039" s="1" t="n">
        <v>6</v>
      </c>
      <c r="D3039" s="1" t="s">
        <v>2289</v>
      </c>
      <c r="E3039" s="1" t="n">
        <v>42</v>
      </c>
      <c r="F3039" s="1" t="s">
        <v>80</v>
      </c>
      <c r="I3039" s="1" t="n">
        <v>4308</v>
      </c>
      <c r="J3039" s="1" t="n">
        <v>109791</v>
      </c>
      <c r="K3039" s="1" t="n">
        <v>9667</v>
      </c>
      <c r="L3039" s="1" t="s">
        <v>2284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5" t="n">
        <v>46199</v>
      </c>
      <c r="C3040" s="1" t="n">
        <v>6</v>
      </c>
      <c r="D3040" s="1" t="s">
        <v>2289</v>
      </c>
      <c r="E3040" s="1" t="n">
        <v>42</v>
      </c>
      <c r="F3040" s="1" t="s">
        <v>80</v>
      </c>
      <c r="I3040" s="1" t="n">
        <v>4308</v>
      </c>
      <c r="J3040" s="1" t="n">
        <v>37361</v>
      </c>
      <c r="K3040" s="1" t="n">
        <v>2240817</v>
      </c>
      <c r="L3040" s="1" t="s">
        <v>2286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5" t="n">
        <v>46199</v>
      </c>
      <c r="C3041" s="1" t="n">
        <v>6</v>
      </c>
      <c r="D3041" s="1" t="s">
        <v>2289</v>
      </c>
      <c r="E3041" s="1" t="n">
        <v>42</v>
      </c>
      <c r="F3041" s="1" t="s">
        <v>80</v>
      </c>
      <c r="I3041" s="1" t="n">
        <v>4309</v>
      </c>
      <c r="J3041" s="1" t="n">
        <v>100103</v>
      </c>
      <c r="K3041" s="1" t="n">
        <v>104</v>
      </c>
      <c r="L3041" s="1" t="s">
        <v>2287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5" t="n">
        <v>46199</v>
      </c>
      <c r="C3042" s="1" t="n">
        <v>6</v>
      </c>
      <c r="D3042" s="1" t="s">
        <v>2289</v>
      </c>
      <c r="E3042" s="1" t="n">
        <v>42</v>
      </c>
      <c r="F3042" s="1" t="s">
        <v>80</v>
      </c>
      <c r="I3042" s="1" t="n">
        <v>4310</v>
      </c>
      <c r="J3042" s="1" t="n">
        <v>100062</v>
      </c>
      <c r="K3042" s="1" t="n">
        <v>63</v>
      </c>
      <c r="L3042" s="1" t="s">
        <v>2320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5" t="n">
        <v>46199</v>
      </c>
      <c r="C3043" s="1" t="n">
        <v>6</v>
      </c>
      <c r="D3043" s="1" t="s">
        <v>2289</v>
      </c>
      <c r="E3043" s="1" t="n">
        <v>42</v>
      </c>
      <c r="F3043" s="1" t="s">
        <v>80</v>
      </c>
      <c r="I3043" s="1" t="n">
        <v>4310</v>
      </c>
      <c r="J3043" s="1" t="n">
        <v>100104</v>
      </c>
      <c r="K3043" s="1" t="n">
        <v>105</v>
      </c>
      <c r="L3043" s="1" t="s">
        <v>2321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5" t="n">
        <v>46199</v>
      </c>
      <c r="C3044" s="1" t="n">
        <v>6</v>
      </c>
      <c r="D3044" s="1" t="s">
        <v>2289</v>
      </c>
      <c r="E3044" s="1" t="n">
        <v>42</v>
      </c>
      <c r="F3044" s="1" t="s">
        <v>80</v>
      </c>
      <c r="I3044" s="1" t="n">
        <v>4310</v>
      </c>
      <c r="J3044" s="1" t="n">
        <v>100105</v>
      </c>
      <c r="K3044" s="1" t="n">
        <v>106</v>
      </c>
      <c r="L3044" s="1" t="s">
        <v>2322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5" t="n">
        <v>46199</v>
      </c>
      <c r="C3045" s="1" t="n">
        <v>6</v>
      </c>
      <c r="D3045" s="1" t="s">
        <v>2289</v>
      </c>
      <c r="E3045" s="1" t="n">
        <v>42</v>
      </c>
      <c r="F3045" s="1" t="s">
        <v>80</v>
      </c>
      <c r="I3045" s="1" t="n">
        <v>4310</v>
      </c>
      <c r="J3045" s="1" t="n">
        <v>100107</v>
      </c>
      <c r="K3045" s="1" t="n">
        <v>108</v>
      </c>
      <c r="L3045" s="1" t="s">
        <v>2323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5" t="n">
        <v>46199</v>
      </c>
      <c r="C3046" s="1" t="n">
        <v>6</v>
      </c>
      <c r="D3046" s="1" t="s">
        <v>2289</v>
      </c>
      <c r="E3046" s="1" t="n">
        <v>42</v>
      </c>
      <c r="F3046" s="1" t="s">
        <v>80</v>
      </c>
      <c r="I3046" s="1" t="n">
        <v>4310</v>
      </c>
      <c r="J3046" s="1" t="n">
        <v>100109</v>
      </c>
      <c r="K3046" s="1" t="n">
        <v>110</v>
      </c>
      <c r="L3046" s="1" t="s">
        <v>2324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5" t="n">
        <v>46199</v>
      </c>
      <c r="C3047" s="1" t="n">
        <v>6</v>
      </c>
      <c r="D3047" s="1" t="s">
        <v>2289</v>
      </c>
      <c r="E3047" s="1" t="n">
        <v>42</v>
      </c>
      <c r="F3047" s="1" t="s">
        <v>80</v>
      </c>
      <c r="I3047" s="1" t="n">
        <v>4310</v>
      </c>
      <c r="J3047" s="1" t="n">
        <v>100110</v>
      </c>
      <c r="K3047" s="1" t="n">
        <v>111</v>
      </c>
      <c r="L3047" s="1" t="s">
        <v>2473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5" t="n">
        <v>46199</v>
      </c>
      <c r="C3048" s="1" t="n">
        <v>6</v>
      </c>
      <c r="D3048" s="1" t="s">
        <v>2289</v>
      </c>
      <c r="E3048" s="1" t="n">
        <v>42</v>
      </c>
      <c r="F3048" s="1" t="s">
        <v>80</v>
      </c>
      <c r="I3048" s="1" t="n">
        <v>4310</v>
      </c>
      <c r="J3048" s="1" t="n">
        <v>100113</v>
      </c>
      <c r="K3048" s="1" t="n">
        <v>114</v>
      </c>
      <c r="L3048" s="1" t="s">
        <v>2326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5" t="n">
        <v>46199</v>
      </c>
      <c r="C3049" s="1" t="n">
        <v>6</v>
      </c>
      <c r="D3049" s="1" t="s">
        <v>2289</v>
      </c>
      <c r="E3049" s="1" t="n">
        <v>42</v>
      </c>
      <c r="F3049" s="1" t="s">
        <v>80</v>
      </c>
      <c r="I3049" s="1" t="n">
        <v>4310</v>
      </c>
      <c r="J3049" s="1" t="n">
        <v>100115</v>
      </c>
      <c r="K3049" s="1" t="n">
        <v>116</v>
      </c>
      <c r="L3049" s="1" t="s">
        <v>2474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5" t="n">
        <v>46199</v>
      </c>
      <c r="C3050" s="1" t="n">
        <v>6</v>
      </c>
      <c r="D3050" s="1" t="s">
        <v>2289</v>
      </c>
      <c r="E3050" s="1" t="n">
        <v>42</v>
      </c>
      <c r="F3050" s="1" t="s">
        <v>80</v>
      </c>
      <c r="I3050" s="1" t="n">
        <v>4310</v>
      </c>
      <c r="J3050" s="1" t="n">
        <v>100116</v>
      </c>
      <c r="K3050" s="1" t="n">
        <v>117</v>
      </c>
      <c r="L3050" s="1" t="s">
        <v>2327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5" t="n">
        <v>46199</v>
      </c>
      <c r="C3051" s="1" t="n">
        <v>6</v>
      </c>
      <c r="D3051" s="1" t="s">
        <v>2289</v>
      </c>
      <c r="E3051" s="1" t="n">
        <v>42</v>
      </c>
      <c r="F3051" s="1" t="s">
        <v>80</v>
      </c>
      <c r="I3051" s="1" t="n">
        <v>4310</v>
      </c>
      <c r="J3051" s="1" t="n">
        <v>100118</v>
      </c>
      <c r="K3051" s="1" t="n">
        <v>119</v>
      </c>
      <c r="L3051" s="1" t="s">
        <v>2328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5" t="n">
        <v>46199</v>
      </c>
      <c r="C3052" s="1" t="n">
        <v>6</v>
      </c>
      <c r="D3052" s="1" t="s">
        <v>2289</v>
      </c>
      <c r="E3052" s="1" t="n">
        <v>42</v>
      </c>
      <c r="F3052" s="1" t="s">
        <v>80</v>
      </c>
      <c r="I3052" s="1" t="n">
        <v>4310</v>
      </c>
      <c r="J3052" s="1" t="n">
        <v>100121</v>
      </c>
      <c r="K3052" s="1" t="n">
        <v>122</v>
      </c>
      <c r="L3052" s="1" t="s">
        <v>2329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5" t="n">
        <v>46199</v>
      </c>
      <c r="C3053" s="1" t="n">
        <v>6</v>
      </c>
      <c r="D3053" s="1" t="s">
        <v>2289</v>
      </c>
      <c r="E3053" s="1" t="n">
        <v>42</v>
      </c>
      <c r="F3053" s="1" t="s">
        <v>80</v>
      </c>
      <c r="I3053" s="1" t="n">
        <v>4310</v>
      </c>
      <c r="J3053" s="1" t="n">
        <v>100122</v>
      </c>
      <c r="K3053" s="1" t="n">
        <v>123</v>
      </c>
      <c r="L3053" s="1" t="s">
        <v>2330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5" t="n">
        <v>46199</v>
      </c>
      <c r="C3054" s="1" t="n">
        <v>6</v>
      </c>
      <c r="D3054" s="1" t="s">
        <v>2289</v>
      </c>
      <c r="E3054" s="1" t="n">
        <v>42</v>
      </c>
      <c r="F3054" s="1" t="s">
        <v>80</v>
      </c>
      <c r="I3054" s="1" t="n">
        <v>4310</v>
      </c>
      <c r="J3054" s="1" t="n">
        <v>100123</v>
      </c>
      <c r="K3054" s="1" t="n">
        <v>124</v>
      </c>
      <c r="L3054" s="1" t="s">
        <v>2475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5" t="n">
        <v>46199</v>
      </c>
      <c r="C3055" s="1" t="n">
        <v>6</v>
      </c>
      <c r="D3055" s="1" t="s">
        <v>2289</v>
      </c>
      <c r="E3055" s="1" t="n">
        <v>42</v>
      </c>
      <c r="F3055" s="1" t="s">
        <v>80</v>
      </c>
      <c r="I3055" s="1" t="n">
        <v>4310</v>
      </c>
      <c r="J3055" s="1" t="n">
        <v>100124</v>
      </c>
      <c r="K3055" s="1" t="n">
        <v>125</v>
      </c>
      <c r="L3055" s="1" t="s">
        <v>2476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5" t="n">
        <v>46199</v>
      </c>
      <c r="C3056" s="1" t="n">
        <v>6</v>
      </c>
      <c r="D3056" s="1" t="s">
        <v>2289</v>
      </c>
      <c r="E3056" s="1" t="n">
        <v>42</v>
      </c>
      <c r="F3056" s="1" t="s">
        <v>80</v>
      </c>
      <c r="I3056" s="1" t="n">
        <v>4310</v>
      </c>
      <c r="J3056" s="1" t="n">
        <v>100125</v>
      </c>
      <c r="K3056" s="1" t="n">
        <v>126</v>
      </c>
      <c r="L3056" s="1" t="s">
        <v>2477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5" t="n">
        <v>46199</v>
      </c>
      <c r="C3057" s="1" t="n">
        <v>6</v>
      </c>
      <c r="D3057" s="1" t="s">
        <v>2289</v>
      </c>
      <c r="E3057" s="1" t="n">
        <v>42</v>
      </c>
      <c r="F3057" s="1" t="s">
        <v>80</v>
      </c>
      <c r="I3057" s="1" t="n">
        <v>4310</v>
      </c>
      <c r="J3057" s="1" t="n">
        <v>100129</v>
      </c>
      <c r="K3057" s="1" t="n">
        <v>130</v>
      </c>
      <c r="L3057" s="1" t="s">
        <v>3729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5" t="n">
        <v>46199</v>
      </c>
      <c r="C3058" s="1" t="n">
        <v>6</v>
      </c>
      <c r="D3058" s="1" t="s">
        <v>2289</v>
      </c>
      <c r="E3058" s="1" t="n">
        <v>42</v>
      </c>
      <c r="F3058" s="1" t="s">
        <v>80</v>
      </c>
      <c r="I3058" s="1" t="n">
        <v>4310</v>
      </c>
      <c r="J3058" s="1" t="n">
        <v>100130</v>
      </c>
      <c r="K3058" s="1" t="n">
        <v>131</v>
      </c>
      <c r="L3058" s="1" t="s">
        <v>2331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5" t="n">
        <v>46199</v>
      </c>
      <c r="C3059" s="1" t="n">
        <v>6</v>
      </c>
      <c r="D3059" s="1" t="s">
        <v>2289</v>
      </c>
      <c r="E3059" s="1" t="n">
        <v>42</v>
      </c>
      <c r="F3059" s="1" t="s">
        <v>80</v>
      </c>
      <c r="I3059" s="1" t="n">
        <v>4310</v>
      </c>
      <c r="J3059" s="1" t="n">
        <v>100132</v>
      </c>
      <c r="K3059" s="1" t="n">
        <v>133</v>
      </c>
      <c r="L3059" s="1" t="s">
        <v>3104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5" t="n">
        <v>46199</v>
      </c>
      <c r="C3060" s="1" t="n">
        <v>6</v>
      </c>
      <c r="D3060" s="1" t="s">
        <v>2289</v>
      </c>
      <c r="E3060" s="1" t="n">
        <v>42</v>
      </c>
      <c r="F3060" s="1" t="s">
        <v>80</v>
      </c>
      <c r="I3060" s="1" t="n">
        <v>4310</v>
      </c>
      <c r="J3060" s="1" t="n">
        <v>100133</v>
      </c>
      <c r="K3060" s="1" t="n">
        <v>134</v>
      </c>
      <c r="L3060" s="1" t="s">
        <v>2332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5" t="n">
        <v>46199</v>
      </c>
      <c r="C3061" s="1" t="n">
        <v>6</v>
      </c>
      <c r="D3061" s="1" t="s">
        <v>2289</v>
      </c>
      <c r="E3061" s="1" t="n">
        <v>42</v>
      </c>
      <c r="F3061" s="1" t="s">
        <v>80</v>
      </c>
      <c r="I3061" s="1" t="n">
        <v>4310</v>
      </c>
      <c r="J3061" s="1" t="n">
        <v>100148</v>
      </c>
      <c r="K3061" s="1" t="n">
        <v>149</v>
      </c>
      <c r="L3061" s="1" t="s">
        <v>2676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5" t="n">
        <v>46199</v>
      </c>
      <c r="C3062" s="1" t="n">
        <v>6</v>
      </c>
      <c r="D3062" s="1" t="s">
        <v>2289</v>
      </c>
      <c r="E3062" s="1" t="n">
        <v>42</v>
      </c>
      <c r="F3062" s="1" t="s">
        <v>80</v>
      </c>
      <c r="I3062" s="1" t="n">
        <v>4310</v>
      </c>
      <c r="J3062" s="1" t="n">
        <v>43627</v>
      </c>
      <c r="K3062" s="1" t="n">
        <v>1175</v>
      </c>
      <c r="L3062" s="1" t="s">
        <v>2479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5" t="n">
        <v>46200</v>
      </c>
      <c r="C3063" s="1" t="n">
        <v>1</v>
      </c>
      <c r="D3063" s="1" t="s">
        <v>2317</v>
      </c>
      <c r="E3063" s="1" t="n">
        <v>10086</v>
      </c>
      <c r="F3063" s="1" t="s">
        <v>608</v>
      </c>
      <c r="I3063" s="1" t="n">
        <v>45</v>
      </c>
      <c r="J3063" s="1" t="n">
        <v>61580</v>
      </c>
      <c r="K3063" s="1" t="n">
        <v>2258157</v>
      </c>
      <c r="L3063" s="1" t="s">
        <v>2339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5" t="n">
        <v>46200</v>
      </c>
      <c r="C3064" s="1" t="n">
        <v>1</v>
      </c>
      <c r="D3064" s="1" t="s">
        <v>2317</v>
      </c>
      <c r="E3064" s="1" t="n">
        <v>1721</v>
      </c>
      <c r="F3064" s="1" t="s">
        <v>716</v>
      </c>
      <c r="I3064" s="1" t="n">
        <v>1286</v>
      </c>
      <c r="J3064" s="1" t="n">
        <v>36195</v>
      </c>
      <c r="K3064" s="1" t="n">
        <v>602883856882</v>
      </c>
      <c r="L3064" s="1" t="s">
        <v>3730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5" t="n">
        <v>46200</v>
      </c>
      <c r="C3065" s="1" t="n">
        <v>1</v>
      </c>
      <c r="D3065" s="1" t="s">
        <v>2317</v>
      </c>
      <c r="E3065" s="1" t="n">
        <v>1828</v>
      </c>
      <c r="F3065" s="1" t="s">
        <v>278</v>
      </c>
      <c r="I3065" s="1" t="n">
        <v>1354</v>
      </c>
      <c r="J3065" s="1" t="n">
        <v>40034</v>
      </c>
      <c r="K3065" s="1" t="n">
        <v>742832367370</v>
      </c>
      <c r="L3065" s="1" t="s">
        <v>2746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5" t="n">
        <v>46200</v>
      </c>
      <c r="C3066" s="1" t="n">
        <v>1</v>
      </c>
      <c r="D3066" s="1" t="s">
        <v>2317</v>
      </c>
      <c r="E3066" s="1" t="n">
        <v>1828</v>
      </c>
      <c r="F3066" s="1" t="s">
        <v>278</v>
      </c>
      <c r="I3066" s="1" t="n">
        <v>1354</v>
      </c>
      <c r="J3066" s="1" t="n">
        <v>14247</v>
      </c>
      <c r="K3066" s="1" t="n">
        <v>2229416</v>
      </c>
      <c r="L3066" s="1" t="s">
        <v>2747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5" t="n">
        <v>46200</v>
      </c>
      <c r="C3067" s="1" t="n">
        <v>1</v>
      </c>
      <c r="D3067" s="1" t="s">
        <v>2317</v>
      </c>
      <c r="E3067" s="1" t="n">
        <v>1828</v>
      </c>
      <c r="F3067" s="1" t="s">
        <v>278</v>
      </c>
      <c r="I3067" s="1" t="n">
        <v>1354</v>
      </c>
      <c r="J3067" s="1" t="n">
        <v>14248</v>
      </c>
      <c r="K3067" s="1" t="n">
        <v>2229423</v>
      </c>
      <c r="L3067" s="1" t="s">
        <v>2748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5" t="n">
        <v>46200</v>
      </c>
      <c r="C3068" s="1" t="n">
        <v>1</v>
      </c>
      <c r="D3068" s="1" t="s">
        <v>2317</v>
      </c>
      <c r="E3068" s="1" t="n">
        <v>1828</v>
      </c>
      <c r="F3068" s="1" t="s">
        <v>278</v>
      </c>
      <c r="I3068" s="1" t="n">
        <v>1354</v>
      </c>
      <c r="J3068" s="1" t="n">
        <v>20541</v>
      </c>
      <c r="K3068" s="1" t="n">
        <v>2232829</v>
      </c>
      <c r="L3068" s="1" t="s">
        <v>2749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5" t="n">
        <v>46200</v>
      </c>
      <c r="C3069" s="1" t="n">
        <v>1</v>
      </c>
      <c r="D3069" s="1" t="s">
        <v>2317</v>
      </c>
      <c r="E3069" s="1" t="n">
        <v>1916</v>
      </c>
      <c r="F3069" s="1" t="s">
        <v>351</v>
      </c>
      <c r="I3069" s="1" t="n">
        <v>2465</v>
      </c>
      <c r="J3069" s="1" t="n">
        <v>62034</v>
      </c>
      <c r="K3069" s="1" t="n">
        <v>7898592350367</v>
      </c>
      <c r="L3069" s="1" t="s">
        <v>3087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5" t="n">
        <v>46200</v>
      </c>
      <c r="C3070" s="1" t="n">
        <v>1</v>
      </c>
      <c r="D3070" s="1" t="s">
        <v>2317</v>
      </c>
      <c r="E3070" s="1" t="n">
        <v>1916</v>
      </c>
      <c r="F3070" s="1" t="s">
        <v>351</v>
      </c>
      <c r="I3070" s="1" t="n">
        <v>39536</v>
      </c>
      <c r="J3070" s="1" t="n">
        <v>43965</v>
      </c>
      <c r="K3070" s="1" t="n">
        <v>7898567710226</v>
      </c>
      <c r="L3070" s="1" t="s">
        <v>2571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5" t="n">
        <v>46200</v>
      </c>
      <c r="C3071" s="1" t="n">
        <v>2</v>
      </c>
      <c r="D3071" s="1" t="s">
        <v>2283</v>
      </c>
      <c r="E3071" s="1" t="n">
        <v>42</v>
      </c>
      <c r="F3071" s="1" t="s">
        <v>80</v>
      </c>
      <c r="I3071" s="1" t="n">
        <v>270601</v>
      </c>
      <c r="J3071" s="1" t="n">
        <v>109791</v>
      </c>
      <c r="K3071" s="1" t="n">
        <v>9667</v>
      </c>
      <c r="L3071" s="1" t="s">
        <v>2284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5" t="n">
        <v>46200</v>
      </c>
      <c r="C3072" s="1" t="n">
        <v>2</v>
      </c>
      <c r="D3072" s="1" t="s">
        <v>2283</v>
      </c>
      <c r="E3072" s="1" t="n">
        <v>42</v>
      </c>
      <c r="F3072" s="1" t="s">
        <v>80</v>
      </c>
      <c r="I3072" s="1" t="n">
        <v>270601</v>
      </c>
      <c r="J3072" s="1" t="n">
        <v>37359</v>
      </c>
      <c r="K3072" s="1" t="n">
        <v>55526</v>
      </c>
      <c r="L3072" s="1" t="s">
        <v>2285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5" t="n">
        <v>46200</v>
      </c>
      <c r="C3073" s="1" t="n">
        <v>2</v>
      </c>
      <c r="D3073" s="1" t="s">
        <v>2283</v>
      </c>
      <c r="E3073" s="1" t="n">
        <v>42</v>
      </c>
      <c r="F3073" s="1" t="s">
        <v>80</v>
      </c>
      <c r="I3073" s="1" t="n">
        <v>270601</v>
      </c>
      <c r="J3073" s="1" t="n">
        <v>37361</v>
      </c>
      <c r="K3073" s="1" t="n">
        <v>2240817</v>
      </c>
      <c r="L3073" s="1" t="s">
        <v>2286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5" t="n">
        <v>46200</v>
      </c>
      <c r="C3074" s="1" t="n">
        <v>2</v>
      </c>
      <c r="D3074" s="1" t="s">
        <v>2283</v>
      </c>
      <c r="E3074" s="1" t="n">
        <v>42</v>
      </c>
      <c r="F3074" s="1" t="s">
        <v>80</v>
      </c>
      <c r="I3074" s="1" t="n">
        <v>270602</v>
      </c>
      <c r="J3074" s="1" t="n">
        <v>100103</v>
      </c>
      <c r="K3074" s="1" t="n">
        <v>104</v>
      </c>
      <c r="L3074" s="1" t="s">
        <v>2287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5" t="n">
        <v>46200</v>
      </c>
      <c r="C3075" s="1" t="n">
        <v>6</v>
      </c>
      <c r="D3075" s="1" t="s">
        <v>2289</v>
      </c>
      <c r="E3075" s="1" t="n">
        <v>42</v>
      </c>
      <c r="F3075" s="1" t="s">
        <v>80</v>
      </c>
      <c r="I3075" s="1" t="n">
        <v>4311</v>
      </c>
      <c r="J3075" s="1" t="n">
        <v>109791</v>
      </c>
      <c r="K3075" s="1" t="n">
        <v>9667</v>
      </c>
      <c r="L3075" s="1" t="s">
        <v>2284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5" t="n">
        <v>46200</v>
      </c>
      <c r="C3076" s="1" t="n">
        <v>6</v>
      </c>
      <c r="D3076" s="1" t="s">
        <v>2289</v>
      </c>
      <c r="E3076" s="1" t="n">
        <v>42</v>
      </c>
      <c r="F3076" s="1" t="s">
        <v>80</v>
      </c>
      <c r="I3076" s="1" t="n">
        <v>4311</v>
      </c>
      <c r="J3076" s="1" t="n">
        <v>37359</v>
      </c>
      <c r="K3076" s="1" t="n">
        <v>55526</v>
      </c>
      <c r="L3076" s="1" t="s">
        <v>2285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5" t="n">
        <v>46200</v>
      </c>
      <c r="C3077" s="1" t="n">
        <v>6</v>
      </c>
      <c r="D3077" s="1" t="s">
        <v>2289</v>
      </c>
      <c r="E3077" s="1" t="n">
        <v>42</v>
      </c>
      <c r="F3077" s="1" t="s">
        <v>80</v>
      </c>
      <c r="I3077" s="1" t="n">
        <v>4311</v>
      </c>
      <c r="J3077" s="1" t="n">
        <v>37361</v>
      </c>
      <c r="K3077" s="1" t="n">
        <v>2240817</v>
      </c>
      <c r="L3077" s="1" t="s">
        <v>2286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5" t="n">
        <v>46200</v>
      </c>
      <c r="C3078" s="1" t="n">
        <v>6</v>
      </c>
      <c r="D3078" s="1" t="s">
        <v>2289</v>
      </c>
      <c r="E3078" s="1" t="n">
        <v>42</v>
      </c>
      <c r="F3078" s="1" t="s">
        <v>80</v>
      </c>
      <c r="I3078" s="1" t="n">
        <v>4312</v>
      </c>
      <c r="J3078" s="1" t="n">
        <v>100103</v>
      </c>
      <c r="K3078" s="1" t="n">
        <v>104</v>
      </c>
      <c r="L3078" s="1" t="s">
        <v>2287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5" t="n">
        <v>46200</v>
      </c>
      <c r="C3079" s="1" t="n">
        <v>11</v>
      </c>
      <c r="D3079" s="1" t="s">
        <v>2290</v>
      </c>
      <c r="E3079" s="1" t="n">
        <v>10085</v>
      </c>
      <c r="F3079" s="1" t="s">
        <v>1006</v>
      </c>
      <c r="I3079" s="1" t="n">
        <v>436</v>
      </c>
      <c r="J3079" s="1" t="n">
        <v>27371</v>
      </c>
      <c r="K3079" s="1" t="n">
        <v>7898915949162</v>
      </c>
      <c r="L3079" s="1" t="s">
        <v>3731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5" t="n">
        <v>46200</v>
      </c>
      <c r="C3080" s="1" t="n">
        <v>11</v>
      </c>
      <c r="D3080" s="1" t="s">
        <v>2290</v>
      </c>
      <c r="E3080" s="1" t="n">
        <v>10085</v>
      </c>
      <c r="F3080" s="1" t="s">
        <v>1006</v>
      </c>
      <c r="I3080" s="1" t="n">
        <v>436</v>
      </c>
      <c r="J3080" s="1" t="n">
        <v>27404</v>
      </c>
      <c r="K3080" s="1" t="n">
        <v>7898915949216</v>
      </c>
      <c r="L3080" s="1" t="s">
        <v>3732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5" t="n">
        <v>46200</v>
      </c>
      <c r="C3081" s="1" t="n">
        <v>11</v>
      </c>
      <c r="D3081" s="1" t="s">
        <v>2290</v>
      </c>
      <c r="E3081" s="1" t="n">
        <v>10085</v>
      </c>
      <c r="F3081" s="1" t="s">
        <v>1006</v>
      </c>
      <c r="I3081" s="1" t="n">
        <v>436</v>
      </c>
      <c r="J3081" s="1" t="n">
        <v>56162</v>
      </c>
      <c r="K3081" s="1" t="n">
        <v>7898915949957</v>
      </c>
      <c r="L3081" s="1" t="s">
        <v>3733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5" t="n">
        <v>46200</v>
      </c>
      <c r="C3082" s="1" t="n">
        <v>11</v>
      </c>
      <c r="D3082" s="1" t="s">
        <v>2290</v>
      </c>
      <c r="E3082" s="1" t="n">
        <v>10085</v>
      </c>
      <c r="F3082" s="1" t="s">
        <v>1006</v>
      </c>
      <c r="I3082" s="1" t="n">
        <v>436</v>
      </c>
      <c r="J3082" s="1" t="n">
        <v>65087</v>
      </c>
      <c r="K3082" s="1" t="n">
        <v>7898738660053</v>
      </c>
      <c r="L3082" s="1" t="s">
        <v>3734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5" t="n">
        <v>46200</v>
      </c>
      <c r="C3083" s="1" t="n">
        <v>11</v>
      </c>
      <c r="D3083" s="1" t="s">
        <v>2290</v>
      </c>
      <c r="E3083" s="1" t="n">
        <v>10085</v>
      </c>
      <c r="F3083" s="1" t="s">
        <v>1006</v>
      </c>
      <c r="I3083" s="1" t="n">
        <v>436</v>
      </c>
      <c r="J3083" s="1" t="n">
        <v>77091</v>
      </c>
      <c r="K3083" s="1" t="n">
        <v>7898738660718</v>
      </c>
      <c r="L3083" s="1" t="s">
        <v>3735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5" t="n">
        <v>46200</v>
      </c>
      <c r="C3084" s="1" t="n">
        <v>11</v>
      </c>
      <c r="D3084" s="1" t="s">
        <v>2290</v>
      </c>
      <c r="E3084" s="1" t="n">
        <v>1107</v>
      </c>
      <c r="F3084" s="1" t="s">
        <v>165</v>
      </c>
      <c r="I3084" s="1" t="n">
        <v>421765</v>
      </c>
      <c r="J3084" s="1" t="n">
        <v>102245</v>
      </c>
      <c r="K3084" s="1" t="n">
        <v>7891048040003</v>
      </c>
      <c r="L3084" s="1" t="s">
        <v>3736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5" t="n">
        <v>46200</v>
      </c>
      <c r="C3085" s="1" t="n">
        <v>11</v>
      </c>
      <c r="D3085" s="1" t="s">
        <v>2290</v>
      </c>
      <c r="E3085" s="1" t="n">
        <v>1107</v>
      </c>
      <c r="F3085" s="1" t="s">
        <v>165</v>
      </c>
      <c r="I3085" s="1" t="n">
        <v>421765</v>
      </c>
      <c r="J3085" s="1" t="n">
        <v>102900</v>
      </c>
      <c r="K3085" s="1" t="n">
        <v>7891048050057</v>
      </c>
      <c r="L3085" s="1" t="s">
        <v>3737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5" t="n">
        <v>46200</v>
      </c>
      <c r="C3086" s="1" t="n">
        <v>11</v>
      </c>
      <c r="D3086" s="1" t="s">
        <v>2290</v>
      </c>
      <c r="E3086" s="1" t="n">
        <v>1107</v>
      </c>
      <c r="F3086" s="1" t="s">
        <v>165</v>
      </c>
      <c r="I3086" s="1" t="n">
        <v>421765</v>
      </c>
      <c r="J3086" s="1" t="n">
        <v>103674</v>
      </c>
      <c r="K3086" s="1" t="n">
        <v>7891962000725</v>
      </c>
      <c r="L3086" s="1" t="s">
        <v>3738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5" t="n">
        <v>46200</v>
      </c>
      <c r="C3087" s="1" t="n">
        <v>11</v>
      </c>
      <c r="D3087" s="1" t="s">
        <v>2290</v>
      </c>
      <c r="E3087" s="1" t="n">
        <v>1107</v>
      </c>
      <c r="F3087" s="1" t="s">
        <v>165</v>
      </c>
      <c r="I3087" s="1" t="n">
        <v>421765</v>
      </c>
      <c r="J3087" s="1" t="n">
        <v>103860</v>
      </c>
      <c r="K3087" s="1" t="n">
        <v>7891048040065</v>
      </c>
      <c r="L3087" s="1" t="s">
        <v>3739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5" t="n">
        <v>46200</v>
      </c>
      <c r="C3088" s="1" t="n">
        <v>11</v>
      </c>
      <c r="D3088" s="1" t="s">
        <v>2290</v>
      </c>
      <c r="E3088" s="1" t="n">
        <v>1107</v>
      </c>
      <c r="F3088" s="1" t="s">
        <v>165</v>
      </c>
      <c r="I3088" s="1" t="n">
        <v>421765</v>
      </c>
      <c r="J3088" s="1" t="n">
        <v>12275</v>
      </c>
      <c r="K3088" s="1" t="n">
        <v>7891962031170</v>
      </c>
      <c r="L3088" s="1" t="s">
        <v>3740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5" t="n">
        <v>46200</v>
      </c>
      <c r="C3089" s="1" t="n">
        <v>11</v>
      </c>
      <c r="D3089" s="1" t="s">
        <v>2290</v>
      </c>
      <c r="E3089" s="1" t="n">
        <v>1107</v>
      </c>
      <c r="F3089" s="1" t="s">
        <v>165</v>
      </c>
      <c r="I3089" s="1" t="n">
        <v>421765</v>
      </c>
      <c r="J3089" s="1" t="n">
        <v>14223</v>
      </c>
      <c r="K3089" s="1" t="n">
        <v>7891962035451</v>
      </c>
      <c r="L3089" s="1" t="s">
        <v>3741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5" t="n">
        <v>46200</v>
      </c>
      <c r="C3090" s="1" t="n">
        <v>11</v>
      </c>
      <c r="D3090" s="1" t="s">
        <v>2290</v>
      </c>
      <c r="E3090" s="1" t="n">
        <v>1107</v>
      </c>
      <c r="F3090" s="1" t="s">
        <v>165</v>
      </c>
      <c r="I3090" s="1" t="n">
        <v>421765</v>
      </c>
      <c r="J3090" s="1" t="n">
        <v>24270</v>
      </c>
      <c r="K3090" s="1" t="n">
        <v>7891962050089</v>
      </c>
      <c r="L3090" s="1" t="s">
        <v>3742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5" t="n">
        <v>46200</v>
      </c>
      <c r="C3091" s="1" t="n">
        <v>11</v>
      </c>
      <c r="D3091" s="1" t="s">
        <v>2290</v>
      </c>
      <c r="E3091" s="1" t="n">
        <v>1107</v>
      </c>
      <c r="F3091" s="1" t="s">
        <v>165</v>
      </c>
      <c r="I3091" s="1" t="n">
        <v>421765</v>
      </c>
      <c r="J3091" s="1" t="n">
        <v>24548</v>
      </c>
      <c r="K3091" s="1" t="n">
        <v>7891962050072</v>
      </c>
      <c r="L3091" s="1" t="s">
        <v>3743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5" t="n">
        <v>46200</v>
      </c>
      <c r="C3092" s="1" t="n">
        <v>11</v>
      </c>
      <c r="D3092" s="1" t="s">
        <v>2290</v>
      </c>
      <c r="E3092" s="1" t="n">
        <v>1107</v>
      </c>
      <c r="F3092" s="1" t="s">
        <v>165</v>
      </c>
      <c r="I3092" s="1" t="n">
        <v>421765</v>
      </c>
      <c r="J3092" s="1" t="n">
        <v>27395</v>
      </c>
      <c r="K3092" s="1" t="n">
        <v>7891962054117</v>
      </c>
      <c r="L3092" s="1" t="s">
        <v>3744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5" t="n">
        <v>46200</v>
      </c>
      <c r="C3093" s="1" t="n">
        <v>11</v>
      </c>
      <c r="D3093" s="1" t="s">
        <v>2290</v>
      </c>
      <c r="E3093" s="1" t="n">
        <v>1107</v>
      </c>
      <c r="F3093" s="1" t="s">
        <v>165</v>
      </c>
      <c r="I3093" s="1" t="n">
        <v>421765</v>
      </c>
      <c r="J3093" s="1" t="n">
        <v>27396</v>
      </c>
      <c r="K3093" s="1" t="n">
        <v>7891962054100</v>
      </c>
      <c r="L3093" s="1" t="s">
        <v>3745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5" t="n">
        <v>46200</v>
      </c>
      <c r="C3094" s="1" t="n">
        <v>11</v>
      </c>
      <c r="D3094" s="1" t="s">
        <v>2290</v>
      </c>
      <c r="E3094" s="1" t="n">
        <v>1107</v>
      </c>
      <c r="F3094" s="1" t="s">
        <v>165</v>
      </c>
      <c r="I3094" s="1" t="n">
        <v>421765</v>
      </c>
      <c r="J3094" s="1" t="n">
        <v>27397</v>
      </c>
      <c r="K3094" s="1" t="n">
        <v>7891962054124</v>
      </c>
      <c r="L3094" s="1" t="s">
        <v>3746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5" t="n">
        <v>46200</v>
      </c>
      <c r="C3095" s="1" t="n">
        <v>11</v>
      </c>
      <c r="D3095" s="1" t="s">
        <v>2290</v>
      </c>
      <c r="E3095" s="1" t="n">
        <v>1107</v>
      </c>
      <c r="F3095" s="1" t="s">
        <v>165</v>
      </c>
      <c r="I3095" s="1" t="n">
        <v>421765</v>
      </c>
      <c r="J3095" s="1" t="n">
        <v>27481</v>
      </c>
      <c r="K3095" s="1" t="n">
        <v>7891962054810</v>
      </c>
      <c r="L3095" s="1" t="s">
        <v>3745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5" t="n">
        <v>46200</v>
      </c>
      <c r="C3096" s="1" t="n">
        <v>11</v>
      </c>
      <c r="D3096" s="1" t="s">
        <v>2290</v>
      </c>
      <c r="E3096" s="1" t="n">
        <v>1107</v>
      </c>
      <c r="F3096" s="1" t="s">
        <v>165</v>
      </c>
      <c r="I3096" s="1" t="n">
        <v>421765</v>
      </c>
      <c r="J3096" s="1" t="n">
        <v>27482</v>
      </c>
      <c r="K3096" s="1" t="n">
        <v>7891962054476</v>
      </c>
      <c r="L3096" s="1" t="s">
        <v>3747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5" t="n">
        <v>46200</v>
      </c>
      <c r="C3097" s="1" t="n">
        <v>11</v>
      </c>
      <c r="D3097" s="1" t="s">
        <v>2290</v>
      </c>
      <c r="E3097" s="1" t="n">
        <v>1107</v>
      </c>
      <c r="F3097" s="1" t="s">
        <v>165</v>
      </c>
      <c r="I3097" s="1" t="n">
        <v>421765</v>
      </c>
      <c r="J3097" s="1" t="n">
        <v>36857</v>
      </c>
      <c r="K3097" s="1" t="n">
        <v>7891962064048</v>
      </c>
      <c r="L3097" s="1" t="s">
        <v>3748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5" t="n">
        <v>46200</v>
      </c>
      <c r="C3098" s="1" t="n">
        <v>11</v>
      </c>
      <c r="D3098" s="1" t="s">
        <v>2290</v>
      </c>
      <c r="E3098" s="1" t="n">
        <v>1107</v>
      </c>
      <c r="F3098" s="1" t="s">
        <v>165</v>
      </c>
      <c r="I3098" s="1" t="n">
        <v>421765</v>
      </c>
      <c r="J3098" s="1" t="n">
        <v>36858</v>
      </c>
      <c r="K3098" s="1" t="n">
        <v>7891962064055</v>
      </c>
      <c r="L3098" s="1" t="s">
        <v>3749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5" t="n">
        <v>46200</v>
      </c>
      <c r="C3099" s="1" t="n">
        <v>11</v>
      </c>
      <c r="D3099" s="1" t="s">
        <v>2290</v>
      </c>
      <c r="E3099" s="1" t="n">
        <v>1107</v>
      </c>
      <c r="F3099" s="1" t="s">
        <v>165</v>
      </c>
      <c r="I3099" s="1" t="n">
        <v>421765</v>
      </c>
      <c r="J3099" s="1" t="n">
        <v>49004</v>
      </c>
      <c r="K3099" s="1" t="n">
        <v>7891962067346</v>
      </c>
      <c r="L3099" s="1" t="s">
        <v>3750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5" t="n">
        <v>46200</v>
      </c>
      <c r="C3100" s="1" t="n">
        <v>11</v>
      </c>
      <c r="D3100" s="1" t="s">
        <v>2290</v>
      </c>
      <c r="E3100" s="1" t="n">
        <v>1107</v>
      </c>
      <c r="F3100" s="1" t="s">
        <v>165</v>
      </c>
      <c r="I3100" s="1" t="n">
        <v>421765</v>
      </c>
      <c r="J3100" s="1" t="n">
        <v>62128</v>
      </c>
      <c r="K3100" s="1" t="n">
        <v>7891962071732</v>
      </c>
      <c r="L3100" s="1" t="s">
        <v>3751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5" t="n">
        <v>46200</v>
      </c>
      <c r="C3101" s="1" t="n">
        <v>11</v>
      </c>
      <c r="D3101" s="1" t="s">
        <v>2290</v>
      </c>
      <c r="E3101" s="1" t="n">
        <v>1107</v>
      </c>
      <c r="F3101" s="1" t="s">
        <v>165</v>
      </c>
      <c r="I3101" s="1" t="n">
        <v>421765</v>
      </c>
      <c r="J3101" s="1" t="n">
        <v>62130</v>
      </c>
      <c r="K3101" s="1" t="n">
        <v>7891962071756</v>
      </c>
      <c r="L3101" s="1" t="s">
        <v>3752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5" t="n">
        <v>46200</v>
      </c>
      <c r="C3102" s="1" t="n">
        <v>11</v>
      </c>
      <c r="D3102" s="1" t="s">
        <v>2290</v>
      </c>
      <c r="E3102" s="1" t="n">
        <v>1107</v>
      </c>
      <c r="F3102" s="1" t="s">
        <v>165</v>
      </c>
      <c r="I3102" s="1" t="n">
        <v>421765</v>
      </c>
      <c r="J3102" s="1" t="n">
        <v>64856</v>
      </c>
      <c r="K3102" s="1" t="n">
        <v>7891962074665</v>
      </c>
      <c r="L3102" s="1" t="s">
        <v>3753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5" t="n">
        <v>46200</v>
      </c>
      <c r="C3103" s="1" t="n">
        <v>11</v>
      </c>
      <c r="D3103" s="1" t="s">
        <v>2290</v>
      </c>
      <c r="E3103" s="1" t="n">
        <v>1107</v>
      </c>
      <c r="F3103" s="1" t="s">
        <v>165</v>
      </c>
      <c r="I3103" s="1" t="n">
        <v>421765</v>
      </c>
      <c r="J3103" s="1" t="n">
        <v>75874</v>
      </c>
      <c r="K3103" s="1" t="n">
        <v>7891048000038</v>
      </c>
      <c r="L3103" s="1" t="s">
        <v>3754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5" t="n">
        <v>46200</v>
      </c>
      <c r="C3104" s="1" t="n">
        <v>11</v>
      </c>
      <c r="D3104" s="1" t="s">
        <v>2290</v>
      </c>
      <c r="E3104" s="1" t="n">
        <v>1672</v>
      </c>
      <c r="F3104" s="1" t="s">
        <v>67</v>
      </c>
      <c r="I3104" s="1" t="n">
        <v>1379833</v>
      </c>
      <c r="J3104" s="1" t="n">
        <v>103165</v>
      </c>
      <c r="K3104" s="1" t="n">
        <v>7896579310106</v>
      </c>
      <c r="L3104" s="1" t="s">
        <v>2865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5" t="n">
        <v>46200</v>
      </c>
      <c r="C3105" s="1" t="n">
        <v>11</v>
      </c>
      <c r="D3105" s="1" t="s">
        <v>2290</v>
      </c>
      <c r="E3105" s="1" t="n">
        <v>1672</v>
      </c>
      <c r="F3105" s="1" t="s">
        <v>67</v>
      </c>
      <c r="I3105" s="1" t="n">
        <v>1379833</v>
      </c>
      <c r="J3105" s="1" t="n">
        <v>103916</v>
      </c>
      <c r="K3105" s="1" t="n">
        <v>7896579330067</v>
      </c>
      <c r="L3105" s="1" t="s">
        <v>2866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5" t="n">
        <v>46200</v>
      </c>
      <c r="C3106" s="1" t="n">
        <v>11</v>
      </c>
      <c r="D3106" s="1" t="s">
        <v>2290</v>
      </c>
      <c r="E3106" s="1" t="n">
        <v>1672</v>
      </c>
      <c r="F3106" s="1" t="s">
        <v>67</v>
      </c>
      <c r="I3106" s="1" t="n">
        <v>1379833</v>
      </c>
      <c r="J3106" s="1" t="n">
        <v>103940</v>
      </c>
      <c r="K3106" s="1" t="n">
        <v>7896579330081</v>
      </c>
      <c r="L3106" s="1" t="s">
        <v>3755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5" t="n">
        <v>46200</v>
      </c>
      <c r="C3107" s="1" t="n">
        <v>11</v>
      </c>
      <c r="D3107" s="1" t="s">
        <v>2290</v>
      </c>
      <c r="E3107" s="1" t="n">
        <v>1672</v>
      </c>
      <c r="F3107" s="1" t="s">
        <v>67</v>
      </c>
      <c r="I3107" s="1" t="n">
        <v>1379833</v>
      </c>
      <c r="J3107" s="1" t="n">
        <v>103941</v>
      </c>
      <c r="K3107" s="1" t="n">
        <v>7896579330036</v>
      </c>
      <c r="L3107" s="1" t="s">
        <v>3756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5" t="n">
        <v>46200</v>
      </c>
      <c r="C3108" s="1" t="n">
        <v>11</v>
      </c>
      <c r="D3108" s="1" t="s">
        <v>2290</v>
      </c>
      <c r="E3108" s="1" t="n">
        <v>1672</v>
      </c>
      <c r="F3108" s="1" t="s">
        <v>67</v>
      </c>
      <c r="I3108" s="1" t="n">
        <v>1379833</v>
      </c>
      <c r="J3108" s="1" t="n">
        <v>104355</v>
      </c>
      <c r="K3108" s="1" t="n">
        <v>7896579380116</v>
      </c>
      <c r="L3108" s="1" t="s">
        <v>2867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5" t="n">
        <v>46200</v>
      </c>
      <c r="C3109" s="1" t="n">
        <v>11</v>
      </c>
      <c r="D3109" s="1" t="s">
        <v>2290</v>
      </c>
      <c r="E3109" s="1" t="n">
        <v>1672</v>
      </c>
      <c r="F3109" s="1" t="s">
        <v>67</v>
      </c>
      <c r="I3109" s="1" t="n">
        <v>1379833</v>
      </c>
      <c r="J3109" s="1" t="n">
        <v>13184</v>
      </c>
      <c r="K3109" s="1" t="n">
        <v>7896579310113</v>
      </c>
      <c r="L3109" s="1" t="s">
        <v>3757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5" t="n">
        <v>46200</v>
      </c>
      <c r="C3110" s="1" t="n">
        <v>11</v>
      </c>
      <c r="D3110" s="1" t="s">
        <v>2290</v>
      </c>
      <c r="E3110" s="1" t="n">
        <v>1672</v>
      </c>
      <c r="F3110" s="1" t="s">
        <v>67</v>
      </c>
      <c r="I3110" s="1" t="n">
        <v>1379833</v>
      </c>
      <c r="J3110" s="1" t="n">
        <v>13228</v>
      </c>
      <c r="K3110" s="1" t="n">
        <v>7896520026261</v>
      </c>
      <c r="L3110" s="1" t="s">
        <v>3758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5" t="n">
        <v>46200</v>
      </c>
      <c r="C3111" s="1" t="n">
        <v>11</v>
      </c>
      <c r="D3111" s="1" t="s">
        <v>2290</v>
      </c>
      <c r="E3111" s="1" t="n">
        <v>1672</v>
      </c>
      <c r="F3111" s="1" t="s">
        <v>67</v>
      </c>
      <c r="I3111" s="1" t="n">
        <v>1379833</v>
      </c>
      <c r="J3111" s="1" t="n">
        <v>14974</v>
      </c>
      <c r="K3111" s="1" t="n">
        <v>7896579380123</v>
      </c>
      <c r="L3111" s="1" t="s">
        <v>3759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5" t="n">
        <v>46200</v>
      </c>
      <c r="C3112" s="1" t="n">
        <v>11</v>
      </c>
      <c r="D3112" s="1" t="s">
        <v>2290</v>
      </c>
      <c r="E3112" s="1" t="n">
        <v>1672</v>
      </c>
      <c r="F3112" s="1" t="s">
        <v>67</v>
      </c>
      <c r="I3112" s="1" t="n">
        <v>1379833</v>
      </c>
      <c r="J3112" s="1" t="n">
        <v>19371</v>
      </c>
      <c r="K3112" s="1" t="n">
        <v>7896520021334</v>
      </c>
      <c r="L3112" s="1" t="s">
        <v>3760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5" t="n">
        <v>46200</v>
      </c>
      <c r="C3113" s="1" t="n">
        <v>11</v>
      </c>
      <c r="D3113" s="1" t="s">
        <v>2290</v>
      </c>
      <c r="E3113" s="1" t="n">
        <v>1672</v>
      </c>
      <c r="F3113" s="1" t="s">
        <v>67</v>
      </c>
      <c r="I3113" s="1" t="n">
        <v>1379833</v>
      </c>
      <c r="J3113" s="1" t="n">
        <v>27109</v>
      </c>
      <c r="K3113" s="1" t="n">
        <v>7896520028623</v>
      </c>
      <c r="L3113" s="1" t="s">
        <v>3761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5" t="n">
        <v>46200</v>
      </c>
      <c r="C3114" s="1" t="n">
        <v>11</v>
      </c>
      <c r="D3114" s="1" t="s">
        <v>2290</v>
      </c>
      <c r="E3114" s="1" t="n">
        <v>1672</v>
      </c>
      <c r="F3114" s="1" t="s">
        <v>67</v>
      </c>
      <c r="I3114" s="1" t="n">
        <v>1379833</v>
      </c>
      <c r="J3114" s="1" t="n">
        <v>27524</v>
      </c>
      <c r="K3114" s="1" t="n">
        <v>7899465200444</v>
      </c>
      <c r="L3114" s="1" t="s">
        <v>3762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5" t="n">
        <v>46200</v>
      </c>
      <c r="C3115" s="1" t="n">
        <v>11</v>
      </c>
      <c r="D3115" s="1" t="s">
        <v>2290</v>
      </c>
      <c r="E3115" s="1" t="n">
        <v>1672</v>
      </c>
      <c r="F3115" s="1" t="s">
        <v>67</v>
      </c>
      <c r="I3115" s="1" t="n">
        <v>1379833</v>
      </c>
      <c r="J3115" s="1" t="n">
        <v>31622</v>
      </c>
      <c r="K3115" s="1" t="n">
        <v>7896579370032</v>
      </c>
      <c r="L3115" s="1" t="s">
        <v>2868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5" t="n">
        <v>46200</v>
      </c>
      <c r="C3116" s="1" t="n">
        <v>11</v>
      </c>
      <c r="D3116" s="1" t="s">
        <v>2290</v>
      </c>
      <c r="E3116" s="1" t="n">
        <v>1672</v>
      </c>
      <c r="F3116" s="1" t="s">
        <v>67</v>
      </c>
      <c r="I3116" s="1" t="n">
        <v>1379833</v>
      </c>
      <c r="J3116" s="1" t="n">
        <v>34479</v>
      </c>
      <c r="K3116" s="1" t="n">
        <v>7896004401836</v>
      </c>
      <c r="L3116" s="1" t="s">
        <v>3763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5" t="n">
        <v>46200</v>
      </c>
      <c r="C3117" s="1" t="n">
        <v>11</v>
      </c>
      <c r="D3117" s="1" t="s">
        <v>2290</v>
      </c>
      <c r="E3117" s="1" t="n">
        <v>1672</v>
      </c>
      <c r="F3117" s="1" t="s">
        <v>67</v>
      </c>
      <c r="I3117" s="1" t="n">
        <v>1379833</v>
      </c>
      <c r="J3117" s="1" t="n">
        <v>35007</v>
      </c>
      <c r="K3117" s="1" t="n">
        <v>7896579340110</v>
      </c>
      <c r="L3117" s="1" t="s">
        <v>3764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5" t="n">
        <v>46200</v>
      </c>
      <c r="C3118" s="1" t="n">
        <v>11</v>
      </c>
      <c r="D3118" s="1" t="s">
        <v>2290</v>
      </c>
      <c r="E3118" s="1" t="n">
        <v>1672</v>
      </c>
      <c r="F3118" s="1" t="s">
        <v>67</v>
      </c>
      <c r="I3118" s="1" t="n">
        <v>1379833</v>
      </c>
      <c r="J3118" s="1" t="n">
        <v>35008</v>
      </c>
      <c r="K3118" s="1" t="n">
        <v>7896579350256</v>
      </c>
      <c r="L3118" s="1" t="s">
        <v>3765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5" t="n">
        <v>46200</v>
      </c>
      <c r="C3119" s="1" t="n">
        <v>11</v>
      </c>
      <c r="D3119" s="1" t="s">
        <v>2290</v>
      </c>
      <c r="E3119" s="1" t="n">
        <v>1672</v>
      </c>
      <c r="F3119" s="1" t="s">
        <v>67</v>
      </c>
      <c r="I3119" s="1" t="n">
        <v>1379833</v>
      </c>
      <c r="J3119" s="1" t="n">
        <v>37153</v>
      </c>
      <c r="K3119" s="1" t="n">
        <v>7896579310311</v>
      </c>
      <c r="L3119" s="1" t="s">
        <v>2869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5" t="n">
        <v>46200</v>
      </c>
      <c r="C3120" s="1" t="n">
        <v>11</v>
      </c>
      <c r="D3120" s="1" t="s">
        <v>2290</v>
      </c>
      <c r="E3120" s="1" t="n">
        <v>1672</v>
      </c>
      <c r="F3120" s="1" t="s">
        <v>67</v>
      </c>
      <c r="I3120" s="1" t="n">
        <v>1379833</v>
      </c>
      <c r="J3120" s="1" t="n">
        <v>37154</v>
      </c>
      <c r="K3120" s="1" t="n">
        <v>7896579310601</v>
      </c>
      <c r="L3120" s="1" t="s">
        <v>2870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5" t="n">
        <v>46200</v>
      </c>
      <c r="C3121" s="1" t="n">
        <v>11</v>
      </c>
      <c r="D3121" s="1" t="s">
        <v>2290</v>
      </c>
      <c r="E3121" s="1" t="n">
        <v>1672</v>
      </c>
      <c r="F3121" s="1" t="s">
        <v>67</v>
      </c>
      <c r="I3121" s="1" t="n">
        <v>1379833</v>
      </c>
      <c r="J3121" s="1" t="n">
        <v>37156</v>
      </c>
      <c r="K3121" s="1" t="n">
        <v>7896579310502</v>
      </c>
      <c r="L3121" s="1" t="s">
        <v>2871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5" t="n">
        <v>46200</v>
      </c>
      <c r="C3122" s="1" t="n">
        <v>11</v>
      </c>
      <c r="D3122" s="1" t="s">
        <v>2290</v>
      </c>
      <c r="E3122" s="1" t="n">
        <v>1672</v>
      </c>
      <c r="F3122" s="1" t="s">
        <v>67</v>
      </c>
      <c r="I3122" s="1" t="n">
        <v>1379833</v>
      </c>
      <c r="J3122" s="1" t="n">
        <v>37157</v>
      </c>
      <c r="K3122" s="1" t="n">
        <v>7896579310403</v>
      </c>
      <c r="L3122" s="1" t="s">
        <v>2872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5" t="n">
        <v>46200</v>
      </c>
      <c r="C3123" s="1" t="n">
        <v>11</v>
      </c>
      <c r="D3123" s="1" t="s">
        <v>2290</v>
      </c>
      <c r="E3123" s="1" t="n">
        <v>1672</v>
      </c>
      <c r="F3123" s="1" t="s">
        <v>67</v>
      </c>
      <c r="I3123" s="1" t="n">
        <v>1379833</v>
      </c>
      <c r="J3123" s="1" t="n">
        <v>38315</v>
      </c>
      <c r="K3123" s="1" t="n">
        <v>7896579320242</v>
      </c>
      <c r="L3123" s="1" t="s">
        <v>2873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5" t="n">
        <v>46200</v>
      </c>
      <c r="C3124" s="1" t="n">
        <v>11</v>
      </c>
      <c r="D3124" s="1" t="s">
        <v>2290</v>
      </c>
      <c r="E3124" s="1" t="n">
        <v>1672</v>
      </c>
      <c r="F3124" s="1" t="s">
        <v>67</v>
      </c>
      <c r="I3124" s="1" t="n">
        <v>1379833</v>
      </c>
      <c r="J3124" s="1" t="n">
        <v>38539</v>
      </c>
      <c r="K3124" s="1" t="n">
        <v>7896579320235</v>
      </c>
      <c r="L3124" s="1" t="s">
        <v>2874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5" t="n">
        <v>46200</v>
      </c>
      <c r="C3125" s="1" t="n">
        <v>11</v>
      </c>
      <c r="D3125" s="1" t="s">
        <v>2290</v>
      </c>
      <c r="E3125" s="1" t="n">
        <v>1672</v>
      </c>
      <c r="F3125" s="1" t="s">
        <v>67</v>
      </c>
      <c r="I3125" s="1" t="n">
        <v>1379833</v>
      </c>
      <c r="J3125" s="1" t="n">
        <v>45144</v>
      </c>
      <c r="K3125" s="1" t="n">
        <v>7896579350164</v>
      </c>
      <c r="L3125" s="1" t="s">
        <v>2875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5" t="n">
        <v>46200</v>
      </c>
      <c r="C3126" s="1" t="n">
        <v>11</v>
      </c>
      <c r="D3126" s="1" t="s">
        <v>2290</v>
      </c>
      <c r="E3126" s="1" t="n">
        <v>1672</v>
      </c>
      <c r="F3126" s="1" t="s">
        <v>67</v>
      </c>
      <c r="I3126" s="1" t="n">
        <v>1379833</v>
      </c>
      <c r="J3126" s="1" t="n">
        <v>79952</v>
      </c>
      <c r="K3126" s="1" t="n">
        <v>7896579390085</v>
      </c>
      <c r="L3126" s="1" t="s">
        <v>3766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5" t="n">
        <v>46200</v>
      </c>
      <c r="C3127" s="1" t="n">
        <v>11</v>
      </c>
      <c r="D3127" s="1" t="s">
        <v>2290</v>
      </c>
      <c r="E3127" s="1" t="n">
        <v>1672</v>
      </c>
      <c r="F3127" s="1" t="s">
        <v>67</v>
      </c>
      <c r="I3127" s="1" t="n">
        <v>1379833</v>
      </c>
      <c r="J3127" s="1" t="n">
        <v>80062</v>
      </c>
      <c r="K3127" s="1" t="n">
        <v>7896579390092</v>
      </c>
      <c r="L3127" s="1" t="s">
        <v>3767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5" t="n">
        <v>46200</v>
      </c>
      <c r="C3128" s="1" t="n">
        <v>107</v>
      </c>
      <c r="D3128" s="1" t="s">
        <v>2735</v>
      </c>
      <c r="E3128" s="1" t="n">
        <v>1672</v>
      </c>
      <c r="F3128" s="1" t="s">
        <v>67</v>
      </c>
      <c r="I3128" s="1" t="n">
        <v>1379834</v>
      </c>
      <c r="J3128" s="1" t="n">
        <v>106239</v>
      </c>
      <c r="K3128" s="1" t="n">
        <v>7896579390016</v>
      </c>
      <c r="L3128" s="1" t="s">
        <v>3768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5" t="n">
        <v>46200</v>
      </c>
      <c r="C3129" s="1" t="n">
        <v>107</v>
      </c>
      <c r="D3129" s="1" t="s">
        <v>2735</v>
      </c>
      <c r="E3129" s="1" t="n">
        <v>1672</v>
      </c>
      <c r="F3129" s="1" t="s">
        <v>67</v>
      </c>
      <c r="I3129" s="1" t="n">
        <v>1379834</v>
      </c>
      <c r="J3129" s="1" t="n">
        <v>65610</v>
      </c>
      <c r="K3129" s="1" t="n">
        <v>7896579340172</v>
      </c>
      <c r="L3129" s="1" t="s">
        <v>3769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5" t="n">
        <v>46200</v>
      </c>
      <c r="C3130" s="1" t="n">
        <v>107</v>
      </c>
      <c r="D3130" s="1" t="s">
        <v>2735</v>
      </c>
      <c r="E3130" s="1" t="n">
        <v>1672</v>
      </c>
      <c r="F3130" s="1" t="s">
        <v>67</v>
      </c>
      <c r="I3130" s="1" t="n">
        <v>1379834</v>
      </c>
      <c r="J3130" s="1" t="n">
        <v>73348</v>
      </c>
      <c r="K3130" s="1" t="n">
        <v>7896579310144</v>
      </c>
      <c r="L3130" s="1" t="s">
        <v>3770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5" t="n">
        <v>46200</v>
      </c>
      <c r="C3131" s="1" t="n">
        <v>171</v>
      </c>
      <c r="D3131" s="1" t="s">
        <v>2517</v>
      </c>
      <c r="E3131" s="1" t="n">
        <v>1659</v>
      </c>
      <c r="F3131" s="1" t="s">
        <v>251</v>
      </c>
      <c r="I3131" s="1" t="n">
        <v>881225</v>
      </c>
      <c r="J3131" s="1" t="n">
        <v>34172</v>
      </c>
      <c r="K3131" s="1" t="n">
        <v>7896090101528</v>
      </c>
      <c r="L3131" s="1" t="s">
        <v>3771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5" t="n">
        <v>46202</v>
      </c>
      <c r="C3132" s="1" t="n">
        <v>1</v>
      </c>
      <c r="D3132" s="1" t="s">
        <v>2317</v>
      </c>
      <c r="E3132" s="1" t="n">
        <v>642</v>
      </c>
      <c r="F3132" s="1" t="s">
        <v>135</v>
      </c>
      <c r="I3132" s="1" t="n">
        <v>512</v>
      </c>
      <c r="J3132" s="1" t="n">
        <v>71766</v>
      </c>
      <c r="K3132" s="1" t="n">
        <v>779180</v>
      </c>
      <c r="L3132" s="1" t="s">
        <v>2566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5" t="n">
        <v>46202</v>
      </c>
      <c r="C3133" s="1" t="n">
        <v>1</v>
      </c>
      <c r="D3133" s="1" t="s">
        <v>2317</v>
      </c>
      <c r="E3133" s="1" t="n">
        <v>1609</v>
      </c>
      <c r="F3133" s="1" t="s">
        <v>410</v>
      </c>
      <c r="I3133" s="1" t="n">
        <v>5718</v>
      </c>
      <c r="J3133" s="1" t="n">
        <v>13225</v>
      </c>
      <c r="K3133" s="1" t="n">
        <v>7896981601151</v>
      </c>
      <c r="L3133" s="1" t="s">
        <v>2522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5" t="n">
        <v>46202</v>
      </c>
      <c r="C3134" s="1" t="n">
        <v>1</v>
      </c>
      <c r="D3134" s="1" t="s">
        <v>2317</v>
      </c>
      <c r="E3134" s="1" t="n">
        <v>1609</v>
      </c>
      <c r="F3134" s="1" t="s">
        <v>410</v>
      </c>
      <c r="I3134" s="1" t="n">
        <v>5718</v>
      </c>
      <c r="J3134" s="1" t="n">
        <v>13720</v>
      </c>
      <c r="K3134" s="1" t="n">
        <v>7896981600307</v>
      </c>
      <c r="L3134" s="1" t="s">
        <v>2523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5" t="n">
        <v>46202</v>
      </c>
      <c r="C3135" s="1" t="n">
        <v>1</v>
      </c>
      <c r="D3135" s="1" t="s">
        <v>2317</v>
      </c>
      <c r="E3135" s="1" t="n">
        <v>1609</v>
      </c>
      <c r="F3135" s="1" t="s">
        <v>410</v>
      </c>
      <c r="I3135" s="1" t="n">
        <v>5718</v>
      </c>
      <c r="J3135" s="1" t="n">
        <v>17163</v>
      </c>
      <c r="K3135" s="1" t="n">
        <v>7896981600567</v>
      </c>
      <c r="L3135" s="1" t="s">
        <v>2524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5" t="n">
        <v>46202</v>
      </c>
      <c r="C3136" s="1" t="n">
        <v>1</v>
      </c>
      <c r="D3136" s="1" t="s">
        <v>2317</v>
      </c>
      <c r="E3136" s="1" t="n">
        <v>1609</v>
      </c>
      <c r="F3136" s="1" t="s">
        <v>410</v>
      </c>
      <c r="I3136" s="1" t="n">
        <v>5718</v>
      </c>
      <c r="J3136" s="1" t="n">
        <v>18382</v>
      </c>
      <c r="K3136" s="1" t="n">
        <v>7896878801190</v>
      </c>
      <c r="L3136" s="1" t="s">
        <v>2525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5" t="n">
        <v>46202</v>
      </c>
      <c r="C3137" s="1" t="n">
        <v>1</v>
      </c>
      <c r="D3137" s="1" t="s">
        <v>2317</v>
      </c>
      <c r="E3137" s="1" t="n">
        <v>1609</v>
      </c>
      <c r="F3137" s="1" t="s">
        <v>410</v>
      </c>
      <c r="I3137" s="1" t="n">
        <v>5718</v>
      </c>
      <c r="J3137" s="1" t="n">
        <v>18384</v>
      </c>
      <c r="K3137" s="1" t="n">
        <v>7896878801206</v>
      </c>
      <c r="L3137" s="1" t="s">
        <v>2526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5" t="n">
        <v>46202</v>
      </c>
      <c r="C3138" s="1" t="n">
        <v>1</v>
      </c>
      <c r="D3138" s="1" t="s">
        <v>2317</v>
      </c>
      <c r="E3138" s="1" t="n">
        <v>1609</v>
      </c>
      <c r="F3138" s="1" t="s">
        <v>410</v>
      </c>
      <c r="I3138" s="1" t="n">
        <v>5718</v>
      </c>
      <c r="J3138" s="1" t="n">
        <v>18385</v>
      </c>
      <c r="K3138" s="1" t="n">
        <v>7896878801220</v>
      </c>
      <c r="L3138" s="1" t="s">
        <v>2527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5" t="n">
        <v>46202</v>
      </c>
      <c r="C3139" s="1" t="n">
        <v>1</v>
      </c>
      <c r="D3139" s="1" t="s">
        <v>2317</v>
      </c>
      <c r="E3139" s="1" t="n">
        <v>1609</v>
      </c>
      <c r="F3139" s="1" t="s">
        <v>410</v>
      </c>
      <c r="I3139" s="1" t="n">
        <v>5718</v>
      </c>
      <c r="J3139" s="1" t="n">
        <v>18775</v>
      </c>
      <c r="K3139" s="1" t="n">
        <v>7896878801237</v>
      </c>
      <c r="L3139" s="1" t="s">
        <v>2528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5" t="n">
        <v>46202</v>
      </c>
      <c r="C3140" s="1" t="n">
        <v>1</v>
      </c>
      <c r="D3140" s="1" t="s">
        <v>2317</v>
      </c>
      <c r="E3140" s="1" t="n">
        <v>1609</v>
      </c>
      <c r="F3140" s="1" t="s">
        <v>410</v>
      </c>
      <c r="I3140" s="1" t="n">
        <v>5718</v>
      </c>
      <c r="J3140" s="1" t="n">
        <v>18968</v>
      </c>
      <c r="K3140" s="1" t="n">
        <v>7896878801244</v>
      </c>
      <c r="L3140" s="1" t="s">
        <v>2529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5" t="n">
        <v>46202</v>
      </c>
      <c r="C3141" s="1" t="n">
        <v>1</v>
      </c>
      <c r="D3141" s="1" t="s">
        <v>2317</v>
      </c>
      <c r="E3141" s="1" t="n">
        <v>1609</v>
      </c>
      <c r="F3141" s="1" t="s">
        <v>410</v>
      </c>
      <c r="I3141" s="1" t="n">
        <v>5718</v>
      </c>
      <c r="J3141" s="1" t="n">
        <v>19201</v>
      </c>
      <c r="K3141" s="1" t="n">
        <v>7896878801015</v>
      </c>
      <c r="L3141" s="1" t="s">
        <v>3265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5" t="n">
        <v>46202</v>
      </c>
      <c r="C3142" s="1" t="n">
        <v>1</v>
      </c>
      <c r="D3142" s="1" t="s">
        <v>2317</v>
      </c>
      <c r="E3142" s="1" t="n">
        <v>1609</v>
      </c>
      <c r="F3142" s="1" t="s">
        <v>410</v>
      </c>
      <c r="I3142" s="1" t="n">
        <v>5718</v>
      </c>
      <c r="J3142" s="1" t="n">
        <v>41614</v>
      </c>
      <c r="K3142" s="1" t="n">
        <v>7896878801213</v>
      </c>
      <c r="L3142" s="1" t="s">
        <v>2530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5" t="n">
        <v>46202</v>
      </c>
      <c r="C3143" s="1" t="n">
        <v>2</v>
      </c>
      <c r="D3143" s="1" t="s">
        <v>2283</v>
      </c>
      <c r="E3143" s="1" t="n">
        <v>42</v>
      </c>
      <c r="F3143" s="1" t="s">
        <v>80</v>
      </c>
      <c r="I3143" s="1" t="n">
        <v>290601</v>
      </c>
      <c r="J3143" s="1" t="n">
        <v>100103</v>
      </c>
      <c r="K3143" s="1" t="n">
        <v>104</v>
      </c>
      <c r="L3143" s="1" t="s">
        <v>2287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5" t="n">
        <v>46202</v>
      </c>
      <c r="C3144" s="1" t="n">
        <v>2</v>
      </c>
      <c r="D3144" s="1" t="s">
        <v>2283</v>
      </c>
      <c r="E3144" s="1" t="n">
        <v>42</v>
      </c>
      <c r="F3144" s="1" t="s">
        <v>80</v>
      </c>
      <c r="I3144" s="1" t="n">
        <v>290602</v>
      </c>
      <c r="J3144" s="1" t="n">
        <v>72679</v>
      </c>
      <c r="K3144" s="1" t="n">
        <v>246</v>
      </c>
      <c r="L3144" s="1" t="s">
        <v>2288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5" t="n">
        <v>46202</v>
      </c>
      <c r="C3145" s="1" t="n">
        <v>2</v>
      </c>
      <c r="D3145" s="1" t="s">
        <v>2283</v>
      </c>
      <c r="E3145" s="1" t="n">
        <v>42</v>
      </c>
      <c r="F3145" s="1" t="s">
        <v>80</v>
      </c>
      <c r="I3145" s="1" t="n">
        <v>290603</v>
      </c>
      <c r="J3145" s="1" t="n">
        <v>109791</v>
      </c>
      <c r="K3145" s="1" t="n">
        <v>9667</v>
      </c>
      <c r="L3145" s="1" t="s">
        <v>2284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5" t="n">
        <v>46202</v>
      </c>
      <c r="C3146" s="1" t="n">
        <v>2</v>
      </c>
      <c r="D3146" s="1" t="s">
        <v>2283</v>
      </c>
      <c r="E3146" s="1" t="n">
        <v>42</v>
      </c>
      <c r="F3146" s="1" t="s">
        <v>80</v>
      </c>
      <c r="I3146" s="1" t="n">
        <v>290603</v>
      </c>
      <c r="J3146" s="1" t="n">
        <v>37359</v>
      </c>
      <c r="K3146" s="1" t="n">
        <v>55526</v>
      </c>
      <c r="L3146" s="1" t="s">
        <v>2285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5" t="n">
        <v>46202</v>
      </c>
      <c r="C3147" s="1" t="n">
        <v>2</v>
      </c>
      <c r="D3147" s="1" t="s">
        <v>2283</v>
      </c>
      <c r="E3147" s="1" t="n">
        <v>42</v>
      </c>
      <c r="F3147" s="1" t="s">
        <v>80</v>
      </c>
      <c r="I3147" s="1" t="n">
        <v>290603</v>
      </c>
      <c r="J3147" s="1" t="n">
        <v>37361</v>
      </c>
      <c r="K3147" s="1" t="n">
        <v>2240817</v>
      </c>
      <c r="L3147" s="1" t="s">
        <v>2286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5" t="n">
        <v>46202</v>
      </c>
      <c r="C3148" s="1" t="n">
        <v>6</v>
      </c>
      <c r="D3148" s="1" t="s">
        <v>2289</v>
      </c>
      <c r="E3148" s="1" t="n">
        <v>42</v>
      </c>
      <c r="F3148" s="1" t="s">
        <v>80</v>
      </c>
      <c r="I3148" s="1" t="n">
        <v>4323</v>
      </c>
      <c r="J3148" s="1" t="n">
        <v>100103</v>
      </c>
      <c r="K3148" s="1" t="n">
        <v>104</v>
      </c>
      <c r="L3148" s="1" t="s">
        <v>2287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5" t="n">
        <v>46202</v>
      </c>
      <c r="C3149" s="1" t="n">
        <v>6</v>
      </c>
      <c r="D3149" s="1" t="s">
        <v>2289</v>
      </c>
      <c r="E3149" s="1" t="n">
        <v>42</v>
      </c>
      <c r="F3149" s="1" t="s">
        <v>80</v>
      </c>
      <c r="I3149" s="1" t="n">
        <v>4324</v>
      </c>
      <c r="J3149" s="1" t="n">
        <v>72679</v>
      </c>
      <c r="K3149" s="1" t="n">
        <v>246</v>
      </c>
      <c r="L3149" s="1" t="s">
        <v>2288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5" t="n">
        <v>46202</v>
      </c>
      <c r="C3150" s="1" t="n">
        <v>6</v>
      </c>
      <c r="D3150" s="1" t="s">
        <v>2289</v>
      </c>
      <c r="E3150" s="1" t="n">
        <v>42</v>
      </c>
      <c r="F3150" s="1" t="s">
        <v>80</v>
      </c>
      <c r="I3150" s="1" t="n">
        <v>4325</v>
      </c>
      <c r="J3150" s="1" t="n">
        <v>109791</v>
      </c>
      <c r="K3150" s="1" t="n">
        <v>9667</v>
      </c>
      <c r="L3150" s="1" t="s">
        <v>2284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5" t="n">
        <v>46202</v>
      </c>
      <c r="C3151" s="1" t="n">
        <v>6</v>
      </c>
      <c r="D3151" s="1" t="s">
        <v>2289</v>
      </c>
      <c r="E3151" s="1" t="n">
        <v>42</v>
      </c>
      <c r="F3151" s="1" t="s">
        <v>80</v>
      </c>
      <c r="I3151" s="1" t="n">
        <v>4325</v>
      </c>
      <c r="J3151" s="1" t="n">
        <v>37359</v>
      </c>
      <c r="K3151" s="1" t="n">
        <v>55526</v>
      </c>
      <c r="L3151" s="1" t="s">
        <v>2285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5" t="n">
        <v>46202</v>
      </c>
      <c r="C3152" s="1" t="n">
        <v>6</v>
      </c>
      <c r="D3152" s="1" t="s">
        <v>2289</v>
      </c>
      <c r="E3152" s="1" t="n">
        <v>42</v>
      </c>
      <c r="F3152" s="1" t="s">
        <v>80</v>
      </c>
      <c r="I3152" s="1" t="n">
        <v>4325</v>
      </c>
      <c r="J3152" s="1" t="n">
        <v>37361</v>
      </c>
      <c r="K3152" s="1" t="n">
        <v>2240817</v>
      </c>
      <c r="L3152" s="1" t="s">
        <v>2286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5" t="n">
        <v>46202</v>
      </c>
      <c r="C3153" s="1" t="n">
        <v>11</v>
      </c>
      <c r="D3153" s="1" t="s">
        <v>2290</v>
      </c>
      <c r="E3153" s="1" t="n">
        <v>10019</v>
      </c>
      <c r="F3153" s="1" t="s">
        <v>854</v>
      </c>
      <c r="I3153" s="1" t="n">
        <v>30609</v>
      </c>
      <c r="J3153" s="1" t="n">
        <v>100006</v>
      </c>
      <c r="K3153" s="1" t="n">
        <v>7</v>
      </c>
      <c r="L3153" s="1" t="s">
        <v>2437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5" t="n">
        <v>46202</v>
      </c>
      <c r="C3154" s="1" t="n">
        <v>11</v>
      </c>
      <c r="D3154" s="1" t="s">
        <v>2290</v>
      </c>
      <c r="E3154" s="1" t="n">
        <v>10019</v>
      </c>
      <c r="F3154" s="1" t="s">
        <v>854</v>
      </c>
      <c r="I3154" s="1" t="n">
        <v>30609</v>
      </c>
      <c r="J3154" s="1" t="n">
        <v>100013</v>
      </c>
      <c r="K3154" s="1" t="n">
        <v>14</v>
      </c>
      <c r="L3154" s="1" t="s">
        <v>2442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5" t="n">
        <v>46202</v>
      </c>
      <c r="C3155" s="1" t="n">
        <v>11</v>
      </c>
      <c r="D3155" s="1" t="s">
        <v>2290</v>
      </c>
      <c r="E3155" s="1" t="n">
        <v>10019</v>
      </c>
      <c r="F3155" s="1" t="s">
        <v>854</v>
      </c>
      <c r="I3155" s="1" t="n">
        <v>30609</v>
      </c>
      <c r="J3155" s="1" t="n">
        <v>100024</v>
      </c>
      <c r="K3155" s="1" t="n">
        <v>25</v>
      </c>
      <c r="L3155" s="1" t="s">
        <v>2390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5" t="n">
        <v>46202</v>
      </c>
      <c r="C3156" s="1" t="n">
        <v>11</v>
      </c>
      <c r="D3156" s="1" t="s">
        <v>2290</v>
      </c>
      <c r="E3156" s="1" t="n">
        <v>10019</v>
      </c>
      <c r="F3156" s="1" t="s">
        <v>854</v>
      </c>
      <c r="I3156" s="1" t="n">
        <v>35032</v>
      </c>
      <c r="J3156" s="1" t="n">
        <v>29079</v>
      </c>
      <c r="K3156" s="1" t="n">
        <v>55515</v>
      </c>
      <c r="L3156" s="1" t="s">
        <v>2360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5" t="n">
        <v>46202</v>
      </c>
      <c r="C3157" s="1" t="n">
        <v>11</v>
      </c>
      <c r="D3157" s="1" t="s">
        <v>2290</v>
      </c>
      <c r="E3157" s="1" t="n">
        <v>1723</v>
      </c>
      <c r="F3157" s="1" t="s">
        <v>76</v>
      </c>
      <c r="I3157" s="1" t="n">
        <v>172079</v>
      </c>
      <c r="J3157" s="1" t="n">
        <v>29079</v>
      </c>
      <c r="K3157" s="1" t="n">
        <v>55515</v>
      </c>
      <c r="L3157" s="1" t="s">
        <v>2360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5" t="n">
        <v>46202</v>
      </c>
      <c r="C3158" s="1" t="n">
        <v>11</v>
      </c>
      <c r="D3158" s="1" t="s">
        <v>2290</v>
      </c>
      <c r="E3158" s="1" t="n">
        <v>1723</v>
      </c>
      <c r="F3158" s="1" t="s">
        <v>76</v>
      </c>
      <c r="I3158" s="1" t="n">
        <v>172079</v>
      </c>
      <c r="J3158" s="1" t="n">
        <v>29080</v>
      </c>
      <c r="K3158" s="1" t="n">
        <v>55516</v>
      </c>
      <c r="L3158" s="1" t="s">
        <v>2362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5" t="n">
        <v>46202</v>
      </c>
      <c r="C3159" s="1" t="n">
        <v>11</v>
      </c>
      <c r="D3159" s="1" t="s">
        <v>2290</v>
      </c>
      <c r="E3159" s="1" t="n">
        <v>1723</v>
      </c>
      <c r="F3159" s="1" t="s">
        <v>76</v>
      </c>
      <c r="I3159" s="1" t="n">
        <v>172145</v>
      </c>
      <c r="J3159" s="1" t="n">
        <v>29079</v>
      </c>
      <c r="K3159" s="1" t="n">
        <v>55515</v>
      </c>
      <c r="L3159" s="1" t="s">
        <v>2360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5" t="n">
        <v>46202</v>
      </c>
      <c r="C3160" s="1" t="n">
        <v>11</v>
      </c>
      <c r="D3160" s="1" t="s">
        <v>2290</v>
      </c>
      <c r="E3160" s="1" t="n">
        <v>1723</v>
      </c>
      <c r="F3160" s="1" t="s">
        <v>76</v>
      </c>
      <c r="I3160" s="1" t="n">
        <v>172209</v>
      </c>
      <c r="J3160" s="1" t="n">
        <v>29079</v>
      </c>
      <c r="K3160" s="1" t="n">
        <v>55515</v>
      </c>
      <c r="L3160" s="1" t="s">
        <v>2360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5" t="n">
        <v>46202</v>
      </c>
      <c r="C3161" s="1" t="n">
        <v>11</v>
      </c>
      <c r="D3161" s="1" t="s">
        <v>2290</v>
      </c>
      <c r="E3161" s="1" t="n">
        <v>1723</v>
      </c>
      <c r="F3161" s="1" t="s">
        <v>76</v>
      </c>
      <c r="I3161" s="1" t="n">
        <v>172209</v>
      </c>
      <c r="J3161" s="1" t="n">
        <v>29080</v>
      </c>
      <c r="K3161" s="1" t="n">
        <v>55516</v>
      </c>
      <c r="L3161" s="1" t="s">
        <v>2362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5" t="n">
        <v>46202</v>
      </c>
      <c r="C3162" s="1" t="n">
        <v>11</v>
      </c>
      <c r="D3162" s="1" t="s">
        <v>2290</v>
      </c>
      <c r="E3162" s="1" t="n">
        <v>1723</v>
      </c>
      <c r="F3162" s="1" t="s">
        <v>76</v>
      </c>
      <c r="I3162" s="1" t="n">
        <v>172261</v>
      </c>
      <c r="J3162" s="1" t="n">
        <v>29079</v>
      </c>
      <c r="K3162" s="1" t="n">
        <v>55515</v>
      </c>
      <c r="L3162" s="1" t="s">
        <v>2360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5" t="n">
        <v>46202</v>
      </c>
      <c r="C3163" s="1" t="n">
        <v>11</v>
      </c>
      <c r="D3163" s="1" t="s">
        <v>2290</v>
      </c>
      <c r="E3163" s="1" t="n">
        <v>1723</v>
      </c>
      <c r="F3163" s="1" t="s">
        <v>76</v>
      </c>
      <c r="I3163" s="1" t="n">
        <v>172261</v>
      </c>
      <c r="J3163" s="1" t="n">
        <v>29080</v>
      </c>
      <c r="K3163" s="1" t="n">
        <v>55516</v>
      </c>
      <c r="L3163" s="1" t="s">
        <v>2362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5" t="n">
        <v>46202</v>
      </c>
      <c r="C3164" s="1" t="n">
        <v>11</v>
      </c>
      <c r="D3164" s="1" t="s">
        <v>2290</v>
      </c>
      <c r="E3164" s="1" t="n">
        <v>1723</v>
      </c>
      <c r="F3164" s="1" t="s">
        <v>76</v>
      </c>
      <c r="I3164" s="1" t="n">
        <v>172261</v>
      </c>
      <c r="J3164" s="1" t="n">
        <v>78040</v>
      </c>
      <c r="K3164" s="1" t="n">
        <v>780414</v>
      </c>
      <c r="L3164" s="1" t="s">
        <v>2585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5" t="n">
        <v>46202</v>
      </c>
      <c r="C3165" s="1" t="n">
        <v>11</v>
      </c>
      <c r="D3165" s="1" t="s">
        <v>2290</v>
      </c>
      <c r="E3165" s="1" t="n">
        <v>1699</v>
      </c>
      <c r="F3165" s="1" t="s">
        <v>60</v>
      </c>
      <c r="I3165" s="1" t="n">
        <v>305918</v>
      </c>
      <c r="J3165" s="1" t="n">
        <v>37844</v>
      </c>
      <c r="K3165" s="1" t="n">
        <v>782777</v>
      </c>
      <c r="L3165" s="1" t="s">
        <v>3772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5" t="n">
        <v>46202</v>
      </c>
      <c r="C3166" s="1" t="n">
        <v>11</v>
      </c>
      <c r="D3166" s="1" t="s">
        <v>2290</v>
      </c>
      <c r="E3166" s="1" t="n">
        <v>1699</v>
      </c>
      <c r="F3166" s="1" t="s">
        <v>60</v>
      </c>
      <c r="I3166" s="1" t="n">
        <v>305918</v>
      </c>
      <c r="J3166" s="1" t="n">
        <v>110247</v>
      </c>
      <c r="K3166" s="1" t="n">
        <v>40284</v>
      </c>
      <c r="L3166" s="1" t="s">
        <v>3773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5" t="n">
        <v>46202</v>
      </c>
      <c r="C3167" s="1" t="n">
        <v>11</v>
      </c>
      <c r="D3167" s="1" t="s">
        <v>2290</v>
      </c>
      <c r="E3167" s="1" t="n">
        <v>1616</v>
      </c>
      <c r="F3167" s="1" t="s">
        <v>697</v>
      </c>
      <c r="I3167" s="1" t="n">
        <v>647403</v>
      </c>
      <c r="J3167" s="1" t="n">
        <v>12862</v>
      </c>
      <c r="K3167" s="1" t="n">
        <v>5601252102433</v>
      </c>
      <c r="L3167" s="1" t="s">
        <v>3774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15" t="n">
        <v>46202</v>
      </c>
      <c r="C3168" s="1" t="n">
        <v>11</v>
      </c>
      <c r="D3168" s="1" t="s">
        <v>2290</v>
      </c>
      <c r="E3168" s="1" t="n">
        <v>1616</v>
      </c>
      <c r="F3168" s="1" t="s">
        <v>697</v>
      </c>
      <c r="I3168" s="1" t="n">
        <v>647403</v>
      </c>
      <c r="J3168" s="1" t="n">
        <v>13406</v>
      </c>
      <c r="K3168" s="1" t="n">
        <v>5601252100972</v>
      </c>
      <c r="L3168" s="1" t="s">
        <v>3775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15" t="n">
        <v>46202</v>
      </c>
      <c r="C3169" s="1" t="n">
        <v>11</v>
      </c>
      <c r="D3169" s="1" t="s">
        <v>2290</v>
      </c>
      <c r="E3169" s="1" t="n">
        <v>1616</v>
      </c>
      <c r="F3169" s="1" t="s">
        <v>697</v>
      </c>
      <c r="I3169" s="1" t="n">
        <v>647403</v>
      </c>
      <c r="J3169" s="1" t="n">
        <v>14323</v>
      </c>
      <c r="K3169" s="1" t="n">
        <v>7896001010000</v>
      </c>
      <c r="L3169" s="1" t="s">
        <v>3776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15" t="n">
        <v>46202</v>
      </c>
      <c r="C3170" s="1" t="n">
        <v>11</v>
      </c>
      <c r="D3170" s="1" t="s">
        <v>2290</v>
      </c>
      <c r="E3170" s="1" t="n">
        <v>1616</v>
      </c>
      <c r="F3170" s="1" t="s">
        <v>697</v>
      </c>
      <c r="I3170" s="1" t="n">
        <v>647403</v>
      </c>
      <c r="J3170" s="1" t="n">
        <v>15301</v>
      </c>
      <c r="K3170" s="1" t="n">
        <v>5601252231164</v>
      </c>
      <c r="L3170" s="1" t="s">
        <v>3777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15" t="n">
        <v>46202</v>
      </c>
      <c r="C3171" s="1" t="n">
        <v>11</v>
      </c>
      <c r="D3171" s="1" t="s">
        <v>2290</v>
      </c>
      <c r="E3171" s="1" t="n">
        <v>1616</v>
      </c>
      <c r="F3171" s="1" t="s">
        <v>697</v>
      </c>
      <c r="I3171" s="1" t="n">
        <v>647403</v>
      </c>
      <c r="J3171" s="1" t="n">
        <v>15302</v>
      </c>
      <c r="K3171" s="1" t="n">
        <v>5601252106103</v>
      </c>
      <c r="L3171" s="1" t="s">
        <v>3778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5" t="n">
        <v>46202</v>
      </c>
      <c r="C3172" s="1" t="n">
        <v>11</v>
      </c>
      <c r="D3172" s="1" t="s">
        <v>2290</v>
      </c>
      <c r="E3172" s="1" t="n">
        <v>1616</v>
      </c>
      <c r="F3172" s="1" t="s">
        <v>697</v>
      </c>
      <c r="I3172" s="1" t="n">
        <v>647403</v>
      </c>
      <c r="J3172" s="1" t="n">
        <v>15304</v>
      </c>
      <c r="K3172" s="1" t="n">
        <v>5601252106288</v>
      </c>
      <c r="L3172" s="1" t="s">
        <v>3774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5" t="n">
        <v>46202</v>
      </c>
      <c r="C3173" s="1" t="n">
        <v>11</v>
      </c>
      <c r="D3173" s="1" t="s">
        <v>2290</v>
      </c>
      <c r="E3173" s="1" t="n">
        <v>1616</v>
      </c>
      <c r="F3173" s="1" t="s">
        <v>697</v>
      </c>
      <c r="I3173" s="1" t="n">
        <v>647403</v>
      </c>
      <c r="J3173" s="1" t="n">
        <v>18763</v>
      </c>
      <c r="K3173" s="1" t="n">
        <v>7896022203733</v>
      </c>
      <c r="L3173" s="1" t="s">
        <v>3779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5" t="n">
        <v>46202</v>
      </c>
      <c r="C3174" s="1" t="n">
        <v>11</v>
      </c>
      <c r="D3174" s="1" t="s">
        <v>2290</v>
      </c>
      <c r="E3174" s="1" t="n">
        <v>1616</v>
      </c>
      <c r="F3174" s="1" t="s">
        <v>697</v>
      </c>
      <c r="I3174" s="1" t="n">
        <v>647403</v>
      </c>
      <c r="J3174" s="1" t="n">
        <v>21007</v>
      </c>
      <c r="K3174" s="1" t="n">
        <v>7896022203566</v>
      </c>
      <c r="L3174" s="1" t="s">
        <v>3780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5" t="n">
        <v>46202</v>
      </c>
      <c r="C3175" s="1" t="n">
        <v>11</v>
      </c>
      <c r="D3175" s="1" t="s">
        <v>2290</v>
      </c>
      <c r="E3175" s="1" t="n">
        <v>1616</v>
      </c>
      <c r="F3175" s="1" t="s">
        <v>697</v>
      </c>
      <c r="I3175" s="1" t="n">
        <v>647403</v>
      </c>
      <c r="J3175" s="1" t="n">
        <v>25600</v>
      </c>
      <c r="K3175" s="1" t="n">
        <v>7896022204099</v>
      </c>
      <c r="L3175" s="1" t="s">
        <v>3781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5" t="n">
        <v>46202</v>
      </c>
      <c r="C3176" s="1" t="n">
        <v>11</v>
      </c>
      <c r="D3176" s="1" t="s">
        <v>2290</v>
      </c>
      <c r="E3176" s="1" t="n">
        <v>1616</v>
      </c>
      <c r="F3176" s="1" t="s">
        <v>697</v>
      </c>
      <c r="I3176" s="1" t="n">
        <v>647403</v>
      </c>
      <c r="J3176" s="1" t="n">
        <v>26651</v>
      </c>
      <c r="K3176" s="1" t="n">
        <v>7896022207014</v>
      </c>
      <c r="L3176" s="1" t="s">
        <v>3782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5" t="n">
        <v>46202</v>
      </c>
      <c r="C3177" s="1" t="n">
        <v>11</v>
      </c>
      <c r="D3177" s="1" t="s">
        <v>2290</v>
      </c>
      <c r="E3177" s="1" t="n">
        <v>1616</v>
      </c>
      <c r="F3177" s="1" t="s">
        <v>697</v>
      </c>
      <c r="I3177" s="1" t="n">
        <v>647403</v>
      </c>
      <c r="J3177" s="1" t="n">
        <v>29632</v>
      </c>
      <c r="K3177" s="1" t="n">
        <v>7896001040724</v>
      </c>
      <c r="L3177" s="1" t="s">
        <v>3783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5" t="n">
        <v>46202</v>
      </c>
      <c r="C3178" s="1" t="n">
        <v>11</v>
      </c>
      <c r="D3178" s="1" t="s">
        <v>2290</v>
      </c>
      <c r="E3178" s="1" t="n">
        <v>1616</v>
      </c>
      <c r="F3178" s="1" t="s">
        <v>697</v>
      </c>
      <c r="I3178" s="1" t="n">
        <v>647403</v>
      </c>
      <c r="J3178" s="1" t="n">
        <v>32862</v>
      </c>
      <c r="K3178" s="1" t="n">
        <v>7896001016828</v>
      </c>
      <c r="L3178" s="1" t="s">
        <v>3784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5" t="n">
        <v>46202</v>
      </c>
      <c r="C3179" s="1" t="n">
        <v>11</v>
      </c>
      <c r="D3179" s="1" t="s">
        <v>2290</v>
      </c>
      <c r="E3179" s="1" t="n">
        <v>1616</v>
      </c>
      <c r="F3179" s="1" t="s">
        <v>697</v>
      </c>
      <c r="I3179" s="1" t="n">
        <v>647403</v>
      </c>
      <c r="J3179" s="1" t="n">
        <v>35294</v>
      </c>
      <c r="K3179" s="1" t="n">
        <v>7896022203870</v>
      </c>
      <c r="L3179" s="1" t="s">
        <v>3785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5" t="n">
        <v>46202</v>
      </c>
      <c r="C3180" s="1" t="n">
        <v>11</v>
      </c>
      <c r="D3180" s="1" t="s">
        <v>2290</v>
      </c>
      <c r="E3180" s="1" t="n">
        <v>1616</v>
      </c>
      <c r="F3180" s="1" t="s">
        <v>697</v>
      </c>
      <c r="I3180" s="1" t="n">
        <v>647403</v>
      </c>
      <c r="J3180" s="1" t="n">
        <v>41414</v>
      </c>
      <c r="K3180" s="1" t="n">
        <v>7896001004566</v>
      </c>
      <c r="L3180" s="1" t="s">
        <v>3786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5" t="n">
        <v>46202</v>
      </c>
      <c r="C3181" s="1" t="n">
        <v>11</v>
      </c>
      <c r="D3181" s="1" t="s">
        <v>2290</v>
      </c>
      <c r="E3181" s="1" t="n">
        <v>1616</v>
      </c>
      <c r="F3181" s="1" t="s">
        <v>697</v>
      </c>
      <c r="I3181" s="1" t="n">
        <v>647403</v>
      </c>
      <c r="J3181" s="1" t="n">
        <v>52671</v>
      </c>
      <c r="K3181" s="1" t="n">
        <v>7896022200695</v>
      </c>
      <c r="L3181" s="1" t="s">
        <v>3787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5" t="n">
        <v>46202</v>
      </c>
      <c r="C3182" s="1" t="n">
        <v>11</v>
      </c>
      <c r="D3182" s="1" t="s">
        <v>2290</v>
      </c>
      <c r="E3182" s="1" t="n">
        <v>1616</v>
      </c>
      <c r="F3182" s="1" t="s">
        <v>697</v>
      </c>
      <c r="I3182" s="1" t="n">
        <v>647403</v>
      </c>
      <c r="J3182" s="1" t="n">
        <v>81559</v>
      </c>
      <c r="K3182" s="1" t="n">
        <v>7896022208202</v>
      </c>
      <c r="L3182" s="1" t="s">
        <v>3788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5" t="n">
        <v>46202</v>
      </c>
      <c r="C3183" s="1" t="n">
        <v>11</v>
      </c>
      <c r="D3183" s="1" t="s">
        <v>2290</v>
      </c>
      <c r="E3183" s="1" t="n">
        <v>1616</v>
      </c>
      <c r="F3183" s="1" t="s">
        <v>697</v>
      </c>
      <c r="I3183" s="1" t="n">
        <v>647403</v>
      </c>
      <c r="J3183" s="1" t="n">
        <v>81560</v>
      </c>
      <c r="K3183" s="1" t="n">
        <v>7896001042971</v>
      </c>
      <c r="L3183" s="1" t="s">
        <v>3789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5" t="n">
        <v>46202</v>
      </c>
      <c r="C3184" s="1" t="n">
        <v>11</v>
      </c>
      <c r="D3184" s="1" t="s">
        <v>2290</v>
      </c>
      <c r="E3184" s="1" t="n">
        <v>1616</v>
      </c>
      <c r="F3184" s="1" t="s">
        <v>697</v>
      </c>
      <c r="I3184" s="1" t="n">
        <v>647403</v>
      </c>
      <c r="J3184" s="1" t="n">
        <v>81561</v>
      </c>
      <c r="K3184" s="1" t="n">
        <v>7896001003071</v>
      </c>
      <c r="L3184" s="1" t="s">
        <v>3790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5" t="n">
        <v>46202</v>
      </c>
      <c r="C3185" s="1" t="n">
        <v>22</v>
      </c>
      <c r="D3185" s="1" t="s">
        <v>2436</v>
      </c>
      <c r="E3185" s="1" t="n">
        <v>42</v>
      </c>
      <c r="F3185" s="1" t="s">
        <v>80</v>
      </c>
      <c r="I3185" s="1" t="n">
        <v>4314</v>
      </c>
      <c r="J3185" s="1" t="n">
        <v>100000</v>
      </c>
      <c r="K3185" s="1" t="n">
        <v>1</v>
      </c>
      <c r="L3185" s="1" t="s">
        <v>2451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5" t="n">
        <v>46202</v>
      </c>
      <c r="C3186" s="1" t="n">
        <v>22</v>
      </c>
      <c r="D3186" s="1" t="s">
        <v>2436</v>
      </c>
      <c r="E3186" s="1" t="n">
        <v>42</v>
      </c>
      <c r="F3186" s="1" t="s">
        <v>80</v>
      </c>
      <c r="I3186" s="1" t="n">
        <v>4314</v>
      </c>
      <c r="J3186" s="1" t="n">
        <v>100000</v>
      </c>
      <c r="K3186" s="1" t="n">
        <v>1</v>
      </c>
      <c r="L3186" s="1" t="s">
        <v>2451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5" t="n">
        <v>46202</v>
      </c>
      <c r="C3187" s="1" t="n">
        <v>22</v>
      </c>
      <c r="D3187" s="1" t="s">
        <v>2436</v>
      </c>
      <c r="E3187" s="1" t="n">
        <v>42</v>
      </c>
      <c r="F3187" s="1" t="s">
        <v>80</v>
      </c>
      <c r="I3187" s="1" t="n">
        <v>4314</v>
      </c>
      <c r="J3187" s="1" t="n">
        <v>100001</v>
      </c>
      <c r="K3187" s="1" t="n">
        <v>2</v>
      </c>
      <c r="L3187" s="1" t="s">
        <v>2452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5" t="n">
        <v>46202</v>
      </c>
      <c r="C3188" s="1" t="n">
        <v>22</v>
      </c>
      <c r="D3188" s="1" t="s">
        <v>2436</v>
      </c>
      <c r="E3188" s="1" t="n">
        <v>42</v>
      </c>
      <c r="F3188" s="1" t="s">
        <v>80</v>
      </c>
      <c r="I3188" s="1" t="n">
        <v>4314</v>
      </c>
      <c r="J3188" s="1" t="n">
        <v>100002</v>
      </c>
      <c r="K3188" s="1" t="n">
        <v>3</v>
      </c>
      <c r="L3188" s="1" t="s">
        <v>2453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5" t="n">
        <v>46202</v>
      </c>
      <c r="C3189" s="1" t="n">
        <v>22</v>
      </c>
      <c r="D3189" s="1" t="s">
        <v>2436</v>
      </c>
      <c r="E3189" s="1" t="n">
        <v>42</v>
      </c>
      <c r="F3189" s="1" t="s">
        <v>80</v>
      </c>
      <c r="I3189" s="1" t="n">
        <v>4314</v>
      </c>
      <c r="J3189" s="1" t="n">
        <v>100003</v>
      </c>
      <c r="K3189" s="1" t="n">
        <v>4</v>
      </c>
      <c r="L3189" s="1" t="s">
        <v>2454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5" t="n">
        <v>46202</v>
      </c>
      <c r="C3190" s="1" t="n">
        <v>22</v>
      </c>
      <c r="D3190" s="1" t="s">
        <v>2436</v>
      </c>
      <c r="E3190" s="1" t="n">
        <v>42</v>
      </c>
      <c r="F3190" s="1" t="s">
        <v>80</v>
      </c>
      <c r="I3190" s="1" t="n">
        <v>4314</v>
      </c>
      <c r="J3190" s="1" t="n">
        <v>100004</v>
      </c>
      <c r="K3190" s="1" t="n">
        <v>5</v>
      </c>
      <c r="L3190" s="1" t="s">
        <v>2667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5" t="n">
        <v>46202</v>
      </c>
      <c r="C3191" s="1" t="n">
        <v>22</v>
      </c>
      <c r="D3191" s="1" t="s">
        <v>2436</v>
      </c>
      <c r="E3191" s="1" t="n">
        <v>42</v>
      </c>
      <c r="F3191" s="1" t="s">
        <v>80</v>
      </c>
      <c r="I3191" s="1" t="n">
        <v>4314</v>
      </c>
      <c r="J3191" s="1" t="n">
        <v>100006</v>
      </c>
      <c r="K3191" s="1" t="n">
        <v>7</v>
      </c>
      <c r="L3191" s="1" t="s">
        <v>2437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5" t="n">
        <v>46202</v>
      </c>
      <c r="C3192" s="1" t="n">
        <v>22</v>
      </c>
      <c r="D3192" s="1" t="s">
        <v>2436</v>
      </c>
      <c r="E3192" s="1" t="n">
        <v>42</v>
      </c>
      <c r="F3192" s="1" t="s">
        <v>80</v>
      </c>
      <c r="I3192" s="1" t="n">
        <v>4314</v>
      </c>
      <c r="J3192" s="1" t="n">
        <v>100007</v>
      </c>
      <c r="K3192" s="1" t="n">
        <v>8</v>
      </c>
      <c r="L3192" s="1" t="s">
        <v>2455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5" t="n">
        <v>46202</v>
      </c>
      <c r="C3193" s="1" t="n">
        <v>22</v>
      </c>
      <c r="D3193" s="1" t="s">
        <v>2436</v>
      </c>
      <c r="E3193" s="1" t="n">
        <v>42</v>
      </c>
      <c r="F3193" s="1" t="s">
        <v>80</v>
      </c>
      <c r="I3193" s="1" t="n">
        <v>4314</v>
      </c>
      <c r="J3193" s="1" t="n">
        <v>100008</v>
      </c>
      <c r="K3193" s="1" t="n">
        <v>9</v>
      </c>
      <c r="L3193" s="1" t="s">
        <v>2438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5" t="n">
        <v>46202</v>
      </c>
      <c r="C3194" s="1" t="n">
        <v>22</v>
      </c>
      <c r="D3194" s="1" t="s">
        <v>2436</v>
      </c>
      <c r="E3194" s="1" t="n">
        <v>42</v>
      </c>
      <c r="F3194" s="1" t="s">
        <v>80</v>
      </c>
      <c r="I3194" s="1" t="n">
        <v>4314</v>
      </c>
      <c r="J3194" s="1" t="n">
        <v>100010</v>
      </c>
      <c r="K3194" s="1" t="n">
        <v>11</v>
      </c>
      <c r="L3194" s="1" t="s">
        <v>2439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5" t="n">
        <v>46202</v>
      </c>
      <c r="C3195" s="1" t="n">
        <v>22</v>
      </c>
      <c r="D3195" s="1" t="s">
        <v>2436</v>
      </c>
      <c r="E3195" s="1" t="n">
        <v>42</v>
      </c>
      <c r="F3195" s="1" t="s">
        <v>80</v>
      </c>
      <c r="I3195" s="1" t="n">
        <v>4314</v>
      </c>
      <c r="J3195" s="1" t="n">
        <v>100011</v>
      </c>
      <c r="K3195" s="1" t="n">
        <v>12</v>
      </c>
      <c r="L3195" s="1" t="s">
        <v>2440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5" t="n">
        <v>46202</v>
      </c>
      <c r="C3196" s="1" t="n">
        <v>22</v>
      </c>
      <c r="D3196" s="1" t="s">
        <v>2436</v>
      </c>
      <c r="E3196" s="1" t="n">
        <v>42</v>
      </c>
      <c r="F3196" s="1" t="s">
        <v>80</v>
      </c>
      <c r="I3196" s="1" t="n">
        <v>4314</v>
      </c>
      <c r="J3196" s="1" t="n">
        <v>100012</v>
      </c>
      <c r="K3196" s="1" t="n">
        <v>13</v>
      </c>
      <c r="L3196" s="1" t="s">
        <v>2441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5" t="n">
        <v>46202</v>
      </c>
      <c r="C3197" s="1" t="n">
        <v>22</v>
      </c>
      <c r="D3197" s="1" t="s">
        <v>2436</v>
      </c>
      <c r="E3197" s="1" t="n">
        <v>42</v>
      </c>
      <c r="F3197" s="1" t="s">
        <v>80</v>
      </c>
      <c r="I3197" s="1" t="n">
        <v>4314</v>
      </c>
      <c r="J3197" s="1" t="n">
        <v>100013</v>
      </c>
      <c r="K3197" s="1" t="n">
        <v>14</v>
      </c>
      <c r="L3197" s="1" t="s">
        <v>2442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5" t="n">
        <v>46202</v>
      </c>
      <c r="C3198" s="1" t="n">
        <v>22</v>
      </c>
      <c r="D3198" s="1" t="s">
        <v>2436</v>
      </c>
      <c r="E3198" s="1" t="n">
        <v>42</v>
      </c>
      <c r="F3198" s="1" t="s">
        <v>80</v>
      </c>
      <c r="I3198" s="1" t="n">
        <v>4314</v>
      </c>
      <c r="J3198" s="1" t="n">
        <v>100014</v>
      </c>
      <c r="K3198" s="1" t="n">
        <v>15</v>
      </c>
      <c r="L3198" s="1" t="s">
        <v>2443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5" t="n">
        <v>46202</v>
      </c>
      <c r="C3199" s="1" t="n">
        <v>22</v>
      </c>
      <c r="D3199" s="1" t="s">
        <v>2436</v>
      </c>
      <c r="E3199" s="1" t="n">
        <v>42</v>
      </c>
      <c r="F3199" s="1" t="s">
        <v>80</v>
      </c>
      <c r="I3199" s="1" t="n">
        <v>4314</v>
      </c>
      <c r="J3199" s="1" t="n">
        <v>100015</v>
      </c>
      <c r="K3199" s="1" t="n">
        <v>16</v>
      </c>
      <c r="L3199" s="1" t="s">
        <v>2444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5" t="n">
        <v>46202</v>
      </c>
      <c r="C3200" s="1" t="n">
        <v>22</v>
      </c>
      <c r="D3200" s="1" t="s">
        <v>2436</v>
      </c>
      <c r="E3200" s="1" t="n">
        <v>42</v>
      </c>
      <c r="F3200" s="1" t="s">
        <v>80</v>
      </c>
      <c r="I3200" s="1" t="n">
        <v>4314</v>
      </c>
      <c r="J3200" s="1" t="n">
        <v>100016</v>
      </c>
      <c r="K3200" s="1" t="n">
        <v>17</v>
      </c>
      <c r="L3200" s="1" t="s">
        <v>2445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5" t="n">
        <v>46202</v>
      </c>
      <c r="C3201" s="1" t="n">
        <v>22</v>
      </c>
      <c r="D3201" s="1" t="s">
        <v>2436</v>
      </c>
      <c r="E3201" s="1" t="n">
        <v>42</v>
      </c>
      <c r="F3201" s="1" t="s">
        <v>80</v>
      </c>
      <c r="I3201" s="1" t="n">
        <v>4314</v>
      </c>
      <c r="J3201" s="1" t="n">
        <v>100017</v>
      </c>
      <c r="K3201" s="1" t="n">
        <v>18</v>
      </c>
      <c r="L3201" s="1" t="s">
        <v>2446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5" t="n">
        <v>46202</v>
      </c>
      <c r="C3202" s="1" t="n">
        <v>22</v>
      </c>
      <c r="D3202" s="1" t="s">
        <v>2436</v>
      </c>
      <c r="E3202" s="1" t="n">
        <v>42</v>
      </c>
      <c r="F3202" s="1" t="s">
        <v>80</v>
      </c>
      <c r="I3202" s="1" t="n">
        <v>4314</v>
      </c>
      <c r="J3202" s="1" t="n">
        <v>100020</v>
      </c>
      <c r="K3202" s="1" t="n">
        <v>21</v>
      </c>
      <c r="L3202" s="1" t="s">
        <v>2456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5" t="n">
        <v>46202</v>
      </c>
      <c r="C3203" s="1" t="n">
        <v>22</v>
      </c>
      <c r="D3203" s="1" t="s">
        <v>2436</v>
      </c>
      <c r="E3203" s="1" t="n">
        <v>42</v>
      </c>
      <c r="F3203" s="1" t="s">
        <v>80</v>
      </c>
      <c r="I3203" s="1" t="n">
        <v>4314</v>
      </c>
      <c r="J3203" s="1" t="n">
        <v>100020</v>
      </c>
      <c r="K3203" s="1" t="n">
        <v>21</v>
      </c>
      <c r="L3203" s="1" t="s">
        <v>2456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5" t="n">
        <v>46202</v>
      </c>
      <c r="C3204" s="1" t="n">
        <v>22</v>
      </c>
      <c r="D3204" s="1" t="s">
        <v>2436</v>
      </c>
      <c r="E3204" s="1" t="n">
        <v>42</v>
      </c>
      <c r="F3204" s="1" t="s">
        <v>80</v>
      </c>
      <c r="I3204" s="1" t="n">
        <v>4314</v>
      </c>
      <c r="J3204" s="1" t="n">
        <v>100053</v>
      </c>
      <c r="K3204" s="1" t="n">
        <v>54</v>
      </c>
      <c r="L3204" s="1" t="s">
        <v>2447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5" t="n">
        <v>46202</v>
      </c>
      <c r="C3205" s="1" t="n">
        <v>22</v>
      </c>
      <c r="D3205" s="1" t="s">
        <v>2436</v>
      </c>
      <c r="E3205" s="1" t="n">
        <v>42</v>
      </c>
      <c r="F3205" s="1" t="s">
        <v>80</v>
      </c>
      <c r="I3205" s="1" t="n">
        <v>4314</v>
      </c>
      <c r="J3205" s="1" t="n">
        <v>100638</v>
      </c>
      <c r="K3205" s="1" t="n">
        <v>508</v>
      </c>
      <c r="L3205" s="1" t="s">
        <v>2448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5" t="n">
        <v>46202</v>
      </c>
      <c r="C3206" s="1" t="n">
        <v>22</v>
      </c>
      <c r="D3206" s="1" t="s">
        <v>2436</v>
      </c>
      <c r="E3206" s="1" t="n">
        <v>42</v>
      </c>
      <c r="F3206" s="1" t="s">
        <v>80</v>
      </c>
      <c r="I3206" s="1" t="n">
        <v>4314</v>
      </c>
      <c r="J3206" s="1" t="n">
        <v>100638</v>
      </c>
      <c r="K3206" s="1" t="n">
        <v>508</v>
      </c>
      <c r="L3206" s="1" t="s">
        <v>2448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5" t="n">
        <v>46202</v>
      </c>
      <c r="C3207" s="1" t="n">
        <v>22</v>
      </c>
      <c r="D3207" s="1" t="s">
        <v>2436</v>
      </c>
      <c r="E3207" s="1" t="n">
        <v>42</v>
      </c>
      <c r="F3207" s="1" t="s">
        <v>80</v>
      </c>
      <c r="I3207" s="1" t="n">
        <v>4314</v>
      </c>
      <c r="J3207" s="1" t="n">
        <v>100638</v>
      </c>
      <c r="K3207" s="1" t="n">
        <v>508</v>
      </c>
      <c r="L3207" s="1" t="s">
        <v>2448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5" t="n">
        <v>46202</v>
      </c>
      <c r="C3208" s="1" t="n">
        <v>22</v>
      </c>
      <c r="D3208" s="1" t="s">
        <v>2436</v>
      </c>
      <c r="E3208" s="1" t="n">
        <v>42</v>
      </c>
      <c r="F3208" s="1" t="s">
        <v>80</v>
      </c>
      <c r="I3208" s="1" t="n">
        <v>4314</v>
      </c>
      <c r="J3208" s="1" t="n">
        <v>100520</v>
      </c>
      <c r="K3208" s="1" t="n">
        <v>507</v>
      </c>
      <c r="L3208" s="1" t="s">
        <v>2449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5" t="n">
        <v>46202</v>
      </c>
      <c r="C3209" s="1" t="n">
        <v>22</v>
      </c>
      <c r="D3209" s="1" t="s">
        <v>2436</v>
      </c>
      <c r="E3209" s="1" t="n">
        <v>42</v>
      </c>
      <c r="F3209" s="1" t="s">
        <v>80</v>
      </c>
      <c r="I3209" s="1" t="n">
        <v>4314</v>
      </c>
      <c r="J3209" s="1" t="n">
        <v>100520</v>
      </c>
      <c r="K3209" s="1" t="n">
        <v>507</v>
      </c>
      <c r="L3209" s="1" t="s">
        <v>2449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5" t="n">
        <v>46202</v>
      </c>
      <c r="C3210" s="1" t="n">
        <v>22</v>
      </c>
      <c r="D3210" s="1" t="s">
        <v>2436</v>
      </c>
      <c r="E3210" s="1" t="n">
        <v>42</v>
      </c>
      <c r="F3210" s="1" t="s">
        <v>80</v>
      </c>
      <c r="I3210" s="1" t="n">
        <v>4314</v>
      </c>
      <c r="J3210" s="1" t="n">
        <v>100520</v>
      </c>
      <c r="K3210" s="1" t="n">
        <v>507</v>
      </c>
      <c r="L3210" s="1" t="s">
        <v>2449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5" t="n">
        <v>46202</v>
      </c>
      <c r="C3211" s="1" t="n">
        <v>22</v>
      </c>
      <c r="D3211" s="1" t="s">
        <v>2436</v>
      </c>
      <c r="E3211" s="1" t="n">
        <v>42</v>
      </c>
      <c r="F3211" s="1" t="s">
        <v>80</v>
      </c>
      <c r="I3211" s="1" t="n">
        <v>4314</v>
      </c>
      <c r="J3211" s="1" t="n">
        <v>110455</v>
      </c>
      <c r="K3211" s="1" t="n">
        <v>53212</v>
      </c>
      <c r="L3211" s="1" t="s">
        <v>2450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5" t="n">
        <v>46202</v>
      </c>
      <c r="C3212" s="1" t="n">
        <v>22</v>
      </c>
      <c r="D3212" s="1" t="s">
        <v>2436</v>
      </c>
      <c r="E3212" s="1" t="n">
        <v>42</v>
      </c>
      <c r="F3212" s="1" t="s">
        <v>80</v>
      </c>
      <c r="I3212" s="1" t="n">
        <v>4314</v>
      </c>
      <c r="J3212" s="1" t="n">
        <v>110455</v>
      </c>
      <c r="K3212" s="1" t="n">
        <v>53212</v>
      </c>
      <c r="L3212" s="1" t="s">
        <v>2450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5" t="n">
        <v>46202</v>
      </c>
      <c r="C3213" s="1" t="n">
        <v>22</v>
      </c>
      <c r="D3213" s="1" t="s">
        <v>2436</v>
      </c>
      <c r="E3213" s="1" t="n">
        <v>42</v>
      </c>
      <c r="F3213" s="1" t="s">
        <v>80</v>
      </c>
      <c r="I3213" s="1" t="n">
        <v>4314</v>
      </c>
      <c r="J3213" s="1" t="n">
        <v>110455</v>
      </c>
      <c r="K3213" s="1" t="n">
        <v>53212</v>
      </c>
      <c r="L3213" s="1" t="s">
        <v>2450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5" t="n">
        <v>46202</v>
      </c>
      <c r="C3214" s="1" t="n">
        <v>22</v>
      </c>
      <c r="D3214" s="1" t="s">
        <v>2436</v>
      </c>
      <c r="E3214" s="1" t="n">
        <v>42</v>
      </c>
      <c r="F3214" s="1" t="s">
        <v>80</v>
      </c>
      <c r="I3214" s="1" t="n">
        <v>4316</v>
      </c>
      <c r="J3214" s="1" t="n">
        <v>100000</v>
      </c>
      <c r="K3214" s="1" t="n">
        <v>1</v>
      </c>
      <c r="L3214" s="1" t="s">
        <v>2451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5" t="n">
        <v>46202</v>
      </c>
      <c r="C3215" s="1" t="n">
        <v>22</v>
      </c>
      <c r="D3215" s="1" t="s">
        <v>2436</v>
      </c>
      <c r="E3215" s="1" t="n">
        <v>42</v>
      </c>
      <c r="F3215" s="1" t="s">
        <v>80</v>
      </c>
      <c r="I3215" s="1" t="n">
        <v>4316</v>
      </c>
      <c r="J3215" s="1" t="n">
        <v>100006</v>
      </c>
      <c r="K3215" s="1" t="n">
        <v>7</v>
      </c>
      <c r="L3215" s="1" t="s">
        <v>2437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5" t="n">
        <v>46202</v>
      </c>
      <c r="C3216" s="1" t="n">
        <v>22</v>
      </c>
      <c r="D3216" s="1" t="s">
        <v>2436</v>
      </c>
      <c r="E3216" s="1" t="n">
        <v>42</v>
      </c>
      <c r="F3216" s="1" t="s">
        <v>80</v>
      </c>
      <c r="I3216" s="1" t="n">
        <v>4316</v>
      </c>
      <c r="J3216" s="1" t="n">
        <v>100008</v>
      </c>
      <c r="K3216" s="1" t="n">
        <v>9</v>
      </c>
      <c r="L3216" s="1" t="s">
        <v>2438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5" t="n">
        <v>46202</v>
      </c>
      <c r="C3217" s="1" t="n">
        <v>22</v>
      </c>
      <c r="D3217" s="1" t="s">
        <v>2436</v>
      </c>
      <c r="E3217" s="1" t="n">
        <v>42</v>
      </c>
      <c r="F3217" s="1" t="s">
        <v>80</v>
      </c>
      <c r="I3217" s="1" t="n">
        <v>4316</v>
      </c>
      <c r="J3217" s="1" t="n">
        <v>100010</v>
      </c>
      <c r="K3217" s="1" t="n">
        <v>11</v>
      </c>
      <c r="L3217" s="1" t="s">
        <v>2439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5" t="n">
        <v>46202</v>
      </c>
      <c r="C3218" s="1" t="n">
        <v>22</v>
      </c>
      <c r="D3218" s="1" t="s">
        <v>2436</v>
      </c>
      <c r="E3218" s="1" t="n">
        <v>42</v>
      </c>
      <c r="F3218" s="1" t="s">
        <v>80</v>
      </c>
      <c r="I3218" s="1" t="n">
        <v>4316</v>
      </c>
      <c r="J3218" s="1" t="n">
        <v>100011</v>
      </c>
      <c r="K3218" s="1" t="n">
        <v>12</v>
      </c>
      <c r="L3218" s="1" t="s">
        <v>2440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5" t="n">
        <v>46202</v>
      </c>
      <c r="C3219" s="1" t="n">
        <v>22</v>
      </c>
      <c r="D3219" s="1" t="s">
        <v>2436</v>
      </c>
      <c r="E3219" s="1" t="n">
        <v>42</v>
      </c>
      <c r="F3219" s="1" t="s">
        <v>80</v>
      </c>
      <c r="I3219" s="1" t="n">
        <v>4316</v>
      </c>
      <c r="J3219" s="1" t="n">
        <v>100012</v>
      </c>
      <c r="K3219" s="1" t="n">
        <v>13</v>
      </c>
      <c r="L3219" s="1" t="s">
        <v>2441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5" t="n">
        <v>46202</v>
      </c>
      <c r="C3220" s="1" t="n">
        <v>22</v>
      </c>
      <c r="D3220" s="1" t="s">
        <v>2436</v>
      </c>
      <c r="E3220" s="1" t="n">
        <v>42</v>
      </c>
      <c r="F3220" s="1" t="s">
        <v>80</v>
      </c>
      <c r="I3220" s="1" t="n">
        <v>4316</v>
      </c>
      <c r="J3220" s="1" t="n">
        <v>100013</v>
      </c>
      <c r="K3220" s="1" t="n">
        <v>14</v>
      </c>
      <c r="L3220" s="1" t="s">
        <v>2442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5" t="n">
        <v>46202</v>
      </c>
      <c r="C3221" s="1" t="n">
        <v>22</v>
      </c>
      <c r="D3221" s="1" t="s">
        <v>2436</v>
      </c>
      <c r="E3221" s="1" t="n">
        <v>42</v>
      </c>
      <c r="F3221" s="1" t="s">
        <v>80</v>
      </c>
      <c r="I3221" s="1" t="n">
        <v>4316</v>
      </c>
      <c r="J3221" s="1" t="n">
        <v>100014</v>
      </c>
      <c r="K3221" s="1" t="n">
        <v>15</v>
      </c>
      <c r="L3221" s="1" t="s">
        <v>2443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5" t="n">
        <v>46202</v>
      </c>
      <c r="C3222" s="1" t="n">
        <v>22</v>
      </c>
      <c r="D3222" s="1" t="s">
        <v>2436</v>
      </c>
      <c r="E3222" s="1" t="n">
        <v>42</v>
      </c>
      <c r="F3222" s="1" t="s">
        <v>80</v>
      </c>
      <c r="I3222" s="1" t="n">
        <v>4316</v>
      </c>
      <c r="J3222" s="1" t="n">
        <v>100015</v>
      </c>
      <c r="K3222" s="1" t="n">
        <v>16</v>
      </c>
      <c r="L3222" s="1" t="s">
        <v>2444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5" t="n">
        <v>46202</v>
      </c>
      <c r="C3223" s="1" t="n">
        <v>22</v>
      </c>
      <c r="D3223" s="1" t="s">
        <v>2436</v>
      </c>
      <c r="E3223" s="1" t="n">
        <v>42</v>
      </c>
      <c r="F3223" s="1" t="s">
        <v>80</v>
      </c>
      <c r="I3223" s="1" t="n">
        <v>4316</v>
      </c>
      <c r="J3223" s="1" t="n">
        <v>100016</v>
      </c>
      <c r="K3223" s="1" t="n">
        <v>17</v>
      </c>
      <c r="L3223" s="1" t="s">
        <v>2445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5" t="n">
        <v>46202</v>
      </c>
      <c r="C3224" s="1" t="n">
        <v>22</v>
      </c>
      <c r="D3224" s="1" t="s">
        <v>2436</v>
      </c>
      <c r="E3224" s="1" t="n">
        <v>42</v>
      </c>
      <c r="F3224" s="1" t="s">
        <v>80</v>
      </c>
      <c r="I3224" s="1" t="n">
        <v>4316</v>
      </c>
      <c r="J3224" s="1" t="n">
        <v>100017</v>
      </c>
      <c r="K3224" s="1" t="n">
        <v>18</v>
      </c>
      <c r="L3224" s="1" t="s">
        <v>2446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5" t="n">
        <v>46202</v>
      </c>
      <c r="C3225" s="1" t="n">
        <v>22</v>
      </c>
      <c r="D3225" s="1" t="s">
        <v>2436</v>
      </c>
      <c r="E3225" s="1" t="n">
        <v>42</v>
      </c>
      <c r="F3225" s="1" t="s">
        <v>80</v>
      </c>
      <c r="I3225" s="1" t="n">
        <v>4316</v>
      </c>
      <c r="J3225" s="1" t="n">
        <v>100638</v>
      </c>
      <c r="K3225" s="1" t="n">
        <v>508</v>
      </c>
      <c r="L3225" s="1" t="s">
        <v>2448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5" t="n">
        <v>46202</v>
      </c>
      <c r="C3226" s="1" t="n">
        <v>22</v>
      </c>
      <c r="D3226" s="1" t="s">
        <v>2436</v>
      </c>
      <c r="E3226" s="1" t="n">
        <v>42</v>
      </c>
      <c r="F3226" s="1" t="s">
        <v>80</v>
      </c>
      <c r="I3226" s="1" t="n">
        <v>4316</v>
      </c>
      <c r="J3226" s="1" t="n">
        <v>100520</v>
      </c>
      <c r="K3226" s="1" t="n">
        <v>507</v>
      </c>
      <c r="L3226" s="1" t="s">
        <v>2449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5" t="n">
        <v>46202</v>
      </c>
      <c r="C3227" s="1" t="n">
        <v>22</v>
      </c>
      <c r="D3227" s="1" t="s">
        <v>2436</v>
      </c>
      <c r="E3227" s="1" t="n">
        <v>42</v>
      </c>
      <c r="F3227" s="1" t="s">
        <v>80</v>
      </c>
      <c r="I3227" s="1" t="n">
        <v>4316</v>
      </c>
      <c r="J3227" s="1" t="n">
        <v>110455</v>
      </c>
      <c r="K3227" s="1" t="n">
        <v>53212</v>
      </c>
      <c r="L3227" s="1" t="s">
        <v>2450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5" t="n">
        <v>46202</v>
      </c>
      <c r="C3228" s="1" t="n">
        <v>22</v>
      </c>
      <c r="D3228" s="1" t="s">
        <v>2436</v>
      </c>
      <c r="E3228" s="1" t="n">
        <v>42</v>
      </c>
      <c r="F3228" s="1" t="s">
        <v>80</v>
      </c>
      <c r="I3228" s="1" t="n">
        <v>4318</v>
      </c>
      <c r="J3228" s="1" t="n">
        <v>100000</v>
      </c>
      <c r="K3228" s="1" t="n">
        <v>1</v>
      </c>
      <c r="L3228" s="1" t="s">
        <v>2451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5" t="n">
        <v>46202</v>
      </c>
      <c r="C3229" s="1" t="n">
        <v>22</v>
      </c>
      <c r="D3229" s="1" t="s">
        <v>2436</v>
      </c>
      <c r="E3229" s="1" t="n">
        <v>42</v>
      </c>
      <c r="F3229" s="1" t="s">
        <v>80</v>
      </c>
      <c r="I3229" s="1" t="n">
        <v>4318</v>
      </c>
      <c r="J3229" s="1" t="n">
        <v>100000</v>
      </c>
      <c r="K3229" s="1" t="n">
        <v>1</v>
      </c>
      <c r="L3229" s="1" t="s">
        <v>2451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5" t="n">
        <v>46202</v>
      </c>
      <c r="C3230" s="1" t="n">
        <v>22</v>
      </c>
      <c r="D3230" s="1" t="s">
        <v>2436</v>
      </c>
      <c r="E3230" s="1" t="n">
        <v>42</v>
      </c>
      <c r="F3230" s="1" t="s">
        <v>80</v>
      </c>
      <c r="I3230" s="1" t="n">
        <v>4318</v>
      </c>
      <c r="J3230" s="1" t="n">
        <v>100001</v>
      </c>
      <c r="K3230" s="1" t="n">
        <v>2</v>
      </c>
      <c r="L3230" s="1" t="s">
        <v>2452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5" t="n">
        <v>46202</v>
      </c>
      <c r="C3231" s="1" t="n">
        <v>22</v>
      </c>
      <c r="D3231" s="1" t="s">
        <v>2436</v>
      </c>
      <c r="E3231" s="1" t="n">
        <v>42</v>
      </c>
      <c r="F3231" s="1" t="s">
        <v>80</v>
      </c>
      <c r="I3231" s="1" t="n">
        <v>4318</v>
      </c>
      <c r="J3231" s="1" t="n">
        <v>100002</v>
      </c>
      <c r="K3231" s="1" t="n">
        <v>3</v>
      </c>
      <c r="L3231" s="1" t="s">
        <v>2453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5" t="n">
        <v>46202</v>
      </c>
      <c r="C3232" s="1" t="n">
        <v>22</v>
      </c>
      <c r="D3232" s="1" t="s">
        <v>2436</v>
      </c>
      <c r="E3232" s="1" t="n">
        <v>42</v>
      </c>
      <c r="F3232" s="1" t="s">
        <v>80</v>
      </c>
      <c r="I3232" s="1" t="n">
        <v>4318</v>
      </c>
      <c r="J3232" s="1" t="n">
        <v>100003</v>
      </c>
      <c r="K3232" s="1" t="n">
        <v>4</v>
      </c>
      <c r="L3232" s="1" t="s">
        <v>2454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5" t="n">
        <v>46202</v>
      </c>
      <c r="C3233" s="1" t="n">
        <v>22</v>
      </c>
      <c r="D3233" s="1" t="s">
        <v>2436</v>
      </c>
      <c r="E3233" s="1" t="n">
        <v>42</v>
      </c>
      <c r="F3233" s="1" t="s">
        <v>80</v>
      </c>
      <c r="I3233" s="1" t="n">
        <v>4318</v>
      </c>
      <c r="J3233" s="1" t="n">
        <v>100006</v>
      </c>
      <c r="K3233" s="1" t="n">
        <v>7</v>
      </c>
      <c r="L3233" s="1" t="s">
        <v>2437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5" t="n">
        <v>46202</v>
      </c>
      <c r="C3234" s="1" t="n">
        <v>22</v>
      </c>
      <c r="D3234" s="1" t="s">
        <v>2436</v>
      </c>
      <c r="E3234" s="1" t="n">
        <v>42</v>
      </c>
      <c r="F3234" s="1" t="s">
        <v>80</v>
      </c>
      <c r="I3234" s="1" t="n">
        <v>4318</v>
      </c>
      <c r="J3234" s="1" t="n">
        <v>100007</v>
      </c>
      <c r="K3234" s="1" t="n">
        <v>8</v>
      </c>
      <c r="L3234" s="1" t="s">
        <v>2455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5" t="n">
        <v>46202</v>
      </c>
      <c r="C3235" s="1" t="n">
        <v>22</v>
      </c>
      <c r="D3235" s="1" t="s">
        <v>2436</v>
      </c>
      <c r="E3235" s="1" t="n">
        <v>42</v>
      </c>
      <c r="F3235" s="1" t="s">
        <v>80</v>
      </c>
      <c r="I3235" s="1" t="n">
        <v>4318</v>
      </c>
      <c r="J3235" s="1" t="n">
        <v>100007</v>
      </c>
      <c r="K3235" s="1" t="n">
        <v>8</v>
      </c>
      <c r="L3235" s="1" t="s">
        <v>2455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5" t="n">
        <v>46202</v>
      </c>
      <c r="C3236" s="1" t="n">
        <v>22</v>
      </c>
      <c r="D3236" s="1" t="s">
        <v>2436</v>
      </c>
      <c r="E3236" s="1" t="n">
        <v>42</v>
      </c>
      <c r="F3236" s="1" t="s">
        <v>80</v>
      </c>
      <c r="I3236" s="1" t="n">
        <v>4318</v>
      </c>
      <c r="J3236" s="1" t="n">
        <v>100008</v>
      </c>
      <c r="K3236" s="1" t="n">
        <v>9</v>
      </c>
      <c r="L3236" s="1" t="s">
        <v>2438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5" t="n">
        <v>46202</v>
      </c>
      <c r="C3237" s="1" t="n">
        <v>22</v>
      </c>
      <c r="D3237" s="1" t="s">
        <v>2436</v>
      </c>
      <c r="E3237" s="1" t="n">
        <v>42</v>
      </c>
      <c r="F3237" s="1" t="s">
        <v>80</v>
      </c>
      <c r="I3237" s="1" t="n">
        <v>4318</v>
      </c>
      <c r="J3237" s="1" t="n">
        <v>100010</v>
      </c>
      <c r="K3237" s="1" t="n">
        <v>11</v>
      </c>
      <c r="L3237" s="1" t="s">
        <v>2439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5" t="n">
        <v>46202</v>
      </c>
      <c r="C3238" s="1" t="n">
        <v>22</v>
      </c>
      <c r="D3238" s="1" t="s">
        <v>2436</v>
      </c>
      <c r="E3238" s="1" t="n">
        <v>42</v>
      </c>
      <c r="F3238" s="1" t="s">
        <v>80</v>
      </c>
      <c r="I3238" s="1" t="n">
        <v>4318</v>
      </c>
      <c r="J3238" s="1" t="n">
        <v>100011</v>
      </c>
      <c r="K3238" s="1" t="n">
        <v>12</v>
      </c>
      <c r="L3238" s="1" t="s">
        <v>2440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5" t="n">
        <v>46202</v>
      </c>
      <c r="C3239" s="1" t="n">
        <v>22</v>
      </c>
      <c r="D3239" s="1" t="s">
        <v>2436</v>
      </c>
      <c r="E3239" s="1" t="n">
        <v>42</v>
      </c>
      <c r="F3239" s="1" t="s">
        <v>80</v>
      </c>
      <c r="I3239" s="1" t="n">
        <v>4318</v>
      </c>
      <c r="J3239" s="1" t="n">
        <v>100012</v>
      </c>
      <c r="K3239" s="1" t="n">
        <v>13</v>
      </c>
      <c r="L3239" s="1" t="s">
        <v>2441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5" t="n">
        <v>46202</v>
      </c>
      <c r="C3240" s="1" t="n">
        <v>22</v>
      </c>
      <c r="D3240" s="1" t="s">
        <v>2436</v>
      </c>
      <c r="E3240" s="1" t="n">
        <v>42</v>
      </c>
      <c r="F3240" s="1" t="s">
        <v>80</v>
      </c>
      <c r="I3240" s="1" t="n">
        <v>4318</v>
      </c>
      <c r="J3240" s="1" t="n">
        <v>100013</v>
      </c>
      <c r="K3240" s="1" t="n">
        <v>14</v>
      </c>
      <c r="L3240" s="1" t="s">
        <v>2442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5" t="n">
        <v>46202</v>
      </c>
      <c r="C3241" s="1" t="n">
        <v>22</v>
      </c>
      <c r="D3241" s="1" t="s">
        <v>2436</v>
      </c>
      <c r="E3241" s="1" t="n">
        <v>42</v>
      </c>
      <c r="F3241" s="1" t="s">
        <v>80</v>
      </c>
      <c r="I3241" s="1" t="n">
        <v>4318</v>
      </c>
      <c r="J3241" s="1" t="n">
        <v>100014</v>
      </c>
      <c r="K3241" s="1" t="n">
        <v>15</v>
      </c>
      <c r="L3241" s="1" t="s">
        <v>2443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5" t="n">
        <v>46202</v>
      </c>
      <c r="C3242" s="1" t="n">
        <v>22</v>
      </c>
      <c r="D3242" s="1" t="s">
        <v>2436</v>
      </c>
      <c r="E3242" s="1" t="n">
        <v>42</v>
      </c>
      <c r="F3242" s="1" t="s">
        <v>80</v>
      </c>
      <c r="I3242" s="1" t="n">
        <v>4318</v>
      </c>
      <c r="J3242" s="1" t="n">
        <v>100015</v>
      </c>
      <c r="K3242" s="1" t="n">
        <v>16</v>
      </c>
      <c r="L3242" s="1" t="s">
        <v>2444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5" t="n">
        <v>46202</v>
      </c>
      <c r="C3243" s="1" t="n">
        <v>22</v>
      </c>
      <c r="D3243" s="1" t="s">
        <v>2436</v>
      </c>
      <c r="E3243" s="1" t="n">
        <v>42</v>
      </c>
      <c r="F3243" s="1" t="s">
        <v>80</v>
      </c>
      <c r="I3243" s="1" t="n">
        <v>4318</v>
      </c>
      <c r="J3243" s="1" t="n">
        <v>100016</v>
      </c>
      <c r="K3243" s="1" t="n">
        <v>17</v>
      </c>
      <c r="L3243" s="1" t="s">
        <v>2445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5" t="n">
        <v>46202</v>
      </c>
      <c r="C3244" s="1" t="n">
        <v>22</v>
      </c>
      <c r="D3244" s="1" t="s">
        <v>2436</v>
      </c>
      <c r="E3244" s="1" t="n">
        <v>42</v>
      </c>
      <c r="F3244" s="1" t="s">
        <v>80</v>
      </c>
      <c r="I3244" s="1" t="n">
        <v>4318</v>
      </c>
      <c r="J3244" s="1" t="n">
        <v>100017</v>
      </c>
      <c r="K3244" s="1" t="n">
        <v>18</v>
      </c>
      <c r="L3244" s="1" t="s">
        <v>2446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5" t="n">
        <v>46202</v>
      </c>
      <c r="C3245" s="1" t="n">
        <v>22</v>
      </c>
      <c r="D3245" s="1" t="s">
        <v>2436</v>
      </c>
      <c r="E3245" s="1" t="n">
        <v>42</v>
      </c>
      <c r="F3245" s="1" t="s">
        <v>80</v>
      </c>
      <c r="I3245" s="1" t="n">
        <v>4318</v>
      </c>
      <c r="J3245" s="1" t="n">
        <v>100053</v>
      </c>
      <c r="K3245" s="1" t="n">
        <v>54</v>
      </c>
      <c r="L3245" s="1" t="s">
        <v>2447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5" t="n">
        <v>46202</v>
      </c>
      <c r="C3246" s="1" t="n">
        <v>22</v>
      </c>
      <c r="D3246" s="1" t="s">
        <v>2436</v>
      </c>
      <c r="E3246" s="1" t="n">
        <v>42</v>
      </c>
      <c r="F3246" s="1" t="s">
        <v>80</v>
      </c>
      <c r="I3246" s="1" t="n">
        <v>4318</v>
      </c>
      <c r="J3246" s="1" t="n">
        <v>100638</v>
      </c>
      <c r="K3246" s="1" t="n">
        <v>508</v>
      </c>
      <c r="L3246" s="1" t="s">
        <v>2448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5" t="n">
        <v>46202</v>
      </c>
      <c r="C3247" s="1" t="n">
        <v>22</v>
      </c>
      <c r="D3247" s="1" t="s">
        <v>2436</v>
      </c>
      <c r="E3247" s="1" t="n">
        <v>42</v>
      </c>
      <c r="F3247" s="1" t="s">
        <v>80</v>
      </c>
      <c r="I3247" s="1" t="n">
        <v>4318</v>
      </c>
      <c r="J3247" s="1" t="n">
        <v>100638</v>
      </c>
      <c r="K3247" s="1" t="n">
        <v>508</v>
      </c>
      <c r="L3247" s="1" t="s">
        <v>2448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5" t="n">
        <v>46202</v>
      </c>
      <c r="C3248" s="1" t="n">
        <v>22</v>
      </c>
      <c r="D3248" s="1" t="s">
        <v>2436</v>
      </c>
      <c r="E3248" s="1" t="n">
        <v>42</v>
      </c>
      <c r="F3248" s="1" t="s">
        <v>80</v>
      </c>
      <c r="I3248" s="1" t="n">
        <v>4318</v>
      </c>
      <c r="J3248" s="1" t="n">
        <v>100520</v>
      </c>
      <c r="K3248" s="1" t="n">
        <v>507</v>
      </c>
      <c r="L3248" s="1" t="s">
        <v>2449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5" t="n">
        <v>46202</v>
      </c>
      <c r="C3249" s="1" t="n">
        <v>22</v>
      </c>
      <c r="D3249" s="1" t="s">
        <v>2436</v>
      </c>
      <c r="E3249" s="1" t="n">
        <v>42</v>
      </c>
      <c r="F3249" s="1" t="s">
        <v>80</v>
      </c>
      <c r="I3249" s="1" t="n">
        <v>4318</v>
      </c>
      <c r="J3249" s="1" t="n">
        <v>100520</v>
      </c>
      <c r="K3249" s="1" t="n">
        <v>507</v>
      </c>
      <c r="L3249" s="1" t="s">
        <v>2449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5" t="n">
        <v>46202</v>
      </c>
      <c r="C3250" s="1" t="n">
        <v>22</v>
      </c>
      <c r="D3250" s="1" t="s">
        <v>2436</v>
      </c>
      <c r="E3250" s="1" t="n">
        <v>42</v>
      </c>
      <c r="F3250" s="1" t="s">
        <v>80</v>
      </c>
      <c r="I3250" s="1" t="n">
        <v>4318</v>
      </c>
      <c r="J3250" s="1" t="n">
        <v>110455</v>
      </c>
      <c r="K3250" s="1" t="n">
        <v>53212</v>
      </c>
      <c r="L3250" s="1" t="s">
        <v>2450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5" t="n">
        <v>46202</v>
      </c>
      <c r="C3251" s="1" t="n">
        <v>22</v>
      </c>
      <c r="D3251" s="1" t="s">
        <v>2436</v>
      </c>
      <c r="E3251" s="1" t="n">
        <v>42</v>
      </c>
      <c r="F3251" s="1" t="s">
        <v>80</v>
      </c>
      <c r="I3251" s="1" t="n">
        <v>4318</v>
      </c>
      <c r="J3251" s="1" t="n">
        <v>110455</v>
      </c>
      <c r="K3251" s="1" t="n">
        <v>53212</v>
      </c>
      <c r="L3251" s="1" t="s">
        <v>2450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5" t="n">
        <v>46202</v>
      </c>
      <c r="C3252" s="1" t="n">
        <v>22</v>
      </c>
      <c r="D3252" s="1" t="s">
        <v>2436</v>
      </c>
      <c r="E3252" s="1" t="n">
        <v>42</v>
      </c>
      <c r="F3252" s="1" t="s">
        <v>80</v>
      </c>
      <c r="I3252" s="1" t="n">
        <v>4320</v>
      </c>
      <c r="J3252" s="1" t="n">
        <v>100000</v>
      </c>
      <c r="K3252" s="1" t="n">
        <v>1</v>
      </c>
      <c r="L3252" s="1" t="s">
        <v>2451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5" t="n">
        <v>46202</v>
      </c>
      <c r="C3253" s="1" t="n">
        <v>22</v>
      </c>
      <c r="D3253" s="1" t="s">
        <v>2436</v>
      </c>
      <c r="E3253" s="1" t="n">
        <v>42</v>
      </c>
      <c r="F3253" s="1" t="s">
        <v>80</v>
      </c>
      <c r="I3253" s="1" t="n">
        <v>4320</v>
      </c>
      <c r="J3253" s="1" t="n">
        <v>100001</v>
      </c>
      <c r="K3253" s="1" t="n">
        <v>2</v>
      </c>
      <c r="L3253" s="1" t="s">
        <v>2452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5" t="n">
        <v>46202</v>
      </c>
      <c r="C3254" s="1" t="n">
        <v>22</v>
      </c>
      <c r="D3254" s="1" t="s">
        <v>2436</v>
      </c>
      <c r="E3254" s="1" t="n">
        <v>42</v>
      </c>
      <c r="F3254" s="1" t="s">
        <v>80</v>
      </c>
      <c r="I3254" s="1" t="n">
        <v>4320</v>
      </c>
      <c r="J3254" s="1" t="n">
        <v>100002</v>
      </c>
      <c r="K3254" s="1" t="n">
        <v>3</v>
      </c>
      <c r="L3254" s="1" t="s">
        <v>2453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5" t="n">
        <v>46202</v>
      </c>
      <c r="C3255" s="1" t="n">
        <v>22</v>
      </c>
      <c r="D3255" s="1" t="s">
        <v>2436</v>
      </c>
      <c r="E3255" s="1" t="n">
        <v>42</v>
      </c>
      <c r="F3255" s="1" t="s">
        <v>80</v>
      </c>
      <c r="I3255" s="1" t="n">
        <v>4320</v>
      </c>
      <c r="J3255" s="1" t="n">
        <v>100003</v>
      </c>
      <c r="K3255" s="1" t="n">
        <v>4</v>
      </c>
      <c r="L3255" s="1" t="s">
        <v>2454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5" t="n">
        <v>46202</v>
      </c>
      <c r="C3256" s="1" t="n">
        <v>22</v>
      </c>
      <c r="D3256" s="1" t="s">
        <v>2436</v>
      </c>
      <c r="E3256" s="1" t="n">
        <v>42</v>
      </c>
      <c r="F3256" s="1" t="s">
        <v>80</v>
      </c>
      <c r="I3256" s="1" t="n">
        <v>4320</v>
      </c>
      <c r="J3256" s="1" t="n">
        <v>100006</v>
      </c>
      <c r="K3256" s="1" t="n">
        <v>7</v>
      </c>
      <c r="L3256" s="1" t="s">
        <v>2437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5" t="n">
        <v>46202</v>
      </c>
      <c r="C3257" s="1" t="n">
        <v>22</v>
      </c>
      <c r="D3257" s="1" t="s">
        <v>2436</v>
      </c>
      <c r="E3257" s="1" t="n">
        <v>42</v>
      </c>
      <c r="F3257" s="1" t="s">
        <v>80</v>
      </c>
      <c r="I3257" s="1" t="n">
        <v>4320</v>
      </c>
      <c r="J3257" s="1" t="n">
        <v>100007</v>
      </c>
      <c r="K3257" s="1" t="n">
        <v>8</v>
      </c>
      <c r="L3257" s="1" t="s">
        <v>2455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5" t="n">
        <v>46202</v>
      </c>
      <c r="C3258" s="1" t="n">
        <v>22</v>
      </c>
      <c r="D3258" s="1" t="s">
        <v>2436</v>
      </c>
      <c r="E3258" s="1" t="n">
        <v>42</v>
      </c>
      <c r="F3258" s="1" t="s">
        <v>80</v>
      </c>
      <c r="I3258" s="1" t="n">
        <v>4320</v>
      </c>
      <c r="J3258" s="1" t="n">
        <v>100008</v>
      </c>
      <c r="K3258" s="1" t="n">
        <v>9</v>
      </c>
      <c r="L3258" s="1" t="s">
        <v>2438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5" t="n">
        <v>46202</v>
      </c>
      <c r="C3259" s="1" t="n">
        <v>22</v>
      </c>
      <c r="D3259" s="1" t="s">
        <v>2436</v>
      </c>
      <c r="E3259" s="1" t="n">
        <v>42</v>
      </c>
      <c r="F3259" s="1" t="s">
        <v>80</v>
      </c>
      <c r="I3259" s="1" t="n">
        <v>4320</v>
      </c>
      <c r="J3259" s="1" t="n">
        <v>100010</v>
      </c>
      <c r="K3259" s="1" t="n">
        <v>11</v>
      </c>
      <c r="L3259" s="1" t="s">
        <v>2439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5" t="n">
        <v>46202</v>
      </c>
      <c r="C3260" s="1" t="n">
        <v>22</v>
      </c>
      <c r="D3260" s="1" t="s">
        <v>2436</v>
      </c>
      <c r="E3260" s="1" t="n">
        <v>42</v>
      </c>
      <c r="F3260" s="1" t="s">
        <v>80</v>
      </c>
      <c r="I3260" s="1" t="n">
        <v>4320</v>
      </c>
      <c r="J3260" s="1" t="n">
        <v>100011</v>
      </c>
      <c r="K3260" s="1" t="n">
        <v>12</v>
      </c>
      <c r="L3260" s="1" t="s">
        <v>2440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5" t="n">
        <v>46202</v>
      </c>
      <c r="C3261" s="1" t="n">
        <v>22</v>
      </c>
      <c r="D3261" s="1" t="s">
        <v>2436</v>
      </c>
      <c r="E3261" s="1" t="n">
        <v>42</v>
      </c>
      <c r="F3261" s="1" t="s">
        <v>80</v>
      </c>
      <c r="I3261" s="1" t="n">
        <v>4320</v>
      </c>
      <c r="J3261" s="1" t="n">
        <v>100012</v>
      </c>
      <c r="K3261" s="1" t="n">
        <v>13</v>
      </c>
      <c r="L3261" s="1" t="s">
        <v>2441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5" t="n">
        <v>46202</v>
      </c>
      <c r="C3262" s="1" t="n">
        <v>22</v>
      </c>
      <c r="D3262" s="1" t="s">
        <v>2436</v>
      </c>
      <c r="E3262" s="1" t="n">
        <v>42</v>
      </c>
      <c r="F3262" s="1" t="s">
        <v>80</v>
      </c>
      <c r="I3262" s="1" t="n">
        <v>4320</v>
      </c>
      <c r="J3262" s="1" t="n">
        <v>100013</v>
      </c>
      <c r="K3262" s="1" t="n">
        <v>14</v>
      </c>
      <c r="L3262" s="1" t="s">
        <v>2442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5" t="n">
        <v>46202</v>
      </c>
      <c r="C3263" s="1" t="n">
        <v>22</v>
      </c>
      <c r="D3263" s="1" t="s">
        <v>2436</v>
      </c>
      <c r="E3263" s="1" t="n">
        <v>42</v>
      </c>
      <c r="F3263" s="1" t="s">
        <v>80</v>
      </c>
      <c r="I3263" s="1" t="n">
        <v>4320</v>
      </c>
      <c r="J3263" s="1" t="n">
        <v>100014</v>
      </c>
      <c r="K3263" s="1" t="n">
        <v>15</v>
      </c>
      <c r="L3263" s="1" t="s">
        <v>2443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5" t="n">
        <v>46202</v>
      </c>
      <c r="C3264" s="1" t="n">
        <v>22</v>
      </c>
      <c r="D3264" s="1" t="s">
        <v>2436</v>
      </c>
      <c r="E3264" s="1" t="n">
        <v>42</v>
      </c>
      <c r="F3264" s="1" t="s">
        <v>80</v>
      </c>
      <c r="I3264" s="1" t="n">
        <v>4320</v>
      </c>
      <c r="J3264" s="1" t="n">
        <v>100015</v>
      </c>
      <c r="K3264" s="1" t="n">
        <v>16</v>
      </c>
      <c r="L3264" s="1" t="s">
        <v>2444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5" t="n">
        <v>46202</v>
      </c>
      <c r="C3265" s="1" t="n">
        <v>22</v>
      </c>
      <c r="D3265" s="1" t="s">
        <v>2436</v>
      </c>
      <c r="E3265" s="1" t="n">
        <v>42</v>
      </c>
      <c r="F3265" s="1" t="s">
        <v>80</v>
      </c>
      <c r="I3265" s="1" t="n">
        <v>4320</v>
      </c>
      <c r="J3265" s="1" t="n">
        <v>100016</v>
      </c>
      <c r="K3265" s="1" t="n">
        <v>17</v>
      </c>
      <c r="L3265" s="1" t="s">
        <v>2445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5" t="n">
        <v>46202</v>
      </c>
      <c r="C3266" s="1" t="n">
        <v>22</v>
      </c>
      <c r="D3266" s="1" t="s">
        <v>2436</v>
      </c>
      <c r="E3266" s="1" t="n">
        <v>42</v>
      </c>
      <c r="F3266" s="1" t="s">
        <v>80</v>
      </c>
      <c r="I3266" s="1" t="n">
        <v>4320</v>
      </c>
      <c r="J3266" s="1" t="n">
        <v>100017</v>
      </c>
      <c r="K3266" s="1" t="n">
        <v>18</v>
      </c>
      <c r="L3266" s="1" t="s">
        <v>2446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5" t="n">
        <v>46202</v>
      </c>
      <c r="C3267" s="1" t="n">
        <v>22</v>
      </c>
      <c r="D3267" s="1" t="s">
        <v>2436</v>
      </c>
      <c r="E3267" s="1" t="n">
        <v>42</v>
      </c>
      <c r="F3267" s="1" t="s">
        <v>80</v>
      </c>
      <c r="I3267" s="1" t="n">
        <v>4320</v>
      </c>
      <c r="J3267" s="1" t="n">
        <v>100053</v>
      </c>
      <c r="K3267" s="1" t="n">
        <v>54</v>
      </c>
      <c r="L3267" s="1" t="s">
        <v>2447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5" t="n">
        <v>46202</v>
      </c>
      <c r="C3268" s="1" t="n">
        <v>22</v>
      </c>
      <c r="D3268" s="1" t="s">
        <v>2436</v>
      </c>
      <c r="E3268" s="1" t="n">
        <v>42</v>
      </c>
      <c r="F3268" s="1" t="s">
        <v>80</v>
      </c>
      <c r="I3268" s="1" t="n">
        <v>4320</v>
      </c>
      <c r="J3268" s="1" t="n">
        <v>100638</v>
      </c>
      <c r="K3268" s="1" t="n">
        <v>508</v>
      </c>
      <c r="L3268" s="1" t="s">
        <v>2448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5" t="n">
        <v>46202</v>
      </c>
      <c r="C3269" s="1" t="n">
        <v>22</v>
      </c>
      <c r="D3269" s="1" t="s">
        <v>2436</v>
      </c>
      <c r="E3269" s="1" t="n">
        <v>42</v>
      </c>
      <c r="F3269" s="1" t="s">
        <v>80</v>
      </c>
      <c r="I3269" s="1" t="n">
        <v>4320</v>
      </c>
      <c r="J3269" s="1" t="n">
        <v>100638</v>
      </c>
      <c r="K3269" s="1" t="n">
        <v>508</v>
      </c>
      <c r="L3269" s="1" t="s">
        <v>2448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5" t="n">
        <v>46202</v>
      </c>
      <c r="C3270" s="1" t="n">
        <v>22</v>
      </c>
      <c r="D3270" s="1" t="s">
        <v>2436</v>
      </c>
      <c r="E3270" s="1" t="n">
        <v>42</v>
      </c>
      <c r="F3270" s="1" t="s">
        <v>80</v>
      </c>
      <c r="I3270" s="1" t="n">
        <v>4320</v>
      </c>
      <c r="J3270" s="1" t="n">
        <v>100520</v>
      </c>
      <c r="K3270" s="1" t="n">
        <v>507</v>
      </c>
      <c r="L3270" s="1" t="s">
        <v>2449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5" t="n">
        <v>46202</v>
      </c>
      <c r="C3271" s="1" t="n">
        <v>22</v>
      </c>
      <c r="D3271" s="1" t="s">
        <v>2436</v>
      </c>
      <c r="E3271" s="1" t="n">
        <v>42</v>
      </c>
      <c r="F3271" s="1" t="s">
        <v>80</v>
      </c>
      <c r="I3271" s="1" t="n">
        <v>4320</v>
      </c>
      <c r="J3271" s="1" t="n">
        <v>100520</v>
      </c>
      <c r="K3271" s="1" t="n">
        <v>507</v>
      </c>
      <c r="L3271" s="1" t="s">
        <v>2449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5" t="n">
        <v>46202</v>
      </c>
      <c r="C3272" s="1" t="n">
        <v>22</v>
      </c>
      <c r="D3272" s="1" t="s">
        <v>2436</v>
      </c>
      <c r="E3272" s="1" t="n">
        <v>42</v>
      </c>
      <c r="F3272" s="1" t="s">
        <v>80</v>
      </c>
      <c r="I3272" s="1" t="n">
        <v>4320</v>
      </c>
      <c r="J3272" s="1" t="n">
        <v>110455</v>
      </c>
      <c r="K3272" s="1" t="n">
        <v>53212</v>
      </c>
      <c r="L3272" s="1" t="s">
        <v>2450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5" t="n">
        <v>46202</v>
      </c>
      <c r="C3273" s="1" t="n">
        <v>22</v>
      </c>
      <c r="D3273" s="1" t="s">
        <v>2436</v>
      </c>
      <c r="E3273" s="1" t="n">
        <v>42</v>
      </c>
      <c r="F3273" s="1" t="s">
        <v>80</v>
      </c>
      <c r="I3273" s="1" t="n">
        <v>4320</v>
      </c>
      <c r="J3273" s="1" t="n">
        <v>110455</v>
      </c>
      <c r="K3273" s="1" t="n">
        <v>53212</v>
      </c>
      <c r="L3273" s="1" t="s">
        <v>2450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5" t="n">
        <v>46202</v>
      </c>
      <c r="C3274" s="1" t="n">
        <v>22</v>
      </c>
      <c r="D3274" s="1" t="s">
        <v>2436</v>
      </c>
      <c r="E3274" s="1" t="n">
        <v>42</v>
      </c>
      <c r="F3274" s="1" t="s">
        <v>80</v>
      </c>
      <c r="I3274" s="1" t="n">
        <v>4322</v>
      </c>
      <c r="J3274" s="1" t="n">
        <v>100000</v>
      </c>
      <c r="K3274" s="1" t="n">
        <v>1</v>
      </c>
      <c r="L3274" s="1" t="s">
        <v>2451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5" t="n">
        <v>46202</v>
      </c>
      <c r="C3275" s="1" t="n">
        <v>22</v>
      </c>
      <c r="D3275" s="1" t="s">
        <v>2436</v>
      </c>
      <c r="E3275" s="1" t="n">
        <v>42</v>
      </c>
      <c r="F3275" s="1" t="s">
        <v>80</v>
      </c>
      <c r="I3275" s="1" t="n">
        <v>4322</v>
      </c>
      <c r="J3275" s="1" t="n">
        <v>100006</v>
      </c>
      <c r="K3275" s="1" t="n">
        <v>7</v>
      </c>
      <c r="L3275" s="1" t="s">
        <v>2437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5" t="n">
        <v>46202</v>
      </c>
      <c r="C3276" s="1" t="n">
        <v>22</v>
      </c>
      <c r="D3276" s="1" t="s">
        <v>2436</v>
      </c>
      <c r="E3276" s="1" t="n">
        <v>42</v>
      </c>
      <c r="F3276" s="1" t="s">
        <v>80</v>
      </c>
      <c r="I3276" s="1" t="n">
        <v>4322</v>
      </c>
      <c r="J3276" s="1" t="n">
        <v>100008</v>
      </c>
      <c r="K3276" s="1" t="n">
        <v>9</v>
      </c>
      <c r="L3276" s="1" t="s">
        <v>2438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5" t="n">
        <v>46202</v>
      </c>
      <c r="C3277" s="1" t="n">
        <v>22</v>
      </c>
      <c r="D3277" s="1" t="s">
        <v>2436</v>
      </c>
      <c r="E3277" s="1" t="n">
        <v>42</v>
      </c>
      <c r="F3277" s="1" t="s">
        <v>80</v>
      </c>
      <c r="I3277" s="1" t="n">
        <v>4322</v>
      </c>
      <c r="J3277" s="1" t="n">
        <v>100010</v>
      </c>
      <c r="K3277" s="1" t="n">
        <v>11</v>
      </c>
      <c r="L3277" s="1" t="s">
        <v>2439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5" t="n">
        <v>46202</v>
      </c>
      <c r="C3278" s="1" t="n">
        <v>22</v>
      </c>
      <c r="D3278" s="1" t="s">
        <v>2436</v>
      </c>
      <c r="E3278" s="1" t="n">
        <v>42</v>
      </c>
      <c r="F3278" s="1" t="s">
        <v>80</v>
      </c>
      <c r="I3278" s="1" t="n">
        <v>4322</v>
      </c>
      <c r="J3278" s="1" t="n">
        <v>100011</v>
      </c>
      <c r="K3278" s="1" t="n">
        <v>12</v>
      </c>
      <c r="L3278" s="1" t="s">
        <v>2440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5" t="n">
        <v>46202</v>
      </c>
      <c r="C3279" s="1" t="n">
        <v>22</v>
      </c>
      <c r="D3279" s="1" t="s">
        <v>2436</v>
      </c>
      <c r="E3279" s="1" t="n">
        <v>42</v>
      </c>
      <c r="F3279" s="1" t="s">
        <v>80</v>
      </c>
      <c r="I3279" s="1" t="n">
        <v>4322</v>
      </c>
      <c r="J3279" s="1" t="n">
        <v>100014</v>
      </c>
      <c r="K3279" s="1" t="n">
        <v>15</v>
      </c>
      <c r="L3279" s="1" t="s">
        <v>2443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5" t="n">
        <v>46202</v>
      </c>
      <c r="C3280" s="1" t="n">
        <v>22</v>
      </c>
      <c r="D3280" s="1" t="s">
        <v>2436</v>
      </c>
      <c r="E3280" s="1" t="n">
        <v>42</v>
      </c>
      <c r="F3280" s="1" t="s">
        <v>80</v>
      </c>
      <c r="I3280" s="1" t="n">
        <v>4322</v>
      </c>
      <c r="J3280" s="1" t="n">
        <v>100015</v>
      </c>
      <c r="K3280" s="1" t="n">
        <v>16</v>
      </c>
      <c r="L3280" s="1" t="s">
        <v>2444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5" t="n">
        <v>46202</v>
      </c>
      <c r="C3281" s="1" t="n">
        <v>22</v>
      </c>
      <c r="D3281" s="1" t="s">
        <v>2436</v>
      </c>
      <c r="E3281" s="1" t="n">
        <v>42</v>
      </c>
      <c r="F3281" s="1" t="s">
        <v>80</v>
      </c>
      <c r="I3281" s="1" t="n">
        <v>4322</v>
      </c>
      <c r="J3281" s="1" t="n">
        <v>100016</v>
      </c>
      <c r="K3281" s="1" t="n">
        <v>17</v>
      </c>
      <c r="L3281" s="1" t="s">
        <v>2445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5" t="n">
        <v>46202</v>
      </c>
      <c r="C3282" s="1" t="n">
        <v>22</v>
      </c>
      <c r="D3282" s="1" t="s">
        <v>2436</v>
      </c>
      <c r="E3282" s="1" t="n">
        <v>42</v>
      </c>
      <c r="F3282" s="1" t="s">
        <v>80</v>
      </c>
      <c r="I3282" s="1" t="n">
        <v>4322</v>
      </c>
      <c r="J3282" s="1" t="n">
        <v>100017</v>
      </c>
      <c r="K3282" s="1" t="n">
        <v>18</v>
      </c>
      <c r="L3282" s="1" t="s">
        <v>2446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5" t="n">
        <v>46202</v>
      </c>
      <c r="C3283" s="1" t="n">
        <v>22</v>
      </c>
      <c r="D3283" s="1" t="s">
        <v>2436</v>
      </c>
      <c r="E3283" s="1" t="n">
        <v>42</v>
      </c>
      <c r="F3283" s="1" t="s">
        <v>80</v>
      </c>
      <c r="I3283" s="1" t="n">
        <v>4322</v>
      </c>
      <c r="J3283" s="1" t="n">
        <v>100020</v>
      </c>
      <c r="K3283" s="1" t="n">
        <v>21</v>
      </c>
      <c r="L3283" s="1" t="s">
        <v>2456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5" t="n">
        <v>46202</v>
      </c>
      <c r="C3284" s="1" t="n">
        <v>22</v>
      </c>
      <c r="D3284" s="1" t="s">
        <v>2436</v>
      </c>
      <c r="E3284" s="1" t="n">
        <v>42</v>
      </c>
      <c r="F3284" s="1" t="s">
        <v>80</v>
      </c>
      <c r="I3284" s="1" t="n">
        <v>4322</v>
      </c>
      <c r="J3284" s="1" t="n">
        <v>100053</v>
      </c>
      <c r="K3284" s="1" t="n">
        <v>54</v>
      </c>
      <c r="L3284" s="1" t="s">
        <v>2447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5" t="n">
        <v>46202</v>
      </c>
      <c r="C3285" s="1" t="n">
        <v>22</v>
      </c>
      <c r="D3285" s="1" t="s">
        <v>2436</v>
      </c>
      <c r="E3285" s="1" t="n">
        <v>42</v>
      </c>
      <c r="F3285" s="1" t="s">
        <v>80</v>
      </c>
      <c r="I3285" s="1" t="n">
        <v>4322</v>
      </c>
      <c r="J3285" s="1" t="n">
        <v>100638</v>
      </c>
      <c r="K3285" s="1" t="n">
        <v>508</v>
      </c>
      <c r="L3285" s="1" t="s">
        <v>2448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5" t="n">
        <v>46202</v>
      </c>
      <c r="C3286" s="1" t="n">
        <v>22</v>
      </c>
      <c r="D3286" s="1" t="s">
        <v>2436</v>
      </c>
      <c r="E3286" s="1" t="n">
        <v>42</v>
      </c>
      <c r="F3286" s="1" t="s">
        <v>80</v>
      </c>
      <c r="I3286" s="1" t="n">
        <v>4322</v>
      </c>
      <c r="J3286" s="1" t="n">
        <v>100520</v>
      </c>
      <c r="K3286" s="1" t="n">
        <v>507</v>
      </c>
      <c r="L3286" s="1" t="s">
        <v>2449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5" t="n">
        <v>46202</v>
      </c>
      <c r="C3287" s="1" t="n">
        <v>22</v>
      </c>
      <c r="D3287" s="1" t="s">
        <v>2436</v>
      </c>
      <c r="E3287" s="1" t="n">
        <v>42</v>
      </c>
      <c r="F3287" s="1" t="s">
        <v>80</v>
      </c>
      <c r="I3287" s="1" t="n">
        <v>4322</v>
      </c>
      <c r="J3287" s="1" t="n">
        <v>110455</v>
      </c>
      <c r="K3287" s="1" t="n">
        <v>53212</v>
      </c>
      <c r="L3287" s="1" t="s">
        <v>2450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5" t="n">
        <v>46202</v>
      </c>
      <c r="C3288" s="1" t="n">
        <v>100</v>
      </c>
      <c r="D3288" s="1" t="s">
        <v>2457</v>
      </c>
      <c r="E3288" s="1" t="n">
        <v>42</v>
      </c>
      <c r="F3288" s="1" t="s">
        <v>80</v>
      </c>
      <c r="I3288" s="1" t="n">
        <v>1321653</v>
      </c>
      <c r="J3288" s="1" t="n">
        <v>100004</v>
      </c>
      <c r="K3288" s="1" t="n">
        <v>5</v>
      </c>
      <c r="L3288" s="1" t="s">
        <v>2667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5" t="n">
        <v>46202</v>
      </c>
      <c r="C3289" s="1" t="n">
        <v>100</v>
      </c>
      <c r="D3289" s="1" t="s">
        <v>2457</v>
      </c>
      <c r="E3289" s="1" t="n">
        <v>42</v>
      </c>
      <c r="F3289" s="1" t="s">
        <v>80</v>
      </c>
      <c r="I3289" s="1" t="n">
        <v>1321653</v>
      </c>
      <c r="J3289" s="1" t="n">
        <v>100020</v>
      </c>
      <c r="K3289" s="1" t="n">
        <v>21</v>
      </c>
      <c r="L3289" s="1" t="s">
        <v>2456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5" t="n">
        <v>46202</v>
      </c>
      <c r="C3290" s="1" t="n">
        <v>100</v>
      </c>
      <c r="D3290" s="1" t="s">
        <v>2457</v>
      </c>
      <c r="E3290" s="1" t="n">
        <v>42</v>
      </c>
      <c r="F3290" s="1" t="s">
        <v>80</v>
      </c>
      <c r="I3290" s="1" t="n">
        <v>1321653</v>
      </c>
      <c r="J3290" s="1" t="n">
        <v>100638</v>
      </c>
      <c r="K3290" s="1" t="n">
        <v>508</v>
      </c>
      <c r="L3290" s="1" t="s">
        <v>2448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5" t="n">
        <v>46202</v>
      </c>
      <c r="C3291" s="1" t="n">
        <v>100</v>
      </c>
      <c r="D3291" s="1" t="s">
        <v>2457</v>
      </c>
      <c r="E3291" s="1" t="n">
        <v>42</v>
      </c>
      <c r="F3291" s="1" t="s">
        <v>80</v>
      </c>
      <c r="I3291" s="1" t="n">
        <v>1321653</v>
      </c>
      <c r="J3291" s="1" t="n">
        <v>100520</v>
      </c>
      <c r="K3291" s="1" t="n">
        <v>507</v>
      </c>
      <c r="L3291" s="1" t="s">
        <v>2449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5" t="n">
        <v>46202</v>
      </c>
      <c r="C3292" s="1" t="n">
        <v>100</v>
      </c>
      <c r="D3292" s="1" t="s">
        <v>2457</v>
      </c>
      <c r="E3292" s="1" t="n">
        <v>42</v>
      </c>
      <c r="F3292" s="1" t="s">
        <v>80</v>
      </c>
      <c r="I3292" s="1" t="n">
        <v>1321653</v>
      </c>
      <c r="J3292" s="1" t="n">
        <v>110455</v>
      </c>
      <c r="K3292" s="1" t="n">
        <v>53212</v>
      </c>
      <c r="L3292" s="1" t="s">
        <v>2450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5" t="n">
        <v>46202</v>
      </c>
      <c r="C3293" s="1" t="n">
        <v>100</v>
      </c>
      <c r="D3293" s="1" t="s">
        <v>2457</v>
      </c>
      <c r="E3293" s="1" t="n">
        <v>42</v>
      </c>
      <c r="F3293" s="1" t="s">
        <v>80</v>
      </c>
      <c r="I3293" s="1" t="n">
        <v>1321656</v>
      </c>
      <c r="J3293" s="1" t="n">
        <v>100000</v>
      </c>
      <c r="K3293" s="1" t="n">
        <v>1</v>
      </c>
      <c r="L3293" s="1" t="s">
        <v>2451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5" t="n">
        <v>46202</v>
      </c>
      <c r="C3294" s="1" t="n">
        <v>100</v>
      </c>
      <c r="D3294" s="1" t="s">
        <v>2457</v>
      </c>
      <c r="E3294" s="1" t="n">
        <v>42</v>
      </c>
      <c r="F3294" s="1" t="s">
        <v>80</v>
      </c>
      <c r="I3294" s="1" t="n">
        <v>1321656</v>
      </c>
      <c r="J3294" s="1" t="n">
        <v>100001</v>
      </c>
      <c r="K3294" s="1" t="n">
        <v>2</v>
      </c>
      <c r="L3294" s="1" t="s">
        <v>2452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5" t="n">
        <v>46202</v>
      </c>
      <c r="C3295" s="1" t="n">
        <v>100</v>
      </c>
      <c r="D3295" s="1" t="s">
        <v>2457</v>
      </c>
      <c r="E3295" s="1" t="n">
        <v>42</v>
      </c>
      <c r="F3295" s="1" t="s">
        <v>80</v>
      </c>
      <c r="I3295" s="1" t="n">
        <v>1321656</v>
      </c>
      <c r="J3295" s="1" t="n">
        <v>100002</v>
      </c>
      <c r="K3295" s="1" t="n">
        <v>3</v>
      </c>
      <c r="L3295" s="1" t="s">
        <v>2453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5" t="n">
        <v>46202</v>
      </c>
      <c r="C3296" s="1" t="n">
        <v>100</v>
      </c>
      <c r="D3296" s="1" t="s">
        <v>2457</v>
      </c>
      <c r="E3296" s="1" t="n">
        <v>42</v>
      </c>
      <c r="F3296" s="1" t="s">
        <v>80</v>
      </c>
      <c r="I3296" s="1" t="n">
        <v>1321656</v>
      </c>
      <c r="J3296" s="1" t="n">
        <v>100003</v>
      </c>
      <c r="K3296" s="1" t="n">
        <v>4</v>
      </c>
      <c r="L3296" s="1" t="s">
        <v>2454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5" t="n">
        <v>46202</v>
      </c>
      <c r="C3297" s="1" t="n">
        <v>100</v>
      </c>
      <c r="D3297" s="1" t="s">
        <v>2457</v>
      </c>
      <c r="E3297" s="1" t="n">
        <v>42</v>
      </c>
      <c r="F3297" s="1" t="s">
        <v>80</v>
      </c>
      <c r="I3297" s="1" t="n">
        <v>1321656</v>
      </c>
      <c r="J3297" s="1" t="n">
        <v>100007</v>
      </c>
      <c r="K3297" s="1" t="n">
        <v>8</v>
      </c>
      <c r="L3297" s="1" t="s">
        <v>2455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5" t="n">
        <v>46202</v>
      </c>
      <c r="C3298" s="1" t="n">
        <v>100</v>
      </c>
      <c r="D3298" s="1" t="s">
        <v>2457</v>
      </c>
      <c r="E3298" s="1" t="n">
        <v>42</v>
      </c>
      <c r="F3298" s="1" t="s">
        <v>80</v>
      </c>
      <c r="I3298" s="1" t="n">
        <v>1321656</v>
      </c>
      <c r="J3298" s="1" t="n">
        <v>100638</v>
      </c>
      <c r="K3298" s="1" t="n">
        <v>508</v>
      </c>
      <c r="L3298" s="1" t="s">
        <v>2448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5" t="n">
        <v>46202</v>
      </c>
      <c r="C3299" s="1" t="n">
        <v>100</v>
      </c>
      <c r="D3299" s="1" t="s">
        <v>2457</v>
      </c>
      <c r="E3299" s="1" t="n">
        <v>42</v>
      </c>
      <c r="F3299" s="1" t="s">
        <v>80</v>
      </c>
      <c r="I3299" s="1" t="n">
        <v>1321656</v>
      </c>
      <c r="J3299" s="1" t="n">
        <v>100520</v>
      </c>
      <c r="K3299" s="1" t="n">
        <v>507</v>
      </c>
      <c r="L3299" s="1" t="s">
        <v>2449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5" t="n">
        <v>46202</v>
      </c>
      <c r="C3300" s="1" t="n">
        <v>100</v>
      </c>
      <c r="D3300" s="1" t="s">
        <v>2457</v>
      </c>
      <c r="E3300" s="1" t="n">
        <v>42</v>
      </c>
      <c r="F3300" s="1" t="s">
        <v>80</v>
      </c>
      <c r="I3300" s="1" t="n">
        <v>1321656</v>
      </c>
      <c r="J3300" s="1" t="n">
        <v>110455</v>
      </c>
      <c r="K3300" s="1" t="n">
        <v>53212</v>
      </c>
      <c r="L3300" s="1" t="s">
        <v>2450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5" t="n">
        <v>46202</v>
      </c>
      <c r="C3301" s="1" t="n">
        <v>100</v>
      </c>
      <c r="D3301" s="1" t="s">
        <v>2457</v>
      </c>
      <c r="E3301" s="1" t="n">
        <v>42</v>
      </c>
      <c r="F3301" s="1" t="s">
        <v>80</v>
      </c>
      <c r="I3301" s="1" t="n">
        <v>1321661</v>
      </c>
      <c r="J3301" s="1" t="n">
        <v>100000</v>
      </c>
      <c r="K3301" s="1" t="n">
        <v>1</v>
      </c>
      <c r="L3301" s="1" t="s">
        <v>2451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5" t="n">
        <v>46202</v>
      </c>
      <c r="C3302" s="1" t="n">
        <v>100</v>
      </c>
      <c r="D3302" s="1" t="s">
        <v>2457</v>
      </c>
      <c r="E3302" s="1" t="n">
        <v>42</v>
      </c>
      <c r="F3302" s="1" t="s">
        <v>80</v>
      </c>
      <c r="I3302" s="1" t="n">
        <v>1321661</v>
      </c>
      <c r="J3302" s="1" t="n">
        <v>100006</v>
      </c>
      <c r="K3302" s="1" t="n">
        <v>7</v>
      </c>
      <c r="L3302" s="1" t="s">
        <v>2437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5" t="n">
        <v>46202</v>
      </c>
      <c r="C3303" s="1" t="n">
        <v>100</v>
      </c>
      <c r="D3303" s="1" t="s">
        <v>2457</v>
      </c>
      <c r="E3303" s="1" t="n">
        <v>42</v>
      </c>
      <c r="F3303" s="1" t="s">
        <v>80</v>
      </c>
      <c r="I3303" s="1" t="n">
        <v>1321661</v>
      </c>
      <c r="J3303" s="1" t="n">
        <v>100008</v>
      </c>
      <c r="K3303" s="1" t="n">
        <v>9</v>
      </c>
      <c r="L3303" s="1" t="s">
        <v>2438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5" t="n">
        <v>46202</v>
      </c>
      <c r="C3304" s="1" t="n">
        <v>100</v>
      </c>
      <c r="D3304" s="1" t="s">
        <v>2457</v>
      </c>
      <c r="E3304" s="1" t="n">
        <v>42</v>
      </c>
      <c r="F3304" s="1" t="s">
        <v>80</v>
      </c>
      <c r="I3304" s="1" t="n">
        <v>1321661</v>
      </c>
      <c r="J3304" s="1" t="n">
        <v>100010</v>
      </c>
      <c r="K3304" s="1" t="n">
        <v>11</v>
      </c>
      <c r="L3304" s="1" t="s">
        <v>2439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5" t="n">
        <v>46202</v>
      </c>
      <c r="C3305" s="1" t="n">
        <v>100</v>
      </c>
      <c r="D3305" s="1" t="s">
        <v>2457</v>
      </c>
      <c r="E3305" s="1" t="n">
        <v>42</v>
      </c>
      <c r="F3305" s="1" t="s">
        <v>80</v>
      </c>
      <c r="I3305" s="1" t="n">
        <v>1321661</v>
      </c>
      <c r="J3305" s="1" t="n">
        <v>100011</v>
      </c>
      <c r="K3305" s="1" t="n">
        <v>12</v>
      </c>
      <c r="L3305" s="1" t="s">
        <v>2440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5" t="n">
        <v>46202</v>
      </c>
      <c r="C3306" s="1" t="n">
        <v>100</v>
      </c>
      <c r="D3306" s="1" t="s">
        <v>2457</v>
      </c>
      <c r="E3306" s="1" t="n">
        <v>42</v>
      </c>
      <c r="F3306" s="1" t="s">
        <v>80</v>
      </c>
      <c r="I3306" s="1" t="n">
        <v>1321661</v>
      </c>
      <c r="J3306" s="1" t="n">
        <v>100012</v>
      </c>
      <c r="K3306" s="1" t="n">
        <v>13</v>
      </c>
      <c r="L3306" s="1" t="s">
        <v>2441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5" t="n">
        <v>46202</v>
      </c>
      <c r="C3307" s="1" t="n">
        <v>100</v>
      </c>
      <c r="D3307" s="1" t="s">
        <v>2457</v>
      </c>
      <c r="E3307" s="1" t="n">
        <v>42</v>
      </c>
      <c r="F3307" s="1" t="s">
        <v>80</v>
      </c>
      <c r="I3307" s="1" t="n">
        <v>1321661</v>
      </c>
      <c r="J3307" s="1" t="n">
        <v>100013</v>
      </c>
      <c r="K3307" s="1" t="n">
        <v>14</v>
      </c>
      <c r="L3307" s="1" t="s">
        <v>2442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5" t="n">
        <v>46202</v>
      </c>
      <c r="C3308" s="1" t="n">
        <v>100</v>
      </c>
      <c r="D3308" s="1" t="s">
        <v>2457</v>
      </c>
      <c r="E3308" s="1" t="n">
        <v>42</v>
      </c>
      <c r="F3308" s="1" t="s">
        <v>80</v>
      </c>
      <c r="I3308" s="1" t="n">
        <v>1321661</v>
      </c>
      <c r="J3308" s="1" t="n">
        <v>100014</v>
      </c>
      <c r="K3308" s="1" t="n">
        <v>15</v>
      </c>
      <c r="L3308" s="1" t="s">
        <v>2443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5" t="n">
        <v>46202</v>
      </c>
      <c r="C3309" s="1" t="n">
        <v>100</v>
      </c>
      <c r="D3309" s="1" t="s">
        <v>2457</v>
      </c>
      <c r="E3309" s="1" t="n">
        <v>42</v>
      </c>
      <c r="F3309" s="1" t="s">
        <v>80</v>
      </c>
      <c r="I3309" s="1" t="n">
        <v>1321661</v>
      </c>
      <c r="J3309" s="1" t="n">
        <v>100015</v>
      </c>
      <c r="K3309" s="1" t="n">
        <v>16</v>
      </c>
      <c r="L3309" s="1" t="s">
        <v>2444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5" t="n">
        <v>46202</v>
      </c>
      <c r="C3310" s="1" t="n">
        <v>100</v>
      </c>
      <c r="D3310" s="1" t="s">
        <v>2457</v>
      </c>
      <c r="E3310" s="1" t="n">
        <v>42</v>
      </c>
      <c r="F3310" s="1" t="s">
        <v>80</v>
      </c>
      <c r="I3310" s="1" t="n">
        <v>1321661</v>
      </c>
      <c r="J3310" s="1" t="n">
        <v>100016</v>
      </c>
      <c r="K3310" s="1" t="n">
        <v>17</v>
      </c>
      <c r="L3310" s="1" t="s">
        <v>2445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5" t="n">
        <v>46202</v>
      </c>
      <c r="C3311" s="1" t="n">
        <v>100</v>
      </c>
      <c r="D3311" s="1" t="s">
        <v>2457</v>
      </c>
      <c r="E3311" s="1" t="n">
        <v>42</v>
      </c>
      <c r="F3311" s="1" t="s">
        <v>80</v>
      </c>
      <c r="I3311" s="1" t="n">
        <v>1321661</v>
      </c>
      <c r="J3311" s="1" t="n">
        <v>100017</v>
      </c>
      <c r="K3311" s="1" t="n">
        <v>18</v>
      </c>
      <c r="L3311" s="1" t="s">
        <v>2446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5" t="n">
        <v>46202</v>
      </c>
      <c r="C3312" s="1" t="n">
        <v>100</v>
      </c>
      <c r="D3312" s="1" t="s">
        <v>2457</v>
      </c>
      <c r="E3312" s="1" t="n">
        <v>42</v>
      </c>
      <c r="F3312" s="1" t="s">
        <v>80</v>
      </c>
      <c r="I3312" s="1" t="n">
        <v>1321661</v>
      </c>
      <c r="J3312" s="1" t="n">
        <v>100020</v>
      </c>
      <c r="K3312" s="1" t="n">
        <v>21</v>
      </c>
      <c r="L3312" s="1" t="s">
        <v>2456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5" t="n">
        <v>46202</v>
      </c>
      <c r="C3313" s="1" t="n">
        <v>100</v>
      </c>
      <c r="D3313" s="1" t="s">
        <v>2457</v>
      </c>
      <c r="E3313" s="1" t="n">
        <v>42</v>
      </c>
      <c r="F3313" s="1" t="s">
        <v>80</v>
      </c>
      <c r="I3313" s="1" t="n">
        <v>1321661</v>
      </c>
      <c r="J3313" s="1" t="n">
        <v>100053</v>
      </c>
      <c r="K3313" s="1" t="n">
        <v>54</v>
      </c>
      <c r="L3313" s="1" t="s">
        <v>2447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5" t="n">
        <v>46202</v>
      </c>
      <c r="C3314" s="1" t="n">
        <v>100</v>
      </c>
      <c r="D3314" s="1" t="s">
        <v>2457</v>
      </c>
      <c r="E3314" s="1" t="n">
        <v>42</v>
      </c>
      <c r="F3314" s="1" t="s">
        <v>80</v>
      </c>
      <c r="I3314" s="1" t="n">
        <v>1321661</v>
      </c>
      <c r="J3314" s="1" t="n">
        <v>100638</v>
      </c>
      <c r="K3314" s="1" t="n">
        <v>508</v>
      </c>
      <c r="L3314" s="1" t="s">
        <v>2448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5" t="n">
        <v>46202</v>
      </c>
      <c r="C3315" s="1" t="n">
        <v>100</v>
      </c>
      <c r="D3315" s="1" t="s">
        <v>2457</v>
      </c>
      <c r="E3315" s="1" t="n">
        <v>42</v>
      </c>
      <c r="F3315" s="1" t="s">
        <v>80</v>
      </c>
      <c r="I3315" s="1" t="n">
        <v>1321661</v>
      </c>
      <c r="J3315" s="1" t="n">
        <v>100520</v>
      </c>
      <c r="K3315" s="1" t="n">
        <v>507</v>
      </c>
      <c r="L3315" s="1" t="s">
        <v>2449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5" t="n">
        <v>46202</v>
      </c>
      <c r="C3316" s="1" t="n">
        <v>100</v>
      </c>
      <c r="D3316" s="1" t="s">
        <v>2457</v>
      </c>
      <c r="E3316" s="1" t="n">
        <v>42</v>
      </c>
      <c r="F3316" s="1" t="s">
        <v>80</v>
      </c>
      <c r="I3316" s="1" t="n">
        <v>1321661</v>
      </c>
      <c r="J3316" s="1" t="n">
        <v>110455</v>
      </c>
      <c r="K3316" s="1" t="n">
        <v>53212</v>
      </c>
      <c r="L3316" s="1" t="s">
        <v>2450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5" t="n">
        <v>46202</v>
      </c>
      <c r="C3317" s="1" t="n">
        <v>100</v>
      </c>
      <c r="D3317" s="1" t="s">
        <v>2457</v>
      </c>
      <c r="E3317" s="1" t="n">
        <v>42</v>
      </c>
      <c r="F3317" s="1" t="s">
        <v>80</v>
      </c>
      <c r="I3317" s="1" t="n">
        <v>1321731</v>
      </c>
      <c r="J3317" s="1" t="n">
        <v>100000</v>
      </c>
      <c r="K3317" s="1" t="n">
        <v>1</v>
      </c>
      <c r="L3317" s="1" t="s">
        <v>2451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5" t="n">
        <v>46202</v>
      </c>
      <c r="C3318" s="1" t="n">
        <v>100</v>
      </c>
      <c r="D3318" s="1" t="s">
        <v>2457</v>
      </c>
      <c r="E3318" s="1" t="n">
        <v>42</v>
      </c>
      <c r="F3318" s="1" t="s">
        <v>80</v>
      </c>
      <c r="I3318" s="1" t="n">
        <v>1321731</v>
      </c>
      <c r="J3318" s="1" t="n">
        <v>100006</v>
      </c>
      <c r="K3318" s="1" t="n">
        <v>7</v>
      </c>
      <c r="L3318" s="1" t="s">
        <v>2437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5" t="n">
        <v>46202</v>
      </c>
      <c r="C3319" s="1" t="n">
        <v>100</v>
      </c>
      <c r="D3319" s="1" t="s">
        <v>2457</v>
      </c>
      <c r="E3319" s="1" t="n">
        <v>42</v>
      </c>
      <c r="F3319" s="1" t="s">
        <v>80</v>
      </c>
      <c r="I3319" s="1" t="n">
        <v>1321731</v>
      </c>
      <c r="J3319" s="1" t="n">
        <v>100008</v>
      </c>
      <c r="K3319" s="1" t="n">
        <v>9</v>
      </c>
      <c r="L3319" s="1" t="s">
        <v>2438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5" t="n">
        <v>46202</v>
      </c>
      <c r="C3320" s="1" t="n">
        <v>100</v>
      </c>
      <c r="D3320" s="1" t="s">
        <v>2457</v>
      </c>
      <c r="E3320" s="1" t="n">
        <v>42</v>
      </c>
      <c r="F3320" s="1" t="s">
        <v>80</v>
      </c>
      <c r="I3320" s="1" t="n">
        <v>1321731</v>
      </c>
      <c r="J3320" s="1" t="n">
        <v>100010</v>
      </c>
      <c r="K3320" s="1" t="n">
        <v>11</v>
      </c>
      <c r="L3320" s="1" t="s">
        <v>2439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5" t="n">
        <v>46202</v>
      </c>
      <c r="C3321" s="1" t="n">
        <v>100</v>
      </c>
      <c r="D3321" s="1" t="s">
        <v>2457</v>
      </c>
      <c r="E3321" s="1" t="n">
        <v>42</v>
      </c>
      <c r="F3321" s="1" t="s">
        <v>80</v>
      </c>
      <c r="I3321" s="1" t="n">
        <v>1321731</v>
      </c>
      <c r="J3321" s="1" t="n">
        <v>100011</v>
      </c>
      <c r="K3321" s="1" t="n">
        <v>12</v>
      </c>
      <c r="L3321" s="1" t="s">
        <v>2440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5" t="n">
        <v>46202</v>
      </c>
      <c r="C3322" s="1" t="n">
        <v>100</v>
      </c>
      <c r="D3322" s="1" t="s">
        <v>2457</v>
      </c>
      <c r="E3322" s="1" t="n">
        <v>42</v>
      </c>
      <c r="F3322" s="1" t="s">
        <v>80</v>
      </c>
      <c r="I3322" s="1" t="n">
        <v>1321731</v>
      </c>
      <c r="J3322" s="1" t="n">
        <v>100012</v>
      </c>
      <c r="K3322" s="1" t="n">
        <v>13</v>
      </c>
      <c r="L3322" s="1" t="s">
        <v>2441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5" t="n">
        <v>46202</v>
      </c>
      <c r="C3323" s="1" t="n">
        <v>100</v>
      </c>
      <c r="D3323" s="1" t="s">
        <v>2457</v>
      </c>
      <c r="E3323" s="1" t="n">
        <v>42</v>
      </c>
      <c r="F3323" s="1" t="s">
        <v>80</v>
      </c>
      <c r="I3323" s="1" t="n">
        <v>1321731</v>
      </c>
      <c r="J3323" s="1" t="n">
        <v>100013</v>
      </c>
      <c r="K3323" s="1" t="n">
        <v>14</v>
      </c>
      <c r="L3323" s="1" t="s">
        <v>2442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5" t="n">
        <v>46202</v>
      </c>
      <c r="C3324" s="1" t="n">
        <v>100</v>
      </c>
      <c r="D3324" s="1" t="s">
        <v>2457</v>
      </c>
      <c r="E3324" s="1" t="n">
        <v>42</v>
      </c>
      <c r="F3324" s="1" t="s">
        <v>80</v>
      </c>
      <c r="I3324" s="1" t="n">
        <v>1321731</v>
      </c>
      <c r="J3324" s="1" t="n">
        <v>100014</v>
      </c>
      <c r="K3324" s="1" t="n">
        <v>15</v>
      </c>
      <c r="L3324" s="1" t="s">
        <v>2443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5" t="n">
        <v>46202</v>
      </c>
      <c r="C3325" s="1" t="n">
        <v>100</v>
      </c>
      <c r="D3325" s="1" t="s">
        <v>2457</v>
      </c>
      <c r="E3325" s="1" t="n">
        <v>42</v>
      </c>
      <c r="F3325" s="1" t="s">
        <v>80</v>
      </c>
      <c r="I3325" s="1" t="n">
        <v>1321731</v>
      </c>
      <c r="J3325" s="1" t="n">
        <v>100015</v>
      </c>
      <c r="K3325" s="1" t="n">
        <v>16</v>
      </c>
      <c r="L3325" s="1" t="s">
        <v>2444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5" t="n">
        <v>46202</v>
      </c>
      <c r="C3326" s="1" t="n">
        <v>100</v>
      </c>
      <c r="D3326" s="1" t="s">
        <v>2457</v>
      </c>
      <c r="E3326" s="1" t="n">
        <v>42</v>
      </c>
      <c r="F3326" s="1" t="s">
        <v>80</v>
      </c>
      <c r="I3326" s="1" t="n">
        <v>1321731</v>
      </c>
      <c r="J3326" s="1" t="n">
        <v>100016</v>
      </c>
      <c r="K3326" s="1" t="n">
        <v>17</v>
      </c>
      <c r="L3326" s="1" t="s">
        <v>2445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5" t="n">
        <v>46202</v>
      </c>
      <c r="C3327" s="1" t="n">
        <v>100</v>
      </c>
      <c r="D3327" s="1" t="s">
        <v>2457</v>
      </c>
      <c r="E3327" s="1" t="n">
        <v>42</v>
      </c>
      <c r="F3327" s="1" t="s">
        <v>80</v>
      </c>
      <c r="I3327" s="1" t="n">
        <v>1321731</v>
      </c>
      <c r="J3327" s="1" t="n">
        <v>100017</v>
      </c>
      <c r="K3327" s="1" t="n">
        <v>18</v>
      </c>
      <c r="L3327" s="1" t="s">
        <v>2446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5" t="n">
        <v>46202</v>
      </c>
      <c r="C3328" s="1" t="n">
        <v>100</v>
      </c>
      <c r="D3328" s="1" t="s">
        <v>2457</v>
      </c>
      <c r="E3328" s="1" t="n">
        <v>42</v>
      </c>
      <c r="F3328" s="1" t="s">
        <v>80</v>
      </c>
      <c r="I3328" s="1" t="n">
        <v>1321731</v>
      </c>
      <c r="J3328" s="1" t="n">
        <v>100638</v>
      </c>
      <c r="K3328" s="1" t="n">
        <v>508</v>
      </c>
      <c r="L3328" s="1" t="s">
        <v>2448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5" t="n">
        <v>46202</v>
      </c>
      <c r="C3329" s="1" t="n">
        <v>100</v>
      </c>
      <c r="D3329" s="1" t="s">
        <v>2457</v>
      </c>
      <c r="E3329" s="1" t="n">
        <v>42</v>
      </c>
      <c r="F3329" s="1" t="s">
        <v>80</v>
      </c>
      <c r="I3329" s="1" t="n">
        <v>1321731</v>
      </c>
      <c r="J3329" s="1" t="n">
        <v>100520</v>
      </c>
      <c r="K3329" s="1" t="n">
        <v>507</v>
      </c>
      <c r="L3329" s="1" t="s">
        <v>2449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5" t="n">
        <v>46202</v>
      </c>
      <c r="C3330" s="1" t="n">
        <v>100</v>
      </c>
      <c r="D3330" s="1" t="s">
        <v>2457</v>
      </c>
      <c r="E3330" s="1" t="n">
        <v>42</v>
      </c>
      <c r="F3330" s="1" t="s">
        <v>80</v>
      </c>
      <c r="I3330" s="1" t="n">
        <v>1321731</v>
      </c>
      <c r="J3330" s="1" t="n">
        <v>110455</v>
      </c>
      <c r="K3330" s="1" t="n">
        <v>53212</v>
      </c>
      <c r="L3330" s="1" t="s">
        <v>2450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5" t="n">
        <v>46202</v>
      </c>
      <c r="C3331" s="1" t="n">
        <v>100</v>
      </c>
      <c r="D3331" s="1" t="s">
        <v>2457</v>
      </c>
      <c r="E3331" s="1" t="n">
        <v>42</v>
      </c>
      <c r="F3331" s="1" t="s">
        <v>80</v>
      </c>
      <c r="I3331" s="1" t="n">
        <v>1321819</v>
      </c>
      <c r="J3331" s="1" t="n">
        <v>100000</v>
      </c>
      <c r="K3331" s="1" t="n">
        <v>1</v>
      </c>
      <c r="L3331" s="1" t="s">
        <v>2451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5" t="n">
        <v>46202</v>
      </c>
      <c r="C3332" s="1" t="n">
        <v>100</v>
      </c>
      <c r="D3332" s="1" t="s">
        <v>2457</v>
      </c>
      <c r="E3332" s="1" t="n">
        <v>42</v>
      </c>
      <c r="F3332" s="1" t="s">
        <v>80</v>
      </c>
      <c r="I3332" s="1" t="n">
        <v>1321819</v>
      </c>
      <c r="J3332" s="1" t="n">
        <v>100001</v>
      </c>
      <c r="K3332" s="1" t="n">
        <v>2</v>
      </c>
      <c r="L3332" s="1" t="s">
        <v>2452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5" t="n">
        <v>46202</v>
      </c>
      <c r="C3333" s="1" t="n">
        <v>100</v>
      </c>
      <c r="D3333" s="1" t="s">
        <v>2457</v>
      </c>
      <c r="E3333" s="1" t="n">
        <v>42</v>
      </c>
      <c r="F3333" s="1" t="s">
        <v>80</v>
      </c>
      <c r="I3333" s="1" t="n">
        <v>1321819</v>
      </c>
      <c r="J3333" s="1" t="n">
        <v>100002</v>
      </c>
      <c r="K3333" s="1" t="n">
        <v>3</v>
      </c>
      <c r="L3333" s="1" t="s">
        <v>2453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5" t="n">
        <v>46202</v>
      </c>
      <c r="C3334" s="1" t="n">
        <v>100</v>
      </c>
      <c r="D3334" s="1" t="s">
        <v>2457</v>
      </c>
      <c r="E3334" s="1" t="n">
        <v>42</v>
      </c>
      <c r="F3334" s="1" t="s">
        <v>80</v>
      </c>
      <c r="I3334" s="1" t="n">
        <v>1321819</v>
      </c>
      <c r="J3334" s="1" t="n">
        <v>100003</v>
      </c>
      <c r="K3334" s="1" t="n">
        <v>4</v>
      </c>
      <c r="L3334" s="1" t="s">
        <v>2454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5" t="n">
        <v>46202</v>
      </c>
      <c r="C3335" s="1" t="n">
        <v>100</v>
      </c>
      <c r="D3335" s="1" t="s">
        <v>2457</v>
      </c>
      <c r="E3335" s="1" t="n">
        <v>42</v>
      </c>
      <c r="F3335" s="1" t="s">
        <v>80</v>
      </c>
      <c r="I3335" s="1" t="n">
        <v>1321819</v>
      </c>
      <c r="J3335" s="1" t="n">
        <v>100007</v>
      </c>
      <c r="K3335" s="1" t="n">
        <v>8</v>
      </c>
      <c r="L3335" s="1" t="s">
        <v>2455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5" t="n">
        <v>46202</v>
      </c>
      <c r="C3336" s="1" t="n">
        <v>100</v>
      </c>
      <c r="D3336" s="1" t="s">
        <v>2457</v>
      </c>
      <c r="E3336" s="1" t="n">
        <v>42</v>
      </c>
      <c r="F3336" s="1" t="s">
        <v>80</v>
      </c>
      <c r="I3336" s="1" t="n">
        <v>1321819</v>
      </c>
      <c r="J3336" s="1" t="n">
        <v>100638</v>
      </c>
      <c r="K3336" s="1" t="n">
        <v>508</v>
      </c>
      <c r="L3336" s="1" t="s">
        <v>2448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5" t="n">
        <v>46202</v>
      </c>
      <c r="C3337" s="1" t="n">
        <v>100</v>
      </c>
      <c r="D3337" s="1" t="s">
        <v>2457</v>
      </c>
      <c r="E3337" s="1" t="n">
        <v>42</v>
      </c>
      <c r="F3337" s="1" t="s">
        <v>80</v>
      </c>
      <c r="I3337" s="1" t="n">
        <v>1321819</v>
      </c>
      <c r="J3337" s="1" t="n">
        <v>100520</v>
      </c>
      <c r="K3337" s="1" t="n">
        <v>507</v>
      </c>
      <c r="L3337" s="1" t="s">
        <v>2449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5" t="n">
        <v>46202</v>
      </c>
      <c r="C3338" s="1" t="n">
        <v>100</v>
      </c>
      <c r="D3338" s="1" t="s">
        <v>2457</v>
      </c>
      <c r="E3338" s="1" t="n">
        <v>42</v>
      </c>
      <c r="F3338" s="1" t="s">
        <v>80</v>
      </c>
      <c r="I3338" s="1" t="n">
        <v>1321819</v>
      </c>
      <c r="J3338" s="1" t="n">
        <v>110455</v>
      </c>
      <c r="K3338" s="1" t="n">
        <v>53212</v>
      </c>
      <c r="L3338" s="1" t="s">
        <v>2450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5" t="n">
        <v>46202</v>
      </c>
      <c r="C3339" s="1" t="n">
        <v>100</v>
      </c>
      <c r="D3339" s="1" t="s">
        <v>2457</v>
      </c>
      <c r="E3339" s="1" t="n">
        <v>42</v>
      </c>
      <c r="F3339" s="1" t="s">
        <v>80</v>
      </c>
      <c r="I3339" s="1" t="n">
        <v>1321823</v>
      </c>
      <c r="J3339" s="1" t="n">
        <v>100000</v>
      </c>
      <c r="K3339" s="1" t="n">
        <v>1</v>
      </c>
      <c r="L3339" s="1" t="s">
        <v>2451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5" t="n">
        <v>46202</v>
      </c>
      <c r="C3340" s="1" t="n">
        <v>100</v>
      </c>
      <c r="D3340" s="1" t="s">
        <v>2457</v>
      </c>
      <c r="E3340" s="1" t="n">
        <v>42</v>
      </c>
      <c r="F3340" s="1" t="s">
        <v>80</v>
      </c>
      <c r="I3340" s="1" t="n">
        <v>1321823</v>
      </c>
      <c r="J3340" s="1" t="n">
        <v>100006</v>
      </c>
      <c r="K3340" s="1" t="n">
        <v>7</v>
      </c>
      <c r="L3340" s="1" t="s">
        <v>2437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5" t="n">
        <v>46202</v>
      </c>
      <c r="C3341" s="1" t="n">
        <v>100</v>
      </c>
      <c r="D3341" s="1" t="s">
        <v>2457</v>
      </c>
      <c r="E3341" s="1" t="n">
        <v>42</v>
      </c>
      <c r="F3341" s="1" t="s">
        <v>80</v>
      </c>
      <c r="I3341" s="1" t="n">
        <v>1321823</v>
      </c>
      <c r="J3341" s="1" t="n">
        <v>100007</v>
      </c>
      <c r="K3341" s="1" t="n">
        <v>8</v>
      </c>
      <c r="L3341" s="1" t="s">
        <v>2455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5" t="n">
        <v>46202</v>
      </c>
      <c r="C3342" s="1" t="n">
        <v>100</v>
      </c>
      <c r="D3342" s="1" t="s">
        <v>2457</v>
      </c>
      <c r="E3342" s="1" t="n">
        <v>42</v>
      </c>
      <c r="F3342" s="1" t="s">
        <v>80</v>
      </c>
      <c r="I3342" s="1" t="n">
        <v>1321823</v>
      </c>
      <c r="J3342" s="1" t="n">
        <v>100008</v>
      </c>
      <c r="K3342" s="1" t="n">
        <v>9</v>
      </c>
      <c r="L3342" s="1" t="s">
        <v>2438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5" t="n">
        <v>46202</v>
      </c>
      <c r="C3343" s="1" t="n">
        <v>100</v>
      </c>
      <c r="D3343" s="1" t="s">
        <v>2457</v>
      </c>
      <c r="E3343" s="1" t="n">
        <v>42</v>
      </c>
      <c r="F3343" s="1" t="s">
        <v>80</v>
      </c>
      <c r="I3343" s="1" t="n">
        <v>1321823</v>
      </c>
      <c r="J3343" s="1" t="n">
        <v>100010</v>
      </c>
      <c r="K3343" s="1" t="n">
        <v>11</v>
      </c>
      <c r="L3343" s="1" t="s">
        <v>2439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5" t="n">
        <v>46202</v>
      </c>
      <c r="C3344" s="1" t="n">
        <v>100</v>
      </c>
      <c r="D3344" s="1" t="s">
        <v>2457</v>
      </c>
      <c r="E3344" s="1" t="n">
        <v>42</v>
      </c>
      <c r="F3344" s="1" t="s">
        <v>80</v>
      </c>
      <c r="I3344" s="1" t="n">
        <v>1321823</v>
      </c>
      <c r="J3344" s="1" t="n">
        <v>100011</v>
      </c>
      <c r="K3344" s="1" t="n">
        <v>12</v>
      </c>
      <c r="L3344" s="1" t="s">
        <v>2440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5" t="n">
        <v>46202</v>
      </c>
      <c r="C3345" s="1" t="n">
        <v>100</v>
      </c>
      <c r="D3345" s="1" t="s">
        <v>2457</v>
      </c>
      <c r="E3345" s="1" t="n">
        <v>42</v>
      </c>
      <c r="F3345" s="1" t="s">
        <v>80</v>
      </c>
      <c r="I3345" s="1" t="n">
        <v>1321823</v>
      </c>
      <c r="J3345" s="1" t="n">
        <v>100012</v>
      </c>
      <c r="K3345" s="1" t="n">
        <v>13</v>
      </c>
      <c r="L3345" s="1" t="s">
        <v>2441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5" t="n">
        <v>46202</v>
      </c>
      <c r="C3346" s="1" t="n">
        <v>100</v>
      </c>
      <c r="D3346" s="1" t="s">
        <v>2457</v>
      </c>
      <c r="E3346" s="1" t="n">
        <v>42</v>
      </c>
      <c r="F3346" s="1" t="s">
        <v>80</v>
      </c>
      <c r="I3346" s="1" t="n">
        <v>1321823</v>
      </c>
      <c r="J3346" s="1" t="n">
        <v>100013</v>
      </c>
      <c r="K3346" s="1" t="n">
        <v>14</v>
      </c>
      <c r="L3346" s="1" t="s">
        <v>2442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5" t="n">
        <v>46202</v>
      </c>
      <c r="C3347" s="1" t="n">
        <v>100</v>
      </c>
      <c r="D3347" s="1" t="s">
        <v>2457</v>
      </c>
      <c r="E3347" s="1" t="n">
        <v>42</v>
      </c>
      <c r="F3347" s="1" t="s">
        <v>80</v>
      </c>
      <c r="I3347" s="1" t="n">
        <v>1321823</v>
      </c>
      <c r="J3347" s="1" t="n">
        <v>100014</v>
      </c>
      <c r="K3347" s="1" t="n">
        <v>15</v>
      </c>
      <c r="L3347" s="1" t="s">
        <v>2443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5" t="n">
        <v>46202</v>
      </c>
      <c r="C3348" s="1" t="n">
        <v>100</v>
      </c>
      <c r="D3348" s="1" t="s">
        <v>2457</v>
      </c>
      <c r="E3348" s="1" t="n">
        <v>42</v>
      </c>
      <c r="F3348" s="1" t="s">
        <v>80</v>
      </c>
      <c r="I3348" s="1" t="n">
        <v>1321823</v>
      </c>
      <c r="J3348" s="1" t="n">
        <v>100015</v>
      </c>
      <c r="K3348" s="1" t="n">
        <v>16</v>
      </c>
      <c r="L3348" s="1" t="s">
        <v>2444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5" t="n">
        <v>46202</v>
      </c>
      <c r="C3349" s="1" t="n">
        <v>100</v>
      </c>
      <c r="D3349" s="1" t="s">
        <v>2457</v>
      </c>
      <c r="E3349" s="1" t="n">
        <v>42</v>
      </c>
      <c r="F3349" s="1" t="s">
        <v>80</v>
      </c>
      <c r="I3349" s="1" t="n">
        <v>1321823</v>
      </c>
      <c r="J3349" s="1" t="n">
        <v>100016</v>
      </c>
      <c r="K3349" s="1" t="n">
        <v>17</v>
      </c>
      <c r="L3349" s="1" t="s">
        <v>2445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5" t="n">
        <v>46202</v>
      </c>
      <c r="C3350" s="1" t="n">
        <v>100</v>
      </c>
      <c r="D3350" s="1" t="s">
        <v>2457</v>
      </c>
      <c r="E3350" s="1" t="n">
        <v>42</v>
      </c>
      <c r="F3350" s="1" t="s">
        <v>80</v>
      </c>
      <c r="I3350" s="1" t="n">
        <v>1321823</v>
      </c>
      <c r="J3350" s="1" t="n">
        <v>100017</v>
      </c>
      <c r="K3350" s="1" t="n">
        <v>18</v>
      </c>
      <c r="L3350" s="1" t="s">
        <v>2446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5" t="n">
        <v>46202</v>
      </c>
      <c r="C3351" s="1" t="n">
        <v>100</v>
      </c>
      <c r="D3351" s="1" t="s">
        <v>2457</v>
      </c>
      <c r="E3351" s="1" t="n">
        <v>42</v>
      </c>
      <c r="F3351" s="1" t="s">
        <v>80</v>
      </c>
      <c r="I3351" s="1" t="n">
        <v>1321823</v>
      </c>
      <c r="J3351" s="1" t="n">
        <v>100053</v>
      </c>
      <c r="K3351" s="1" t="n">
        <v>54</v>
      </c>
      <c r="L3351" s="1" t="s">
        <v>2447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5" t="n">
        <v>46202</v>
      </c>
      <c r="C3352" s="1" t="n">
        <v>100</v>
      </c>
      <c r="D3352" s="1" t="s">
        <v>2457</v>
      </c>
      <c r="E3352" s="1" t="n">
        <v>42</v>
      </c>
      <c r="F3352" s="1" t="s">
        <v>80</v>
      </c>
      <c r="I3352" s="1" t="n">
        <v>1321823</v>
      </c>
      <c r="J3352" s="1" t="n">
        <v>100638</v>
      </c>
      <c r="K3352" s="1" t="n">
        <v>508</v>
      </c>
      <c r="L3352" s="1" t="s">
        <v>2448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5" t="n">
        <v>46202</v>
      </c>
      <c r="C3353" s="1" t="n">
        <v>100</v>
      </c>
      <c r="D3353" s="1" t="s">
        <v>2457</v>
      </c>
      <c r="E3353" s="1" t="n">
        <v>42</v>
      </c>
      <c r="F3353" s="1" t="s">
        <v>80</v>
      </c>
      <c r="I3353" s="1" t="n">
        <v>1321823</v>
      </c>
      <c r="J3353" s="1" t="n">
        <v>100520</v>
      </c>
      <c r="K3353" s="1" t="n">
        <v>507</v>
      </c>
      <c r="L3353" s="1" t="s">
        <v>2449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5" t="n">
        <v>46202</v>
      </c>
      <c r="C3354" s="1" t="n">
        <v>100</v>
      </c>
      <c r="D3354" s="1" t="s">
        <v>2457</v>
      </c>
      <c r="E3354" s="1" t="n">
        <v>42</v>
      </c>
      <c r="F3354" s="1" t="s">
        <v>80</v>
      </c>
      <c r="I3354" s="1" t="n">
        <v>1321823</v>
      </c>
      <c r="J3354" s="1" t="n">
        <v>110455</v>
      </c>
      <c r="K3354" s="1" t="n">
        <v>53212</v>
      </c>
      <c r="L3354" s="1" t="s">
        <v>2450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5" t="n">
        <v>46202</v>
      </c>
      <c r="C3355" s="1" t="n">
        <v>100</v>
      </c>
      <c r="D3355" s="1" t="s">
        <v>2457</v>
      </c>
      <c r="E3355" s="1" t="n">
        <v>42</v>
      </c>
      <c r="F3355" s="1" t="s">
        <v>80</v>
      </c>
      <c r="I3355" s="1" t="n">
        <v>1321886</v>
      </c>
      <c r="J3355" s="1" t="n">
        <v>100000</v>
      </c>
      <c r="K3355" s="1" t="n">
        <v>1</v>
      </c>
      <c r="L3355" s="1" t="s">
        <v>2451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5" t="n">
        <v>46202</v>
      </c>
      <c r="C3356" s="1" t="n">
        <v>100</v>
      </c>
      <c r="D3356" s="1" t="s">
        <v>2457</v>
      </c>
      <c r="E3356" s="1" t="n">
        <v>42</v>
      </c>
      <c r="F3356" s="1" t="s">
        <v>80</v>
      </c>
      <c r="I3356" s="1" t="n">
        <v>1321886</v>
      </c>
      <c r="J3356" s="1" t="n">
        <v>100001</v>
      </c>
      <c r="K3356" s="1" t="n">
        <v>2</v>
      </c>
      <c r="L3356" s="1" t="s">
        <v>2452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5" t="n">
        <v>46202</v>
      </c>
      <c r="C3357" s="1" t="n">
        <v>100</v>
      </c>
      <c r="D3357" s="1" t="s">
        <v>2457</v>
      </c>
      <c r="E3357" s="1" t="n">
        <v>42</v>
      </c>
      <c r="F3357" s="1" t="s">
        <v>80</v>
      </c>
      <c r="I3357" s="1" t="n">
        <v>1321886</v>
      </c>
      <c r="J3357" s="1" t="n">
        <v>100002</v>
      </c>
      <c r="K3357" s="1" t="n">
        <v>3</v>
      </c>
      <c r="L3357" s="1" t="s">
        <v>2453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5" t="n">
        <v>46202</v>
      </c>
      <c r="C3358" s="1" t="n">
        <v>100</v>
      </c>
      <c r="D3358" s="1" t="s">
        <v>2457</v>
      </c>
      <c r="E3358" s="1" t="n">
        <v>42</v>
      </c>
      <c r="F3358" s="1" t="s">
        <v>80</v>
      </c>
      <c r="I3358" s="1" t="n">
        <v>1321886</v>
      </c>
      <c r="J3358" s="1" t="n">
        <v>100003</v>
      </c>
      <c r="K3358" s="1" t="n">
        <v>4</v>
      </c>
      <c r="L3358" s="1" t="s">
        <v>2454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5" t="n">
        <v>46202</v>
      </c>
      <c r="C3359" s="1" t="n">
        <v>100</v>
      </c>
      <c r="D3359" s="1" t="s">
        <v>2457</v>
      </c>
      <c r="E3359" s="1" t="n">
        <v>42</v>
      </c>
      <c r="F3359" s="1" t="s">
        <v>80</v>
      </c>
      <c r="I3359" s="1" t="n">
        <v>1321886</v>
      </c>
      <c r="J3359" s="1" t="n">
        <v>100007</v>
      </c>
      <c r="K3359" s="1" t="n">
        <v>8</v>
      </c>
      <c r="L3359" s="1" t="s">
        <v>2455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5" t="n">
        <v>46202</v>
      </c>
      <c r="C3360" s="1" t="n">
        <v>100</v>
      </c>
      <c r="D3360" s="1" t="s">
        <v>2457</v>
      </c>
      <c r="E3360" s="1" t="n">
        <v>42</v>
      </c>
      <c r="F3360" s="1" t="s">
        <v>80</v>
      </c>
      <c r="I3360" s="1" t="n">
        <v>1321886</v>
      </c>
      <c r="J3360" s="1" t="n">
        <v>100638</v>
      </c>
      <c r="K3360" s="1" t="n">
        <v>508</v>
      </c>
      <c r="L3360" s="1" t="s">
        <v>2448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5" t="n">
        <v>46202</v>
      </c>
      <c r="C3361" s="1" t="n">
        <v>100</v>
      </c>
      <c r="D3361" s="1" t="s">
        <v>2457</v>
      </c>
      <c r="E3361" s="1" t="n">
        <v>42</v>
      </c>
      <c r="F3361" s="1" t="s">
        <v>80</v>
      </c>
      <c r="I3361" s="1" t="n">
        <v>1321886</v>
      </c>
      <c r="J3361" s="1" t="n">
        <v>100520</v>
      </c>
      <c r="K3361" s="1" t="n">
        <v>507</v>
      </c>
      <c r="L3361" s="1" t="s">
        <v>2449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5" t="n">
        <v>46202</v>
      </c>
      <c r="C3362" s="1" t="n">
        <v>100</v>
      </c>
      <c r="D3362" s="1" t="s">
        <v>2457</v>
      </c>
      <c r="E3362" s="1" t="n">
        <v>42</v>
      </c>
      <c r="F3362" s="1" t="s">
        <v>80</v>
      </c>
      <c r="I3362" s="1" t="n">
        <v>1321886</v>
      </c>
      <c r="J3362" s="1" t="n">
        <v>110455</v>
      </c>
      <c r="K3362" s="1" t="n">
        <v>53212</v>
      </c>
      <c r="L3362" s="1" t="s">
        <v>2450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5" t="n">
        <v>46202</v>
      </c>
      <c r="C3363" s="1" t="n">
        <v>100</v>
      </c>
      <c r="D3363" s="1" t="s">
        <v>2457</v>
      </c>
      <c r="E3363" s="1" t="n">
        <v>42</v>
      </c>
      <c r="F3363" s="1" t="s">
        <v>80</v>
      </c>
      <c r="I3363" s="1" t="n">
        <v>1321889</v>
      </c>
      <c r="J3363" s="1" t="n">
        <v>100006</v>
      </c>
      <c r="K3363" s="1" t="n">
        <v>7</v>
      </c>
      <c r="L3363" s="1" t="s">
        <v>2437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5" t="n">
        <v>46202</v>
      </c>
      <c r="C3364" s="1" t="n">
        <v>100</v>
      </c>
      <c r="D3364" s="1" t="s">
        <v>2457</v>
      </c>
      <c r="E3364" s="1" t="n">
        <v>42</v>
      </c>
      <c r="F3364" s="1" t="s">
        <v>80</v>
      </c>
      <c r="I3364" s="1" t="n">
        <v>1321889</v>
      </c>
      <c r="J3364" s="1" t="n">
        <v>100008</v>
      </c>
      <c r="K3364" s="1" t="n">
        <v>9</v>
      </c>
      <c r="L3364" s="1" t="s">
        <v>2438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5" t="n">
        <v>46202</v>
      </c>
      <c r="C3365" s="1" t="n">
        <v>100</v>
      </c>
      <c r="D3365" s="1" t="s">
        <v>2457</v>
      </c>
      <c r="E3365" s="1" t="n">
        <v>42</v>
      </c>
      <c r="F3365" s="1" t="s">
        <v>80</v>
      </c>
      <c r="I3365" s="1" t="n">
        <v>1321889</v>
      </c>
      <c r="J3365" s="1" t="n">
        <v>100010</v>
      </c>
      <c r="K3365" s="1" t="n">
        <v>11</v>
      </c>
      <c r="L3365" s="1" t="s">
        <v>2439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5" t="n">
        <v>46202</v>
      </c>
      <c r="C3366" s="1" t="n">
        <v>100</v>
      </c>
      <c r="D3366" s="1" t="s">
        <v>2457</v>
      </c>
      <c r="E3366" s="1" t="n">
        <v>42</v>
      </c>
      <c r="F3366" s="1" t="s">
        <v>80</v>
      </c>
      <c r="I3366" s="1" t="n">
        <v>1321889</v>
      </c>
      <c r="J3366" s="1" t="n">
        <v>100011</v>
      </c>
      <c r="K3366" s="1" t="n">
        <v>12</v>
      </c>
      <c r="L3366" s="1" t="s">
        <v>2440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5" t="n">
        <v>46202</v>
      </c>
      <c r="C3367" s="1" t="n">
        <v>100</v>
      </c>
      <c r="D3367" s="1" t="s">
        <v>2457</v>
      </c>
      <c r="E3367" s="1" t="n">
        <v>42</v>
      </c>
      <c r="F3367" s="1" t="s">
        <v>80</v>
      </c>
      <c r="I3367" s="1" t="n">
        <v>1321889</v>
      </c>
      <c r="J3367" s="1" t="n">
        <v>100012</v>
      </c>
      <c r="K3367" s="1" t="n">
        <v>13</v>
      </c>
      <c r="L3367" s="1" t="s">
        <v>2441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5" t="n">
        <v>46202</v>
      </c>
      <c r="C3368" s="1" t="n">
        <v>100</v>
      </c>
      <c r="D3368" s="1" t="s">
        <v>2457</v>
      </c>
      <c r="E3368" s="1" t="n">
        <v>42</v>
      </c>
      <c r="F3368" s="1" t="s">
        <v>80</v>
      </c>
      <c r="I3368" s="1" t="n">
        <v>1321889</v>
      </c>
      <c r="J3368" s="1" t="n">
        <v>100013</v>
      </c>
      <c r="K3368" s="1" t="n">
        <v>14</v>
      </c>
      <c r="L3368" s="1" t="s">
        <v>2442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5" t="n">
        <v>46202</v>
      </c>
      <c r="C3369" s="1" t="n">
        <v>100</v>
      </c>
      <c r="D3369" s="1" t="s">
        <v>2457</v>
      </c>
      <c r="E3369" s="1" t="n">
        <v>42</v>
      </c>
      <c r="F3369" s="1" t="s">
        <v>80</v>
      </c>
      <c r="I3369" s="1" t="n">
        <v>1321889</v>
      </c>
      <c r="J3369" s="1" t="n">
        <v>100014</v>
      </c>
      <c r="K3369" s="1" t="n">
        <v>15</v>
      </c>
      <c r="L3369" s="1" t="s">
        <v>2443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5" t="n">
        <v>46202</v>
      </c>
      <c r="C3370" s="1" t="n">
        <v>100</v>
      </c>
      <c r="D3370" s="1" t="s">
        <v>2457</v>
      </c>
      <c r="E3370" s="1" t="n">
        <v>42</v>
      </c>
      <c r="F3370" s="1" t="s">
        <v>80</v>
      </c>
      <c r="I3370" s="1" t="n">
        <v>1321889</v>
      </c>
      <c r="J3370" s="1" t="n">
        <v>100015</v>
      </c>
      <c r="K3370" s="1" t="n">
        <v>16</v>
      </c>
      <c r="L3370" s="1" t="s">
        <v>2444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5" t="n">
        <v>46202</v>
      </c>
      <c r="C3371" s="1" t="n">
        <v>100</v>
      </c>
      <c r="D3371" s="1" t="s">
        <v>2457</v>
      </c>
      <c r="E3371" s="1" t="n">
        <v>42</v>
      </c>
      <c r="F3371" s="1" t="s">
        <v>80</v>
      </c>
      <c r="I3371" s="1" t="n">
        <v>1321889</v>
      </c>
      <c r="J3371" s="1" t="n">
        <v>100016</v>
      </c>
      <c r="K3371" s="1" t="n">
        <v>17</v>
      </c>
      <c r="L3371" s="1" t="s">
        <v>2445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5" t="n">
        <v>46202</v>
      </c>
      <c r="C3372" s="1" t="n">
        <v>100</v>
      </c>
      <c r="D3372" s="1" t="s">
        <v>2457</v>
      </c>
      <c r="E3372" s="1" t="n">
        <v>42</v>
      </c>
      <c r="F3372" s="1" t="s">
        <v>80</v>
      </c>
      <c r="I3372" s="1" t="n">
        <v>1321889</v>
      </c>
      <c r="J3372" s="1" t="n">
        <v>100017</v>
      </c>
      <c r="K3372" s="1" t="n">
        <v>18</v>
      </c>
      <c r="L3372" s="1" t="s">
        <v>2446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5" t="n">
        <v>46202</v>
      </c>
      <c r="C3373" s="1" t="n">
        <v>100</v>
      </c>
      <c r="D3373" s="1" t="s">
        <v>2457</v>
      </c>
      <c r="E3373" s="1" t="n">
        <v>42</v>
      </c>
      <c r="F3373" s="1" t="s">
        <v>80</v>
      </c>
      <c r="I3373" s="1" t="n">
        <v>1321889</v>
      </c>
      <c r="J3373" s="1" t="n">
        <v>100053</v>
      </c>
      <c r="K3373" s="1" t="n">
        <v>54</v>
      </c>
      <c r="L3373" s="1" t="s">
        <v>2447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5" t="n">
        <v>46202</v>
      </c>
      <c r="C3374" s="1" t="n">
        <v>100</v>
      </c>
      <c r="D3374" s="1" t="s">
        <v>2457</v>
      </c>
      <c r="E3374" s="1" t="n">
        <v>42</v>
      </c>
      <c r="F3374" s="1" t="s">
        <v>80</v>
      </c>
      <c r="I3374" s="1" t="n">
        <v>1321889</v>
      </c>
      <c r="J3374" s="1" t="n">
        <v>100638</v>
      </c>
      <c r="K3374" s="1" t="n">
        <v>508</v>
      </c>
      <c r="L3374" s="1" t="s">
        <v>2448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5" t="n">
        <v>46202</v>
      </c>
      <c r="C3375" s="1" t="n">
        <v>100</v>
      </c>
      <c r="D3375" s="1" t="s">
        <v>2457</v>
      </c>
      <c r="E3375" s="1" t="n">
        <v>42</v>
      </c>
      <c r="F3375" s="1" t="s">
        <v>80</v>
      </c>
      <c r="I3375" s="1" t="n">
        <v>1321889</v>
      </c>
      <c r="J3375" s="1" t="n">
        <v>100520</v>
      </c>
      <c r="K3375" s="1" t="n">
        <v>507</v>
      </c>
      <c r="L3375" s="1" t="s">
        <v>2449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5" t="n">
        <v>46202</v>
      </c>
      <c r="C3376" s="1" t="n">
        <v>100</v>
      </c>
      <c r="D3376" s="1" t="s">
        <v>2457</v>
      </c>
      <c r="E3376" s="1" t="n">
        <v>42</v>
      </c>
      <c r="F3376" s="1" t="s">
        <v>80</v>
      </c>
      <c r="I3376" s="1" t="n">
        <v>1321889</v>
      </c>
      <c r="J3376" s="1" t="n">
        <v>110455</v>
      </c>
      <c r="K3376" s="1" t="n">
        <v>53212</v>
      </c>
      <c r="L3376" s="1" t="s">
        <v>2450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5" t="n">
        <v>46202</v>
      </c>
      <c r="C3377" s="1" t="n">
        <v>100</v>
      </c>
      <c r="D3377" s="1" t="s">
        <v>2457</v>
      </c>
      <c r="E3377" s="1" t="n">
        <v>42</v>
      </c>
      <c r="F3377" s="1" t="s">
        <v>80</v>
      </c>
      <c r="I3377" s="1" t="n">
        <v>1321936</v>
      </c>
      <c r="J3377" s="1" t="n">
        <v>100000</v>
      </c>
      <c r="K3377" s="1" t="n">
        <v>1</v>
      </c>
      <c r="L3377" s="1" t="s">
        <v>2451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5" t="n">
        <v>46202</v>
      </c>
      <c r="C3378" s="1" t="n">
        <v>100</v>
      </c>
      <c r="D3378" s="1" t="s">
        <v>2457</v>
      </c>
      <c r="E3378" s="1" t="n">
        <v>42</v>
      </c>
      <c r="F3378" s="1" t="s">
        <v>80</v>
      </c>
      <c r="I3378" s="1" t="n">
        <v>1321936</v>
      </c>
      <c r="J3378" s="1" t="n">
        <v>100006</v>
      </c>
      <c r="K3378" s="1" t="n">
        <v>7</v>
      </c>
      <c r="L3378" s="1" t="s">
        <v>2437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5" t="n">
        <v>46202</v>
      </c>
      <c r="C3379" s="1" t="n">
        <v>100</v>
      </c>
      <c r="D3379" s="1" t="s">
        <v>2457</v>
      </c>
      <c r="E3379" s="1" t="n">
        <v>42</v>
      </c>
      <c r="F3379" s="1" t="s">
        <v>80</v>
      </c>
      <c r="I3379" s="1" t="n">
        <v>1321936</v>
      </c>
      <c r="J3379" s="1" t="n">
        <v>100008</v>
      </c>
      <c r="K3379" s="1" t="n">
        <v>9</v>
      </c>
      <c r="L3379" s="1" t="s">
        <v>2438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5" t="n">
        <v>46202</v>
      </c>
      <c r="C3380" s="1" t="n">
        <v>100</v>
      </c>
      <c r="D3380" s="1" t="s">
        <v>2457</v>
      </c>
      <c r="E3380" s="1" t="n">
        <v>42</v>
      </c>
      <c r="F3380" s="1" t="s">
        <v>80</v>
      </c>
      <c r="I3380" s="1" t="n">
        <v>1321936</v>
      </c>
      <c r="J3380" s="1" t="n">
        <v>100010</v>
      </c>
      <c r="K3380" s="1" t="n">
        <v>11</v>
      </c>
      <c r="L3380" s="1" t="s">
        <v>2439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5" t="n">
        <v>46202</v>
      </c>
      <c r="C3381" s="1" t="n">
        <v>100</v>
      </c>
      <c r="D3381" s="1" t="s">
        <v>2457</v>
      </c>
      <c r="E3381" s="1" t="n">
        <v>42</v>
      </c>
      <c r="F3381" s="1" t="s">
        <v>80</v>
      </c>
      <c r="I3381" s="1" t="n">
        <v>1321936</v>
      </c>
      <c r="J3381" s="1" t="n">
        <v>100011</v>
      </c>
      <c r="K3381" s="1" t="n">
        <v>12</v>
      </c>
      <c r="L3381" s="1" t="s">
        <v>2440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5" t="n">
        <v>46202</v>
      </c>
      <c r="C3382" s="1" t="n">
        <v>100</v>
      </c>
      <c r="D3382" s="1" t="s">
        <v>2457</v>
      </c>
      <c r="E3382" s="1" t="n">
        <v>42</v>
      </c>
      <c r="F3382" s="1" t="s">
        <v>80</v>
      </c>
      <c r="I3382" s="1" t="n">
        <v>1321936</v>
      </c>
      <c r="J3382" s="1" t="n">
        <v>100014</v>
      </c>
      <c r="K3382" s="1" t="n">
        <v>15</v>
      </c>
      <c r="L3382" s="1" t="s">
        <v>2443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5" t="n">
        <v>46202</v>
      </c>
      <c r="C3383" s="1" t="n">
        <v>100</v>
      </c>
      <c r="D3383" s="1" t="s">
        <v>2457</v>
      </c>
      <c r="E3383" s="1" t="n">
        <v>42</v>
      </c>
      <c r="F3383" s="1" t="s">
        <v>80</v>
      </c>
      <c r="I3383" s="1" t="n">
        <v>1321936</v>
      </c>
      <c r="J3383" s="1" t="n">
        <v>100015</v>
      </c>
      <c r="K3383" s="1" t="n">
        <v>16</v>
      </c>
      <c r="L3383" s="1" t="s">
        <v>2444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5" t="n">
        <v>46202</v>
      </c>
      <c r="C3384" s="1" t="n">
        <v>100</v>
      </c>
      <c r="D3384" s="1" t="s">
        <v>2457</v>
      </c>
      <c r="E3384" s="1" t="n">
        <v>42</v>
      </c>
      <c r="F3384" s="1" t="s">
        <v>80</v>
      </c>
      <c r="I3384" s="1" t="n">
        <v>1321936</v>
      </c>
      <c r="J3384" s="1" t="n">
        <v>100016</v>
      </c>
      <c r="K3384" s="1" t="n">
        <v>17</v>
      </c>
      <c r="L3384" s="1" t="s">
        <v>2445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5" t="n">
        <v>46202</v>
      </c>
      <c r="C3385" s="1" t="n">
        <v>100</v>
      </c>
      <c r="D3385" s="1" t="s">
        <v>2457</v>
      </c>
      <c r="E3385" s="1" t="n">
        <v>42</v>
      </c>
      <c r="F3385" s="1" t="s">
        <v>80</v>
      </c>
      <c r="I3385" s="1" t="n">
        <v>1321936</v>
      </c>
      <c r="J3385" s="1" t="n">
        <v>100017</v>
      </c>
      <c r="K3385" s="1" t="n">
        <v>18</v>
      </c>
      <c r="L3385" s="1" t="s">
        <v>2446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5" t="n">
        <v>46202</v>
      </c>
      <c r="C3386" s="1" t="n">
        <v>100</v>
      </c>
      <c r="D3386" s="1" t="s">
        <v>2457</v>
      </c>
      <c r="E3386" s="1" t="n">
        <v>42</v>
      </c>
      <c r="F3386" s="1" t="s">
        <v>80</v>
      </c>
      <c r="I3386" s="1" t="n">
        <v>1321936</v>
      </c>
      <c r="J3386" s="1" t="n">
        <v>100020</v>
      </c>
      <c r="K3386" s="1" t="n">
        <v>21</v>
      </c>
      <c r="L3386" s="1" t="s">
        <v>2456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5" t="n">
        <v>46202</v>
      </c>
      <c r="C3387" s="1" t="n">
        <v>100</v>
      </c>
      <c r="D3387" s="1" t="s">
        <v>2457</v>
      </c>
      <c r="E3387" s="1" t="n">
        <v>42</v>
      </c>
      <c r="F3387" s="1" t="s">
        <v>80</v>
      </c>
      <c r="I3387" s="1" t="n">
        <v>1321936</v>
      </c>
      <c r="J3387" s="1" t="n">
        <v>100053</v>
      </c>
      <c r="K3387" s="1" t="n">
        <v>54</v>
      </c>
      <c r="L3387" s="1" t="s">
        <v>2447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5" t="n">
        <v>46202</v>
      </c>
      <c r="C3388" s="1" t="n">
        <v>100</v>
      </c>
      <c r="D3388" s="1" t="s">
        <v>2457</v>
      </c>
      <c r="E3388" s="1" t="n">
        <v>42</v>
      </c>
      <c r="F3388" s="1" t="s">
        <v>80</v>
      </c>
      <c r="I3388" s="1" t="n">
        <v>1321936</v>
      </c>
      <c r="J3388" s="1" t="n">
        <v>100638</v>
      </c>
      <c r="K3388" s="1" t="n">
        <v>508</v>
      </c>
      <c r="L3388" s="1" t="s">
        <v>2448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5" t="n">
        <v>46202</v>
      </c>
      <c r="C3389" s="1" t="n">
        <v>100</v>
      </c>
      <c r="D3389" s="1" t="s">
        <v>2457</v>
      </c>
      <c r="E3389" s="1" t="n">
        <v>42</v>
      </c>
      <c r="F3389" s="1" t="s">
        <v>80</v>
      </c>
      <c r="I3389" s="1" t="n">
        <v>1321936</v>
      </c>
      <c r="J3389" s="1" t="n">
        <v>100520</v>
      </c>
      <c r="K3389" s="1" t="n">
        <v>507</v>
      </c>
      <c r="L3389" s="1" t="s">
        <v>2449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5" t="n">
        <v>46202</v>
      </c>
      <c r="C3390" s="1" t="n">
        <v>100</v>
      </c>
      <c r="D3390" s="1" t="s">
        <v>2457</v>
      </c>
      <c r="E3390" s="1" t="n">
        <v>42</v>
      </c>
      <c r="F3390" s="1" t="s">
        <v>80</v>
      </c>
      <c r="I3390" s="1" t="n">
        <v>1321936</v>
      </c>
      <c r="J3390" s="1" t="n">
        <v>110455</v>
      </c>
      <c r="K3390" s="1" t="n">
        <v>53212</v>
      </c>
      <c r="L3390" s="1" t="s">
        <v>2450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5" t="n">
        <v>46203</v>
      </c>
      <c r="C3391" s="1" t="n">
        <v>1</v>
      </c>
      <c r="D3391" s="1" t="s">
        <v>2317</v>
      </c>
      <c r="E3391" s="1" t="n">
        <v>978</v>
      </c>
      <c r="F3391" s="1" t="s">
        <v>183</v>
      </c>
      <c r="I3391" s="1" t="n">
        <v>333</v>
      </c>
      <c r="J3391" s="1" t="n">
        <v>61368</v>
      </c>
      <c r="K3391" s="1" t="n">
        <v>2257907</v>
      </c>
      <c r="L3391" s="1" t="s">
        <v>2335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5" t="n">
        <v>46203</v>
      </c>
      <c r="C3392" s="1" t="n">
        <v>1</v>
      </c>
      <c r="D3392" s="1" t="s">
        <v>2317</v>
      </c>
      <c r="E3392" s="1" t="n">
        <v>978</v>
      </c>
      <c r="F3392" s="1" t="s">
        <v>183</v>
      </c>
      <c r="I3392" s="1" t="n">
        <v>333</v>
      </c>
      <c r="J3392" s="1" t="n">
        <v>61378</v>
      </c>
      <c r="K3392" s="1" t="n">
        <v>2257914</v>
      </c>
      <c r="L3392" s="1" t="s">
        <v>2336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5" t="n">
        <v>46203</v>
      </c>
      <c r="C3393" s="1" t="n">
        <v>1</v>
      </c>
      <c r="D3393" s="1" t="s">
        <v>2317</v>
      </c>
      <c r="E3393" s="1" t="n">
        <v>978</v>
      </c>
      <c r="F3393" s="1" t="s">
        <v>183</v>
      </c>
      <c r="I3393" s="1" t="n">
        <v>333</v>
      </c>
      <c r="J3393" s="1" t="n">
        <v>61379</v>
      </c>
      <c r="K3393" s="1" t="n">
        <v>2257921</v>
      </c>
      <c r="L3393" s="1" t="s">
        <v>2337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5" t="n">
        <v>46203</v>
      </c>
      <c r="C3394" s="1" t="n">
        <v>1</v>
      </c>
      <c r="D3394" s="1" t="s">
        <v>2317</v>
      </c>
      <c r="E3394" s="1" t="n">
        <v>978</v>
      </c>
      <c r="F3394" s="1" t="s">
        <v>183</v>
      </c>
      <c r="I3394" s="1" t="n">
        <v>333</v>
      </c>
      <c r="J3394" s="1" t="n">
        <v>62178</v>
      </c>
      <c r="K3394" s="1" t="n">
        <v>144599</v>
      </c>
      <c r="L3394" s="1" t="s">
        <v>2338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5" t="n">
        <v>46203</v>
      </c>
      <c r="C3395" s="1" t="n">
        <v>1</v>
      </c>
      <c r="D3395" s="1" t="s">
        <v>2317</v>
      </c>
      <c r="E3395" s="1" t="n">
        <v>10043</v>
      </c>
      <c r="F3395" s="1" t="s">
        <v>112</v>
      </c>
      <c r="I3395" s="1" t="n">
        <v>738</v>
      </c>
      <c r="J3395" s="1" t="n">
        <v>52096</v>
      </c>
      <c r="K3395" s="1" t="n">
        <v>144315</v>
      </c>
      <c r="L3395" s="1" t="s">
        <v>2318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5" t="n">
        <v>46203</v>
      </c>
      <c r="C3396" s="1" t="n">
        <v>1</v>
      </c>
      <c r="D3396" s="1" t="s">
        <v>2317</v>
      </c>
      <c r="E3396" s="1" t="n">
        <v>1722</v>
      </c>
      <c r="F3396" s="1" t="s">
        <v>417</v>
      </c>
      <c r="I3396" s="1" t="n">
        <v>6686</v>
      </c>
      <c r="J3396" s="1" t="n">
        <v>40370</v>
      </c>
      <c r="K3396" s="1" t="n">
        <v>40141707130</v>
      </c>
      <c r="L3396" s="1" t="s">
        <v>3791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5" t="n">
        <v>46203</v>
      </c>
      <c r="C3397" s="1" t="n">
        <v>1</v>
      </c>
      <c r="D3397" s="1" t="s">
        <v>2317</v>
      </c>
      <c r="E3397" s="1" t="n">
        <v>1722</v>
      </c>
      <c r="F3397" s="1" t="s">
        <v>417</v>
      </c>
      <c r="I3397" s="1" t="n">
        <v>6686</v>
      </c>
      <c r="J3397" s="1" t="n">
        <v>40803</v>
      </c>
      <c r="K3397" s="1" t="n">
        <v>40141707123</v>
      </c>
      <c r="L3397" s="1" t="s">
        <v>3792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5" t="n">
        <v>46203</v>
      </c>
      <c r="C3398" s="1" t="n">
        <v>1</v>
      </c>
      <c r="D3398" s="1" t="s">
        <v>2317</v>
      </c>
      <c r="E3398" s="1" t="n">
        <v>1722</v>
      </c>
      <c r="F3398" s="1" t="s">
        <v>417</v>
      </c>
      <c r="I3398" s="1" t="n">
        <v>6686</v>
      </c>
      <c r="J3398" s="1" t="n">
        <v>66756</v>
      </c>
      <c r="K3398" s="1" t="n">
        <v>40141707161</v>
      </c>
      <c r="L3398" s="1" t="s">
        <v>3793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15" t="n">
        <v>46203</v>
      </c>
      <c r="C3399" s="1" t="n">
        <v>1</v>
      </c>
      <c r="D3399" s="1" t="s">
        <v>2317</v>
      </c>
      <c r="E3399" s="1" t="n">
        <v>1722</v>
      </c>
      <c r="F3399" s="1" t="s">
        <v>417</v>
      </c>
      <c r="I3399" s="1" t="n">
        <v>6686</v>
      </c>
      <c r="J3399" s="1" t="n">
        <v>66984</v>
      </c>
      <c r="K3399" s="1" t="n">
        <v>40141707147</v>
      </c>
      <c r="L3399" s="1" t="s">
        <v>3794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15" t="n">
        <v>46203</v>
      </c>
      <c r="C3400" s="1" t="n">
        <v>1</v>
      </c>
      <c r="D3400" s="1" t="s">
        <v>2317</v>
      </c>
      <c r="E3400" s="1" t="n">
        <v>1722</v>
      </c>
      <c r="F3400" s="1" t="s">
        <v>417</v>
      </c>
      <c r="I3400" s="1" t="n">
        <v>6686</v>
      </c>
      <c r="J3400" s="1" t="n">
        <v>66985</v>
      </c>
      <c r="K3400" s="1" t="n">
        <v>40141707154</v>
      </c>
      <c r="L3400" s="1" t="s">
        <v>3795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5" t="n">
        <v>46203</v>
      </c>
      <c r="C3401" s="1" t="n">
        <v>1</v>
      </c>
      <c r="D3401" s="1" t="s">
        <v>2317</v>
      </c>
      <c r="E3401" s="1" t="n">
        <v>1722</v>
      </c>
      <c r="F3401" s="1" t="s">
        <v>417</v>
      </c>
      <c r="I3401" s="1" t="n">
        <v>6686</v>
      </c>
      <c r="J3401" s="1" t="n">
        <v>67102</v>
      </c>
      <c r="K3401" s="1" t="n">
        <v>40141707178</v>
      </c>
      <c r="L3401" s="1" t="s">
        <v>2567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5" t="n">
        <v>46203</v>
      </c>
      <c r="C3402" s="1" t="n">
        <v>1</v>
      </c>
      <c r="D3402" s="1" t="s">
        <v>2317</v>
      </c>
      <c r="E3402" s="1" t="n">
        <v>1615</v>
      </c>
      <c r="F3402" s="1" t="s">
        <v>130</v>
      </c>
      <c r="I3402" s="1" t="n">
        <v>14766</v>
      </c>
      <c r="J3402" s="1" t="n">
        <v>100101</v>
      </c>
      <c r="K3402" s="1" t="n">
        <v>102</v>
      </c>
      <c r="L3402" s="1" t="s">
        <v>2671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5" t="n">
        <v>46203</v>
      </c>
      <c r="C3403" s="1" t="n">
        <v>1</v>
      </c>
      <c r="D3403" s="1" t="s">
        <v>2317</v>
      </c>
      <c r="E3403" s="1" t="n">
        <v>1615</v>
      </c>
      <c r="F3403" s="1" t="s">
        <v>130</v>
      </c>
      <c r="I3403" s="1" t="n">
        <v>14766</v>
      </c>
      <c r="J3403" s="1" t="n">
        <v>100114</v>
      </c>
      <c r="K3403" s="1" t="n">
        <v>115</v>
      </c>
      <c r="L3403" s="1" t="s">
        <v>2568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5" t="n">
        <v>46203</v>
      </c>
      <c r="C3404" s="1" t="n">
        <v>1</v>
      </c>
      <c r="D3404" s="1" t="s">
        <v>2317</v>
      </c>
      <c r="E3404" s="1" t="n">
        <v>1615</v>
      </c>
      <c r="F3404" s="1" t="s">
        <v>130</v>
      </c>
      <c r="I3404" s="1" t="n">
        <v>14766</v>
      </c>
      <c r="J3404" s="1" t="n">
        <v>100119</v>
      </c>
      <c r="K3404" s="1" t="n">
        <v>120</v>
      </c>
      <c r="L3404" s="1" t="s">
        <v>3728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5" t="n">
        <v>46203</v>
      </c>
      <c r="C3405" s="1" t="n">
        <v>1</v>
      </c>
      <c r="D3405" s="1" t="s">
        <v>2317</v>
      </c>
      <c r="E3405" s="1" t="n">
        <v>1615</v>
      </c>
      <c r="F3405" s="1" t="s">
        <v>130</v>
      </c>
      <c r="I3405" s="1" t="n">
        <v>14766</v>
      </c>
      <c r="J3405" s="1" t="n">
        <v>37771</v>
      </c>
      <c r="K3405" s="1" t="n">
        <v>774574</v>
      </c>
      <c r="L3405" s="1" t="s">
        <v>2569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5" t="n">
        <v>46203</v>
      </c>
      <c r="C3406" s="1" t="n">
        <v>1</v>
      </c>
      <c r="D3406" s="1" t="s">
        <v>2317</v>
      </c>
      <c r="E3406" s="1" t="n">
        <v>1701</v>
      </c>
      <c r="F3406" s="1" t="s">
        <v>1263</v>
      </c>
      <c r="I3406" s="1" t="n">
        <v>142426</v>
      </c>
      <c r="J3406" s="1" t="n">
        <v>20913</v>
      </c>
      <c r="K3406" s="1" t="n">
        <v>7896248500326</v>
      </c>
      <c r="L3406" s="1" t="s">
        <v>3796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5" t="n">
        <v>46203</v>
      </c>
      <c r="C3407" s="1" t="n">
        <v>1</v>
      </c>
      <c r="D3407" s="1" t="s">
        <v>2317</v>
      </c>
      <c r="E3407" s="1" t="n">
        <v>1701</v>
      </c>
      <c r="F3407" s="1" t="s">
        <v>1263</v>
      </c>
      <c r="I3407" s="1" t="n">
        <v>142426</v>
      </c>
      <c r="J3407" s="1" t="n">
        <v>24192</v>
      </c>
      <c r="K3407" s="1" t="n">
        <v>7896248500319</v>
      </c>
      <c r="L3407" s="1" t="s">
        <v>3797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5" t="n">
        <v>46203</v>
      </c>
      <c r="C3408" s="1" t="n">
        <v>2</v>
      </c>
      <c r="D3408" s="1" t="s">
        <v>2283</v>
      </c>
      <c r="E3408" s="1" t="n">
        <v>42</v>
      </c>
      <c r="F3408" s="1" t="s">
        <v>80</v>
      </c>
      <c r="I3408" s="1" t="n">
        <v>300601</v>
      </c>
      <c r="J3408" s="1" t="n">
        <v>110142</v>
      </c>
      <c r="K3408" s="1" t="n">
        <v>16699</v>
      </c>
      <c r="L3408" s="1" t="s">
        <v>2334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5" t="n">
        <v>46203</v>
      </c>
      <c r="C3409" s="1" t="n">
        <v>2</v>
      </c>
      <c r="D3409" s="1" t="s">
        <v>2283</v>
      </c>
      <c r="E3409" s="1" t="n">
        <v>42</v>
      </c>
      <c r="F3409" s="1" t="s">
        <v>80</v>
      </c>
      <c r="I3409" s="1" t="n">
        <v>300602</v>
      </c>
      <c r="J3409" s="1" t="n">
        <v>37361</v>
      </c>
      <c r="K3409" s="1" t="n">
        <v>2240817</v>
      </c>
      <c r="L3409" s="1" t="s">
        <v>2286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5" t="n">
        <v>46203</v>
      </c>
      <c r="C3410" s="1" t="n">
        <v>2</v>
      </c>
      <c r="D3410" s="1" t="s">
        <v>2283</v>
      </c>
      <c r="E3410" s="1" t="n">
        <v>42</v>
      </c>
      <c r="F3410" s="1" t="s">
        <v>80</v>
      </c>
      <c r="I3410" s="1" t="n">
        <v>300603</v>
      </c>
      <c r="J3410" s="1" t="n">
        <v>100062</v>
      </c>
      <c r="K3410" s="1" t="n">
        <v>63</v>
      </c>
      <c r="L3410" s="1" t="s">
        <v>2320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5" t="n">
        <v>46203</v>
      </c>
      <c r="C3411" s="1" t="n">
        <v>2</v>
      </c>
      <c r="D3411" s="1" t="s">
        <v>2283</v>
      </c>
      <c r="E3411" s="1" t="n">
        <v>42</v>
      </c>
      <c r="F3411" s="1" t="s">
        <v>80</v>
      </c>
      <c r="I3411" s="1" t="n">
        <v>300603</v>
      </c>
      <c r="J3411" s="1" t="n">
        <v>100104</v>
      </c>
      <c r="K3411" s="1" t="n">
        <v>105</v>
      </c>
      <c r="L3411" s="1" t="s">
        <v>2321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5" t="n">
        <v>46203</v>
      </c>
      <c r="C3412" s="1" t="n">
        <v>2</v>
      </c>
      <c r="D3412" s="1" t="s">
        <v>2283</v>
      </c>
      <c r="E3412" s="1" t="n">
        <v>42</v>
      </c>
      <c r="F3412" s="1" t="s">
        <v>80</v>
      </c>
      <c r="I3412" s="1" t="n">
        <v>300603</v>
      </c>
      <c r="J3412" s="1" t="n">
        <v>100105</v>
      </c>
      <c r="K3412" s="1" t="n">
        <v>106</v>
      </c>
      <c r="L3412" s="1" t="s">
        <v>2322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5" t="n">
        <v>46203</v>
      </c>
      <c r="C3413" s="1" t="n">
        <v>2</v>
      </c>
      <c r="D3413" s="1" t="s">
        <v>2283</v>
      </c>
      <c r="E3413" s="1" t="n">
        <v>42</v>
      </c>
      <c r="F3413" s="1" t="s">
        <v>80</v>
      </c>
      <c r="I3413" s="1" t="n">
        <v>300603</v>
      </c>
      <c r="J3413" s="1" t="n">
        <v>100107</v>
      </c>
      <c r="K3413" s="1" t="n">
        <v>108</v>
      </c>
      <c r="L3413" s="1" t="s">
        <v>2323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5" t="n">
        <v>46203</v>
      </c>
      <c r="C3414" s="1" t="n">
        <v>2</v>
      </c>
      <c r="D3414" s="1" t="s">
        <v>2283</v>
      </c>
      <c r="E3414" s="1" t="n">
        <v>42</v>
      </c>
      <c r="F3414" s="1" t="s">
        <v>80</v>
      </c>
      <c r="I3414" s="1" t="n">
        <v>300603</v>
      </c>
      <c r="J3414" s="1" t="n">
        <v>100109</v>
      </c>
      <c r="K3414" s="1" t="n">
        <v>110</v>
      </c>
      <c r="L3414" s="1" t="s">
        <v>2324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5" t="n">
        <v>46203</v>
      </c>
      <c r="C3415" s="1" t="n">
        <v>2</v>
      </c>
      <c r="D3415" s="1" t="s">
        <v>2283</v>
      </c>
      <c r="E3415" s="1" t="n">
        <v>42</v>
      </c>
      <c r="F3415" s="1" t="s">
        <v>80</v>
      </c>
      <c r="I3415" s="1" t="n">
        <v>300603</v>
      </c>
      <c r="J3415" s="1" t="n">
        <v>100110</v>
      </c>
      <c r="K3415" s="1" t="n">
        <v>111</v>
      </c>
      <c r="L3415" s="1" t="s">
        <v>2473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5" t="n">
        <v>46203</v>
      </c>
      <c r="C3416" s="1" t="n">
        <v>2</v>
      </c>
      <c r="D3416" s="1" t="s">
        <v>2283</v>
      </c>
      <c r="E3416" s="1" t="n">
        <v>42</v>
      </c>
      <c r="F3416" s="1" t="s">
        <v>80</v>
      </c>
      <c r="I3416" s="1" t="n">
        <v>300603</v>
      </c>
      <c r="J3416" s="1" t="n">
        <v>100115</v>
      </c>
      <c r="K3416" s="1" t="n">
        <v>116</v>
      </c>
      <c r="L3416" s="1" t="s">
        <v>2474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5" t="n">
        <v>46203</v>
      </c>
      <c r="C3417" s="1" t="n">
        <v>2</v>
      </c>
      <c r="D3417" s="1" t="s">
        <v>2283</v>
      </c>
      <c r="E3417" s="1" t="n">
        <v>42</v>
      </c>
      <c r="F3417" s="1" t="s">
        <v>80</v>
      </c>
      <c r="I3417" s="1" t="n">
        <v>300603</v>
      </c>
      <c r="J3417" s="1" t="n">
        <v>100116</v>
      </c>
      <c r="K3417" s="1" t="n">
        <v>117</v>
      </c>
      <c r="L3417" s="1" t="s">
        <v>2327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5" t="n">
        <v>46203</v>
      </c>
      <c r="C3418" s="1" t="n">
        <v>2</v>
      </c>
      <c r="D3418" s="1" t="s">
        <v>2283</v>
      </c>
      <c r="E3418" s="1" t="n">
        <v>42</v>
      </c>
      <c r="F3418" s="1" t="s">
        <v>80</v>
      </c>
      <c r="I3418" s="1" t="n">
        <v>300603</v>
      </c>
      <c r="J3418" s="1" t="n">
        <v>100118</v>
      </c>
      <c r="K3418" s="1" t="n">
        <v>119</v>
      </c>
      <c r="L3418" s="1" t="s">
        <v>2328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5" t="n">
        <v>46203</v>
      </c>
      <c r="C3419" s="1" t="n">
        <v>2</v>
      </c>
      <c r="D3419" s="1" t="s">
        <v>2283</v>
      </c>
      <c r="E3419" s="1" t="n">
        <v>42</v>
      </c>
      <c r="F3419" s="1" t="s">
        <v>80</v>
      </c>
      <c r="I3419" s="1" t="n">
        <v>300603</v>
      </c>
      <c r="J3419" s="1" t="n">
        <v>100121</v>
      </c>
      <c r="K3419" s="1" t="n">
        <v>122</v>
      </c>
      <c r="L3419" s="1" t="s">
        <v>2329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5" t="n">
        <v>46203</v>
      </c>
      <c r="C3420" s="1" t="n">
        <v>2</v>
      </c>
      <c r="D3420" s="1" t="s">
        <v>2283</v>
      </c>
      <c r="E3420" s="1" t="n">
        <v>42</v>
      </c>
      <c r="F3420" s="1" t="s">
        <v>80</v>
      </c>
      <c r="I3420" s="1" t="n">
        <v>300603</v>
      </c>
      <c r="J3420" s="1" t="n">
        <v>100122</v>
      </c>
      <c r="K3420" s="1" t="n">
        <v>123</v>
      </c>
      <c r="L3420" s="1" t="s">
        <v>2330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5" t="n">
        <v>46203</v>
      </c>
      <c r="C3421" s="1" t="n">
        <v>2</v>
      </c>
      <c r="D3421" s="1" t="s">
        <v>2283</v>
      </c>
      <c r="E3421" s="1" t="n">
        <v>42</v>
      </c>
      <c r="F3421" s="1" t="s">
        <v>80</v>
      </c>
      <c r="I3421" s="1" t="n">
        <v>300603</v>
      </c>
      <c r="J3421" s="1" t="n">
        <v>100123</v>
      </c>
      <c r="K3421" s="1" t="n">
        <v>124</v>
      </c>
      <c r="L3421" s="1" t="s">
        <v>2475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5" t="n">
        <v>46203</v>
      </c>
      <c r="C3422" s="1" t="n">
        <v>2</v>
      </c>
      <c r="D3422" s="1" t="s">
        <v>2283</v>
      </c>
      <c r="E3422" s="1" t="n">
        <v>42</v>
      </c>
      <c r="F3422" s="1" t="s">
        <v>80</v>
      </c>
      <c r="I3422" s="1" t="n">
        <v>300603</v>
      </c>
      <c r="J3422" s="1" t="n">
        <v>100124</v>
      </c>
      <c r="K3422" s="1" t="n">
        <v>125</v>
      </c>
      <c r="L3422" s="1" t="s">
        <v>2476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5" t="n">
        <v>46203</v>
      </c>
      <c r="C3423" s="1" t="n">
        <v>2</v>
      </c>
      <c r="D3423" s="1" t="s">
        <v>2283</v>
      </c>
      <c r="E3423" s="1" t="n">
        <v>42</v>
      </c>
      <c r="F3423" s="1" t="s">
        <v>80</v>
      </c>
      <c r="I3423" s="1" t="n">
        <v>300603</v>
      </c>
      <c r="J3423" s="1" t="n">
        <v>100125</v>
      </c>
      <c r="K3423" s="1" t="n">
        <v>126</v>
      </c>
      <c r="L3423" s="1" t="s">
        <v>2477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5" t="n">
        <v>46203</v>
      </c>
      <c r="C3424" s="1" t="n">
        <v>2</v>
      </c>
      <c r="D3424" s="1" t="s">
        <v>2283</v>
      </c>
      <c r="E3424" s="1" t="n">
        <v>42</v>
      </c>
      <c r="F3424" s="1" t="s">
        <v>80</v>
      </c>
      <c r="I3424" s="1" t="n">
        <v>300603</v>
      </c>
      <c r="J3424" s="1" t="n">
        <v>100129</v>
      </c>
      <c r="K3424" s="1" t="n">
        <v>130</v>
      </c>
      <c r="L3424" s="1" t="s">
        <v>3729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5" t="n">
        <v>46203</v>
      </c>
      <c r="C3425" s="1" t="n">
        <v>2</v>
      </c>
      <c r="D3425" s="1" t="s">
        <v>2283</v>
      </c>
      <c r="E3425" s="1" t="n">
        <v>42</v>
      </c>
      <c r="F3425" s="1" t="s">
        <v>80</v>
      </c>
      <c r="I3425" s="1" t="n">
        <v>300603</v>
      </c>
      <c r="J3425" s="1" t="n">
        <v>100130</v>
      </c>
      <c r="K3425" s="1" t="n">
        <v>131</v>
      </c>
      <c r="L3425" s="1" t="s">
        <v>2331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5" t="n">
        <v>46203</v>
      </c>
      <c r="C3426" s="1" t="n">
        <v>2</v>
      </c>
      <c r="D3426" s="1" t="s">
        <v>2283</v>
      </c>
      <c r="E3426" s="1" t="n">
        <v>42</v>
      </c>
      <c r="F3426" s="1" t="s">
        <v>80</v>
      </c>
      <c r="I3426" s="1" t="n">
        <v>300603</v>
      </c>
      <c r="J3426" s="1" t="n">
        <v>100132</v>
      </c>
      <c r="K3426" s="1" t="n">
        <v>133</v>
      </c>
      <c r="L3426" s="1" t="s">
        <v>3104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5" t="n">
        <v>46203</v>
      </c>
      <c r="C3427" s="1" t="n">
        <v>2</v>
      </c>
      <c r="D3427" s="1" t="s">
        <v>2283</v>
      </c>
      <c r="E3427" s="1" t="n">
        <v>42</v>
      </c>
      <c r="F3427" s="1" t="s">
        <v>80</v>
      </c>
      <c r="I3427" s="1" t="n">
        <v>300603</v>
      </c>
      <c r="J3427" s="1" t="n">
        <v>100133</v>
      </c>
      <c r="K3427" s="1" t="n">
        <v>134</v>
      </c>
      <c r="L3427" s="1" t="s">
        <v>2332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5" t="n">
        <v>46203</v>
      </c>
      <c r="C3428" s="1" t="n">
        <v>2</v>
      </c>
      <c r="D3428" s="1" t="s">
        <v>2283</v>
      </c>
      <c r="E3428" s="1" t="n">
        <v>42</v>
      </c>
      <c r="F3428" s="1" t="s">
        <v>80</v>
      </c>
      <c r="I3428" s="1" t="n">
        <v>300603</v>
      </c>
      <c r="J3428" s="1" t="n">
        <v>100148</v>
      </c>
      <c r="K3428" s="1" t="n">
        <v>149</v>
      </c>
      <c r="L3428" s="1" t="s">
        <v>2676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5" t="n">
        <v>46203</v>
      </c>
      <c r="C3429" s="1" t="n">
        <v>2</v>
      </c>
      <c r="D3429" s="1" t="s">
        <v>2283</v>
      </c>
      <c r="E3429" s="1" t="n">
        <v>42</v>
      </c>
      <c r="F3429" s="1" t="s">
        <v>80</v>
      </c>
      <c r="I3429" s="1" t="n">
        <v>300603</v>
      </c>
      <c r="J3429" s="1" t="n">
        <v>110265</v>
      </c>
      <c r="K3429" s="1" t="n">
        <v>41346</v>
      </c>
      <c r="L3429" s="1" t="s">
        <v>2478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5" t="n">
        <v>46203</v>
      </c>
      <c r="C3430" s="1" t="n">
        <v>2</v>
      </c>
      <c r="D3430" s="1" t="s">
        <v>2283</v>
      </c>
      <c r="E3430" s="1" t="n">
        <v>42</v>
      </c>
      <c r="F3430" s="1" t="s">
        <v>80</v>
      </c>
      <c r="I3430" s="1" t="n">
        <v>300603</v>
      </c>
      <c r="J3430" s="1" t="n">
        <v>43627</v>
      </c>
      <c r="K3430" s="1" t="n">
        <v>1175</v>
      </c>
      <c r="L3430" s="1" t="s">
        <v>2479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5" t="n">
        <v>46203</v>
      </c>
      <c r="C3431" s="1" t="n">
        <v>2</v>
      </c>
      <c r="D3431" s="1" t="s">
        <v>2283</v>
      </c>
      <c r="E3431" s="1" t="n">
        <v>42</v>
      </c>
      <c r="F3431" s="1" t="s">
        <v>80</v>
      </c>
      <c r="I3431" s="1" t="n">
        <v>300604</v>
      </c>
      <c r="J3431" s="1" t="n">
        <v>100103</v>
      </c>
      <c r="K3431" s="1" t="n">
        <v>104</v>
      </c>
      <c r="L3431" s="1" t="s">
        <v>2287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5" t="n">
        <v>46203</v>
      </c>
      <c r="C3432" s="1" t="n">
        <v>6</v>
      </c>
      <c r="D3432" s="1" t="s">
        <v>2289</v>
      </c>
      <c r="E3432" s="1" t="n">
        <v>42</v>
      </c>
      <c r="F3432" s="1" t="s">
        <v>80</v>
      </c>
      <c r="I3432" s="1" t="n">
        <v>4326</v>
      </c>
      <c r="J3432" s="1" t="n">
        <v>110142</v>
      </c>
      <c r="K3432" s="1" t="n">
        <v>16699</v>
      </c>
      <c r="L3432" s="1" t="s">
        <v>2334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5" t="n">
        <v>46203</v>
      </c>
      <c r="C3433" s="1" t="n">
        <v>6</v>
      </c>
      <c r="D3433" s="1" t="s">
        <v>2289</v>
      </c>
      <c r="E3433" s="1" t="n">
        <v>42</v>
      </c>
      <c r="F3433" s="1" t="s">
        <v>80</v>
      </c>
      <c r="I3433" s="1" t="n">
        <v>4327</v>
      </c>
      <c r="J3433" s="1" t="n">
        <v>37361</v>
      </c>
      <c r="K3433" s="1" t="n">
        <v>2240817</v>
      </c>
      <c r="L3433" s="1" t="s">
        <v>2286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5" t="n">
        <v>46203</v>
      </c>
      <c r="C3434" s="1" t="n">
        <v>6</v>
      </c>
      <c r="D3434" s="1" t="s">
        <v>2289</v>
      </c>
      <c r="E3434" s="1" t="n">
        <v>42</v>
      </c>
      <c r="F3434" s="1" t="s">
        <v>80</v>
      </c>
      <c r="I3434" s="1" t="n">
        <v>4335</v>
      </c>
      <c r="J3434" s="1" t="n">
        <v>100062</v>
      </c>
      <c r="K3434" s="1" t="n">
        <v>63</v>
      </c>
      <c r="L3434" s="1" t="s">
        <v>2320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5" t="n">
        <v>46203</v>
      </c>
      <c r="C3435" s="1" t="n">
        <v>6</v>
      </c>
      <c r="D3435" s="1" t="s">
        <v>2289</v>
      </c>
      <c r="E3435" s="1" t="n">
        <v>42</v>
      </c>
      <c r="F3435" s="1" t="s">
        <v>80</v>
      </c>
      <c r="I3435" s="1" t="n">
        <v>4335</v>
      </c>
      <c r="J3435" s="1" t="n">
        <v>100104</v>
      </c>
      <c r="K3435" s="1" t="n">
        <v>105</v>
      </c>
      <c r="L3435" s="1" t="s">
        <v>2321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5" t="n">
        <v>46203</v>
      </c>
      <c r="C3436" s="1" t="n">
        <v>6</v>
      </c>
      <c r="D3436" s="1" t="s">
        <v>2289</v>
      </c>
      <c r="E3436" s="1" t="n">
        <v>42</v>
      </c>
      <c r="F3436" s="1" t="s">
        <v>80</v>
      </c>
      <c r="I3436" s="1" t="n">
        <v>4335</v>
      </c>
      <c r="J3436" s="1" t="n">
        <v>100105</v>
      </c>
      <c r="K3436" s="1" t="n">
        <v>106</v>
      </c>
      <c r="L3436" s="1" t="s">
        <v>2322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5" t="n">
        <v>46203</v>
      </c>
      <c r="C3437" s="1" t="n">
        <v>6</v>
      </c>
      <c r="D3437" s="1" t="s">
        <v>2289</v>
      </c>
      <c r="E3437" s="1" t="n">
        <v>42</v>
      </c>
      <c r="F3437" s="1" t="s">
        <v>80</v>
      </c>
      <c r="I3437" s="1" t="n">
        <v>4335</v>
      </c>
      <c r="J3437" s="1" t="n">
        <v>100107</v>
      </c>
      <c r="K3437" s="1" t="n">
        <v>108</v>
      </c>
      <c r="L3437" s="1" t="s">
        <v>2323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5" t="n">
        <v>46203</v>
      </c>
      <c r="C3438" s="1" t="n">
        <v>6</v>
      </c>
      <c r="D3438" s="1" t="s">
        <v>2289</v>
      </c>
      <c r="E3438" s="1" t="n">
        <v>42</v>
      </c>
      <c r="F3438" s="1" t="s">
        <v>80</v>
      </c>
      <c r="I3438" s="1" t="n">
        <v>4335</v>
      </c>
      <c r="J3438" s="1" t="n">
        <v>100109</v>
      </c>
      <c r="K3438" s="1" t="n">
        <v>110</v>
      </c>
      <c r="L3438" s="1" t="s">
        <v>2324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5" t="n">
        <v>46203</v>
      </c>
      <c r="C3439" s="1" t="n">
        <v>6</v>
      </c>
      <c r="D3439" s="1" t="s">
        <v>2289</v>
      </c>
      <c r="E3439" s="1" t="n">
        <v>42</v>
      </c>
      <c r="F3439" s="1" t="s">
        <v>80</v>
      </c>
      <c r="I3439" s="1" t="n">
        <v>4335</v>
      </c>
      <c r="J3439" s="1" t="n">
        <v>100110</v>
      </c>
      <c r="K3439" s="1" t="n">
        <v>111</v>
      </c>
      <c r="L3439" s="1" t="s">
        <v>2473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5" t="n">
        <v>46203</v>
      </c>
      <c r="C3440" s="1" t="n">
        <v>6</v>
      </c>
      <c r="D3440" s="1" t="s">
        <v>2289</v>
      </c>
      <c r="E3440" s="1" t="n">
        <v>42</v>
      </c>
      <c r="F3440" s="1" t="s">
        <v>80</v>
      </c>
      <c r="I3440" s="1" t="n">
        <v>4335</v>
      </c>
      <c r="J3440" s="1" t="n">
        <v>100115</v>
      </c>
      <c r="K3440" s="1" t="n">
        <v>116</v>
      </c>
      <c r="L3440" s="1" t="s">
        <v>2474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5" t="n">
        <v>46203</v>
      </c>
      <c r="C3441" s="1" t="n">
        <v>6</v>
      </c>
      <c r="D3441" s="1" t="s">
        <v>2289</v>
      </c>
      <c r="E3441" s="1" t="n">
        <v>42</v>
      </c>
      <c r="F3441" s="1" t="s">
        <v>80</v>
      </c>
      <c r="I3441" s="1" t="n">
        <v>4335</v>
      </c>
      <c r="J3441" s="1" t="n">
        <v>100116</v>
      </c>
      <c r="K3441" s="1" t="n">
        <v>117</v>
      </c>
      <c r="L3441" s="1" t="s">
        <v>2327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5" t="n">
        <v>46203</v>
      </c>
      <c r="C3442" s="1" t="n">
        <v>6</v>
      </c>
      <c r="D3442" s="1" t="s">
        <v>2289</v>
      </c>
      <c r="E3442" s="1" t="n">
        <v>42</v>
      </c>
      <c r="F3442" s="1" t="s">
        <v>80</v>
      </c>
      <c r="I3442" s="1" t="n">
        <v>4335</v>
      </c>
      <c r="J3442" s="1" t="n">
        <v>100118</v>
      </c>
      <c r="K3442" s="1" t="n">
        <v>119</v>
      </c>
      <c r="L3442" s="1" t="s">
        <v>2328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5" t="n">
        <v>46203</v>
      </c>
      <c r="C3443" s="1" t="n">
        <v>6</v>
      </c>
      <c r="D3443" s="1" t="s">
        <v>2289</v>
      </c>
      <c r="E3443" s="1" t="n">
        <v>42</v>
      </c>
      <c r="F3443" s="1" t="s">
        <v>80</v>
      </c>
      <c r="I3443" s="1" t="n">
        <v>4335</v>
      </c>
      <c r="J3443" s="1" t="n">
        <v>100121</v>
      </c>
      <c r="K3443" s="1" t="n">
        <v>122</v>
      </c>
      <c r="L3443" s="1" t="s">
        <v>2329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5" t="n">
        <v>46203</v>
      </c>
      <c r="C3444" s="1" t="n">
        <v>6</v>
      </c>
      <c r="D3444" s="1" t="s">
        <v>2289</v>
      </c>
      <c r="E3444" s="1" t="n">
        <v>42</v>
      </c>
      <c r="F3444" s="1" t="s">
        <v>80</v>
      </c>
      <c r="I3444" s="1" t="n">
        <v>4335</v>
      </c>
      <c r="J3444" s="1" t="n">
        <v>100122</v>
      </c>
      <c r="K3444" s="1" t="n">
        <v>123</v>
      </c>
      <c r="L3444" s="1" t="s">
        <v>2330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5" t="n">
        <v>46203</v>
      </c>
      <c r="C3445" s="1" t="n">
        <v>6</v>
      </c>
      <c r="D3445" s="1" t="s">
        <v>2289</v>
      </c>
      <c r="E3445" s="1" t="n">
        <v>42</v>
      </c>
      <c r="F3445" s="1" t="s">
        <v>80</v>
      </c>
      <c r="I3445" s="1" t="n">
        <v>4335</v>
      </c>
      <c r="J3445" s="1" t="n">
        <v>100123</v>
      </c>
      <c r="K3445" s="1" t="n">
        <v>124</v>
      </c>
      <c r="L3445" s="1" t="s">
        <v>2475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5" t="n">
        <v>46203</v>
      </c>
      <c r="C3446" s="1" t="n">
        <v>6</v>
      </c>
      <c r="D3446" s="1" t="s">
        <v>2289</v>
      </c>
      <c r="E3446" s="1" t="n">
        <v>42</v>
      </c>
      <c r="F3446" s="1" t="s">
        <v>80</v>
      </c>
      <c r="I3446" s="1" t="n">
        <v>4335</v>
      </c>
      <c r="J3446" s="1" t="n">
        <v>100124</v>
      </c>
      <c r="K3446" s="1" t="n">
        <v>125</v>
      </c>
      <c r="L3446" s="1" t="s">
        <v>2476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5" t="n">
        <v>46203</v>
      </c>
      <c r="C3447" s="1" t="n">
        <v>6</v>
      </c>
      <c r="D3447" s="1" t="s">
        <v>2289</v>
      </c>
      <c r="E3447" s="1" t="n">
        <v>42</v>
      </c>
      <c r="F3447" s="1" t="s">
        <v>80</v>
      </c>
      <c r="I3447" s="1" t="n">
        <v>4335</v>
      </c>
      <c r="J3447" s="1" t="n">
        <v>100125</v>
      </c>
      <c r="K3447" s="1" t="n">
        <v>126</v>
      </c>
      <c r="L3447" s="1" t="s">
        <v>2477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5" t="n">
        <v>46203</v>
      </c>
      <c r="C3448" s="1" t="n">
        <v>6</v>
      </c>
      <c r="D3448" s="1" t="s">
        <v>2289</v>
      </c>
      <c r="E3448" s="1" t="n">
        <v>42</v>
      </c>
      <c r="F3448" s="1" t="s">
        <v>80</v>
      </c>
      <c r="I3448" s="1" t="n">
        <v>4335</v>
      </c>
      <c r="J3448" s="1" t="n">
        <v>100129</v>
      </c>
      <c r="K3448" s="1" t="n">
        <v>130</v>
      </c>
      <c r="L3448" s="1" t="s">
        <v>3729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5" t="n">
        <v>46203</v>
      </c>
      <c r="C3449" s="1" t="n">
        <v>6</v>
      </c>
      <c r="D3449" s="1" t="s">
        <v>2289</v>
      </c>
      <c r="E3449" s="1" t="n">
        <v>42</v>
      </c>
      <c r="F3449" s="1" t="s">
        <v>80</v>
      </c>
      <c r="I3449" s="1" t="n">
        <v>4335</v>
      </c>
      <c r="J3449" s="1" t="n">
        <v>100130</v>
      </c>
      <c r="K3449" s="1" t="n">
        <v>131</v>
      </c>
      <c r="L3449" s="1" t="s">
        <v>2331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5" t="n">
        <v>46203</v>
      </c>
      <c r="C3450" s="1" t="n">
        <v>6</v>
      </c>
      <c r="D3450" s="1" t="s">
        <v>2289</v>
      </c>
      <c r="E3450" s="1" t="n">
        <v>42</v>
      </c>
      <c r="F3450" s="1" t="s">
        <v>80</v>
      </c>
      <c r="I3450" s="1" t="n">
        <v>4335</v>
      </c>
      <c r="J3450" s="1" t="n">
        <v>100132</v>
      </c>
      <c r="K3450" s="1" t="n">
        <v>133</v>
      </c>
      <c r="L3450" s="1" t="s">
        <v>3104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5" t="n">
        <v>46203</v>
      </c>
      <c r="C3451" s="1" t="n">
        <v>6</v>
      </c>
      <c r="D3451" s="1" t="s">
        <v>2289</v>
      </c>
      <c r="E3451" s="1" t="n">
        <v>42</v>
      </c>
      <c r="F3451" s="1" t="s">
        <v>80</v>
      </c>
      <c r="I3451" s="1" t="n">
        <v>4335</v>
      </c>
      <c r="J3451" s="1" t="n">
        <v>100133</v>
      </c>
      <c r="K3451" s="1" t="n">
        <v>134</v>
      </c>
      <c r="L3451" s="1" t="s">
        <v>2332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5" t="n">
        <v>46203</v>
      </c>
      <c r="C3452" s="1" t="n">
        <v>6</v>
      </c>
      <c r="D3452" s="1" t="s">
        <v>2289</v>
      </c>
      <c r="E3452" s="1" t="n">
        <v>42</v>
      </c>
      <c r="F3452" s="1" t="s">
        <v>80</v>
      </c>
      <c r="I3452" s="1" t="n">
        <v>4335</v>
      </c>
      <c r="J3452" s="1" t="n">
        <v>100148</v>
      </c>
      <c r="K3452" s="1" t="n">
        <v>149</v>
      </c>
      <c r="L3452" s="1" t="s">
        <v>2676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5" t="n">
        <v>46203</v>
      </c>
      <c r="C3453" s="1" t="n">
        <v>6</v>
      </c>
      <c r="D3453" s="1" t="s">
        <v>2289</v>
      </c>
      <c r="E3453" s="1" t="n">
        <v>42</v>
      </c>
      <c r="F3453" s="1" t="s">
        <v>80</v>
      </c>
      <c r="I3453" s="1" t="n">
        <v>4335</v>
      </c>
      <c r="J3453" s="1" t="n">
        <v>110265</v>
      </c>
      <c r="K3453" s="1" t="n">
        <v>41346</v>
      </c>
      <c r="L3453" s="1" t="s">
        <v>2478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5" t="n">
        <v>46203</v>
      </c>
      <c r="C3454" s="1" t="n">
        <v>6</v>
      </c>
      <c r="D3454" s="1" t="s">
        <v>2289</v>
      </c>
      <c r="E3454" s="1" t="n">
        <v>42</v>
      </c>
      <c r="F3454" s="1" t="s">
        <v>80</v>
      </c>
      <c r="I3454" s="1" t="n">
        <v>4335</v>
      </c>
      <c r="J3454" s="1" t="n">
        <v>43627</v>
      </c>
      <c r="K3454" s="1" t="n">
        <v>1175</v>
      </c>
      <c r="L3454" s="1" t="s">
        <v>2479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5" t="n">
        <v>46203</v>
      </c>
      <c r="C3455" s="1" t="n">
        <v>6</v>
      </c>
      <c r="D3455" s="1" t="s">
        <v>2289</v>
      </c>
      <c r="E3455" s="1" t="n">
        <v>42</v>
      </c>
      <c r="F3455" s="1" t="s">
        <v>80</v>
      </c>
      <c r="I3455" s="1" t="n">
        <v>4336</v>
      </c>
      <c r="J3455" s="1" t="n">
        <v>100103</v>
      </c>
      <c r="K3455" s="1" t="n">
        <v>104</v>
      </c>
      <c r="L3455" s="1" t="s">
        <v>2287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5" t="n">
        <v>46203</v>
      </c>
      <c r="C3456" s="1" t="n">
        <v>11</v>
      </c>
      <c r="D3456" s="1" t="s">
        <v>2290</v>
      </c>
      <c r="E3456" s="1" t="n">
        <v>754</v>
      </c>
      <c r="F3456" s="1" t="s">
        <v>223</v>
      </c>
      <c r="I3456" s="1" t="n">
        <v>31454</v>
      </c>
      <c r="J3456" s="1" t="n">
        <v>110396</v>
      </c>
      <c r="K3456" s="1" t="n">
        <v>51241</v>
      </c>
      <c r="L3456" s="1" t="s">
        <v>3798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5" t="n">
        <v>46203</v>
      </c>
      <c r="C3457" s="1" t="n">
        <v>11</v>
      </c>
      <c r="D3457" s="1" t="s">
        <v>2290</v>
      </c>
      <c r="E3457" s="1" t="n">
        <v>754</v>
      </c>
      <c r="F3457" s="1" t="s">
        <v>223</v>
      </c>
      <c r="I3457" s="1" t="n">
        <v>31455</v>
      </c>
      <c r="J3457" s="1" t="n">
        <v>29079</v>
      </c>
      <c r="K3457" s="1" t="n">
        <v>55515</v>
      </c>
      <c r="L3457" s="1" t="s">
        <v>2360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5" t="n">
        <v>46203</v>
      </c>
      <c r="C3458" s="1" t="n">
        <v>11</v>
      </c>
      <c r="D3458" s="1" t="s">
        <v>2290</v>
      </c>
      <c r="E3458" s="1" t="n">
        <v>10011</v>
      </c>
      <c r="F3458" s="1" t="s">
        <v>284</v>
      </c>
      <c r="I3458" s="1" t="n">
        <v>34468</v>
      </c>
      <c r="J3458" s="1" t="n">
        <v>100359</v>
      </c>
      <c r="K3458" s="1" t="n">
        <v>230</v>
      </c>
      <c r="L3458" s="1" t="s">
        <v>3799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5" t="n">
        <v>46203</v>
      </c>
      <c r="C3459" s="1" t="n">
        <v>11</v>
      </c>
      <c r="D3459" s="1" t="s">
        <v>2290</v>
      </c>
      <c r="E3459" s="1" t="n">
        <v>10011</v>
      </c>
      <c r="F3459" s="1" t="s">
        <v>284</v>
      </c>
      <c r="I3459" s="1" t="n">
        <v>34468</v>
      </c>
      <c r="J3459" s="1" t="n">
        <v>100361</v>
      </c>
      <c r="K3459" s="1" t="n">
        <v>232</v>
      </c>
      <c r="L3459" s="1" t="s">
        <v>3800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5" t="n">
        <v>46203</v>
      </c>
      <c r="C3460" s="1" t="n">
        <v>11</v>
      </c>
      <c r="D3460" s="1" t="s">
        <v>2290</v>
      </c>
      <c r="E3460" s="1" t="n">
        <v>10011</v>
      </c>
      <c r="F3460" s="1" t="s">
        <v>284</v>
      </c>
      <c r="I3460" s="1" t="n">
        <v>34468</v>
      </c>
      <c r="J3460" s="1" t="n">
        <v>100362</v>
      </c>
      <c r="K3460" s="1" t="n">
        <v>233</v>
      </c>
      <c r="L3460" s="1" t="s">
        <v>3801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5" t="n">
        <v>46203</v>
      </c>
      <c r="C3461" s="1" t="n">
        <v>11</v>
      </c>
      <c r="D3461" s="1" t="s">
        <v>2290</v>
      </c>
      <c r="E3461" s="1" t="n">
        <v>10011</v>
      </c>
      <c r="F3461" s="1" t="s">
        <v>284</v>
      </c>
      <c r="I3461" s="1" t="n">
        <v>34468</v>
      </c>
      <c r="J3461" s="1" t="n">
        <v>100363</v>
      </c>
      <c r="K3461" s="1" t="n">
        <v>234</v>
      </c>
      <c r="L3461" s="1" t="s">
        <v>3802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5" t="n">
        <v>46203</v>
      </c>
      <c r="C3462" s="1" t="n">
        <v>11</v>
      </c>
      <c r="D3462" s="1" t="s">
        <v>2290</v>
      </c>
      <c r="E3462" s="1" t="n">
        <v>10011</v>
      </c>
      <c r="F3462" s="1" t="s">
        <v>284</v>
      </c>
      <c r="I3462" s="1" t="n">
        <v>34468</v>
      </c>
      <c r="J3462" s="1" t="n">
        <v>100484</v>
      </c>
      <c r="K3462" s="1" t="n">
        <v>355</v>
      </c>
      <c r="L3462" s="1" t="s">
        <v>3803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5" t="n">
        <v>46203</v>
      </c>
      <c r="C3463" s="1" t="n">
        <v>11</v>
      </c>
      <c r="D3463" s="1" t="s">
        <v>2290</v>
      </c>
      <c r="E3463" s="1" t="n">
        <v>10011</v>
      </c>
      <c r="F3463" s="1" t="s">
        <v>284</v>
      </c>
      <c r="I3463" s="1" t="n">
        <v>34468</v>
      </c>
      <c r="J3463" s="1" t="n">
        <v>100491</v>
      </c>
      <c r="K3463" s="1" t="n">
        <v>362</v>
      </c>
      <c r="L3463" s="1" t="s">
        <v>3804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5" t="n">
        <v>46203</v>
      </c>
      <c r="C3464" s="1" t="n">
        <v>11</v>
      </c>
      <c r="D3464" s="1" t="s">
        <v>2290</v>
      </c>
      <c r="E3464" s="1" t="n">
        <v>1955</v>
      </c>
      <c r="F3464" s="1" t="s">
        <v>2216</v>
      </c>
      <c r="I3464" s="1" t="n">
        <v>47141</v>
      </c>
      <c r="J3464" s="1" t="n">
        <v>45154</v>
      </c>
      <c r="K3464" s="1" t="n">
        <v>2246390</v>
      </c>
      <c r="L3464" s="1" t="s">
        <v>3505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5" t="n">
        <v>46203</v>
      </c>
      <c r="C3465" s="1" t="n">
        <v>11</v>
      </c>
      <c r="D3465" s="1" t="s">
        <v>2290</v>
      </c>
      <c r="E3465" s="1" t="n">
        <v>1955</v>
      </c>
      <c r="F3465" s="1" t="s">
        <v>2216</v>
      </c>
      <c r="I3465" s="1" t="n">
        <v>47141</v>
      </c>
      <c r="J3465" s="1" t="n">
        <v>45155</v>
      </c>
      <c r="K3465" s="1" t="n">
        <v>2246406</v>
      </c>
      <c r="L3465" s="1" t="s">
        <v>3506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5" t="n">
        <v>46203</v>
      </c>
      <c r="C3466" s="1" t="n">
        <v>11</v>
      </c>
      <c r="D3466" s="1" t="s">
        <v>2290</v>
      </c>
      <c r="E3466" s="1" t="n">
        <v>1723</v>
      </c>
      <c r="F3466" s="1" t="s">
        <v>76</v>
      </c>
      <c r="I3466" s="1" t="n">
        <v>172355</v>
      </c>
      <c r="J3466" s="1" t="n">
        <v>29079</v>
      </c>
      <c r="K3466" s="1" t="n">
        <v>55515</v>
      </c>
      <c r="L3466" s="1" t="s">
        <v>2360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5" t="n">
        <v>46203</v>
      </c>
      <c r="C3467" s="1" t="n">
        <v>11</v>
      </c>
      <c r="D3467" s="1" t="s">
        <v>2290</v>
      </c>
      <c r="E3467" s="1" t="n">
        <v>1634</v>
      </c>
      <c r="F3467" s="1" t="s">
        <v>1069</v>
      </c>
      <c r="I3467" s="1" t="n">
        <v>327464</v>
      </c>
      <c r="J3467" s="1" t="n">
        <v>30319</v>
      </c>
      <c r="K3467" s="1" t="n">
        <v>7896080900889</v>
      </c>
      <c r="L3467" s="1" t="s">
        <v>3805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5" t="n">
        <v>46203</v>
      </c>
      <c r="C3468" s="1" t="n">
        <v>11</v>
      </c>
      <c r="D3468" s="1" t="s">
        <v>2290</v>
      </c>
      <c r="E3468" s="1" t="n">
        <v>1634</v>
      </c>
      <c r="F3468" s="1" t="s">
        <v>1069</v>
      </c>
      <c r="I3468" s="1" t="n">
        <v>327464</v>
      </c>
      <c r="J3468" s="1" t="n">
        <v>13170</v>
      </c>
      <c r="K3468" s="1" t="n">
        <v>7896037913252</v>
      </c>
      <c r="L3468" s="1" t="s">
        <v>3806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5" t="n">
        <v>46203</v>
      </c>
      <c r="C3469" s="1" t="n">
        <v>11</v>
      </c>
      <c r="D3469" s="1" t="s">
        <v>2290</v>
      </c>
      <c r="E3469" s="1" t="n">
        <v>1671</v>
      </c>
      <c r="F3469" s="1" t="s">
        <v>57</v>
      </c>
      <c r="I3469" s="1" t="n">
        <v>576607</v>
      </c>
      <c r="J3469" s="1" t="n">
        <v>16150</v>
      </c>
      <c r="K3469" s="1" t="n">
        <v>7896111907184</v>
      </c>
      <c r="L3469" s="1" t="s">
        <v>3807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5" t="n">
        <v>46203</v>
      </c>
      <c r="C3470" s="1" t="n">
        <v>11</v>
      </c>
      <c r="D3470" s="1" t="s">
        <v>2290</v>
      </c>
      <c r="E3470" s="1" t="n">
        <v>1671</v>
      </c>
      <c r="F3470" s="1" t="s">
        <v>57</v>
      </c>
      <c r="I3470" s="1" t="n">
        <v>576607</v>
      </c>
      <c r="J3470" s="1" t="n">
        <v>16155</v>
      </c>
      <c r="K3470" s="1" t="n">
        <v>7896111944912</v>
      </c>
      <c r="L3470" s="1" t="s">
        <v>3808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5" t="n">
        <v>46203</v>
      </c>
      <c r="C3471" s="1" t="n">
        <v>11</v>
      </c>
      <c r="D3471" s="1" t="s">
        <v>2290</v>
      </c>
      <c r="E3471" s="1" t="n">
        <v>1671</v>
      </c>
      <c r="F3471" s="1" t="s">
        <v>57</v>
      </c>
      <c r="I3471" s="1" t="n">
        <v>576607</v>
      </c>
      <c r="J3471" s="1" t="n">
        <v>16576</v>
      </c>
      <c r="K3471" s="1" t="n">
        <v>7896111930748</v>
      </c>
      <c r="L3471" s="1" t="s">
        <v>3809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5" t="n">
        <v>46203</v>
      </c>
      <c r="C3472" s="1" t="n">
        <v>11</v>
      </c>
      <c r="D3472" s="1" t="s">
        <v>2290</v>
      </c>
      <c r="E3472" s="1" t="n">
        <v>1671</v>
      </c>
      <c r="F3472" s="1" t="s">
        <v>57</v>
      </c>
      <c r="I3472" s="1" t="n">
        <v>576607</v>
      </c>
      <c r="J3472" s="1" t="n">
        <v>18155</v>
      </c>
      <c r="K3472" s="1" t="n">
        <v>7896111945933</v>
      </c>
      <c r="L3472" s="1" t="s">
        <v>3810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5" t="n">
        <v>46203</v>
      </c>
      <c r="C3473" s="1" t="n">
        <v>11</v>
      </c>
      <c r="D3473" s="1" t="s">
        <v>2290</v>
      </c>
      <c r="E3473" s="1" t="n">
        <v>1671</v>
      </c>
      <c r="F3473" s="1" t="s">
        <v>57</v>
      </c>
      <c r="I3473" s="1" t="n">
        <v>576607</v>
      </c>
      <c r="J3473" s="1" t="n">
        <v>51620</v>
      </c>
      <c r="K3473" s="1" t="n">
        <v>7896111908471</v>
      </c>
      <c r="L3473" s="1" t="s">
        <v>3811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5" t="n">
        <v>46203</v>
      </c>
      <c r="C3474" s="1" t="n">
        <v>11</v>
      </c>
      <c r="D3474" s="1" t="s">
        <v>2290</v>
      </c>
      <c r="E3474" s="1" t="n">
        <v>1671</v>
      </c>
      <c r="F3474" s="1" t="s">
        <v>57</v>
      </c>
      <c r="I3474" s="1" t="n">
        <v>576607</v>
      </c>
      <c r="J3474" s="1" t="n">
        <v>66155</v>
      </c>
      <c r="K3474" s="1" t="n">
        <v>7896111999974</v>
      </c>
      <c r="L3474" s="1" t="s">
        <v>3812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5" t="n">
        <v>46203</v>
      </c>
      <c r="C3475" s="1" t="n">
        <v>11</v>
      </c>
      <c r="D3475" s="1" t="s">
        <v>2290</v>
      </c>
      <c r="E3475" s="1" t="n">
        <v>1671</v>
      </c>
      <c r="F3475" s="1" t="s">
        <v>57</v>
      </c>
      <c r="I3475" s="1" t="n">
        <v>576607</v>
      </c>
      <c r="J3475" s="1" t="n">
        <v>71948</v>
      </c>
      <c r="K3475" s="1" t="n">
        <v>7896111901373</v>
      </c>
      <c r="L3475" s="1" t="s">
        <v>3813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5" t="n">
        <v>46203</v>
      </c>
      <c r="C3476" s="1" t="n">
        <v>11</v>
      </c>
      <c r="D3476" s="1" t="s">
        <v>2290</v>
      </c>
      <c r="E3476" s="1" t="n">
        <v>1671</v>
      </c>
      <c r="F3476" s="1" t="s">
        <v>57</v>
      </c>
      <c r="I3476" s="1" t="n">
        <v>576607</v>
      </c>
      <c r="J3476" s="1" t="n">
        <v>81598</v>
      </c>
      <c r="K3476" s="1" t="n">
        <v>7896111901380</v>
      </c>
      <c r="L3476" s="1" t="s">
        <v>3814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5" t="n">
        <v>46203</v>
      </c>
      <c r="C3477" s="1" t="n">
        <v>11</v>
      </c>
      <c r="D3477" s="1" t="s">
        <v>2290</v>
      </c>
      <c r="E3477" s="1" t="n">
        <v>1671</v>
      </c>
      <c r="F3477" s="1" t="s">
        <v>57</v>
      </c>
      <c r="I3477" s="1" t="n">
        <v>576607</v>
      </c>
      <c r="J3477" s="1" t="n">
        <v>81600</v>
      </c>
      <c r="K3477" s="1" t="n">
        <v>7896111901397</v>
      </c>
      <c r="L3477" s="1" t="s">
        <v>3815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5" t="n">
        <v>46203</v>
      </c>
      <c r="C3478" s="1" t="n">
        <v>11</v>
      </c>
      <c r="D3478" s="1" t="s">
        <v>2290</v>
      </c>
      <c r="E3478" s="1" t="n">
        <v>1671</v>
      </c>
      <c r="F3478" s="1" t="s">
        <v>57</v>
      </c>
      <c r="I3478" s="1" t="n">
        <v>576607</v>
      </c>
      <c r="J3478" s="1" t="n">
        <v>81602</v>
      </c>
      <c r="K3478" s="1" t="n">
        <v>7896111901328</v>
      </c>
      <c r="L3478" s="1" t="s">
        <v>3816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5" t="n">
        <v>46203</v>
      </c>
      <c r="C3479" s="1" t="n">
        <v>11</v>
      </c>
      <c r="D3479" s="1" t="s">
        <v>2290</v>
      </c>
      <c r="E3479" s="1" t="n">
        <v>1671</v>
      </c>
      <c r="F3479" s="1" t="s">
        <v>57</v>
      </c>
      <c r="I3479" s="1" t="n">
        <v>576607</v>
      </c>
      <c r="J3479" s="1" t="n">
        <v>81603</v>
      </c>
      <c r="K3479" s="1" t="n">
        <v>7896111901366</v>
      </c>
      <c r="L3479" s="1" t="s">
        <v>3817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5" t="n">
        <v>46203</v>
      </c>
      <c r="C3480" s="1" t="n">
        <v>11</v>
      </c>
      <c r="D3480" s="1" t="s">
        <v>2290</v>
      </c>
      <c r="E3480" s="1" t="n">
        <v>1671</v>
      </c>
      <c r="F3480" s="1" t="s">
        <v>57</v>
      </c>
      <c r="I3480" s="1" t="n">
        <v>576607</v>
      </c>
      <c r="J3480" s="1" t="n">
        <v>81604</v>
      </c>
      <c r="K3480" s="1" t="n">
        <v>7896111901359</v>
      </c>
      <c r="L3480" s="1" t="s">
        <v>3818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5" t="n">
        <v>46203</v>
      </c>
      <c r="C3481" s="1" t="n">
        <v>11</v>
      </c>
      <c r="D3481" s="1" t="s">
        <v>2290</v>
      </c>
      <c r="E3481" s="1" t="n">
        <v>1671</v>
      </c>
      <c r="F3481" s="1" t="s">
        <v>57</v>
      </c>
      <c r="I3481" s="1" t="n">
        <v>576607</v>
      </c>
      <c r="J3481" s="1" t="n">
        <v>81606</v>
      </c>
      <c r="K3481" s="1" t="n">
        <v>7896111906934</v>
      </c>
      <c r="L3481" s="1" t="s">
        <v>3819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5" t="n">
        <v>46203</v>
      </c>
      <c r="C3482" s="1" t="n">
        <v>11</v>
      </c>
      <c r="D3482" s="1" t="s">
        <v>2290</v>
      </c>
      <c r="E3482" s="1" t="n">
        <v>1671</v>
      </c>
      <c r="F3482" s="1" t="s">
        <v>57</v>
      </c>
      <c r="I3482" s="1" t="n">
        <v>576607</v>
      </c>
      <c r="J3482" s="1" t="n">
        <v>81607</v>
      </c>
      <c r="K3482" s="1" t="n">
        <v>7896111906729</v>
      </c>
      <c r="L3482" s="1" t="s">
        <v>3820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5" t="n">
        <v>46203</v>
      </c>
      <c r="C3483" s="1" t="n">
        <v>11</v>
      </c>
      <c r="D3483" s="1" t="s">
        <v>2290</v>
      </c>
      <c r="E3483" s="1" t="n">
        <v>1671</v>
      </c>
      <c r="F3483" s="1" t="s">
        <v>57</v>
      </c>
      <c r="I3483" s="1" t="n">
        <v>576607</v>
      </c>
      <c r="J3483" s="1" t="n">
        <v>81609</v>
      </c>
      <c r="K3483" s="1" t="n">
        <v>7896111906958</v>
      </c>
      <c r="L3483" s="1" t="s">
        <v>3821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5" t="n">
        <v>46203</v>
      </c>
      <c r="C3484" s="1" t="n">
        <v>11</v>
      </c>
      <c r="D3484" s="1" t="s">
        <v>2290</v>
      </c>
      <c r="E3484" s="1" t="n">
        <v>1671</v>
      </c>
      <c r="F3484" s="1" t="s">
        <v>57</v>
      </c>
      <c r="I3484" s="1" t="n">
        <v>576607</v>
      </c>
      <c r="J3484" s="1" t="n">
        <v>81610</v>
      </c>
      <c r="K3484" s="1" t="n">
        <v>7896111906941</v>
      </c>
      <c r="L3484" s="1" t="s">
        <v>3822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5" t="n">
        <v>46203</v>
      </c>
      <c r="C3485" s="1" t="n">
        <v>11</v>
      </c>
      <c r="D3485" s="1" t="s">
        <v>2290</v>
      </c>
      <c r="E3485" s="1" t="n">
        <v>1671</v>
      </c>
      <c r="F3485" s="1" t="s">
        <v>57</v>
      </c>
      <c r="I3485" s="1" t="n">
        <v>576607</v>
      </c>
      <c r="J3485" s="1" t="n">
        <v>81611</v>
      </c>
      <c r="K3485" s="1" t="n">
        <v>7896111906712</v>
      </c>
      <c r="L3485" s="1" t="s">
        <v>3823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5" t="n">
        <v>46203</v>
      </c>
      <c r="C3486" s="1" t="n">
        <v>11</v>
      </c>
      <c r="D3486" s="1" t="s">
        <v>2290</v>
      </c>
      <c r="E3486" s="1" t="n">
        <v>1705</v>
      </c>
      <c r="F3486" s="1" t="s">
        <v>122</v>
      </c>
      <c r="I3486" s="1" t="n">
        <v>1181094</v>
      </c>
      <c r="J3486" s="1" t="n">
        <v>102360</v>
      </c>
      <c r="K3486" s="1" t="n">
        <v>7894900593709</v>
      </c>
      <c r="L3486" s="1" t="s">
        <v>3187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5" t="n">
        <v>46203</v>
      </c>
      <c r="C3487" s="1" t="n">
        <v>11</v>
      </c>
      <c r="D3487" s="1" t="s">
        <v>2290</v>
      </c>
      <c r="E3487" s="1" t="n">
        <v>1705</v>
      </c>
      <c r="F3487" s="1" t="s">
        <v>122</v>
      </c>
      <c r="I3487" s="1" t="n">
        <v>1181094</v>
      </c>
      <c r="J3487" s="1" t="n">
        <v>102362</v>
      </c>
      <c r="K3487" s="1" t="n">
        <v>7894900583700</v>
      </c>
      <c r="L3487" s="1" t="s">
        <v>3188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5" t="n">
        <v>46203</v>
      </c>
      <c r="C3488" s="1" t="n">
        <v>11</v>
      </c>
      <c r="D3488" s="1" t="s">
        <v>2290</v>
      </c>
      <c r="E3488" s="1" t="n">
        <v>1705</v>
      </c>
      <c r="F3488" s="1" t="s">
        <v>122</v>
      </c>
      <c r="I3488" s="1" t="n">
        <v>1181094</v>
      </c>
      <c r="J3488" s="1" t="n">
        <v>24324</v>
      </c>
      <c r="K3488" s="1" t="n">
        <v>70847022015</v>
      </c>
      <c r="L3488" s="1" t="s">
        <v>2292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5" t="n">
        <v>46203</v>
      </c>
      <c r="C3489" s="1" t="n">
        <v>11</v>
      </c>
      <c r="D3489" s="1" t="s">
        <v>2290</v>
      </c>
      <c r="E3489" s="1" t="n">
        <v>1705</v>
      </c>
      <c r="F3489" s="1" t="s">
        <v>122</v>
      </c>
      <c r="I3489" s="1" t="n">
        <v>1181094</v>
      </c>
      <c r="J3489" s="1" t="n">
        <v>25136</v>
      </c>
      <c r="K3489" s="1" t="n">
        <v>70847022206</v>
      </c>
      <c r="L3489" s="1" t="s">
        <v>2293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5" t="n">
        <v>46203</v>
      </c>
      <c r="C3490" s="1" t="n">
        <v>11</v>
      </c>
      <c r="D3490" s="1" t="s">
        <v>2290</v>
      </c>
      <c r="E3490" s="1" t="n">
        <v>1705</v>
      </c>
      <c r="F3490" s="1" t="s">
        <v>122</v>
      </c>
      <c r="I3490" s="1" t="n">
        <v>1181094</v>
      </c>
      <c r="J3490" s="1" t="n">
        <v>29748</v>
      </c>
      <c r="K3490" s="1" t="n">
        <v>70847033301</v>
      </c>
      <c r="L3490" s="1" t="s">
        <v>3611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5" t="n">
        <v>46203</v>
      </c>
      <c r="C3491" s="1" t="n">
        <v>11</v>
      </c>
      <c r="D3491" s="1" t="s">
        <v>2290</v>
      </c>
      <c r="E3491" s="1" t="n">
        <v>1705</v>
      </c>
      <c r="F3491" s="1" t="s">
        <v>122</v>
      </c>
      <c r="I3491" s="1" t="n">
        <v>1181094</v>
      </c>
      <c r="J3491" s="1" t="n">
        <v>54315</v>
      </c>
      <c r="K3491" s="1" t="n">
        <v>1220000250222</v>
      </c>
      <c r="L3491" s="1" t="s">
        <v>2296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5" t="n">
        <v>46203</v>
      </c>
      <c r="C3492" s="1" t="n">
        <v>11</v>
      </c>
      <c r="D3492" s="1" t="s">
        <v>2290</v>
      </c>
      <c r="E3492" s="1" t="n">
        <v>1705</v>
      </c>
      <c r="F3492" s="1" t="s">
        <v>122</v>
      </c>
      <c r="I3492" s="1" t="n">
        <v>1181094</v>
      </c>
      <c r="J3492" s="1" t="n">
        <v>62378</v>
      </c>
      <c r="K3492" s="1" t="n">
        <v>7896045506934</v>
      </c>
      <c r="L3492" s="1" t="s">
        <v>3190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5" t="n">
        <v>46203</v>
      </c>
      <c r="C3493" s="1" t="n">
        <v>11</v>
      </c>
      <c r="D3493" s="1" t="s">
        <v>2290</v>
      </c>
      <c r="E3493" s="1" t="n">
        <v>1705</v>
      </c>
      <c r="F3493" s="1" t="s">
        <v>122</v>
      </c>
      <c r="I3493" s="1" t="n">
        <v>1181094</v>
      </c>
      <c r="J3493" s="1" t="n">
        <v>66038</v>
      </c>
      <c r="K3493" s="1" t="n">
        <v>7898938890076</v>
      </c>
      <c r="L3493" s="1" t="s">
        <v>3612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5" t="n">
        <v>46203</v>
      </c>
      <c r="C3494" s="1" t="n">
        <v>11</v>
      </c>
      <c r="D3494" s="1" t="s">
        <v>2290</v>
      </c>
      <c r="E3494" s="1" t="n">
        <v>1613</v>
      </c>
      <c r="F3494" s="1" t="s">
        <v>177</v>
      </c>
      <c r="I3494" s="1" t="n">
        <v>1602316</v>
      </c>
      <c r="J3494" s="1" t="n">
        <v>103794</v>
      </c>
      <c r="K3494" s="1" t="n">
        <v>7893000488526</v>
      </c>
      <c r="L3494" s="1" t="s">
        <v>2841</v>
      </c>
      <c r="N3494" s="1" t="n">
        <v>8</v>
      </c>
      <c r="O3494" s="1" t="n">
        <v>108.76</v>
      </c>
    </row>
    <row r="3495" customFormat="false" ht="15" hidden="false" customHeight="true" outlineLevel="0" collapsed="false">
      <c r="A3495" s="1" t="n">
        <v>3</v>
      </c>
      <c r="B3495" s="15" t="n">
        <v>46203</v>
      </c>
      <c r="C3495" s="1" t="n">
        <v>11</v>
      </c>
      <c r="D3495" s="1" t="s">
        <v>2290</v>
      </c>
      <c r="E3495" s="1" t="n">
        <v>1613</v>
      </c>
      <c r="F3495" s="1" t="s">
        <v>177</v>
      </c>
      <c r="I3495" s="1" t="n">
        <v>1602316</v>
      </c>
      <c r="J3495" s="1" t="n">
        <v>100034</v>
      </c>
      <c r="K3495" s="1" t="n">
        <v>35</v>
      </c>
      <c r="L3495" s="1" t="s">
        <v>3266</v>
      </c>
      <c r="N3495" s="1" t="n">
        <v>60</v>
      </c>
      <c r="O3495" s="1" t="n">
        <v>875.4</v>
      </c>
    </row>
    <row r="3496" customFormat="false" ht="15" hidden="false" customHeight="true" outlineLevel="0" collapsed="false">
      <c r="A3496" s="1" t="n">
        <v>3</v>
      </c>
      <c r="B3496" s="15" t="n">
        <v>46203</v>
      </c>
      <c r="C3496" s="1" t="n">
        <v>11</v>
      </c>
      <c r="D3496" s="1" t="s">
        <v>2290</v>
      </c>
      <c r="E3496" s="1" t="n">
        <v>1613</v>
      </c>
      <c r="F3496" s="1" t="s">
        <v>177</v>
      </c>
      <c r="I3496" s="1" t="n">
        <v>1602316</v>
      </c>
      <c r="J3496" s="1" t="n">
        <v>100035</v>
      </c>
      <c r="K3496" s="1" t="n">
        <v>36</v>
      </c>
      <c r="L3496" s="1" t="s">
        <v>2391</v>
      </c>
      <c r="N3496" s="1" t="n">
        <v>150</v>
      </c>
      <c r="O3496" s="1" t="n">
        <v>1528.5</v>
      </c>
    </row>
    <row r="3497" customFormat="false" ht="15" hidden="false" customHeight="true" outlineLevel="0" collapsed="false">
      <c r="A3497" s="1" t="n">
        <v>3</v>
      </c>
      <c r="B3497" s="15" t="n">
        <v>46203</v>
      </c>
      <c r="C3497" s="1" t="n">
        <v>11</v>
      </c>
      <c r="D3497" s="1" t="s">
        <v>2290</v>
      </c>
      <c r="E3497" s="1" t="n">
        <v>1613</v>
      </c>
      <c r="F3497" s="1" t="s">
        <v>177</v>
      </c>
      <c r="I3497" s="1" t="n">
        <v>1602316</v>
      </c>
      <c r="J3497" s="1" t="n">
        <v>100045</v>
      </c>
      <c r="K3497" s="1" t="n">
        <v>46</v>
      </c>
      <c r="L3497" s="1" t="s">
        <v>3268</v>
      </c>
      <c r="N3497" s="1" t="n">
        <v>60</v>
      </c>
      <c r="O3497" s="1" t="n">
        <v>708</v>
      </c>
    </row>
    <row r="3498" customFormat="false" ht="15" hidden="false" customHeight="true" outlineLevel="0" collapsed="false">
      <c r="A3498" s="1" t="n">
        <v>3</v>
      </c>
      <c r="B3498" s="15" t="n">
        <v>46203</v>
      </c>
      <c r="C3498" s="1" t="n">
        <v>11</v>
      </c>
      <c r="D3498" s="1" t="s">
        <v>2290</v>
      </c>
      <c r="E3498" s="1" t="n">
        <v>1613</v>
      </c>
      <c r="F3498" s="1" t="s">
        <v>177</v>
      </c>
      <c r="I3498" s="1" t="n">
        <v>1602316</v>
      </c>
      <c r="J3498" s="1" t="n">
        <v>103851</v>
      </c>
      <c r="K3498" s="1" t="n">
        <v>7893000482401</v>
      </c>
      <c r="L3498" s="1" t="s">
        <v>2844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5" t="n">
        <v>46203</v>
      </c>
      <c r="C3499" s="1" t="n">
        <v>11</v>
      </c>
      <c r="D3499" s="1" t="s">
        <v>2290</v>
      </c>
      <c r="E3499" s="1" t="n">
        <v>1613</v>
      </c>
      <c r="F3499" s="1" t="s">
        <v>177</v>
      </c>
      <c r="I3499" s="1" t="n">
        <v>1602316</v>
      </c>
      <c r="J3499" s="1" t="n">
        <v>110181</v>
      </c>
      <c r="K3499" s="1" t="n">
        <v>37389</v>
      </c>
      <c r="L3499" s="1" t="s">
        <v>3270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5" t="n">
        <v>46203</v>
      </c>
      <c r="C3500" s="1" t="n">
        <v>11</v>
      </c>
      <c r="D3500" s="1" t="s">
        <v>2290</v>
      </c>
      <c r="E3500" s="1" t="n">
        <v>1705</v>
      </c>
      <c r="F3500" s="1" t="s">
        <v>122</v>
      </c>
      <c r="I3500" s="1" t="n">
        <v>1909041</v>
      </c>
      <c r="J3500" s="1" t="n">
        <v>30322</v>
      </c>
      <c r="K3500" s="1" t="n">
        <v>7894900681109</v>
      </c>
      <c r="L3500" s="1" t="s">
        <v>3256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5" t="n">
        <v>46203</v>
      </c>
      <c r="C3501" s="1" t="n">
        <v>11</v>
      </c>
      <c r="D3501" s="1" t="s">
        <v>2290</v>
      </c>
      <c r="E3501" s="1" t="n">
        <v>1705</v>
      </c>
      <c r="F3501" s="1" t="s">
        <v>122</v>
      </c>
      <c r="I3501" s="1" t="n">
        <v>1909041</v>
      </c>
      <c r="J3501" s="1" t="n">
        <v>103139</v>
      </c>
      <c r="K3501" s="1" t="n">
        <v>7894900051759</v>
      </c>
      <c r="L3501" s="1" t="s">
        <v>2303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5" t="n">
        <v>46203</v>
      </c>
      <c r="C3502" s="1" t="n">
        <v>11</v>
      </c>
      <c r="D3502" s="1" t="s">
        <v>2290</v>
      </c>
      <c r="E3502" s="1" t="n">
        <v>1705</v>
      </c>
      <c r="F3502" s="1" t="s">
        <v>122</v>
      </c>
      <c r="I3502" s="1" t="n">
        <v>1909041</v>
      </c>
      <c r="J3502" s="1" t="n">
        <v>103142</v>
      </c>
      <c r="K3502" s="1" t="n">
        <v>7894900011753</v>
      </c>
      <c r="L3502" s="1" t="s">
        <v>2305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5" t="n">
        <v>46203</v>
      </c>
      <c r="C3503" s="1" t="n">
        <v>11</v>
      </c>
      <c r="D3503" s="1" t="s">
        <v>2290</v>
      </c>
      <c r="E3503" s="1" t="n">
        <v>1705</v>
      </c>
      <c r="F3503" s="1" t="s">
        <v>122</v>
      </c>
      <c r="I3503" s="1" t="n">
        <v>1909041</v>
      </c>
      <c r="J3503" s="1" t="n">
        <v>105323</v>
      </c>
      <c r="K3503" s="1" t="n">
        <v>7894900701753</v>
      </c>
      <c r="L3503" s="1" t="s">
        <v>2307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5" t="n">
        <v>46203</v>
      </c>
      <c r="C3504" s="1" t="n">
        <v>11</v>
      </c>
      <c r="D3504" s="1" t="s">
        <v>2290</v>
      </c>
      <c r="E3504" s="1" t="n">
        <v>1705</v>
      </c>
      <c r="F3504" s="1" t="s">
        <v>122</v>
      </c>
      <c r="I3504" s="1" t="n">
        <v>1909041</v>
      </c>
      <c r="J3504" s="1" t="n">
        <v>10830</v>
      </c>
      <c r="K3504" s="1" t="n">
        <v>7894900701517</v>
      </c>
      <c r="L3504" s="1" t="s">
        <v>2879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5" t="n">
        <v>46203</v>
      </c>
      <c r="C3505" s="1" t="n">
        <v>11</v>
      </c>
      <c r="D3505" s="1" t="s">
        <v>2290</v>
      </c>
      <c r="E3505" s="1" t="n">
        <v>1705</v>
      </c>
      <c r="F3505" s="1" t="s">
        <v>122</v>
      </c>
      <c r="I3505" s="1" t="n">
        <v>1909041</v>
      </c>
      <c r="J3505" s="1" t="n">
        <v>21425</v>
      </c>
      <c r="K3505" s="1" t="n">
        <v>7894900034219</v>
      </c>
      <c r="L3505" s="1" t="s">
        <v>2880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5" t="n">
        <v>46203</v>
      </c>
      <c r="C3506" s="1" t="n">
        <v>11</v>
      </c>
      <c r="D3506" s="1" t="s">
        <v>2290</v>
      </c>
      <c r="E3506" s="1" t="n">
        <v>1705</v>
      </c>
      <c r="F3506" s="1" t="s">
        <v>122</v>
      </c>
      <c r="I3506" s="1" t="n">
        <v>1909041</v>
      </c>
      <c r="J3506" s="1" t="n">
        <v>21426</v>
      </c>
      <c r="K3506" s="1" t="n">
        <v>7894900014211</v>
      </c>
      <c r="L3506" s="1" t="s">
        <v>2309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5" t="n">
        <v>46203</v>
      </c>
      <c r="C3507" s="1" t="n">
        <v>11</v>
      </c>
      <c r="D3507" s="1" t="s">
        <v>2290</v>
      </c>
      <c r="E3507" s="1" t="n">
        <v>1705</v>
      </c>
      <c r="F3507" s="1" t="s">
        <v>122</v>
      </c>
      <c r="I3507" s="1" t="n">
        <v>1909041</v>
      </c>
      <c r="J3507" s="1" t="n">
        <v>27643</v>
      </c>
      <c r="K3507" s="1" t="n">
        <v>7894900031713</v>
      </c>
      <c r="L3507" s="1" t="s">
        <v>2881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5" t="n">
        <v>46203</v>
      </c>
      <c r="C3508" s="1" t="n">
        <v>11</v>
      </c>
      <c r="D3508" s="1" t="s">
        <v>2290</v>
      </c>
      <c r="E3508" s="1" t="n">
        <v>1705</v>
      </c>
      <c r="F3508" s="1" t="s">
        <v>122</v>
      </c>
      <c r="I3508" s="1" t="n">
        <v>1909041</v>
      </c>
      <c r="J3508" s="1" t="n">
        <v>28739</v>
      </c>
      <c r="K3508" s="1" t="n">
        <v>7894900027044</v>
      </c>
      <c r="L3508" s="1" t="s">
        <v>2883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5" t="n">
        <v>46203</v>
      </c>
      <c r="C3509" s="1" t="n">
        <v>11</v>
      </c>
      <c r="D3509" s="1" t="s">
        <v>2290</v>
      </c>
      <c r="E3509" s="1" t="n">
        <v>1705</v>
      </c>
      <c r="F3509" s="1" t="s">
        <v>122</v>
      </c>
      <c r="I3509" s="1" t="n">
        <v>1909041</v>
      </c>
      <c r="J3509" s="1" t="n">
        <v>29614</v>
      </c>
      <c r="K3509" s="1" t="n">
        <v>7894900550030</v>
      </c>
      <c r="L3509" s="1" t="s">
        <v>3258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5" t="n">
        <v>46203</v>
      </c>
      <c r="C3510" s="1" t="n">
        <v>11</v>
      </c>
      <c r="D3510" s="1" t="s">
        <v>2290</v>
      </c>
      <c r="E3510" s="1" t="n">
        <v>1705</v>
      </c>
      <c r="F3510" s="1" t="s">
        <v>122</v>
      </c>
      <c r="I3510" s="1" t="n">
        <v>1909041</v>
      </c>
      <c r="J3510" s="1" t="n">
        <v>30017</v>
      </c>
      <c r="K3510" s="1" t="n">
        <v>7894900680508</v>
      </c>
      <c r="L3510" s="1" t="s">
        <v>3824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5" t="n">
        <v>46203</v>
      </c>
      <c r="C3511" s="1" t="n">
        <v>11</v>
      </c>
      <c r="D3511" s="1" t="s">
        <v>2290</v>
      </c>
      <c r="E3511" s="1" t="n">
        <v>1705</v>
      </c>
      <c r="F3511" s="1" t="s">
        <v>122</v>
      </c>
      <c r="I3511" s="1" t="n">
        <v>1909041</v>
      </c>
      <c r="J3511" s="1" t="n">
        <v>31367</v>
      </c>
      <c r="K3511" s="1" t="n">
        <v>7894900704211</v>
      </c>
      <c r="L3511" s="1" t="s">
        <v>2310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5" t="n">
        <v>46203</v>
      </c>
      <c r="C3512" s="1" t="n">
        <v>11</v>
      </c>
      <c r="D3512" s="1" t="s">
        <v>2290</v>
      </c>
      <c r="E3512" s="1" t="n">
        <v>1705</v>
      </c>
      <c r="F3512" s="1" t="s">
        <v>122</v>
      </c>
      <c r="I3512" s="1" t="n">
        <v>1909041</v>
      </c>
      <c r="J3512" s="1" t="n">
        <v>31767</v>
      </c>
      <c r="K3512" s="1" t="n">
        <v>7897105250095</v>
      </c>
      <c r="L3512" s="1" t="s">
        <v>3825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5" t="n">
        <v>46203</v>
      </c>
      <c r="C3513" s="1" t="n">
        <v>11</v>
      </c>
      <c r="D3513" s="1" t="s">
        <v>2290</v>
      </c>
      <c r="E3513" s="1" t="n">
        <v>1705</v>
      </c>
      <c r="F3513" s="1" t="s">
        <v>122</v>
      </c>
      <c r="I3513" s="1" t="n">
        <v>1909041</v>
      </c>
      <c r="J3513" s="1" t="n">
        <v>32086</v>
      </c>
      <c r="K3513" s="1" t="n">
        <v>7894900027037</v>
      </c>
      <c r="L3513" s="1" t="s">
        <v>2311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5" t="n">
        <v>46203</v>
      </c>
      <c r="C3514" s="1" t="n">
        <v>11</v>
      </c>
      <c r="D3514" s="1" t="s">
        <v>2290</v>
      </c>
      <c r="E3514" s="1" t="n">
        <v>1705</v>
      </c>
      <c r="F3514" s="1" t="s">
        <v>122</v>
      </c>
      <c r="I3514" s="1" t="n">
        <v>1909041</v>
      </c>
      <c r="J3514" s="1" t="n">
        <v>32339</v>
      </c>
      <c r="K3514" s="1" t="n">
        <v>7894900681000</v>
      </c>
      <c r="L3514" s="1" t="s">
        <v>3261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5" t="n">
        <v>46203</v>
      </c>
      <c r="C3515" s="1" t="n">
        <v>11</v>
      </c>
      <c r="D3515" s="1" t="s">
        <v>2290</v>
      </c>
      <c r="E3515" s="1" t="n">
        <v>1705</v>
      </c>
      <c r="F3515" s="1" t="s">
        <v>122</v>
      </c>
      <c r="I3515" s="1" t="n">
        <v>1909041</v>
      </c>
      <c r="J3515" s="1" t="n">
        <v>34629</v>
      </c>
      <c r="K3515" s="1" t="n">
        <v>7894900027020</v>
      </c>
      <c r="L3515" s="1" t="s">
        <v>2313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5" t="n">
        <v>46203</v>
      </c>
      <c r="C3516" s="1" t="n">
        <v>11</v>
      </c>
      <c r="D3516" s="1" t="s">
        <v>2290</v>
      </c>
      <c r="E3516" s="1" t="n">
        <v>1705</v>
      </c>
      <c r="F3516" s="1" t="s">
        <v>122</v>
      </c>
      <c r="I3516" s="1" t="n">
        <v>1909041</v>
      </c>
      <c r="J3516" s="1" t="n">
        <v>37279</v>
      </c>
      <c r="K3516" s="1" t="n">
        <v>7894900027013</v>
      </c>
      <c r="L3516" s="1" t="s">
        <v>2305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5" t="n">
        <v>46203</v>
      </c>
      <c r="C3517" s="1" t="n">
        <v>11</v>
      </c>
      <c r="D3517" s="1" t="s">
        <v>2290</v>
      </c>
      <c r="E3517" s="1" t="n">
        <v>1705</v>
      </c>
      <c r="F3517" s="1" t="s">
        <v>122</v>
      </c>
      <c r="I3517" s="1" t="n">
        <v>1909041</v>
      </c>
      <c r="J3517" s="1" t="n">
        <v>38060</v>
      </c>
      <c r="K3517" s="1" t="n">
        <v>7894900701609</v>
      </c>
      <c r="L3517" s="1" t="s">
        <v>2884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5" t="n">
        <v>46203</v>
      </c>
      <c r="C3518" s="1" t="n">
        <v>11</v>
      </c>
      <c r="D3518" s="1" t="s">
        <v>2290</v>
      </c>
      <c r="E3518" s="1" t="n">
        <v>1705</v>
      </c>
      <c r="F3518" s="1" t="s">
        <v>122</v>
      </c>
      <c r="I3518" s="1" t="n">
        <v>1909041</v>
      </c>
      <c r="J3518" s="1" t="n">
        <v>38984</v>
      </c>
      <c r="K3518" s="1" t="n">
        <v>7894900027457</v>
      </c>
      <c r="L3518" s="1" t="s">
        <v>2315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5" t="n">
        <v>46203</v>
      </c>
      <c r="C3519" s="1" t="n">
        <v>11</v>
      </c>
      <c r="D3519" s="1" t="s">
        <v>2290</v>
      </c>
      <c r="E3519" s="1" t="n">
        <v>1705</v>
      </c>
      <c r="F3519" s="1" t="s">
        <v>122</v>
      </c>
      <c r="I3519" s="1" t="n">
        <v>1909041</v>
      </c>
      <c r="J3519" s="1" t="n">
        <v>41322</v>
      </c>
      <c r="K3519" s="1" t="n">
        <v>7897105200076</v>
      </c>
      <c r="L3519" s="1" t="s">
        <v>3639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5" t="n">
        <v>46203</v>
      </c>
      <c r="C3520" s="1" t="n">
        <v>22</v>
      </c>
      <c r="D3520" s="1" t="s">
        <v>2436</v>
      </c>
      <c r="E3520" s="1" t="n">
        <v>42</v>
      </c>
      <c r="F3520" s="1" t="s">
        <v>80</v>
      </c>
      <c r="I3520" s="1" t="n">
        <v>4332</v>
      </c>
      <c r="J3520" s="1" t="n">
        <v>100000</v>
      </c>
      <c r="K3520" s="1" t="n">
        <v>1</v>
      </c>
      <c r="L3520" s="1" t="s">
        <v>2451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5" t="n">
        <v>46203</v>
      </c>
      <c r="C3521" s="1" t="n">
        <v>22</v>
      </c>
      <c r="D3521" s="1" t="s">
        <v>2436</v>
      </c>
      <c r="E3521" s="1" t="n">
        <v>42</v>
      </c>
      <c r="F3521" s="1" t="s">
        <v>80</v>
      </c>
      <c r="I3521" s="1" t="n">
        <v>4332</v>
      </c>
      <c r="J3521" s="1" t="n">
        <v>100004</v>
      </c>
      <c r="K3521" s="1" t="n">
        <v>5</v>
      </c>
      <c r="L3521" s="1" t="s">
        <v>2667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5" t="n">
        <v>46203</v>
      </c>
      <c r="C3522" s="1" t="n">
        <v>22</v>
      </c>
      <c r="D3522" s="1" t="s">
        <v>2436</v>
      </c>
      <c r="E3522" s="1" t="n">
        <v>42</v>
      </c>
      <c r="F3522" s="1" t="s">
        <v>80</v>
      </c>
      <c r="I3522" s="1" t="n">
        <v>4332</v>
      </c>
      <c r="J3522" s="1" t="n">
        <v>100006</v>
      </c>
      <c r="K3522" s="1" t="n">
        <v>7</v>
      </c>
      <c r="L3522" s="1" t="s">
        <v>2437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5" t="n">
        <v>46203</v>
      </c>
      <c r="C3523" s="1" t="n">
        <v>22</v>
      </c>
      <c r="D3523" s="1" t="s">
        <v>2436</v>
      </c>
      <c r="E3523" s="1" t="n">
        <v>42</v>
      </c>
      <c r="F3523" s="1" t="s">
        <v>80</v>
      </c>
      <c r="I3523" s="1" t="n">
        <v>4332</v>
      </c>
      <c r="J3523" s="1" t="n">
        <v>100007</v>
      </c>
      <c r="K3523" s="1" t="n">
        <v>8</v>
      </c>
      <c r="L3523" s="1" t="s">
        <v>2455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5" t="n">
        <v>46203</v>
      </c>
      <c r="C3524" s="1" t="n">
        <v>22</v>
      </c>
      <c r="D3524" s="1" t="s">
        <v>2436</v>
      </c>
      <c r="E3524" s="1" t="n">
        <v>42</v>
      </c>
      <c r="F3524" s="1" t="s">
        <v>80</v>
      </c>
      <c r="I3524" s="1" t="n">
        <v>4332</v>
      </c>
      <c r="J3524" s="1" t="n">
        <v>100008</v>
      </c>
      <c r="K3524" s="1" t="n">
        <v>9</v>
      </c>
      <c r="L3524" s="1" t="s">
        <v>2438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5" t="n">
        <v>46203</v>
      </c>
      <c r="C3525" s="1" t="n">
        <v>22</v>
      </c>
      <c r="D3525" s="1" t="s">
        <v>2436</v>
      </c>
      <c r="E3525" s="1" t="n">
        <v>42</v>
      </c>
      <c r="F3525" s="1" t="s">
        <v>80</v>
      </c>
      <c r="I3525" s="1" t="n">
        <v>4332</v>
      </c>
      <c r="J3525" s="1" t="n">
        <v>100010</v>
      </c>
      <c r="K3525" s="1" t="n">
        <v>11</v>
      </c>
      <c r="L3525" s="1" t="s">
        <v>2439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5" t="n">
        <v>46203</v>
      </c>
      <c r="C3526" s="1" t="n">
        <v>22</v>
      </c>
      <c r="D3526" s="1" t="s">
        <v>2436</v>
      </c>
      <c r="E3526" s="1" t="n">
        <v>42</v>
      </c>
      <c r="F3526" s="1" t="s">
        <v>80</v>
      </c>
      <c r="I3526" s="1" t="n">
        <v>4332</v>
      </c>
      <c r="J3526" s="1" t="n">
        <v>100011</v>
      </c>
      <c r="K3526" s="1" t="n">
        <v>12</v>
      </c>
      <c r="L3526" s="1" t="s">
        <v>2440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5" t="n">
        <v>46203</v>
      </c>
      <c r="C3527" s="1" t="n">
        <v>22</v>
      </c>
      <c r="D3527" s="1" t="s">
        <v>2436</v>
      </c>
      <c r="E3527" s="1" t="n">
        <v>42</v>
      </c>
      <c r="F3527" s="1" t="s">
        <v>80</v>
      </c>
      <c r="I3527" s="1" t="n">
        <v>4332</v>
      </c>
      <c r="J3527" s="1" t="n">
        <v>100012</v>
      </c>
      <c r="K3527" s="1" t="n">
        <v>13</v>
      </c>
      <c r="L3527" s="1" t="s">
        <v>2441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5" t="n">
        <v>46203</v>
      </c>
      <c r="C3528" s="1" t="n">
        <v>22</v>
      </c>
      <c r="D3528" s="1" t="s">
        <v>2436</v>
      </c>
      <c r="E3528" s="1" t="n">
        <v>42</v>
      </c>
      <c r="F3528" s="1" t="s">
        <v>80</v>
      </c>
      <c r="I3528" s="1" t="n">
        <v>4332</v>
      </c>
      <c r="J3528" s="1" t="n">
        <v>100013</v>
      </c>
      <c r="K3528" s="1" t="n">
        <v>14</v>
      </c>
      <c r="L3528" s="1" t="s">
        <v>2442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5" t="n">
        <v>46203</v>
      </c>
      <c r="C3529" s="1" t="n">
        <v>22</v>
      </c>
      <c r="D3529" s="1" t="s">
        <v>2436</v>
      </c>
      <c r="E3529" s="1" t="n">
        <v>42</v>
      </c>
      <c r="F3529" s="1" t="s">
        <v>80</v>
      </c>
      <c r="I3529" s="1" t="n">
        <v>4332</v>
      </c>
      <c r="J3529" s="1" t="n">
        <v>100014</v>
      </c>
      <c r="K3529" s="1" t="n">
        <v>15</v>
      </c>
      <c r="L3529" s="1" t="s">
        <v>2443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5" t="n">
        <v>46203</v>
      </c>
      <c r="C3530" s="1" t="n">
        <v>22</v>
      </c>
      <c r="D3530" s="1" t="s">
        <v>2436</v>
      </c>
      <c r="E3530" s="1" t="n">
        <v>42</v>
      </c>
      <c r="F3530" s="1" t="s">
        <v>80</v>
      </c>
      <c r="I3530" s="1" t="n">
        <v>4332</v>
      </c>
      <c r="J3530" s="1" t="n">
        <v>100015</v>
      </c>
      <c r="K3530" s="1" t="n">
        <v>16</v>
      </c>
      <c r="L3530" s="1" t="s">
        <v>2444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5" t="n">
        <v>46203</v>
      </c>
      <c r="C3531" s="1" t="n">
        <v>22</v>
      </c>
      <c r="D3531" s="1" t="s">
        <v>2436</v>
      </c>
      <c r="E3531" s="1" t="n">
        <v>42</v>
      </c>
      <c r="F3531" s="1" t="s">
        <v>80</v>
      </c>
      <c r="I3531" s="1" t="n">
        <v>4332</v>
      </c>
      <c r="J3531" s="1" t="n">
        <v>100016</v>
      </c>
      <c r="K3531" s="1" t="n">
        <v>17</v>
      </c>
      <c r="L3531" s="1" t="s">
        <v>2445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5" t="n">
        <v>46203</v>
      </c>
      <c r="C3532" s="1" t="n">
        <v>22</v>
      </c>
      <c r="D3532" s="1" t="s">
        <v>2436</v>
      </c>
      <c r="E3532" s="1" t="n">
        <v>42</v>
      </c>
      <c r="F3532" s="1" t="s">
        <v>80</v>
      </c>
      <c r="I3532" s="1" t="n">
        <v>4332</v>
      </c>
      <c r="J3532" s="1" t="n">
        <v>100017</v>
      </c>
      <c r="K3532" s="1" t="n">
        <v>18</v>
      </c>
      <c r="L3532" s="1" t="s">
        <v>2446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5" t="n">
        <v>46203</v>
      </c>
      <c r="C3533" s="1" t="n">
        <v>22</v>
      </c>
      <c r="D3533" s="1" t="s">
        <v>2436</v>
      </c>
      <c r="E3533" s="1" t="n">
        <v>42</v>
      </c>
      <c r="F3533" s="1" t="s">
        <v>80</v>
      </c>
      <c r="I3533" s="1" t="n">
        <v>4332</v>
      </c>
      <c r="J3533" s="1" t="n">
        <v>100020</v>
      </c>
      <c r="K3533" s="1" t="n">
        <v>21</v>
      </c>
      <c r="L3533" s="1" t="s">
        <v>2456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5" t="n">
        <v>46203</v>
      </c>
      <c r="C3534" s="1" t="n">
        <v>22</v>
      </c>
      <c r="D3534" s="1" t="s">
        <v>2436</v>
      </c>
      <c r="E3534" s="1" t="n">
        <v>42</v>
      </c>
      <c r="F3534" s="1" t="s">
        <v>80</v>
      </c>
      <c r="I3534" s="1" t="n">
        <v>4332</v>
      </c>
      <c r="J3534" s="1" t="n">
        <v>100638</v>
      </c>
      <c r="K3534" s="1" t="n">
        <v>508</v>
      </c>
      <c r="L3534" s="1" t="s">
        <v>2448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5" t="n">
        <v>46203</v>
      </c>
      <c r="C3535" s="1" t="n">
        <v>22</v>
      </c>
      <c r="D3535" s="1" t="s">
        <v>2436</v>
      </c>
      <c r="E3535" s="1" t="n">
        <v>42</v>
      </c>
      <c r="F3535" s="1" t="s">
        <v>80</v>
      </c>
      <c r="I3535" s="1" t="n">
        <v>4332</v>
      </c>
      <c r="J3535" s="1" t="n">
        <v>100520</v>
      </c>
      <c r="K3535" s="1" t="n">
        <v>507</v>
      </c>
      <c r="L3535" s="1" t="s">
        <v>2449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5" t="n">
        <v>46203</v>
      </c>
      <c r="C3536" s="1" t="n">
        <v>22</v>
      </c>
      <c r="D3536" s="1" t="s">
        <v>2436</v>
      </c>
      <c r="E3536" s="1" t="n">
        <v>42</v>
      </c>
      <c r="F3536" s="1" t="s">
        <v>80</v>
      </c>
      <c r="I3536" s="1" t="n">
        <v>4332</v>
      </c>
      <c r="J3536" s="1" t="n">
        <v>110455</v>
      </c>
      <c r="K3536" s="1" t="n">
        <v>53212</v>
      </c>
      <c r="L3536" s="1" t="s">
        <v>2450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5" t="n">
        <v>46203</v>
      </c>
      <c r="C3537" s="1" t="n">
        <v>22</v>
      </c>
      <c r="D3537" s="1" t="s">
        <v>2436</v>
      </c>
      <c r="E3537" s="1" t="n">
        <v>42</v>
      </c>
      <c r="F3537" s="1" t="s">
        <v>80</v>
      </c>
      <c r="I3537" s="1" t="n">
        <v>4334</v>
      </c>
      <c r="J3537" s="1" t="n">
        <v>100006</v>
      </c>
      <c r="K3537" s="1" t="n">
        <v>7</v>
      </c>
      <c r="L3537" s="1" t="s">
        <v>2437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5" t="n">
        <v>46203</v>
      </c>
      <c r="C3538" s="1" t="n">
        <v>22</v>
      </c>
      <c r="D3538" s="1" t="s">
        <v>2436</v>
      </c>
      <c r="E3538" s="1" t="n">
        <v>42</v>
      </c>
      <c r="F3538" s="1" t="s">
        <v>80</v>
      </c>
      <c r="I3538" s="1" t="n">
        <v>4334</v>
      </c>
      <c r="J3538" s="1" t="n">
        <v>100008</v>
      </c>
      <c r="K3538" s="1" t="n">
        <v>9</v>
      </c>
      <c r="L3538" s="1" t="s">
        <v>2438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5" t="n">
        <v>46203</v>
      </c>
      <c r="C3539" s="1" t="n">
        <v>22</v>
      </c>
      <c r="D3539" s="1" t="s">
        <v>2436</v>
      </c>
      <c r="E3539" s="1" t="n">
        <v>42</v>
      </c>
      <c r="F3539" s="1" t="s">
        <v>80</v>
      </c>
      <c r="I3539" s="1" t="n">
        <v>4334</v>
      </c>
      <c r="J3539" s="1" t="n">
        <v>100010</v>
      </c>
      <c r="K3539" s="1" t="n">
        <v>11</v>
      </c>
      <c r="L3539" s="1" t="s">
        <v>2439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5" t="n">
        <v>46203</v>
      </c>
      <c r="C3540" s="1" t="n">
        <v>22</v>
      </c>
      <c r="D3540" s="1" t="s">
        <v>2436</v>
      </c>
      <c r="E3540" s="1" t="n">
        <v>42</v>
      </c>
      <c r="F3540" s="1" t="s">
        <v>80</v>
      </c>
      <c r="I3540" s="1" t="n">
        <v>4334</v>
      </c>
      <c r="J3540" s="1" t="n">
        <v>100011</v>
      </c>
      <c r="K3540" s="1" t="n">
        <v>12</v>
      </c>
      <c r="L3540" s="1" t="s">
        <v>2440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5" t="n">
        <v>46203</v>
      </c>
      <c r="C3541" s="1" t="n">
        <v>22</v>
      </c>
      <c r="D3541" s="1" t="s">
        <v>2436</v>
      </c>
      <c r="E3541" s="1" t="n">
        <v>42</v>
      </c>
      <c r="F3541" s="1" t="s">
        <v>80</v>
      </c>
      <c r="I3541" s="1" t="n">
        <v>4334</v>
      </c>
      <c r="J3541" s="1" t="n">
        <v>100012</v>
      </c>
      <c r="K3541" s="1" t="n">
        <v>13</v>
      </c>
      <c r="L3541" s="1" t="s">
        <v>2441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5" t="n">
        <v>46203</v>
      </c>
      <c r="C3542" s="1" t="n">
        <v>22</v>
      </c>
      <c r="D3542" s="1" t="s">
        <v>2436</v>
      </c>
      <c r="E3542" s="1" t="n">
        <v>42</v>
      </c>
      <c r="F3542" s="1" t="s">
        <v>80</v>
      </c>
      <c r="I3542" s="1" t="n">
        <v>4334</v>
      </c>
      <c r="J3542" s="1" t="n">
        <v>100013</v>
      </c>
      <c r="K3542" s="1" t="n">
        <v>14</v>
      </c>
      <c r="L3542" s="1" t="s">
        <v>2442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5" t="n">
        <v>46203</v>
      </c>
      <c r="C3543" s="1" t="n">
        <v>22</v>
      </c>
      <c r="D3543" s="1" t="s">
        <v>2436</v>
      </c>
      <c r="E3543" s="1" t="n">
        <v>42</v>
      </c>
      <c r="F3543" s="1" t="s">
        <v>80</v>
      </c>
      <c r="I3543" s="1" t="n">
        <v>4334</v>
      </c>
      <c r="J3543" s="1" t="n">
        <v>100014</v>
      </c>
      <c r="K3543" s="1" t="n">
        <v>15</v>
      </c>
      <c r="L3543" s="1" t="s">
        <v>2443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5" t="n">
        <v>46203</v>
      </c>
      <c r="C3544" s="1" t="n">
        <v>22</v>
      </c>
      <c r="D3544" s="1" t="s">
        <v>2436</v>
      </c>
      <c r="E3544" s="1" t="n">
        <v>42</v>
      </c>
      <c r="F3544" s="1" t="s">
        <v>80</v>
      </c>
      <c r="I3544" s="1" t="n">
        <v>4334</v>
      </c>
      <c r="J3544" s="1" t="n">
        <v>100015</v>
      </c>
      <c r="K3544" s="1" t="n">
        <v>16</v>
      </c>
      <c r="L3544" s="1" t="s">
        <v>2444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5" t="n">
        <v>46203</v>
      </c>
      <c r="C3545" s="1" t="n">
        <v>22</v>
      </c>
      <c r="D3545" s="1" t="s">
        <v>2436</v>
      </c>
      <c r="E3545" s="1" t="n">
        <v>42</v>
      </c>
      <c r="F3545" s="1" t="s">
        <v>80</v>
      </c>
      <c r="I3545" s="1" t="n">
        <v>4334</v>
      </c>
      <c r="J3545" s="1" t="n">
        <v>100016</v>
      </c>
      <c r="K3545" s="1" t="n">
        <v>17</v>
      </c>
      <c r="L3545" s="1" t="s">
        <v>2445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5" t="n">
        <v>46203</v>
      </c>
      <c r="C3546" s="1" t="n">
        <v>22</v>
      </c>
      <c r="D3546" s="1" t="s">
        <v>2436</v>
      </c>
      <c r="E3546" s="1" t="n">
        <v>42</v>
      </c>
      <c r="F3546" s="1" t="s">
        <v>80</v>
      </c>
      <c r="I3546" s="1" t="n">
        <v>4334</v>
      </c>
      <c r="J3546" s="1" t="n">
        <v>100017</v>
      </c>
      <c r="K3546" s="1" t="n">
        <v>18</v>
      </c>
      <c r="L3546" s="1" t="s">
        <v>2446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5" t="n">
        <v>46203</v>
      </c>
      <c r="C3547" s="1" t="n">
        <v>22</v>
      </c>
      <c r="D3547" s="1" t="s">
        <v>2436</v>
      </c>
      <c r="E3547" s="1" t="n">
        <v>42</v>
      </c>
      <c r="F3547" s="1" t="s">
        <v>80</v>
      </c>
      <c r="I3547" s="1" t="n">
        <v>4334</v>
      </c>
      <c r="J3547" s="1" t="n">
        <v>100023</v>
      </c>
      <c r="K3547" s="1" t="n">
        <v>24</v>
      </c>
      <c r="L3547" s="1" t="s">
        <v>3826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5" t="n">
        <v>46203</v>
      </c>
      <c r="C3548" s="1" t="n">
        <v>22</v>
      </c>
      <c r="D3548" s="1" t="s">
        <v>2436</v>
      </c>
      <c r="E3548" s="1" t="n">
        <v>42</v>
      </c>
      <c r="F3548" s="1" t="s">
        <v>80</v>
      </c>
      <c r="I3548" s="1" t="n">
        <v>4334</v>
      </c>
      <c r="J3548" s="1" t="n">
        <v>100053</v>
      </c>
      <c r="K3548" s="1" t="n">
        <v>54</v>
      </c>
      <c r="L3548" s="1" t="s">
        <v>2447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5" t="n">
        <v>46203</v>
      </c>
      <c r="C3549" s="1" t="n">
        <v>22</v>
      </c>
      <c r="D3549" s="1" t="s">
        <v>2436</v>
      </c>
      <c r="E3549" s="1" t="n">
        <v>42</v>
      </c>
      <c r="F3549" s="1" t="s">
        <v>80</v>
      </c>
      <c r="I3549" s="1" t="n">
        <v>4334</v>
      </c>
      <c r="J3549" s="1" t="n">
        <v>100638</v>
      </c>
      <c r="K3549" s="1" t="n">
        <v>508</v>
      </c>
      <c r="L3549" s="1" t="s">
        <v>2448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5" t="n">
        <v>46203</v>
      </c>
      <c r="C3550" s="1" t="n">
        <v>22</v>
      </c>
      <c r="D3550" s="1" t="s">
        <v>2436</v>
      </c>
      <c r="E3550" s="1" t="n">
        <v>42</v>
      </c>
      <c r="F3550" s="1" t="s">
        <v>80</v>
      </c>
      <c r="I3550" s="1" t="n">
        <v>4334</v>
      </c>
      <c r="J3550" s="1" t="n">
        <v>100520</v>
      </c>
      <c r="K3550" s="1" t="n">
        <v>507</v>
      </c>
      <c r="L3550" s="1" t="s">
        <v>2449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5" t="n">
        <v>46203</v>
      </c>
      <c r="C3551" s="1" t="n">
        <v>22</v>
      </c>
      <c r="D3551" s="1" t="s">
        <v>2436</v>
      </c>
      <c r="E3551" s="1" t="n">
        <v>42</v>
      </c>
      <c r="F3551" s="1" t="s">
        <v>80</v>
      </c>
      <c r="I3551" s="1" t="n">
        <v>4334</v>
      </c>
      <c r="J3551" s="1" t="n">
        <v>110455</v>
      </c>
      <c r="K3551" s="1" t="n">
        <v>53212</v>
      </c>
      <c r="L3551" s="1" t="s">
        <v>2450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5" t="n">
        <v>46203</v>
      </c>
      <c r="C3552" s="1" t="n">
        <v>39</v>
      </c>
      <c r="D3552" s="1" t="s">
        <v>2515</v>
      </c>
      <c r="E3552" s="1" t="n">
        <v>1668</v>
      </c>
      <c r="F3552" s="1" t="s">
        <v>159</v>
      </c>
      <c r="I3552" s="1" t="n">
        <v>733416</v>
      </c>
      <c r="J3552" s="1" t="n">
        <v>43686</v>
      </c>
      <c r="K3552" s="1" t="n">
        <v>7896030899249</v>
      </c>
      <c r="L3552" s="1" t="s">
        <v>3827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5" t="n">
        <v>46203</v>
      </c>
      <c r="C3553" s="1" t="n">
        <v>39</v>
      </c>
      <c r="D3553" s="1" t="s">
        <v>2515</v>
      </c>
      <c r="E3553" s="1" t="n">
        <v>1668</v>
      </c>
      <c r="F3553" s="1" t="s">
        <v>159</v>
      </c>
      <c r="I3553" s="1" t="n">
        <v>733416</v>
      </c>
      <c r="J3553" s="1" t="n">
        <v>50883</v>
      </c>
      <c r="K3553" s="1" t="n">
        <v>2249896</v>
      </c>
      <c r="L3553" s="1" t="s">
        <v>3828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5" t="n">
        <v>46203</v>
      </c>
      <c r="C3554" s="1" t="n">
        <v>100</v>
      </c>
      <c r="D3554" s="1" t="s">
        <v>2457</v>
      </c>
      <c r="E3554" s="1" t="n">
        <v>42</v>
      </c>
      <c r="F3554" s="1" t="s">
        <v>80</v>
      </c>
      <c r="I3554" s="1" t="n">
        <v>1329850</v>
      </c>
      <c r="J3554" s="1" t="n">
        <v>100000</v>
      </c>
      <c r="K3554" s="1" t="n">
        <v>1</v>
      </c>
      <c r="L3554" s="1" t="s">
        <v>2451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5" t="n">
        <v>46203</v>
      </c>
      <c r="C3555" s="1" t="n">
        <v>100</v>
      </c>
      <c r="D3555" s="1" t="s">
        <v>2457</v>
      </c>
      <c r="E3555" s="1" t="n">
        <v>42</v>
      </c>
      <c r="F3555" s="1" t="s">
        <v>80</v>
      </c>
      <c r="I3555" s="1" t="n">
        <v>1329850</v>
      </c>
      <c r="J3555" s="1" t="n">
        <v>100004</v>
      </c>
      <c r="K3555" s="1" t="n">
        <v>5</v>
      </c>
      <c r="L3555" s="1" t="s">
        <v>2667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5" t="n">
        <v>46203</v>
      </c>
      <c r="C3556" s="1" t="n">
        <v>100</v>
      </c>
      <c r="D3556" s="1" t="s">
        <v>2457</v>
      </c>
      <c r="E3556" s="1" t="n">
        <v>42</v>
      </c>
      <c r="F3556" s="1" t="s">
        <v>80</v>
      </c>
      <c r="I3556" s="1" t="n">
        <v>1329850</v>
      </c>
      <c r="J3556" s="1" t="n">
        <v>100006</v>
      </c>
      <c r="K3556" s="1" t="n">
        <v>7</v>
      </c>
      <c r="L3556" s="1" t="s">
        <v>2437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5" t="n">
        <v>46203</v>
      </c>
      <c r="C3557" s="1" t="n">
        <v>100</v>
      </c>
      <c r="D3557" s="1" t="s">
        <v>2457</v>
      </c>
      <c r="E3557" s="1" t="n">
        <v>42</v>
      </c>
      <c r="F3557" s="1" t="s">
        <v>80</v>
      </c>
      <c r="I3557" s="1" t="n">
        <v>1329850</v>
      </c>
      <c r="J3557" s="1" t="n">
        <v>100007</v>
      </c>
      <c r="K3557" s="1" t="n">
        <v>8</v>
      </c>
      <c r="L3557" s="1" t="s">
        <v>2455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5" t="n">
        <v>46203</v>
      </c>
      <c r="C3558" s="1" t="n">
        <v>100</v>
      </c>
      <c r="D3558" s="1" t="s">
        <v>2457</v>
      </c>
      <c r="E3558" s="1" t="n">
        <v>42</v>
      </c>
      <c r="F3558" s="1" t="s">
        <v>80</v>
      </c>
      <c r="I3558" s="1" t="n">
        <v>1329850</v>
      </c>
      <c r="J3558" s="1" t="n">
        <v>100008</v>
      </c>
      <c r="K3558" s="1" t="n">
        <v>9</v>
      </c>
      <c r="L3558" s="1" t="s">
        <v>2438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5" t="n">
        <v>46203</v>
      </c>
      <c r="C3559" s="1" t="n">
        <v>100</v>
      </c>
      <c r="D3559" s="1" t="s">
        <v>2457</v>
      </c>
      <c r="E3559" s="1" t="n">
        <v>42</v>
      </c>
      <c r="F3559" s="1" t="s">
        <v>80</v>
      </c>
      <c r="I3559" s="1" t="n">
        <v>1329850</v>
      </c>
      <c r="J3559" s="1" t="n">
        <v>100010</v>
      </c>
      <c r="K3559" s="1" t="n">
        <v>11</v>
      </c>
      <c r="L3559" s="1" t="s">
        <v>2439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5" t="n">
        <v>46203</v>
      </c>
      <c r="C3560" s="1" t="n">
        <v>100</v>
      </c>
      <c r="D3560" s="1" t="s">
        <v>2457</v>
      </c>
      <c r="E3560" s="1" t="n">
        <v>42</v>
      </c>
      <c r="F3560" s="1" t="s">
        <v>80</v>
      </c>
      <c r="I3560" s="1" t="n">
        <v>1329850</v>
      </c>
      <c r="J3560" s="1" t="n">
        <v>100011</v>
      </c>
      <c r="K3560" s="1" t="n">
        <v>12</v>
      </c>
      <c r="L3560" s="1" t="s">
        <v>2440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5" t="n">
        <v>46203</v>
      </c>
      <c r="C3561" s="1" t="n">
        <v>100</v>
      </c>
      <c r="D3561" s="1" t="s">
        <v>2457</v>
      </c>
      <c r="E3561" s="1" t="n">
        <v>42</v>
      </c>
      <c r="F3561" s="1" t="s">
        <v>80</v>
      </c>
      <c r="I3561" s="1" t="n">
        <v>1329850</v>
      </c>
      <c r="J3561" s="1" t="n">
        <v>100012</v>
      </c>
      <c r="K3561" s="1" t="n">
        <v>13</v>
      </c>
      <c r="L3561" s="1" t="s">
        <v>2441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5" t="n">
        <v>46203</v>
      </c>
      <c r="C3562" s="1" t="n">
        <v>100</v>
      </c>
      <c r="D3562" s="1" t="s">
        <v>2457</v>
      </c>
      <c r="E3562" s="1" t="n">
        <v>42</v>
      </c>
      <c r="F3562" s="1" t="s">
        <v>80</v>
      </c>
      <c r="I3562" s="1" t="n">
        <v>1329850</v>
      </c>
      <c r="J3562" s="1" t="n">
        <v>100013</v>
      </c>
      <c r="K3562" s="1" t="n">
        <v>14</v>
      </c>
      <c r="L3562" s="1" t="s">
        <v>2442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5" t="n">
        <v>46203</v>
      </c>
      <c r="C3563" s="1" t="n">
        <v>100</v>
      </c>
      <c r="D3563" s="1" t="s">
        <v>2457</v>
      </c>
      <c r="E3563" s="1" t="n">
        <v>42</v>
      </c>
      <c r="F3563" s="1" t="s">
        <v>80</v>
      </c>
      <c r="I3563" s="1" t="n">
        <v>1329850</v>
      </c>
      <c r="J3563" s="1" t="n">
        <v>100014</v>
      </c>
      <c r="K3563" s="1" t="n">
        <v>15</v>
      </c>
      <c r="L3563" s="1" t="s">
        <v>2443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5" t="n">
        <v>46203</v>
      </c>
      <c r="C3564" s="1" t="n">
        <v>100</v>
      </c>
      <c r="D3564" s="1" t="s">
        <v>2457</v>
      </c>
      <c r="E3564" s="1" t="n">
        <v>42</v>
      </c>
      <c r="F3564" s="1" t="s">
        <v>80</v>
      </c>
      <c r="I3564" s="1" t="n">
        <v>1329850</v>
      </c>
      <c r="J3564" s="1" t="n">
        <v>100015</v>
      </c>
      <c r="K3564" s="1" t="n">
        <v>16</v>
      </c>
      <c r="L3564" s="1" t="s">
        <v>2444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5" t="n">
        <v>46203</v>
      </c>
      <c r="C3565" s="1" t="n">
        <v>100</v>
      </c>
      <c r="D3565" s="1" t="s">
        <v>2457</v>
      </c>
      <c r="E3565" s="1" t="n">
        <v>42</v>
      </c>
      <c r="F3565" s="1" t="s">
        <v>80</v>
      </c>
      <c r="I3565" s="1" t="n">
        <v>1329850</v>
      </c>
      <c r="J3565" s="1" t="n">
        <v>100016</v>
      </c>
      <c r="K3565" s="1" t="n">
        <v>17</v>
      </c>
      <c r="L3565" s="1" t="s">
        <v>2445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5" t="n">
        <v>46203</v>
      </c>
      <c r="C3566" s="1" t="n">
        <v>100</v>
      </c>
      <c r="D3566" s="1" t="s">
        <v>2457</v>
      </c>
      <c r="E3566" s="1" t="n">
        <v>42</v>
      </c>
      <c r="F3566" s="1" t="s">
        <v>80</v>
      </c>
      <c r="I3566" s="1" t="n">
        <v>1329850</v>
      </c>
      <c r="J3566" s="1" t="n">
        <v>100017</v>
      </c>
      <c r="K3566" s="1" t="n">
        <v>18</v>
      </c>
      <c r="L3566" s="1" t="s">
        <v>2446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5" t="n">
        <v>46203</v>
      </c>
      <c r="C3567" s="1" t="n">
        <v>100</v>
      </c>
      <c r="D3567" s="1" t="s">
        <v>2457</v>
      </c>
      <c r="E3567" s="1" t="n">
        <v>42</v>
      </c>
      <c r="F3567" s="1" t="s">
        <v>80</v>
      </c>
      <c r="I3567" s="1" t="n">
        <v>1329850</v>
      </c>
      <c r="J3567" s="1" t="n">
        <v>100020</v>
      </c>
      <c r="K3567" s="1" t="n">
        <v>21</v>
      </c>
      <c r="L3567" s="1" t="s">
        <v>2456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5" t="n">
        <v>46203</v>
      </c>
      <c r="C3568" s="1" t="n">
        <v>100</v>
      </c>
      <c r="D3568" s="1" t="s">
        <v>2457</v>
      </c>
      <c r="E3568" s="1" t="n">
        <v>42</v>
      </c>
      <c r="F3568" s="1" t="s">
        <v>80</v>
      </c>
      <c r="I3568" s="1" t="n">
        <v>1329850</v>
      </c>
      <c r="J3568" s="1" t="n">
        <v>100638</v>
      </c>
      <c r="K3568" s="1" t="n">
        <v>508</v>
      </c>
      <c r="L3568" s="1" t="s">
        <v>2448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5" t="n">
        <v>46203</v>
      </c>
      <c r="C3569" s="1" t="n">
        <v>100</v>
      </c>
      <c r="D3569" s="1" t="s">
        <v>2457</v>
      </c>
      <c r="E3569" s="1" t="n">
        <v>42</v>
      </c>
      <c r="F3569" s="1" t="s">
        <v>80</v>
      </c>
      <c r="I3569" s="1" t="n">
        <v>1329850</v>
      </c>
      <c r="J3569" s="1" t="n">
        <v>100520</v>
      </c>
      <c r="K3569" s="1" t="n">
        <v>507</v>
      </c>
      <c r="L3569" s="1" t="s">
        <v>2449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5" t="n">
        <v>46203</v>
      </c>
      <c r="C3570" s="1" t="n">
        <v>100</v>
      </c>
      <c r="D3570" s="1" t="s">
        <v>2457</v>
      </c>
      <c r="E3570" s="1" t="n">
        <v>42</v>
      </c>
      <c r="F3570" s="1" t="s">
        <v>80</v>
      </c>
      <c r="I3570" s="1" t="n">
        <v>1329850</v>
      </c>
      <c r="J3570" s="1" t="n">
        <v>110455</v>
      </c>
      <c r="K3570" s="1" t="n">
        <v>53212</v>
      </c>
      <c r="L3570" s="1" t="s">
        <v>2450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5" t="n">
        <v>46203</v>
      </c>
      <c r="C3571" s="1" t="n">
        <v>100</v>
      </c>
      <c r="D3571" s="1" t="s">
        <v>2457</v>
      </c>
      <c r="E3571" s="1" t="n">
        <v>42</v>
      </c>
      <c r="F3571" s="1" t="s">
        <v>80</v>
      </c>
      <c r="I3571" s="1" t="n">
        <v>1329988</v>
      </c>
      <c r="J3571" s="1" t="n">
        <v>100006</v>
      </c>
      <c r="K3571" s="1" t="n">
        <v>7</v>
      </c>
      <c r="L3571" s="1" t="s">
        <v>2437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5" t="n">
        <v>46203</v>
      </c>
      <c r="C3572" s="1" t="n">
        <v>100</v>
      </c>
      <c r="D3572" s="1" t="s">
        <v>2457</v>
      </c>
      <c r="E3572" s="1" t="n">
        <v>42</v>
      </c>
      <c r="F3572" s="1" t="s">
        <v>80</v>
      </c>
      <c r="I3572" s="1" t="n">
        <v>1329988</v>
      </c>
      <c r="J3572" s="1" t="n">
        <v>100008</v>
      </c>
      <c r="K3572" s="1" t="n">
        <v>9</v>
      </c>
      <c r="L3572" s="1" t="s">
        <v>2438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5" t="n">
        <v>46203</v>
      </c>
      <c r="C3573" s="1" t="n">
        <v>100</v>
      </c>
      <c r="D3573" s="1" t="s">
        <v>2457</v>
      </c>
      <c r="E3573" s="1" t="n">
        <v>42</v>
      </c>
      <c r="F3573" s="1" t="s">
        <v>80</v>
      </c>
      <c r="I3573" s="1" t="n">
        <v>1329988</v>
      </c>
      <c r="J3573" s="1" t="n">
        <v>100010</v>
      </c>
      <c r="K3573" s="1" t="n">
        <v>11</v>
      </c>
      <c r="L3573" s="1" t="s">
        <v>2439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5" t="n">
        <v>46203</v>
      </c>
      <c r="C3574" s="1" t="n">
        <v>100</v>
      </c>
      <c r="D3574" s="1" t="s">
        <v>2457</v>
      </c>
      <c r="E3574" s="1" t="n">
        <v>42</v>
      </c>
      <c r="F3574" s="1" t="s">
        <v>80</v>
      </c>
      <c r="I3574" s="1" t="n">
        <v>1329988</v>
      </c>
      <c r="J3574" s="1" t="n">
        <v>100011</v>
      </c>
      <c r="K3574" s="1" t="n">
        <v>12</v>
      </c>
      <c r="L3574" s="1" t="s">
        <v>2440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5" t="n">
        <v>46203</v>
      </c>
      <c r="C3575" s="1" t="n">
        <v>100</v>
      </c>
      <c r="D3575" s="1" t="s">
        <v>2457</v>
      </c>
      <c r="E3575" s="1" t="n">
        <v>42</v>
      </c>
      <c r="F3575" s="1" t="s">
        <v>80</v>
      </c>
      <c r="I3575" s="1" t="n">
        <v>1329988</v>
      </c>
      <c r="J3575" s="1" t="n">
        <v>100012</v>
      </c>
      <c r="K3575" s="1" t="n">
        <v>13</v>
      </c>
      <c r="L3575" s="1" t="s">
        <v>2441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5" t="n">
        <v>46203</v>
      </c>
      <c r="C3576" s="1" t="n">
        <v>100</v>
      </c>
      <c r="D3576" s="1" t="s">
        <v>2457</v>
      </c>
      <c r="E3576" s="1" t="n">
        <v>42</v>
      </c>
      <c r="F3576" s="1" t="s">
        <v>80</v>
      </c>
      <c r="I3576" s="1" t="n">
        <v>1329988</v>
      </c>
      <c r="J3576" s="1" t="n">
        <v>100013</v>
      </c>
      <c r="K3576" s="1" t="n">
        <v>14</v>
      </c>
      <c r="L3576" s="1" t="s">
        <v>2442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5" t="n">
        <v>46203</v>
      </c>
      <c r="C3577" s="1" t="n">
        <v>100</v>
      </c>
      <c r="D3577" s="1" t="s">
        <v>2457</v>
      </c>
      <c r="E3577" s="1" t="n">
        <v>42</v>
      </c>
      <c r="F3577" s="1" t="s">
        <v>80</v>
      </c>
      <c r="I3577" s="1" t="n">
        <v>1329988</v>
      </c>
      <c r="J3577" s="1" t="n">
        <v>100014</v>
      </c>
      <c r="K3577" s="1" t="n">
        <v>15</v>
      </c>
      <c r="L3577" s="1" t="s">
        <v>2443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5" t="n">
        <v>46203</v>
      </c>
      <c r="C3578" s="1" t="n">
        <v>100</v>
      </c>
      <c r="D3578" s="1" t="s">
        <v>2457</v>
      </c>
      <c r="E3578" s="1" t="n">
        <v>42</v>
      </c>
      <c r="F3578" s="1" t="s">
        <v>80</v>
      </c>
      <c r="I3578" s="1" t="n">
        <v>1329988</v>
      </c>
      <c r="J3578" s="1" t="n">
        <v>100015</v>
      </c>
      <c r="K3578" s="1" t="n">
        <v>16</v>
      </c>
      <c r="L3578" s="1" t="s">
        <v>2444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5" t="n">
        <v>46203</v>
      </c>
      <c r="C3579" s="1" t="n">
        <v>100</v>
      </c>
      <c r="D3579" s="1" t="s">
        <v>2457</v>
      </c>
      <c r="E3579" s="1" t="n">
        <v>42</v>
      </c>
      <c r="F3579" s="1" t="s">
        <v>80</v>
      </c>
      <c r="I3579" s="1" t="n">
        <v>1329988</v>
      </c>
      <c r="J3579" s="1" t="n">
        <v>100016</v>
      </c>
      <c r="K3579" s="1" t="n">
        <v>17</v>
      </c>
      <c r="L3579" s="1" t="s">
        <v>2445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5" t="n">
        <v>46203</v>
      </c>
      <c r="C3580" s="1" t="n">
        <v>100</v>
      </c>
      <c r="D3580" s="1" t="s">
        <v>2457</v>
      </c>
      <c r="E3580" s="1" t="n">
        <v>42</v>
      </c>
      <c r="F3580" s="1" t="s">
        <v>80</v>
      </c>
      <c r="I3580" s="1" t="n">
        <v>1329988</v>
      </c>
      <c r="J3580" s="1" t="n">
        <v>100017</v>
      </c>
      <c r="K3580" s="1" t="n">
        <v>18</v>
      </c>
      <c r="L3580" s="1" t="s">
        <v>2446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5" t="n">
        <v>46203</v>
      </c>
      <c r="C3581" s="1" t="n">
        <v>100</v>
      </c>
      <c r="D3581" s="1" t="s">
        <v>2457</v>
      </c>
      <c r="E3581" s="1" t="n">
        <v>42</v>
      </c>
      <c r="F3581" s="1" t="s">
        <v>80</v>
      </c>
      <c r="I3581" s="1" t="n">
        <v>1329988</v>
      </c>
      <c r="J3581" s="1" t="n">
        <v>100023</v>
      </c>
      <c r="K3581" s="1" t="n">
        <v>24</v>
      </c>
      <c r="L3581" s="1" t="s">
        <v>3826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5" t="n">
        <v>46203</v>
      </c>
      <c r="C3582" s="1" t="n">
        <v>100</v>
      </c>
      <c r="D3582" s="1" t="s">
        <v>2457</v>
      </c>
      <c r="E3582" s="1" t="n">
        <v>42</v>
      </c>
      <c r="F3582" s="1" t="s">
        <v>80</v>
      </c>
      <c r="I3582" s="1" t="n">
        <v>1329988</v>
      </c>
      <c r="J3582" s="1" t="n">
        <v>100053</v>
      </c>
      <c r="K3582" s="1" t="n">
        <v>54</v>
      </c>
      <c r="L3582" s="1" t="s">
        <v>2447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5" t="n">
        <v>46203</v>
      </c>
      <c r="C3583" s="1" t="n">
        <v>100</v>
      </c>
      <c r="D3583" s="1" t="s">
        <v>2457</v>
      </c>
      <c r="E3583" s="1" t="n">
        <v>42</v>
      </c>
      <c r="F3583" s="1" t="s">
        <v>80</v>
      </c>
      <c r="I3583" s="1" t="n">
        <v>1329988</v>
      </c>
      <c r="J3583" s="1" t="n">
        <v>100638</v>
      </c>
      <c r="K3583" s="1" t="n">
        <v>508</v>
      </c>
      <c r="L3583" s="1" t="s">
        <v>2448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5" t="n">
        <v>46203</v>
      </c>
      <c r="C3584" s="1" t="n">
        <v>100</v>
      </c>
      <c r="D3584" s="1" t="s">
        <v>2457</v>
      </c>
      <c r="E3584" s="1" t="n">
        <v>42</v>
      </c>
      <c r="F3584" s="1" t="s">
        <v>80</v>
      </c>
      <c r="I3584" s="1" t="n">
        <v>1329988</v>
      </c>
      <c r="J3584" s="1" t="n">
        <v>100520</v>
      </c>
      <c r="K3584" s="1" t="n">
        <v>507</v>
      </c>
      <c r="L3584" s="1" t="s">
        <v>2449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5" t="n">
        <v>46203</v>
      </c>
      <c r="C3585" s="1" t="n">
        <v>100</v>
      </c>
      <c r="D3585" s="1" t="s">
        <v>2457</v>
      </c>
      <c r="E3585" s="1" t="n">
        <v>42</v>
      </c>
      <c r="F3585" s="1" t="s">
        <v>80</v>
      </c>
      <c r="I3585" s="1" t="n">
        <v>1329988</v>
      </c>
      <c r="J3585" s="1" t="n">
        <v>110455</v>
      </c>
      <c r="K3585" s="1" t="n">
        <v>53212</v>
      </c>
      <c r="L3585" s="1" t="s">
        <v>2450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5" t="n">
        <v>46203</v>
      </c>
      <c r="C3586" s="1" t="n">
        <v>100</v>
      </c>
      <c r="D3586" s="1" t="s">
        <v>2457</v>
      </c>
      <c r="E3586" s="1" t="n">
        <v>42</v>
      </c>
      <c r="F3586" s="1" t="s">
        <v>80</v>
      </c>
      <c r="I3586" s="1" t="n">
        <v>1329996</v>
      </c>
      <c r="J3586" s="1" t="n">
        <v>100006</v>
      </c>
      <c r="K3586" s="1" t="n">
        <v>7</v>
      </c>
      <c r="L3586" s="1" t="s">
        <v>2437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5" t="n">
        <v>46203</v>
      </c>
      <c r="C3587" s="1" t="n">
        <v>100</v>
      </c>
      <c r="D3587" s="1" t="s">
        <v>2457</v>
      </c>
      <c r="E3587" s="1" t="n">
        <v>42</v>
      </c>
      <c r="F3587" s="1" t="s">
        <v>80</v>
      </c>
      <c r="I3587" s="1" t="n">
        <v>1329996</v>
      </c>
      <c r="J3587" s="1" t="n">
        <v>100008</v>
      </c>
      <c r="K3587" s="1" t="n">
        <v>9</v>
      </c>
      <c r="L3587" s="1" t="s">
        <v>2438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5" t="n">
        <v>46203</v>
      </c>
      <c r="C3588" s="1" t="n">
        <v>100</v>
      </c>
      <c r="D3588" s="1" t="s">
        <v>2457</v>
      </c>
      <c r="E3588" s="1" t="n">
        <v>42</v>
      </c>
      <c r="F3588" s="1" t="s">
        <v>80</v>
      </c>
      <c r="I3588" s="1" t="n">
        <v>1329996</v>
      </c>
      <c r="J3588" s="1" t="n">
        <v>100010</v>
      </c>
      <c r="K3588" s="1" t="n">
        <v>11</v>
      </c>
      <c r="L3588" s="1" t="s">
        <v>2439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5" t="n">
        <v>46203</v>
      </c>
      <c r="C3589" s="1" t="n">
        <v>100</v>
      </c>
      <c r="D3589" s="1" t="s">
        <v>2457</v>
      </c>
      <c r="E3589" s="1" t="n">
        <v>42</v>
      </c>
      <c r="F3589" s="1" t="s">
        <v>80</v>
      </c>
      <c r="I3589" s="1" t="n">
        <v>1329996</v>
      </c>
      <c r="J3589" s="1" t="n">
        <v>100011</v>
      </c>
      <c r="K3589" s="1" t="n">
        <v>12</v>
      </c>
      <c r="L3589" s="1" t="s">
        <v>2440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5" t="n">
        <v>46203</v>
      </c>
      <c r="C3590" s="1" t="n">
        <v>100</v>
      </c>
      <c r="D3590" s="1" t="s">
        <v>2457</v>
      </c>
      <c r="E3590" s="1" t="n">
        <v>42</v>
      </c>
      <c r="F3590" s="1" t="s">
        <v>80</v>
      </c>
      <c r="I3590" s="1" t="n">
        <v>1329996</v>
      </c>
      <c r="J3590" s="1" t="n">
        <v>100012</v>
      </c>
      <c r="K3590" s="1" t="n">
        <v>13</v>
      </c>
      <c r="L3590" s="1" t="s">
        <v>2441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5" t="n">
        <v>46203</v>
      </c>
      <c r="C3591" s="1" t="n">
        <v>100</v>
      </c>
      <c r="D3591" s="1" t="s">
        <v>2457</v>
      </c>
      <c r="E3591" s="1" t="n">
        <v>42</v>
      </c>
      <c r="F3591" s="1" t="s">
        <v>80</v>
      </c>
      <c r="I3591" s="1" t="n">
        <v>1329996</v>
      </c>
      <c r="J3591" s="1" t="n">
        <v>100013</v>
      </c>
      <c r="K3591" s="1" t="n">
        <v>14</v>
      </c>
      <c r="L3591" s="1" t="s">
        <v>2442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5" t="n">
        <v>46203</v>
      </c>
      <c r="C3592" s="1" t="n">
        <v>100</v>
      </c>
      <c r="D3592" s="1" t="s">
        <v>2457</v>
      </c>
      <c r="E3592" s="1" t="n">
        <v>42</v>
      </c>
      <c r="F3592" s="1" t="s">
        <v>80</v>
      </c>
      <c r="I3592" s="1" t="n">
        <v>1329996</v>
      </c>
      <c r="J3592" s="1" t="n">
        <v>100014</v>
      </c>
      <c r="K3592" s="1" t="n">
        <v>15</v>
      </c>
      <c r="L3592" s="1" t="s">
        <v>2443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5" t="n">
        <v>46203</v>
      </c>
      <c r="C3593" s="1" t="n">
        <v>100</v>
      </c>
      <c r="D3593" s="1" t="s">
        <v>2457</v>
      </c>
      <c r="E3593" s="1" t="n">
        <v>42</v>
      </c>
      <c r="F3593" s="1" t="s">
        <v>80</v>
      </c>
      <c r="I3593" s="1" t="n">
        <v>1329996</v>
      </c>
      <c r="J3593" s="1" t="n">
        <v>100015</v>
      </c>
      <c r="K3593" s="1" t="n">
        <v>16</v>
      </c>
      <c r="L3593" s="1" t="s">
        <v>2444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5" t="n">
        <v>46203</v>
      </c>
      <c r="C3594" s="1" t="n">
        <v>100</v>
      </c>
      <c r="D3594" s="1" t="s">
        <v>2457</v>
      </c>
      <c r="E3594" s="1" t="n">
        <v>42</v>
      </c>
      <c r="F3594" s="1" t="s">
        <v>80</v>
      </c>
      <c r="I3594" s="1" t="n">
        <v>1329996</v>
      </c>
      <c r="J3594" s="1" t="n">
        <v>100016</v>
      </c>
      <c r="K3594" s="1" t="n">
        <v>17</v>
      </c>
      <c r="L3594" s="1" t="s">
        <v>2445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5" t="n">
        <v>46203</v>
      </c>
      <c r="C3595" s="1" t="n">
        <v>100</v>
      </c>
      <c r="D3595" s="1" t="s">
        <v>2457</v>
      </c>
      <c r="E3595" s="1" t="n">
        <v>42</v>
      </c>
      <c r="F3595" s="1" t="s">
        <v>80</v>
      </c>
      <c r="I3595" s="1" t="n">
        <v>1329996</v>
      </c>
      <c r="J3595" s="1" t="n">
        <v>100017</v>
      </c>
      <c r="K3595" s="1" t="n">
        <v>18</v>
      </c>
      <c r="L3595" s="1" t="s">
        <v>2446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5" t="n">
        <v>46203</v>
      </c>
      <c r="C3596" s="1" t="n">
        <v>100</v>
      </c>
      <c r="D3596" s="1" t="s">
        <v>2457</v>
      </c>
      <c r="E3596" s="1" t="n">
        <v>42</v>
      </c>
      <c r="F3596" s="1" t="s">
        <v>80</v>
      </c>
      <c r="I3596" s="1" t="n">
        <v>1329996</v>
      </c>
      <c r="J3596" s="1" t="n">
        <v>100023</v>
      </c>
      <c r="K3596" s="1" t="n">
        <v>24</v>
      </c>
      <c r="L3596" s="1" t="s">
        <v>3826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5" t="n">
        <v>46203</v>
      </c>
      <c r="C3597" s="1" t="n">
        <v>100</v>
      </c>
      <c r="D3597" s="1" t="s">
        <v>2457</v>
      </c>
      <c r="E3597" s="1" t="n">
        <v>42</v>
      </c>
      <c r="F3597" s="1" t="s">
        <v>80</v>
      </c>
      <c r="I3597" s="1" t="n">
        <v>1329996</v>
      </c>
      <c r="J3597" s="1" t="n">
        <v>100053</v>
      </c>
      <c r="K3597" s="1" t="n">
        <v>54</v>
      </c>
      <c r="L3597" s="1" t="s">
        <v>2447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5" t="n">
        <v>46203</v>
      </c>
      <c r="C3598" s="1" t="n">
        <v>100</v>
      </c>
      <c r="D3598" s="1" t="s">
        <v>2457</v>
      </c>
      <c r="E3598" s="1" t="n">
        <v>42</v>
      </c>
      <c r="F3598" s="1" t="s">
        <v>80</v>
      </c>
      <c r="I3598" s="1" t="n">
        <v>1329996</v>
      </c>
      <c r="J3598" s="1" t="n">
        <v>100638</v>
      </c>
      <c r="K3598" s="1" t="n">
        <v>508</v>
      </c>
      <c r="L3598" s="1" t="s">
        <v>2448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5" t="n">
        <v>46203</v>
      </c>
      <c r="C3599" s="1" t="n">
        <v>100</v>
      </c>
      <c r="D3599" s="1" t="s">
        <v>2457</v>
      </c>
      <c r="E3599" s="1" t="n">
        <v>42</v>
      </c>
      <c r="F3599" s="1" t="s">
        <v>80</v>
      </c>
      <c r="I3599" s="1" t="n">
        <v>1329996</v>
      </c>
      <c r="J3599" s="1" t="n">
        <v>100520</v>
      </c>
      <c r="K3599" s="1" t="n">
        <v>507</v>
      </c>
      <c r="L3599" s="1" t="s">
        <v>2449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5" t="n">
        <v>46203</v>
      </c>
      <c r="C3600" s="1" t="n">
        <v>100</v>
      </c>
      <c r="D3600" s="1" t="s">
        <v>2457</v>
      </c>
      <c r="E3600" s="1" t="n">
        <v>42</v>
      </c>
      <c r="F3600" s="1" t="s">
        <v>80</v>
      </c>
      <c r="I3600" s="1" t="n">
        <v>1329996</v>
      </c>
      <c r="J3600" s="1" t="n">
        <v>110455</v>
      </c>
      <c r="K3600" s="1" t="n">
        <v>53212</v>
      </c>
      <c r="L3600" s="1" t="s">
        <v>2450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5" t="n">
        <v>46203</v>
      </c>
      <c r="C3601" s="1" t="n">
        <v>107</v>
      </c>
      <c r="D3601" s="1" t="s">
        <v>2735</v>
      </c>
      <c r="E3601" s="1" t="n">
        <v>1616</v>
      </c>
      <c r="F3601" s="1" t="s">
        <v>697</v>
      </c>
      <c r="I3601" s="1" t="n">
        <v>647404</v>
      </c>
      <c r="J3601" s="1" t="n">
        <v>13406</v>
      </c>
      <c r="K3601" s="1" t="n">
        <v>5601252100972</v>
      </c>
      <c r="L3601" s="1" t="s">
        <v>3775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15" t="n">
        <v>46203</v>
      </c>
      <c r="C3602" s="1" t="n">
        <v>107</v>
      </c>
      <c r="D3602" s="1" t="s">
        <v>2735</v>
      </c>
      <c r="E3602" s="1" t="n">
        <v>1616</v>
      </c>
      <c r="F3602" s="1" t="s">
        <v>697</v>
      </c>
      <c r="I3602" s="1" t="n">
        <v>647404</v>
      </c>
      <c r="J3602" s="1" t="n">
        <v>15301</v>
      </c>
      <c r="K3602" s="1" t="n">
        <v>5601252231164</v>
      </c>
      <c r="L3602" s="1" t="s">
        <v>3777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15" t="n">
        <v>46203</v>
      </c>
      <c r="C3603" s="1" t="n">
        <v>171</v>
      </c>
      <c r="D3603" s="1" t="s">
        <v>2517</v>
      </c>
      <c r="E3603" s="1" t="n">
        <v>1699</v>
      </c>
      <c r="F3603" s="1" t="s">
        <v>60</v>
      </c>
      <c r="I3603" s="1" t="n">
        <v>306049</v>
      </c>
      <c r="J3603" s="1" t="n">
        <v>60573</v>
      </c>
      <c r="K3603" s="1" t="n">
        <v>7908324404012</v>
      </c>
      <c r="L3603" s="1" t="s">
        <v>3829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5" t="n">
        <v>46204</v>
      </c>
      <c r="C3604" s="1" t="n">
        <v>1</v>
      </c>
      <c r="D3604" s="1" t="s">
        <v>2317</v>
      </c>
      <c r="E3604" s="1" t="n">
        <v>10087</v>
      </c>
      <c r="F3604" s="1" t="s">
        <v>778</v>
      </c>
      <c r="I3604" s="1" t="n">
        <v>135</v>
      </c>
      <c r="J3604" s="1" t="n">
        <v>81565</v>
      </c>
      <c r="K3604" s="1" t="n">
        <v>7895555000017</v>
      </c>
      <c r="L3604" s="1" t="s">
        <v>3830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5" t="n">
        <v>46204</v>
      </c>
      <c r="C3605" s="1" t="n">
        <v>1</v>
      </c>
      <c r="D3605" s="1" t="s">
        <v>2317</v>
      </c>
      <c r="E3605" s="1" t="n">
        <v>10087</v>
      </c>
      <c r="F3605" s="1" t="s">
        <v>778</v>
      </c>
      <c r="I3605" s="1" t="n">
        <v>135</v>
      </c>
      <c r="J3605" s="1" t="n">
        <v>81622</v>
      </c>
      <c r="K3605" s="1" t="n">
        <v>7898966794087</v>
      </c>
      <c r="L3605" s="1" t="s">
        <v>3831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5" t="n">
        <v>46204</v>
      </c>
      <c r="C3606" s="1" t="n">
        <v>1</v>
      </c>
      <c r="D3606" s="1" t="s">
        <v>2317</v>
      </c>
      <c r="E3606" s="1" t="n">
        <v>10087</v>
      </c>
      <c r="F3606" s="1" t="s">
        <v>778</v>
      </c>
      <c r="I3606" s="1" t="n">
        <v>135</v>
      </c>
      <c r="J3606" s="1" t="n">
        <v>81623</v>
      </c>
      <c r="K3606" s="1" t="n">
        <v>816243</v>
      </c>
      <c r="L3606" s="1" t="s">
        <v>3832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5" t="n">
        <v>46204</v>
      </c>
      <c r="C3607" s="1" t="n">
        <v>2</v>
      </c>
      <c r="D3607" s="1" t="s">
        <v>2283</v>
      </c>
      <c r="E3607" s="1" t="n">
        <v>42</v>
      </c>
      <c r="F3607" s="1" t="s">
        <v>80</v>
      </c>
      <c r="I3607" s="1" t="n">
        <v>10701</v>
      </c>
      <c r="J3607" s="1" t="n">
        <v>109791</v>
      </c>
      <c r="K3607" s="1" t="n">
        <v>9667</v>
      </c>
      <c r="L3607" s="1" t="s">
        <v>2284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5" t="n">
        <v>46204</v>
      </c>
      <c r="C3608" s="1" t="n">
        <v>2</v>
      </c>
      <c r="D3608" s="1" t="s">
        <v>2283</v>
      </c>
      <c r="E3608" s="1" t="n">
        <v>42</v>
      </c>
      <c r="F3608" s="1" t="s">
        <v>80</v>
      </c>
      <c r="I3608" s="1" t="n">
        <v>10701</v>
      </c>
      <c r="J3608" s="1" t="n">
        <v>37361</v>
      </c>
      <c r="K3608" s="1" t="n">
        <v>2240817</v>
      </c>
      <c r="L3608" s="1" t="s">
        <v>2286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5" t="n">
        <v>46204</v>
      </c>
      <c r="C3609" s="1" t="n">
        <v>6</v>
      </c>
      <c r="D3609" s="1" t="s">
        <v>2289</v>
      </c>
      <c r="E3609" s="1" t="n">
        <v>42</v>
      </c>
      <c r="F3609" s="1" t="s">
        <v>80</v>
      </c>
      <c r="I3609" s="1" t="n">
        <v>4338</v>
      </c>
      <c r="J3609" s="1" t="n">
        <v>109791</v>
      </c>
      <c r="K3609" s="1" t="n">
        <v>9667</v>
      </c>
      <c r="L3609" s="1" t="s">
        <v>2284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5" t="n">
        <v>46204</v>
      </c>
      <c r="C3610" s="1" t="n">
        <v>6</v>
      </c>
      <c r="D3610" s="1" t="s">
        <v>2289</v>
      </c>
      <c r="E3610" s="1" t="n">
        <v>42</v>
      </c>
      <c r="F3610" s="1" t="s">
        <v>80</v>
      </c>
      <c r="I3610" s="1" t="n">
        <v>4338</v>
      </c>
      <c r="J3610" s="1" t="n">
        <v>37361</v>
      </c>
      <c r="K3610" s="1" t="n">
        <v>2240817</v>
      </c>
      <c r="L3610" s="1" t="s">
        <v>2286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5" t="n">
        <v>46204</v>
      </c>
      <c r="C3611" s="1" t="n">
        <v>11</v>
      </c>
      <c r="D3611" s="1" t="s">
        <v>2290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2737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5" t="n">
        <v>46204</v>
      </c>
      <c r="C3612" s="1" t="n">
        <v>11</v>
      </c>
      <c r="D3612" s="1" t="s">
        <v>2290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2738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5" t="n">
        <v>46204</v>
      </c>
      <c r="C3613" s="1" t="n">
        <v>11</v>
      </c>
      <c r="D3613" s="1" t="s">
        <v>2290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3593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5" t="n">
        <v>46204</v>
      </c>
      <c r="C3614" s="1" t="n">
        <v>11</v>
      </c>
      <c r="D3614" s="1" t="s">
        <v>2290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2739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5" t="n">
        <v>46204</v>
      </c>
      <c r="C3615" s="1" t="n">
        <v>11</v>
      </c>
      <c r="D3615" s="1" t="s">
        <v>2290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3597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5" t="n">
        <v>46204</v>
      </c>
      <c r="C3616" s="1" t="n">
        <v>11</v>
      </c>
      <c r="D3616" s="1" t="s">
        <v>2290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3599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5" t="n">
        <v>46204</v>
      </c>
      <c r="C3617" s="1" t="n">
        <v>11</v>
      </c>
      <c r="D3617" s="1" t="s">
        <v>2290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3600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5" t="n">
        <v>46204</v>
      </c>
      <c r="C3618" s="1" t="n">
        <v>11</v>
      </c>
      <c r="D3618" s="1" t="s">
        <v>2290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3833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5" t="n">
        <v>46204</v>
      </c>
      <c r="C3619" s="1" t="n">
        <v>11</v>
      </c>
      <c r="D3619" s="1" t="s">
        <v>2290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2481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5" t="n">
        <v>46204</v>
      </c>
      <c r="C3620" s="1" t="n">
        <v>11</v>
      </c>
      <c r="D3620" s="1" t="s">
        <v>2290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3605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5" t="n">
        <v>46204</v>
      </c>
      <c r="C3621" s="1" t="n">
        <v>11</v>
      </c>
      <c r="D3621" s="1" t="s">
        <v>2290</v>
      </c>
      <c r="E3621" s="1" t="n">
        <v>1723</v>
      </c>
      <c r="F3621" s="1" t="s">
        <v>76</v>
      </c>
      <c r="I3621" s="1" t="n">
        <v>172431</v>
      </c>
      <c r="J3621" s="1" t="n">
        <v>29080</v>
      </c>
      <c r="K3621" s="1" t="n">
        <v>55516</v>
      </c>
      <c r="L3621" s="1" t="s">
        <v>2362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5" t="n">
        <v>46204</v>
      </c>
      <c r="C3622" s="1" t="n">
        <v>11</v>
      </c>
      <c r="D3622" s="1" t="s">
        <v>2290</v>
      </c>
      <c r="E3622" s="1" t="n">
        <v>1734</v>
      </c>
      <c r="F3622" s="1" t="s">
        <v>125</v>
      </c>
      <c r="I3622" s="1" t="n">
        <v>254511</v>
      </c>
      <c r="J3622" s="1" t="n">
        <v>38791</v>
      </c>
      <c r="K3622" s="1" t="n">
        <v>7898055450931</v>
      </c>
      <c r="L3622" s="1" t="s">
        <v>2377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5" t="n">
        <v>46204</v>
      </c>
      <c r="C3623" s="1" t="n">
        <v>11</v>
      </c>
      <c r="D3623" s="1" t="s">
        <v>2290</v>
      </c>
      <c r="E3623" s="1" t="n">
        <v>1734</v>
      </c>
      <c r="F3623" s="1" t="s">
        <v>125</v>
      </c>
      <c r="I3623" s="1" t="n">
        <v>254511</v>
      </c>
      <c r="J3623" s="1" t="n">
        <v>38792</v>
      </c>
      <c r="K3623" s="1" t="n">
        <v>7898055450894</v>
      </c>
      <c r="L3623" s="1" t="s">
        <v>3201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5" t="n">
        <v>46204</v>
      </c>
      <c r="C3624" s="1" t="n">
        <v>11</v>
      </c>
      <c r="D3624" s="1" t="s">
        <v>2290</v>
      </c>
      <c r="E3624" s="1" t="n">
        <v>1734</v>
      </c>
      <c r="F3624" s="1" t="s">
        <v>125</v>
      </c>
      <c r="I3624" s="1" t="n">
        <v>254511</v>
      </c>
      <c r="J3624" s="1" t="n">
        <v>40277</v>
      </c>
      <c r="K3624" s="1" t="n">
        <v>7898055450467</v>
      </c>
      <c r="L3624" s="1" t="s">
        <v>2723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5" t="n">
        <v>46204</v>
      </c>
      <c r="C3625" s="1" t="n">
        <v>11</v>
      </c>
      <c r="D3625" s="1" t="s">
        <v>2290</v>
      </c>
      <c r="E3625" s="1" t="n">
        <v>1734</v>
      </c>
      <c r="F3625" s="1" t="s">
        <v>125</v>
      </c>
      <c r="I3625" s="1" t="n">
        <v>254511</v>
      </c>
      <c r="J3625" s="1" t="n">
        <v>40731</v>
      </c>
      <c r="K3625" s="1" t="n">
        <v>7898055451150</v>
      </c>
      <c r="L3625" s="1" t="s">
        <v>2379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5" t="n">
        <v>46204</v>
      </c>
      <c r="C3626" s="1" t="n">
        <v>11</v>
      </c>
      <c r="D3626" s="1" t="s">
        <v>2290</v>
      </c>
      <c r="E3626" s="1" t="n">
        <v>1734</v>
      </c>
      <c r="F3626" s="1" t="s">
        <v>125</v>
      </c>
      <c r="I3626" s="1" t="n">
        <v>254511</v>
      </c>
      <c r="J3626" s="1" t="n">
        <v>81026</v>
      </c>
      <c r="K3626" s="1" t="n">
        <v>7898055455745</v>
      </c>
      <c r="L3626" s="1" t="s">
        <v>2726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5" t="n">
        <v>46204</v>
      </c>
      <c r="C3627" s="1" t="n">
        <v>11</v>
      </c>
      <c r="D3627" s="1" t="s">
        <v>2290</v>
      </c>
      <c r="E3627" s="1" t="n">
        <v>1734</v>
      </c>
      <c r="F3627" s="1" t="s">
        <v>125</v>
      </c>
      <c r="I3627" s="1" t="n">
        <v>254511</v>
      </c>
      <c r="J3627" s="1" t="n">
        <v>81574</v>
      </c>
      <c r="K3627" s="1" t="n">
        <v>7898055455707</v>
      </c>
      <c r="L3627" s="1" t="s">
        <v>3834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5" t="n">
        <v>46204</v>
      </c>
      <c r="C3628" s="1" t="n">
        <v>11</v>
      </c>
      <c r="D3628" s="1" t="s">
        <v>2290</v>
      </c>
      <c r="E3628" s="1" t="n">
        <v>1734</v>
      </c>
      <c r="F3628" s="1" t="s">
        <v>125</v>
      </c>
      <c r="I3628" s="1" t="n">
        <v>254512</v>
      </c>
      <c r="J3628" s="1" t="n">
        <v>38201</v>
      </c>
      <c r="K3628" s="1" t="n">
        <v>7898055451587</v>
      </c>
      <c r="L3628" s="1" t="s">
        <v>2382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5" t="n">
        <v>46204</v>
      </c>
      <c r="C3629" s="1" t="n">
        <v>11</v>
      </c>
      <c r="D3629" s="1" t="s">
        <v>2290</v>
      </c>
      <c r="E3629" s="1" t="n">
        <v>1734</v>
      </c>
      <c r="F3629" s="1" t="s">
        <v>125</v>
      </c>
      <c r="I3629" s="1" t="n">
        <v>254512</v>
      </c>
      <c r="J3629" s="1" t="n">
        <v>38208</v>
      </c>
      <c r="K3629" s="1" t="n">
        <v>7898055452126</v>
      </c>
      <c r="L3629" s="1" t="s">
        <v>2699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5" t="n">
        <v>46204</v>
      </c>
      <c r="C3630" s="1" t="n">
        <v>11</v>
      </c>
      <c r="D3630" s="1" t="s">
        <v>2290</v>
      </c>
      <c r="E3630" s="1" t="n">
        <v>1734</v>
      </c>
      <c r="F3630" s="1" t="s">
        <v>125</v>
      </c>
      <c r="I3630" s="1" t="n">
        <v>254512</v>
      </c>
      <c r="J3630" s="1" t="n">
        <v>38212</v>
      </c>
      <c r="K3630" s="1" t="n">
        <v>7898055451624</v>
      </c>
      <c r="L3630" s="1" t="s">
        <v>2701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5" t="n">
        <v>46204</v>
      </c>
      <c r="C3631" s="1" t="n">
        <v>11</v>
      </c>
      <c r="D3631" s="1" t="s">
        <v>2290</v>
      </c>
      <c r="E3631" s="1" t="n">
        <v>1734</v>
      </c>
      <c r="F3631" s="1" t="s">
        <v>125</v>
      </c>
      <c r="I3631" s="1" t="n">
        <v>254512</v>
      </c>
      <c r="J3631" s="1" t="n">
        <v>38214</v>
      </c>
      <c r="K3631" s="1" t="n">
        <v>7898055452249</v>
      </c>
      <c r="L3631" s="1" t="s">
        <v>2702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5" t="n">
        <v>46204</v>
      </c>
      <c r="C3632" s="1" t="n">
        <v>11</v>
      </c>
      <c r="D3632" s="1" t="s">
        <v>2290</v>
      </c>
      <c r="E3632" s="1" t="n">
        <v>1734</v>
      </c>
      <c r="F3632" s="1" t="s">
        <v>125</v>
      </c>
      <c r="I3632" s="1" t="n">
        <v>254512</v>
      </c>
      <c r="J3632" s="1" t="n">
        <v>38216</v>
      </c>
      <c r="K3632" s="1" t="n">
        <v>7898055454281</v>
      </c>
      <c r="L3632" s="1" t="s">
        <v>2703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5" t="n">
        <v>46204</v>
      </c>
      <c r="C3633" s="1" t="n">
        <v>11</v>
      </c>
      <c r="D3633" s="1" t="s">
        <v>2290</v>
      </c>
      <c r="E3633" s="1" t="n">
        <v>1734</v>
      </c>
      <c r="F3633" s="1" t="s">
        <v>125</v>
      </c>
      <c r="I3633" s="1" t="n">
        <v>254512</v>
      </c>
      <c r="J3633" s="1" t="n">
        <v>38219</v>
      </c>
      <c r="K3633" s="1" t="n">
        <v>7898055452348</v>
      </c>
      <c r="L3633" s="1" t="s">
        <v>3835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5" t="n">
        <v>46204</v>
      </c>
      <c r="C3634" s="1" t="n">
        <v>11</v>
      </c>
      <c r="D3634" s="1" t="s">
        <v>2290</v>
      </c>
      <c r="E3634" s="1" t="n">
        <v>1734</v>
      </c>
      <c r="F3634" s="1" t="s">
        <v>125</v>
      </c>
      <c r="I3634" s="1" t="n">
        <v>254512</v>
      </c>
      <c r="J3634" s="1" t="n">
        <v>38220</v>
      </c>
      <c r="K3634" s="1" t="n">
        <v>7898055452355</v>
      </c>
      <c r="L3634" s="1" t="s">
        <v>2382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5" t="n">
        <v>46204</v>
      </c>
      <c r="C3635" s="1" t="n">
        <v>11</v>
      </c>
      <c r="D3635" s="1" t="s">
        <v>2290</v>
      </c>
      <c r="E3635" s="1" t="n">
        <v>1734</v>
      </c>
      <c r="F3635" s="1" t="s">
        <v>125</v>
      </c>
      <c r="I3635" s="1" t="n">
        <v>254512</v>
      </c>
      <c r="J3635" s="1" t="n">
        <v>38221</v>
      </c>
      <c r="K3635" s="1" t="n">
        <v>7898055452102</v>
      </c>
      <c r="L3635" s="1" t="s">
        <v>2704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5" t="n">
        <v>46204</v>
      </c>
      <c r="C3636" s="1" t="n">
        <v>11</v>
      </c>
      <c r="D3636" s="1" t="s">
        <v>2290</v>
      </c>
      <c r="E3636" s="1" t="n">
        <v>1734</v>
      </c>
      <c r="F3636" s="1" t="s">
        <v>125</v>
      </c>
      <c r="I3636" s="1" t="n">
        <v>254512</v>
      </c>
      <c r="J3636" s="1" t="n">
        <v>39252</v>
      </c>
      <c r="K3636" s="1" t="n">
        <v>7898055450993</v>
      </c>
      <c r="L3636" s="1" t="s">
        <v>2705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5" t="n">
        <v>46204</v>
      </c>
      <c r="C3637" s="1" t="n">
        <v>11</v>
      </c>
      <c r="D3637" s="1" t="s">
        <v>2290</v>
      </c>
      <c r="E3637" s="1" t="n">
        <v>1734</v>
      </c>
      <c r="F3637" s="1" t="s">
        <v>125</v>
      </c>
      <c r="I3637" s="1" t="n">
        <v>254512</v>
      </c>
      <c r="J3637" s="1" t="n">
        <v>39440</v>
      </c>
      <c r="K3637" s="1" t="n">
        <v>7898055451662</v>
      </c>
      <c r="L3637" s="1" t="s">
        <v>2706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5" t="n">
        <v>46204</v>
      </c>
      <c r="C3638" s="1" t="n">
        <v>11</v>
      </c>
      <c r="D3638" s="1" t="s">
        <v>2290</v>
      </c>
      <c r="E3638" s="1" t="n">
        <v>1734</v>
      </c>
      <c r="F3638" s="1" t="s">
        <v>125</v>
      </c>
      <c r="I3638" s="1" t="n">
        <v>254512</v>
      </c>
      <c r="J3638" s="1" t="n">
        <v>39447</v>
      </c>
      <c r="K3638" s="1" t="n">
        <v>7898055450139</v>
      </c>
      <c r="L3638" s="1" t="s">
        <v>2384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5" t="n">
        <v>46204</v>
      </c>
      <c r="C3639" s="1" t="n">
        <v>11</v>
      </c>
      <c r="D3639" s="1" t="s">
        <v>2290</v>
      </c>
      <c r="E3639" s="1" t="n">
        <v>1734</v>
      </c>
      <c r="F3639" s="1" t="s">
        <v>125</v>
      </c>
      <c r="I3639" s="1" t="n">
        <v>254512</v>
      </c>
      <c r="J3639" s="1" t="n">
        <v>41689</v>
      </c>
      <c r="K3639" s="1" t="n">
        <v>7898055450092</v>
      </c>
      <c r="L3639" s="1" t="s">
        <v>3836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5" t="n">
        <v>46204</v>
      </c>
      <c r="C3640" s="1" t="n">
        <v>11</v>
      </c>
      <c r="D3640" s="1" t="s">
        <v>2290</v>
      </c>
      <c r="E3640" s="1" t="n">
        <v>1734</v>
      </c>
      <c r="F3640" s="1" t="s">
        <v>125</v>
      </c>
      <c r="I3640" s="1" t="n">
        <v>254512</v>
      </c>
      <c r="J3640" s="1" t="n">
        <v>56815</v>
      </c>
      <c r="K3640" s="1" t="n">
        <v>7898055455165</v>
      </c>
      <c r="L3640" s="1" t="s">
        <v>2387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5" t="n">
        <v>46204</v>
      </c>
      <c r="C3641" s="1" t="n">
        <v>11</v>
      </c>
      <c r="D3641" s="1" t="s">
        <v>2290</v>
      </c>
      <c r="E3641" s="1" t="n">
        <v>1734</v>
      </c>
      <c r="F3641" s="1" t="s">
        <v>125</v>
      </c>
      <c r="I3641" s="1" t="n">
        <v>254512</v>
      </c>
      <c r="J3641" s="1" t="n">
        <v>57021</v>
      </c>
      <c r="K3641" s="1" t="n">
        <v>7898055455189</v>
      </c>
      <c r="L3641" s="1" t="s">
        <v>2388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5" t="n">
        <v>46204</v>
      </c>
      <c r="C3642" s="1" t="n">
        <v>11</v>
      </c>
      <c r="D3642" s="1" t="s">
        <v>2290</v>
      </c>
      <c r="E3642" s="1" t="n">
        <v>1734</v>
      </c>
      <c r="F3642" s="1" t="s">
        <v>125</v>
      </c>
      <c r="I3642" s="1" t="n">
        <v>254512</v>
      </c>
      <c r="J3642" s="1" t="n">
        <v>78071</v>
      </c>
      <c r="K3642" s="1" t="n">
        <v>7898055455622</v>
      </c>
      <c r="L3642" s="1" t="s">
        <v>2389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5" t="n">
        <v>46204</v>
      </c>
      <c r="C3643" s="1" t="n">
        <v>11</v>
      </c>
      <c r="D3643" s="1" t="s">
        <v>2290</v>
      </c>
      <c r="E3643" s="1" t="n">
        <v>1740</v>
      </c>
      <c r="F3643" s="1" t="s">
        <v>170</v>
      </c>
      <c r="I3643" s="1" t="n">
        <v>1242823</v>
      </c>
      <c r="J3643" s="1" t="n">
        <v>106130</v>
      </c>
      <c r="K3643" s="1" t="n">
        <v>7891000340004</v>
      </c>
      <c r="L3643" s="1" t="s">
        <v>2484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5" t="n">
        <v>46204</v>
      </c>
      <c r="C3644" s="1" t="n">
        <v>11</v>
      </c>
      <c r="D3644" s="1" t="s">
        <v>2290</v>
      </c>
      <c r="E3644" s="1" t="n">
        <v>1740</v>
      </c>
      <c r="F3644" s="1" t="s">
        <v>170</v>
      </c>
      <c r="I3644" s="1" t="n">
        <v>1242823</v>
      </c>
      <c r="J3644" s="1" t="n">
        <v>16602</v>
      </c>
      <c r="K3644" s="1" t="n">
        <v>7891000084649</v>
      </c>
      <c r="L3644" s="1" t="s">
        <v>3088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5" t="n">
        <v>46204</v>
      </c>
      <c r="C3645" s="1" t="n">
        <v>11</v>
      </c>
      <c r="D3645" s="1" t="s">
        <v>2290</v>
      </c>
      <c r="E3645" s="1" t="n">
        <v>1740</v>
      </c>
      <c r="F3645" s="1" t="s">
        <v>170</v>
      </c>
      <c r="I3645" s="1" t="n">
        <v>1242823</v>
      </c>
      <c r="J3645" s="1" t="n">
        <v>16644</v>
      </c>
      <c r="K3645" s="1" t="n">
        <v>7891000084663</v>
      </c>
      <c r="L3645" s="1" t="s">
        <v>2518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5" t="n">
        <v>46204</v>
      </c>
      <c r="C3646" s="1" t="n">
        <v>11</v>
      </c>
      <c r="D3646" s="1" t="s">
        <v>2290</v>
      </c>
      <c r="E3646" s="1" t="n">
        <v>1740</v>
      </c>
      <c r="F3646" s="1" t="s">
        <v>170</v>
      </c>
      <c r="I3646" s="1" t="n">
        <v>1242823</v>
      </c>
      <c r="J3646" s="1" t="n">
        <v>25413</v>
      </c>
      <c r="K3646" s="1" t="n">
        <v>7891000241417</v>
      </c>
      <c r="L3646" s="1" t="s">
        <v>2488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5" t="n">
        <v>46204</v>
      </c>
      <c r="C3647" s="1" t="n">
        <v>11</v>
      </c>
      <c r="D3647" s="1" t="s">
        <v>2290</v>
      </c>
      <c r="E3647" s="1" t="n">
        <v>1740</v>
      </c>
      <c r="F3647" s="1" t="s">
        <v>170</v>
      </c>
      <c r="I3647" s="1" t="n">
        <v>1242823</v>
      </c>
      <c r="J3647" s="1" t="n">
        <v>27878</v>
      </c>
      <c r="K3647" s="1" t="n">
        <v>7891000261026</v>
      </c>
      <c r="L3647" s="1" t="s">
        <v>2489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5" t="n">
        <v>46204</v>
      </c>
      <c r="C3648" s="1" t="n">
        <v>11</v>
      </c>
      <c r="D3648" s="1" t="s">
        <v>2290</v>
      </c>
      <c r="E3648" s="1" t="n">
        <v>1740</v>
      </c>
      <c r="F3648" s="1" t="s">
        <v>170</v>
      </c>
      <c r="I3648" s="1" t="n">
        <v>1242823</v>
      </c>
      <c r="J3648" s="1" t="n">
        <v>28388</v>
      </c>
      <c r="K3648" s="1" t="n">
        <v>7891000260166</v>
      </c>
      <c r="L3648" s="1" t="s">
        <v>3091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5" t="n">
        <v>46204</v>
      </c>
      <c r="C3649" s="1" t="n">
        <v>11</v>
      </c>
      <c r="D3649" s="1" t="s">
        <v>2290</v>
      </c>
      <c r="E3649" s="1" t="n">
        <v>1740</v>
      </c>
      <c r="F3649" s="1" t="s">
        <v>170</v>
      </c>
      <c r="I3649" s="1" t="n">
        <v>1242823</v>
      </c>
      <c r="J3649" s="1" t="n">
        <v>28389</v>
      </c>
      <c r="K3649" s="1" t="n">
        <v>7891000261460</v>
      </c>
      <c r="L3649" s="1" t="s">
        <v>3092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5" t="n">
        <v>46204</v>
      </c>
      <c r="C3650" s="1" t="n">
        <v>11</v>
      </c>
      <c r="D3650" s="1" t="s">
        <v>2290</v>
      </c>
      <c r="E3650" s="1" t="n">
        <v>1740</v>
      </c>
      <c r="F3650" s="1" t="s">
        <v>170</v>
      </c>
      <c r="I3650" s="1" t="n">
        <v>1242823</v>
      </c>
      <c r="J3650" s="1" t="n">
        <v>47789</v>
      </c>
      <c r="K3650" s="1" t="n">
        <v>7891000362037</v>
      </c>
      <c r="L3650" s="1" t="s">
        <v>2491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5" t="n">
        <v>46204</v>
      </c>
      <c r="C3651" s="1" t="n">
        <v>11</v>
      </c>
      <c r="D3651" s="1" t="s">
        <v>2290</v>
      </c>
      <c r="E3651" s="1" t="n">
        <v>1740</v>
      </c>
      <c r="F3651" s="1" t="s">
        <v>170</v>
      </c>
      <c r="I3651" s="1" t="n">
        <v>1242823</v>
      </c>
      <c r="J3651" s="1" t="n">
        <v>50424</v>
      </c>
      <c r="K3651" s="1" t="n">
        <v>7898953148169</v>
      </c>
      <c r="L3651" s="1" t="s">
        <v>2492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5" t="n">
        <v>46204</v>
      </c>
      <c r="C3652" s="1" t="n">
        <v>11</v>
      </c>
      <c r="D3652" s="1" t="s">
        <v>2290</v>
      </c>
      <c r="E3652" s="1" t="n">
        <v>1740</v>
      </c>
      <c r="F3652" s="1" t="s">
        <v>170</v>
      </c>
      <c r="I3652" s="1" t="n">
        <v>1242823</v>
      </c>
      <c r="J3652" s="1" t="n">
        <v>52026</v>
      </c>
      <c r="K3652" s="1" t="n">
        <v>7898953148435</v>
      </c>
      <c r="L3652" s="1" t="s">
        <v>3094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5" t="n">
        <v>46204</v>
      </c>
      <c r="C3653" s="1" t="n">
        <v>11</v>
      </c>
      <c r="D3653" s="1" t="s">
        <v>2290</v>
      </c>
      <c r="E3653" s="1" t="n">
        <v>1740</v>
      </c>
      <c r="F3653" s="1" t="s">
        <v>170</v>
      </c>
      <c r="I3653" s="1" t="n">
        <v>1242823</v>
      </c>
      <c r="J3653" s="1" t="n">
        <v>64099</v>
      </c>
      <c r="K3653" s="1" t="n">
        <v>7898953148619</v>
      </c>
      <c r="L3653" s="1" t="s">
        <v>3837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5" t="n">
        <v>46204</v>
      </c>
      <c r="C3654" s="1" t="n">
        <v>11</v>
      </c>
      <c r="D3654" s="1" t="s">
        <v>2290</v>
      </c>
      <c r="E3654" s="1" t="n">
        <v>1740</v>
      </c>
      <c r="F3654" s="1" t="s">
        <v>170</v>
      </c>
      <c r="I3654" s="1" t="n">
        <v>1242823</v>
      </c>
      <c r="J3654" s="1" t="n">
        <v>70023</v>
      </c>
      <c r="K3654" s="1" t="n">
        <v>7898953148275</v>
      </c>
      <c r="L3654" s="1" t="s">
        <v>3838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5" t="n">
        <v>46204</v>
      </c>
      <c r="C3655" s="1" t="n">
        <v>11</v>
      </c>
      <c r="D3655" s="1" t="s">
        <v>2290</v>
      </c>
      <c r="E3655" s="1" t="n">
        <v>1740</v>
      </c>
      <c r="F3655" s="1" t="s">
        <v>170</v>
      </c>
      <c r="I3655" s="1" t="n">
        <v>1242824</v>
      </c>
      <c r="J3655" s="1" t="n">
        <v>100036</v>
      </c>
      <c r="K3655" s="1" t="n">
        <v>37</v>
      </c>
      <c r="L3655" s="1" t="s">
        <v>2432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5" t="n">
        <v>46204</v>
      </c>
      <c r="C3656" s="1" t="n">
        <v>11</v>
      </c>
      <c r="D3656" s="1" t="s">
        <v>2290</v>
      </c>
      <c r="E3656" s="1" t="n">
        <v>1740</v>
      </c>
      <c r="F3656" s="1" t="s">
        <v>170</v>
      </c>
      <c r="I3656" s="1" t="n">
        <v>1242825</v>
      </c>
      <c r="J3656" s="1" t="n">
        <v>108591</v>
      </c>
      <c r="K3656" s="1" t="n">
        <v>8461</v>
      </c>
      <c r="L3656" s="1" t="s">
        <v>3269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5" t="n">
        <v>46204</v>
      </c>
      <c r="C3657" s="1" t="n">
        <v>22</v>
      </c>
      <c r="D3657" s="1" t="s">
        <v>2436</v>
      </c>
      <c r="E3657" s="1" t="n">
        <v>42</v>
      </c>
      <c r="F3657" s="1" t="s">
        <v>80</v>
      </c>
      <c r="I3657" s="1" t="n">
        <v>4340</v>
      </c>
      <c r="J3657" s="1" t="n">
        <v>100000</v>
      </c>
      <c r="K3657" s="1" t="n">
        <v>1</v>
      </c>
      <c r="L3657" s="1" t="s">
        <v>2451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5" t="n">
        <v>46204</v>
      </c>
      <c r="C3658" s="1" t="n">
        <v>22</v>
      </c>
      <c r="D3658" s="1" t="s">
        <v>2436</v>
      </c>
      <c r="E3658" s="1" t="n">
        <v>42</v>
      </c>
      <c r="F3658" s="1" t="s">
        <v>80</v>
      </c>
      <c r="I3658" s="1" t="n">
        <v>4340</v>
      </c>
      <c r="J3658" s="1" t="n">
        <v>100001</v>
      </c>
      <c r="K3658" s="1" t="n">
        <v>2</v>
      </c>
      <c r="L3658" s="1" t="s">
        <v>2452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5" t="n">
        <v>46204</v>
      </c>
      <c r="C3659" s="1" t="n">
        <v>22</v>
      </c>
      <c r="D3659" s="1" t="s">
        <v>2436</v>
      </c>
      <c r="E3659" s="1" t="n">
        <v>42</v>
      </c>
      <c r="F3659" s="1" t="s">
        <v>80</v>
      </c>
      <c r="I3659" s="1" t="n">
        <v>4340</v>
      </c>
      <c r="J3659" s="1" t="n">
        <v>100002</v>
      </c>
      <c r="K3659" s="1" t="n">
        <v>3</v>
      </c>
      <c r="L3659" s="1" t="s">
        <v>2453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5" t="n">
        <v>46204</v>
      </c>
      <c r="C3660" s="1" t="n">
        <v>22</v>
      </c>
      <c r="D3660" s="1" t="s">
        <v>2436</v>
      </c>
      <c r="E3660" s="1" t="n">
        <v>42</v>
      </c>
      <c r="F3660" s="1" t="s">
        <v>80</v>
      </c>
      <c r="I3660" s="1" t="n">
        <v>4340</v>
      </c>
      <c r="J3660" s="1" t="n">
        <v>100003</v>
      </c>
      <c r="K3660" s="1" t="n">
        <v>4</v>
      </c>
      <c r="L3660" s="1" t="s">
        <v>2454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5" t="n">
        <v>46204</v>
      </c>
      <c r="C3661" s="1" t="n">
        <v>22</v>
      </c>
      <c r="D3661" s="1" t="s">
        <v>2436</v>
      </c>
      <c r="E3661" s="1" t="n">
        <v>42</v>
      </c>
      <c r="F3661" s="1" t="s">
        <v>80</v>
      </c>
      <c r="I3661" s="1" t="n">
        <v>4340</v>
      </c>
      <c r="J3661" s="1" t="n">
        <v>100007</v>
      </c>
      <c r="K3661" s="1" t="n">
        <v>8</v>
      </c>
      <c r="L3661" s="1" t="s">
        <v>2455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5" t="n">
        <v>46204</v>
      </c>
      <c r="C3662" s="1" t="n">
        <v>22</v>
      </c>
      <c r="D3662" s="1" t="s">
        <v>2436</v>
      </c>
      <c r="E3662" s="1" t="n">
        <v>42</v>
      </c>
      <c r="F3662" s="1" t="s">
        <v>80</v>
      </c>
      <c r="I3662" s="1" t="n">
        <v>4340</v>
      </c>
      <c r="J3662" s="1" t="n">
        <v>100638</v>
      </c>
      <c r="K3662" s="1" t="n">
        <v>508</v>
      </c>
      <c r="L3662" s="1" t="s">
        <v>2448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5" t="n">
        <v>46204</v>
      </c>
      <c r="C3663" s="1" t="n">
        <v>22</v>
      </c>
      <c r="D3663" s="1" t="s">
        <v>2436</v>
      </c>
      <c r="E3663" s="1" t="n">
        <v>42</v>
      </c>
      <c r="F3663" s="1" t="s">
        <v>80</v>
      </c>
      <c r="I3663" s="1" t="n">
        <v>4340</v>
      </c>
      <c r="J3663" s="1" t="n">
        <v>100520</v>
      </c>
      <c r="K3663" s="1" t="n">
        <v>507</v>
      </c>
      <c r="L3663" s="1" t="s">
        <v>2449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5" t="n">
        <v>46204</v>
      </c>
      <c r="C3664" s="1" t="n">
        <v>22</v>
      </c>
      <c r="D3664" s="1" t="s">
        <v>2436</v>
      </c>
      <c r="E3664" s="1" t="n">
        <v>42</v>
      </c>
      <c r="F3664" s="1" t="s">
        <v>80</v>
      </c>
      <c r="I3664" s="1" t="n">
        <v>4340</v>
      </c>
      <c r="J3664" s="1" t="n">
        <v>110455</v>
      </c>
      <c r="K3664" s="1" t="n">
        <v>53212</v>
      </c>
      <c r="L3664" s="1" t="s">
        <v>2450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5" t="n">
        <v>46204</v>
      </c>
      <c r="C3665" s="1" t="n">
        <v>100</v>
      </c>
      <c r="D3665" s="1" t="s">
        <v>2457</v>
      </c>
      <c r="E3665" s="1" t="n">
        <v>42</v>
      </c>
      <c r="F3665" s="1" t="s">
        <v>80</v>
      </c>
      <c r="I3665" s="1" t="n">
        <v>1335606</v>
      </c>
      <c r="J3665" s="1" t="n">
        <v>100000</v>
      </c>
      <c r="K3665" s="1" t="n">
        <v>1</v>
      </c>
      <c r="L3665" s="1" t="s">
        <v>2451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5" t="n">
        <v>46204</v>
      </c>
      <c r="C3666" s="1" t="n">
        <v>100</v>
      </c>
      <c r="D3666" s="1" t="s">
        <v>2457</v>
      </c>
      <c r="E3666" s="1" t="n">
        <v>42</v>
      </c>
      <c r="F3666" s="1" t="s">
        <v>80</v>
      </c>
      <c r="I3666" s="1" t="n">
        <v>1335606</v>
      </c>
      <c r="J3666" s="1" t="n">
        <v>100001</v>
      </c>
      <c r="K3666" s="1" t="n">
        <v>2</v>
      </c>
      <c r="L3666" s="1" t="s">
        <v>2452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5" t="n">
        <v>46204</v>
      </c>
      <c r="C3667" s="1" t="n">
        <v>100</v>
      </c>
      <c r="D3667" s="1" t="s">
        <v>2457</v>
      </c>
      <c r="E3667" s="1" t="n">
        <v>42</v>
      </c>
      <c r="F3667" s="1" t="s">
        <v>80</v>
      </c>
      <c r="I3667" s="1" t="n">
        <v>1335606</v>
      </c>
      <c r="J3667" s="1" t="n">
        <v>100002</v>
      </c>
      <c r="K3667" s="1" t="n">
        <v>3</v>
      </c>
      <c r="L3667" s="1" t="s">
        <v>2453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5" t="n">
        <v>46204</v>
      </c>
      <c r="C3668" s="1" t="n">
        <v>100</v>
      </c>
      <c r="D3668" s="1" t="s">
        <v>2457</v>
      </c>
      <c r="E3668" s="1" t="n">
        <v>42</v>
      </c>
      <c r="F3668" s="1" t="s">
        <v>80</v>
      </c>
      <c r="I3668" s="1" t="n">
        <v>1335606</v>
      </c>
      <c r="J3668" s="1" t="n">
        <v>100003</v>
      </c>
      <c r="K3668" s="1" t="n">
        <v>4</v>
      </c>
      <c r="L3668" s="1" t="s">
        <v>2454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5" t="n">
        <v>46204</v>
      </c>
      <c r="C3669" s="1" t="n">
        <v>100</v>
      </c>
      <c r="D3669" s="1" t="s">
        <v>2457</v>
      </c>
      <c r="E3669" s="1" t="n">
        <v>42</v>
      </c>
      <c r="F3669" s="1" t="s">
        <v>80</v>
      </c>
      <c r="I3669" s="1" t="n">
        <v>1335606</v>
      </c>
      <c r="J3669" s="1" t="n">
        <v>100007</v>
      </c>
      <c r="K3669" s="1" t="n">
        <v>8</v>
      </c>
      <c r="L3669" s="1" t="s">
        <v>2455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5" t="n">
        <v>46204</v>
      </c>
      <c r="C3670" s="1" t="n">
        <v>100</v>
      </c>
      <c r="D3670" s="1" t="s">
        <v>2457</v>
      </c>
      <c r="E3670" s="1" t="n">
        <v>42</v>
      </c>
      <c r="F3670" s="1" t="s">
        <v>80</v>
      </c>
      <c r="I3670" s="1" t="n">
        <v>1335606</v>
      </c>
      <c r="J3670" s="1" t="n">
        <v>100638</v>
      </c>
      <c r="K3670" s="1" t="n">
        <v>508</v>
      </c>
      <c r="L3670" s="1" t="s">
        <v>2448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5" t="n">
        <v>46204</v>
      </c>
      <c r="C3671" s="1" t="n">
        <v>100</v>
      </c>
      <c r="D3671" s="1" t="s">
        <v>2457</v>
      </c>
      <c r="E3671" s="1" t="n">
        <v>42</v>
      </c>
      <c r="F3671" s="1" t="s">
        <v>80</v>
      </c>
      <c r="I3671" s="1" t="n">
        <v>1335606</v>
      </c>
      <c r="J3671" s="1" t="n">
        <v>100520</v>
      </c>
      <c r="K3671" s="1" t="n">
        <v>507</v>
      </c>
      <c r="L3671" s="1" t="s">
        <v>2449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5" t="n">
        <v>46204</v>
      </c>
      <c r="C3672" s="1" t="n">
        <v>100</v>
      </c>
      <c r="D3672" s="1" t="s">
        <v>2457</v>
      </c>
      <c r="E3672" s="1" t="n">
        <v>42</v>
      </c>
      <c r="F3672" s="1" t="s">
        <v>80</v>
      </c>
      <c r="I3672" s="1" t="n">
        <v>1335606</v>
      </c>
      <c r="J3672" s="1" t="n">
        <v>110455</v>
      </c>
      <c r="K3672" s="1" t="n">
        <v>53212</v>
      </c>
      <c r="L3672" s="1" t="s">
        <v>2450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5" t="n">
        <v>46204</v>
      </c>
      <c r="C3673" s="1" t="n">
        <v>171</v>
      </c>
      <c r="D3673" s="1" t="s">
        <v>2517</v>
      </c>
      <c r="E3673" s="1" t="n">
        <v>1740</v>
      </c>
      <c r="F3673" s="1" t="s">
        <v>170</v>
      </c>
      <c r="I3673" s="1" t="n">
        <v>1242822</v>
      </c>
      <c r="J3673" s="1" t="n">
        <v>14219</v>
      </c>
      <c r="K3673" s="1" t="n">
        <v>7891000072950</v>
      </c>
      <c r="L3673" s="1" t="s">
        <v>2485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5" t="n">
        <v>46204</v>
      </c>
      <c r="C3674" s="1" t="n">
        <v>171</v>
      </c>
      <c r="D3674" s="1" t="s">
        <v>2517</v>
      </c>
      <c r="E3674" s="1" t="n">
        <v>1740</v>
      </c>
      <c r="F3674" s="1" t="s">
        <v>170</v>
      </c>
      <c r="I3674" s="1" t="n">
        <v>1242822</v>
      </c>
      <c r="J3674" s="1" t="n">
        <v>47788</v>
      </c>
      <c r="K3674" s="1" t="n">
        <v>7891000363256</v>
      </c>
      <c r="L3674" s="1" t="s">
        <v>3839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5" t="n">
        <v>46204</v>
      </c>
      <c r="C3675" s="1" t="n">
        <v>171</v>
      </c>
      <c r="D3675" s="1" t="s">
        <v>2517</v>
      </c>
      <c r="E3675" s="1" t="n">
        <v>1740</v>
      </c>
      <c r="F3675" s="1" t="s">
        <v>170</v>
      </c>
      <c r="I3675" s="1" t="n">
        <v>1242822</v>
      </c>
      <c r="J3675" s="1" t="n">
        <v>79560</v>
      </c>
      <c r="K3675" s="1" t="n">
        <v>7898755200461</v>
      </c>
      <c r="L3675" s="1" t="s">
        <v>3194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5" t="n">
        <v>46205</v>
      </c>
      <c r="C3676" s="1" t="n">
        <v>1</v>
      </c>
      <c r="D3676" s="1" t="s">
        <v>2317</v>
      </c>
      <c r="E3676" s="1" t="n">
        <v>1642</v>
      </c>
      <c r="F3676" s="1" t="s">
        <v>274</v>
      </c>
      <c r="I3676" s="1" t="n">
        <v>1029881</v>
      </c>
      <c r="J3676" s="1" t="n">
        <v>105780</v>
      </c>
      <c r="K3676" s="1" t="n">
        <v>7896289210017</v>
      </c>
      <c r="L3676" s="1" t="s">
        <v>2467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5" t="n">
        <v>46205</v>
      </c>
      <c r="C3677" s="1" t="n">
        <v>1</v>
      </c>
      <c r="D3677" s="1" t="s">
        <v>2317</v>
      </c>
      <c r="E3677" s="1" t="n">
        <v>1642</v>
      </c>
      <c r="F3677" s="1" t="s">
        <v>274</v>
      </c>
      <c r="I3677" s="1" t="n">
        <v>1029881</v>
      </c>
      <c r="J3677" s="1" t="n">
        <v>105782</v>
      </c>
      <c r="K3677" s="1" t="n">
        <v>7896289210352</v>
      </c>
      <c r="L3677" s="1" t="s">
        <v>2468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5" t="n">
        <v>46205</v>
      </c>
      <c r="C3678" s="1" t="n">
        <v>1</v>
      </c>
      <c r="D3678" s="1" t="s">
        <v>2317</v>
      </c>
      <c r="E3678" s="1" t="n">
        <v>1642</v>
      </c>
      <c r="F3678" s="1" t="s">
        <v>274</v>
      </c>
      <c r="I3678" s="1" t="n">
        <v>1029881</v>
      </c>
      <c r="J3678" s="1" t="n">
        <v>106079</v>
      </c>
      <c r="K3678" s="1" t="n">
        <v>7896289210130</v>
      </c>
      <c r="L3678" s="1" t="s">
        <v>2469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5" t="n">
        <v>46205</v>
      </c>
      <c r="C3679" s="1" t="n">
        <v>1</v>
      </c>
      <c r="D3679" s="1" t="s">
        <v>2317</v>
      </c>
      <c r="E3679" s="1" t="n">
        <v>1642</v>
      </c>
      <c r="F3679" s="1" t="s">
        <v>274</v>
      </c>
      <c r="I3679" s="1" t="n">
        <v>1029881</v>
      </c>
      <c r="J3679" s="1" t="n">
        <v>106274</v>
      </c>
      <c r="K3679" s="1" t="n">
        <v>7896289210086</v>
      </c>
      <c r="L3679" s="1" t="s">
        <v>2470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5" t="n">
        <v>46205</v>
      </c>
      <c r="C3680" s="1" t="n">
        <v>1</v>
      </c>
      <c r="D3680" s="1" t="s">
        <v>2317</v>
      </c>
      <c r="E3680" s="1" t="n">
        <v>1642</v>
      </c>
      <c r="F3680" s="1" t="s">
        <v>274</v>
      </c>
      <c r="I3680" s="1" t="n">
        <v>1029881</v>
      </c>
      <c r="J3680" s="1" t="n">
        <v>106280</v>
      </c>
      <c r="K3680" s="1" t="n">
        <v>7896289210062</v>
      </c>
      <c r="L3680" s="1" t="s">
        <v>2471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5" t="n">
        <v>46205</v>
      </c>
      <c r="C3681" s="1" t="n">
        <v>1</v>
      </c>
      <c r="D3681" s="1" t="s">
        <v>2317</v>
      </c>
      <c r="E3681" s="1" t="n">
        <v>1642</v>
      </c>
      <c r="F3681" s="1" t="s">
        <v>274</v>
      </c>
      <c r="I3681" s="1" t="n">
        <v>1029881</v>
      </c>
      <c r="J3681" s="1" t="n">
        <v>106407</v>
      </c>
      <c r="K3681" s="1" t="n">
        <v>7896289210031</v>
      </c>
      <c r="L3681" s="1" t="s">
        <v>2472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5" t="n">
        <v>46205</v>
      </c>
      <c r="C3682" s="1" t="n">
        <v>2</v>
      </c>
      <c r="D3682" s="1" t="s">
        <v>2283</v>
      </c>
      <c r="E3682" s="1" t="n">
        <v>42</v>
      </c>
      <c r="F3682" s="1" t="s">
        <v>80</v>
      </c>
      <c r="I3682" s="1" t="n">
        <v>20701</v>
      </c>
      <c r="J3682" s="1" t="n">
        <v>100140</v>
      </c>
      <c r="K3682" s="1" t="n">
        <v>141</v>
      </c>
      <c r="L3682" s="1" t="s">
        <v>3840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5" t="n">
        <v>46205</v>
      </c>
      <c r="C3683" s="1" t="n">
        <v>2</v>
      </c>
      <c r="D3683" s="1" t="s">
        <v>2283</v>
      </c>
      <c r="E3683" s="1" t="n">
        <v>42</v>
      </c>
      <c r="F3683" s="1" t="s">
        <v>80</v>
      </c>
      <c r="I3683" s="1" t="n">
        <v>20702</v>
      </c>
      <c r="J3683" s="1" t="n">
        <v>100103</v>
      </c>
      <c r="K3683" s="1" t="n">
        <v>104</v>
      </c>
      <c r="L3683" s="1" t="s">
        <v>2287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5" t="n">
        <v>46205</v>
      </c>
      <c r="C3684" s="1" t="n">
        <v>2</v>
      </c>
      <c r="D3684" s="1" t="s">
        <v>2283</v>
      </c>
      <c r="E3684" s="1" t="n">
        <v>42</v>
      </c>
      <c r="F3684" s="1" t="s">
        <v>80</v>
      </c>
      <c r="I3684" s="1" t="n">
        <v>20703</v>
      </c>
      <c r="J3684" s="1" t="n">
        <v>109791</v>
      </c>
      <c r="K3684" s="1" t="n">
        <v>9667</v>
      </c>
      <c r="L3684" s="1" t="s">
        <v>2284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5" t="n">
        <v>46205</v>
      </c>
      <c r="C3685" s="1" t="n">
        <v>2</v>
      </c>
      <c r="D3685" s="1" t="s">
        <v>2283</v>
      </c>
      <c r="E3685" s="1" t="n">
        <v>42</v>
      </c>
      <c r="F3685" s="1" t="s">
        <v>80</v>
      </c>
      <c r="I3685" s="1" t="n">
        <v>20703</v>
      </c>
      <c r="J3685" s="1" t="n">
        <v>37359</v>
      </c>
      <c r="K3685" s="1" t="n">
        <v>55526</v>
      </c>
      <c r="L3685" s="1" t="s">
        <v>2285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5" t="n">
        <v>46205</v>
      </c>
      <c r="C3686" s="1" t="n">
        <v>2</v>
      </c>
      <c r="D3686" s="1" t="s">
        <v>2283</v>
      </c>
      <c r="E3686" s="1" t="n">
        <v>42</v>
      </c>
      <c r="F3686" s="1" t="s">
        <v>80</v>
      </c>
      <c r="I3686" s="1" t="n">
        <v>20703</v>
      </c>
      <c r="J3686" s="1" t="n">
        <v>37361</v>
      </c>
      <c r="K3686" s="1" t="n">
        <v>2240817</v>
      </c>
      <c r="L3686" s="1" t="s">
        <v>2286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5" t="n">
        <v>46205</v>
      </c>
      <c r="C3687" s="1" t="n">
        <v>2</v>
      </c>
      <c r="D3687" s="1" t="s">
        <v>2283</v>
      </c>
      <c r="E3687" s="1" t="n">
        <v>42</v>
      </c>
      <c r="F3687" s="1" t="s">
        <v>80</v>
      </c>
      <c r="I3687" s="1" t="n">
        <v>20704</v>
      </c>
      <c r="J3687" s="1" t="n">
        <v>72679</v>
      </c>
      <c r="K3687" s="1" t="n">
        <v>246</v>
      </c>
      <c r="L3687" s="1" t="s">
        <v>2288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5" t="n">
        <v>46205</v>
      </c>
      <c r="C3688" s="1" t="n">
        <v>6</v>
      </c>
      <c r="D3688" s="1" t="s">
        <v>2289</v>
      </c>
      <c r="E3688" s="1" t="n">
        <v>42</v>
      </c>
      <c r="F3688" s="1" t="s">
        <v>80</v>
      </c>
      <c r="I3688" s="1" t="n">
        <v>4341</v>
      </c>
      <c r="J3688" s="1" t="n">
        <v>100103</v>
      </c>
      <c r="K3688" s="1" t="n">
        <v>104</v>
      </c>
      <c r="L3688" s="1" t="s">
        <v>2287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5" t="n">
        <v>46205</v>
      </c>
      <c r="C3689" s="1" t="n">
        <v>6</v>
      </c>
      <c r="D3689" s="1" t="s">
        <v>2289</v>
      </c>
      <c r="E3689" s="1" t="n">
        <v>42</v>
      </c>
      <c r="F3689" s="1" t="s">
        <v>80</v>
      </c>
      <c r="I3689" s="1" t="n">
        <v>4342</v>
      </c>
      <c r="J3689" s="1" t="n">
        <v>109791</v>
      </c>
      <c r="K3689" s="1" t="n">
        <v>9667</v>
      </c>
      <c r="L3689" s="1" t="s">
        <v>2284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5" t="n">
        <v>46205</v>
      </c>
      <c r="C3690" s="1" t="n">
        <v>6</v>
      </c>
      <c r="D3690" s="1" t="s">
        <v>2289</v>
      </c>
      <c r="E3690" s="1" t="n">
        <v>42</v>
      </c>
      <c r="F3690" s="1" t="s">
        <v>80</v>
      </c>
      <c r="I3690" s="1" t="n">
        <v>4342</v>
      </c>
      <c r="J3690" s="1" t="n">
        <v>37359</v>
      </c>
      <c r="K3690" s="1" t="n">
        <v>55526</v>
      </c>
      <c r="L3690" s="1" t="s">
        <v>2285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5" t="n">
        <v>46205</v>
      </c>
      <c r="C3691" s="1" t="n">
        <v>6</v>
      </c>
      <c r="D3691" s="1" t="s">
        <v>2289</v>
      </c>
      <c r="E3691" s="1" t="n">
        <v>42</v>
      </c>
      <c r="F3691" s="1" t="s">
        <v>80</v>
      </c>
      <c r="I3691" s="1" t="n">
        <v>4342</v>
      </c>
      <c r="J3691" s="1" t="n">
        <v>37361</v>
      </c>
      <c r="K3691" s="1" t="n">
        <v>2240817</v>
      </c>
      <c r="L3691" s="1" t="s">
        <v>2286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5" t="n">
        <v>46205</v>
      </c>
      <c r="C3692" s="1" t="n">
        <v>6</v>
      </c>
      <c r="D3692" s="1" t="s">
        <v>2289</v>
      </c>
      <c r="E3692" s="1" t="n">
        <v>42</v>
      </c>
      <c r="F3692" s="1" t="s">
        <v>80</v>
      </c>
      <c r="I3692" s="1" t="n">
        <v>4343</v>
      </c>
      <c r="J3692" s="1" t="n">
        <v>100140</v>
      </c>
      <c r="K3692" s="1" t="n">
        <v>141</v>
      </c>
      <c r="L3692" s="1" t="s">
        <v>3840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5" t="n">
        <v>46205</v>
      </c>
      <c r="C3693" s="1" t="n">
        <v>6</v>
      </c>
      <c r="D3693" s="1" t="s">
        <v>2289</v>
      </c>
      <c r="E3693" s="1" t="n">
        <v>42</v>
      </c>
      <c r="F3693" s="1" t="s">
        <v>80</v>
      </c>
      <c r="I3693" s="1" t="n">
        <v>4346</v>
      </c>
      <c r="J3693" s="1" t="n">
        <v>72679</v>
      </c>
      <c r="K3693" s="1" t="n">
        <v>246</v>
      </c>
      <c r="L3693" s="1" t="s">
        <v>2288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5" t="n">
        <v>46205</v>
      </c>
      <c r="C3694" s="1" t="n">
        <v>11</v>
      </c>
      <c r="D3694" s="1" t="s">
        <v>2290</v>
      </c>
      <c r="E3694" s="1" t="n">
        <v>1749</v>
      </c>
      <c r="F3694" s="1" t="s">
        <v>266</v>
      </c>
      <c r="I3694" s="1" t="n">
        <v>2144</v>
      </c>
      <c r="J3694" s="1" t="n">
        <v>100814</v>
      </c>
      <c r="K3694" s="1" t="n">
        <v>7897312400054</v>
      </c>
      <c r="L3694" s="1" t="s">
        <v>3841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5" t="n">
        <v>46205</v>
      </c>
      <c r="C3695" s="1" t="n">
        <v>11</v>
      </c>
      <c r="D3695" s="1" t="s">
        <v>2290</v>
      </c>
      <c r="E3695" s="1" t="n">
        <v>1749</v>
      </c>
      <c r="F3695" s="1" t="s">
        <v>266</v>
      </c>
      <c r="I3695" s="1" t="n">
        <v>2144</v>
      </c>
      <c r="J3695" s="1" t="n">
        <v>102300</v>
      </c>
      <c r="K3695" s="1" t="n">
        <v>7898062920014</v>
      </c>
      <c r="L3695" s="1" t="s">
        <v>3842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5" t="n">
        <v>46205</v>
      </c>
      <c r="C3696" s="1" t="n">
        <v>11</v>
      </c>
      <c r="D3696" s="1" t="s">
        <v>2290</v>
      </c>
      <c r="E3696" s="1" t="n">
        <v>1749</v>
      </c>
      <c r="F3696" s="1" t="s">
        <v>266</v>
      </c>
      <c r="I3696" s="1" t="n">
        <v>2144</v>
      </c>
      <c r="J3696" s="1" t="n">
        <v>13677</v>
      </c>
      <c r="K3696" s="1" t="n">
        <v>7896393601039</v>
      </c>
      <c r="L3696" s="1" t="s">
        <v>2800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5" t="n">
        <v>46205</v>
      </c>
      <c r="C3697" s="1" t="n">
        <v>11</v>
      </c>
      <c r="D3697" s="1" t="s">
        <v>2290</v>
      </c>
      <c r="E3697" s="1" t="n">
        <v>1749</v>
      </c>
      <c r="F3697" s="1" t="s">
        <v>266</v>
      </c>
      <c r="I3697" s="1" t="n">
        <v>2144</v>
      </c>
      <c r="J3697" s="1" t="n">
        <v>25964</v>
      </c>
      <c r="K3697" s="1" t="n">
        <v>7896763621858</v>
      </c>
      <c r="L3697" s="1" t="s">
        <v>3295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5" t="n">
        <v>46205</v>
      </c>
      <c r="C3698" s="1" t="n">
        <v>11</v>
      </c>
      <c r="D3698" s="1" t="s">
        <v>2290</v>
      </c>
      <c r="E3698" s="1" t="n">
        <v>1749</v>
      </c>
      <c r="F3698" s="1" t="s">
        <v>266</v>
      </c>
      <c r="I3698" s="1" t="n">
        <v>2144</v>
      </c>
      <c r="J3698" s="1" t="n">
        <v>29846</v>
      </c>
      <c r="K3698" s="1" t="n">
        <v>7891097102059</v>
      </c>
      <c r="L3698" s="1" t="s">
        <v>3843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5" t="n">
        <v>46205</v>
      </c>
      <c r="C3699" s="1" t="n">
        <v>11</v>
      </c>
      <c r="D3699" s="1" t="s">
        <v>2290</v>
      </c>
      <c r="E3699" s="1" t="n">
        <v>1749</v>
      </c>
      <c r="F3699" s="1" t="s">
        <v>266</v>
      </c>
      <c r="I3699" s="1" t="n">
        <v>2144</v>
      </c>
      <c r="J3699" s="1" t="n">
        <v>30035</v>
      </c>
      <c r="K3699" s="1" t="n">
        <v>7891097101489</v>
      </c>
      <c r="L3699" s="1" t="s">
        <v>3844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5" t="n">
        <v>46205</v>
      </c>
      <c r="C3700" s="1" t="n">
        <v>11</v>
      </c>
      <c r="D3700" s="1" t="s">
        <v>2290</v>
      </c>
      <c r="E3700" s="1" t="n">
        <v>1749</v>
      </c>
      <c r="F3700" s="1" t="s">
        <v>266</v>
      </c>
      <c r="I3700" s="1" t="n">
        <v>2144</v>
      </c>
      <c r="J3700" s="1" t="n">
        <v>52561</v>
      </c>
      <c r="K3700" s="1" t="n">
        <v>7897312404120</v>
      </c>
      <c r="L3700" s="1" t="s">
        <v>3845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5" t="n">
        <v>46205</v>
      </c>
      <c r="C3701" s="1" t="n">
        <v>11</v>
      </c>
      <c r="D3701" s="1" t="s">
        <v>2290</v>
      </c>
      <c r="E3701" s="1" t="n">
        <v>1749</v>
      </c>
      <c r="F3701" s="1" t="s">
        <v>266</v>
      </c>
      <c r="I3701" s="1" t="n">
        <v>2144</v>
      </c>
      <c r="J3701" s="1" t="n">
        <v>71834</v>
      </c>
      <c r="K3701" s="1" t="n">
        <v>7898361830069</v>
      </c>
      <c r="L3701" s="1" t="s">
        <v>3110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5" t="n">
        <v>46205</v>
      </c>
      <c r="C3702" s="1" t="n">
        <v>11</v>
      </c>
      <c r="D3702" s="1" t="s">
        <v>2290</v>
      </c>
      <c r="E3702" s="1" t="n">
        <v>1749</v>
      </c>
      <c r="F3702" s="1" t="s">
        <v>266</v>
      </c>
      <c r="I3702" s="1" t="n">
        <v>2144</v>
      </c>
      <c r="J3702" s="1" t="n">
        <v>72943</v>
      </c>
      <c r="K3702" s="1" t="n">
        <v>7898361830076</v>
      </c>
      <c r="L3702" s="1" t="s">
        <v>3111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5" t="n">
        <v>46205</v>
      </c>
      <c r="C3703" s="1" t="n">
        <v>11</v>
      </c>
      <c r="D3703" s="1" t="s">
        <v>2290</v>
      </c>
      <c r="E3703" s="1" t="n">
        <v>1749</v>
      </c>
      <c r="F3703" s="1" t="s">
        <v>266</v>
      </c>
      <c r="I3703" s="1" t="n">
        <v>2144</v>
      </c>
      <c r="J3703" s="1" t="n">
        <v>80521</v>
      </c>
      <c r="K3703" s="1" t="n">
        <v>7898962669709</v>
      </c>
      <c r="L3703" s="1" t="s">
        <v>3112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5" t="n">
        <v>46205</v>
      </c>
      <c r="C3704" s="1" t="n">
        <v>11</v>
      </c>
      <c r="D3704" s="1" t="s">
        <v>2290</v>
      </c>
      <c r="E3704" s="1" t="n">
        <v>1749</v>
      </c>
      <c r="F3704" s="1" t="s">
        <v>266</v>
      </c>
      <c r="I3704" s="1" t="n">
        <v>2144</v>
      </c>
      <c r="J3704" s="1" t="n">
        <v>81365</v>
      </c>
      <c r="K3704" s="1" t="n">
        <v>7898361830106</v>
      </c>
      <c r="L3704" s="1" t="s">
        <v>3113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5" t="n">
        <v>46205</v>
      </c>
      <c r="C3705" s="1" t="n">
        <v>11</v>
      </c>
      <c r="D3705" s="1" t="s">
        <v>2290</v>
      </c>
      <c r="E3705" s="1" t="n">
        <v>1432</v>
      </c>
      <c r="F3705" s="1" t="s">
        <v>953</v>
      </c>
      <c r="I3705" s="1" t="n">
        <v>3211</v>
      </c>
      <c r="J3705" s="1" t="n">
        <v>26881</v>
      </c>
      <c r="K3705" s="1" t="n">
        <v>7898951047044</v>
      </c>
      <c r="L3705" s="1" t="s">
        <v>3846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5" t="n">
        <v>46205</v>
      </c>
      <c r="C3706" s="1" t="n">
        <v>11</v>
      </c>
      <c r="D3706" s="1" t="s">
        <v>2290</v>
      </c>
      <c r="E3706" s="1" t="n">
        <v>1432</v>
      </c>
      <c r="F3706" s="1" t="s">
        <v>953</v>
      </c>
      <c r="I3706" s="1" t="n">
        <v>3211</v>
      </c>
      <c r="J3706" s="1" t="n">
        <v>26882</v>
      </c>
      <c r="K3706" s="1" t="n">
        <v>7898951047143</v>
      </c>
      <c r="L3706" s="1" t="s">
        <v>3846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5" t="n">
        <v>46205</v>
      </c>
      <c r="C3707" s="1" t="n">
        <v>11</v>
      </c>
      <c r="D3707" s="1" t="s">
        <v>2290</v>
      </c>
      <c r="E3707" s="1" t="n">
        <v>1432</v>
      </c>
      <c r="F3707" s="1" t="s">
        <v>953</v>
      </c>
      <c r="I3707" s="1" t="n">
        <v>3211</v>
      </c>
      <c r="J3707" s="1" t="n">
        <v>26883</v>
      </c>
      <c r="K3707" s="1" t="n">
        <v>7898951047136</v>
      </c>
      <c r="L3707" s="1" t="s">
        <v>3847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5" t="n">
        <v>46205</v>
      </c>
      <c r="C3708" s="1" t="n">
        <v>11</v>
      </c>
      <c r="D3708" s="1" t="s">
        <v>2290</v>
      </c>
      <c r="E3708" s="1" t="n">
        <v>1432</v>
      </c>
      <c r="F3708" s="1" t="s">
        <v>953</v>
      </c>
      <c r="I3708" s="1" t="n">
        <v>3211</v>
      </c>
      <c r="J3708" s="1" t="n">
        <v>26884</v>
      </c>
      <c r="K3708" s="1" t="n">
        <v>7898951047150</v>
      </c>
      <c r="L3708" s="1" t="s">
        <v>3846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5" t="n">
        <v>46205</v>
      </c>
      <c r="C3709" s="1" t="n">
        <v>11</v>
      </c>
      <c r="D3709" s="1" t="s">
        <v>2290</v>
      </c>
      <c r="E3709" s="1" t="n">
        <v>1432</v>
      </c>
      <c r="F3709" s="1" t="s">
        <v>953</v>
      </c>
      <c r="I3709" s="1" t="n">
        <v>3211</v>
      </c>
      <c r="J3709" s="1" t="n">
        <v>36063</v>
      </c>
      <c r="K3709" s="1" t="n">
        <v>7898951047082</v>
      </c>
      <c r="L3709" s="1" t="s">
        <v>3848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5" t="n">
        <v>46205</v>
      </c>
      <c r="C3710" s="1" t="n">
        <v>11</v>
      </c>
      <c r="D3710" s="1" t="s">
        <v>2290</v>
      </c>
      <c r="E3710" s="1" t="n">
        <v>1432</v>
      </c>
      <c r="F3710" s="1" t="s">
        <v>953</v>
      </c>
      <c r="I3710" s="1" t="n">
        <v>3211</v>
      </c>
      <c r="J3710" s="1" t="n">
        <v>36064</v>
      </c>
      <c r="K3710" s="1" t="n">
        <v>7898951047020</v>
      </c>
      <c r="L3710" s="1" t="s">
        <v>3849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5" t="n">
        <v>46205</v>
      </c>
      <c r="C3711" s="1" t="n">
        <v>11</v>
      </c>
      <c r="D3711" s="1" t="s">
        <v>2290</v>
      </c>
      <c r="E3711" s="1" t="n">
        <v>1432</v>
      </c>
      <c r="F3711" s="1" t="s">
        <v>953</v>
      </c>
      <c r="I3711" s="1" t="n">
        <v>3211</v>
      </c>
      <c r="J3711" s="1" t="n">
        <v>36067</v>
      </c>
      <c r="K3711" s="1" t="n">
        <v>7898951047068</v>
      </c>
      <c r="L3711" s="1" t="s">
        <v>3850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5" t="n">
        <v>46205</v>
      </c>
      <c r="C3712" s="1" t="n">
        <v>11</v>
      </c>
      <c r="D3712" s="1" t="s">
        <v>2290</v>
      </c>
      <c r="E3712" s="1" t="n">
        <v>1432</v>
      </c>
      <c r="F3712" s="1" t="s">
        <v>953</v>
      </c>
      <c r="I3712" s="1" t="n">
        <v>3211</v>
      </c>
      <c r="J3712" s="1" t="n">
        <v>74990</v>
      </c>
      <c r="K3712" s="1" t="n">
        <v>7898951047105</v>
      </c>
      <c r="L3712" s="1" t="s">
        <v>3851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5" t="n">
        <v>46205</v>
      </c>
      <c r="C3713" s="1" t="n">
        <v>11</v>
      </c>
      <c r="D3713" s="1" t="s">
        <v>2290</v>
      </c>
      <c r="E3713" s="1" t="n">
        <v>1723</v>
      </c>
      <c r="F3713" s="1" t="s">
        <v>76</v>
      </c>
      <c r="I3713" s="1" t="n">
        <v>172512</v>
      </c>
      <c r="J3713" s="1" t="n">
        <v>29079</v>
      </c>
      <c r="K3713" s="1" t="n">
        <v>55515</v>
      </c>
      <c r="L3713" s="1" t="s">
        <v>2360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5" t="n">
        <v>46205</v>
      </c>
      <c r="C3714" s="1" t="n">
        <v>11</v>
      </c>
      <c r="D3714" s="1" t="s">
        <v>2290</v>
      </c>
      <c r="E3714" s="1" t="n">
        <v>1666</v>
      </c>
      <c r="F3714" s="1" t="s">
        <v>212</v>
      </c>
      <c r="I3714" s="1" t="n">
        <v>565626</v>
      </c>
      <c r="J3714" s="1" t="n">
        <v>24990</v>
      </c>
      <c r="K3714" s="1" t="n">
        <v>78935761</v>
      </c>
      <c r="L3714" s="1" t="s">
        <v>2589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5" t="n">
        <v>46205</v>
      </c>
      <c r="C3715" s="1" t="n">
        <v>11</v>
      </c>
      <c r="D3715" s="1" t="s">
        <v>2290</v>
      </c>
      <c r="E3715" s="1" t="n">
        <v>1666</v>
      </c>
      <c r="F3715" s="1" t="s">
        <v>212</v>
      </c>
      <c r="I3715" s="1" t="n">
        <v>565626</v>
      </c>
      <c r="J3715" s="1" t="n">
        <v>37535</v>
      </c>
      <c r="K3715" s="1" t="n">
        <v>78942073</v>
      </c>
      <c r="L3715" s="1" t="s">
        <v>2592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5" t="n">
        <v>46205</v>
      </c>
      <c r="C3716" s="1" t="n">
        <v>11</v>
      </c>
      <c r="D3716" s="1" t="s">
        <v>2290</v>
      </c>
      <c r="E3716" s="1" t="n">
        <v>1666</v>
      </c>
      <c r="F3716" s="1" t="s">
        <v>212</v>
      </c>
      <c r="I3716" s="1" t="n">
        <v>565626</v>
      </c>
      <c r="J3716" s="1" t="n">
        <v>37536</v>
      </c>
      <c r="K3716" s="1" t="n">
        <v>78942066</v>
      </c>
      <c r="L3716" s="1" t="s">
        <v>2593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5" t="n">
        <v>46205</v>
      </c>
      <c r="C3717" s="1" t="n">
        <v>11</v>
      </c>
      <c r="D3717" s="1" t="s">
        <v>2290</v>
      </c>
      <c r="E3717" s="1" t="n">
        <v>1666</v>
      </c>
      <c r="F3717" s="1" t="s">
        <v>212</v>
      </c>
      <c r="I3717" s="1" t="n">
        <v>565626</v>
      </c>
      <c r="J3717" s="1" t="n">
        <v>53207</v>
      </c>
      <c r="K3717" s="1" t="n">
        <v>78944480</v>
      </c>
      <c r="L3717" s="1" t="s">
        <v>2596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5" t="n">
        <v>46205</v>
      </c>
      <c r="C3718" s="1" t="n">
        <v>11</v>
      </c>
      <c r="D3718" s="1" t="s">
        <v>2290</v>
      </c>
      <c r="E3718" s="1" t="n">
        <v>1666</v>
      </c>
      <c r="F3718" s="1" t="s">
        <v>212</v>
      </c>
      <c r="I3718" s="1" t="n">
        <v>565626</v>
      </c>
      <c r="J3718" s="1" t="n">
        <v>67177</v>
      </c>
      <c r="K3718" s="1" t="n">
        <v>78944466</v>
      </c>
      <c r="L3718" s="1" t="s">
        <v>2598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5" t="n">
        <v>46205</v>
      </c>
      <c r="C3719" s="1" t="n">
        <v>11</v>
      </c>
      <c r="D3719" s="1" t="s">
        <v>2290</v>
      </c>
      <c r="E3719" s="1" t="n">
        <v>1666</v>
      </c>
      <c r="F3719" s="1" t="s">
        <v>212</v>
      </c>
      <c r="I3719" s="1" t="n">
        <v>565626</v>
      </c>
      <c r="J3719" s="1" t="n">
        <v>70548</v>
      </c>
      <c r="K3719" s="1" t="n">
        <v>78919501</v>
      </c>
      <c r="L3719" s="1" t="s">
        <v>3852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5" t="n">
        <v>46205</v>
      </c>
      <c r="C3720" s="1" t="n">
        <v>11</v>
      </c>
      <c r="D3720" s="1" t="s">
        <v>2290</v>
      </c>
      <c r="E3720" s="1" t="n">
        <v>1624</v>
      </c>
      <c r="F3720" s="1" t="s">
        <v>208</v>
      </c>
      <c r="I3720" s="1" t="n">
        <v>661520</v>
      </c>
      <c r="J3720" s="1" t="n">
        <v>21132</v>
      </c>
      <c r="K3720" s="1" t="n">
        <v>7896273800033</v>
      </c>
      <c r="L3720" s="1" t="s">
        <v>3853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5" t="n">
        <v>46205</v>
      </c>
      <c r="C3721" s="1" t="n">
        <v>11</v>
      </c>
      <c r="D3721" s="1" t="s">
        <v>2290</v>
      </c>
      <c r="E3721" s="1" t="n">
        <v>1624</v>
      </c>
      <c r="F3721" s="1" t="s">
        <v>208</v>
      </c>
      <c r="I3721" s="1" t="n">
        <v>661520</v>
      </c>
      <c r="J3721" s="1" t="n">
        <v>21133</v>
      </c>
      <c r="K3721" s="1" t="n">
        <v>7896273805182</v>
      </c>
      <c r="L3721" s="1" t="s">
        <v>3854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5" t="n">
        <v>46205</v>
      </c>
      <c r="C3722" s="1" t="n">
        <v>11</v>
      </c>
      <c r="D3722" s="1" t="s">
        <v>2290</v>
      </c>
      <c r="E3722" s="1" t="n">
        <v>1624</v>
      </c>
      <c r="F3722" s="1" t="s">
        <v>208</v>
      </c>
      <c r="I3722" s="1" t="n">
        <v>661520</v>
      </c>
      <c r="J3722" s="1" t="n">
        <v>29072</v>
      </c>
      <c r="K3722" s="1" t="n">
        <v>7896273805786</v>
      </c>
      <c r="L3722" s="1" t="s">
        <v>3855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5" t="n">
        <v>46205</v>
      </c>
      <c r="C3723" s="1" t="n">
        <v>11</v>
      </c>
      <c r="D3723" s="1" t="s">
        <v>2290</v>
      </c>
      <c r="E3723" s="1" t="n">
        <v>1624</v>
      </c>
      <c r="F3723" s="1" t="s">
        <v>208</v>
      </c>
      <c r="I3723" s="1" t="n">
        <v>661520</v>
      </c>
      <c r="J3723" s="1" t="n">
        <v>47077</v>
      </c>
      <c r="K3723" s="1" t="n">
        <v>7898274860030</v>
      </c>
      <c r="L3723" s="1" t="s">
        <v>3856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5" t="n">
        <v>46205</v>
      </c>
      <c r="C3724" s="1" t="n">
        <v>11</v>
      </c>
      <c r="D3724" s="1" t="s">
        <v>2290</v>
      </c>
      <c r="E3724" s="1" t="n">
        <v>1624</v>
      </c>
      <c r="F3724" s="1" t="s">
        <v>208</v>
      </c>
      <c r="I3724" s="1" t="n">
        <v>661520</v>
      </c>
      <c r="J3724" s="1" t="n">
        <v>47078</v>
      </c>
      <c r="K3724" s="1" t="n">
        <v>7898274860023</v>
      </c>
      <c r="L3724" s="1" t="s">
        <v>3857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5" t="n">
        <v>46205</v>
      </c>
      <c r="C3725" s="1" t="n">
        <v>11</v>
      </c>
      <c r="D3725" s="1" t="s">
        <v>2290</v>
      </c>
      <c r="E3725" s="1" t="n">
        <v>1624</v>
      </c>
      <c r="F3725" s="1" t="s">
        <v>208</v>
      </c>
      <c r="I3725" s="1" t="n">
        <v>661520</v>
      </c>
      <c r="J3725" s="1" t="n">
        <v>53374</v>
      </c>
      <c r="K3725" s="1" t="n">
        <v>7896273809197</v>
      </c>
      <c r="L3725" s="1" t="s">
        <v>3858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5" t="n">
        <v>46205</v>
      </c>
      <c r="C3726" s="1" t="n">
        <v>11</v>
      </c>
      <c r="D3726" s="1" t="s">
        <v>2290</v>
      </c>
      <c r="E3726" s="1" t="n">
        <v>1624</v>
      </c>
      <c r="F3726" s="1" t="s">
        <v>208</v>
      </c>
      <c r="I3726" s="1" t="n">
        <v>661520</v>
      </c>
      <c r="J3726" s="1" t="n">
        <v>61339</v>
      </c>
      <c r="K3726" s="1" t="n">
        <v>7898568979479</v>
      </c>
      <c r="L3726" s="1" t="s">
        <v>3859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5" t="n">
        <v>46205</v>
      </c>
      <c r="C3727" s="1" t="n">
        <v>11</v>
      </c>
      <c r="D3727" s="1" t="s">
        <v>2290</v>
      </c>
      <c r="E3727" s="1" t="n">
        <v>1624</v>
      </c>
      <c r="F3727" s="1" t="s">
        <v>208</v>
      </c>
      <c r="I3727" s="1" t="n">
        <v>661520</v>
      </c>
      <c r="J3727" s="1" t="n">
        <v>63053</v>
      </c>
      <c r="K3727" s="1" t="n">
        <v>7898996004194</v>
      </c>
      <c r="L3727" s="1" t="s">
        <v>3860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5" t="n">
        <v>46205</v>
      </c>
      <c r="C3728" s="1" t="n">
        <v>22</v>
      </c>
      <c r="D3728" s="1" t="s">
        <v>2436</v>
      </c>
      <c r="E3728" s="1" t="n">
        <v>42</v>
      </c>
      <c r="F3728" s="1" t="s">
        <v>80</v>
      </c>
      <c r="I3728" s="1" t="n">
        <v>4345</v>
      </c>
      <c r="J3728" s="1" t="n">
        <v>100006</v>
      </c>
      <c r="K3728" s="1" t="n">
        <v>7</v>
      </c>
      <c r="L3728" s="1" t="s">
        <v>2437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5" t="n">
        <v>46205</v>
      </c>
      <c r="C3729" s="1" t="n">
        <v>22</v>
      </c>
      <c r="D3729" s="1" t="s">
        <v>2436</v>
      </c>
      <c r="E3729" s="1" t="n">
        <v>42</v>
      </c>
      <c r="F3729" s="1" t="s">
        <v>80</v>
      </c>
      <c r="I3729" s="1" t="n">
        <v>4345</v>
      </c>
      <c r="J3729" s="1" t="n">
        <v>100008</v>
      </c>
      <c r="K3729" s="1" t="n">
        <v>9</v>
      </c>
      <c r="L3729" s="1" t="s">
        <v>2438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5" t="n">
        <v>46205</v>
      </c>
      <c r="C3730" s="1" t="n">
        <v>22</v>
      </c>
      <c r="D3730" s="1" t="s">
        <v>2436</v>
      </c>
      <c r="E3730" s="1" t="n">
        <v>42</v>
      </c>
      <c r="F3730" s="1" t="s">
        <v>80</v>
      </c>
      <c r="I3730" s="1" t="n">
        <v>4345</v>
      </c>
      <c r="J3730" s="1" t="n">
        <v>100010</v>
      </c>
      <c r="K3730" s="1" t="n">
        <v>11</v>
      </c>
      <c r="L3730" s="1" t="s">
        <v>2439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5" t="n">
        <v>46205</v>
      </c>
      <c r="C3731" s="1" t="n">
        <v>22</v>
      </c>
      <c r="D3731" s="1" t="s">
        <v>2436</v>
      </c>
      <c r="E3731" s="1" t="n">
        <v>42</v>
      </c>
      <c r="F3731" s="1" t="s">
        <v>80</v>
      </c>
      <c r="I3731" s="1" t="n">
        <v>4345</v>
      </c>
      <c r="J3731" s="1" t="n">
        <v>100011</v>
      </c>
      <c r="K3731" s="1" t="n">
        <v>12</v>
      </c>
      <c r="L3731" s="1" t="s">
        <v>2440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5" t="n">
        <v>46205</v>
      </c>
      <c r="C3732" s="1" t="n">
        <v>22</v>
      </c>
      <c r="D3732" s="1" t="s">
        <v>2436</v>
      </c>
      <c r="E3732" s="1" t="n">
        <v>42</v>
      </c>
      <c r="F3732" s="1" t="s">
        <v>80</v>
      </c>
      <c r="I3732" s="1" t="n">
        <v>4345</v>
      </c>
      <c r="J3732" s="1" t="n">
        <v>100012</v>
      </c>
      <c r="K3732" s="1" t="n">
        <v>13</v>
      </c>
      <c r="L3732" s="1" t="s">
        <v>2441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5" t="n">
        <v>46205</v>
      </c>
      <c r="C3733" s="1" t="n">
        <v>22</v>
      </c>
      <c r="D3733" s="1" t="s">
        <v>2436</v>
      </c>
      <c r="E3733" s="1" t="n">
        <v>42</v>
      </c>
      <c r="F3733" s="1" t="s">
        <v>80</v>
      </c>
      <c r="I3733" s="1" t="n">
        <v>4345</v>
      </c>
      <c r="J3733" s="1" t="n">
        <v>100013</v>
      </c>
      <c r="K3733" s="1" t="n">
        <v>14</v>
      </c>
      <c r="L3733" s="1" t="s">
        <v>2442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5" t="n">
        <v>46205</v>
      </c>
      <c r="C3734" s="1" t="n">
        <v>22</v>
      </c>
      <c r="D3734" s="1" t="s">
        <v>2436</v>
      </c>
      <c r="E3734" s="1" t="n">
        <v>42</v>
      </c>
      <c r="F3734" s="1" t="s">
        <v>80</v>
      </c>
      <c r="I3734" s="1" t="n">
        <v>4345</v>
      </c>
      <c r="J3734" s="1" t="n">
        <v>100014</v>
      </c>
      <c r="K3734" s="1" t="n">
        <v>15</v>
      </c>
      <c r="L3734" s="1" t="s">
        <v>2443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5" t="n">
        <v>46205</v>
      </c>
      <c r="C3735" s="1" t="n">
        <v>22</v>
      </c>
      <c r="D3735" s="1" t="s">
        <v>2436</v>
      </c>
      <c r="E3735" s="1" t="n">
        <v>42</v>
      </c>
      <c r="F3735" s="1" t="s">
        <v>80</v>
      </c>
      <c r="I3735" s="1" t="n">
        <v>4345</v>
      </c>
      <c r="J3735" s="1" t="n">
        <v>100015</v>
      </c>
      <c r="K3735" s="1" t="n">
        <v>16</v>
      </c>
      <c r="L3735" s="1" t="s">
        <v>2444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5" t="n">
        <v>46205</v>
      </c>
      <c r="C3736" s="1" t="n">
        <v>22</v>
      </c>
      <c r="D3736" s="1" t="s">
        <v>2436</v>
      </c>
      <c r="E3736" s="1" t="n">
        <v>42</v>
      </c>
      <c r="F3736" s="1" t="s">
        <v>80</v>
      </c>
      <c r="I3736" s="1" t="n">
        <v>4345</v>
      </c>
      <c r="J3736" s="1" t="n">
        <v>100016</v>
      </c>
      <c r="K3736" s="1" t="n">
        <v>17</v>
      </c>
      <c r="L3736" s="1" t="s">
        <v>2445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5" t="n">
        <v>46205</v>
      </c>
      <c r="C3737" s="1" t="n">
        <v>22</v>
      </c>
      <c r="D3737" s="1" t="s">
        <v>2436</v>
      </c>
      <c r="E3737" s="1" t="n">
        <v>42</v>
      </c>
      <c r="F3737" s="1" t="s">
        <v>80</v>
      </c>
      <c r="I3737" s="1" t="n">
        <v>4345</v>
      </c>
      <c r="J3737" s="1" t="n">
        <v>100017</v>
      </c>
      <c r="K3737" s="1" t="n">
        <v>18</v>
      </c>
      <c r="L3737" s="1" t="s">
        <v>2446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5" t="n">
        <v>46205</v>
      </c>
      <c r="C3738" s="1" t="n">
        <v>22</v>
      </c>
      <c r="D3738" s="1" t="s">
        <v>2436</v>
      </c>
      <c r="E3738" s="1" t="n">
        <v>42</v>
      </c>
      <c r="F3738" s="1" t="s">
        <v>80</v>
      </c>
      <c r="I3738" s="1" t="n">
        <v>4345</v>
      </c>
      <c r="J3738" s="1" t="n">
        <v>100053</v>
      </c>
      <c r="K3738" s="1" t="n">
        <v>54</v>
      </c>
      <c r="L3738" s="1" t="s">
        <v>2447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5" t="n">
        <v>46205</v>
      </c>
      <c r="C3739" s="1" t="n">
        <v>22</v>
      </c>
      <c r="D3739" s="1" t="s">
        <v>2436</v>
      </c>
      <c r="E3739" s="1" t="n">
        <v>42</v>
      </c>
      <c r="F3739" s="1" t="s">
        <v>80</v>
      </c>
      <c r="I3739" s="1" t="n">
        <v>4345</v>
      </c>
      <c r="J3739" s="1" t="n">
        <v>100638</v>
      </c>
      <c r="K3739" s="1" t="n">
        <v>508</v>
      </c>
      <c r="L3739" s="1" t="s">
        <v>2448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5" t="n">
        <v>46205</v>
      </c>
      <c r="C3740" s="1" t="n">
        <v>22</v>
      </c>
      <c r="D3740" s="1" t="s">
        <v>2436</v>
      </c>
      <c r="E3740" s="1" t="n">
        <v>42</v>
      </c>
      <c r="F3740" s="1" t="s">
        <v>80</v>
      </c>
      <c r="I3740" s="1" t="n">
        <v>4345</v>
      </c>
      <c r="J3740" s="1" t="n">
        <v>100520</v>
      </c>
      <c r="K3740" s="1" t="n">
        <v>507</v>
      </c>
      <c r="L3740" s="1" t="s">
        <v>2449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5" t="n">
        <v>46205</v>
      </c>
      <c r="C3741" s="1" t="n">
        <v>22</v>
      </c>
      <c r="D3741" s="1" t="s">
        <v>2436</v>
      </c>
      <c r="E3741" s="1" t="n">
        <v>42</v>
      </c>
      <c r="F3741" s="1" t="s">
        <v>80</v>
      </c>
      <c r="I3741" s="1" t="n">
        <v>4345</v>
      </c>
      <c r="J3741" s="1" t="n">
        <v>110455</v>
      </c>
      <c r="K3741" s="1" t="n">
        <v>53212</v>
      </c>
      <c r="L3741" s="1" t="s">
        <v>2450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5" t="n">
        <v>46205</v>
      </c>
      <c r="C3742" s="1" t="n">
        <v>39</v>
      </c>
      <c r="D3742" s="1" t="s">
        <v>2515</v>
      </c>
      <c r="E3742" s="1" t="n">
        <v>794</v>
      </c>
      <c r="F3742" s="1" t="s">
        <v>152</v>
      </c>
      <c r="I3742" s="1" t="n">
        <v>8267</v>
      </c>
      <c r="J3742" s="1" t="n">
        <v>107452</v>
      </c>
      <c r="K3742" s="1" t="n">
        <v>7898560800221</v>
      </c>
      <c r="L3742" s="1" t="s">
        <v>3861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5" t="n">
        <v>46205</v>
      </c>
      <c r="C3743" s="1" t="n">
        <v>39</v>
      </c>
      <c r="D3743" s="1" t="s">
        <v>2515</v>
      </c>
      <c r="E3743" s="1" t="n">
        <v>794</v>
      </c>
      <c r="F3743" s="1" t="s">
        <v>152</v>
      </c>
      <c r="I3743" s="1" t="n">
        <v>8267</v>
      </c>
      <c r="J3743" s="1" t="n">
        <v>67472</v>
      </c>
      <c r="K3743" s="1" t="n">
        <v>7898560800214</v>
      </c>
      <c r="L3743" s="1" t="s">
        <v>3862</v>
      </c>
      <c r="N3743" s="1" t="n">
        <v>20</v>
      </c>
      <c r="O3743" s="1" t="n">
        <v>277.6</v>
      </c>
    </row>
    <row r="3744" customFormat="false" ht="15" hidden="false" customHeight="true" outlineLevel="0" collapsed="false">
      <c r="A3744" s="1" t="n">
        <v>3</v>
      </c>
      <c r="B3744" s="15" t="n">
        <v>46205</v>
      </c>
      <c r="C3744" s="1" t="n">
        <v>39</v>
      </c>
      <c r="D3744" s="1" t="s">
        <v>2515</v>
      </c>
      <c r="E3744" s="1" t="n">
        <v>794</v>
      </c>
      <c r="F3744" s="1" t="s">
        <v>152</v>
      </c>
      <c r="I3744" s="1" t="n">
        <v>8267</v>
      </c>
      <c r="J3744" s="1" t="n">
        <v>67465</v>
      </c>
      <c r="K3744" s="1" t="n">
        <v>7898560800184</v>
      </c>
      <c r="L3744" s="1" t="s">
        <v>3863</v>
      </c>
      <c r="N3744" s="1" t="n">
        <v>100</v>
      </c>
      <c r="O3744" s="1" t="n">
        <v>529.8</v>
      </c>
    </row>
    <row r="3745" customFormat="false" ht="15" hidden="false" customHeight="true" outlineLevel="0" collapsed="false">
      <c r="A3745" s="1" t="n">
        <v>3</v>
      </c>
      <c r="B3745" s="15" t="n">
        <v>46205</v>
      </c>
      <c r="C3745" s="1" t="n">
        <v>39</v>
      </c>
      <c r="D3745" s="1" t="s">
        <v>2515</v>
      </c>
      <c r="E3745" s="1" t="n">
        <v>794</v>
      </c>
      <c r="F3745" s="1" t="s">
        <v>152</v>
      </c>
      <c r="I3745" s="1" t="n">
        <v>8267</v>
      </c>
      <c r="J3745" s="1" t="n">
        <v>67471</v>
      </c>
      <c r="K3745" s="1" t="n">
        <v>7898560800177</v>
      </c>
      <c r="L3745" s="1" t="s">
        <v>2759</v>
      </c>
      <c r="N3745" s="1" t="n">
        <v>80</v>
      </c>
      <c r="O3745" s="1" t="n">
        <v>636.4</v>
      </c>
    </row>
    <row r="3746" customFormat="false" ht="15" hidden="false" customHeight="true" outlineLevel="0" collapsed="false">
      <c r="A3746" s="1" t="n">
        <v>3</v>
      </c>
      <c r="B3746" s="15" t="n">
        <v>46205</v>
      </c>
      <c r="C3746" s="1" t="n">
        <v>100</v>
      </c>
      <c r="D3746" s="1" t="s">
        <v>2457</v>
      </c>
      <c r="E3746" s="1" t="n">
        <v>42</v>
      </c>
      <c r="F3746" s="1" t="s">
        <v>80</v>
      </c>
      <c r="I3746" s="1" t="n">
        <v>1339499</v>
      </c>
      <c r="J3746" s="1" t="n">
        <v>100006</v>
      </c>
      <c r="K3746" s="1" t="n">
        <v>7</v>
      </c>
      <c r="L3746" s="1" t="s">
        <v>2437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5" t="n">
        <v>46205</v>
      </c>
      <c r="C3747" s="1" t="n">
        <v>100</v>
      </c>
      <c r="D3747" s="1" t="s">
        <v>2457</v>
      </c>
      <c r="E3747" s="1" t="n">
        <v>42</v>
      </c>
      <c r="F3747" s="1" t="s">
        <v>80</v>
      </c>
      <c r="I3747" s="1" t="n">
        <v>1339499</v>
      </c>
      <c r="J3747" s="1" t="n">
        <v>100008</v>
      </c>
      <c r="K3747" s="1" t="n">
        <v>9</v>
      </c>
      <c r="L3747" s="1" t="s">
        <v>2438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5" t="n">
        <v>46205</v>
      </c>
      <c r="C3748" s="1" t="n">
        <v>100</v>
      </c>
      <c r="D3748" s="1" t="s">
        <v>2457</v>
      </c>
      <c r="E3748" s="1" t="n">
        <v>42</v>
      </c>
      <c r="F3748" s="1" t="s">
        <v>80</v>
      </c>
      <c r="I3748" s="1" t="n">
        <v>1339499</v>
      </c>
      <c r="J3748" s="1" t="n">
        <v>100010</v>
      </c>
      <c r="K3748" s="1" t="n">
        <v>11</v>
      </c>
      <c r="L3748" s="1" t="s">
        <v>2439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5" t="n">
        <v>46205</v>
      </c>
      <c r="C3749" s="1" t="n">
        <v>100</v>
      </c>
      <c r="D3749" s="1" t="s">
        <v>2457</v>
      </c>
      <c r="E3749" s="1" t="n">
        <v>42</v>
      </c>
      <c r="F3749" s="1" t="s">
        <v>80</v>
      </c>
      <c r="I3749" s="1" t="n">
        <v>1339499</v>
      </c>
      <c r="J3749" s="1" t="n">
        <v>100011</v>
      </c>
      <c r="K3749" s="1" t="n">
        <v>12</v>
      </c>
      <c r="L3749" s="1" t="s">
        <v>2440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5" t="n">
        <v>46205</v>
      </c>
      <c r="C3750" s="1" t="n">
        <v>100</v>
      </c>
      <c r="D3750" s="1" t="s">
        <v>2457</v>
      </c>
      <c r="E3750" s="1" t="n">
        <v>42</v>
      </c>
      <c r="F3750" s="1" t="s">
        <v>80</v>
      </c>
      <c r="I3750" s="1" t="n">
        <v>1339499</v>
      </c>
      <c r="J3750" s="1" t="n">
        <v>100012</v>
      </c>
      <c r="K3750" s="1" t="n">
        <v>13</v>
      </c>
      <c r="L3750" s="1" t="s">
        <v>2441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5" t="n">
        <v>46205</v>
      </c>
      <c r="C3751" s="1" t="n">
        <v>100</v>
      </c>
      <c r="D3751" s="1" t="s">
        <v>2457</v>
      </c>
      <c r="E3751" s="1" t="n">
        <v>42</v>
      </c>
      <c r="F3751" s="1" t="s">
        <v>80</v>
      </c>
      <c r="I3751" s="1" t="n">
        <v>1339499</v>
      </c>
      <c r="J3751" s="1" t="n">
        <v>100013</v>
      </c>
      <c r="K3751" s="1" t="n">
        <v>14</v>
      </c>
      <c r="L3751" s="1" t="s">
        <v>2442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5" t="n">
        <v>46205</v>
      </c>
      <c r="C3752" s="1" t="n">
        <v>100</v>
      </c>
      <c r="D3752" s="1" t="s">
        <v>2457</v>
      </c>
      <c r="E3752" s="1" t="n">
        <v>42</v>
      </c>
      <c r="F3752" s="1" t="s">
        <v>80</v>
      </c>
      <c r="I3752" s="1" t="n">
        <v>1339499</v>
      </c>
      <c r="J3752" s="1" t="n">
        <v>100014</v>
      </c>
      <c r="K3752" s="1" t="n">
        <v>15</v>
      </c>
      <c r="L3752" s="1" t="s">
        <v>2443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5" t="n">
        <v>46205</v>
      </c>
      <c r="C3753" s="1" t="n">
        <v>100</v>
      </c>
      <c r="D3753" s="1" t="s">
        <v>2457</v>
      </c>
      <c r="E3753" s="1" t="n">
        <v>42</v>
      </c>
      <c r="F3753" s="1" t="s">
        <v>80</v>
      </c>
      <c r="I3753" s="1" t="n">
        <v>1339499</v>
      </c>
      <c r="J3753" s="1" t="n">
        <v>100015</v>
      </c>
      <c r="K3753" s="1" t="n">
        <v>16</v>
      </c>
      <c r="L3753" s="1" t="s">
        <v>2444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5" t="n">
        <v>46205</v>
      </c>
      <c r="C3754" s="1" t="n">
        <v>100</v>
      </c>
      <c r="D3754" s="1" t="s">
        <v>2457</v>
      </c>
      <c r="E3754" s="1" t="n">
        <v>42</v>
      </c>
      <c r="F3754" s="1" t="s">
        <v>80</v>
      </c>
      <c r="I3754" s="1" t="n">
        <v>1339499</v>
      </c>
      <c r="J3754" s="1" t="n">
        <v>100016</v>
      </c>
      <c r="K3754" s="1" t="n">
        <v>17</v>
      </c>
      <c r="L3754" s="1" t="s">
        <v>2445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5" t="n">
        <v>46205</v>
      </c>
      <c r="C3755" s="1" t="n">
        <v>100</v>
      </c>
      <c r="D3755" s="1" t="s">
        <v>2457</v>
      </c>
      <c r="E3755" s="1" t="n">
        <v>42</v>
      </c>
      <c r="F3755" s="1" t="s">
        <v>80</v>
      </c>
      <c r="I3755" s="1" t="n">
        <v>1339499</v>
      </c>
      <c r="J3755" s="1" t="n">
        <v>100017</v>
      </c>
      <c r="K3755" s="1" t="n">
        <v>18</v>
      </c>
      <c r="L3755" s="1" t="s">
        <v>2446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5" t="n">
        <v>46205</v>
      </c>
      <c r="C3756" s="1" t="n">
        <v>100</v>
      </c>
      <c r="D3756" s="1" t="s">
        <v>2457</v>
      </c>
      <c r="E3756" s="1" t="n">
        <v>42</v>
      </c>
      <c r="F3756" s="1" t="s">
        <v>80</v>
      </c>
      <c r="I3756" s="1" t="n">
        <v>1339499</v>
      </c>
      <c r="J3756" s="1" t="n">
        <v>100053</v>
      </c>
      <c r="K3756" s="1" t="n">
        <v>54</v>
      </c>
      <c r="L3756" s="1" t="s">
        <v>2447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5" t="n">
        <v>46205</v>
      </c>
      <c r="C3757" s="1" t="n">
        <v>100</v>
      </c>
      <c r="D3757" s="1" t="s">
        <v>2457</v>
      </c>
      <c r="E3757" s="1" t="n">
        <v>42</v>
      </c>
      <c r="F3757" s="1" t="s">
        <v>80</v>
      </c>
      <c r="I3757" s="1" t="n">
        <v>1339499</v>
      </c>
      <c r="J3757" s="1" t="n">
        <v>100638</v>
      </c>
      <c r="K3757" s="1" t="n">
        <v>508</v>
      </c>
      <c r="L3757" s="1" t="s">
        <v>2448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5" t="n">
        <v>46205</v>
      </c>
      <c r="C3758" s="1" t="n">
        <v>100</v>
      </c>
      <c r="D3758" s="1" t="s">
        <v>2457</v>
      </c>
      <c r="E3758" s="1" t="n">
        <v>42</v>
      </c>
      <c r="F3758" s="1" t="s">
        <v>80</v>
      </c>
      <c r="I3758" s="1" t="n">
        <v>1339499</v>
      </c>
      <c r="J3758" s="1" t="n">
        <v>100520</v>
      </c>
      <c r="K3758" s="1" t="n">
        <v>507</v>
      </c>
      <c r="L3758" s="1" t="s">
        <v>2449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5" t="n">
        <v>46205</v>
      </c>
      <c r="C3759" s="1" t="n">
        <v>100</v>
      </c>
      <c r="D3759" s="1" t="s">
        <v>2457</v>
      </c>
      <c r="E3759" s="1" t="n">
        <v>42</v>
      </c>
      <c r="F3759" s="1" t="s">
        <v>80</v>
      </c>
      <c r="I3759" s="1" t="n">
        <v>1339499</v>
      </c>
      <c r="J3759" s="1" t="n">
        <v>110455</v>
      </c>
      <c r="K3759" s="1" t="n">
        <v>53212</v>
      </c>
      <c r="L3759" s="1" t="s">
        <v>2450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5" t="n">
        <v>46205</v>
      </c>
      <c r="C3760" s="1" t="n">
        <v>107</v>
      </c>
      <c r="D3760" s="1" t="s">
        <v>2735</v>
      </c>
      <c r="E3760" s="1" t="n">
        <v>1664</v>
      </c>
      <c r="F3760" s="1" t="s">
        <v>1082</v>
      </c>
      <c r="I3760" s="1" t="n">
        <v>78423</v>
      </c>
      <c r="J3760" s="1" t="n">
        <v>66941</v>
      </c>
      <c r="K3760" s="1" t="n">
        <v>7898080665355</v>
      </c>
      <c r="L3760" s="1" t="s">
        <v>3864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5" t="n">
        <v>46206</v>
      </c>
      <c r="C3761" s="1" t="n">
        <v>1</v>
      </c>
      <c r="D3761" s="1" t="s">
        <v>2317</v>
      </c>
      <c r="E3761" s="1" t="n">
        <v>10035</v>
      </c>
      <c r="F3761" s="1" t="s">
        <v>227</v>
      </c>
      <c r="I3761" s="1" t="n">
        <v>339</v>
      </c>
      <c r="J3761" s="1" t="n">
        <v>38652</v>
      </c>
      <c r="K3761" s="1" t="n">
        <v>7898994684220</v>
      </c>
      <c r="L3761" s="1" t="s">
        <v>2458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5" t="n">
        <v>46206</v>
      </c>
      <c r="C3762" s="1" t="n">
        <v>1</v>
      </c>
      <c r="D3762" s="1" t="s">
        <v>2317</v>
      </c>
      <c r="E3762" s="1" t="n">
        <v>1828</v>
      </c>
      <c r="F3762" s="1" t="s">
        <v>278</v>
      </c>
      <c r="I3762" s="1" t="n">
        <v>1365</v>
      </c>
      <c r="J3762" s="1" t="n">
        <v>14247</v>
      </c>
      <c r="K3762" s="1" t="n">
        <v>2229416</v>
      </c>
      <c r="L3762" s="1" t="s">
        <v>2747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5" t="n">
        <v>46206</v>
      </c>
      <c r="C3763" s="1" t="n">
        <v>1</v>
      </c>
      <c r="D3763" s="1" t="s">
        <v>2317</v>
      </c>
      <c r="E3763" s="1" t="n">
        <v>1828</v>
      </c>
      <c r="F3763" s="1" t="s">
        <v>278</v>
      </c>
      <c r="I3763" s="1" t="n">
        <v>1365</v>
      </c>
      <c r="J3763" s="1" t="n">
        <v>14248</v>
      </c>
      <c r="K3763" s="1" t="n">
        <v>2229423</v>
      </c>
      <c r="L3763" s="1" t="s">
        <v>2748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5" t="n">
        <v>46206</v>
      </c>
      <c r="C3764" s="1" t="n">
        <v>1</v>
      </c>
      <c r="D3764" s="1" t="s">
        <v>2317</v>
      </c>
      <c r="E3764" s="1" t="n">
        <v>1828</v>
      </c>
      <c r="F3764" s="1" t="s">
        <v>278</v>
      </c>
      <c r="I3764" s="1" t="n">
        <v>1365</v>
      </c>
      <c r="J3764" s="1" t="n">
        <v>20541</v>
      </c>
      <c r="K3764" s="1" t="n">
        <v>2232829</v>
      </c>
      <c r="L3764" s="1" t="s">
        <v>2749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5" t="n">
        <v>46206</v>
      </c>
      <c r="C3765" s="1" t="n">
        <v>1</v>
      </c>
      <c r="D3765" s="1" t="s">
        <v>2317</v>
      </c>
      <c r="E3765" s="1" t="n">
        <v>10063</v>
      </c>
      <c r="F3765" s="1" t="s">
        <v>218</v>
      </c>
      <c r="I3765" s="1" t="n">
        <v>2423</v>
      </c>
      <c r="J3765" s="1" t="n">
        <v>100174</v>
      </c>
      <c r="K3765" s="1" t="n">
        <v>7898141930286</v>
      </c>
      <c r="L3765" s="1" t="s">
        <v>2519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5" t="n">
        <v>46206</v>
      </c>
      <c r="C3766" s="1" t="n">
        <v>1</v>
      </c>
      <c r="D3766" s="1" t="s">
        <v>2317</v>
      </c>
      <c r="E3766" s="1" t="n">
        <v>10063</v>
      </c>
      <c r="F3766" s="1" t="s">
        <v>218</v>
      </c>
      <c r="I3766" s="1" t="n">
        <v>2423</v>
      </c>
      <c r="J3766" s="1" t="n">
        <v>100933</v>
      </c>
      <c r="K3766" s="1" t="n">
        <v>7896982100059</v>
      </c>
      <c r="L3766" s="1" t="s">
        <v>2520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5" t="n">
        <v>46206</v>
      </c>
      <c r="C3767" s="1" t="n">
        <v>1</v>
      </c>
      <c r="D3767" s="1" t="s">
        <v>2317</v>
      </c>
      <c r="E3767" s="1" t="n">
        <v>1916</v>
      </c>
      <c r="F3767" s="1" t="s">
        <v>351</v>
      </c>
      <c r="I3767" s="1" t="n">
        <v>2477</v>
      </c>
      <c r="J3767" s="1" t="n">
        <v>62034</v>
      </c>
      <c r="K3767" s="1" t="n">
        <v>7898592350367</v>
      </c>
      <c r="L3767" s="1" t="s">
        <v>3087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5" t="n">
        <v>46206</v>
      </c>
      <c r="C3768" s="1" t="n">
        <v>1</v>
      </c>
      <c r="D3768" s="1" t="s">
        <v>2317</v>
      </c>
      <c r="E3768" s="1" t="n">
        <v>1615</v>
      </c>
      <c r="F3768" s="1" t="s">
        <v>130</v>
      </c>
      <c r="I3768" s="1" t="n">
        <v>14792</v>
      </c>
      <c r="J3768" s="1" t="n">
        <v>100114</v>
      </c>
      <c r="K3768" s="1" t="n">
        <v>115</v>
      </c>
      <c r="L3768" s="1" t="s">
        <v>2568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5" t="n">
        <v>46206</v>
      </c>
      <c r="C3769" s="1" t="n">
        <v>1</v>
      </c>
      <c r="D3769" s="1" t="s">
        <v>2317</v>
      </c>
      <c r="E3769" s="1" t="n">
        <v>1615</v>
      </c>
      <c r="F3769" s="1" t="s">
        <v>130</v>
      </c>
      <c r="I3769" s="1" t="n">
        <v>14792</v>
      </c>
      <c r="J3769" s="1" t="n">
        <v>100119</v>
      </c>
      <c r="K3769" s="1" t="n">
        <v>120</v>
      </c>
      <c r="L3769" s="1" t="s">
        <v>3728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5" t="n">
        <v>46206</v>
      </c>
      <c r="C3770" s="1" t="n">
        <v>1</v>
      </c>
      <c r="D3770" s="1" t="s">
        <v>2317</v>
      </c>
      <c r="E3770" s="1" t="n">
        <v>1615</v>
      </c>
      <c r="F3770" s="1" t="s">
        <v>130</v>
      </c>
      <c r="I3770" s="1" t="n">
        <v>14792</v>
      </c>
      <c r="J3770" s="1" t="n">
        <v>37771</v>
      </c>
      <c r="K3770" s="1" t="n">
        <v>774574</v>
      </c>
      <c r="L3770" s="1" t="s">
        <v>2569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5" t="n">
        <v>46206</v>
      </c>
      <c r="C3771" s="1" t="n">
        <v>1</v>
      </c>
      <c r="D3771" s="1" t="s">
        <v>2317</v>
      </c>
      <c r="E3771" s="1" t="n">
        <v>1916</v>
      </c>
      <c r="F3771" s="1" t="s">
        <v>351</v>
      </c>
      <c r="I3771" s="1" t="n">
        <v>39615</v>
      </c>
      <c r="J3771" s="1" t="n">
        <v>43963</v>
      </c>
      <c r="K3771" s="1" t="n">
        <v>7890000002844</v>
      </c>
      <c r="L3771" s="1" t="s">
        <v>3449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5" t="n">
        <v>46206</v>
      </c>
      <c r="C3772" s="1" t="n">
        <v>1</v>
      </c>
      <c r="D3772" s="1" t="s">
        <v>2317</v>
      </c>
      <c r="E3772" s="1" t="n">
        <v>1916</v>
      </c>
      <c r="F3772" s="1" t="s">
        <v>351</v>
      </c>
      <c r="I3772" s="1" t="n">
        <v>39615</v>
      </c>
      <c r="J3772" s="1" t="n">
        <v>43965</v>
      </c>
      <c r="K3772" s="1" t="n">
        <v>7898567710226</v>
      </c>
      <c r="L3772" s="1" t="s">
        <v>2571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5" t="n">
        <v>46206</v>
      </c>
      <c r="C3773" s="1" t="n">
        <v>1</v>
      </c>
      <c r="D3773" s="1" t="s">
        <v>2317</v>
      </c>
      <c r="E3773" s="1" t="n">
        <v>1916</v>
      </c>
      <c r="F3773" s="1" t="s">
        <v>351</v>
      </c>
      <c r="I3773" s="1" t="n">
        <v>39618</v>
      </c>
      <c r="J3773" s="1" t="n">
        <v>48436</v>
      </c>
      <c r="K3773" s="1" t="n">
        <v>7898592350251</v>
      </c>
      <c r="L3773" s="1" t="s">
        <v>3450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5" t="n">
        <v>46206</v>
      </c>
      <c r="C3774" s="1" t="n">
        <v>2</v>
      </c>
      <c r="D3774" s="1" t="s">
        <v>2283</v>
      </c>
      <c r="E3774" s="1" t="n">
        <v>42</v>
      </c>
      <c r="F3774" s="1" t="s">
        <v>80</v>
      </c>
      <c r="I3774" s="1" t="n">
        <v>30701</v>
      </c>
      <c r="J3774" s="1" t="n">
        <v>109791</v>
      </c>
      <c r="K3774" s="1" t="n">
        <v>9667</v>
      </c>
      <c r="L3774" s="1" t="s">
        <v>2284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5" t="n">
        <v>46206</v>
      </c>
      <c r="C3775" s="1" t="n">
        <v>2</v>
      </c>
      <c r="D3775" s="1" t="s">
        <v>2283</v>
      </c>
      <c r="E3775" s="1" t="n">
        <v>42</v>
      </c>
      <c r="F3775" s="1" t="s">
        <v>80</v>
      </c>
      <c r="I3775" s="1" t="n">
        <v>30701</v>
      </c>
      <c r="J3775" s="1" t="n">
        <v>37359</v>
      </c>
      <c r="K3775" s="1" t="n">
        <v>55526</v>
      </c>
      <c r="L3775" s="1" t="s">
        <v>2285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5" t="n">
        <v>46206</v>
      </c>
      <c r="C3776" s="1" t="n">
        <v>2</v>
      </c>
      <c r="D3776" s="1" t="s">
        <v>2283</v>
      </c>
      <c r="E3776" s="1" t="n">
        <v>42</v>
      </c>
      <c r="F3776" s="1" t="s">
        <v>80</v>
      </c>
      <c r="I3776" s="1" t="n">
        <v>30701</v>
      </c>
      <c r="J3776" s="1" t="n">
        <v>37361</v>
      </c>
      <c r="K3776" s="1" t="n">
        <v>2240817</v>
      </c>
      <c r="L3776" s="1" t="s">
        <v>2286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5" t="n">
        <v>46206</v>
      </c>
      <c r="C3777" s="1" t="n">
        <v>2</v>
      </c>
      <c r="D3777" s="1" t="s">
        <v>2283</v>
      </c>
      <c r="E3777" s="1" t="n">
        <v>42</v>
      </c>
      <c r="F3777" s="1" t="s">
        <v>80</v>
      </c>
      <c r="I3777" s="1" t="n">
        <v>30702</v>
      </c>
      <c r="J3777" s="1" t="n">
        <v>100062</v>
      </c>
      <c r="K3777" s="1" t="n">
        <v>63</v>
      </c>
      <c r="L3777" s="1" t="s">
        <v>2320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5" t="n">
        <v>46206</v>
      </c>
      <c r="C3778" s="1" t="n">
        <v>2</v>
      </c>
      <c r="D3778" s="1" t="s">
        <v>2283</v>
      </c>
      <c r="E3778" s="1" t="n">
        <v>42</v>
      </c>
      <c r="F3778" s="1" t="s">
        <v>80</v>
      </c>
      <c r="I3778" s="1" t="n">
        <v>30702</v>
      </c>
      <c r="J3778" s="1" t="n">
        <v>100104</v>
      </c>
      <c r="K3778" s="1" t="n">
        <v>105</v>
      </c>
      <c r="L3778" s="1" t="s">
        <v>2321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5" t="n">
        <v>46206</v>
      </c>
      <c r="C3779" s="1" t="n">
        <v>2</v>
      </c>
      <c r="D3779" s="1" t="s">
        <v>2283</v>
      </c>
      <c r="E3779" s="1" t="n">
        <v>42</v>
      </c>
      <c r="F3779" s="1" t="s">
        <v>80</v>
      </c>
      <c r="I3779" s="1" t="n">
        <v>30702</v>
      </c>
      <c r="J3779" s="1" t="n">
        <v>100109</v>
      </c>
      <c r="K3779" s="1" t="n">
        <v>110</v>
      </c>
      <c r="L3779" s="1" t="s">
        <v>2324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5" t="n">
        <v>46206</v>
      </c>
      <c r="C3780" s="1" t="n">
        <v>2</v>
      </c>
      <c r="D3780" s="1" t="s">
        <v>2283</v>
      </c>
      <c r="E3780" s="1" t="n">
        <v>42</v>
      </c>
      <c r="F3780" s="1" t="s">
        <v>80</v>
      </c>
      <c r="I3780" s="1" t="n">
        <v>30702</v>
      </c>
      <c r="J3780" s="1" t="n">
        <v>100110</v>
      </c>
      <c r="K3780" s="1" t="n">
        <v>111</v>
      </c>
      <c r="L3780" s="1" t="s">
        <v>2473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5" t="n">
        <v>46206</v>
      </c>
      <c r="C3781" s="1" t="n">
        <v>2</v>
      </c>
      <c r="D3781" s="1" t="s">
        <v>2283</v>
      </c>
      <c r="E3781" s="1" t="n">
        <v>42</v>
      </c>
      <c r="F3781" s="1" t="s">
        <v>80</v>
      </c>
      <c r="I3781" s="1" t="n">
        <v>30702</v>
      </c>
      <c r="J3781" s="1" t="n">
        <v>100112</v>
      </c>
      <c r="K3781" s="1" t="n">
        <v>113</v>
      </c>
      <c r="L3781" s="1" t="s">
        <v>2325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5" t="n">
        <v>46206</v>
      </c>
      <c r="C3782" s="1" t="n">
        <v>2</v>
      </c>
      <c r="D3782" s="1" t="s">
        <v>2283</v>
      </c>
      <c r="E3782" s="1" t="n">
        <v>42</v>
      </c>
      <c r="F3782" s="1" t="s">
        <v>80</v>
      </c>
      <c r="I3782" s="1" t="n">
        <v>30702</v>
      </c>
      <c r="J3782" s="1" t="n">
        <v>100113</v>
      </c>
      <c r="K3782" s="1" t="n">
        <v>114</v>
      </c>
      <c r="L3782" s="1" t="s">
        <v>2326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5" t="n">
        <v>46206</v>
      </c>
      <c r="C3783" s="1" t="n">
        <v>2</v>
      </c>
      <c r="D3783" s="1" t="s">
        <v>2283</v>
      </c>
      <c r="E3783" s="1" t="n">
        <v>42</v>
      </c>
      <c r="F3783" s="1" t="s">
        <v>80</v>
      </c>
      <c r="I3783" s="1" t="n">
        <v>30702</v>
      </c>
      <c r="J3783" s="1" t="n">
        <v>100115</v>
      </c>
      <c r="K3783" s="1" t="n">
        <v>116</v>
      </c>
      <c r="L3783" s="1" t="s">
        <v>2474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5" t="n">
        <v>46206</v>
      </c>
      <c r="C3784" s="1" t="n">
        <v>2</v>
      </c>
      <c r="D3784" s="1" t="s">
        <v>2283</v>
      </c>
      <c r="E3784" s="1" t="n">
        <v>42</v>
      </c>
      <c r="F3784" s="1" t="s">
        <v>80</v>
      </c>
      <c r="I3784" s="1" t="n">
        <v>30702</v>
      </c>
      <c r="J3784" s="1" t="n">
        <v>100116</v>
      </c>
      <c r="K3784" s="1" t="n">
        <v>117</v>
      </c>
      <c r="L3784" s="1" t="s">
        <v>2327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5" t="n">
        <v>46206</v>
      </c>
      <c r="C3785" s="1" t="n">
        <v>2</v>
      </c>
      <c r="D3785" s="1" t="s">
        <v>2283</v>
      </c>
      <c r="E3785" s="1" t="n">
        <v>42</v>
      </c>
      <c r="F3785" s="1" t="s">
        <v>80</v>
      </c>
      <c r="I3785" s="1" t="n">
        <v>30702</v>
      </c>
      <c r="J3785" s="1" t="n">
        <v>100118</v>
      </c>
      <c r="K3785" s="1" t="n">
        <v>119</v>
      </c>
      <c r="L3785" s="1" t="s">
        <v>2328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5" t="n">
        <v>46206</v>
      </c>
      <c r="C3786" s="1" t="n">
        <v>2</v>
      </c>
      <c r="D3786" s="1" t="s">
        <v>2283</v>
      </c>
      <c r="E3786" s="1" t="n">
        <v>42</v>
      </c>
      <c r="F3786" s="1" t="s">
        <v>80</v>
      </c>
      <c r="I3786" s="1" t="n">
        <v>30702</v>
      </c>
      <c r="J3786" s="1" t="n">
        <v>100123</v>
      </c>
      <c r="K3786" s="1" t="n">
        <v>124</v>
      </c>
      <c r="L3786" s="1" t="s">
        <v>2475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5" t="n">
        <v>46206</v>
      </c>
      <c r="C3787" s="1" t="n">
        <v>2</v>
      </c>
      <c r="D3787" s="1" t="s">
        <v>2283</v>
      </c>
      <c r="E3787" s="1" t="n">
        <v>42</v>
      </c>
      <c r="F3787" s="1" t="s">
        <v>80</v>
      </c>
      <c r="I3787" s="1" t="n">
        <v>30702</v>
      </c>
      <c r="J3787" s="1" t="n">
        <v>100124</v>
      </c>
      <c r="K3787" s="1" t="n">
        <v>125</v>
      </c>
      <c r="L3787" s="1" t="s">
        <v>2476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5" t="n">
        <v>46206</v>
      </c>
      <c r="C3788" s="1" t="n">
        <v>2</v>
      </c>
      <c r="D3788" s="1" t="s">
        <v>2283</v>
      </c>
      <c r="E3788" s="1" t="n">
        <v>42</v>
      </c>
      <c r="F3788" s="1" t="s">
        <v>80</v>
      </c>
      <c r="I3788" s="1" t="n">
        <v>30702</v>
      </c>
      <c r="J3788" s="1" t="n">
        <v>100132</v>
      </c>
      <c r="K3788" s="1" t="n">
        <v>133</v>
      </c>
      <c r="L3788" s="1" t="s">
        <v>3104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5" t="n">
        <v>46206</v>
      </c>
      <c r="C3789" s="1" t="n">
        <v>2</v>
      </c>
      <c r="D3789" s="1" t="s">
        <v>2283</v>
      </c>
      <c r="E3789" s="1" t="n">
        <v>42</v>
      </c>
      <c r="F3789" s="1" t="s">
        <v>80</v>
      </c>
      <c r="I3789" s="1" t="n">
        <v>30702</v>
      </c>
      <c r="J3789" s="1" t="n">
        <v>100133</v>
      </c>
      <c r="K3789" s="1" t="n">
        <v>134</v>
      </c>
      <c r="L3789" s="1" t="s">
        <v>2332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5" t="n">
        <v>46206</v>
      </c>
      <c r="C3790" s="1" t="n">
        <v>2</v>
      </c>
      <c r="D3790" s="1" t="s">
        <v>2283</v>
      </c>
      <c r="E3790" s="1" t="n">
        <v>42</v>
      </c>
      <c r="F3790" s="1" t="s">
        <v>80</v>
      </c>
      <c r="I3790" s="1" t="n">
        <v>30702</v>
      </c>
      <c r="J3790" s="1" t="n">
        <v>100148</v>
      </c>
      <c r="K3790" s="1" t="n">
        <v>149</v>
      </c>
      <c r="L3790" s="1" t="s">
        <v>2676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5" t="n">
        <v>46206</v>
      </c>
      <c r="C3791" s="1" t="n">
        <v>2</v>
      </c>
      <c r="D3791" s="1" t="s">
        <v>2283</v>
      </c>
      <c r="E3791" s="1" t="n">
        <v>42</v>
      </c>
      <c r="F3791" s="1" t="s">
        <v>80</v>
      </c>
      <c r="I3791" s="1" t="n">
        <v>30702</v>
      </c>
      <c r="J3791" s="1" t="n">
        <v>110142</v>
      </c>
      <c r="K3791" s="1" t="n">
        <v>16699</v>
      </c>
      <c r="L3791" s="1" t="s">
        <v>2334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5" t="n">
        <v>46206</v>
      </c>
      <c r="C3792" s="1" t="n">
        <v>2</v>
      </c>
      <c r="D3792" s="1" t="s">
        <v>2283</v>
      </c>
      <c r="E3792" s="1" t="n">
        <v>42</v>
      </c>
      <c r="F3792" s="1" t="s">
        <v>80</v>
      </c>
      <c r="I3792" s="1" t="n">
        <v>30703</v>
      </c>
      <c r="J3792" s="1" t="n">
        <v>100103</v>
      </c>
      <c r="K3792" s="1" t="n">
        <v>104</v>
      </c>
      <c r="L3792" s="1" t="s">
        <v>2287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5" t="n">
        <v>46206</v>
      </c>
      <c r="C3793" s="1" t="n">
        <v>6</v>
      </c>
      <c r="D3793" s="1" t="s">
        <v>2289</v>
      </c>
      <c r="E3793" s="1" t="n">
        <v>42</v>
      </c>
      <c r="F3793" s="1" t="s">
        <v>80</v>
      </c>
      <c r="I3793" s="1" t="n">
        <v>4347</v>
      </c>
      <c r="J3793" s="1" t="n">
        <v>109791</v>
      </c>
      <c r="K3793" s="1" t="n">
        <v>9667</v>
      </c>
      <c r="L3793" s="1" t="s">
        <v>2284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5" t="n">
        <v>46206</v>
      </c>
      <c r="C3794" s="1" t="n">
        <v>6</v>
      </c>
      <c r="D3794" s="1" t="s">
        <v>2289</v>
      </c>
      <c r="E3794" s="1" t="n">
        <v>42</v>
      </c>
      <c r="F3794" s="1" t="s">
        <v>80</v>
      </c>
      <c r="I3794" s="1" t="n">
        <v>4347</v>
      </c>
      <c r="J3794" s="1" t="n">
        <v>37359</v>
      </c>
      <c r="K3794" s="1" t="n">
        <v>55526</v>
      </c>
      <c r="L3794" s="1" t="s">
        <v>2285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5" t="n">
        <v>46206</v>
      </c>
      <c r="C3795" s="1" t="n">
        <v>6</v>
      </c>
      <c r="D3795" s="1" t="s">
        <v>2289</v>
      </c>
      <c r="E3795" s="1" t="n">
        <v>42</v>
      </c>
      <c r="F3795" s="1" t="s">
        <v>80</v>
      </c>
      <c r="I3795" s="1" t="n">
        <v>4347</v>
      </c>
      <c r="J3795" s="1" t="n">
        <v>37361</v>
      </c>
      <c r="K3795" s="1" t="n">
        <v>2240817</v>
      </c>
      <c r="L3795" s="1" t="s">
        <v>2286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5" t="n">
        <v>46206</v>
      </c>
      <c r="C3796" s="1" t="n">
        <v>6</v>
      </c>
      <c r="D3796" s="1" t="s">
        <v>2289</v>
      </c>
      <c r="E3796" s="1" t="n">
        <v>42</v>
      </c>
      <c r="F3796" s="1" t="s">
        <v>80</v>
      </c>
      <c r="I3796" s="1" t="n">
        <v>4348</v>
      </c>
      <c r="J3796" s="1" t="n">
        <v>100062</v>
      </c>
      <c r="K3796" s="1" t="n">
        <v>63</v>
      </c>
      <c r="L3796" s="1" t="s">
        <v>2320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5" t="n">
        <v>46206</v>
      </c>
      <c r="C3797" s="1" t="n">
        <v>6</v>
      </c>
      <c r="D3797" s="1" t="s">
        <v>2289</v>
      </c>
      <c r="E3797" s="1" t="n">
        <v>42</v>
      </c>
      <c r="F3797" s="1" t="s">
        <v>80</v>
      </c>
      <c r="I3797" s="1" t="n">
        <v>4348</v>
      </c>
      <c r="J3797" s="1" t="n">
        <v>100104</v>
      </c>
      <c r="K3797" s="1" t="n">
        <v>105</v>
      </c>
      <c r="L3797" s="1" t="s">
        <v>2321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5" t="n">
        <v>46206</v>
      </c>
      <c r="C3798" s="1" t="n">
        <v>6</v>
      </c>
      <c r="D3798" s="1" t="s">
        <v>2289</v>
      </c>
      <c r="E3798" s="1" t="n">
        <v>42</v>
      </c>
      <c r="F3798" s="1" t="s">
        <v>80</v>
      </c>
      <c r="I3798" s="1" t="n">
        <v>4348</v>
      </c>
      <c r="J3798" s="1" t="n">
        <v>100109</v>
      </c>
      <c r="K3798" s="1" t="n">
        <v>110</v>
      </c>
      <c r="L3798" s="1" t="s">
        <v>2324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5" t="n">
        <v>46206</v>
      </c>
      <c r="C3799" s="1" t="n">
        <v>6</v>
      </c>
      <c r="D3799" s="1" t="s">
        <v>2289</v>
      </c>
      <c r="E3799" s="1" t="n">
        <v>42</v>
      </c>
      <c r="F3799" s="1" t="s">
        <v>80</v>
      </c>
      <c r="I3799" s="1" t="n">
        <v>4348</v>
      </c>
      <c r="J3799" s="1" t="n">
        <v>100110</v>
      </c>
      <c r="K3799" s="1" t="n">
        <v>111</v>
      </c>
      <c r="L3799" s="1" t="s">
        <v>2473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5" t="n">
        <v>46206</v>
      </c>
      <c r="C3800" s="1" t="n">
        <v>6</v>
      </c>
      <c r="D3800" s="1" t="s">
        <v>2289</v>
      </c>
      <c r="E3800" s="1" t="n">
        <v>42</v>
      </c>
      <c r="F3800" s="1" t="s">
        <v>80</v>
      </c>
      <c r="I3800" s="1" t="n">
        <v>4348</v>
      </c>
      <c r="J3800" s="1" t="n">
        <v>100112</v>
      </c>
      <c r="K3800" s="1" t="n">
        <v>113</v>
      </c>
      <c r="L3800" s="1" t="s">
        <v>2325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5" t="n">
        <v>46206</v>
      </c>
      <c r="C3801" s="1" t="n">
        <v>6</v>
      </c>
      <c r="D3801" s="1" t="s">
        <v>2289</v>
      </c>
      <c r="E3801" s="1" t="n">
        <v>42</v>
      </c>
      <c r="F3801" s="1" t="s">
        <v>80</v>
      </c>
      <c r="I3801" s="1" t="n">
        <v>4348</v>
      </c>
      <c r="J3801" s="1" t="n">
        <v>100113</v>
      </c>
      <c r="K3801" s="1" t="n">
        <v>114</v>
      </c>
      <c r="L3801" s="1" t="s">
        <v>2326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5" t="n">
        <v>46206</v>
      </c>
      <c r="C3802" s="1" t="n">
        <v>6</v>
      </c>
      <c r="D3802" s="1" t="s">
        <v>2289</v>
      </c>
      <c r="E3802" s="1" t="n">
        <v>42</v>
      </c>
      <c r="F3802" s="1" t="s">
        <v>80</v>
      </c>
      <c r="I3802" s="1" t="n">
        <v>4348</v>
      </c>
      <c r="J3802" s="1" t="n">
        <v>100115</v>
      </c>
      <c r="K3802" s="1" t="n">
        <v>116</v>
      </c>
      <c r="L3802" s="1" t="s">
        <v>2474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5" t="n">
        <v>46206</v>
      </c>
      <c r="C3803" s="1" t="n">
        <v>6</v>
      </c>
      <c r="D3803" s="1" t="s">
        <v>2289</v>
      </c>
      <c r="E3803" s="1" t="n">
        <v>42</v>
      </c>
      <c r="F3803" s="1" t="s">
        <v>80</v>
      </c>
      <c r="I3803" s="1" t="n">
        <v>4348</v>
      </c>
      <c r="J3803" s="1" t="n">
        <v>100116</v>
      </c>
      <c r="K3803" s="1" t="n">
        <v>117</v>
      </c>
      <c r="L3803" s="1" t="s">
        <v>2327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5" t="n">
        <v>46206</v>
      </c>
      <c r="C3804" s="1" t="n">
        <v>6</v>
      </c>
      <c r="D3804" s="1" t="s">
        <v>2289</v>
      </c>
      <c r="E3804" s="1" t="n">
        <v>42</v>
      </c>
      <c r="F3804" s="1" t="s">
        <v>80</v>
      </c>
      <c r="I3804" s="1" t="n">
        <v>4348</v>
      </c>
      <c r="J3804" s="1" t="n">
        <v>100118</v>
      </c>
      <c r="K3804" s="1" t="n">
        <v>119</v>
      </c>
      <c r="L3804" s="1" t="s">
        <v>2328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5" t="n">
        <v>46206</v>
      </c>
      <c r="C3805" s="1" t="n">
        <v>6</v>
      </c>
      <c r="D3805" s="1" t="s">
        <v>2289</v>
      </c>
      <c r="E3805" s="1" t="n">
        <v>42</v>
      </c>
      <c r="F3805" s="1" t="s">
        <v>80</v>
      </c>
      <c r="I3805" s="1" t="n">
        <v>4348</v>
      </c>
      <c r="J3805" s="1" t="n">
        <v>100123</v>
      </c>
      <c r="K3805" s="1" t="n">
        <v>124</v>
      </c>
      <c r="L3805" s="1" t="s">
        <v>2475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5" t="n">
        <v>46206</v>
      </c>
      <c r="C3806" s="1" t="n">
        <v>6</v>
      </c>
      <c r="D3806" s="1" t="s">
        <v>2289</v>
      </c>
      <c r="E3806" s="1" t="n">
        <v>42</v>
      </c>
      <c r="F3806" s="1" t="s">
        <v>80</v>
      </c>
      <c r="I3806" s="1" t="n">
        <v>4348</v>
      </c>
      <c r="J3806" s="1" t="n">
        <v>100124</v>
      </c>
      <c r="K3806" s="1" t="n">
        <v>125</v>
      </c>
      <c r="L3806" s="1" t="s">
        <v>2476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5" t="n">
        <v>46206</v>
      </c>
      <c r="C3807" s="1" t="n">
        <v>6</v>
      </c>
      <c r="D3807" s="1" t="s">
        <v>2289</v>
      </c>
      <c r="E3807" s="1" t="n">
        <v>42</v>
      </c>
      <c r="F3807" s="1" t="s">
        <v>80</v>
      </c>
      <c r="I3807" s="1" t="n">
        <v>4348</v>
      </c>
      <c r="J3807" s="1" t="n">
        <v>100132</v>
      </c>
      <c r="K3807" s="1" t="n">
        <v>133</v>
      </c>
      <c r="L3807" s="1" t="s">
        <v>3104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5" t="n">
        <v>46206</v>
      </c>
      <c r="C3808" s="1" t="n">
        <v>6</v>
      </c>
      <c r="D3808" s="1" t="s">
        <v>2289</v>
      </c>
      <c r="E3808" s="1" t="n">
        <v>42</v>
      </c>
      <c r="F3808" s="1" t="s">
        <v>80</v>
      </c>
      <c r="I3808" s="1" t="n">
        <v>4348</v>
      </c>
      <c r="J3808" s="1" t="n">
        <v>100133</v>
      </c>
      <c r="K3808" s="1" t="n">
        <v>134</v>
      </c>
      <c r="L3808" s="1" t="s">
        <v>2332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5" t="n">
        <v>46206</v>
      </c>
      <c r="C3809" s="1" t="n">
        <v>6</v>
      </c>
      <c r="D3809" s="1" t="s">
        <v>2289</v>
      </c>
      <c r="E3809" s="1" t="n">
        <v>42</v>
      </c>
      <c r="F3809" s="1" t="s">
        <v>80</v>
      </c>
      <c r="I3809" s="1" t="n">
        <v>4348</v>
      </c>
      <c r="J3809" s="1" t="n">
        <v>100148</v>
      </c>
      <c r="K3809" s="1" t="n">
        <v>149</v>
      </c>
      <c r="L3809" s="1" t="s">
        <v>2676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5" t="n">
        <v>46206</v>
      </c>
      <c r="C3810" s="1" t="n">
        <v>6</v>
      </c>
      <c r="D3810" s="1" t="s">
        <v>2289</v>
      </c>
      <c r="E3810" s="1" t="n">
        <v>42</v>
      </c>
      <c r="F3810" s="1" t="s">
        <v>80</v>
      </c>
      <c r="I3810" s="1" t="n">
        <v>4348</v>
      </c>
      <c r="J3810" s="1" t="n">
        <v>110142</v>
      </c>
      <c r="K3810" s="1" t="n">
        <v>16699</v>
      </c>
      <c r="L3810" s="1" t="s">
        <v>2334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5" t="n">
        <v>46206</v>
      </c>
      <c r="C3811" s="1" t="n">
        <v>6</v>
      </c>
      <c r="D3811" s="1" t="s">
        <v>2289</v>
      </c>
      <c r="E3811" s="1" t="n">
        <v>42</v>
      </c>
      <c r="F3811" s="1" t="s">
        <v>80</v>
      </c>
      <c r="I3811" s="1" t="n">
        <v>4349</v>
      </c>
      <c r="J3811" s="1" t="n">
        <v>100103</v>
      </c>
      <c r="K3811" s="1" t="n">
        <v>104</v>
      </c>
      <c r="L3811" s="1" t="s">
        <v>2287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5" t="n">
        <v>46206</v>
      </c>
      <c r="C3812" s="1" t="n">
        <v>11</v>
      </c>
      <c r="D3812" s="1" t="s">
        <v>2290</v>
      </c>
      <c r="E3812" s="1" t="n">
        <v>10088</v>
      </c>
      <c r="F3812" s="1" t="s">
        <v>1076</v>
      </c>
      <c r="I3812" s="1" t="n">
        <v>4</v>
      </c>
      <c r="J3812" s="1" t="n">
        <v>81626</v>
      </c>
      <c r="K3812" s="1" t="n">
        <v>2024199720066</v>
      </c>
      <c r="L3812" s="1" t="s">
        <v>3865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5" t="n">
        <v>46206</v>
      </c>
      <c r="C3813" s="1" t="n">
        <v>11</v>
      </c>
      <c r="D3813" s="1" t="s">
        <v>2290</v>
      </c>
      <c r="E3813" s="1" t="n">
        <v>10088</v>
      </c>
      <c r="F3813" s="1" t="s">
        <v>1076</v>
      </c>
      <c r="I3813" s="1" t="n">
        <v>4</v>
      </c>
      <c r="J3813" s="1" t="n">
        <v>81627</v>
      </c>
      <c r="K3813" s="1" t="n">
        <v>816304</v>
      </c>
      <c r="L3813" s="1" t="s">
        <v>3866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5" t="n">
        <v>46206</v>
      </c>
      <c r="C3814" s="1" t="n">
        <v>11</v>
      </c>
      <c r="D3814" s="1" t="s">
        <v>2290</v>
      </c>
      <c r="E3814" s="1" t="n">
        <v>10088</v>
      </c>
      <c r="F3814" s="1" t="s">
        <v>1076</v>
      </c>
      <c r="I3814" s="1" t="n">
        <v>4</v>
      </c>
      <c r="J3814" s="1" t="n">
        <v>81628</v>
      </c>
      <c r="K3814" s="1" t="n">
        <v>2024199720103</v>
      </c>
      <c r="L3814" s="1" t="s">
        <v>3867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5" t="n">
        <v>46206</v>
      </c>
      <c r="C3815" s="1" t="n">
        <v>11</v>
      </c>
      <c r="D3815" s="1" t="s">
        <v>2290</v>
      </c>
      <c r="E3815" s="1" t="n">
        <v>10088</v>
      </c>
      <c r="F3815" s="1" t="s">
        <v>1076</v>
      </c>
      <c r="I3815" s="1" t="n">
        <v>4</v>
      </c>
      <c r="J3815" s="1" t="n">
        <v>81629</v>
      </c>
      <c r="K3815" s="1" t="n">
        <v>2024199720110</v>
      </c>
      <c r="L3815" s="1" t="s">
        <v>3868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5" t="n">
        <v>46206</v>
      </c>
      <c r="C3816" s="1" t="n">
        <v>11</v>
      </c>
      <c r="D3816" s="1" t="s">
        <v>2290</v>
      </c>
      <c r="E3816" s="1" t="n">
        <v>10088</v>
      </c>
      <c r="F3816" s="1" t="s">
        <v>1076</v>
      </c>
      <c r="I3816" s="1" t="n">
        <v>4</v>
      </c>
      <c r="J3816" s="1" t="n">
        <v>81631</v>
      </c>
      <c r="K3816" s="1" t="n">
        <v>2024199720097</v>
      </c>
      <c r="L3816" s="1" t="s">
        <v>3869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5" t="n">
        <v>46206</v>
      </c>
      <c r="C3817" s="1" t="n">
        <v>11</v>
      </c>
      <c r="D3817" s="1" t="s">
        <v>2290</v>
      </c>
      <c r="E3817" s="1" t="n">
        <v>754</v>
      </c>
      <c r="F3817" s="1" t="s">
        <v>223</v>
      </c>
      <c r="I3817" s="1" t="n">
        <v>31558</v>
      </c>
      <c r="J3817" s="1" t="n">
        <v>100073</v>
      </c>
      <c r="K3817" s="1" t="n">
        <v>74</v>
      </c>
      <c r="L3817" s="1" t="s">
        <v>2793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5" t="n">
        <v>46206</v>
      </c>
      <c r="C3818" s="1" t="n">
        <v>11</v>
      </c>
      <c r="D3818" s="1" t="s">
        <v>2290</v>
      </c>
      <c r="E3818" s="1" t="n">
        <v>754</v>
      </c>
      <c r="F3818" s="1" t="s">
        <v>223</v>
      </c>
      <c r="I3818" s="1" t="n">
        <v>31558</v>
      </c>
      <c r="J3818" s="1" t="n">
        <v>110184</v>
      </c>
      <c r="K3818" s="1" t="n">
        <v>37393</v>
      </c>
      <c r="L3818" s="1" t="s">
        <v>2584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5" t="n">
        <v>46206</v>
      </c>
      <c r="C3819" s="1" t="n">
        <v>11</v>
      </c>
      <c r="D3819" s="1" t="s">
        <v>2290</v>
      </c>
      <c r="E3819" s="1" t="n">
        <v>1664</v>
      </c>
      <c r="F3819" s="1" t="s">
        <v>1082</v>
      </c>
      <c r="I3819" s="1" t="n">
        <v>78422</v>
      </c>
      <c r="J3819" s="1" t="n">
        <v>30574</v>
      </c>
      <c r="K3819" s="1" t="n">
        <v>7898080662668</v>
      </c>
      <c r="L3819" s="1" t="s">
        <v>3870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5" t="n">
        <v>46206</v>
      </c>
      <c r="C3820" s="1" t="n">
        <v>11</v>
      </c>
      <c r="D3820" s="1" t="s">
        <v>2290</v>
      </c>
      <c r="E3820" s="1" t="n">
        <v>1664</v>
      </c>
      <c r="F3820" s="1" t="s">
        <v>1082</v>
      </c>
      <c r="I3820" s="1" t="n">
        <v>78422</v>
      </c>
      <c r="J3820" s="1" t="n">
        <v>41169</v>
      </c>
      <c r="K3820" s="1" t="n">
        <v>7898080664112</v>
      </c>
      <c r="L3820" s="1" t="s">
        <v>3871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5" t="n">
        <v>46206</v>
      </c>
      <c r="C3821" s="1" t="n">
        <v>11</v>
      </c>
      <c r="D3821" s="1" t="s">
        <v>2290</v>
      </c>
      <c r="E3821" s="1" t="n">
        <v>1664</v>
      </c>
      <c r="F3821" s="1" t="s">
        <v>1082</v>
      </c>
      <c r="I3821" s="1" t="n">
        <v>78422</v>
      </c>
      <c r="J3821" s="1" t="n">
        <v>44180</v>
      </c>
      <c r="K3821" s="1" t="n">
        <v>7898080663733</v>
      </c>
      <c r="L3821" s="1" t="s">
        <v>3872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5" t="n">
        <v>46206</v>
      </c>
      <c r="C3822" s="1" t="n">
        <v>11</v>
      </c>
      <c r="D3822" s="1" t="s">
        <v>2290</v>
      </c>
      <c r="E3822" s="1" t="n">
        <v>1664</v>
      </c>
      <c r="F3822" s="1" t="s">
        <v>1082</v>
      </c>
      <c r="I3822" s="1" t="n">
        <v>78422</v>
      </c>
      <c r="J3822" s="1" t="n">
        <v>44181</v>
      </c>
      <c r="K3822" s="1" t="n">
        <v>7898080664273</v>
      </c>
      <c r="L3822" s="1" t="s">
        <v>3873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5" t="n">
        <v>46206</v>
      </c>
      <c r="C3823" s="1" t="n">
        <v>11</v>
      </c>
      <c r="D3823" s="1" t="s">
        <v>2290</v>
      </c>
      <c r="E3823" s="1" t="n">
        <v>1664</v>
      </c>
      <c r="F3823" s="1" t="s">
        <v>1082</v>
      </c>
      <c r="I3823" s="1" t="n">
        <v>78422</v>
      </c>
      <c r="J3823" s="1" t="n">
        <v>45279</v>
      </c>
      <c r="K3823" s="1" t="n">
        <v>7898080664402</v>
      </c>
      <c r="L3823" s="1" t="s">
        <v>3874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5" t="n">
        <v>46206</v>
      </c>
      <c r="C3824" s="1" t="n">
        <v>11</v>
      </c>
      <c r="D3824" s="1" t="s">
        <v>2290</v>
      </c>
      <c r="E3824" s="1" t="n">
        <v>1664</v>
      </c>
      <c r="F3824" s="1" t="s">
        <v>1082</v>
      </c>
      <c r="I3824" s="1" t="n">
        <v>78422</v>
      </c>
      <c r="J3824" s="1" t="n">
        <v>47398</v>
      </c>
      <c r="K3824" s="1" t="n">
        <v>7898080664389</v>
      </c>
      <c r="L3824" s="1" t="s">
        <v>3874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5" t="n">
        <v>46206</v>
      </c>
      <c r="C3825" s="1" t="n">
        <v>11</v>
      </c>
      <c r="D3825" s="1" t="s">
        <v>2290</v>
      </c>
      <c r="E3825" s="1" t="n">
        <v>1664</v>
      </c>
      <c r="F3825" s="1" t="s">
        <v>1082</v>
      </c>
      <c r="I3825" s="1" t="n">
        <v>78422</v>
      </c>
      <c r="J3825" s="1" t="n">
        <v>68435</v>
      </c>
      <c r="K3825" s="1" t="n">
        <v>7898080665409</v>
      </c>
      <c r="L3825" s="1" t="s">
        <v>3875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5" t="n">
        <v>46206</v>
      </c>
      <c r="C3826" s="1" t="n">
        <v>11</v>
      </c>
      <c r="D3826" s="1" t="s">
        <v>2290</v>
      </c>
      <c r="E3826" s="1" t="n">
        <v>1664</v>
      </c>
      <c r="F3826" s="1" t="s">
        <v>1082</v>
      </c>
      <c r="I3826" s="1" t="n">
        <v>78422</v>
      </c>
      <c r="J3826" s="1" t="n">
        <v>81100</v>
      </c>
      <c r="K3826" s="1" t="n">
        <v>78948884</v>
      </c>
      <c r="L3826" s="1" t="s">
        <v>3876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5" t="n">
        <v>46206</v>
      </c>
      <c r="C3827" s="1" t="n">
        <v>11</v>
      </c>
      <c r="D3827" s="1" t="s">
        <v>2290</v>
      </c>
      <c r="E3827" s="1" t="n">
        <v>1664</v>
      </c>
      <c r="F3827" s="1" t="s">
        <v>1082</v>
      </c>
      <c r="I3827" s="1" t="n">
        <v>78422</v>
      </c>
      <c r="J3827" s="1" t="n">
        <v>81244</v>
      </c>
      <c r="K3827" s="1" t="n">
        <v>7898080666161</v>
      </c>
      <c r="L3827" s="1" t="s">
        <v>3877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5" t="n">
        <v>46206</v>
      </c>
      <c r="C3828" s="1" t="n">
        <v>11</v>
      </c>
      <c r="D3828" s="1" t="s">
        <v>2290</v>
      </c>
      <c r="E3828" s="1" t="n">
        <v>1664</v>
      </c>
      <c r="F3828" s="1" t="s">
        <v>1082</v>
      </c>
      <c r="I3828" s="1" t="n">
        <v>78422</v>
      </c>
      <c r="J3828" s="1" t="n">
        <v>81646</v>
      </c>
      <c r="K3828" s="1" t="n">
        <v>78943438</v>
      </c>
      <c r="L3828" s="1" t="s">
        <v>3878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5" t="n">
        <v>46206</v>
      </c>
      <c r="C3829" s="1" t="n">
        <v>11</v>
      </c>
      <c r="D3829" s="1" t="s">
        <v>2290</v>
      </c>
      <c r="E3829" s="1" t="n">
        <v>1664</v>
      </c>
      <c r="F3829" s="1" t="s">
        <v>1082</v>
      </c>
      <c r="I3829" s="1" t="n">
        <v>78422</v>
      </c>
      <c r="J3829" s="1" t="n">
        <v>81647</v>
      </c>
      <c r="K3829" s="1" t="n">
        <v>7898080665782</v>
      </c>
      <c r="L3829" s="1" t="s">
        <v>3879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5" t="n">
        <v>46206</v>
      </c>
      <c r="C3830" s="1" t="n">
        <v>171</v>
      </c>
      <c r="D3830" s="1" t="s">
        <v>2517</v>
      </c>
      <c r="E3830" s="1" t="n">
        <v>1636</v>
      </c>
      <c r="F3830" s="1" t="s">
        <v>49</v>
      </c>
      <c r="I3830" s="1" t="n">
        <v>3183489</v>
      </c>
      <c r="J3830" s="1" t="n">
        <v>19771</v>
      </c>
      <c r="K3830" s="1" t="n">
        <v>7891051028791</v>
      </c>
      <c r="L3830" s="1" t="s">
        <v>3880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5" t="n">
        <v>46206</v>
      </c>
      <c r="C3831" s="1" t="n">
        <v>171</v>
      </c>
      <c r="D3831" s="1" t="s">
        <v>2517</v>
      </c>
      <c r="E3831" s="1" t="n">
        <v>1636</v>
      </c>
      <c r="F3831" s="1" t="s">
        <v>49</v>
      </c>
      <c r="I3831" s="1" t="n">
        <v>3183489</v>
      </c>
      <c r="J3831" s="1" t="n">
        <v>21723</v>
      </c>
      <c r="K3831" s="1" t="n">
        <v>7506339394603</v>
      </c>
      <c r="L3831" s="1" t="s">
        <v>3552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5" t="n">
        <v>46206</v>
      </c>
      <c r="C3832" s="1" t="n">
        <v>171</v>
      </c>
      <c r="D3832" s="1" t="s">
        <v>2517</v>
      </c>
      <c r="E3832" s="1" t="n">
        <v>1636</v>
      </c>
      <c r="F3832" s="1" t="s">
        <v>49</v>
      </c>
      <c r="I3832" s="1" t="n">
        <v>3183489</v>
      </c>
      <c r="J3832" s="1" t="n">
        <v>21807</v>
      </c>
      <c r="K3832" s="1" t="n">
        <v>7506339394535</v>
      </c>
      <c r="L3832" s="1" t="s">
        <v>3881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5" t="n">
        <v>46206</v>
      </c>
      <c r="C3833" s="1" t="n">
        <v>171</v>
      </c>
      <c r="D3833" s="1" t="s">
        <v>2517</v>
      </c>
      <c r="E3833" s="1" t="n">
        <v>1636</v>
      </c>
      <c r="F3833" s="1" t="s">
        <v>49</v>
      </c>
      <c r="I3833" s="1" t="n">
        <v>3183489</v>
      </c>
      <c r="J3833" s="1" t="n">
        <v>26860</v>
      </c>
      <c r="K3833" s="1" t="n">
        <v>7500435127240</v>
      </c>
      <c r="L3833" s="1" t="s">
        <v>3882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5" t="n">
        <v>46206</v>
      </c>
      <c r="C3834" s="1" t="n">
        <v>171</v>
      </c>
      <c r="D3834" s="1" t="s">
        <v>2517</v>
      </c>
      <c r="E3834" s="1" t="n">
        <v>1636</v>
      </c>
      <c r="F3834" s="1" t="s">
        <v>49</v>
      </c>
      <c r="I3834" s="1" t="n">
        <v>3183489</v>
      </c>
      <c r="J3834" s="1" t="n">
        <v>27206</v>
      </c>
      <c r="K3834" s="1" t="n">
        <v>7500435122764</v>
      </c>
      <c r="L3834" s="1" t="s">
        <v>3883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5" t="n">
        <v>46206</v>
      </c>
      <c r="C3835" s="1" t="n">
        <v>171</v>
      </c>
      <c r="D3835" s="1" t="s">
        <v>2517</v>
      </c>
      <c r="E3835" s="1" t="n">
        <v>1636</v>
      </c>
      <c r="F3835" s="1" t="s">
        <v>49</v>
      </c>
      <c r="I3835" s="1" t="n">
        <v>3183489</v>
      </c>
      <c r="J3835" s="1" t="n">
        <v>33273</v>
      </c>
      <c r="K3835" s="1" t="n">
        <v>7500435154222</v>
      </c>
      <c r="L3835" s="1" t="s">
        <v>3884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5" t="n">
        <v>46207</v>
      </c>
      <c r="C3836" s="1" t="n">
        <v>1</v>
      </c>
      <c r="D3836" s="1" t="s">
        <v>2317</v>
      </c>
      <c r="E3836" s="1" t="n">
        <v>1378</v>
      </c>
      <c r="F3836" s="1" t="s">
        <v>120</v>
      </c>
      <c r="I3836" s="1" t="n">
        <v>18065</v>
      </c>
      <c r="J3836" s="1" t="n">
        <v>74061</v>
      </c>
      <c r="K3836" s="1" t="n">
        <v>42882264255</v>
      </c>
      <c r="L3836" s="1" t="s">
        <v>2340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5" t="n">
        <v>46207</v>
      </c>
      <c r="C3837" s="1" t="n">
        <v>1</v>
      </c>
      <c r="D3837" s="1" t="s">
        <v>2317</v>
      </c>
      <c r="E3837" s="1" t="n">
        <v>1378</v>
      </c>
      <c r="F3837" s="1" t="s">
        <v>120</v>
      </c>
      <c r="I3837" s="1" t="n">
        <v>18065</v>
      </c>
      <c r="J3837" s="1" t="n">
        <v>74063</v>
      </c>
      <c r="K3837" s="1" t="n">
        <v>42882264262</v>
      </c>
      <c r="L3837" s="1" t="s">
        <v>2341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5" t="n">
        <v>46207</v>
      </c>
      <c r="C3838" s="1" t="n">
        <v>1</v>
      </c>
      <c r="D3838" s="1" t="s">
        <v>2317</v>
      </c>
      <c r="E3838" s="1" t="n">
        <v>1378</v>
      </c>
      <c r="F3838" s="1" t="s">
        <v>120</v>
      </c>
      <c r="I3838" s="1" t="n">
        <v>18065</v>
      </c>
      <c r="J3838" s="1" t="n">
        <v>74064</v>
      </c>
      <c r="K3838" s="1" t="n">
        <v>42882264279</v>
      </c>
      <c r="L3838" s="1" t="s">
        <v>2342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5" t="n">
        <v>46207</v>
      </c>
      <c r="C3839" s="1" t="n">
        <v>1</v>
      </c>
      <c r="D3839" s="1" t="s">
        <v>2317</v>
      </c>
      <c r="E3839" s="1" t="n">
        <v>1378</v>
      </c>
      <c r="F3839" s="1" t="s">
        <v>120</v>
      </c>
      <c r="I3839" s="1" t="n">
        <v>18065</v>
      </c>
      <c r="J3839" s="1" t="n">
        <v>74065</v>
      </c>
      <c r="K3839" s="1" t="n">
        <v>602883558090</v>
      </c>
      <c r="L3839" s="1" t="s">
        <v>2343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5" t="n">
        <v>46207</v>
      </c>
      <c r="C3840" s="1" t="n">
        <v>1</v>
      </c>
      <c r="D3840" s="1" t="s">
        <v>2317</v>
      </c>
      <c r="E3840" s="1" t="n">
        <v>1378</v>
      </c>
      <c r="F3840" s="1" t="s">
        <v>120</v>
      </c>
      <c r="I3840" s="1" t="n">
        <v>18065</v>
      </c>
      <c r="J3840" s="1" t="n">
        <v>77994</v>
      </c>
      <c r="K3840" s="1" t="n">
        <v>780117</v>
      </c>
      <c r="L3840" s="1" t="s">
        <v>2344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5" t="n">
        <v>46207</v>
      </c>
      <c r="C3841" s="1" t="n">
        <v>1</v>
      </c>
      <c r="D3841" s="1" t="s">
        <v>2317</v>
      </c>
      <c r="E3841" s="1" t="n">
        <v>1814</v>
      </c>
      <c r="F3841" s="1" t="s">
        <v>339</v>
      </c>
      <c r="I3841" s="1" t="n">
        <v>27252</v>
      </c>
      <c r="J3841" s="1" t="n">
        <v>25090</v>
      </c>
      <c r="K3841" s="1" t="n">
        <v>7898951519152</v>
      </c>
      <c r="L3841" s="1" t="s">
        <v>2345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5" t="n">
        <v>46207</v>
      </c>
      <c r="C3842" s="1" t="n">
        <v>1</v>
      </c>
      <c r="D3842" s="1" t="s">
        <v>2317</v>
      </c>
      <c r="E3842" s="1" t="n">
        <v>1814</v>
      </c>
      <c r="F3842" s="1" t="s">
        <v>339</v>
      </c>
      <c r="I3842" s="1" t="n">
        <v>27252</v>
      </c>
      <c r="J3842" s="1" t="n">
        <v>25091</v>
      </c>
      <c r="K3842" s="1" t="n">
        <v>7898951519176</v>
      </c>
      <c r="L3842" s="1" t="s">
        <v>2346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5" t="n">
        <v>46207</v>
      </c>
      <c r="C3843" s="1" t="n">
        <v>1</v>
      </c>
      <c r="D3843" s="1" t="s">
        <v>2317</v>
      </c>
      <c r="E3843" s="1" t="n">
        <v>1814</v>
      </c>
      <c r="F3843" s="1" t="s">
        <v>339</v>
      </c>
      <c r="I3843" s="1" t="n">
        <v>27252</v>
      </c>
      <c r="J3843" s="1" t="n">
        <v>25092</v>
      </c>
      <c r="K3843" s="1" t="n">
        <v>7896883601105</v>
      </c>
      <c r="L3843" s="1" t="s">
        <v>3230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5" t="n">
        <v>46207</v>
      </c>
      <c r="C3844" s="1" t="n">
        <v>1</v>
      </c>
      <c r="D3844" s="1" t="s">
        <v>2317</v>
      </c>
      <c r="E3844" s="1" t="n">
        <v>1814</v>
      </c>
      <c r="F3844" s="1" t="s">
        <v>339</v>
      </c>
      <c r="I3844" s="1" t="n">
        <v>27252</v>
      </c>
      <c r="J3844" s="1" t="n">
        <v>25093</v>
      </c>
      <c r="K3844" s="1" t="n">
        <v>7898951519169</v>
      </c>
      <c r="L3844" s="1" t="s">
        <v>2347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5" t="n">
        <v>46207</v>
      </c>
      <c r="C3845" s="1" t="n">
        <v>1</v>
      </c>
      <c r="D3845" s="1" t="s">
        <v>2317</v>
      </c>
      <c r="E3845" s="1" t="n">
        <v>1814</v>
      </c>
      <c r="F3845" s="1" t="s">
        <v>339</v>
      </c>
      <c r="I3845" s="1" t="n">
        <v>27252</v>
      </c>
      <c r="J3845" s="1" t="n">
        <v>25095</v>
      </c>
      <c r="K3845" s="1" t="n">
        <v>7898951519145</v>
      </c>
      <c r="L3845" s="1" t="s">
        <v>2348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5" t="n">
        <v>46207</v>
      </c>
      <c r="C3846" s="1" t="n">
        <v>1</v>
      </c>
      <c r="D3846" s="1" t="s">
        <v>2317</v>
      </c>
      <c r="E3846" s="1" t="n">
        <v>1814</v>
      </c>
      <c r="F3846" s="1" t="s">
        <v>339</v>
      </c>
      <c r="I3846" s="1" t="n">
        <v>27252</v>
      </c>
      <c r="J3846" s="1" t="n">
        <v>25096</v>
      </c>
      <c r="K3846" s="1" t="n">
        <v>7898951519138</v>
      </c>
      <c r="L3846" s="1" t="s">
        <v>3231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5" t="n">
        <v>46207</v>
      </c>
      <c r="C3847" s="1" t="n">
        <v>1</v>
      </c>
      <c r="D3847" s="1" t="s">
        <v>2317</v>
      </c>
      <c r="E3847" s="1" t="n">
        <v>1814</v>
      </c>
      <c r="F3847" s="1" t="s">
        <v>339</v>
      </c>
      <c r="I3847" s="1" t="n">
        <v>27252</v>
      </c>
      <c r="J3847" s="1" t="n">
        <v>25134</v>
      </c>
      <c r="K3847" s="1" t="n">
        <v>7898951519114</v>
      </c>
      <c r="L3847" s="1" t="s">
        <v>2350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5" t="n">
        <v>46207</v>
      </c>
      <c r="C3848" s="1" t="n">
        <v>1</v>
      </c>
      <c r="D3848" s="1" t="s">
        <v>2317</v>
      </c>
      <c r="E3848" s="1" t="n">
        <v>1814</v>
      </c>
      <c r="F3848" s="1" t="s">
        <v>339</v>
      </c>
      <c r="I3848" s="1" t="n">
        <v>27252</v>
      </c>
      <c r="J3848" s="1" t="n">
        <v>39927</v>
      </c>
      <c r="K3848" s="1" t="n">
        <v>7898951519077</v>
      </c>
      <c r="L3848" s="1" t="s">
        <v>2352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5" t="n">
        <v>46207</v>
      </c>
      <c r="C3849" s="1" t="n">
        <v>1</v>
      </c>
      <c r="D3849" s="1" t="s">
        <v>2317</v>
      </c>
      <c r="E3849" s="1" t="n">
        <v>1814</v>
      </c>
      <c r="F3849" s="1" t="s">
        <v>339</v>
      </c>
      <c r="I3849" s="1" t="n">
        <v>27252</v>
      </c>
      <c r="J3849" s="1" t="n">
        <v>39932</v>
      </c>
      <c r="K3849" s="1" t="n">
        <v>7898951519091</v>
      </c>
      <c r="L3849" s="1" t="s">
        <v>2356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5" t="n">
        <v>46207</v>
      </c>
      <c r="C3850" s="1" t="n">
        <v>1</v>
      </c>
      <c r="D3850" s="1" t="s">
        <v>2317</v>
      </c>
      <c r="E3850" s="1" t="n">
        <v>1814</v>
      </c>
      <c r="F3850" s="1" t="s">
        <v>339</v>
      </c>
      <c r="I3850" s="1" t="n">
        <v>27252</v>
      </c>
      <c r="J3850" s="1" t="n">
        <v>39933</v>
      </c>
      <c r="K3850" s="1" t="n">
        <v>7898951519046</v>
      </c>
      <c r="L3850" s="1" t="s">
        <v>3885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5" t="n">
        <v>46207</v>
      </c>
      <c r="C3851" s="1" t="n">
        <v>1</v>
      </c>
      <c r="D3851" s="1" t="s">
        <v>2317</v>
      </c>
      <c r="E3851" s="1" t="n">
        <v>1814</v>
      </c>
      <c r="F3851" s="1" t="s">
        <v>339</v>
      </c>
      <c r="I3851" s="1" t="n">
        <v>27252</v>
      </c>
      <c r="J3851" s="1" t="n">
        <v>39935</v>
      </c>
      <c r="K3851" s="1" t="n">
        <v>7898951519053</v>
      </c>
      <c r="L3851" s="1" t="s">
        <v>2357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5" t="n">
        <v>46207</v>
      </c>
      <c r="C3852" s="1" t="n">
        <v>1</v>
      </c>
      <c r="D3852" s="1" t="s">
        <v>2317</v>
      </c>
      <c r="E3852" s="1" t="n">
        <v>1814</v>
      </c>
      <c r="F3852" s="1" t="s">
        <v>339</v>
      </c>
      <c r="I3852" s="1" t="n">
        <v>27252</v>
      </c>
      <c r="J3852" s="1" t="n">
        <v>39937</v>
      </c>
      <c r="K3852" s="1" t="n">
        <v>7898951519022</v>
      </c>
      <c r="L3852" s="1" t="s">
        <v>2359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5" t="n">
        <v>46207</v>
      </c>
      <c r="C3853" s="1" t="n">
        <v>1</v>
      </c>
      <c r="D3853" s="1" t="s">
        <v>2317</v>
      </c>
      <c r="E3853" s="1" t="n">
        <v>1814</v>
      </c>
      <c r="F3853" s="1" t="s">
        <v>339</v>
      </c>
      <c r="I3853" s="1" t="n">
        <v>27252</v>
      </c>
      <c r="J3853" s="1" t="n">
        <v>81422</v>
      </c>
      <c r="K3853" s="1" t="n">
        <v>7898951519336</v>
      </c>
      <c r="L3853" s="1" t="s">
        <v>3232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5" t="n">
        <v>46207</v>
      </c>
      <c r="C3854" s="1" t="n">
        <v>1</v>
      </c>
      <c r="D3854" s="1" t="s">
        <v>2317</v>
      </c>
      <c r="E3854" s="1" t="n">
        <v>10009</v>
      </c>
      <c r="F3854" s="1" t="s">
        <v>373</v>
      </c>
      <c r="I3854" s="1" t="n">
        <v>1424294</v>
      </c>
      <c r="J3854" s="1" t="n">
        <v>12411</v>
      </c>
      <c r="K3854" s="1" t="n">
        <v>7891000050927</v>
      </c>
      <c r="L3854" s="1" t="s">
        <v>3886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5" t="n">
        <v>46207</v>
      </c>
      <c r="C3855" s="1" t="n">
        <v>1</v>
      </c>
      <c r="D3855" s="1" t="s">
        <v>2317</v>
      </c>
      <c r="E3855" s="1" t="n">
        <v>10009</v>
      </c>
      <c r="F3855" s="1" t="s">
        <v>373</v>
      </c>
      <c r="I3855" s="1" t="n">
        <v>1424294</v>
      </c>
      <c r="J3855" s="1" t="n">
        <v>12803</v>
      </c>
      <c r="K3855" s="1" t="n">
        <v>7891000050880</v>
      </c>
      <c r="L3855" s="1" t="s">
        <v>3887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5" t="n">
        <v>46207</v>
      </c>
      <c r="C3856" s="1" t="n">
        <v>1</v>
      </c>
      <c r="D3856" s="1" t="s">
        <v>2317</v>
      </c>
      <c r="E3856" s="1" t="n">
        <v>10009</v>
      </c>
      <c r="F3856" s="1" t="s">
        <v>373</v>
      </c>
      <c r="I3856" s="1" t="n">
        <v>1424294</v>
      </c>
      <c r="J3856" s="1" t="n">
        <v>15716</v>
      </c>
      <c r="K3856" s="1" t="n">
        <v>7891000089231</v>
      </c>
      <c r="L3856" s="1" t="s">
        <v>3888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5" t="n">
        <v>46207</v>
      </c>
      <c r="C3857" s="1" t="n">
        <v>1</v>
      </c>
      <c r="D3857" s="1" t="s">
        <v>2317</v>
      </c>
      <c r="E3857" s="1" t="n">
        <v>10009</v>
      </c>
      <c r="F3857" s="1" t="s">
        <v>373</v>
      </c>
      <c r="I3857" s="1" t="n">
        <v>1424294</v>
      </c>
      <c r="J3857" s="1" t="n">
        <v>15718</v>
      </c>
      <c r="K3857" s="1" t="n">
        <v>7891000089279</v>
      </c>
      <c r="L3857" s="1" t="s">
        <v>2629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5" t="n">
        <v>46207</v>
      </c>
      <c r="C3858" s="1" t="n">
        <v>1</v>
      </c>
      <c r="D3858" s="1" t="s">
        <v>2317</v>
      </c>
      <c r="E3858" s="1" t="n">
        <v>10009</v>
      </c>
      <c r="F3858" s="1" t="s">
        <v>373</v>
      </c>
      <c r="I3858" s="1" t="n">
        <v>1424294</v>
      </c>
      <c r="J3858" s="1" t="n">
        <v>24777</v>
      </c>
      <c r="K3858" s="1" t="n">
        <v>7891000241370</v>
      </c>
      <c r="L3858" s="1" t="s">
        <v>2619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5" t="n">
        <v>46207</v>
      </c>
      <c r="C3859" s="1" t="n">
        <v>1</v>
      </c>
      <c r="D3859" s="1" t="s">
        <v>2317</v>
      </c>
      <c r="E3859" s="1" t="n">
        <v>10009</v>
      </c>
      <c r="F3859" s="1" t="s">
        <v>373</v>
      </c>
      <c r="I3859" s="1" t="n">
        <v>1424294</v>
      </c>
      <c r="J3859" s="1" t="n">
        <v>78161</v>
      </c>
      <c r="K3859" s="1" t="n">
        <v>7891000438466</v>
      </c>
      <c r="L3859" s="1" t="s">
        <v>3889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5" t="n">
        <v>46207</v>
      </c>
      <c r="C3860" s="1" t="n">
        <v>1</v>
      </c>
      <c r="D3860" s="1" t="s">
        <v>2317</v>
      </c>
      <c r="E3860" s="1" t="n">
        <v>10009</v>
      </c>
      <c r="F3860" s="1" t="s">
        <v>373</v>
      </c>
      <c r="I3860" s="1" t="n">
        <v>1424294</v>
      </c>
      <c r="J3860" s="1" t="n">
        <v>80516</v>
      </c>
      <c r="K3860" s="1" t="n">
        <v>7891000438107</v>
      </c>
      <c r="L3860" s="1" t="s">
        <v>3890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5" t="n">
        <v>46207</v>
      </c>
      <c r="C3861" s="1" t="n">
        <v>2</v>
      </c>
      <c r="D3861" s="1" t="s">
        <v>2283</v>
      </c>
      <c r="E3861" s="1" t="n">
        <v>42</v>
      </c>
      <c r="F3861" s="1" t="s">
        <v>80</v>
      </c>
      <c r="I3861" s="1" t="n">
        <v>40701</v>
      </c>
      <c r="J3861" s="1" t="n">
        <v>109791</v>
      </c>
      <c r="K3861" s="1" t="n">
        <v>9667</v>
      </c>
      <c r="L3861" s="1" t="s">
        <v>2284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5" t="n">
        <v>46207</v>
      </c>
      <c r="C3862" s="1" t="n">
        <v>2</v>
      </c>
      <c r="D3862" s="1" t="s">
        <v>2283</v>
      </c>
      <c r="E3862" s="1" t="n">
        <v>42</v>
      </c>
      <c r="F3862" s="1" t="s">
        <v>80</v>
      </c>
      <c r="I3862" s="1" t="n">
        <v>40701</v>
      </c>
      <c r="J3862" s="1" t="n">
        <v>37359</v>
      </c>
      <c r="K3862" s="1" t="n">
        <v>55526</v>
      </c>
      <c r="L3862" s="1" t="s">
        <v>2285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5" t="n">
        <v>46207</v>
      </c>
      <c r="C3863" s="1" t="n">
        <v>2</v>
      </c>
      <c r="D3863" s="1" t="s">
        <v>2283</v>
      </c>
      <c r="E3863" s="1" t="n">
        <v>42</v>
      </c>
      <c r="F3863" s="1" t="s">
        <v>80</v>
      </c>
      <c r="I3863" s="1" t="n">
        <v>40701</v>
      </c>
      <c r="J3863" s="1" t="n">
        <v>37361</v>
      </c>
      <c r="K3863" s="1" t="n">
        <v>2240817</v>
      </c>
      <c r="L3863" s="1" t="s">
        <v>2286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5" t="n">
        <v>46207</v>
      </c>
      <c r="C3864" s="1" t="n">
        <v>6</v>
      </c>
      <c r="D3864" s="1" t="s">
        <v>2289</v>
      </c>
      <c r="E3864" s="1" t="n">
        <v>42</v>
      </c>
      <c r="F3864" s="1" t="s">
        <v>80</v>
      </c>
      <c r="I3864" s="1" t="n">
        <v>4350</v>
      </c>
      <c r="J3864" s="1" t="n">
        <v>109791</v>
      </c>
      <c r="K3864" s="1" t="n">
        <v>9667</v>
      </c>
      <c r="L3864" s="1" t="s">
        <v>2284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5" t="n">
        <v>46207</v>
      </c>
      <c r="C3865" s="1" t="n">
        <v>6</v>
      </c>
      <c r="D3865" s="1" t="s">
        <v>2289</v>
      </c>
      <c r="E3865" s="1" t="n">
        <v>42</v>
      </c>
      <c r="F3865" s="1" t="s">
        <v>80</v>
      </c>
      <c r="I3865" s="1" t="n">
        <v>4350</v>
      </c>
      <c r="J3865" s="1" t="n">
        <v>37359</v>
      </c>
      <c r="K3865" s="1" t="n">
        <v>55526</v>
      </c>
      <c r="L3865" s="1" t="s">
        <v>2285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5" t="n">
        <v>46207</v>
      </c>
      <c r="C3866" s="1" t="n">
        <v>6</v>
      </c>
      <c r="D3866" s="1" t="s">
        <v>2289</v>
      </c>
      <c r="E3866" s="1" t="n">
        <v>42</v>
      </c>
      <c r="F3866" s="1" t="s">
        <v>80</v>
      </c>
      <c r="I3866" s="1" t="n">
        <v>4350</v>
      </c>
      <c r="J3866" s="1" t="n">
        <v>37361</v>
      </c>
      <c r="K3866" s="1" t="n">
        <v>2240817</v>
      </c>
      <c r="L3866" s="1" t="s">
        <v>2286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5" t="n">
        <v>46207</v>
      </c>
      <c r="C3867" s="1" t="n">
        <v>11</v>
      </c>
      <c r="D3867" s="1" t="s">
        <v>2290</v>
      </c>
      <c r="E3867" s="1" t="n">
        <v>1723</v>
      </c>
      <c r="F3867" s="1" t="s">
        <v>76</v>
      </c>
      <c r="I3867" s="1" t="n">
        <v>172594</v>
      </c>
      <c r="J3867" s="1" t="n">
        <v>29079</v>
      </c>
      <c r="K3867" s="1" t="n">
        <v>55515</v>
      </c>
      <c r="L3867" s="1" t="s">
        <v>2360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5" t="n">
        <v>46207</v>
      </c>
      <c r="C3868" s="1" t="n">
        <v>11</v>
      </c>
      <c r="D3868" s="1" t="s">
        <v>2290</v>
      </c>
      <c r="E3868" s="1" t="n">
        <v>1723</v>
      </c>
      <c r="F3868" s="1" t="s">
        <v>76</v>
      </c>
      <c r="I3868" s="1" t="n">
        <v>172594</v>
      </c>
      <c r="J3868" s="1" t="n">
        <v>29080</v>
      </c>
      <c r="K3868" s="1" t="n">
        <v>55516</v>
      </c>
      <c r="L3868" s="1" t="s">
        <v>2362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5" t="n">
        <v>46207</v>
      </c>
      <c r="C3869" s="1" t="n">
        <v>11</v>
      </c>
      <c r="D3869" s="1" t="s">
        <v>2290</v>
      </c>
      <c r="E3869" s="1" t="n">
        <v>10009</v>
      </c>
      <c r="F3869" s="1" t="s">
        <v>373</v>
      </c>
      <c r="I3869" s="1" t="n">
        <v>1424293</v>
      </c>
      <c r="J3869" s="1" t="n">
        <v>103473</v>
      </c>
      <c r="K3869" s="1" t="n">
        <v>7891000367506</v>
      </c>
      <c r="L3869" s="1" t="s">
        <v>3891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5" t="n">
        <v>46207</v>
      </c>
      <c r="C3870" s="1" t="n">
        <v>11</v>
      </c>
      <c r="D3870" s="1" t="s">
        <v>2290</v>
      </c>
      <c r="E3870" s="1" t="n">
        <v>10009</v>
      </c>
      <c r="F3870" s="1" t="s">
        <v>373</v>
      </c>
      <c r="I3870" s="1" t="n">
        <v>1424293</v>
      </c>
      <c r="J3870" s="1" t="n">
        <v>15573</v>
      </c>
      <c r="K3870" s="1" t="n">
        <v>7891000089194</v>
      </c>
      <c r="L3870" s="1" t="s">
        <v>3892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5" t="n">
        <v>46207</v>
      </c>
      <c r="C3871" s="1" t="n">
        <v>11</v>
      </c>
      <c r="D3871" s="1" t="s">
        <v>2290</v>
      </c>
      <c r="E3871" s="1" t="n">
        <v>10009</v>
      </c>
      <c r="F3871" s="1" t="s">
        <v>373</v>
      </c>
      <c r="I3871" s="1" t="n">
        <v>1424293</v>
      </c>
      <c r="J3871" s="1" t="n">
        <v>17241</v>
      </c>
      <c r="K3871" s="1" t="n">
        <v>78910041</v>
      </c>
      <c r="L3871" s="1" t="s">
        <v>3893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5" t="n">
        <v>46207</v>
      </c>
      <c r="C3872" s="1" t="n">
        <v>11</v>
      </c>
      <c r="D3872" s="1" t="s">
        <v>2290</v>
      </c>
      <c r="E3872" s="1" t="n">
        <v>10009</v>
      </c>
      <c r="F3872" s="1" t="s">
        <v>373</v>
      </c>
      <c r="I3872" s="1" t="n">
        <v>1424293</v>
      </c>
      <c r="J3872" s="1" t="n">
        <v>25948</v>
      </c>
      <c r="K3872" s="1" t="n">
        <v>7891000247624</v>
      </c>
      <c r="L3872" s="1" t="s">
        <v>3894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5" t="n">
        <v>46207</v>
      </c>
      <c r="C3873" s="1" t="n">
        <v>11</v>
      </c>
      <c r="D3873" s="1" t="s">
        <v>2290</v>
      </c>
      <c r="E3873" s="1" t="n">
        <v>10009</v>
      </c>
      <c r="F3873" s="1" t="s">
        <v>373</v>
      </c>
      <c r="I3873" s="1" t="n">
        <v>1424293</v>
      </c>
      <c r="J3873" s="1" t="n">
        <v>26982</v>
      </c>
      <c r="K3873" s="1" t="n">
        <v>7891000255445</v>
      </c>
      <c r="L3873" s="1" t="s">
        <v>3895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5" t="n">
        <v>46207</v>
      </c>
      <c r="C3874" s="1" t="n">
        <v>11</v>
      </c>
      <c r="D3874" s="1" t="s">
        <v>2290</v>
      </c>
      <c r="E3874" s="1" t="n">
        <v>10009</v>
      </c>
      <c r="F3874" s="1" t="s">
        <v>373</v>
      </c>
      <c r="I3874" s="1" t="n">
        <v>1424293</v>
      </c>
      <c r="J3874" s="1" t="n">
        <v>27690</v>
      </c>
      <c r="K3874" s="1" t="n">
        <v>7891000111161</v>
      </c>
      <c r="L3874" s="1" t="s">
        <v>3896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5" t="n">
        <v>46207</v>
      </c>
      <c r="C3875" s="1" t="n">
        <v>11</v>
      </c>
      <c r="D3875" s="1" t="s">
        <v>2290</v>
      </c>
      <c r="E3875" s="1" t="n">
        <v>10009</v>
      </c>
      <c r="F3875" s="1" t="s">
        <v>373</v>
      </c>
      <c r="I3875" s="1" t="n">
        <v>1424293</v>
      </c>
      <c r="J3875" s="1" t="n">
        <v>28349</v>
      </c>
      <c r="K3875" s="1" t="n">
        <v>7891000258613</v>
      </c>
      <c r="L3875" s="1" t="s">
        <v>3897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5" t="n">
        <v>46207</v>
      </c>
      <c r="C3876" s="1" t="n">
        <v>11</v>
      </c>
      <c r="D3876" s="1" t="s">
        <v>2290</v>
      </c>
      <c r="E3876" s="1" t="n">
        <v>10009</v>
      </c>
      <c r="F3876" s="1" t="s">
        <v>373</v>
      </c>
      <c r="I3876" s="1" t="n">
        <v>1424293</v>
      </c>
      <c r="J3876" s="1" t="n">
        <v>36740</v>
      </c>
      <c r="K3876" s="1" t="n">
        <v>7891008116823</v>
      </c>
      <c r="L3876" s="1" t="s">
        <v>3898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5" t="n">
        <v>46207</v>
      </c>
      <c r="C3877" s="1" t="n">
        <v>11</v>
      </c>
      <c r="D3877" s="1" t="s">
        <v>2290</v>
      </c>
      <c r="E3877" s="1" t="n">
        <v>10009</v>
      </c>
      <c r="F3877" s="1" t="s">
        <v>373</v>
      </c>
      <c r="I3877" s="1" t="n">
        <v>1424293</v>
      </c>
      <c r="J3877" s="1" t="n">
        <v>43621</v>
      </c>
      <c r="K3877" s="1" t="n">
        <v>7891000357460</v>
      </c>
      <c r="L3877" s="1" t="s">
        <v>3899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5" t="n">
        <v>46207</v>
      </c>
      <c r="C3878" s="1" t="n">
        <v>11</v>
      </c>
      <c r="D3878" s="1" t="s">
        <v>2290</v>
      </c>
      <c r="E3878" s="1" t="n">
        <v>10009</v>
      </c>
      <c r="F3878" s="1" t="s">
        <v>373</v>
      </c>
      <c r="I3878" s="1" t="n">
        <v>1424293</v>
      </c>
      <c r="J3878" s="1" t="n">
        <v>44416</v>
      </c>
      <c r="K3878" s="1" t="n">
        <v>7891000356791</v>
      </c>
      <c r="L3878" s="1" t="s">
        <v>3900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5" t="n">
        <v>46207</v>
      </c>
      <c r="C3879" s="1" t="n">
        <v>11</v>
      </c>
      <c r="D3879" s="1" t="s">
        <v>2290</v>
      </c>
      <c r="E3879" s="1" t="n">
        <v>10009</v>
      </c>
      <c r="F3879" s="1" t="s">
        <v>373</v>
      </c>
      <c r="I3879" s="1" t="n">
        <v>1424293</v>
      </c>
      <c r="J3879" s="1" t="n">
        <v>48754</v>
      </c>
      <c r="K3879" s="1" t="n">
        <v>7891000339558</v>
      </c>
      <c r="L3879" s="1" t="s">
        <v>3901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5" t="n">
        <v>46207</v>
      </c>
      <c r="C3880" s="1" t="n">
        <v>11</v>
      </c>
      <c r="D3880" s="1" t="s">
        <v>2290</v>
      </c>
      <c r="E3880" s="1" t="n">
        <v>10009</v>
      </c>
      <c r="F3880" s="1" t="s">
        <v>373</v>
      </c>
      <c r="I3880" s="1" t="n">
        <v>1424293</v>
      </c>
      <c r="J3880" s="1" t="n">
        <v>54906</v>
      </c>
      <c r="K3880" s="1" t="n">
        <v>7891000377130</v>
      </c>
      <c r="L3880" s="1" t="s">
        <v>2623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5" t="n">
        <v>46207</v>
      </c>
      <c r="C3881" s="1" t="n">
        <v>11</v>
      </c>
      <c r="D3881" s="1" t="s">
        <v>2290</v>
      </c>
      <c r="E3881" s="1" t="n">
        <v>10009</v>
      </c>
      <c r="F3881" s="1" t="s">
        <v>373</v>
      </c>
      <c r="I3881" s="1" t="n">
        <v>1424293</v>
      </c>
      <c r="J3881" s="1" t="n">
        <v>61565</v>
      </c>
      <c r="K3881" s="1" t="n">
        <v>7891000385791</v>
      </c>
      <c r="L3881" s="1" t="s">
        <v>3902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5" t="n">
        <v>46207</v>
      </c>
      <c r="C3882" s="1" t="n">
        <v>11</v>
      </c>
      <c r="D3882" s="1" t="s">
        <v>2290</v>
      </c>
      <c r="E3882" s="1" t="n">
        <v>10009</v>
      </c>
      <c r="F3882" s="1" t="s">
        <v>373</v>
      </c>
      <c r="I3882" s="1" t="n">
        <v>1424293</v>
      </c>
      <c r="J3882" s="1" t="n">
        <v>64041</v>
      </c>
      <c r="K3882" s="1" t="n">
        <v>7891000394939</v>
      </c>
      <c r="L3882" s="1" t="s">
        <v>3903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5" t="n">
        <v>46207</v>
      </c>
      <c r="C3883" s="1" t="n">
        <v>11</v>
      </c>
      <c r="D3883" s="1" t="s">
        <v>2290</v>
      </c>
      <c r="E3883" s="1" t="n">
        <v>10009</v>
      </c>
      <c r="F3883" s="1" t="s">
        <v>373</v>
      </c>
      <c r="I3883" s="1" t="n">
        <v>1424293</v>
      </c>
      <c r="J3883" s="1" t="n">
        <v>81180</v>
      </c>
      <c r="K3883" s="1" t="n">
        <v>7891000457368</v>
      </c>
      <c r="L3883" s="1" t="s">
        <v>2616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5" t="n">
        <v>46207</v>
      </c>
      <c r="C3884" s="1" t="n">
        <v>22</v>
      </c>
      <c r="D3884" s="1" t="s">
        <v>2436</v>
      </c>
      <c r="E3884" s="1" t="n">
        <v>42</v>
      </c>
      <c r="F3884" s="1" t="s">
        <v>80</v>
      </c>
      <c r="I3884" s="1" t="n">
        <v>4352</v>
      </c>
      <c r="J3884" s="1" t="n">
        <v>100000</v>
      </c>
      <c r="K3884" s="1" t="n">
        <v>1</v>
      </c>
      <c r="L3884" s="1" t="s">
        <v>2451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5" t="n">
        <v>46207</v>
      </c>
      <c r="C3885" s="1" t="n">
        <v>22</v>
      </c>
      <c r="D3885" s="1" t="s">
        <v>2436</v>
      </c>
      <c r="E3885" s="1" t="n">
        <v>42</v>
      </c>
      <c r="F3885" s="1" t="s">
        <v>80</v>
      </c>
      <c r="I3885" s="1" t="n">
        <v>4352</v>
      </c>
      <c r="J3885" s="1" t="n">
        <v>100000</v>
      </c>
      <c r="K3885" s="1" t="n">
        <v>1</v>
      </c>
      <c r="L3885" s="1" t="s">
        <v>2451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5" t="n">
        <v>46207</v>
      </c>
      <c r="C3886" s="1" t="n">
        <v>22</v>
      </c>
      <c r="D3886" s="1" t="s">
        <v>2436</v>
      </c>
      <c r="E3886" s="1" t="n">
        <v>42</v>
      </c>
      <c r="F3886" s="1" t="s">
        <v>80</v>
      </c>
      <c r="I3886" s="1" t="n">
        <v>4352</v>
      </c>
      <c r="J3886" s="1" t="n">
        <v>100001</v>
      </c>
      <c r="K3886" s="1" t="n">
        <v>2</v>
      </c>
      <c r="L3886" s="1" t="s">
        <v>2452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5" t="n">
        <v>46207</v>
      </c>
      <c r="C3887" s="1" t="n">
        <v>22</v>
      </c>
      <c r="D3887" s="1" t="s">
        <v>2436</v>
      </c>
      <c r="E3887" s="1" t="n">
        <v>42</v>
      </c>
      <c r="F3887" s="1" t="s">
        <v>80</v>
      </c>
      <c r="I3887" s="1" t="n">
        <v>4352</v>
      </c>
      <c r="J3887" s="1" t="n">
        <v>100002</v>
      </c>
      <c r="K3887" s="1" t="n">
        <v>3</v>
      </c>
      <c r="L3887" s="1" t="s">
        <v>2453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5" t="n">
        <v>46207</v>
      </c>
      <c r="C3888" s="1" t="n">
        <v>22</v>
      </c>
      <c r="D3888" s="1" t="s">
        <v>2436</v>
      </c>
      <c r="E3888" s="1" t="n">
        <v>42</v>
      </c>
      <c r="F3888" s="1" t="s">
        <v>80</v>
      </c>
      <c r="I3888" s="1" t="n">
        <v>4352</v>
      </c>
      <c r="J3888" s="1" t="n">
        <v>100003</v>
      </c>
      <c r="K3888" s="1" t="n">
        <v>4</v>
      </c>
      <c r="L3888" s="1" t="s">
        <v>2454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5" t="n">
        <v>46207</v>
      </c>
      <c r="C3889" s="1" t="n">
        <v>22</v>
      </c>
      <c r="D3889" s="1" t="s">
        <v>2436</v>
      </c>
      <c r="E3889" s="1" t="n">
        <v>42</v>
      </c>
      <c r="F3889" s="1" t="s">
        <v>80</v>
      </c>
      <c r="I3889" s="1" t="n">
        <v>4352</v>
      </c>
      <c r="J3889" s="1" t="n">
        <v>100006</v>
      </c>
      <c r="K3889" s="1" t="n">
        <v>7</v>
      </c>
      <c r="L3889" s="1" t="s">
        <v>2437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5" t="n">
        <v>46207</v>
      </c>
      <c r="C3890" s="1" t="n">
        <v>22</v>
      </c>
      <c r="D3890" s="1" t="s">
        <v>2436</v>
      </c>
      <c r="E3890" s="1" t="n">
        <v>42</v>
      </c>
      <c r="F3890" s="1" t="s">
        <v>80</v>
      </c>
      <c r="I3890" s="1" t="n">
        <v>4352</v>
      </c>
      <c r="J3890" s="1" t="n">
        <v>100007</v>
      </c>
      <c r="K3890" s="1" t="n">
        <v>8</v>
      </c>
      <c r="L3890" s="1" t="s">
        <v>2455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5" t="n">
        <v>46207</v>
      </c>
      <c r="C3891" s="1" t="n">
        <v>22</v>
      </c>
      <c r="D3891" s="1" t="s">
        <v>2436</v>
      </c>
      <c r="E3891" s="1" t="n">
        <v>42</v>
      </c>
      <c r="F3891" s="1" t="s">
        <v>80</v>
      </c>
      <c r="I3891" s="1" t="n">
        <v>4352</v>
      </c>
      <c r="J3891" s="1" t="n">
        <v>100008</v>
      </c>
      <c r="K3891" s="1" t="n">
        <v>9</v>
      </c>
      <c r="L3891" s="1" t="s">
        <v>2438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5" t="n">
        <v>46207</v>
      </c>
      <c r="C3892" s="1" t="n">
        <v>22</v>
      </c>
      <c r="D3892" s="1" t="s">
        <v>2436</v>
      </c>
      <c r="E3892" s="1" t="n">
        <v>42</v>
      </c>
      <c r="F3892" s="1" t="s">
        <v>80</v>
      </c>
      <c r="I3892" s="1" t="n">
        <v>4352</v>
      </c>
      <c r="J3892" s="1" t="n">
        <v>100010</v>
      </c>
      <c r="K3892" s="1" t="n">
        <v>11</v>
      </c>
      <c r="L3892" s="1" t="s">
        <v>2439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5" t="n">
        <v>46207</v>
      </c>
      <c r="C3893" s="1" t="n">
        <v>22</v>
      </c>
      <c r="D3893" s="1" t="s">
        <v>2436</v>
      </c>
      <c r="E3893" s="1" t="n">
        <v>42</v>
      </c>
      <c r="F3893" s="1" t="s">
        <v>80</v>
      </c>
      <c r="I3893" s="1" t="n">
        <v>4352</v>
      </c>
      <c r="J3893" s="1" t="n">
        <v>100011</v>
      </c>
      <c r="K3893" s="1" t="n">
        <v>12</v>
      </c>
      <c r="L3893" s="1" t="s">
        <v>2440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5" t="n">
        <v>46207</v>
      </c>
      <c r="C3894" s="1" t="n">
        <v>22</v>
      </c>
      <c r="D3894" s="1" t="s">
        <v>2436</v>
      </c>
      <c r="E3894" s="1" t="n">
        <v>42</v>
      </c>
      <c r="F3894" s="1" t="s">
        <v>80</v>
      </c>
      <c r="I3894" s="1" t="n">
        <v>4352</v>
      </c>
      <c r="J3894" s="1" t="n">
        <v>100012</v>
      </c>
      <c r="K3894" s="1" t="n">
        <v>13</v>
      </c>
      <c r="L3894" s="1" t="s">
        <v>2441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5" t="n">
        <v>46207</v>
      </c>
      <c r="C3895" s="1" t="n">
        <v>22</v>
      </c>
      <c r="D3895" s="1" t="s">
        <v>2436</v>
      </c>
      <c r="E3895" s="1" t="n">
        <v>42</v>
      </c>
      <c r="F3895" s="1" t="s">
        <v>80</v>
      </c>
      <c r="I3895" s="1" t="n">
        <v>4352</v>
      </c>
      <c r="J3895" s="1" t="n">
        <v>100013</v>
      </c>
      <c r="K3895" s="1" t="n">
        <v>14</v>
      </c>
      <c r="L3895" s="1" t="s">
        <v>2442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5" t="n">
        <v>46207</v>
      </c>
      <c r="C3896" s="1" t="n">
        <v>22</v>
      </c>
      <c r="D3896" s="1" t="s">
        <v>2436</v>
      </c>
      <c r="E3896" s="1" t="n">
        <v>42</v>
      </c>
      <c r="F3896" s="1" t="s">
        <v>80</v>
      </c>
      <c r="I3896" s="1" t="n">
        <v>4352</v>
      </c>
      <c r="J3896" s="1" t="n">
        <v>100014</v>
      </c>
      <c r="K3896" s="1" t="n">
        <v>15</v>
      </c>
      <c r="L3896" s="1" t="s">
        <v>2443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5" t="n">
        <v>46207</v>
      </c>
      <c r="C3897" s="1" t="n">
        <v>22</v>
      </c>
      <c r="D3897" s="1" t="s">
        <v>2436</v>
      </c>
      <c r="E3897" s="1" t="n">
        <v>42</v>
      </c>
      <c r="F3897" s="1" t="s">
        <v>80</v>
      </c>
      <c r="I3897" s="1" t="n">
        <v>4352</v>
      </c>
      <c r="J3897" s="1" t="n">
        <v>100015</v>
      </c>
      <c r="K3897" s="1" t="n">
        <v>16</v>
      </c>
      <c r="L3897" s="1" t="s">
        <v>2444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5" t="n">
        <v>46207</v>
      </c>
      <c r="C3898" s="1" t="n">
        <v>22</v>
      </c>
      <c r="D3898" s="1" t="s">
        <v>2436</v>
      </c>
      <c r="E3898" s="1" t="n">
        <v>42</v>
      </c>
      <c r="F3898" s="1" t="s">
        <v>80</v>
      </c>
      <c r="I3898" s="1" t="n">
        <v>4352</v>
      </c>
      <c r="J3898" s="1" t="n">
        <v>100016</v>
      </c>
      <c r="K3898" s="1" t="n">
        <v>17</v>
      </c>
      <c r="L3898" s="1" t="s">
        <v>2445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5" t="n">
        <v>46207</v>
      </c>
      <c r="C3899" s="1" t="n">
        <v>22</v>
      </c>
      <c r="D3899" s="1" t="s">
        <v>2436</v>
      </c>
      <c r="E3899" s="1" t="n">
        <v>42</v>
      </c>
      <c r="F3899" s="1" t="s">
        <v>80</v>
      </c>
      <c r="I3899" s="1" t="n">
        <v>4352</v>
      </c>
      <c r="J3899" s="1" t="n">
        <v>100017</v>
      </c>
      <c r="K3899" s="1" t="n">
        <v>18</v>
      </c>
      <c r="L3899" s="1" t="s">
        <v>2446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5" t="n">
        <v>46207</v>
      </c>
      <c r="C3900" s="1" t="n">
        <v>22</v>
      </c>
      <c r="D3900" s="1" t="s">
        <v>2436</v>
      </c>
      <c r="E3900" s="1" t="n">
        <v>42</v>
      </c>
      <c r="F3900" s="1" t="s">
        <v>80</v>
      </c>
      <c r="I3900" s="1" t="n">
        <v>4352</v>
      </c>
      <c r="J3900" s="1" t="n">
        <v>100020</v>
      </c>
      <c r="K3900" s="1" t="n">
        <v>21</v>
      </c>
      <c r="L3900" s="1" t="s">
        <v>2456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5" t="n">
        <v>46207</v>
      </c>
      <c r="C3901" s="1" t="n">
        <v>22</v>
      </c>
      <c r="D3901" s="1" t="s">
        <v>2436</v>
      </c>
      <c r="E3901" s="1" t="n">
        <v>42</v>
      </c>
      <c r="F3901" s="1" t="s">
        <v>80</v>
      </c>
      <c r="I3901" s="1" t="n">
        <v>4352</v>
      </c>
      <c r="J3901" s="1" t="n">
        <v>100053</v>
      </c>
      <c r="K3901" s="1" t="n">
        <v>54</v>
      </c>
      <c r="L3901" s="1" t="s">
        <v>2447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5" t="n">
        <v>46207</v>
      </c>
      <c r="C3902" s="1" t="n">
        <v>22</v>
      </c>
      <c r="D3902" s="1" t="s">
        <v>2436</v>
      </c>
      <c r="E3902" s="1" t="n">
        <v>42</v>
      </c>
      <c r="F3902" s="1" t="s">
        <v>80</v>
      </c>
      <c r="I3902" s="1" t="n">
        <v>4352</v>
      </c>
      <c r="J3902" s="1" t="n">
        <v>100638</v>
      </c>
      <c r="K3902" s="1" t="n">
        <v>508</v>
      </c>
      <c r="L3902" s="1" t="s">
        <v>2448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5" t="n">
        <v>46207</v>
      </c>
      <c r="C3903" s="1" t="n">
        <v>22</v>
      </c>
      <c r="D3903" s="1" t="s">
        <v>2436</v>
      </c>
      <c r="E3903" s="1" t="n">
        <v>42</v>
      </c>
      <c r="F3903" s="1" t="s">
        <v>80</v>
      </c>
      <c r="I3903" s="1" t="n">
        <v>4352</v>
      </c>
      <c r="J3903" s="1" t="n">
        <v>100638</v>
      </c>
      <c r="K3903" s="1" t="n">
        <v>508</v>
      </c>
      <c r="L3903" s="1" t="s">
        <v>2448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5" t="n">
        <v>46207</v>
      </c>
      <c r="C3904" s="1" t="n">
        <v>22</v>
      </c>
      <c r="D3904" s="1" t="s">
        <v>2436</v>
      </c>
      <c r="E3904" s="1" t="n">
        <v>42</v>
      </c>
      <c r="F3904" s="1" t="s">
        <v>80</v>
      </c>
      <c r="I3904" s="1" t="n">
        <v>4352</v>
      </c>
      <c r="J3904" s="1" t="n">
        <v>100520</v>
      </c>
      <c r="K3904" s="1" t="n">
        <v>507</v>
      </c>
      <c r="L3904" s="1" t="s">
        <v>2449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5" t="n">
        <v>46207</v>
      </c>
      <c r="C3905" s="1" t="n">
        <v>22</v>
      </c>
      <c r="D3905" s="1" t="s">
        <v>2436</v>
      </c>
      <c r="E3905" s="1" t="n">
        <v>42</v>
      </c>
      <c r="F3905" s="1" t="s">
        <v>80</v>
      </c>
      <c r="I3905" s="1" t="n">
        <v>4352</v>
      </c>
      <c r="J3905" s="1" t="n">
        <v>100520</v>
      </c>
      <c r="K3905" s="1" t="n">
        <v>507</v>
      </c>
      <c r="L3905" s="1" t="s">
        <v>2449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5" t="n">
        <v>46207</v>
      </c>
      <c r="C3906" s="1" t="n">
        <v>22</v>
      </c>
      <c r="D3906" s="1" t="s">
        <v>2436</v>
      </c>
      <c r="E3906" s="1" t="n">
        <v>42</v>
      </c>
      <c r="F3906" s="1" t="s">
        <v>80</v>
      </c>
      <c r="I3906" s="1" t="n">
        <v>4352</v>
      </c>
      <c r="J3906" s="1" t="n">
        <v>110455</v>
      </c>
      <c r="K3906" s="1" t="n">
        <v>53212</v>
      </c>
      <c r="L3906" s="1" t="s">
        <v>2450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5" t="n">
        <v>46207</v>
      </c>
      <c r="C3907" s="1" t="n">
        <v>22</v>
      </c>
      <c r="D3907" s="1" t="s">
        <v>2436</v>
      </c>
      <c r="E3907" s="1" t="n">
        <v>42</v>
      </c>
      <c r="F3907" s="1" t="s">
        <v>80</v>
      </c>
      <c r="I3907" s="1" t="n">
        <v>4352</v>
      </c>
      <c r="J3907" s="1" t="n">
        <v>110455</v>
      </c>
      <c r="K3907" s="1" t="n">
        <v>53212</v>
      </c>
      <c r="L3907" s="1" t="s">
        <v>2450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5" t="n">
        <v>46207</v>
      </c>
      <c r="C3908" s="1" t="n">
        <v>100</v>
      </c>
      <c r="D3908" s="1" t="s">
        <v>2457</v>
      </c>
      <c r="E3908" s="1" t="n">
        <v>42</v>
      </c>
      <c r="F3908" s="1" t="s">
        <v>80</v>
      </c>
      <c r="I3908" s="1" t="n">
        <v>1348493</v>
      </c>
      <c r="J3908" s="1" t="n">
        <v>100000</v>
      </c>
      <c r="K3908" s="1" t="n">
        <v>1</v>
      </c>
      <c r="L3908" s="1" t="s">
        <v>2451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5" t="n">
        <v>46207</v>
      </c>
      <c r="C3909" s="1" t="n">
        <v>100</v>
      </c>
      <c r="D3909" s="1" t="s">
        <v>2457</v>
      </c>
      <c r="E3909" s="1" t="n">
        <v>42</v>
      </c>
      <c r="F3909" s="1" t="s">
        <v>80</v>
      </c>
      <c r="I3909" s="1" t="n">
        <v>1348493</v>
      </c>
      <c r="J3909" s="1" t="n">
        <v>100001</v>
      </c>
      <c r="K3909" s="1" t="n">
        <v>2</v>
      </c>
      <c r="L3909" s="1" t="s">
        <v>2452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5" t="n">
        <v>46207</v>
      </c>
      <c r="C3910" s="1" t="n">
        <v>100</v>
      </c>
      <c r="D3910" s="1" t="s">
        <v>2457</v>
      </c>
      <c r="E3910" s="1" t="n">
        <v>42</v>
      </c>
      <c r="F3910" s="1" t="s">
        <v>80</v>
      </c>
      <c r="I3910" s="1" t="n">
        <v>1348493</v>
      </c>
      <c r="J3910" s="1" t="n">
        <v>100002</v>
      </c>
      <c r="K3910" s="1" t="n">
        <v>3</v>
      </c>
      <c r="L3910" s="1" t="s">
        <v>2453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5" t="n">
        <v>46207</v>
      </c>
      <c r="C3911" s="1" t="n">
        <v>100</v>
      </c>
      <c r="D3911" s="1" t="s">
        <v>2457</v>
      </c>
      <c r="E3911" s="1" t="n">
        <v>42</v>
      </c>
      <c r="F3911" s="1" t="s">
        <v>80</v>
      </c>
      <c r="I3911" s="1" t="n">
        <v>1348493</v>
      </c>
      <c r="J3911" s="1" t="n">
        <v>100003</v>
      </c>
      <c r="K3911" s="1" t="n">
        <v>4</v>
      </c>
      <c r="L3911" s="1" t="s">
        <v>2454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5" t="n">
        <v>46207</v>
      </c>
      <c r="C3912" s="1" t="n">
        <v>100</v>
      </c>
      <c r="D3912" s="1" t="s">
        <v>2457</v>
      </c>
      <c r="E3912" s="1" t="n">
        <v>42</v>
      </c>
      <c r="F3912" s="1" t="s">
        <v>80</v>
      </c>
      <c r="I3912" s="1" t="n">
        <v>1348493</v>
      </c>
      <c r="J3912" s="1" t="n">
        <v>100007</v>
      </c>
      <c r="K3912" s="1" t="n">
        <v>8</v>
      </c>
      <c r="L3912" s="1" t="s">
        <v>2455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5" t="n">
        <v>46207</v>
      </c>
      <c r="C3913" s="1" t="n">
        <v>100</v>
      </c>
      <c r="D3913" s="1" t="s">
        <v>2457</v>
      </c>
      <c r="E3913" s="1" t="n">
        <v>42</v>
      </c>
      <c r="F3913" s="1" t="s">
        <v>80</v>
      </c>
      <c r="I3913" s="1" t="n">
        <v>1348493</v>
      </c>
      <c r="J3913" s="1" t="n">
        <v>100638</v>
      </c>
      <c r="K3913" s="1" t="n">
        <v>508</v>
      </c>
      <c r="L3913" s="1" t="s">
        <v>2448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5" t="n">
        <v>46207</v>
      </c>
      <c r="C3914" s="1" t="n">
        <v>100</v>
      </c>
      <c r="D3914" s="1" t="s">
        <v>2457</v>
      </c>
      <c r="E3914" s="1" t="n">
        <v>42</v>
      </c>
      <c r="F3914" s="1" t="s">
        <v>80</v>
      </c>
      <c r="I3914" s="1" t="n">
        <v>1348493</v>
      </c>
      <c r="J3914" s="1" t="n">
        <v>100520</v>
      </c>
      <c r="K3914" s="1" t="n">
        <v>507</v>
      </c>
      <c r="L3914" s="1" t="s">
        <v>2449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5" t="n">
        <v>46207</v>
      </c>
      <c r="C3915" s="1" t="n">
        <v>100</v>
      </c>
      <c r="D3915" s="1" t="s">
        <v>2457</v>
      </c>
      <c r="E3915" s="1" t="n">
        <v>42</v>
      </c>
      <c r="F3915" s="1" t="s">
        <v>80</v>
      </c>
      <c r="I3915" s="1" t="n">
        <v>1348493</v>
      </c>
      <c r="J3915" s="1" t="n">
        <v>110455</v>
      </c>
      <c r="K3915" s="1" t="n">
        <v>53212</v>
      </c>
      <c r="L3915" s="1" t="s">
        <v>2450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5" t="n">
        <v>46207</v>
      </c>
      <c r="C3916" s="1" t="n">
        <v>100</v>
      </c>
      <c r="D3916" s="1" t="s">
        <v>2457</v>
      </c>
      <c r="E3916" s="1" t="n">
        <v>42</v>
      </c>
      <c r="F3916" s="1" t="s">
        <v>80</v>
      </c>
      <c r="I3916" s="1" t="n">
        <v>1348497</v>
      </c>
      <c r="J3916" s="1" t="n">
        <v>100000</v>
      </c>
      <c r="K3916" s="1" t="n">
        <v>1</v>
      </c>
      <c r="L3916" s="1" t="s">
        <v>2451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5" t="n">
        <v>46207</v>
      </c>
      <c r="C3917" s="1" t="n">
        <v>100</v>
      </c>
      <c r="D3917" s="1" t="s">
        <v>2457</v>
      </c>
      <c r="E3917" s="1" t="n">
        <v>42</v>
      </c>
      <c r="F3917" s="1" t="s">
        <v>80</v>
      </c>
      <c r="I3917" s="1" t="n">
        <v>1348497</v>
      </c>
      <c r="J3917" s="1" t="n">
        <v>100006</v>
      </c>
      <c r="K3917" s="1" t="n">
        <v>7</v>
      </c>
      <c r="L3917" s="1" t="s">
        <v>2437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5" t="n">
        <v>46207</v>
      </c>
      <c r="C3918" s="1" t="n">
        <v>100</v>
      </c>
      <c r="D3918" s="1" t="s">
        <v>2457</v>
      </c>
      <c r="E3918" s="1" t="n">
        <v>42</v>
      </c>
      <c r="F3918" s="1" t="s">
        <v>80</v>
      </c>
      <c r="I3918" s="1" t="n">
        <v>1348497</v>
      </c>
      <c r="J3918" s="1" t="n">
        <v>100008</v>
      </c>
      <c r="K3918" s="1" t="n">
        <v>9</v>
      </c>
      <c r="L3918" s="1" t="s">
        <v>2438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5" t="n">
        <v>46207</v>
      </c>
      <c r="C3919" s="1" t="n">
        <v>100</v>
      </c>
      <c r="D3919" s="1" t="s">
        <v>2457</v>
      </c>
      <c r="E3919" s="1" t="n">
        <v>42</v>
      </c>
      <c r="F3919" s="1" t="s">
        <v>80</v>
      </c>
      <c r="I3919" s="1" t="n">
        <v>1348497</v>
      </c>
      <c r="J3919" s="1" t="n">
        <v>100010</v>
      </c>
      <c r="K3919" s="1" t="n">
        <v>11</v>
      </c>
      <c r="L3919" s="1" t="s">
        <v>2439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5" t="n">
        <v>46207</v>
      </c>
      <c r="C3920" s="1" t="n">
        <v>100</v>
      </c>
      <c r="D3920" s="1" t="s">
        <v>2457</v>
      </c>
      <c r="E3920" s="1" t="n">
        <v>42</v>
      </c>
      <c r="F3920" s="1" t="s">
        <v>80</v>
      </c>
      <c r="I3920" s="1" t="n">
        <v>1348497</v>
      </c>
      <c r="J3920" s="1" t="n">
        <v>100011</v>
      </c>
      <c r="K3920" s="1" t="n">
        <v>12</v>
      </c>
      <c r="L3920" s="1" t="s">
        <v>2440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5" t="n">
        <v>46207</v>
      </c>
      <c r="C3921" s="1" t="n">
        <v>100</v>
      </c>
      <c r="D3921" s="1" t="s">
        <v>2457</v>
      </c>
      <c r="E3921" s="1" t="n">
        <v>42</v>
      </c>
      <c r="F3921" s="1" t="s">
        <v>80</v>
      </c>
      <c r="I3921" s="1" t="n">
        <v>1348497</v>
      </c>
      <c r="J3921" s="1" t="n">
        <v>100012</v>
      </c>
      <c r="K3921" s="1" t="n">
        <v>13</v>
      </c>
      <c r="L3921" s="1" t="s">
        <v>2441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5" t="n">
        <v>46207</v>
      </c>
      <c r="C3922" s="1" t="n">
        <v>100</v>
      </c>
      <c r="D3922" s="1" t="s">
        <v>2457</v>
      </c>
      <c r="E3922" s="1" t="n">
        <v>42</v>
      </c>
      <c r="F3922" s="1" t="s">
        <v>80</v>
      </c>
      <c r="I3922" s="1" t="n">
        <v>1348497</v>
      </c>
      <c r="J3922" s="1" t="n">
        <v>100013</v>
      </c>
      <c r="K3922" s="1" t="n">
        <v>14</v>
      </c>
      <c r="L3922" s="1" t="s">
        <v>2442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5" t="n">
        <v>46207</v>
      </c>
      <c r="C3923" s="1" t="n">
        <v>100</v>
      </c>
      <c r="D3923" s="1" t="s">
        <v>2457</v>
      </c>
      <c r="E3923" s="1" t="n">
        <v>42</v>
      </c>
      <c r="F3923" s="1" t="s">
        <v>80</v>
      </c>
      <c r="I3923" s="1" t="n">
        <v>1348497</v>
      </c>
      <c r="J3923" s="1" t="n">
        <v>100014</v>
      </c>
      <c r="K3923" s="1" t="n">
        <v>15</v>
      </c>
      <c r="L3923" s="1" t="s">
        <v>2443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5" t="n">
        <v>46207</v>
      </c>
      <c r="C3924" s="1" t="n">
        <v>100</v>
      </c>
      <c r="D3924" s="1" t="s">
        <v>2457</v>
      </c>
      <c r="E3924" s="1" t="n">
        <v>42</v>
      </c>
      <c r="F3924" s="1" t="s">
        <v>80</v>
      </c>
      <c r="I3924" s="1" t="n">
        <v>1348497</v>
      </c>
      <c r="J3924" s="1" t="n">
        <v>100015</v>
      </c>
      <c r="K3924" s="1" t="n">
        <v>16</v>
      </c>
      <c r="L3924" s="1" t="s">
        <v>2444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5" t="n">
        <v>46207</v>
      </c>
      <c r="C3925" s="1" t="n">
        <v>100</v>
      </c>
      <c r="D3925" s="1" t="s">
        <v>2457</v>
      </c>
      <c r="E3925" s="1" t="n">
        <v>42</v>
      </c>
      <c r="F3925" s="1" t="s">
        <v>80</v>
      </c>
      <c r="I3925" s="1" t="n">
        <v>1348497</v>
      </c>
      <c r="J3925" s="1" t="n">
        <v>100016</v>
      </c>
      <c r="K3925" s="1" t="n">
        <v>17</v>
      </c>
      <c r="L3925" s="1" t="s">
        <v>2445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5" t="n">
        <v>46207</v>
      </c>
      <c r="C3926" s="1" t="n">
        <v>100</v>
      </c>
      <c r="D3926" s="1" t="s">
        <v>2457</v>
      </c>
      <c r="E3926" s="1" t="n">
        <v>42</v>
      </c>
      <c r="F3926" s="1" t="s">
        <v>80</v>
      </c>
      <c r="I3926" s="1" t="n">
        <v>1348497</v>
      </c>
      <c r="J3926" s="1" t="n">
        <v>100017</v>
      </c>
      <c r="K3926" s="1" t="n">
        <v>18</v>
      </c>
      <c r="L3926" s="1" t="s">
        <v>2446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5" t="n">
        <v>46207</v>
      </c>
      <c r="C3927" s="1" t="n">
        <v>100</v>
      </c>
      <c r="D3927" s="1" t="s">
        <v>2457</v>
      </c>
      <c r="E3927" s="1" t="n">
        <v>42</v>
      </c>
      <c r="F3927" s="1" t="s">
        <v>80</v>
      </c>
      <c r="I3927" s="1" t="n">
        <v>1348497</v>
      </c>
      <c r="J3927" s="1" t="n">
        <v>100020</v>
      </c>
      <c r="K3927" s="1" t="n">
        <v>21</v>
      </c>
      <c r="L3927" s="1" t="s">
        <v>2456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5" t="n">
        <v>46207</v>
      </c>
      <c r="C3928" s="1" t="n">
        <v>100</v>
      </c>
      <c r="D3928" s="1" t="s">
        <v>2457</v>
      </c>
      <c r="E3928" s="1" t="n">
        <v>42</v>
      </c>
      <c r="F3928" s="1" t="s">
        <v>80</v>
      </c>
      <c r="I3928" s="1" t="n">
        <v>1348497</v>
      </c>
      <c r="J3928" s="1" t="n">
        <v>100053</v>
      </c>
      <c r="K3928" s="1" t="n">
        <v>54</v>
      </c>
      <c r="L3928" s="1" t="s">
        <v>2447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5" t="n">
        <v>46207</v>
      </c>
      <c r="C3929" s="1" t="n">
        <v>100</v>
      </c>
      <c r="D3929" s="1" t="s">
        <v>2457</v>
      </c>
      <c r="E3929" s="1" t="n">
        <v>42</v>
      </c>
      <c r="F3929" s="1" t="s">
        <v>80</v>
      </c>
      <c r="I3929" s="1" t="n">
        <v>1348497</v>
      </c>
      <c r="J3929" s="1" t="n">
        <v>100638</v>
      </c>
      <c r="K3929" s="1" t="n">
        <v>508</v>
      </c>
      <c r="L3929" s="1" t="s">
        <v>2448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5" t="n">
        <v>46207</v>
      </c>
      <c r="C3930" s="1" t="n">
        <v>100</v>
      </c>
      <c r="D3930" s="1" t="s">
        <v>2457</v>
      </c>
      <c r="E3930" s="1" t="n">
        <v>42</v>
      </c>
      <c r="F3930" s="1" t="s">
        <v>80</v>
      </c>
      <c r="I3930" s="1" t="n">
        <v>1348497</v>
      </c>
      <c r="J3930" s="1" t="n">
        <v>100520</v>
      </c>
      <c r="K3930" s="1" t="n">
        <v>507</v>
      </c>
      <c r="L3930" s="1" t="s">
        <v>2449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5" t="n">
        <v>46207</v>
      </c>
      <c r="C3931" s="1" t="n">
        <v>100</v>
      </c>
      <c r="D3931" s="1" t="s">
        <v>2457</v>
      </c>
      <c r="E3931" s="1" t="n">
        <v>42</v>
      </c>
      <c r="F3931" s="1" t="s">
        <v>80</v>
      </c>
      <c r="I3931" s="1" t="n">
        <v>1348497</v>
      </c>
      <c r="J3931" s="1" t="n">
        <v>110455</v>
      </c>
      <c r="K3931" s="1" t="n">
        <v>53212</v>
      </c>
      <c r="L3931" s="1" t="s">
        <v>2450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5" t="n">
        <v>46209</v>
      </c>
      <c r="C3932" s="1" t="n">
        <v>1</v>
      </c>
      <c r="D3932" s="1" t="s">
        <v>2317</v>
      </c>
      <c r="E3932" s="1" t="n">
        <v>10035</v>
      </c>
      <c r="F3932" s="1" t="s">
        <v>227</v>
      </c>
      <c r="I3932" s="1" t="n">
        <v>346</v>
      </c>
      <c r="J3932" s="1" t="n">
        <v>38653</v>
      </c>
      <c r="K3932" s="1" t="n">
        <v>7898994684275</v>
      </c>
      <c r="L3932" s="1" t="s">
        <v>2459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5" t="n">
        <v>46209</v>
      </c>
      <c r="C3933" s="1" t="n">
        <v>1</v>
      </c>
      <c r="D3933" s="1" t="s">
        <v>2317</v>
      </c>
      <c r="E3933" s="1" t="n">
        <v>10035</v>
      </c>
      <c r="F3933" s="1" t="s">
        <v>227</v>
      </c>
      <c r="I3933" s="1" t="n">
        <v>346</v>
      </c>
      <c r="J3933" s="1" t="n">
        <v>43726</v>
      </c>
      <c r="K3933" s="1" t="n">
        <v>2245461</v>
      </c>
      <c r="L3933" s="1" t="s">
        <v>2460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5" t="n">
        <v>46209</v>
      </c>
      <c r="C3934" s="1" t="n">
        <v>1</v>
      </c>
      <c r="D3934" s="1" t="s">
        <v>2317</v>
      </c>
      <c r="E3934" s="1" t="n">
        <v>642</v>
      </c>
      <c r="F3934" s="1" t="s">
        <v>135</v>
      </c>
      <c r="I3934" s="1" t="n">
        <v>521</v>
      </c>
      <c r="J3934" s="1" t="n">
        <v>71766</v>
      </c>
      <c r="K3934" s="1" t="n">
        <v>779180</v>
      </c>
      <c r="L3934" s="1" t="s">
        <v>2566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5" t="n">
        <v>46209</v>
      </c>
      <c r="C3935" s="1" t="n">
        <v>1</v>
      </c>
      <c r="D3935" s="1" t="s">
        <v>2317</v>
      </c>
      <c r="E3935" s="1" t="n">
        <v>1621</v>
      </c>
      <c r="F3935" s="1" t="s">
        <v>306</v>
      </c>
      <c r="I3935" s="1" t="n">
        <v>888740</v>
      </c>
      <c r="J3935" s="1" t="n">
        <v>103126</v>
      </c>
      <c r="K3935" s="1" t="n">
        <v>7891991000727</v>
      </c>
      <c r="L3935" s="1" t="s">
        <v>3904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5" t="n">
        <v>46209</v>
      </c>
      <c r="C3936" s="1" t="n">
        <v>1</v>
      </c>
      <c r="D3936" s="1" t="s">
        <v>2317</v>
      </c>
      <c r="E3936" s="1" t="n">
        <v>1621</v>
      </c>
      <c r="F3936" s="1" t="s">
        <v>306</v>
      </c>
      <c r="I3936" s="1" t="n">
        <v>888740</v>
      </c>
      <c r="J3936" s="1" t="n">
        <v>103127</v>
      </c>
      <c r="K3936" s="1" t="n">
        <v>7891991000826</v>
      </c>
      <c r="L3936" s="1" t="s">
        <v>2533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5" t="n">
        <v>46209</v>
      </c>
      <c r="C3937" s="1" t="n">
        <v>1</v>
      </c>
      <c r="D3937" s="1" t="s">
        <v>2317</v>
      </c>
      <c r="E3937" s="1" t="n">
        <v>1621</v>
      </c>
      <c r="F3937" s="1" t="s">
        <v>306</v>
      </c>
      <c r="I3937" s="1" t="n">
        <v>888740</v>
      </c>
      <c r="J3937" s="1" t="n">
        <v>103129</v>
      </c>
      <c r="K3937" s="1" t="n">
        <v>7891991000840</v>
      </c>
      <c r="L3937" s="1" t="s">
        <v>3905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5" t="n">
        <v>46209</v>
      </c>
      <c r="C3938" s="1" t="n">
        <v>1</v>
      </c>
      <c r="D3938" s="1" t="s">
        <v>2317</v>
      </c>
      <c r="E3938" s="1" t="n">
        <v>1621</v>
      </c>
      <c r="F3938" s="1" t="s">
        <v>306</v>
      </c>
      <c r="I3938" s="1" t="n">
        <v>888740</v>
      </c>
      <c r="J3938" s="1" t="n">
        <v>103130</v>
      </c>
      <c r="K3938" s="1" t="n">
        <v>7891149440801</v>
      </c>
      <c r="L3938" s="1" t="s">
        <v>2535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5" t="n">
        <v>46209</v>
      </c>
      <c r="C3939" s="1" t="n">
        <v>1</v>
      </c>
      <c r="D3939" s="1" t="s">
        <v>2317</v>
      </c>
      <c r="E3939" s="1" t="n">
        <v>1621</v>
      </c>
      <c r="F3939" s="1" t="s">
        <v>306</v>
      </c>
      <c r="I3939" s="1" t="n">
        <v>888740</v>
      </c>
      <c r="J3939" s="1" t="n">
        <v>103133</v>
      </c>
      <c r="K3939" s="1" t="n">
        <v>7891991001373</v>
      </c>
      <c r="L3939" s="1" t="s">
        <v>2897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5" t="n">
        <v>46209</v>
      </c>
      <c r="C3940" s="1" t="n">
        <v>1</v>
      </c>
      <c r="D3940" s="1" t="s">
        <v>2317</v>
      </c>
      <c r="E3940" s="1" t="n">
        <v>1621</v>
      </c>
      <c r="F3940" s="1" t="s">
        <v>306</v>
      </c>
      <c r="I3940" s="1" t="n">
        <v>888740</v>
      </c>
      <c r="J3940" s="1" t="n">
        <v>103630</v>
      </c>
      <c r="K3940" s="1" t="n">
        <v>7891991004107</v>
      </c>
      <c r="L3940" s="1" t="s">
        <v>2537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5" t="n">
        <v>46209</v>
      </c>
      <c r="C3941" s="1" t="n">
        <v>1</v>
      </c>
      <c r="D3941" s="1" t="s">
        <v>2317</v>
      </c>
      <c r="E3941" s="1" t="n">
        <v>1621</v>
      </c>
      <c r="F3941" s="1" t="s">
        <v>306</v>
      </c>
      <c r="I3941" s="1" t="n">
        <v>888740</v>
      </c>
      <c r="J3941" s="1" t="n">
        <v>103936</v>
      </c>
      <c r="K3941" s="1" t="n">
        <v>7891991001342</v>
      </c>
      <c r="L3941" s="1" t="s">
        <v>2899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5" t="n">
        <v>46209</v>
      </c>
      <c r="C3942" s="1" t="n">
        <v>1</v>
      </c>
      <c r="D3942" s="1" t="s">
        <v>2317</v>
      </c>
      <c r="E3942" s="1" t="n">
        <v>1621</v>
      </c>
      <c r="F3942" s="1" t="s">
        <v>306</v>
      </c>
      <c r="I3942" s="1" t="n">
        <v>888740</v>
      </c>
      <c r="J3942" s="1" t="n">
        <v>104505</v>
      </c>
      <c r="K3942" s="1" t="n">
        <v>7892840800079</v>
      </c>
      <c r="L3942" s="1" t="s">
        <v>2539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5" t="n">
        <v>46209</v>
      </c>
      <c r="C3943" s="1" t="n">
        <v>1</v>
      </c>
      <c r="D3943" s="1" t="s">
        <v>2317</v>
      </c>
      <c r="E3943" s="1" t="n">
        <v>1621</v>
      </c>
      <c r="F3943" s="1" t="s">
        <v>306</v>
      </c>
      <c r="I3943" s="1" t="n">
        <v>888740</v>
      </c>
      <c r="J3943" s="1" t="n">
        <v>108599</v>
      </c>
      <c r="K3943" s="1" t="n">
        <v>7892840808051</v>
      </c>
      <c r="L3943" s="1" t="s">
        <v>3906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5" t="n">
        <v>46209</v>
      </c>
      <c r="C3944" s="1" t="n">
        <v>1</v>
      </c>
      <c r="D3944" s="1" t="s">
        <v>2317</v>
      </c>
      <c r="E3944" s="1" t="n">
        <v>1621</v>
      </c>
      <c r="F3944" s="1" t="s">
        <v>306</v>
      </c>
      <c r="I3944" s="1" t="n">
        <v>888740</v>
      </c>
      <c r="J3944" s="1" t="n">
        <v>12669</v>
      </c>
      <c r="K3944" s="1" t="n">
        <v>7891991010351</v>
      </c>
      <c r="L3944" s="1" t="s">
        <v>3907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5" t="n">
        <v>46209</v>
      </c>
      <c r="C3945" s="1" t="n">
        <v>1</v>
      </c>
      <c r="D3945" s="1" t="s">
        <v>2317</v>
      </c>
      <c r="E3945" s="1" t="n">
        <v>1621</v>
      </c>
      <c r="F3945" s="1" t="s">
        <v>306</v>
      </c>
      <c r="I3945" s="1" t="n">
        <v>888740</v>
      </c>
      <c r="J3945" s="1" t="n">
        <v>12669</v>
      </c>
      <c r="K3945" s="1" t="n">
        <v>7891991010351</v>
      </c>
      <c r="L3945" s="1" t="s">
        <v>3907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5" t="n">
        <v>46209</v>
      </c>
      <c r="C3946" s="1" t="n">
        <v>1</v>
      </c>
      <c r="D3946" s="1" t="s">
        <v>2317</v>
      </c>
      <c r="E3946" s="1" t="n">
        <v>1621</v>
      </c>
      <c r="F3946" s="1" t="s">
        <v>306</v>
      </c>
      <c r="I3946" s="1" t="n">
        <v>888740</v>
      </c>
      <c r="J3946" s="1" t="n">
        <v>12865</v>
      </c>
      <c r="K3946" s="1" t="n">
        <v>611269101713</v>
      </c>
      <c r="L3946" s="1" t="s">
        <v>2540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5" t="n">
        <v>46209</v>
      </c>
      <c r="C3947" s="1" t="n">
        <v>1</v>
      </c>
      <c r="D3947" s="1" t="s">
        <v>2317</v>
      </c>
      <c r="E3947" s="1" t="n">
        <v>1621</v>
      </c>
      <c r="F3947" s="1" t="s">
        <v>306</v>
      </c>
      <c r="I3947" s="1" t="n">
        <v>888740</v>
      </c>
      <c r="J3947" s="1" t="n">
        <v>13504</v>
      </c>
      <c r="K3947" s="1" t="n">
        <v>7892840808020</v>
      </c>
      <c r="L3947" s="1" t="s">
        <v>3908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5" t="n">
        <v>46209</v>
      </c>
      <c r="C3948" s="1" t="n">
        <v>1</v>
      </c>
      <c r="D3948" s="1" t="s">
        <v>2317</v>
      </c>
      <c r="E3948" s="1" t="n">
        <v>1621</v>
      </c>
      <c r="F3948" s="1" t="s">
        <v>306</v>
      </c>
      <c r="I3948" s="1" t="n">
        <v>888740</v>
      </c>
      <c r="J3948" s="1" t="n">
        <v>14353</v>
      </c>
      <c r="K3948" s="1" t="n">
        <v>7891149103041</v>
      </c>
      <c r="L3948" s="1" t="s">
        <v>3909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5" t="n">
        <v>46209</v>
      </c>
      <c r="C3949" s="1" t="n">
        <v>1</v>
      </c>
      <c r="D3949" s="1" t="s">
        <v>2317</v>
      </c>
      <c r="E3949" s="1" t="n">
        <v>1621</v>
      </c>
      <c r="F3949" s="1" t="s">
        <v>306</v>
      </c>
      <c r="I3949" s="1" t="n">
        <v>888740</v>
      </c>
      <c r="J3949" s="1" t="n">
        <v>16185</v>
      </c>
      <c r="K3949" s="1" t="n">
        <v>7891149103102</v>
      </c>
      <c r="L3949" s="1" t="s">
        <v>2542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5" t="n">
        <v>46209</v>
      </c>
      <c r="C3950" s="1" t="n">
        <v>1</v>
      </c>
      <c r="D3950" s="1" t="s">
        <v>2317</v>
      </c>
      <c r="E3950" s="1" t="n">
        <v>1621</v>
      </c>
      <c r="F3950" s="1" t="s">
        <v>306</v>
      </c>
      <c r="I3950" s="1" t="n">
        <v>888740</v>
      </c>
      <c r="J3950" s="1" t="n">
        <v>16653</v>
      </c>
      <c r="K3950" s="1" t="n">
        <v>7891149103065</v>
      </c>
      <c r="L3950" s="1" t="s">
        <v>2901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5" t="n">
        <v>46209</v>
      </c>
      <c r="C3951" s="1" t="n">
        <v>1</v>
      </c>
      <c r="D3951" s="1" t="s">
        <v>2317</v>
      </c>
      <c r="E3951" s="1" t="n">
        <v>1621</v>
      </c>
      <c r="F3951" s="1" t="s">
        <v>306</v>
      </c>
      <c r="I3951" s="1" t="n">
        <v>888740</v>
      </c>
      <c r="J3951" s="1" t="n">
        <v>17277</v>
      </c>
      <c r="K3951" s="1" t="n">
        <v>7892840808174</v>
      </c>
      <c r="L3951" s="1" t="s">
        <v>3910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5" t="n">
        <v>46209</v>
      </c>
      <c r="C3952" s="1" t="n">
        <v>1</v>
      </c>
      <c r="D3952" s="1" t="s">
        <v>2317</v>
      </c>
      <c r="E3952" s="1" t="n">
        <v>1621</v>
      </c>
      <c r="F3952" s="1" t="s">
        <v>306</v>
      </c>
      <c r="I3952" s="1" t="n">
        <v>888740</v>
      </c>
      <c r="J3952" s="1" t="n">
        <v>17473</v>
      </c>
      <c r="K3952" s="1" t="n">
        <v>7891149103270</v>
      </c>
      <c r="L3952" s="1" t="s">
        <v>3911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5" t="n">
        <v>46209</v>
      </c>
      <c r="C3953" s="1" t="n">
        <v>1</v>
      </c>
      <c r="D3953" s="1" t="s">
        <v>2317</v>
      </c>
      <c r="E3953" s="1" t="n">
        <v>1621</v>
      </c>
      <c r="F3953" s="1" t="s">
        <v>306</v>
      </c>
      <c r="I3953" s="1" t="n">
        <v>888740</v>
      </c>
      <c r="J3953" s="1" t="n">
        <v>20610</v>
      </c>
      <c r="K3953" s="1" t="n">
        <v>7891149105564</v>
      </c>
      <c r="L3953" s="1" t="s">
        <v>2543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5" t="n">
        <v>46209</v>
      </c>
      <c r="C3954" s="1" t="n">
        <v>1</v>
      </c>
      <c r="D3954" s="1" t="s">
        <v>2317</v>
      </c>
      <c r="E3954" s="1" t="n">
        <v>1621</v>
      </c>
      <c r="F3954" s="1" t="s">
        <v>306</v>
      </c>
      <c r="I3954" s="1" t="n">
        <v>888740</v>
      </c>
      <c r="J3954" s="1" t="n">
        <v>24129</v>
      </c>
      <c r="K3954" s="1" t="n">
        <v>7891991011877</v>
      </c>
      <c r="L3954" s="1" t="s">
        <v>2545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5" t="n">
        <v>46209</v>
      </c>
      <c r="C3955" s="1" t="n">
        <v>1</v>
      </c>
      <c r="D3955" s="1" t="s">
        <v>2317</v>
      </c>
      <c r="E3955" s="1" t="n">
        <v>1621</v>
      </c>
      <c r="F3955" s="1" t="s">
        <v>306</v>
      </c>
      <c r="I3955" s="1" t="n">
        <v>888740</v>
      </c>
      <c r="J3955" s="1" t="n">
        <v>26171</v>
      </c>
      <c r="K3955" s="1" t="n">
        <v>7891149000005</v>
      </c>
      <c r="L3955" s="1" t="s">
        <v>3912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5" t="n">
        <v>46209</v>
      </c>
      <c r="C3956" s="1" t="n">
        <v>1</v>
      </c>
      <c r="D3956" s="1" t="s">
        <v>2317</v>
      </c>
      <c r="E3956" s="1" t="n">
        <v>1621</v>
      </c>
      <c r="F3956" s="1" t="s">
        <v>306</v>
      </c>
      <c r="I3956" s="1" t="n">
        <v>888740</v>
      </c>
      <c r="J3956" s="1" t="n">
        <v>26391</v>
      </c>
      <c r="K3956" s="1" t="n">
        <v>7891991010061</v>
      </c>
      <c r="L3956" s="1" t="s">
        <v>2902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5" t="n">
        <v>46209</v>
      </c>
      <c r="C3957" s="1" t="n">
        <v>1</v>
      </c>
      <c r="D3957" s="1" t="s">
        <v>2317</v>
      </c>
      <c r="E3957" s="1" t="n">
        <v>1621</v>
      </c>
      <c r="F3957" s="1" t="s">
        <v>306</v>
      </c>
      <c r="I3957" s="1" t="n">
        <v>888740</v>
      </c>
      <c r="J3957" s="1" t="n">
        <v>28304</v>
      </c>
      <c r="K3957" s="1" t="n">
        <v>7891991014762</v>
      </c>
      <c r="L3957" s="1" t="s">
        <v>2903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5" t="n">
        <v>46209</v>
      </c>
      <c r="C3958" s="1" t="n">
        <v>1</v>
      </c>
      <c r="D3958" s="1" t="s">
        <v>2317</v>
      </c>
      <c r="E3958" s="1" t="n">
        <v>1621</v>
      </c>
      <c r="F3958" s="1" t="s">
        <v>306</v>
      </c>
      <c r="I3958" s="1" t="n">
        <v>888740</v>
      </c>
      <c r="J3958" s="1" t="n">
        <v>31030</v>
      </c>
      <c r="K3958" s="1" t="n">
        <v>7891991014090</v>
      </c>
      <c r="L3958" s="1" t="s">
        <v>2904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5" t="n">
        <v>46209</v>
      </c>
      <c r="C3959" s="1" t="n">
        <v>1</v>
      </c>
      <c r="D3959" s="1" t="s">
        <v>2317</v>
      </c>
      <c r="E3959" s="1" t="n">
        <v>1621</v>
      </c>
      <c r="F3959" s="1" t="s">
        <v>306</v>
      </c>
      <c r="I3959" s="1" t="n">
        <v>888740</v>
      </c>
      <c r="J3959" s="1" t="n">
        <v>31031</v>
      </c>
      <c r="K3959" s="1" t="n">
        <v>7891149441204</v>
      </c>
      <c r="L3959" s="1" t="s">
        <v>3913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5" t="n">
        <v>46209</v>
      </c>
      <c r="C3960" s="1" t="n">
        <v>1</v>
      </c>
      <c r="D3960" s="1" t="s">
        <v>2317</v>
      </c>
      <c r="E3960" s="1" t="n">
        <v>1621</v>
      </c>
      <c r="F3960" s="1" t="s">
        <v>306</v>
      </c>
      <c r="I3960" s="1" t="n">
        <v>888740</v>
      </c>
      <c r="J3960" s="1" t="n">
        <v>31031</v>
      </c>
      <c r="K3960" s="1" t="n">
        <v>7891149441204</v>
      </c>
      <c r="L3960" s="1" t="s">
        <v>3913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5" t="n">
        <v>46209</v>
      </c>
      <c r="C3961" s="1" t="n">
        <v>1</v>
      </c>
      <c r="D3961" s="1" t="s">
        <v>2317</v>
      </c>
      <c r="E3961" s="1" t="n">
        <v>1621</v>
      </c>
      <c r="F3961" s="1" t="s">
        <v>306</v>
      </c>
      <c r="I3961" s="1" t="n">
        <v>888740</v>
      </c>
      <c r="J3961" s="1" t="n">
        <v>31032</v>
      </c>
      <c r="K3961" s="1" t="n">
        <v>7891991002561</v>
      </c>
      <c r="L3961" s="1" t="s">
        <v>2547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5" t="n">
        <v>46209</v>
      </c>
      <c r="C3962" s="1" t="n">
        <v>1</v>
      </c>
      <c r="D3962" s="1" t="s">
        <v>2317</v>
      </c>
      <c r="E3962" s="1" t="n">
        <v>1621</v>
      </c>
      <c r="F3962" s="1" t="s">
        <v>306</v>
      </c>
      <c r="I3962" s="1" t="n">
        <v>888740</v>
      </c>
      <c r="J3962" s="1" t="n">
        <v>32100</v>
      </c>
      <c r="K3962" s="1" t="n">
        <v>7891991015493</v>
      </c>
      <c r="L3962" s="1" t="s">
        <v>2905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5" t="n">
        <v>46209</v>
      </c>
      <c r="C3963" s="1" t="n">
        <v>1</v>
      </c>
      <c r="D3963" s="1" t="s">
        <v>2317</v>
      </c>
      <c r="E3963" s="1" t="n">
        <v>1621</v>
      </c>
      <c r="F3963" s="1" t="s">
        <v>306</v>
      </c>
      <c r="I3963" s="1" t="n">
        <v>888740</v>
      </c>
      <c r="J3963" s="1" t="n">
        <v>33537</v>
      </c>
      <c r="K3963" s="1" t="n">
        <v>7891991294942</v>
      </c>
      <c r="L3963" s="1" t="s">
        <v>2907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5" t="n">
        <v>46209</v>
      </c>
      <c r="C3964" s="1" t="n">
        <v>1</v>
      </c>
      <c r="D3964" s="1" t="s">
        <v>2317</v>
      </c>
      <c r="E3964" s="1" t="n">
        <v>1621</v>
      </c>
      <c r="F3964" s="1" t="s">
        <v>306</v>
      </c>
      <c r="I3964" s="1" t="n">
        <v>888740</v>
      </c>
      <c r="J3964" s="1" t="n">
        <v>34937</v>
      </c>
      <c r="K3964" s="1" t="n">
        <v>7891991015462</v>
      </c>
      <c r="L3964" s="1" t="s">
        <v>3455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5" t="n">
        <v>46209</v>
      </c>
      <c r="C3965" s="1" t="n">
        <v>1</v>
      </c>
      <c r="D3965" s="1" t="s">
        <v>2317</v>
      </c>
      <c r="E3965" s="1" t="n">
        <v>1621</v>
      </c>
      <c r="F3965" s="1" t="s">
        <v>306</v>
      </c>
      <c r="I3965" s="1" t="n">
        <v>888740</v>
      </c>
      <c r="J3965" s="1" t="n">
        <v>35190</v>
      </c>
      <c r="K3965" s="1" t="n">
        <v>7891991016223</v>
      </c>
      <c r="L3965" s="1" t="s">
        <v>3914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5" t="n">
        <v>46209</v>
      </c>
      <c r="C3966" s="1" t="n">
        <v>1</v>
      </c>
      <c r="D3966" s="1" t="s">
        <v>2317</v>
      </c>
      <c r="E3966" s="1" t="n">
        <v>1621</v>
      </c>
      <c r="F3966" s="1" t="s">
        <v>306</v>
      </c>
      <c r="I3966" s="1" t="n">
        <v>888740</v>
      </c>
      <c r="J3966" s="1" t="n">
        <v>38561</v>
      </c>
      <c r="K3966" s="1" t="n">
        <v>7891991295086</v>
      </c>
      <c r="L3966" s="1" t="s">
        <v>2908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5" t="n">
        <v>46209</v>
      </c>
      <c r="C3967" s="1" t="n">
        <v>1</v>
      </c>
      <c r="D3967" s="1" t="s">
        <v>2317</v>
      </c>
      <c r="E3967" s="1" t="n">
        <v>1621</v>
      </c>
      <c r="F3967" s="1" t="s">
        <v>306</v>
      </c>
      <c r="I3967" s="1" t="n">
        <v>888740</v>
      </c>
      <c r="J3967" s="1" t="n">
        <v>40508</v>
      </c>
      <c r="K3967" s="1" t="n">
        <v>7891991301138</v>
      </c>
      <c r="L3967" s="1" t="s">
        <v>2549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5" t="n">
        <v>46209</v>
      </c>
      <c r="C3968" s="1" t="n">
        <v>1</v>
      </c>
      <c r="D3968" s="1" t="s">
        <v>2317</v>
      </c>
      <c r="E3968" s="1" t="n">
        <v>1621</v>
      </c>
      <c r="F3968" s="1" t="s">
        <v>306</v>
      </c>
      <c r="I3968" s="1" t="n">
        <v>888740</v>
      </c>
      <c r="J3968" s="1" t="n">
        <v>46066</v>
      </c>
      <c r="K3968" s="1" t="n">
        <v>7891991295277</v>
      </c>
      <c r="L3968" s="1" t="s">
        <v>2909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5" t="n">
        <v>46209</v>
      </c>
      <c r="C3969" s="1" t="n">
        <v>1</v>
      </c>
      <c r="D3969" s="1" t="s">
        <v>2317</v>
      </c>
      <c r="E3969" s="1" t="n">
        <v>1621</v>
      </c>
      <c r="F3969" s="1" t="s">
        <v>306</v>
      </c>
      <c r="I3969" s="1" t="n">
        <v>888740</v>
      </c>
      <c r="J3969" s="1" t="n">
        <v>46589</v>
      </c>
      <c r="K3969" s="1" t="n">
        <v>7891991295260</v>
      </c>
      <c r="L3969" s="1" t="s">
        <v>3915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5" t="n">
        <v>46209</v>
      </c>
      <c r="C3970" s="1" t="n">
        <v>1</v>
      </c>
      <c r="D3970" s="1" t="s">
        <v>2317</v>
      </c>
      <c r="E3970" s="1" t="n">
        <v>1621</v>
      </c>
      <c r="F3970" s="1" t="s">
        <v>306</v>
      </c>
      <c r="I3970" s="1" t="n">
        <v>888740</v>
      </c>
      <c r="J3970" s="1" t="n">
        <v>51810</v>
      </c>
      <c r="K3970" s="1" t="n">
        <v>7891991010900</v>
      </c>
      <c r="L3970" s="1" t="s">
        <v>2910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5" t="n">
        <v>46209</v>
      </c>
      <c r="C3971" s="1" t="n">
        <v>1</v>
      </c>
      <c r="D3971" s="1" t="s">
        <v>2317</v>
      </c>
      <c r="E3971" s="1" t="n">
        <v>1621</v>
      </c>
      <c r="F3971" s="1" t="s">
        <v>306</v>
      </c>
      <c r="I3971" s="1" t="n">
        <v>888740</v>
      </c>
      <c r="J3971" s="1" t="n">
        <v>54120</v>
      </c>
      <c r="K3971" s="1" t="n">
        <v>7892840820862</v>
      </c>
      <c r="L3971" s="1" t="s">
        <v>2552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5" t="n">
        <v>46209</v>
      </c>
      <c r="C3972" s="1" t="n">
        <v>1</v>
      </c>
      <c r="D3972" s="1" t="s">
        <v>2317</v>
      </c>
      <c r="E3972" s="1" t="n">
        <v>1621</v>
      </c>
      <c r="F3972" s="1" t="s">
        <v>306</v>
      </c>
      <c r="I3972" s="1" t="n">
        <v>888740</v>
      </c>
      <c r="J3972" s="1" t="n">
        <v>63479</v>
      </c>
      <c r="K3972" s="1" t="n">
        <v>7891991295055</v>
      </c>
      <c r="L3972" s="1" t="s">
        <v>3916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5" t="n">
        <v>46209</v>
      </c>
      <c r="C3973" s="1" t="n">
        <v>1</v>
      </c>
      <c r="D3973" s="1" t="s">
        <v>2317</v>
      </c>
      <c r="E3973" s="1" t="n">
        <v>1621</v>
      </c>
      <c r="F3973" s="1" t="s">
        <v>306</v>
      </c>
      <c r="I3973" s="1" t="n">
        <v>888740</v>
      </c>
      <c r="J3973" s="1" t="n">
        <v>64674</v>
      </c>
      <c r="K3973" s="1" t="n">
        <v>7891991304870</v>
      </c>
      <c r="L3973" s="1" t="s">
        <v>2913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5" t="n">
        <v>46209</v>
      </c>
      <c r="C3974" s="1" t="n">
        <v>1</v>
      </c>
      <c r="D3974" s="1" t="s">
        <v>2317</v>
      </c>
      <c r="E3974" s="1" t="n">
        <v>1621</v>
      </c>
      <c r="F3974" s="1" t="s">
        <v>306</v>
      </c>
      <c r="I3974" s="1" t="n">
        <v>888740</v>
      </c>
      <c r="J3974" s="1" t="n">
        <v>73036</v>
      </c>
      <c r="K3974" s="1" t="n">
        <v>7892840822019</v>
      </c>
      <c r="L3974" s="1" t="s">
        <v>2554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5" t="n">
        <v>46209</v>
      </c>
      <c r="C3975" s="1" t="n">
        <v>1</v>
      </c>
      <c r="D3975" s="1" t="s">
        <v>2317</v>
      </c>
      <c r="E3975" s="1" t="n">
        <v>1621</v>
      </c>
      <c r="F3975" s="1" t="s">
        <v>306</v>
      </c>
      <c r="I3975" s="1" t="n">
        <v>888740</v>
      </c>
      <c r="J3975" s="1" t="n">
        <v>73319</v>
      </c>
      <c r="K3975" s="1" t="n">
        <v>7891991307185</v>
      </c>
      <c r="L3975" s="1" t="s">
        <v>2555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5" t="n">
        <v>46209</v>
      </c>
      <c r="C3976" s="1" t="n">
        <v>1</v>
      </c>
      <c r="D3976" s="1" t="s">
        <v>2317</v>
      </c>
      <c r="E3976" s="1" t="n">
        <v>1621</v>
      </c>
      <c r="F3976" s="1" t="s">
        <v>306</v>
      </c>
      <c r="I3976" s="1" t="n">
        <v>888740</v>
      </c>
      <c r="J3976" s="1" t="n">
        <v>76646</v>
      </c>
      <c r="K3976" s="1" t="n">
        <v>7891991307208</v>
      </c>
      <c r="L3976" s="1" t="s">
        <v>3917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5" t="n">
        <v>46209</v>
      </c>
      <c r="C3977" s="1" t="n">
        <v>1</v>
      </c>
      <c r="D3977" s="1" t="s">
        <v>2317</v>
      </c>
      <c r="E3977" s="1" t="n">
        <v>1621</v>
      </c>
      <c r="F3977" s="1" t="s">
        <v>306</v>
      </c>
      <c r="I3977" s="1" t="n">
        <v>888740</v>
      </c>
      <c r="J3977" s="1" t="n">
        <v>78038</v>
      </c>
      <c r="K3977" s="1" t="n">
        <v>7891991010481</v>
      </c>
      <c r="L3977" s="1" t="s">
        <v>2556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5" t="n">
        <v>46209</v>
      </c>
      <c r="C3978" s="1" t="n">
        <v>1</v>
      </c>
      <c r="D3978" s="1" t="s">
        <v>2317</v>
      </c>
      <c r="E3978" s="1" t="n">
        <v>1621</v>
      </c>
      <c r="F3978" s="1" t="s">
        <v>306</v>
      </c>
      <c r="I3978" s="1" t="n">
        <v>888740</v>
      </c>
      <c r="J3978" s="1" t="n">
        <v>78062</v>
      </c>
      <c r="K3978" s="1" t="n">
        <v>7891991305440</v>
      </c>
      <c r="L3978" s="1" t="s">
        <v>3918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5" t="n">
        <v>46209</v>
      </c>
      <c r="C3979" s="1" t="n">
        <v>1</v>
      </c>
      <c r="D3979" s="1" t="s">
        <v>2317</v>
      </c>
      <c r="E3979" s="1" t="n">
        <v>1621</v>
      </c>
      <c r="F3979" s="1" t="s">
        <v>306</v>
      </c>
      <c r="I3979" s="1" t="n">
        <v>888740</v>
      </c>
      <c r="J3979" s="1" t="n">
        <v>78209</v>
      </c>
      <c r="K3979" s="1" t="n">
        <v>611269991000</v>
      </c>
      <c r="L3979" s="1" t="s">
        <v>3919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5" t="n">
        <v>46209</v>
      </c>
      <c r="C3980" s="1" t="n">
        <v>1</v>
      </c>
      <c r="D3980" s="1" t="s">
        <v>2317</v>
      </c>
      <c r="E3980" s="1" t="n">
        <v>1637</v>
      </c>
      <c r="F3980" s="1" t="s">
        <v>295</v>
      </c>
      <c r="I3980" s="1" t="n">
        <v>1901472</v>
      </c>
      <c r="J3980" s="1" t="n">
        <v>103896</v>
      </c>
      <c r="K3980" s="1" t="n">
        <v>7896051130116</v>
      </c>
      <c r="L3980" s="1" t="s">
        <v>3920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5" t="n">
        <v>46209</v>
      </c>
      <c r="C3981" s="1" t="n">
        <v>2</v>
      </c>
      <c r="D3981" s="1" t="s">
        <v>2283</v>
      </c>
      <c r="E3981" s="1" t="n">
        <v>42</v>
      </c>
      <c r="F3981" s="1" t="s">
        <v>80</v>
      </c>
      <c r="I3981" s="1" t="n">
        <v>60701</v>
      </c>
      <c r="J3981" s="1" t="n">
        <v>109791</v>
      </c>
      <c r="K3981" s="1" t="n">
        <v>9667</v>
      </c>
      <c r="L3981" s="1" t="s">
        <v>2284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5" t="n">
        <v>46209</v>
      </c>
      <c r="C3982" s="1" t="n">
        <v>2</v>
      </c>
      <c r="D3982" s="1" t="s">
        <v>2283</v>
      </c>
      <c r="E3982" s="1" t="n">
        <v>42</v>
      </c>
      <c r="F3982" s="1" t="s">
        <v>80</v>
      </c>
      <c r="I3982" s="1" t="n">
        <v>60701</v>
      </c>
      <c r="J3982" s="1" t="n">
        <v>37361</v>
      </c>
      <c r="K3982" s="1" t="n">
        <v>2240817</v>
      </c>
      <c r="L3982" s="1" t="s">
        <v>2286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5" t="n">
        <v>46209</v>
      </c>
      <c r="C3983" s="1" t="n">
        <v>2</v>
      </c>
      <c r="D3983" s="1" t="s">
        <v>2283</v>
      </c>
      <c r="E3983" s="1" t="n">
        <v>42</v>
      </c>
      <c r="F3983" s="1" t="s">
        <v>80</v>
      </c>
      <c r="I3983" s="1" t="n">
        <v>60702</v>
      </c>
      <c r="J3983" s="1" t="n">
        <v>100103</v>
      </c>
      <c r="K3983" s="1" t="n">
        <v>104</v>
      </c>
      <c r="L3983" s="1" t="s">
        <v>2287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5" t="n">
        <v>46209</v>
      </c>
      <c r="C3984" s="1" t="n">
        <v>6</v>
      </c>
      <c r="D3984" s="1" t="s">
        <v>2289</v>
      </c>
      <c r="E3984" s="1" t="n">
        <v>42</v>
      </c>
      <c r="F3984" s="1" t="s">
        <v>80</v>
      </c>
      <c r="I3984" s="1" t="n">
        <v>4353</v>
      </c>
      <c r="J3984" s="1" t="n">
        <v>109791</v>
      </c>
      <c r="K3984" s="1" t="n">
        <v>9667</v>
      </c>
      <c r="L3984" s="1" t="s">
        <v>2284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5" t="n">
        <v>46209</v>
      </c>
      <c r="C3985" s="1" t="n">
        <v>6</v>
      </c>
      <c r="D3985" s="1" t="s">
        <v>2289</v>
      </c>
      <c r="E3985" s="1" t="n">
        <v>42</v>
      </c>
      <c r="F3985" s="1" t="s">
        <v>80</v>
      </c>
      <c r="I3985" s="1" t="n">
        <v>4353</v>
      </c>
      <c r="J3985" s="1" t="n">
        <v>37361</v>
      </c>
      <c r="K3985" s="1" t="n">
        <v>2240817</v>
      </c>
      <c r="L3985" s="1" t="s">
        <v>2286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5" t="n">
        <v>46209</v>
      </c>
      <c r="C3986" s="1" t="n">
        <v>6</v>
      </c>
      <c r="D3986" s="1" t="s">
        <v>2289</v>
      </c>
      <c r="E3986" s="1" t="n">
        <v>42</v>
      </c>
      <c r="F3986" s="1" t="s">
        <v>80</v>
      </c>
      <c r="I3986" s="1" t="n">
        <v>4354</v>
      </c>
      <c r="J3986" s="1" t="n">
        <v>100103</v>
      </c>
      <c r="K3986" s="1" t="n">
        <v>104</v>
      </c>
      <c r="L3986" s="1" t="s">
        <v>2287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5" t="n">
        <v>46209</v>
      </c>
      <c r="C3987" s="1" t="n">
        <v>11</v>
      </c>
      <c r="D3987" s="1" t="s">
        <v>2290</v>
      </c>
      <c r="E3987" s="1" t="n">
        <v>1955</v>
      </c>
      <c r="F3987" s="1" t="s">
        <v>2216</v>
      </c>
      <c r="I3987" s="1" t="n">
        <v>47190</v>
      </c>
      <c r="J3987" s="1" t="n">
        <v>37740</v>
      </c>
      <c r="K3987" s="1" t="n">
        <v>7899403635857</v>
      </c>
      <c r="L3987" s="1" t="s">
        <v>3678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5" t="n">
        <v>46209</v>
      </c>
      <c r="C3988" s="1" t="n">
        <v>11</v>
      </c>
      <c r="D3988" s="1" t="s">
        <v>2290</v>
      </c>
      <c r="E3988" s="1" t="n">
        <v>1955</v>
      </c>
      <c r="F3988" s="1" t="s">
        <v>2216</v>
      </c>
      <c r="I3988" s="1" t="n">
        <v>47190</v>
      </c>
      <c r="J3988" s="1" t="n">
        <v>37742</v>
      </c>
      <c r="K3988" s="1" t="n">
        <v>7898575226504</v>
      </c>
      <c r="L3988" s="1" t="s">
        <v>3507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5" t="n">
        <v>46209</v>
      </c>
      <c r="C3989" s="1" t="n">
        <v>11</v>
      </c>
      <c r="D3989" s="1" t="s">
        <v>2290</v>
      </c>
      <c r="E3989" s="1" t="n">
        <v>1955</v>
      </c>
      <c r="F3989" s="1" t="s">
        <v>2216</v>
      </c>
      <c r="I3989" s="1" t="n">
        <v>47190</v>
      </c>
      <c r="J3989" s="1" t="n">
        <v>37744</v>
      </c>
      <c r="K3989" s="1" t="n">
        <v>7894537020739</v>
      </c>
      <c r="L3989" s="1" t="s">
        <v>3679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5" t="n">
        <v>46209</v>
      </c>
      <c r="C3990" s="1" t="n">
        <v>11</v>
      </c>
      <c r="D3990" s="1" t="s">
        <v>2290</v>
      </c>
      <c r="E3990" s="1" t="n">
        <v>1955</v>
      </c>
      <c r="F3990" s="1" t="s">
        <v>2216</v>
      </c>
      <c r="I3990" s="1" t="n">
        <v>47190</v>
      </c>
      <c r="J3990" s="1" t="n">
        <v>37744</v>
      </c>
      <c r="K3990" s="1" t="n">
        <v>7894537020739</v>
      </c>
      <c r="L3990" s="1" t="s">
        <v>3679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5" t="n">
        <v>46209</v>
      </c>
      <c r="C3991" s="1" t="n">
        <v>11</v>
      </c>
      <c r="D3991" s="1" t="s">
        <v>2290</v>
      </c>
      <c r="E3991" s="1" t="n">
        <v>1955</v>
      </c>
      <c r="F3991" s="1" t="s">
        <v>2216</v>
      </c>
      <c r="I3991" s="1" t="n">
        <v>47190</v>
      </c>
      <c r="J3991" s="1" t="n">
        <v>37745</v>
      </c>
      <c r="K3991" s="1" t="n">
        <v>7894537020746</v>
      </c>
      <c r="L3991" s="1" t="s">
        <v>3680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5" t="n">
        <v>46209</v>
      </c>
      <c r="C3992" s="1" t="n">
        <v>11</v>
      </c>
      <c r="D3992" s="1" t="s">
        <v>2290</v>
      </c>
      <c r="E3992" s="1" t="n">
        <v>1955</v>
      </c>
      <c r="F3992" s="1" t="s">
        <v>2216</v>
      </c>
      <c r="I3992" s="1" t="n">
        <v>47190</v>
      </c>
      <c r="J3992" s="1" t="n">
        <v>37858</v>
      </c>
      <c r="K3992" s="1" t="n">
        <v>7899403636076</v>
      </c>
      <c r="L3992" s="1" t="s">
        <v>3681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5" t="n">
        <v>46209</v>
      </c>
      <c r="C3993" s="1" t="n">
        <v>11</v>
      </c>
      <c r="D3993" s="1" t="s">
        <v>2290</v>
      </c>
      <c r="E3993" s="1" t="n">
        <v>1955</v>
      </c>
      <c r="F3993" s="1" t="s">
        <v>2216</v>
      </c>
      <c r="I3993" s="1" t="n">
        <v>47190</v>
      </c>
      <c r="J3993" s="1" t="n">
        <v>50870</v>
      </c>
      <c r="K3993" s="1" t="n">
        <v>7899403636373</v>
      </c>
      <c r="L3993" s="1" t="s">
        <v>3682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5" t="n">
        <v>46209</v>
      </c>
      <c r="C3994" s="1" t="n">
        <v>11</v>
      </c>
      <c r="D3994" s="1" t="s">
        <v>2290</v>
      </c>
      <c r="E3994" s="1" t="n">
        <v>1955</v>
      </c>
      <c r="F3994" s="1" t="s">
        <v>2216</v>
      </c>
      <c r="I3994" s="1" t="n">
        <v>47190</v>
      </c>
      <c r="J3994" s="1" t="n">
        <v>62812</v>
      </c>
      <c r="K3994" s="1" t="n">
        <v>7898933090877</v>
      </c>
      <c r="L3994" s="1" t="s">
        <v>3508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5" t="n">
        <v>46209</v>
      </c>
      <c r="C3995" s="1" t="n">
        <v>11</v>
      </c>
      <c r="D3995" s="1" t="s">
        <v>2290</v>
      </c>
      <c r="E3995" s="1" t="n">
        <v>1955</v>
      </c>
      <c r="F3995" s="1" t="s">
        <v>2216</v>
      </c>
      <c r="I3995" s="1" t="n">
        <v>47190</v>
      </c>
      <c r="J3995" s="1" t="n">
        <v>72901</v>
      </c>
      <c r="K3995" s="1" t="n">
        <v>7898602918563</v>
      </c>
      <c r="L3995" s="1" t="s">
        <v>3509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5" t="n">
        <v>46209</v>
      </c>
      <c r="C3996" s="1" t="n">
        <v>11</v>
      </c>
      <c r="D3996" s="1" t="s">
        <v>2290</v>
      </c>
      <c r="E3996" s="1" t="n">
        <v>1723</v>
      </c>
      <c r="F3996" s="1" t="s">
        <v>76</v>
      </c>
      <c r="I3996" s="1" t="n">
        <v>172669</v>
      </c>
      <c r="J3996" s="1" t="n">
        <v>29079</v>
      </c>
      <c r="K3996" s="1" t="n">
        <v>55515</v>
      </c>
      <c r="L3996" s="1" t="s">
        <v>2360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5" t="n">
        <v>46209</v>
      </c>
      <c r="C3997" s="1" t="n">
        <v>11</v>
      </c>
      <c r="D3997" s="1" t="s">
        <v>2290</v>
      </c>
      <c r="E3997" s="1" t="n">
        <v>1723</v>
      </c>
      <c r="F3997" s="1" t="s">
        <v>76</v>
      </c>
      <c r="I3997" s="1" t="n">
        <v>172669</v>
      </c>
      <c r="J3997" s="1" t="n">
        <v>78040</v>
      </c>
      <c r="K3997" s="1" t="n">
        <v>780414</v>
      </c>
      <c r="L3997" s="1" t="s">
        <v>2585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5" t="n">
        <v>46209</v>
      </c>
      <c r="C3998" s="1" t="n">
        <v>11</v>
      </c>
      <c r="D3998" s="1" t="s">
        <v>2290</v>
      </c>
      <c r="E3998" s="1" t="n">
        <v>1723</v>
      </c>
      <c r="F3998" s="1" t="s">
        <v>76</v>
      </c>
      <c r="I3998" s="1" t="n">
        <v>172701</v>
      </c>
      <c r="J3998" s="1" t="n">
        <v>29080</v>
      </c>
      <c r="K3998" s="1" t="n">
        <v>55516</v>
      </c>
      <c r="L3998" s="1" t="s">
        <v>2362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5" t="n">
        <v>46209</v>
      </c>
      <c r="C3999" s="1" t="n">
        <v>11</v>
      </c>
      <c r="D3999" s="1" t="s">
        <v>2290</v>
      </c>
      <c r="E3999" s="1" t="n">
        <v>10017</v>
      </c>
      <c r="F3999" s="1" t="s">
        <v>335</v>
      </c>
      <c r="I3999" s="1" t="n">
        <v>194114</v>
      </c>
      <c r="J3999" s="1" t="n">
        <v>101852</v>
      </c>
      <c r="K3999" s="1" t="n">
        <v>7898286200060</v>
      </c>
      <c r="L3999" s="1" t="s">
        <v>3921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5" t="n">
        <v>46209</v>
      </c>
      <c r="C4000" s="1" t="n">
        <v>11</v>
      </c>
      <c r="D4000" s="1" t="s">
        <v>2290</v>
      </c>
      <c r="E4000" s="1" t="n">
        <v>10017</v>
      </c>
      <c r="F4000" s="1" t="s">
        <v>335</v>
      </c>
      <c r="I4000" s="1" t="n">
        <v>194114</v>
      </c>
      <c r="J4000" s="1" t="n">
        <v>102196</v>
      </c>
      <c r="K4000" s="1" t="n">
        <v>7891032015505</v>
      </c>
      <c r="L4000" s="1" t="s">
        <v>2760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5" t="n">
        <v>46209</v>
      </c>
      <c r="C4001" s="1" t="n">
        <v>11</v>
      </c>
      <c r="D4001" s="1" t="s">
        <v>2290</v>
      </c>
      <c r="E4001" s="1" t="n">
        <v>10017</v>
      </c>
      <c r="F4001" s="1" t="s">
        <v>335</v>
      </c>
      <c r="I4001" s="1" t="n">
        <v>194114</v>
      </c>
      <c r="J4001" s="1" t="n">
        <v>103359</v>
      </c>
      <c r="K4001" s="1" t="n">
        <v>7896089011982</v>
      </c>
      <c r="L4001" s="1" t="s">
        <v>3922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5" t="n">
        <v>46209</v>
      </c>
      <c r="C4002" s="1" t="n">
        <v>11</v>
      </c>
      <c r="D4002" s="1" t="s">
        <v>2290</v>
      </c>
      <c r="E4002" s="1" t="n">
        <v>10017</v>
      </c>
      <c r="F4002" s="1" t="s">
        <v>335</v>
      </c>
      <c r="I4002" s="1" t="n">
        <v>194114</v>
      </c>
      <c r="J4002" s="1" t="n">
        <v>103896</v>
      </c>
      <c r="K4002" s="1" t="n">
        <v>7896051130116</v>
      </c>
      <c r="L4002" s="1" t="s">
        <v>3920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5" t="n">
        <v>46209</v>
      </c>
      <c r="C4003" s="1" t="n">
        <v>11</v>
      </c>
      <c r="D4003" s="1" t="s">
        <v>2290</v>
      </c>
      <c r="E4003" s="1" t="n">
        <v>10017</v>
      </c>
      <c r="F4003" s="1" t="s">
        <v>335</v>
      </c>
      <c r="I4003" s="1" t="n">
        <v>194114</v>
      </c>
      <c r="J4003" s="1" t="n">
        <v>10703</v>
      </c>
      <c r="K4003" s="1" t="n">
        <v>7898927809010</v>
      </c>
      <c r="L4003" s="1" t="s">
        <v>3923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5" t="n">
        <v>46209</v>
      </c>
      <c r="C4004" s="1" t="n">
        <v>11</v>
      </c>
      <c r="D4004" s="1" t="s">
        <v>2290</v>
      </c>
      <c r="E4004" s="1" t="n">
        <v>10017</v>
      </c>
      <c r="F4004" s="1" t="s">
        <v>335</v>
      </c>
      <c r="I4004" s="1" t="n">
        <v>194114</v>
      </c>
      <c r="J4004" s="1" t="n">
        <v>10714</v>
      </c>
      <c r="K4004" s="1" t="n">
        <v>7891032015659</v>
      </c>
      <c r="L4004" s="1" t="s">
        <v>3924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5" t="n">
        <v>46209</v>
      </c>
      <c r="C4005" s="1" t="n">
        <v>11</v>
      </c>
      <c r="D4005" s="1" t="s">
        <v>2290</v>
      </c>
      <c r="E4005" s="1" t="n">
        <v>10017</v>
      </c>
      <c r="F4005" s="1" t="s">
        <v>335</v>
      </c>
      <c r="I4005" s="1" t="n">
        <v>194114</v>
      </c>
      <c r="J4005" s="1" t="n">
        <v>13053</v>
      </c>
      <c r="K4005" s="1" t="n">
        <v>7898041310775</v>
      </c>
      <c r="L4005" s="1" t="s">
        <v>3925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5" t="n">
        <v>46209</v>
      </c>
      <c r="C4006" s="1" t="n">
        <v>11</v>
      </c>
      <c r="D4006" s="1" t="s">
        <v>2290</v>
      </c>
      <c r="E4006" s="1" t="n">
        <v>10017</v>
      </c>
      <c r="F4006" s="1" t="s">
        <v>335</v>
      </c>
      <c r="I4006" s="1" t="n">
        <v>194114</v>
      </c>
      <c r="J4006" s="1" t="n">
        <v>13081</v>
      </c>
      <c r="K4006" s="1" t="n">
        <v>7896051115014</v>
      </c>
      <c r="L4006" s="1" t="s">
        <v>3926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5" t="n">
        <v>46209</v>
      </c>
      <c r="C4007" s="1" t="n">
        <v>11</v>
      </c>
      <c r="D4007" s="1" t="s">
        <v>2290</v>
      </c>
      <c r="E4007" s="1" t="n">
        <v>10017</v>
      </c>
      <c r="F4007" s="1" t="s">
        <v>335</v>
      </c>
      <c r="I4007" s="1" t="n">
        <v>194114</v>
      </c>
      <c r="J4007" s="1" t="n">
        <v>13485</v>
      </c>
      <c r="K4007" s="1" t="n">
        <v>7896058590500</v>
      </c>
      <c r="L4007" s="1" t="s">
        <v>3118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5" t="n">
        <v>46209</v>
      </c>
      <c r="C4008" s="1" t="n">
        <v>11</v>
      </c>
      <c r="D4008" s="1" t="s">
        <v>2290</v>
      </c>
      <c r="E4008" s="1" t="n">
        <v>10017</v>
      </c>
      <c r="F4008" s="1" t="s">
        <v>335</v>
      </c>
      <c r="I4008" s="1" t="n">
        <v>194114</v>
      </c>
      <c r="J4008" s="1" t="n">
        <v>15891</v>
      </c>
      <c r="K4008" s="1" t="n">
        <v>7896102502909</v>
      </c>
      <c r="L4008" s="1" t="s">
        <v>2851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5" t="n">
        <v>46209</v>
      </c>
      <c r="C4009" s="1" t="n">
        <v>11</v>
      </c>
      <c r="D4009" s="1" t="s">
        <v>2290</v>
      </c>
      <c r="E4009" s="1" t="n">
        <v>10017</v>
      </c>
      <c r="F4009" s="1" t="s">
        <v>335</v>
      </c>
      <c r="I4009" s="1" t="n">
        <v>194114</v>
      </c>
      <c r="J4009" s="1" t="n">
        <v>16075</v>
      </c>
      <c r="K4009" s="1" t="n">
        <v>7898927809027</v>
      </c>
      <c r="L4009" s="1" t="s">
        <v>3923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5" t="n">
        <v>46209</v>
      </c>
      <c r="C4010" s="1" t="n">
        <v>11</v>
      </c>
      <c r="D4010" s="1" t="s">
        <v>2290</v>
      </c>
      <c r="E4010" s="1" t="n">
        <v>10017</v>
      </c>
      <c r="F4010" s="1" t="s">
        <v>335</v>
      </c>
      <c r="I4010" s="1" t="n">
        <v>194114</v>
      </c>
      <c r="J4010" s="1" t="n">
        <v>27768</v>
      </c>
      <c r="K4010" s="1" t="n">
        <v>7892300003002</v>
      </c>
      <c r="L4010" s="1" t="s">
        <v>3927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5" t="n">
        <v>46209</v>
      </c>
      <c r="C4011" s="1" t="n">
        <v>11</v>
      </c>
      <c r="D4011" s="1" t="s">
        <v>2290</v>
      </c>
      <c r="E4011" s="1" t="n">
        <v>10017</v>
      </c>
      <c r="F4011" s="1" t="s">
        <v>335</v>
      </c>
      <c r="I4011" s="1" t="n">
        <v>194114</v>
      </c>
      <c r="J4011" s="1" t="n">
        <v>31532</v>
      </c>
      <c r="K4011" s="1" t="n">
        <v>7633335550426</v>
      </c>
      <c r="L4011" s="1" t="s">
        <v>3928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5" t="n">
        <v>46209</v>
      </c>
      <c r="C4012" s="1" t="n">
        <v>11</v>
      </c>
      <c r="D4012" s="1" t="s">
        <v>2290</v>
      </c>
      <c r="E4012" s="1" t="n">
        <v>10017</v>
      </c>
      <c r="F4012" s="1" t="s">
        <v>335</v>
      </c>
      <c r="I4012" s="1" t="n">
        <v>194114</v>
      </c>
      <c r="J4012" s="1" t="n">
        <v>31533</v>
      </c>
      <c r="K4012" s="1" t="n">
        <v>7633332009057</v>
      </c>
      <c r="L4012" s="1" t="s">
        <v>3929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5" t="n">
        <v>46209</v>
      </c>
      <c r="C4013" s="1" t="n">
        <v>11</v>
      </c>
      <c r="D4013" s="1" t="s">
        <v>2290</v>
      </c>
      <c r="E4013" s="1" t="n">
        <v>10017</v>
      </c>
      <c r="F4013" s="1" t="s">
        <v>335</v>
      </c>
      <c r="I4013" s="1" t="n">
        <v>194114</v>
      </c>
      <c r="J4013" s="1" t="n">
        <v>43799</v>
      </c>
      <c r="K4013" s="1" t="n">
        <v>7891167021457</v>
      </c>
      <c r="L4013" s="1" t="s">
        <v>3930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5" t="n">
        <v>46209</v>
      </c>
      <c r="C4014" s="1" t="n">
        <v>11</v>
      </c>
      <c r="D4014" s="1" t="s">
        <v>2290</v>
      </c>
      <c r="E4014" s="1" t="n">
        <v>10017</v>
      </c>
      <c r="F4014" s="1" t="s">
        <v>335</v>
      </c>
      <c r="I4014" s="1" t="n">
        <v>194114</v>
      </c>
      <c r="J4014" s="1" t="n">
        <v>61019</v>
      </c>
      <c r="K4014" s="1" t="n">
        <v>7896005223628</v>
      </c>
      <c r="L4014" s="1" t="s">
        <v>3931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5" t="n">
        <v>46209</v>
      </c>
      <c r="C4015" s="1" t="n">
        <v>11</v>
      </c>
      <c r="D4015" s="1" t="s">
        <v>2290</v>
      </c>
      <c r="E4015" s="1" t="n">
        <v>10017</v>
      </c>
      <c r="F4015" s="1" t="s">
        <v>335</v>
      </c>
      <c r="I4015" s="1" t="n">
        <v>194114</v>
      </c>
      <c r="J4015" s="1" t="n">
        <v>68920</v>
      </c>
      <c r="K4015" s="1" t="n">
        <v>7896532701088</v>
      </c>
      <c r="L4015" s="1" t="s">
        <v>3932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5" t="n">
        <v>46209</v>
      </c>
      <c r="C4016" s="1" t="n">
        <v>11</v>
      </c>
      <c r="D4016" s="1" t="s">
        <v>2290</v>
      </c>
      <c r="E4016" s="1" t="n">
        <v>10017</v>
      </c>
      <c r="F4016" s="1" t="s">
        <v>335</v>
      </c>
      <c r="I4016" s="1" t="n">
        <v>194114</v>
      </c>
      <c r="J4016" s="1" t="n">
        <v>69560</v>
      </c>
      <c r="K4016" s="1" t="n">
        <v>7896051114024</v>
      </c>
      <c r="L4016" s="1" t="s">
        <v>3933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5" t="n">
        <v>46209</v>
      </c>
      <c r="C4017" s="1" t="n">
        <v>11</v>
      </c>
      <c r="D4017" s="1" t="s">
        <v>2290</v>
      </c>
      <c r="E4017" s="1" t="n">
        <v>10017</v>
      </c>
      <c r="F4017" s="1" t="s">
        <v>335</v>
      </c>
      <c r="I4017" s="1" t="n">
        <v>194114</v>
      </c>
      <c r="J4017" s="1" t="n">
        <v>81566</v>
      </c>
      <c r="K4017" s="1" t="n">
        <v>7896058503210</v>
      </c>
      <c r="L4017" s="1" t="s">
        <v>3934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5" t="n">
        <v>46209</v>
      </c>
      <c r="C4018" s="1" t="n">
        <v>22</v>
      </c>
      <c r="D4018" s="1" t="s">
        <v>2436</v>
      </c>
      <c r="E4018" s="1" t="n">
        <v>42</v>
      </c>
      <c r="F4018" s="1" t="s">
        <v>80</v>
      </c>
      <c r="I4018" s="1" t="n">
        <v>4356</v>
      </c>
      <c r="J4018" s="1" t="n">
        <v>100000</v>
      </c>
      <c r="K4018" s="1" t="n">
        <v>1</v>
      </c>
      <c r="L4018" s="1" t="s">
        <v>2451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5" t="n">
        <v>46209</v>
      </c>
      <c r="C4019" s="1" t="n">
        <v>22</v>
      </c>
      <c r="D4019" s="1" t="s">
        <v>2436</v>
      </c>
      <c r="E4019" s="1" t="n">
        <v>42</v>
      </c>
      <c r="F4019" s="1" t="s">
        <v>80</v>
      </c>
      <c r="I4019" s="1" t="n">
        <v>4356</v>
      </c>
      <c r="J4019" s="1" t="n">
        <v>100004</v>
      </c>
      <c r="K4019" s="1" t="n">
        <v>5</v>
      </c>
      <c r="L4019" s="1" t="s">
        <v>2667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5" t="n">
        <v>46209</v>
      </c>
      <c r="C4020" s="1" t="n">
        <v>22</v>
      </c>
      <c r="D4020" s="1" t="s">
        <v>2436</v>
      </c>
      <c r="E4020" s="1" t="n">
        <v>42</v>
      </c>
      <c r="F4020" s="1" t="s">
        <v>80</v>
      </c>
      <c r="I4020" s="1" t="n">
        <v>4356</v>
      </c>
      <c r="J4020" s="1" t="n">
        <v>100006</v>
      </c>
      <c r="K4020" s="1" t="n">
        <v>7</v>
      </c>
      <c r="L4020" s="1" t="s">
        <v>2437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5" t="n">
        <v>46209</v>
      </c>
      <c r="C4021" s="1" t="n">
        <v>22</v>
      </c>
      <c r="D4021" s="1" t="s">
        <v>2436</v>
      </c>
      <c r="E4021" s="1" t="n">
        <v>42</v>
      </c>
      <c r="F4021" s="1" t="s">
        <v>80</v>
      </c>
      <c r="I4021" s="1" t="n">
        <v>4356</v>
      </c>
      <c r="J4021" s="1" t="n">
        <v>100008</v>
      </c>
      <c r="K4021" s="1" t="n">
        <v>9</v>
      </c>
      <c r="L4021" s="1" t="s">
        <v>2438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5" t="n">
        <v>46209</v>
      </c>
      <c r="C4022" s="1" t="n">
        <v>22</v>
      </c>
      <c r="D4022" s="1" t="s">
        <v>2436</v>
      </c>
      <c r="E4022" s="1" t="n">
        <v>42</v>
      </c>
      <c r="F4022" s="1" t="s">
        <v>80</v>
      </c>
      <c r="I4022" s="1" t="n">
        <v>4356</v>
      </c>
      <c r="J4022" s="1" t="n">
        <v>100010</v>
      </c>
      <c r="K4022" s="1" t="n">
        <v>11</v>
      </c>
      <c r="L4022" s="1" t="s">
        <v>2439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5" t="n">
        <v>46209</v>
      </c>
      <c r="C4023" s="1" t="n">
        <v>22</v>
      </c>
      <c r="D4023" s="1" t="s">
        <v>2436</v>
      </c>
      <c r="E4023" s="1" t="n">
        <v>42</v>
      </c>
      <c r="F4023" s="1" t="s">
        <v>80</v>
      </c>
      <c r="I4023" s="1" t="n">
        <v>4356</v>
      </c>
      <c r="J4023" s="1" t="n">
        <v>100011</v>
      </c>
      <c r="K4023" s="1" t="n">
        <v>12</v>
      </c>
      <c r="L4023" s="1" t="s">
        <v>2440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5" t="n">
        <v>46209</v>
      </c>
      <c r="C4024" s="1" t="n">
        <v>22</v>
      </c>
      <c r="D4024" s="1" t="s">
        <v>2436</v>
      </c>
      <c r="E4024" s="1" t="n">
        <v>42</v>
      </c>
      <c r="F4024" s="1" t="s">
        <v>80</v>
      </c>
      <c r="I4024" s="1" t="n">
        <v>4356</v>
      </c>
      <c r="J4024" s="1" t="n">
        <v>100012</v>
      </c>
      <c r="K4024" s="1" t="n">
        <v>13</v>
      </c>
      <c r="L4024" s="1" t="s">
        <v>2441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5" t="n">
        <v>46209</v>
      </c>
      <c r="C4025" s="1" t="n">
        <v>22</v>
      </c>
      <c r="D4025" s="1" t="s">
        <v>2436</v>
      </c>
      <c r="E4025" s="1" t="n">
        <v>42</v>
      </c>
      <c r="F4025" s="1" t="s">
        <v>80</v>
      </c>
      <c r="I4025" s="1" t="n">
        <v>4356</v>
      </c>
      <c r="J4025" s="1" t="n">
        <v>100013</v>
      </c>
      <c r="K4025" s="1" t="n">
        <v>14</v>
      </c>
      <c r="L4025" s="1" t="s">
        <v>2442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5" t="n">
        <v>46209</v>
      </c>
      <c r="C4026" s="1" t="n">
        <v>22</v>
      </c>
      <c r="D4026" s="1" t="s">
        <v>2436</v>
      </c>
      <c r="E4026" s="1" t="n">
        <v>42</v>
      </c>
      <c r="F4026" s="1" t="s">
        <v>80</v>
      </c>
      <c r="I4026" s="1" t="n">
        <v>4356</v>
      </c>
      <c r="J4026" s="1" t="n">
        <v>100014</v>
      </c>
      <c r="K4026" s="1" t="n">
        <v>15</v>
      </c>
      <c r="L4026" s="1" t="s">
        <v>2443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5" t="n">
        <v>46209</v>
      </c>
      <c r="C4027" s="1" t="n">
        <v>22</v>
      </c>
      <c r="D4027" s="1" t="s">
        <v>2436</v>
      </c>
      <c r="E4027" s="1" t="n">
        <v>42</v>
      </c>
      <c r="F4027" s="1" t="s">
        <v>80</v>
      </c>
      <c r="I4027" s="1" t="n">
        <v>4356</v>
      </c>
      <c r="J4027" s="1" t="n">
        <v>100015</v>
      </c>
      <c r="K4027" s="1" t="n">
        <v>16</v>
      </c>
      <c r="L4027" s="1" t="s">
        <v>2444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5" t="n">
        <v>46209</v>
      </c>
      <c r="C4028" s="1" t="n">
        <v>22</v>
      </c>
      <c r="D4028" s="1" t="s">
        <v>2436</v>
      </c>
      <c r="E4028" s="1" t="n">
        <v>42</v>
      </c>
      <c r="F4028" s="1" t="s">
        <v>80</v>
      </c>
      <c r="I4028" s="1" t="n">
        <v>4356</v>
      </c>
      <c r="J4028" s="1" t="n">
        <v>100016</v>
      </c>
      <c r="K4028" s="1" t="n">
        <v>17</v>
      </c>
      <c r="L4028" s="1" t="s">
        <v>2445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5" t="n">
        <v>46209</v>
      </c>
      <c r="C4029" s="1" t="n">
        <v>22</v>
      </c>
      <c r="D4029" s="1" t="s">
        <v>2436</v>
      </c>
      <c r="E4029" s="1" t="n">
        <v>42</v>
      </c>
      <c r="F4029" s="1" t="s">
        <v>80</v>
      </c>
      <c r="I4029" s="1" t="n">
        <v>4356</v>
      </c>
      <c r="J4029" s="1" t="n">
        <v>100017</v>
      </c>
      <c r="K4029" s="1" t="n">
        <v>18</v>
      </c>
      <c r="L4029" s="1" t="s">
        <v>2446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5" t="n">
        <v>46209</v>
      </c>
      <c r="C4030" s="1" t="n">
        <v>22</v>
      </c>
      <c r="D4030" s="1" t="s">
        <v>2436</v>
      </c>
      <c r="E4030" s="1" t="n">
        <v>42</v>
      </c>
      <c r="F4030" s="1" t="s">
        <v>80</v>
      </c>
      <c r="I4030" s="1" t="n">
        <v>4356</v>
      </c>
      <c r="J4030" s="1" t="n">
        <v>100020</v>
      </c>
      <c r="K4030" s="1" t="n">
        <v>21</v>
      </c>
      <c r="L4030" s="1" t="s">
        <v>2456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5" t="n">
        <v>46209</v>
      </c>
      <c r="C4031" s="1" t="n">
        <v>22</v>
      </c>
      <c r="D4031" s="1" t="s">
        <v>2436</v>
      </c>
      <c r="E4031" s="1" t="n">
        <v>42</v>
      </c>
      <c r="F4031" s="1" t="s">
        <v>80</v>
      </c>
      <c r="I4031" s="1" t="n">
        <v>4356</v>
      </c>
      <c r="J4031" s="1" t="n">
        <v>100053</v>
      </c>
      <c r="K4031" s="1" t="n">
        <v>54</v>
      </c>
      <c r="L4031" s="1" t="s">
        <v>2447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5" t="n">
        <v>46209</v>
      </c>
      <c r="C4032" s="1" t="n">
        <v>22</v>
      </c>
      <c r="D4032" s="1" t="s">
        <v>2436</v>
      </c>
      <c r="E4032" s="1" t="n">
        <v>42</v>
      </c>
      <c r="F4032" s="1" t="s">
        <v>80</v>
      </c>
      <c r="I4032" s="1" t="n">
        <v>4356</v>
      </c>
      <c r="J4032" s="1" t="n">
        <v>100638</v>
      </c>
      <c r="K4032" s="1" t="n">
        <v>508</v>
      </c>
      <c r="L4032" s="1" t="s">
        <v>2448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5" t="n">
        <v>46209</v>
      </c>
      <c r="C4033" s="1" t="n">
        <v>22</v>
      </c>
      <c r="D4033" s="1" t="s">
        <v>2436</v>
      </c>
      <c r="E4033" s="1" t="n">
        <v>42</v>
      </c>
      <c r="F4033" s="1" t="s">
        <v>80</v>
      </c>
      <c r="I4033" s="1" t="n">
        <v>4356</v>
      </c>
      <c r="J4033" s="1" t="n">
        <v>100520</v>
      </c>
      <c r="K4033" s="1" t="n">
        <v>507</v>
      </c>
      <c r="L4033" s="1" t="s">
        <v>2449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5" t="n">
        <v>46209</v>
      </c>
      <c r="C4034" s="1" t="n">
        <v>22</v>
      </c>
      <c r="D4034" s="1" t="s">
        <v>2436</v>
      </c>
      <c r="E4034" s="1" t="n">
        <v>42</v>
      </c>
      <c r="F4034" s="1" t="s">
        <v>80</v>
      </c>
      <c r="I4034" s="1" t="n">
        <v>4356</v>
      </c>
      <c r="J4034" s="1" t="n">
        <v>110455</v>
      </c>
      <c r="K4034" s="1" t="n">
        <v>53212</v>
      </c>
      <c r="L4034" s="1" t="s">
        <v>2450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5" t="n">
        <v>46209</v>
      </c>
      <c r="C4035" s="1" t="n">
        <v>22</v>
      </c>
      <c r="D4035" s="1" t="s">
        <v>2436</v>
      </c>
      <c r="E4035" s="1" t="n">
        <v>42</v>
      </c>
      <c r="F4035" s="1" t="s">
        <v>80</v>
      </c>
      <c r="I4035" s="1" t="n">
        <v>4356</v>
      </c>
      <c r="J4035" s="1" t="n">
        <v>110455</v>
      </c>
      <c r="K4035" s="1" t="n">
        <v>53212</v>
      </c>
      <c r="L4035" s="1" t="s">
        <v>2450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5" t="n">
        <v>46209</v>
      </c>
      <c r="C4036" s="1" t="n">
        <v>22</v>
      </c>
      <c r="D4036" s="1" t="s">
        <v>2436</v>
      </c>
      <c r="E4036" s="1" t="n">
        <v>42</v>
      </c>
      <c r="F4036" s="1" t="s">
        <v>80</v>
      </c>
      <c r="I4036" s="1" t="n">
        <v>4358</v>
      </c>
      <c r="J4036" s="1" t="n">
        <v>100000</v>
      </c>
      <c r="K4036" s="1" t="n">
        <v>1</v>
      </c>
      <c r="L4036" s="1" t="s">
        <v>2451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5" t="n">
        <v>46209</v>
      </c>
      <c r="C4037" s="1" t="n">
        <v>22</v>
      </c>
      <c r="D4037" s="1" t="s">
        <v>2436</v>
      </c>
      <c r="E4037" s="1" t="n">
        <v>42</v>
      </c>
      <c r="F4037" s="1" t="s">
        <v>80</v>
      </c>
      <c r="I4037" s="1" t="n">
        <v>4358</v>
      </c>
      <c r="J4037" s="1" t="n">
        <v>100001</v>
      </c>
      <c r="K4037" s="1" t="n">
        <v>2</v>
      </c>
      <c r="L4037" s="1" t="s">
        <v>2452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5" t="n">
        <v>46209</v>
      </c>
      <c r="C4038" s="1" t="n">
        <v>22</v>
      </c>
      <c r="D4038" s="1" t="s">
        <v>2436</v>
      </c>
      <c r="E4038" s="1" t="n">
        <v>42</v>
      </c>
      <c r="F4038" s="1" t="s">
        <v>80</v>
      </c>
      <c r="I4038" s="1" t="n">
        <v>4358</v>
      </c>
      <c r="J4038" s="1" t="n">
        <v>100002</v>
      </c>
      <c r="K4038" s="1" t="n">
        <v>3</v>
      </c>
      <c r="L4038" s="1" t="s">
        <v>2453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5" t="n">
        <v>46209</v>
      </c>
      <c r="C4039" s="1" t="n">
        <v>22</v>
      </c>
      <c r="D4039" s="1" t="s">
        <v>2436</v>
      </c>
      <c r="E4039" s="1" t="n">
        <v>42</v>
      </c>
      <c r="F4039" s="1" t="s">
        <v>80</v>
      </c>
      <c r="I4039" s="1" t="n">
        <v>4358</v>
      </c>
      <c r="J4039" s="1" t="n">
        <v>100003</v>
      </c>
      <c r="K4039" s="1" t="n">
        <v>4</v>
      </c>
      <c r="L4039" s="1" t="s">
        <v>2454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5" t="n">
        <v>46209</v>
      </c>
      <c r="C4040" s="1" t="n">
        <v>22</v>
      </c>
      <c r="D4040" s="1" t="s">
        <v>2436</v>
      </c>
      <c r="E4040" s="1" t="n">
        <v>42</v>
      </c>
      <c r="F4040" s="1" t="s">
        <v>80</v>
      </c>
      <c r="I4040" s="1" t="n">
        <v>4358</v>
      </c>
      <c r="J4040" s="1" t="n">
        <v>110455</v>
      </c>
      <c r="K4040" s="1" t="n">
        <v>53212</v>
      </c>
      <c r="L4040" s="1" t="s">
        <v>2450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5" t="n">
        <v>46209</v>
      </c>
      <c r="C4041" s="1" t="n">
        <v>100</v>
      </c>
      <c r="D4041" s="1" t="s">
        <v>2457</v>
      </c>
      <c r="E4041" s="1" t="n">
        <v>42</v>
      </c>
      <c r="F4041" s="1" t="s">
        <v>80</v>
      </c>
      <c r="I4041" s="1" t="n">
        <v>1361326</v>
      </c>
      <c r="J4041" s="1" t="n">
        <v>100004</v>
      </c>
      <c r="K4041" s="1" t="n">
        <v>5</v>
      </c>
      <c r="L4041" s="1" t="s">
        <v>2667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5" t="n">
        <v>46209</v>
      </c>
      <c r="C4042" s="1" t="n">
        <v>100</v>
      </c>
      <c r="D4042" s="1" t="s">
        <v>2457</v>
      </c>
      <c r="E4042" s="1" t="n">
        <v>42</v>
      </c>
      <c r="F4042" s="1" t="s">
        <v>80</v>
      </c>
      <c r="I4042" s="1" t="n">
        <v>1361326</v>
      </c>
      <c r="J4042" s="1" t="n">
        <v>100020</v>
      </c>
      <c r="K4042" s="1" t="n">
        <v>21</v>
      </c>
      <c r="L4042" s="1" t="s">
        <v>2456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5" t="n">
        <v>46209</v>
      </c>
      <c r="C4043" s="1" t="n">
        <v>100</v>
      </c>
      <c r="D4043" s="1" t="s">
        <v>2457</v>
      </c>
      <c r="E4043" s="1" t="n">
        <v>42</v>
      </c>
      <c r="F4043" s="1" t="s">
        <v>80</v>
      </c>
      <c r="I4043" s="1" t="n">
        <v>1361326</v>
      </c>
      <c r="J4043" s="1" t="n">
        <v>110455</v>
      </c>
      <c r="K4043" s="1" t="n">
        <v>53212</v>
      </c>
      <c r="L4043" s="1" t="s">
        <v>2450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5" t="n">
        <v>46209</v>
      </c>
      <c r="C4044" s="1" t="n">
        <v>100</v>
      </c>
      <c r="D4044" s="1" t="s">
        <v>2457</v>
      </c>
      <c r="E4044" s="1" t="n">
        <v>42</v>
      </c>
      <c r="F4044" s="1" t="s">
        <v>80</v>
      </c>
      <c r="I4044" s="1" t="n">
        <v>1361330</v>
      </c>
      <c r="J4044" s="1" t="n">
        <v>100000</v>
      </c>
      <c r="K4044" s="1" t="n">
        <v>1</v>
      </c>
      <c r="L4044" s="1" t="s">
        <v>2451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5" t="n">
        <v>46209</v>
      </c>
      <c r="C4045" s="1" t="n">
        <v>100</v>
      </c>
      <c r="D4045" s="1" t="s">
        <v>2457</v>
      </c>
      <c r="E4045" s="1" t="n">
        <v>42</v>
      </c>
      <c r="F4045" s="1" t="s">
        <v>80</v>
      </c>
      <c r="I4045" s="1" t="n">
        <v>1361330</v>
      </c>
      <c r="J4045" s="1" t="n">
        <v>100006</v>
      </c>
      <c r="K4045" s="1" t="n">
        <v>7</v>
      </c>
      <c r="L4045" s="1" t="s">
        <v>2437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5" t="n">
        <v>46209</v>
      </c>
      <c r="C4046" s="1" t="n">
        <v>100</v>
      </c>
      <c r="D4046" s="1" t="s">
        <v>2457</v>
      </c>
      <c r="E4046" s="1" t="n">
        <v>42</v>
      </c>
      <c r="F4046" s="1" t="s">
        <v>80</v>
      </c>
      <c r="I4046" s="1" t="n">
        <v>1361330</v>
      </c>
      <c r="J4046" s="1" t="n">
        <v>100008</v>
      </c>
      <c r="K4046" s="1" t="n">
        <v>9</v>
      </c>
      <c r="L4046" s="1" t="s">
        <v>2438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5" t="n">
        <v>46209</v>
      </c>
      <c r="C4047" s="1" t="n">
        <v>100</v>
      </c>
      <c r="D4047" s="1" t="s">
        <v>2457</v>
      </c>
      <c r="E4047" s="1" t="n">
        <v>42</v>
      </c>
      <c r="F4047" s="1" t="s">
        <v>80</v>
      </c>
      <c r="I4047" s="1" t="n">
        <v>1361330</v>
      </c>
      <c r="J4047" s="1" t="n">
        <v>100010</v>
      </c>
      <c r="K4047" s="1" t="n">
        <v>11</v>
      </c>
      <c r="L4047" s="1" t="s">
        <v>2439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5" t="n">
        <v>46209</v>
      </c>
      <c r="C4048" s="1" t="n">
        <v>100</v>
      </c>
      <c r="D4048" s="1" t="s">
        <v>2457</v>
      </c>
      <c r="E4048" s="1" t="n">
        <v>42</v>
      </c>
      <c r="F4048" s="1" t="s">
        <v>80</v>
      </c>
      <c r="I4048" s="1" t="n">
        <v>1361330</v>
      </c>
      <c r="J4048" s="1" t="n">
        <v>100011</v>
      </c>
      <c r="K4048" s="1" t="n">
        <v>12</v>
      </c>
      <c r="L4048" s="1" t="s">
        <v>2440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5" t="n">
        <v>46209</v>
      </c>
      <c r="C4049" s="1" t="n">
        <v>100</v>
      </c>
      <c r="D4049" s="1" t="s">
        <v>2457</v>
      </c>
      <c r="E4049" s="1" t="n">
        <v>42</v>
      </c>
      <c r="F4049" s="1" t="s">
        <v>80</v>
      </c>
      <c r="I4049" s="1" t="n">
        <v>1361330</v>
      </c>
      <c r="J4049" s="1" t="n">
        <v>100012</v>
      </c>
      <c r="K4049" s="1" t="n">
        <v>13</v>
      </c>
      <c r="L4049" s="1" t="s">
        <v>2441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5" t="n">
        <v>46209</v>
      </c>
      <c r="C4050" s="1" t="n">
        <v>100</v>
      </c>
      <c r="D4050" s="1" t="s">
        <v>2457</v>
      </c>
      <c r="E4050" s="1" t="n">
        <v>42</v>
      </c>
      <c r="F4050" s="1" t="s">
        <v>80</v>
      </c>
      <c r="I4050" s="1" t="n">
        <v>1361330</v>
      </c>
      <c r="J4050" s="1" t="n">
        <v>100013</v>
      </c>
      <c r="K4050" s="1" t="n">
        <v>14</v>
      </c>
      <c r="L4050" s="1" t="s">
        <v>2442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5" t="n">
        <v>46209</v>
      </c>
      <c r="C4051" s="1" t="n">
        <v>100</v>
      </c>
      <c r="D4051" s="1" t="s">
        <v>2457</v>
      </c>
      <c r="E4051" s="1" t="n">
        <v>42</v>
      </c>
      <c r="F4051" s="1" t="s">
        <v>80</v>
      </c>
      <c r="I4051" s="1" t="n">
        <v>1361330</v>
      </c>
      <c r="J4051" s="1" t="n">
        <v>100014</v>
      </c>
      <c r="K4051" s="1" t="n">
        <v>15</v>
      </c>
      <c r="L4051" s="1" t="s">
        <v>2443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5" t="n">
        <v>46209</v>
      </c>
      <c r="C4052" s="1" t="n">
        <v>100</v>
      </c>
      <c r="D4052" s="1" t="s">
        <v>2457</v>
      </c>
      <c r="E4052" s="1" t="n">
        <v>42</v>
      </c>
      <c r="F4052" s="1" t="s">
        <v>80</v>
      </c>
      <c r="I4052" s="1" t="n">
        <v>1361330</v>
      </c>
      <c r="J4052" s="1" t="n">
        <v>100015</v>
      </c>
      <c r="K4052" s="1" t="n">
        <v>16</v>
      </c>
      <c r="L4052" s="1" t="s">
        <v>2444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5" t="n">
        <v>46209</v>
      </c>
      <c r="C4053" s="1" t="n">
        <v>100</v>
      </c>
      <c r="D4053" s="1" t="s">
        <v>2457</v>
      </c>
      <c r="E4053" s="1" t="n">
        <v>42</v>
      </c>
      <c r="F4053" s="1" t="s">
        <v>80</v>
      </c>
      <c r="I4053" s="1" t="n">
        <v>1361330</v>
      </c>
      <c r="J4053" s="1" t="n">
        <v>100016</v>
      </c>
      <c r="K4053" s="1" t="n">
        <v>17</v>
      </c>
      <c r="L4053" s="1" t="s">
        <v>2445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5" t="n">
        <v>46209</v>
      </c>
      <c r="C4054" s="1" t="n">
        <v>100</v>
      </c>
      <c r="D4054" s="1" t="s">
        <v>2457</v>
      </c>
      <c r="E4054" s="1" t="n">
        <v>42</v>
      </c>
      <c r="F4054" s="1" t="s">
        <v>80</v>
      </c>
      <c r="I4054" s="1" t="n">
        <v>1361330</v>
      </c>
      <c r="J4054" s="1" t="n">
        <v>100017</v>
      </c>
      <c r="K4054" s="1" t="n">
        <v>18</v>
      </c>
      <c r="L4054" s="1" t="s">
        <v>2446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5" t="n">
        <v>46209</v>
      </c>
      <c r="C4055" s="1" t="n">
        <v>100</v>
      </c>
      <c r="D4055" s="1" t="s">
        <v>2457</v>
      </c>
      <c r="E4055" s="1" t="n">
        <v>42</v>
      </c>
      <c r="F4055" s="1" t="s">
        <v>80</v>
      </c>
      <c r="I4055" s="1" t="n">
        <v>1361330</v>
      </c>
      <c r="J4055" s="1" t="n">
        <v>100053</v>
      </c>
      <c r="K4055" s="1" t="n">
        <v>54</v>
      </c>
      <c r="L4055" s="1" t="s">
        <v>2447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5" t="n">
        <v>46209</v>
      </c>
      <c r="C4056" s="1" t="n">
        <v>100</v>
      </c>
      <c r="D4056" s="1" t="s">
        <v>2457</v>
      </c>
      <c r="E4056" s="1" t="n">
        <v>42</v>
      </c>
      <c r="F4056" s="1" t="s">
        <v>80</v>
      </c>
      <c r="I4056" s="1" t="n">
        <v>1361330</v>
      </c>
      <c r="J4056" s="1" t="n">
        <v>100638</v>
      </c>
      <c r="K4056" s="1" t="n">
        <v>508</v>
      </c>
      <c r="L4056" s="1" t="s">
        <v>2448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5" t="n">
        <v>46209</v>
      </c>
      <c r="C4057" s="1" t="n">
        <v>100</v>
      </c>
      <c r="D4057" s="1" t="s">
        <v>2457</v>
      </c>
      <c r="E4057" s="1" t="n">
        <v>42</v>
      </c>
      <c r="F4057" s="1" t="s">
        <v>80</v>
      </c>
      <c r="I4057" s="1" t="n">
        <v>1361330</v>
      </c>
      <c r="J4057" s="1" t="n">
        <v>100520</v>
      </c>
      <c r="K4057" s="1" t="n">
        <v>507</v>
      </c>
      <c r="L4057" s="1" t="s">
        <v>2449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5" t="n">
        <v>46209</v>
      </c>
      <c r="C4058" s="1" t="n">
        <v>100</v>
      </c>
      <c r="D4058" s="1" t="s">
        <v>2457</v>
      </c>
      <c r="E4058" s="1" t="n">
        <v>42</v>
      </c>
      <c r="F4058" s="1" t="s">
        <v>80</v>
      </c>
      <c r="I4058" s="1" t="n">
        <v>1361330</v>
      </c>
      <c r="J4058" s="1" t="n">
        <v>110455</v>
      </c>
      <c r="K4058" s="1" t="n">
        <v>53212</v>
      </c>
      <c r="L4058" s="1" t="s">
        <v>2450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5" t="n">
        <v>46209</v>
      </c>
      <c r="C4059" s="1" t="n">
        <v>100</v>
      </c>
      <c r="D4059" s="1" t="s">
        <v>2457</v>
      </c>
      <c r="E4059" s="1" t="n">
        <v>42</v>
      </c>
      <c r="F4059" s="1" t="s">
        <v>80</v>
      </c>
      <c r="I4059" s="1" t="n">
        <v>1361389</v>
      </c>
      <c r="J4059" s="1" t="n">
        <v>100000</v>
      </c>
      <c r="K4059" s="1" t="n">
        <v>1</v>
      </c>
      <c r="L4059" s="1" t="s">
        <v>2451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5" t="n">
        <v>46209</v>
      </c>
      <c r="C4060" s="1" t="n">
        <v>100</v>
      </c>
      <c r="D4060" s="1" t="s">
        <v>2457</v>
      </c>
      <c r="E4060" s="1" t="n">
        <v>42</v>
      </c>
      <c r="F4060" s="1" t="s">
        <v>80</v>
      </c>
      <c r="I4060" s="1" t="n">
        <v>1361389</v>
      </c>
      <c r="J4060" s="1" t="n">
        <v>100001</v>
      </c>
      <c r="K4060" s="1" t="n">
        <v>2</v>
      </c>
      <c r="L4060" s="1" t="s">
        <v>2452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5" t="n">
        <v>46209</v>
      </c>
      <c r="C4061" s="1" t="n">
        <v>100</v>
      </c>
      <c r="D4061" s="1" t="s">
        <v>2457</v>
      </c>
      <c r="E4061" s="1" t="n">
        <v>42</v>
      </c>
      <c r="F4061" s="1" t="s">
        <v>80</v>
      </c>
      <c r="I4061" s="1" t="n">
        <v>1361389</v>
      </c>
      <c r="J4061" s="1" t="n">
        <v>100002</v>
      </c>
      <c r="K4061" s="1" t="n">
        <v>3</v>
      </c>
      <c r="L4061" s="1" t="s">
        <v>2453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5" t="n">
        <v>46209</v>
      </c>
      <c r="C4062" s="1" t="n">
        <v>100</v>
      </c>
      <c r="D4062" s="1" t="s">
        <v>2457</v>
      </c>
      <c r="E4062" s="1" t="n">
        <v>42</v>
      </c>
      <c r="F4062" s="1" t="s">
        <v>80</v>
      </c>
      <c r="I4062" s="1" t="n">
        <v>1361389</v>
      </c>
      <c r="J4062" s="1" t="n">
        <v>100003</v>
      </c>
      <c r="K4062" s="1" t="n">
        <v>4</v>
      </c>
      <c r="L4062" s="1" t="s">
        <v>2454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5" t="n">
        <v>46209</v>
      </c>
      <c r="C4063" s="1" t="n">
        <v>100</v>
      </c>
      <c r="D4063" s="1" t="s">
        <v>2457</v>
      </c>
      <c r="E4063" s="1" t="n">
        <v>42</v>
      </c>
      <c r="F4063" s="1" t="s">
        <v>80</v>
      </c>
      <c r="I4063" s="1" t="n">
        <v>1361389</v>
      </c>
      <c r="J4063" s="1" t="n">
        <v>110455</v>
      </c>
      <c r="K4063" s="1" t="n">
        <v>53212</v>
      </c>
      <c r="L4063" s="1" t="s">
        <v>2450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5" t="n">
        <v>46209</v>
      </c>
      <c r="C4064" s="1" t="n">
        <v>171</v>
      </c>
      <c r="D4064" s="1" t="s">
        <v>2517</v>
      </c>
      <c r="E4064" s="1" t="n">
        <v>1955</v>
      </c>
      <c r="F4064" s="1" t="s">
        <v>2216</v>
      </c>
      <c r="I4064" s="1" t="n">
        <v>47191</v>
      </c>
      <c r="J4064" s="1" t="n">
        <v>45153</v>
      </c>
      <c r="K4064" s="1" t="n">
        <v>7899403713715</v>
      </c>
      <c r="L4064" s="1" t="s">
        <v>3504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5" t="n">
        <v>46209</v>
      </c>
      <c r="C4065" s="1" t="n">
        <v>171</v>
      </c>
      <c r="D4065" s="1" t="s">
        <v>2517</v>
      </c>
      <c r="E4065" s="1" t="n">
        <v>1955</v>
      </c>
      <c r="F4065" s="1" t="s">
        <v>2216</v>
      </c>
      <c r="I4065" s="1" t="n">
        <v>47191</v>
      </c>
      <c r="J4065" s="1" t="n">
        <v>45154</v>
      </c>
      <c r="K4065" s="1" t="n">
        <v>2246390</v>
      </c>
      <c r="L4065" s="1" t="s">
        <v>3505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5" t="n">
        <v>46209</v>
      </c>
      <c r="C4066" s="1" t="n">
        <v>171</v>
      </c>
      <c r="D4066" s="1" t="s">
        <v>2517</v>
      </c>
      <c r="E4066" s="1" t="n">
        <v>1955</v>
      </c>
      <c r="F4066" s="1" t="s">
        <v>2216</v>
      </c>
      <c r="I4066" s="1" t="n">
        <v>47191</v>
      </c>
      <c r="J4066" s="1" t="n">
        <v>45155</v>
      </c>
      <c r="K4066" s="1" t="n">
        <v>2246406</v>
      </c>
      <c r="L4066" s="1" t="s">
        <v>3506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5" t="n">
        <v>46210</v>
      </c>
      <c r="C4067" s="1" t="n">
        <v>1</v>
      </c>
      <c r="D4067" s="1" t="s">
        <v>2317</v>
      </c>
      <c r="E4067" s="1" t="n">
        <v>10043</v>
      </c>
      <c r="F4067" s="1" t="s">
        <v>112</v>
      </c>
      <c r="I4067" s="1" t="n">
        <v>756</v>
      </c>
      <c r="J4067" s="1" t="n">
        <v>52096</v>
      </c>
      <c r="K4067" s="1" t="n">
        <v>144315</v>
      </c>
      <c r="L4067" s="1" t="s">
        <v>2318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5" t="n">
        <v>46210</v>
      </c>
      <c r="C4068" s="1" t="n">
        <v>1</v>
      </c>
      <c r="D4068" s="1" t="s">
        <v>2317</v>
      </c>
      <c r="E4068" s="1" t="n">
        <v>1615</v>
      </c>
      <c r="F4068" s="1" t="s">
        <v>130</v>
      </c>
      <c r="I4068" s="1" t="n">
        <v>14810</v>
      </c>
      <c r="J4068" s="1" t="n">
        <v>100114</v>
      </c>
      <c r="K4068" s="1" t="n">
        <v>115</v>
      </c>
      <c r="L4068" s="1" t="s">
        <v>2568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5" t="n">
        <v>46210</v>
      </c>
      <c r="C4069" s="1" t="n">
        <v>1</v>
      </c>
      <c r="D4069" s="1" t="s">
        <v>2317</v>
      </c>
      <c r="E4069" s="1" t="n">
        <v>1615</v>
      </c>
      <c r="F4069" s="1" t="s">
        <v>130</v>
      </c>
      <c r="I4069" s="1" t="n">
        <v>14810</v>
      </c>
      <c r="J4069" s="1" t="n">
        <v>37771</v>
      </c>
      <c r="K4069" s="1" t="n">
        <v>774574</v>
      </c>
      <c r="L4069" s="1" t="s">
        <v>2569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5" t="n">
        <v>46210</v>
      </c>
      <c r="C4070" s="1" t="n">
        <v>1</v>
      </c>
      <c r="D4070" s="1" t="s">
        <v>2317</v>
      </c>
      <c r="E4070" s="1" t="n">
        <v>1615</v>
      </c>
      <c r="F4070" s="1" t="s">
        <v>130</v>
      </c>
      <c r="I4070" s="1" t="n">
        <v>14810</v>
      </c>
      <c r="J4070" s="1" t="n">
        <v>55350</v>
      </c>
      <c r="K4070" s="1" t="n">
        <v>609963080076</v>
      </c>
      <c r="L4070" s="1" t="s">
        <v>2319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5" t="n">
        <v>46210</v>
      </c>
      <c r="C4071" s="1" t="n">
        <v>1</v>
      </c>
      <c r="D4071" s="1" t="s">
        <v>2317</v>
      </c>
      <c r="E4071" s="1" t="n">
        <v>1024</v>
      </c>
      <c r="F4071" s="1" t="s">
        <v>161</v>
      </c>
      <c r="I4071" s="1" t="n">
        <v>598141</v>
      </c>
      <c r="J4071" s="1" t="n">
        <v>103169</v>
      </c>
      <c r="K4071" s="1" t="n">
        <v>7898919635016</v>
      </c>
      <c r="L4071" s="1" t="s">
        <v>3145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5" t="n">
        <v>46210</v>
      </c>
      <c r="C4072" s="1" t="n">
        <v>1</v>
      </c>
      <c r="D4072" s="1" t="s">
        <v>2317</v>
      </c>
      <c r="E4072" s="1" t="n">
        <v>1024</v>
      </c>
      <c r="F4072" s="1" t="s">
        <v>161</v>
      </c>
      <c r="I4072" s="1" t="n">
        <v>598141</v>
      </c>
      <c r="J4072" s="1" t="n">
        <v>103170</v>
      </c>
      <c r="K4072" s="1" t="n">
        <v>7896792000020</v>
      </c>
      <c r="L4072" s="1" t="s">
        <v>3146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5" t="n">
        <v>46210</v>
      </c>
      <c r="C4073" s="1" t="n">
        <v>1</v>
      </c>
      <c r="D4073" s="1" t="s">
        <v>2317</v>
      </c>
      <c r="E4073" s="1" t="n">
        <v>1024</v>
      </c>
      <c r="F4073" s="1" t="s">
        <v>161</v>
      </c>
      <c r="I4073" s="1" t="n">
        <v>598141</v>
      </c>
      <c r="J4073" s="1" t="n">
        <v>10275</v>
      </c>
      <c r="K4073" s="1" t="n">
        <v>7898919635047</v>
      </c>
      <c r="L4073" s="1" t="s">
        <v>3935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5" t="n">
        <v>46210</v>
      </c>
      <c r="C4074" s="1" t="n">
        <v>1</v>
      </c>
      <c r="D4074" s="1" t="s">
        <v>2317</v>
      </c>
      <c r="E4074" s="1" t="n">
        <v>1024</v>
      </c>
      <c r="F4074" s="1" t="s">
        <v>161</v>
      </c>
      <c r="I4074" s="1" t="n">
        <v>598141</v>
      </c>
      <c r="J4074" s="1" t="n">
        <v>10276</v>
      </c>
      <c r="K4074" s="1" t="n">
        <v>7898919635030</v>
      </c>
      <c r="L4074" s="1" t="s">
        <v>3149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5" t="n">
        <v>46210</v>
      </c>
      <c r="C4075" s="1" t="n">
        <v>1</v>
      </c>
      <c r="D4075" s="1" t="s">
        <v>2317</v>
      </c>
      <c r="E4075" s="1" t="n">
        <v>1024</v>
      </c>
      <c r="F4075" s="1" t="s">
        <v>161</v>
      </c>
      <c r="I4075" s="1" t="n">
        <v>598141</v>
      </c>
      <c r="J4075" s="1" t="n">
        <v>49131</v>
      </c>
      <c r="K4075" s="1" t="n">
        <v>7898919635856</v>
      </c>
      <c r="L4075" s="1" t="s">
        <v>3936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5" t="n">
        <v>46210</v>
      </c>
      <c r="C4076" s="1" t="n">
        <v>2</v>
      </c>
      <c r="D4076" s="1" t="s">
        <v>2283</v>
      </c>
      <c r="E4076" s="1" t="n">
        <v>42</v>
      </c>
      <c r="F4076" s="1" t="s">
        <v>80</v>
      </c>
      <c r="I4076" s="1" t="n">
        <v>70701</v>
      </c>
      <c r="J4076" s="1" t="n">
        <v>109791</v>
      </c>
      <c r="K4076" s="1" t="n">
        <v>9667</v>
      </c>
      <c r="L4076" s="1" t="s">
        <v>2284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5" t="n">
        <v>46210</v>
      </c>
      <c r="C4077" s="1" t="n">
        <v>2</v>
      </c>
      <c r="D4077" s="1" t="s">
        <v>2283</v>
      </c>
      <c r="E4077" s="1" t="n">
        <v>42</v>
      </c>
      <c r="F4077" s="1" t="s">
        <v>80</v>
      </c>
      <c r="I4077" s="1" t="n">
        <v>70701</v>
      </c>
      <c r="J4077" s="1" t="n">
        <v>37361</v>
      </c>
      <c r="K4077" s="1" t="n">
        <v>2240817</v>
      </c>
      <c r="L4077" s="1" t="s">
        <v>2286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5" t="n">
        <v>46210</v>
      </c>
      <c r="C4078" s="1" t="n">
        <v>2</v>
      </c>
      <c r="D4078" s="1" t="s">
        <v>2283</v>
      </c>
      <c r="E4078" s="1" t="n">
        <v>42</v>
      </c>
      <c r="F4078" s="1" t="s">
        <v>80</v>
      </c>
      <c r="I4078" s="1" t="n">
        <v>70702</v>
      </c>
      <c r="J4078" s="1" t="n">
        <v>72679</v>
      </c>
      <c r="K4078" s="1" t="n">
        <v>246</v>
      </c>
      <c r="L4078" s="1" t="s">
        <v>2288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5" t="n">
        <v>46210</v>
      </c>
      <c r="C4079" s="1" t="n">
        <v>2</v>
      </c>
      <c r="D4079" s="1" t="s">
        <v>2283</v>
      </c>
      <c r="E4079" s="1" t="n">
        <v>42</v>
      </c>
      <c r="F4079" s="1" t="s">
        <v>80</v>
      </c>
      <c r="I4079" s="1" t="n">
        <v>70703</v>
      </c>
      <c r="J4079" s="1" t="n">
        <v>100062</v>
      </c>
      <c r="K4079" s="1" t="n">
        <v>63</v>
      </c>
      <c r="L4079" s="1" t="s">
        <v>2320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5" t="n">
        <v>46210</v>
      </c>
      <c r="C4080" s="1" t="n">
        <v>2</v>
      </c>
      <c r="D4080" s="1" t="s">
        <v>2283</v>
      </c>
      <c r="E4080" s="1" t="n">
        <v>42</v>
      </c>
      <c r="F4080" s="1" t="s">
        <v>80</v>
      </c>
      <c r="I4080" s="1" t="n">
        <v>70703</v>
      </c>
      <c r="J4080" s="1" t="n">
        <v>100104</v>
      </c>
      <c r="K4080" s="1" t="n">
        <v>105</v>
      </c>
      <c r="L4080" s="1" t="s">
        <v>2321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5" t="n">
        <v>46210</v>
      </c>
      <c r="C4081" s="1" t="n">
        <v>2</v>
      </c>
      <c r="D4081" s="1" t="s">
        <v>2283</v>
      </c>
      <c r="E4081" s="1" t="n">
        <v>42</v>
      </c>
      <c r="F4081" s="1" t="s">
        <v>80</v>
      </c>
      <c r="I4081" s="1" t="n">
        <v>70703</v>
      </c>
      <c r="J4081" s="1" t="n">
        <v>100110</v>
      </c>
      <c r="K4081" s="1" t="n">
        <v>111</v>
      </c>
      <c r="L4081" s="1" t="s">
        <v>2473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5" t="n">
        <v>46210</v>
      </c>
      <c r="C4082" s="1" t="n">
        <v>2</v>
      </c>
      <c r="D4082" s="1" t="s">
        <v>2283</v>
      </c>
      <c r="E4082" s="1" t="n">
        <v>42</v>
      </c>
      <c r="F4082" s="1" t="s">
        <v>80</v>
      </c>
      <c r="I4082" s="1" t="n">
        <v>70703</v>
      </c>
      <c r="J4082" s="1" t="n">
        <v>100112</v>
      </c>
      <c r="K4082" s="1" t="n">
        <v>113</v>
      </c>
      <c r="L4082" s="1" t="s">
        <v>2325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5" t="n">
        <v>46210</v>
      </c>
      <c r="C4083" s="1" t="n">
        <v>2</v>
      </c>
      <c r="D4083" s="1" t="s">
        <v>2283</v>
      </c>
      <c r="E4083" s="1" t="n">
        <v>42</v>
      </c>
      <c r="F4083" s="1" t="s">
        <v>80</v>
      </c>
      <c r="I4083" s="1" t="n">
        <v>70703</v>
      </c>
      <c r="J4083" s="1" t="n">
        <v>100113</v>
      </c>
      <c r="K4083" s="1" t="n">
        <v>114</v>
      </c>
      <c r="L4083" s="1" t="s">
        <v>2326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5" t="n">
        <v>46210</v>
      </c>
      <c r="C4084" s="1" t="n">
        <v>2</v>
      </c>
      <c r="D4084" s="1" t="s">
        <v>2283</v>
      </c>
      <c r="E4084" s="1" t="n">
        <v>42</v>
      </c>
      <c r="F4084" s="1" t="s">
        <v>80</v>
      </c>
      <c r="I4084" s="1" t="n">
        <v>70703</v>
      </c>
      <c r="J4084" s="1" t="n">
        <v>100115</v>
      </c>
      <c r="K4084" s="1" t="n">
        <v>116</v>
      </c>
      <c r="L4084" s="1" t="s">
        <v>2474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5" t="n">
        <v>46210</v>
      </c>
      <c r="C4085" s="1" t="n">
        <v>2</v>
      </c>
      <c r="D4085" s="1" t="s">
        <v>2283</v>
      </c>
      <c r="E4085" s="1" t="n">
        <v>42</v>
      </c>
      <c r="F4085" s="1" t="s">
        <v>80</v>
      </c>
      <c r="I4085" s="1" t="n">
        <v>70703</v>
      </c>
      <c r="J4085" s="1" t="n">
        <v>100116</v>
      </c>
      <c r="K4085" s="1" t="n">
        <v>117</v>
      </c>
      <c r="L4085" s="1" t="s">
        <v>2327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5" t="n">
        <v>46210</v>
      </c>
      <c r="C4086" s="1" t="n">
        <v>2</v>
      </c>
      <c r="D4086" s="1" t="s">
        <v>2283</v>
      </c>
      <c r="E4086" s="1" t="n">
        <v>42</v>
      </c>
      <c r="F4086" s="1" t="s">
        <v>80</v>
      </c>
      <c r="I4086" s="1" t="n">
        <v>70703</v>
      </c>
      <c r="J4086" s="1" t="n">
        <v>100118</v>
      </c>
      <c r="K4086" s="1" t="n">
        <v>119</v>
      </c>
      <c r="L4086" s="1" t="s">
        <v>2328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5" t="n">
        <v>46210</v>
      </c>
      <c r="C4087" s="1" t="n">
        <v>2</v>
      </c>
      <c r="D4087" s="1" t="s">
        <v>2283</v>
      </c>
      <c r="E4087" s="1" t="n">
        <v>42</v>
      </c>
      <c r="F4087" s="1" t="s">
        <v>80</v>
      </c>
      <c r="I4087" s="1" t="n">
        <v>70703</v>
      </c>
      <c r="J4087" s="1" t="n">
        <v>100121</v>
      </c>
      <c r="K4087" s="1" t="n">
        <v>122</v>
      </c>
      <c r="L4087" s="1" t="s">
        <v>2329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5" t="n">
        <v>46210</v>
      </c>
      <c r="C4088" s="1" t="n">
        <v>2</v>
      </c>
      <c r="D4088" s="1" t="s">
        <v>2283</v>
      </c>
      <c r="E4088" s="1" t="n">
        <v>42</v>
      </c>
      <c r="F4088" s="1" t="s">
        <v>80</v>
      </c>
      <c r="I4088" s="1" t="n">
        <v>70703</v>
      </c>
      <c r="J4088" s="1" t="n">
        <v>100122</v>
      </c>
      <c r="K4088" s="1" t="n">
        <v>123</v>
      </c>
      <c r="L4088" s="1" t="s">
        <v>2330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5" t="n">
        <v>46210</v>
      </c>
      <c r="C4089" s="1" t="n">
        <v>2</v>
      </c>
      <c r="D4089" s="1" t="s">
        <v>2283</v>
      </c>
      <c r="E4089" s="1" t="n">
        <v>42</v>
      </c>
      <c r="F4089" s="1" t="s">
        <v>80</v>
      </c>
      <c r="I4089" s="1" t="n">
        <v>70703</v>
      </c>
      <c r="J4089" s="1" t="n">
        <v>100123</v>
      </c>
      <c r="K4089" s="1" t="n">
        <v>124</v>
      </c>
      <c r="L4089" s="1" t="s">
        <v>2475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5" t="n">
        <v>46210</v>
      </c>
      <c r="C4090" s="1" t="n">
        <v>2</v>
      </c>
      <c r="D4090" s="1" t="s">
        <v>2283</v>
      </c>
      <c r="E4090" s="1" t="n">
        <v>42</v>
      </c>
      <c r="F4090" s="1" t="s">
        <v>80</v>
      </c>
      <c r="I4090" s="1" t="n">
        <v>70703</v>
      </c>
      <c r="J4090" s="1" t="n">
        <v>100124</v>
      </c>
      <c r="K4090" s="1" t="n">
        <v>125</v>
      </c>
      <c r="L4090" s="1" t="s">
        <v>2476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5" t="n">
        <v>46210</v>
      </c>
      <c r="C4091" s="1" t="n">
        <v>2</v>
      </c>
      <c r="D4091" s="1" t="s">
        <v>2283</v>
      </c>
      <c r="E4091" s="1" t="n">
        <v>42</v>
      </c>
      <c r="F4091" s="1" t="s">
        <v>80</v>
      </c>
      <c r="I4091" s="1" t="n">
        <v>70703</v>
      </c>
      <c r="J4091" s="1" t="n">
        <v>100125</v>
      </c>
      <c r="K4091" s="1" t="n">
        <v>126</v>
      </c>
      <c r="L4091" s="1" t="s">
        <v>2477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5" t="n">
        <v>46210</v>
      </c>
      <c r="C4092" s="1" t="n">
        <v>2</v>
      </c>
      <c r="D4092" s="1" t="s">
        <v>2283</v>
      </c>
      <c r="E4092" s="1" t="n">
        <v>42</v>
      </c>
      <c r="F4092" s="1" t="s">
        <v>80</v>
      </c>
      <c r="I4092" s="1" t="n">
        <v>70703</v>
      </c>
      <c r="J4092" s="1" t="n">
        <v>100131</v>
      </c>
      <c r="K4092" s="1" t="n">
        <v>132</v>
      </c>
      <c r="L4092" s="1" t="s">
        <v>3103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5" t="n">
        <v>46210</v>
      </c>
      <c r="C4093" s="1" t="n">
        <v>2</v>
      </c>
      <c r="D4093" s="1" t="s">
        <v>2283</v>
      </c>
      <c r="E4093" s="1" t="n">
        <v>42</v>
      </c>
      <c r="F4093" s="1" t="s">
        <v>80</v>
      </c>
      <c r="I4093" s="1" t="n">
        <v>70703</v>
      </c>
      <c r="J4093" s="1" t="n">
        <v>100133</v>
      </c>
      <c r="K4093" s="1" t="n">
        <v>134</v>
      </c>
      <c r="L4093" s="1" t="s">
        <v>2332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5" t="n">
        <v>46210</v>
      </c>
      <c r="C4094" s="1" t="n">
        <v>2</v>
      </c>
      <c r="D4094" s="1" t="s">
        <v>2283</v>
      </c>
      <c r="E4094" s="1" t="n">
        <v>42</v>
      </c>
      <c r="F4094" s="1" t="s">
        <v>80</v>
      </c>
      <c r="I4094" s="1" t="n">
        <v>70703</v>
      </c>
      <c r="J4094" s="1" t="n">
        <v>100138</v>
      </c>
      <c r="K4094" s="1" t="n">
        <v>139</v>
      </c>
      <c r="L4094" s="1" t="s">
        <v>2333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5" t="n">
        <v>46210</v>
      </c>
      <c r="C4095" s="1" t="n">
        <v>2</v>
      </c>
      <c r="D4095" s="1" t="s">
        <v>2283</v>
      </c>
      <c r="E4095" s="1" t="n">
        <v>42</v>
      </c>
      <c r="F4095" s="1" t="s">
        <v>80</v>
      </c>
      <c r="I4095" s="1" t="n">
        <v>70703</v>
      </c>
      <c r="J4095" s="1" t="n">
        <v>100148</v>
      </c>
      <c r="K4095" s="1" t="n">
        <v>149</v>
      </c>
      <c r="L4095" s="1" t="s">
        <v>2676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5" t="n">
        <v>46210</v>
      </c>
      <c r="C4096" s="1" t="n">
        <v>2</v>
      </c>
      <c r="D4096" s="1" t="s">
        <v>2283</v>
      </c>
      <c r="E4096" s="1" t="n">
        <v>42</v>
      </c>
      <c r="F4096" s="1" t="s">
        <v>80</v>
      </c>
      <c r="I4096" s="1" t="n">
        <v>70703</v>
      </c>
      <c r="J4096" s="1" t="n">
        <v>110142</v>
      </c>
      <c r="K4096" s="1" t="n">
        <v>16699</v>
      </c>
      <c r="L4096" s="1" t="s">
        <v>2334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5" t="n">
        <v>46210</v>
      </c>
      <c r="C4097" s="1" t="n">
        <v>6</v>
      </c>
      <c r="D4097" s="1" t="s">
        <v>2289</v>
      </c>
      <c r="E4097" s="1" t="n">
        <v>42</v>
      </c>
      <c r="F4097" s="1" t="s">
        <v>80</v>
      </c>
      <c r="I4097" s="1" t="n">
        <v>4359</v>
      </c>
      <c r="J4097" s="1" t="n">
        <v>109791</v>
      </c>
      <c r="K4097" s="1" t="n">
        <v>9667</v>
      </c>
      <c r="L4097" s="1" t="s">
        <v>2284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5" t="n">
        <v>46210</v>
      </c>
      <c r="C4098" s="1" t="n">
        <v>6</v>
      </c>
      <c r="D4098" s="1" t="s">
        <v>2289</v>
      </c>
      <c r="E4098" s="1" t="n">
        <v>42</v>
      </c>
      <c r="F4098" s="1" t="s">
        <v>80</v>
      </c>
      <c r="I4098" s="1" t="n">
        <v>4359</v>
      </c>
      <c r="J4098" s="1" t="n">
        <v>37361</v>
      </c>
      <c r="K4098" s="1" t="n">
        <v>2240817</v>
      </c>
      <c r="L4098" s="1" t="s">
        <v>2286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5" t="n">
        <v>46210</v>
      </c>
      <c r="C4099" s="1" t="n">
        <v>6</v>
      </c>
      <c r="D4099" s="1" t="s">
        <v>2289</v>
      </c>
      <c r="E4099" s="1" t="n">
        <v>42</v>
      </c>
      <c r="F4099" s="1" t="s">
        <v>80</v>
      </c>
      <c r="I4099" s="1" t="n">
        <v>4360</v>
      </c>
      <c r="J4099" s="1" t="n">
        <v>72679</v>
      </c>
      <c r="K4099" s="1" t="n">
        <v>246</v>
      </c>
      <c r="L4099" s="1" t="s">
        <v>2288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5" t="n">
        <v>46210</v>
      </c>
      <c r="C4100" s="1" t="n">
        <v>6</v>
      </c>
      <c r="D4100" s="1" t="s">
        <v>2289</v>
      </c>
      <c r="E4100" s="1" t="n">
        <v>42</v>
      </c>
      <c r="F4100" s="1" t="s">
        <v>80</v>
      </c>
      <c r="I4100" s="1" t="n">
        <v>4361</v>
      </c>
      <c r="J4100" s="1" t="n">
        <v>100062</v>
      </c>
      <c r="K4100" s="1" t="n">
        <v>63</v>
      </c>
      <c r="L4100" s="1" t="s">
        <v>2320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5" t="n">
        <v>46210</v>
      </c>
      <c r="C4101" s="1" t="n">
        <v>6</v>
      </c>
      <c r="D4101" s="1" t="s">
        <v>2289</v>
      </c>
      <c r="E4101" s="1" t="n">
        <v>42</v>
      </c>
      <c r="F4101" s="1" t="s">
        <v>80</v>
      </c>
      <c r="I4101" s="1" t="n">
        <v>4361</v>
      </c>
      <c r="J4101" s="1" t="n">
        <v>100104</v>
      </c>
      <c r="K4101" s="1" t="n">
        <v>105</v>
      </c>
      <c r="L4101" s="1" t="s">
        <v>2321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5" t="n">
        <v>46210</v>
      </c>
      <c r="C4102" s="1" t="n">
        <v>6</v>
      </c>
      <c r="D4102" s="1" t="s">
        <v>2289</v>
      </c>
      <c r="E4102" s="1" t="n">
        <v>42</v>
      </c>
      <c r="F4102" s="1" t="s">
        <v>80</v>
      </c>
      <c r="I4102" s="1" t="n">
        <v>4361</v>
      </c>
      <c r="J4102" s="1" t="n">
        <v>100110</v>
      </c>
      <c r="K4102" s="1" t="n">
        <v>111</v>
      </c>
      <c r="L4102" s="1" t="s">
        <v>2473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5" t="n">
        <v>46210</v>
      </c>
      <c r="C4103" s="1" t="n">
        <v>6</v>
      </c>
      <c r="D4103" s="1" t="s">
        <v>2289</v>
      </c>
      <c r="E4103" s="1" t="n">
        <v>42</v>
      </c>
      <c r="F4103" s="1" t="s">
        <v>80</v>
      </c>
      <c r="I4103" s="1" t="n">
        <v>4361</v>
      </c>
      <c r="J4103" s="1" t="n">
        <v>100112</v>
      </c>
      <c r="K4103" s="1" t="n">
        <v>113</v>
      </c>
      <c r="L4103" s="1" t="s">
        <v>2325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5" t="n">
        <v>46210</v>
      </c>
      <c r="C4104" s="1" t="n">
        <v>6</v>
      </c>
      <c r="D4104" s="1" t="s">
        <v>2289</v>
      </c>
      <c r="E4104" s="1" t="n">
        <v>42</v>
      </c>
      <c r="F4104" s="1" t="s">
        <v>80</v>
      </c>
      <c r="I4104" s="1" t="n">
        <v>4361</v>
      </c>
      <c r="J4104" s="1" t="n">
        <v>100113</v>
      </c>
      <c r="K4104" s="1" t="n">
        <v>114</v>
      </c>
      <c r="L4104" s="1" t="s">
        <v>2326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5" t="n">
        <v>46210</v>
      </c>
      <c r="C4105" s="1" t="n">
        <v>6</v>
      </c>
      <c r="D4105" s="1" t="s">
        <v>2289</v>
      </c>
      <c r="E4105" s="1" t="n">
        <v>42</v>
      </c>
      <c r="F4105" s="1" t="s">
        <v>80</v>
      </c>
      <c r="I4105" s="1" t="n">
        <v>4361</v>
      </c>
      <c r="J4105" s="1" t="n">
        <v>100115</v>
      </c>
      <c r="K4105" s="1" t="n">
        <v>116</v>
      </c>
      <c r="L4105" s="1" t="s">
        <v>2474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5" t="n">
        <v>46210</v>
      </c>
      <c r="C4106" s="1" t="n">
        <v>6</v>
      </c>
      <c r="D4106" s="1" t="s">
        <v>2289</v>
      </c>
      <c r="E4106" s="1" t="n">
        <v>42</v>
      </c>
      <c r="F4106" s="1" t="s">
        <v>80</v>
      </c>
      <c r="I4106" s="1" t="n">
        <v>4361</v>
      </c>
      <c r="J4106" s="1" t="n">
        <v>100116</v>
      </c>
      <c r="K4106" s="1" t="n">
        <v>117</v>
      </c>
      <c r="L4106" s="1" t="s">
        <v>2327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5" t="n">
        <v>46210</v>
      </c>
      <c r="C4107" s="1" t="n">
        <v>6</v>
      </c>
      <c r="D4107" s="1" t="s">
        <v>2289</v>
      </c>
      <c r="E4107" s="1" t="n">
        <v>42</v>
      </c>
      <c r="F4107" s="1" t="s">
        <v>80</v>
      </c>
      <c r="I4107" s="1" t="n">
        <v>4361</v>
      </c>
      <c r="J4107" s="1" t="n">
        <v>100118</v>
      </c>
      <c r="K4107" s="1" t="n">
        <v>119</v>
      </c>
      <c r="L4107" s="1" t="s">
        <v>2328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5" t="n">
        <v>46210</v>
      </c>
      <c r="C4108" s="1" t="n">
        <v>6</v>
      </c>
      <c r="D4108" s="1" t="s">
        <v>2289</v>
      </c>
      <c r="E4108" s="1" t="n">
        <v>42</v>
      </c>
      <c r="F4108" s="1" t="s">
        <v>80</v>
      </c>
      <c r="I4108" s="1" t="n">
        <v>4361</v>
      </c>
      <c r="J4108" s="1" t="n">
        <v>100121</v>
      </c>
      <c r="K4108" s="1" t="n">
        <v>122</v>
      </c>
      <c r="L4108" s="1" t="s">
        <v>2329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5" t="n">
        <v>46210</v>
      </c>
      <c r="C4109" s="1" t="n">
        <v>6</v>
      </c>
      <c r="D4109" s="1" t="s">
        <v>2289</v>
      </c>
      <c r="E4109" s="1" t="n">
        <v>42</v>
      </c>
      <c r="F4109" s="1" t="s">
        <v>80</v>
      </c>
      <c r="I4109" s="1" t="n">
        <v>4361</v>
      </c>
      <c r="J4109" s="1" t="n">
        <v>100122</v>
      </c>
      <c r="K4109" s="1" t="n">
        <v>123</v>
      </c>
      <c r="L4109" s="1" t="s">
        <v>2330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5" t="n">
        <v>46210</v>
      </c>
      <c r="C4110" s="1" t="n">
        <v>6</v>
      </c>
      <c r="D4110" s="1" t="s">
        <v>2289</v>
      </c>
      <c r="E4110" s="1" t="n">
        <v>42</v>
      </c>
      <c r="F4110" s="1" t="s">
        <v>80</v>
      </c>
      <c r="I4110" s="1" t="n">
        <v>4361</v>
      </c>
      <c r="J4110" s="1" t="n">
        <v>100123</v>
      </c>
      <c r="K4110" s="1" t="n">
        <v>124</v>
      </c>
      <c r="L4110" s="1" t="s">
        <v>2475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5" t="n">
        <v>46210</v>
      </c>
      <c r="C4111" s="1" t="n">
        <v>6</v>
      </c>
      <c r="D4111" s="1" t="s">
        <v>2289</v>
      </c>
      <c r="E4111" s="1" t="n">
        <v>42</v>
      </c>
      <c r="F4111" s="1" t="s">
        <v>80</v>
      </c>
      <c r="I4111" s="1" t="n">
        <v>4361</v>
      </c>
      <c r="J4111" s="1" t="n">
        <v>100124</v>
      </c>
      <c r="K4111" s="1" t="n">
        <v>125</v>
      </c>
      <c r="L4111" s="1" t="s">
        <v>2476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5" t="n">
        <v>46210</v>
      </c>
      <c r="C4112" s="1" t="n">
        <v>6</v>
      </c>
      <c r="D4112" s="1" t="s">
        <v>2289</v>
      </c>
      <c r="E4112" s="1" t="n">
        <v>42</v>
      </c>
      <c r="F4112" s="1" t="s">
        <v>80</v>
      </c>
      <c r="I4112" s="1" t="n">
        <v>4361</v>
      </c>
      <c r="J4112" s="1" t="n">
        <v>100125</v>
      </c>
      <c r="K4112" s="1" t="n">
        <v>126</v>
      </c>
      <c r="L4112" s="1" t="s">
        <v>2477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5" t="n">
        <v>46210</v>
      </c>
      <c r="C4113" s="1" t="n">
        <v>6</v>
      </c>
      <c r="D4113" s="1" t="s">
        <v>2289</v>
      </c>
      <c r="E4113" s="1" t="n">
        <v>42</v>
      </c>
      <c r="F4113" s="1" t="s">
        <v>80</v>
      </c>
      <c r="I4113" s="1" t="n">
        <v>4361</v>
      </c>
      <c r="J4113" s="1" t="n">
        <v>100131</v>
      </c>
      <c r="K4113" s="1" t="n">
        <v>132</v>
      </c>
      <c r="L4113" s="1" t="s">
        <v>3103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5" t="n">
        <v>46210</v>
      </c>
      <c r="C4114" s="1" t="n">
        <v>6</v>
      </c>
      <c r="D4114" s="1" t="s">
        <v>2289</v>
      </c>
      <c r="E4114" s="1" t="n">
        <v>42</v>
      </c>
      <c r="F4114" s="1" t="s">
        <v>80</v>
      </c>
      <c r="I4114" s="1" t="n">
        <v>4361</v>
      </c>
      <c r="J4114" s="1" t="n">
        <v>100133</v>
      </c>
      <c r="K4114" s="1" t="n">
        <v>134</v>
      </c>
      <c r="L4114" s="1" t="s">
        <v>2332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5" t="n">
        <v>46210</v>
      </c>
      <c r="C4115" s="1" t="n">
        <v>6</v>
      </c>
      <c r="D4115" s="1" t="s">
        <v>2289</v>
      </c>
      <c r="E4115" s="1" t="n">
        <v>42</v>
      </c>
      <c r="F4115" s="1" t="s">
        <v>80</v>
      </c>
      <c r="I4115" s="1" t="n">
        <v>4361</v>
      </c>
      <c r="J4115" s="1" t="n">
        <v>100138</v>
      </c>
      <c r="K4115" s="1" t="n">
        <v>139</v>
      </c>
      <c r="L4115" s="1" t="s">
        <v>2333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5" t="n">
        <v>46210</v>
      </c>
      <c r="C4116" s="1" t="n">
        <v>6</v>
      </c>
      <c r="D4116" s="1" t="s">
        <v>2289</v>
      </c>
      <c r="E4116" s="1" t="n">
        <v>42</v>
      </c>
      <c r="F4116" s="1" t="s">
        <v>80</v>
      </c>
      <c r="I4116" s="1" t="n">
        <v>4361</v>
      </c>
      <c r="J4116" s="1" t="n">
        <v>100148</v>
      </c>
      <c r="K4116" s="1" t="n">
        <v>149</v>
      </c>
      <c r="L4116" s="1" t="s">
        <v>2676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5" t="n">
        <v>46210</v>
      </c>
      <c r="C4117" s="1" t="n">
        <v>6</v>
      </c>
      <c r="D4117" s="1" t="s">
        <v>2289</v>
      </c>
      <c r="E4117" s="1" t="n">
        <v>42</v>
      </c>
      <c r="F4117" s="1" t="s">
        <v>80</v>
      </c>
      <c r="I4117" s="1" t="n">
        <v>4361</v>
      </c>
      <c r="J4117" s="1" t="n">
        <v>110142</v>
      </c>
      <c r="K4117" s="1" t="n">
        <v>16699</v>
      </c>
      <c r="L4117" s="1" t="s">
        <v>2334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5" t="n">
        <v>46210</v>
      </c>
      <c r="C4118" s="1" t="n">
        <v>11</v>
      </c>
      <c r="D4118" s="1" t="s">
        <v>2290</v>
      </c>
      <c r="E4118" s="1" t="n">
        <v>1815</v>
      </c>
      <c r="F4118" s="1" t="s">
        <v>53</v>
      </c>
      <c r="I4118" s="1" t="n">
        <v>390537</v>
      </c>
      <c r="J4118" s="1" t="n">
        <v>100008</v>
      </c>
      <c r="K4118" s="1" t="n">
        <v>9</v>
      </c>
      <c r="L4118" s="1" t="s">
        <v>2438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5" t="n">
        <v>46210</v>
      </c>
      <c r="C4119" s="1" t="n">
        <v>11</v>
      </c>
      <c r="D4119" s="1" t="s">
        <v>2290</v>
      </c>
      <c r="E4119" s="1" t="n">
        <v>1815</v>
      </c>
      <c r="F4119" s="1" t="s">
        <v>53</v>
      </c>
      <c r="I4119" s="1" t="n">
        <v>390537</v>
      </c>
      <c r="J4119" s="1" t="n">
        <v>100013</v>
      </c>
      <c r="K4119" s="1" t="n">
        <v>14</v>
      </c>
      <c r="L4119" s="1" t="s">
        <v>2442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5" t="n">
        <v>46210</v>
      </c>
      <c r="C4120" s="1" t="n">
        <v>11</v>
      </c>
      <c r="D4120" s="1" t="s">
        <v>2290</v>
      </c>
      <c r="E4120" s="1" t="n">
        <v>1815</v>
      </c>
      <c r="F4120" s="1" t="s">
        <v>53</v>
      </c>
      <c r="I4120" s="1" t="n">
        <v>390537</v>
      </c>
      <c r="J4120" s="1" t="n">
        <v>100014</v>
      </c>
      <c r="K4120" s="1" t="n">
        <v>15</v>
      </c>
      <c r="L4120" s="1" t="s">
        <v>2443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5" t="n">
        <v>46210</v>
      </c>
      <c r="C4121" s="1" t="n">
        <v>11</v>
      </c>
      <c r="D4121" s="1" t="s">
        <v>2290</v>
      </c>
      <c r="E4121" s="1" t="n">
        <v>1815</v>
      </c>
      <c r="F4121" s="1" t="s">
        <v>53</v>
      </c>
      <c r="I4121" s="1" t="n">
        <v>390537</v>
      </c>
      <c r="J4121" s="1" t="n">
        <v>102407</v>
      </c>
      <c r="K4121" s="1" t="n">
        <v>7893000394117</v>
      </c>
      <c r="L4121" s="1" t="s">
        <v>2987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5" t="n">
        <v>46210</v>
      </c>
      <c r="C4122" s="1" t="n">
        <v>11</v>
      </c>
      <c r="D4122" s="1" t="s">
        <v>2290</v>
      </c>
      <c r="E4122" s="1" t="n">
        <v>1815</v>
      </c>
      <c r="F4122" s="1" t="s">
        <v>53</v>
      </c>
      <c r="I4122" s="1" t="n">
        <v>390537</v>
      </c>
      <c r="J4122" s="1" t="n">
        <v>102408</v>
      </c>
      <c r="K4122" s="1" t="n">
        <v>7891515602918</v>
      </c>
      <c r="L4122" s="1" t="s">
        <v>2843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5" t="n">
        <v>46210</v>
      </c>
      <c r="C4123" s="1" t="n">
        <v>11</v>
      </c>
      <c r="D4123" s="1" t="s">
        <v>2290</v>
      </c>
      <c r="E4123" s="1" t="n">
        <v>1815</v>
      </c>
      <c r="F4123" s="1" t="s">
        <v>53</v>
      </c>
      <c r="I4123" s="1" t="n">
        <v>390537</v>
      </c>
      <c r="J4123" s="1" t="n">
        <v>31500</v>
      </c>
      <c r="K4123" s="1" t="n">
        <v>7898922012378</v>
      </c>
      <c r="L4123" s="1" t="s">
        <v>3937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5" t="n">
        <v>46210</v>
      </c>
      <c r="C4124" s="1" t="n">
        <v>11</v>
      </c>
      <c r="D4124" s="1" t="s">
        <v>2290</v>
      </c>
      <c r="E4124" s="1" t="n">
        <v>1815</v>
      </c>
      <c r="F4124" s="1" t="s">
        <v>53</v>
      </c>
      <c r="I4124" s="1" t="n">
        <v>390537</v>
      </c>
      <c r="J4124" s="1" t="n">
        <v>31798</v>
      </c>
      <c r="K4124" s="1" t="n">
        <v>7898922012392</v>
      </c>
      <c r="L4124" s="1" t="s">
        <v>2394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5" t="n">
        <v>46210</v>
      </c>
      <c r="C4125" s="1" t="n">
        <v>11</v>
      </c>
      <c r="D4125" s="1" t="s">
        <v>2290</v>
      </c>
      <c r="E4125" s="1" t="n">
        <v>1815</v>
      </c>
      <c r="F4125" s="1" t="s">
        <v>53</v>
      </c>
      <c r="I4125" s="1" t="n">
        <v>390537</v>
      </c>
      <c r="J4125" s="1" t="n">
        <v>33534</v>
      </c>
      <c r="K4125" s="1" t="n">
        <v>7898922012408</v>
      </c>
      <c r="L4125" s="1" t="s">
        <v>2395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5" t="n">
        <v>46210</v>
      </c>
      <c r="C4126" s="1" t="n">
        <v>11</v>
      </c>
      <c r="D4126" s="1" t="s">
        <v>2290</v>
      </c>
      <c r="E4126" s="1" t="n">
        <v>1815</v>
      </c>
      <c r="F4126" s="1" t="s">
        <v>53</v>
      </c>
      <c r="I4126" s="1" t="n">
        <v>390537</v>
      </c>
      <c r="J4126" s="1" t="n">
        <v>110191</v>
      </c>
      <c r="K4126" s="1" t="n">
        <v>37402</v>
      </c>
      <c r="L4126" s="1" t="s">
        <v>2396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5" t="n">
        <v>46210</v>
      </c>
      <c r="C4127" s="1" t="n">
        <v>11</v>
      </c>
      <c r="D4127" s="1" t="s">
        <v>2290</v>
      </c>
      <c r="E4127" s="1" t="n">
        <v>1815</v>
      </c>
      <c r="F4127" s="1" t="s">
        <v>53</v>
      </c>
      <c r="I4127" s="1" t="n">
        <v>390537</v>
      </c>
      <c r="J4127" s="1" t="n">
        <v>61513</v>
      </c>
      <c r="K4127" s="1" t="n">
        <v>742832226301</v>
      </c>
      <c r="L4127" s="1" t="s">
        <v>2996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5" t="n">
        <v>46210</v>
      </c>
      <c r="C4128" s="1" t="n">
        <v>11</v>
      </c>
      <c r="D4128" s="1" t="s">
        <v>2290</v>
      </c>
      <c r="E4128" s="1" t="n">
        <v>1815</v>
      </c>
      <c r="F4128" s="1" t="s">
        <v>53</v>
      </c>
      <c r="I4128" s="1" t="n">
        <v>390537</v>
      </c>
      <c r="J4128" s="1" t="n">
        <v>61514</v>
      </c>
      <c r="K4128" s="1" t="n">
        <v>742832226349</v>
      </c>
      <c r="L4128" s="1" t="s">
        <v>3938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5" t="n">
        <v>46210</v>
      </c>
      <c r="C4129" s="1" t="n">
        <v>11</v>
      </c>
      <c r="D4129" s="1" t="s">
        <v>2290</v>
      </c>
      <c r="E4129" s="1" t="n">
        <v>1815</v>
      </c>
      <c r="F4129" s="1" t="s">
        <v>53</v>
      </c>
      <c r="I4129" s="1" t="n">
        <v>390537</v>
      </c>
      <c r="J4129" s="1" t="n">
        <v>78982</v>
      </c>
      <c r="K4129" s="1" t="n">
        <v>383</v>
      </c>
      <c r="L4129" s="1" t="s">
        <v>3939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5" t="n">
        <v>46210</v>
      </c>
      <c r="C4130" s="1" t="n">
        <v>11</v>
      </c>
      <c r="D4130" s="1" t="s">
        <v>2290</v>
      </c>
      <c r="E4130" s="1" t="n">
        <v>1612</v>
      </c>
      <c r="F4130" s="1" t="s">
        <v>264</v>
      </c>
      <c r="I4130" s="1" t="n">
        <v>2298987</v>
      </c>
      <c r="J4130" s="1" t="n">
        <v>100820</v>
      </c>
      <c r="K4130" s="1" t="n">
        <v>7896013100386</v>
      </c>
      <c r="L4130" s="1" t="s">
        <v>2558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5" t="n">
        <v>46210</v>
      </c>
      <c r="C4131" s="1" t="n">
        <v>11</v>
      </c>
      <c r="D4131" s="1" t="s">
        <v>2290</v>
      </c>
      <c r="E4131" s="1" t="n">
        <v>1612</v>
      </c>
      <c r="F4131" s="1" t="s">
        <v>264</v>
      </c>
      <c r="I4131" s="1" t="n">
        <v>2298987</v>
      </c>
      <c r="J4131" s="1" t="n">
        <v>100831</v>
      </c>
      <c r="K4131" s="1" t="n">
        <v>7896013102359</v>
      </c>
      <c r="L4131" s="1" t="s">
        <v>3940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5" t="n">
        <v>46210</v>
      </c>
      <c r="C4132" s="1" t="n">
        <v>11</v>
      </c>
      <c r="D4132" s="1" t="s">
        <v>2290</v>
      </c>
      <c r="E4132" s="1" t="n">
        <v>1612</v>
      </c>
      <c r="F4132" s="1" t="s">
        <v>264</v>
      </c>
      <c r="I4132" s="1" t="n">
        <v>2298987</v>
      </c>
      <c r="J4132" s="1" t="n">
        <v>100832</v>
      </c>
      <c r="K4132" s="1" t="n">
        <v>7896013100072</v>
      </c>
      <c r="L4132" s="1" t="s">
        <v>3941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5" t="n">
        <v>46210</v>
      </c>
      <c r="C4133" s="1" t="n">
        <v>11</v>
      </c>
      <c r="D4133" s="1" t="s">
        <v>2290</v>
      </c>
      <c r="E4133" s="1" t="n">
        <v>1612</v>
      </c>
      <c r="F4133" s="1" t="s">
        <v>264</v>
      </c>
      <c r="I4133" s="1" t="n">
        <v>2298987</v>
      </c>
      <c r="J4133" s="1" t="n">
        <v>100834</v>
      </c>
      <c r="K4133" s="1" t="n">
        <v>7896013100515</v>
      </c>
      <c r="L4133" s="1" t="s">
        <v>3942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5" t="n">
        <v>46210</v>
      </c>
      <c r="C4134" s="1" t="n">
        <v>11</v>
      </c>
      <c r="D4134" s="1" t="s">
        <v>2290</v>
      </c>
      <c r="E4134" s="1" t="n">
        <v>1612</v>
      </c>
      <c r="F4134" s="1" t="s">
        <v>264</v>
      </c>
      <c r="I4134" s="1" t="n">
        <v>2298987</v>
      </c>
      <c r="J4134" s="1" t="n">
        <v>103880</v>
      </c>
      <c r="K4134" s="1" t="n">
        <v>7896013104438</v>
      </c>
      <c r="L4134" s="1" t="s">
        <v>3943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5" t="n">
        <v>46210</v>
      </c>
      <c r="C4135" s="1" t="n">
        <v>11</v>
      </c>
      <c r="D4135" s="1" t="s">
        <v>2290</v>
      </c>
      <c r="E4135" s="1" t="n">
        <v>1612</v>
      </c>
      <c r="F4135" s="1" t="s">
        <v>264</v>
      </c>
      <c r="I4135" s="1" t="n">
        <v>2298987</v>
      </c>
      <c r="J4135" s="1" t="n">
        <v>103881</v>
      </c>
      <c r="K4135" s="1" t="n">
        <v>7896013100546</v>
      </c>
      <c r="L4135" s="1" t="s">
        <v>3944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5" t="n">
        <v>46210</v>
      </c>
      <c r="C4136" s="1" t="n">
        <v>11</v>
      </c>
      <c r="D4136" s="1" t="s">
        <v>2290</v>
      </c>
      <c r="E4136" s="1" t="n">
        <v>1612</v>
      </c>
      <c r="F4136" s="1" t="s">
        <v>264</v>
      </c>
      <c r="I4136" s="1" t="n">
        <v>2298987</v>
      </c>
      <c r="J4136" s="1" t="n">
        <v>105107</v>
      </c>
      <c r="K4136" s="1" t="n">
        <v>7896013102854</v>
      </c>
      <c r="L4136" s="1" t="s">
        <v>3945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5" t="n">
        <v>46210</v>
      </c>
      <c r="C4137" s="1" t="n">
        <v>11</v>
      </c>
      <c r="D4137" s="1" t="s">
        <v>2290</v>
      </c>
      <c r="E4137" s="1" t="n">
        <v>1612</v>
      </c>
      <c r="F4137" s="1" t="s">
        <v>264</v>
      </c>
      <c r="I4137" s="1" t="n">
        <v>2298987</v>
      </c>
      <c r="J4137" s="1" t="n">
        <v>105454</v>
      </c>
      <c r="K4137" s="1" t="n">
        <v>7896013100966</v>
      </c>
      <c r="L4137" s="1" t="s">
        <v>3946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5" t="n">
        <v>46210</v>
      </c>
      <c r="C4138" s="1" t="n">
        <v>11</v>
      </c>
      <c r="D4138" s="1" t="s">
        <v>2290</v>
      </c>
      <c r="E4138" s="1" t="n">
        <v>1612</v>
      </c>
      <c r="F4138" s="1" t="s">
        <v>264</v>
      </c>
      <c r="I4138" s="1" t="n">
        <v>2298987</v>
      </c>
      <c r="J4138" s="1" t="n">
        <v>109517</v>
      </c>
      <c r="K4138" s="1" t="n">
        <v>7896013102496</v>
      </c>
      <c r="L4138" s="1" t="s">
        <v>3947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5" t="n">
        <v>46210</v>
      </c>
      <c r="C4139" s="1" t="n">
        <v>11</v>
      </c>
      <c r="D4139" s="1" t="s">
        <v>2290</v>
      </c>
      <c r="E4139" s="1" t="n">
        <v>1612</v>
      </c>
      <c r="F4139" s="1" t="s">
        <v>264</v>
      </c>
      <c r="I4139" s="1" t="n">
        <v>2298987</v>
      </c>
      <c r="J4139" s="1" t="n">
        <v>109519</v>
      </c>
      <c r="K4139" s="1" t="n">
        <v>7896013102427</v>
      </c>
      <c r="L4139" s="1" t="s">
        <v>3948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5" t="n">
        <v>46210</v>
      </c>
      <c r="C4140" s="1" t="n">
        <v>11</v>
      </c>
      <c r="D4140" s="1" t="s">
        <v>2290</v>
      </c>
      <c r="E4140" s="1" t="n">
        <v>1612</v>
      </c>
      <c r="F4140" s="1" t="s">
        <v>264</v>
      </c>
      <c r="I4140" s="1" t="n">
        <v>2298987</v>
      </c>
      <c r="J4140" s="1" t="n">
        <v>109524</v>
      </c>
      <c r="K4140" s="1" t="n">
        <v>7896013102472</v>
      </c>
      <c r="L4140" s="1" t="s">
        <v>3949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5" t="n">
        <v>46210</v>
      </c>
      <c r="C4141" s="1" t="n">
        <v>11</v>
      </c>
      <c r="D4141" s="1" t="s">
        <v>2290</v>
      </c>
      <c r="E4141" s="1" t="n">
        <v>1612</v>
      </c>
      <c r="F4141" s="1" t="s">
        <v>264</v>
      </c>
      <c r="I4141" s="1" t="n">
        <v>2298987</v>
      </c>
      <c r="J4141" s="1" t="n">
        <v>11568</v>
      </c>
      <c r="K4141" s="1" t="n">
        <v>7896013104193</v>
      </c>
      <c r="L4141" s="1" t="s">
        <v>3950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5" t="n">
        <v>46210</v>
      </c>
      <c r="C4142" s="1" t="n">
        <v>11</v>
      </c>
      <c r="D4142" s="1" t="s">
        <v>2290</v>
      </c>
      <c r="E4142" s="1" t="n">
        <v>1612</v>
      </c>
      <c r="F4142" s="1" t="s">
        <v>264</v>
      </c>
      <c r="I4142" s="1" t="n">
        <v>2298987</v>
      </c>
      <c r="J4142" s="1" t="n">
        <v>12563</v>
      </c>
      <c r="K4142" s="1" t="n">
        <v>7896013104216</v>
      </c>
      <c r="L4142" s="1" t="s">
        <v>3951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5" t="n">
        <v>46210</v>
      </c>
      <c r="C4143" s="1" t="n">
        <v>11</v>
      </c>
      <c r="D4143" s="1" t="s">
        <v>2290</v>
      </c>
      <c r="E4143" s="1" t="n">
        <v>1612</v>
      </c>
      <c r="F4143" s="1" t="s">
        <v>264</v>
      </c>
      <c r="I4143" s="1" t="n">
        <v>2298987</v>
      </c>
      <c r="J4143" s="1" t="n">
        <v>16765</v>
      </c>
      <c r="K4143" s="1" t="n">
        <v>7896013101628</v>
      </c>
      <c r="L4143" s="1" t="s">
        <v>3952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5" t="n">
        <v>46210</v>
      </c>
      <c r="C4144" s="1" t="n">
        <v>11</v>
      </c>
      <c r="D4144" s="1" t="s">
        <v>2290</v>
      </c>
      <c r="E4144" s="1" t="n">
        <v>1612</v>
      </c>
      <c r="F4144" s="1" t="s">
        <v>264</v>
      </c>
      <c r="I4144" s="1" t="n">
        <v>2298987</v>
      </c>
      <c r="J4144" s="1" t="n">
        <v>17478</v>
      </c>
      <c r="K4144" s="1" t="n">
        <v>7896013105299</v>
      </c>
      <c r="L4144" s="1" t="s">
        <v>3953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5" t="n">
        <v>46210</v>
      </c>
      <c r="C4145" s="1" t="n">
        <v>11</v>
      </c>
      <c r="D4145" s="1" t="s">
        <v>2290</v>
      </c>
      <c r="E4145" s="1" t="n">
        <v>1612</v>
      </c>
      <c r="F4145" s="1" t="s">
        <v>264</v>
      </c>
      <c r="I4145" s="1" t="n">
        <v>2298987</v>
      </c>
      <c r="J4145" s="1" t="n">
        <v>20645</v>
      </c>
      <c r="K4145" s="1" t="n">
        <v>7896013105282</v>
      </c>
      <c r="L4145" s="1" t="s">
        <v>3954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5" t="n">
        <v>46210</v>
      </c>
      <c r="C4146" s="1" t="n">
        <v>11</v>
      </c>
      <c r="D4146" s="1" t="s">
        <v>2290</v>
      </c>
      <c r="E4146" s="1" t="n">
        <v>1612</v>
      </c>
      <c r="F4146" s="1" t="s">
        <v>264</v>
      </c>
      <c r="I4146" s="1" t="n">
        <v>2298987</v>
      </c>
      <c r="J4146" s="1" t="n">
        <v>21372</v>
      </c>
      <c r="K4146" s="1" t="n">
        <v>7896013105305</v>
      </c>
      <c r="L4146" s="1" t="s">
        <v>3955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5" t="n">
        <v>46210</v>
      </c>
      <c r="C4147" s="1" t="n">
        <v>11</v>
      </c>
      <c r="D4147" s="1" t="s">
        <v>2290</v>
      </c>
      <c r="E4147" s="1" t="n">
        <v>1612</v>
      </c>
      <c r="F4147" s="1" t="s">
        <v>264</v>
      </c>
      <c r="I4147" s="1" t="n">
        <v>2298987</v>
      </c>
      <c r="J4147" s="1" t="n">
        <v>24943</v>
      </c>
      <c r="K4147" s="1" t="n">
        <v>7896058506105</v>
      </c>
      <c r="L4147" s="1" t="s">
        <v>3956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5" t="n">
        <v>46210</v>
      </c>
      <c r="C4148" s="1" t="n">
        <v>11</v>
      </c>
      <c r="D4148" s="1" t="s">
        <v>2290</v>
      </c>
      <c r="E4148" s="1" t="n">
        <v>1612</v>
      </c>
      <c r="F4148" s="1" t="s">
        <v>264</v>
      </c>
      <c r="I4148" s="1" t="n">
        <v>2298987</v>
      </c>
      <c r="J4148" s="1" t="n">
        <v>27537</v>
      </c>
      <c r="K4148" s="1" t="n">
        <v>7896013106968</v>
      </c>
      <c r="L4148" s="1" t="s">
        <v>3957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5" t="n">
        <v>46210</v>
      </c>
      <c r="C4149" s="1" t="n">
        <v>11</v>
      </c>
      <c r="D4149" s="1" t="s">
        <v>2290</v>
      </c>
      <c r="E4149" s="1" t="n">
        <v>1612</v>
      </c>
      <c r="F4149" s="1" t="s">
        <v>264</v>
      </c>
      <c r="I4149" s="1" t="n">
        <v>2298987</v>
      </c>
      <c r="J4149" s="1" t="n">
        <v>29655</v>
      </c>
      <c r="K4149" s="1" t="n">
        <v>7896013107897</v>
      </c>
      <c r="L4149" s="1" t="s">
        <v>3958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5" t="n">
        <v>46210</v>
      </c>
      <c r="C4150" s="1" t="n">
        <v>11</v>
      </c>
      <c r="D4150" s="1" t="s">
        <v>2290</v>
      </c>
      <c r="E4150" s="1" t="n">
        <v>1612</v>
      </c>
      <c r="F4150" s="1" t="s">
        <v>264</v>
      </c>
      <c r="I4150" s="1" t="n">
        <v>2298987</v>
      </c>
      <c r="J4150" s="1" t="n">
        <v>29656</v>
      </c>
      <c r="K4150" s="1" t="n">
        <v>7896013107880</v>
      </c>
      <c r="L4150" s="1" t="s">
        <v>3959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5" t="n">
        <v>46210</v>
      </c>
      <c r="C4151" s="1" t="n">
        <v>11</v>
      </c>
      <c r="D4151" s="1" t="s">
        <v>2290</v>
      </c>
      <c r="E4151" s="1" t="n">
        <v>1612</v>
      </c>
      <c r="F4151" s="1" t="s">
        <v>264</v>
      </c>
      <c r="I4151" s="1" t="n">
        <v>2298987</v>
      </c>
      <c r="J4151" s="1" t="n">
        <v>29657</v>
      </c>
      <c r="K4151" s="1" t="n">
        <v>7896013107859</v>
      </c>
      <c r="L4151" s="1" t="s">
        <v>3960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5" t="n">
        <v>46210</v>
      </c>
      <c r="C4152" s="1" t="n">
        <v>11</v>
      </c>
      <c r="D4152" s="1" t="s">
        <v>2290</v>
      </c>
      <c r="E4152" s="1" t="n">
        <v>1612</v>
      </c>
      <c r="F4152" s="1" t="s">
        <v>264</v>
      </c>
      <c r="I4152" s="1" t="n">
        <v>2298987</v>
      </c>
      <c r="J4152" s="1" t="n">
        <v>29881</v>
      </c>
      <c r="K4152" s="1" t="n">
        <v>7896013107866</v>
      </c>
      <c r="L4152" s="1" t="s">
        <v>3961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5" t="n">
        <v>46210</v>
      </c>
      <c r="C4153" s="1" t="n">
        <v>11</v>
      </c>
      <c r="D4153" s="1" t="s">
        <v>2290</v>
      </c>
      <c r="E4153" s="1" t="n">
        <v>1612</v>
      </c>
      <c r="F4153" s="1" t="s">
        <v>264</v>
      </c>
      <c r="I4153" s="1" t="n">
        <v>2298987</v>
      </c>
      <c r="J4153" s="1" t="n">
        <v>31796</v>
      </c>
      <c r="K4153" s="1" t="n">
        <v>7896013107927</v>
      </c>
      <c r="L4153" s="1" t="s">
        <v>3962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5" t="n">
        <v>46210</v>
      </c>
      <c r="C4154" s="1" t="n">
        <v>11</v>
      </c>
      <c r="D4154" s="1" t="s">
        <v>2290</v>
      </c>
      <c r="E4154" s="1" t="n">
        <v>1612</v>
      </c>
      <c r="F4154" s="1" t="s">
        <v>264</v>
      </c>
      <c r="I4154" s="1" t="n">
        <v>2298987</v>
      </c>
      <c r="J4154" s="1" t="n">
        <v>34478</v>
      </c>
      <c r="K4154" s="1" t="n">
        <v>7896013107873</v>
      </c>
      <c r="L4154" s="1" t="s">
        <v>3963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5" t="n">
        <v>46210</v>
      </c>
      <c r="C4155" s="1" t="n">
        <v>11</v>
      </c>
      <c r="D4155" s="1" t="s">
        <v>2290</v>
      </c>
      <c r="E4155" s="1" t="n">
        <v>1612</v>
      </c>
      <c r="F4155" s="1" t="s">
        <v>264</v>
      </c>
      <c r="I4155" s="1" t="n">
        <v>2298987</v>
      </c>
      <c r="J4155" s="1" t="n">
        <v>34649</v>
      </c>
      <c r="K4155" s="1" t="n">
        <v>7896013108191</v>
      </c>
      <c r="L4155" s="1" t="s">
        <v>3964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5" t="n">
        <v>46210</v>
      </c>
      <c r="C4156" s="1" t="n">
        <v>11</v>
      </c>
      <c r="D4156" s="1" t="s">
        <v>2290</v>
      </c>
      <c r="E4156" s="1" t="n">
        <v>1612</v>
      </c>
      <c r="F4156" s="1" t="s">
        <v>264</v>
      </c>
      <c r="I4156" s="1" t="n">
        <v>2298987</v>
      </c>
      <c r="J4156" s="1" t="n">
        <v>36271</v>
      </c>
      <c r="K4156" s="1" t="n">
        <v>7896013108160</v>
      </c>
      <c r="L4156" s="1" t="s">
        <v>3965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5" t="n">
        <v>46210</v>
      </c>
      <c r="C4157" s="1" t="n">
        <v>11</v>
      </c>
      <c r="D4157" s="1" t="s">
        <v>2290</v>
      </c>
      <c r="E4157" s="1" t="n">
        <v>1612</v>
      </c>
      <c r="F4157" s="1" t="s">
        <v>264</v>
      </c>
      <c r="I4157" s="1" t="n">
        <v>2298987</v>
      </c>
      <c r="J4157" s="1" t="n">
        <v>36272</v>
      </c>
      <c r="K4157" s="1" t="n">
        <v>7896013108184</v>
      </c>
      <c r="L4157" s="1" t="s">
        <v>3966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5" t="n">
        <v>46210</v>
      </c>
      <c r="C4158" s="1" t="n">
        <v>11</v>
      </c>
      <c r="D4158" s="1" t="s">
        <v>2290</v>
      </c>
      <c r="E4158" s="1" t="n">
        <v>1612</v>
      </c>
      <c r="F4158" s="1" t="s">
        <v>264</v>
      </c>
      <c r="I4158" s="1" t="n">
        <v>2298987</v>
      </c>
      <c r="J4158" s="1" t="n">
        <v>36273</v>
      </c>
      <c r="K4158" s="1" t="n">
        <v>7896013108177</v>
      </c>
      <c r="L4158" s="1" t="s">
        <v>3967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5" t="n">
        <v>46210</v>
      </c>
      <c r="C4159" s="1" t="n">
        <v>11</v>
      </c>
      <c r="D4159" s="1" t="s">
        <v>2290</v>
      </c>
      <c r="E4159" s="1" t="n">
        <v>1612</v>
      </c>
      <c r="F4159" s="1" t="s">
        <v>264</v>
      </c>
      <c r="I4159" s="1" t="n">
        <v>2298987</v>
      </c>
      <c r="J4159" s="1" t="n">
        <v>36892</v>
      </c>
      <c r="K4159" s="1" t="n">
        <v>7896058506099</v>
      </c>
      <c r="L4159" s="1" t="s">
        <v>3968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5" t="n">
        <v>46210</v>
      </c>
      <c r="C4160" s="1" t="n">
        <v>11</v>
      </c>
      <c r="D4160" s="1" t="s">
        <v>2290</v>
      </c>
      <c r="E4160" s="1" t="n">
        <v>1612</v>
      </c>
      <c r="F4160" s="1" t="s">
        <v>264</v>
      </c>
      <c r="I4160" s="1" t="n">
        <v>2298987</v>
      </c>
      <c r="J4160" s="1" t="n">
        <v>37539</v>
      </c>
      <c r="K4160" s="1" t="n">
        <v>7896013106951</v>
      </c>
      <c r="L4160" s="1" t="s">
        <v>3969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5" t="n">
        <v>46210</v>
      </c>
      <c r="C4161" s="1" t="n">
        <v>11</v>
      </c>
      <c r="D4161" s="1" t="s">
        <v>2290</v>
      </c>
      <c r="E4161" s="1" t="n">
        <v>1612</v>
      </c>
      <c r="F4161" s="1" t="s">
        <v>264</v>
      </c>
      <c r="I4161" s="1" t="n">
        <v>2298987</v>
      </c>
      <c r="J4161" s="1" t="n">
        <v>46521</v>
      </c>
      <c r="K4161" s="1" t="n">
        <v>7898331012761</v>
      </c>
      <c r="L4161" s="1" t="s">
        <v>2563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5" t="n">
        <v>46210</v>
      </c>
      <c r="C4162" s="1" t="n">
        <v>11</v>
      </c>
      <c r="D4162" s="1" t="s">
        <v>2290</v>
      </c>
      <c r="E4162" s="1" t="n">
        <v>1612</v>
      </c>
      <c r="F4162" s="1" t="s">
        <v>264</v>
      </c>
      <c r="I4162" s="1" t="n">
        <v>2298987</v>
      </c>
      <c r="J4162" s="1" t="n">
        <v>46785</v>
      </c>
      <c r="K4162" s="1" t="n">
        <v>7898331012969</v>
      </c>
      <c r="L4162" s="1" t="s">
        <v>3970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5" t="n">
        <v>46210</v>
      </c>
      <c r="C4163" s="1" t="n">
        <v>11</v>
      </c>
      <c r="D4163" s="1" t="s">
        <v>2290</v>
      </c>
      <c r="E4163" s="1" t="n">
        <v>1612</v>
      </c>
      <c r="F4163" s="1" t="s">
        <v>264</v>
      </c>
      <c r="I4163" s="1" t="n">
        <v>2298987</v>
      </c>
      <c r="J4163" s="1" t="n">
        <v>57078</v>
      </c>
      <c r="K4163" s="1" t="n">
        <v>7898331013270</v>
      </c>
      <c r="L4163" s="1" t="s">
        <v>3971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5" t="n">
        <v>46210</v>
      </c>
      <c r="C4164" s="1" t="n">
        <v>11</v>
      </c>
      <c r="D4164" s="1" t="s">
        <v>2290</v>
      </c>
      <c r="E4164" s="1" t="n">
        <v>1612</v>
      </c>
      <c r="F4164" s="1" t="s">
        <v>264</v>
      </c>
      <c r="I4164" s="1" t="n">
        <v>2298987</v>
      </c>
      <c r="J4164" s="1" t="n">
        <v>78733</v>
      </c>
      <c r="K4164" s="1" t="n">
        <v>7896003740325</v>
      </c>
      <c r="L4164" s="1" t="s">
        <v>3972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5" t="n">
        <v>46211</v>
      </c>
      <c r="C4165" s="1" t="n">
        <v>1</v>
      </c>
      <c r="D4165" s="1" t="s">
        <v>2317</v>
      </c>
      <c r="E4165" s="1" t="n">
        <v>1378</v>
      </c>
      <c r="F4165" s="1" t="s">
        <v>120</v>
      </c>
      <c r="I4165" s="1" t="n">
        <v>18119</v>
      </c>
      <c r="J4165" s="1" t="n">
        <v>74061</v>
      </c>
      <c r="K4165" s="1" t="n">
        <v>42882264255</v>
      </c>
      <c r="L4165" s="1" t="s">
        <v>2340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5" t="n">
        <v>46211</v>
      </c>
      <c r="C4166" s="1" t="n">
        <v>1</v>
      </c>
      <c r="D4166" s="1" t="s">
        <v>2317</v>
      </c>
      <c r="E4166" s="1" t="n">
        <v>1378</v>
      </c>
      <c r="F4166" s="1" t="s">
        <v>120</v>
      </c>
      <c r="I4166" s="1" t="n">
        <v>18119</v>
      </c>
      <c r="J4166" s="1" t="n">
        <v>74063</v>
      </c>
      <c r="K4166" s="1" t="n">
        <v>42882264262</v>
      </c>
      <c r="L4166" s="1" t="s">
        <v>2341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5" t="n">
        <v>46211</v>
      </c>
      <c r="C4167" s="1" t="n">
        <v>1</v>
      </c>
      <c r="D4167" s="1" t="s">
        <v>2317</v>
      </c>
      <c r="E4167" s="1" t="n">
        <v>1378</v>
      </c>
      <c r="F4167" s="1" t="s">
        <v>120</v>
      </c>
      <c r="I4167" s="1" t="n">
        <v>18119</v>
      </c>
      <c r="J4167" s="1" t="n">
        <v>74064</v>
      </c>
      <c r="K4167" s="1" t="n">
        <v>42882264279</v>
      </c>
      <c r="L4167" s="1" t="s">
        <v>2342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5" t="n">
        <v>46211</v>
      </c>
      <c r="C4168" s="1" t="n">
        <v>1</v>
      </c>
      <c r="D4168" s="1" t="s">
        <v>2317</v>
      </c>
      <c r="E4168" s="1" t="n">
        <v>1378</v>
      </c>
      <c r="F4168" s="1" t="s">
        <v>120</v>
      </c>
      <c r="I4168" s="1" t="n">
        <v>18119</v>
      </c>
      <c r="J4168" s="1" t="n">
        <v>77994</v>
      </c>
      <c r="K4168" s="1" t="n">
        <v>780117</v>
      </c>
      <c r="L4168" s="1" t="s">
        <v>2344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5" t="n">
        <v>46211</v>
      </c>
      <c r="C4169" s="1" t="n">
        <v>1</v>
      </c>
      <c r="D4169" s="1" t="s">
        <v>2317</v>
      </c>
      <c r="E4169" s="1" t="n">
        <v>1672</v>
      </c>
      <c r="F4169" s="1" t="s">
        <v>67</v>
      </c>
      <c r="I4169" s="1" t="n">
        <v>1388539</v>
      </c>
      <c r="J4169" s="1" t="n">
        <v>101308</v>
      </c>
      <c r="K4169" s="1" t="n">
        <v>7896579330098</v>
      </c>
      <c r="L4169" s="1" t="s">
        <v>2434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5" t="n">
        <v>46211</v>
      </c>
      <c r="C4170" s="1" t="n">
        <v>1</v>
      </c>
      <c r="D4170" s="1" t="s">
        <v>2317</v>
      </c>
      <c r="E4170" s="1" t="n">
        <v>1672</v>
      </c>
      <c r="F4170" s="1" t="s">
        <v>67</v>
      </c>
      <c r="I4170" s="1" t="n">
        <v>1388539</v>
      </c>
      <c r="J4170" s="1" t="n">
        <v>37507</v>
      </c>
      <c r="K4170" s="1" t="n">
        <v>7896579310854</v>
      </c>
      <c r="L4170" s="1" t="s">
        <v>2435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5" t="n">
        <v>46211</v>
      </c>
      <c r="C4171" s="1" t="n">
        <v>2</v>
      </c>
      <c r="D4171" s="1" t="s">
        <v>2283</v>
      </c>
      <c r="E4171" s="1" t="n">
        <v>42</v>
      </c>
      <c r="F4171" s="1" t="s">
        <v>80</v>
      </c>
      <c r="I4171" s="1" t="n">
        <v>80701</v>
      </c>
      <c r="J4171" s="1" t="n">
        <v>74674</v>
      </c>
      <c r="K4171" s="1" t="n">
        <v>741</v>
      </c>
      <c r="L4171" s="1" t="s">
        <v>2919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5" t="n">
        <v>46211</v>
      </c>
      <c r="C4172" s="1" t="n">
        <v>2</v>
      </c>
      <c r="D4172" s="1" t="s">
        <v>2283</v>
      </c>
      <c r="E4172" s="1" t="n">
        <v>42</v>
      </c>
      <c r="F4172" s="1" t="s">
        <v>80</v>
      </c>
      <c r="I4172" s="1" t="n">
        <v>80702</v>
      </c>
      <c r="J4172" s="1" t="n">
        <v>100103</v>
      </c>
      <c r="K4172" s="1" t="n">
        <v>104</v>
      </c>
      <c r="L4172" s="1" t="s">
        <v>2287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5" t="n">
        <v>46211</v>
      </c>
      <c r="C4173" s="1" t="n">
        <v>2</v>
      </c>
      <c r="D4173" s="1" t="s">
        <v>2283</v>
      </c>
      <c r="E4173" s="1" t="n">
        <v>42</v>
      </c>
      <c r="F4173" s="1" t="s">
        <v>80</v>
      </c>
      <c r="I4173" s="1" t="n">
        <v>80703</v>
      </c>
      <c r="J4173" s="1" t="n">
        <v>37359</v>
      </c>
      <c r="K4173" s="1" t="n">
        <v>55526</v>
      </c>
      <c r="L4173" s="1" t="s">
        <v>2285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5" t="n">
        <v>46211</v>
      </c>
      <c r="C4174" s="1" t="n">
        <v>2</v>
      </c>
      <c r="D4174" s="1" t="s">
        <v>2283</v>
      </c>
      <c r="E4174" s="1" t="n">
        <v>42</v>
      </c>
      <c r="F4174" s="1" t="s">
        <v>80</v>
      </c>
      <c r="I4174" s="1" t="n">
        <v>80703</v>
      </c>
      <c r="J4174" s="1" t="n">
        <v>37361</v>
      </c>
      <c r="K4174" s="1" t="n">
        <v>2240817</v>
      </c>
      <c r="L4174" s="1" t="s">
        <v>2286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5" t="n">
        <v>46211</v>
      </c>
      <c r="C4175" s="1" t="n">
        <v>6</v>
      </c>
      <c r="D4175" s="1" t="s">
        <v>2289</v>
      </c>
      <c r="E4175" s="1" t="n">
        <v>42</v>
      </c>
      <c r="F4175" s="1" t="s">
        <v>80</v>
      </c>
      <c r="I4175" s="1" t="n">
        <v>4362</v>
      </c>
      <c r="J4175" s="1" t="n">
        <v>74674</v>
      </c>
      <c r="K4175" s="1" t="n">
        <v>741</v>
      </c>
      <c r="L4175" s="1" t="s">
        <v>2919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5" t="n">
        <v>46211</v>
      </c>
      <c r="C4176" s="1" t="n">
        <v>6</v>
      </c>
      <c r="D4176" s="1" t="s">
        <v>2289</v>
      </c>
      <c r="E4176" s="1" t="n">
        <v>42</v>
      </c>
      <c r="F4176" s="1" t="s">
        <v>80</v>
      </c>
      <c r="I4176" s="1" t="n">
        <v>4363</v>
      </c>
      <c r="J4176" s="1" t="n">
        <v>100103</v>
      </c>
      <c r="K4176" s="1" t="n">
        <v>104</v>
      </c>
      <c r="L4176" s="1" t="s">
        <v>2287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5" t="n">
        <v>46211</v>
      </c>
      <c r="C4177" s="1" t="n">
        <v>6</v>
      </c>
      <c r="D4177" s="1" t="s">
        <v>2289</v>
      </c>
      <c r="E4177" s="1" t="n">
        <v>42</v>
      </c>
      <c r="F4177" s="1" t="s">
        <v>80</v>
      </c>
      <c r="I4177" s="1" t="n">
        <v>4364</v>
      </c>
      <c r="J4177" s="1" t="n">
        <v>37359</v>
      </c>
      <c r="K4177" s="1" t="n">
        <v>55526</v>
      </c>
      <c r="L4177" s="1" t="s">
        <v>2285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5" t="n">
        <v>46211</v>
      </c>
      <c r="C4178" s="1" t="n">
        <v>6</v>
      </c>
      <c r="D4178" s="1" t="s">
        <v>2289</v>
      </c>
      <c r="E4178" s="1" t="n">
        <v>42</v>
      </c>
      <c r="F4178" s="1" t="s">
        <v>80</v>
      </c>
      <c r="I4178" s="1" t="n">
        <v>4364</v>
      </c>
      <c r="J4178" s="1" t="n">
        <v>37361</v>
      </c>
      <c r="K4178" s="1" t="n">
        <v>2240817</v>
      </c>
      <c r="L4178" s="1" t="s">
        <v>2286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5" t="n">
        <v>46212</v>
      </c>
      <c r="C4179" s="1" t="n">
        <v>1</v>
      </c>
      <c r="D4179" s="1" t="s">
        <v>2317</v>
      </c>
      <c r="E4179" s="1" t="n">
        <v>1722</v>
      </c>
      <c r="F4179" s="1" t="s">
        <v>417</v>
      </c>
      <c r="I4179" s="1" t="n">
        <v>6756</v>
      </c>
      <c r="J4179" s="1" t="n">
        <v>66756</v>
      </c>
      <c r="K4179" s="1" t="n">
        <v>40141707161</v>
      </c>
      <c r="L4179" s="1" t="s">
        <v>3793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5" t="n">
        <v>46212</v>
      </c>
      <c r="C4180" s="1" t="n">
        <v>1</v>
      </c>
      <c r="D4180" s="1" t="s">
        <v>2317</v>
      </c>
      <c r="E4180" s="1" t="n">
        <v>1722</v>
      </c>
      <c r="F4180" s="1" t="s">
        <v>417</v>
      </c>
      <c r="I4180" s="1" t="n">
        <v>6756</v>
      </c>
      <c r="J4180" s="1" t="n">
        <v>67102</v>
      </c>
      <c r="K4180" s="1" t="n">
        <v>40141707178</v>
      </c>
      <c r="L4180" s="1" t="s">
        <v>2567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5" t="n">
        <v>46212</v>
      </c>
      <c r="C4181" s="1" t="n">
        <v>1</v>
      </c>
      <c r="D4181" s="1" t="s">
        <v>2317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2739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5" t="n">
        <v>46212</v>
      </c>
      <c r="C4182" s="1" t="n">
        <v>1</v>
      </c>
      <c r="D4182" s="1" t="s">
        <v>2317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2740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5" t="n">
        <v>46212</v>
      </c>
      <c r="C4183" s="1" t="n">
        <v>1</v>
      </c>
      <c r="D4183" s="1" t="s">
        <v>2317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2483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5" t="n">
        <v>46212</v>
      </c>
      <c r="C4184" s="1" t="n">
        <v>1</v>
      </c>
      <c r="D4184" s="1" t="s">
        <v>2317</v>
      </c>
      <c r="E4184" s="1" t="n">
        <v>1734</v>
      </c>
      <c r="F4184" s="1" t="s">
        <v>125</v>
      </c>
      <c r="I4184" s="1" t="n">
        <v>255010</v>
      </c>
      <c r="J4184" s="1" t="n">
        <v>38215</v>
      </c>
      <c r="K4184" s="1" t="n">
        <v>7898055450474</v>
      </c>
      <c r="L4184" s="1" t="s">
        <v>2719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5" t="n">
        <v>46212</v>
      </c>
      <c r="C4185" s="1" t="n">
        <v>1</v>
      </c>
      <c r="D4185" s="1" t="s">
        <v>2317</v>
      </c>
      <c r="E4185" s="1" t="n">
        <v>1734</v>
      </c>
      <c r="F4185" s="1" t="s">
        <v>125</v>
      </c>
      <c r="I4185" s="1" t="n">
        <v>255010</v>
      </c>
      <c r="J4185" s="1" t="n">
        <v>38222</v>
      </c>
      <c r="K4185" s="1" t="n">
        <v>7898055450863</v>
      </c>
      <c r="L4185" s="1" t="s">
        <v>2376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5" t="n">
        <v>46212</v>
      </c>
      <c r="C4186" s="1" t="n">
        <v>1</v>
      </c>
      <c r="D4186" s="1" t="s">
        <v>2317</v>
      </c>
      <c r="E4186" s="1" t="n">
        <v>1734</v>
      </c>
      <c r="F4186" s="1" t="s">
        <v>125</v>
      </c>
      <c r="I4186" s="1" t="n">
        <v>255010</v>
      </c>
      <c r="J4186" s="1" t="n">
        <v>38782</v>
      </c>
      <c r="K4186" s="1" t="n">
        <v>7898055450306</v>
      </c>
      <c r="L4186" s="1" t="s">
        <v>2720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5" t="n">
        <v>46212</v>
      </c>
      <c r="C4187" s="1" t="n">
        <v>1</v>
      </c>
      <c r="D4187" s="1" t="s">
        <v>2317</v>
      </c>
      <c r="E4187" s="1" t="n">
        <v>1734</v>
      </c>
      <c r="F4187" s="1" t="s">
        <v>125</v>
      </c>
      <c r="I4187" s="1" t="n">
        <v>255010</v>
      </c>
      <c r="J4187" s="1" t="n">
        <v>38785</v>
      </c>
      <c r="K4187" s="1" t="n">
        <v>7898055450344</v>
      </c>
      <c r="L4187" s="1" t="s">
        <v>3683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5" t="n">
        <v>46212</v>
      </c>
      <c r="C4188" s="1" t="n">
        <v>1</v>
      </c>
      <c r="D4188" s="1" t="s">
        <v>2317</v>
      </c>
      <c r="E4188" s="1" t="n">
        <v>1734</v>
      </c>
      <c r="F4188" s="1" t="s">
        <v>125</v>
      </c>
      <c r="I4188" s="1" t="n">
        <v>255010</v>
      </c>
      <c r="J4188" s="1" t="n">
        <v>39028</v>
      </c>
      <c r="K4188" s="1" t="n">
        <v>7898055450368</v>
      </c>
      <c r="L4188" s="1" t="s">
        <v>2378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5" t="n">
        <v>46212</v>
      </c>
      <c r="C4189" s="1" t="n">
        <v>1</v>
      </c>
      <c r="D4189" s="1" t="s">
        <v>2317</v>
      </c>
      <c r="E4189" s="1" t="n">
        <v>1734</v>
      </c>
      <c r="F4189" s="1" t="s">
        <v>125</v>
      </c>
      <c r="I4189" s="1" t="n">
        <v>255010</v>
      </c>
      <c r="J4189" s="1" t="n">
        <v>45875</v>
      </c>
      <c r="K4189" s="1" t="n">
        <v>7898055450214</v>
      </c>
      <c r="L4189" s="1" t="s">
        <v>2724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5" t="n">
        <v>46212</v>
      </c>
      <c r="C4190" s="1" t="n">
        <v>1</v>
      </c>
      <c r="D4190" s="1" t="s">
        <v>2317</v>
      </c>
      <c r="E4190" s="1" t="n">
        <v>1642</v>
      </c>
      <c r="F4190" s="1" t="s">
        <v>274</v>
      </c>
      <c r="I4190" s="1" t="n">
        <v>1031024</v>
      </c>
      <c r="J4190" s="1" t="n">
        <v>105780</v>
      </c>
      <c r="K4190" s="1" t="n">
        <v>7896289210017</v>
      </c>
      <c r="L4190" s="1" t="s">
        <v>2467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5" t="n">
        <v>46212</v>
      </c>
      <c r="C4191" s="1" t="n">
        <v>1</v>
      </c>
      <c r="D4191" s="1" t="s">
        <v>2317</v>
      </c>
      <c r="E4191" s="1" t="n">
        <v>1642</v>
      </c>
      <c r="F4191" s="1" t="s">
        <v>274</v>
      </c>
      <c r="I4191" s="1" t="n">
        <v>1031024</v>
      </c>
      <c r="J4191" s="1" t="n">
        <v>105782</v>
      </c>
      <c r="K4191" s="1" t="n">
        <v>7896289210352</v>
      </c>
      <c r="L4191" s="1" t="s">
        <v>2468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5" t="n">
        <v>46212</v>
      </c>
      <c r="C4192" s="1" t="n">
        <v>1</v>
      </c>
      <c r="D4192" s="1" t="s">
        <v>2317</v>
      </c>
      <c r="E4192" s="1" t="n">
        <v>1642</v>
      </c>
      <c r="F4192" s="1" t="s">
        <v>274</v>
      </c>
      <c r="I4192" s="1" t="n">
        <v>1031024</v>
      </c>
      <c r="J4192" s="1" t="n">
        <v>106079</v>
      </c>
      <c r="K4192" s="1" t="n">
        <v>7896289210130</v>
      </c>
      <c r="L4192" s="1" t="s">
        <v>2469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5" t="n">
        <v>46212</v>
      </c>
      <c r="C4193" s="1" t="n">
        <v>1</v>
      </c>
      <c r="D4193" s="1" t="s">
        <v>2317</v>
      </c>
      <c r="E4193" s="1" t="n">
        <v>1642</v>
      </c>
      <c r="F4193" s="1" t="s">
        <v>274</v>
      </c>
      <c r="I4193" s="1" t="n">
        <v>1031024</v>
      </c>
      <c r="J4193" s="1" t="n">
        <v>106274</v>
      </c>
      <c r="K4193" s="1" t="n">
        <v>7896289210086</v>
      </c>
      <c r="L4193" s="1" t="s">
        <v>2470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5" t="n">
        <v>46212</v>
      </c>
      <c r="C4194" s="1" t="n">
        <v>1</v>
      </c>
      <c r="D4194" s="1" t="s">
        <v>2317</v>
      </c>
      <c r="E4194" s="1" t="n">
        <v>1642</v>
      </c>
      <c r="F4194" s="1" t="s">
        <v>274</v>
      </c>
      <c r="I4194" s="1" t="n">
        <v>1031024</v>
      </c>
      <c r="J4194" s="1" t="n">
        <v>106280</v>
      </c>
      <c r="K4194" s="1" t="n">
        <v>7896289210062</v>
      </c>
      <c r="L4194" s="1" t="s">
        <v>2471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5" t="n">
        <v>46212</v>
      </c>
      <c r="C4195" s="1" t="n">
        <v>1</v>
      </c>
      <c r="D4195" s="1" t="s">
        <v>2317</v>
      </c>
      <c r="E4195" s="1" t="n">
        <v>1642</v>
      </c>
      <c r="F4195" s="1" t="s">
        <v>274</v>
      </c>
      <c r="I4195" s="1" t="n">
        <v>1031024</v>
      </c>
      <c r="J4195" s="1" t="n">
        <v>106407</v>
      </c>
      <c r="K4195" s="1" t="n">
        <v>7896289210031</v>
      </c>
      <c r="L4195" s="1" t="s">
        <v>2472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5" t="n">
        <v>46212</v>
      </c>
      <c r="C4196" s="1" t="n">
        <v>6</v>
      </c>
      <c r="D4196" s="1" t="s">
        <v>2289</v>
      </c>
      <c r="E4196" s="1" t="n">
        <v>42</v>
      </c>
      <c r="F4196" s="1" t="s">
        <v>80</v>
      </c>
      <c r="I4196" s="1" t="n">
        <v>4369</v>
      </c>
      <c r="J4196" s="1" t="n">
        <v>109791</v>
      </c>
      <c r="K4196" s="1" t="n">
        <v>9667</v>
      </c>
      <c r="L4196" s="1" t="s">
        <v>2284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5" t="n">
        <v>46212</v>
      </c>
      <c r="C4197" s="1" t="n">
        <v>6</v>
      </c>
      <c r="D4197" s="1" t="s">
        <v>2289</v>
      </c>
      <c r="E4197" s="1" t="n">
        <v>42</v>
      </c>
      <c r="F4197" s="1" t="s">
        <v>80</v>
      </c>
      <c r="I4197" s="1" t="n">
        <v>4369</v>
      </c>
      <c r="J4197" s="1" t="n">
        <v>37361</v>
      </c>
      <c r="K4197" s="1" t="n">
        <v>2240817</v>
      </c>
      <c r="L4197" s="1" t="s">
        <v>2286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5" t="n">
        <v>46212</v>
      </c>
      <c r="C4198" s="1" t="n">
        <v>11</v>
      </c>
      <c r="D4198" s="1" t="s">
        <v>2290</v>
      </c>
      <c r="E4198" s="1" t="n">
        <v>1676</v>
      </c>
      <c r="F4198" s="1" t="s">
        <v>253</v>
      </c>
      <c r="I4198" s="1" t="n">
        <v>10718</v>
      </c>
      <c r="J4198" s="1" t="n">
        <v>11842</v>
      </c>
      <c r="K4198" s="1" t="n">
        <v>7896025800052</v>
      </c>
      <c r="L4198" s="1" t="s">
        <v>3973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5" t="n">
        <v>46212</v>
      </c>
      <c r="C4199" s="1" t="n">
        <v>11</v>
      </c>
      <c r="D4199" s="1" t="s">
        <v>2290</v>
      </c>
      <c r="E4199" s="1" t="n">
        <v>1676</v>
      </c>
      <c r="F4199" s="1" t="s">
        <v>253</v>
      </c>
      <c r="I4199" s="1" t="n">
        <v>10718</v>
      </c>
      <c r="J4199" s="1" t="n">
        <v>13343</v>
      </c>
      <c r="K4199" s="1" t="n">
        <v>7896327501060</v>
      </c>
      <c r="L4199" s="1" t="s">
        <v>3974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5" t="n">
        <v>46212</v>
      </c>
      <c r="C4200" s="1" t="n">
        <v>11</v>
      </c>
      <c r="D4200" s="1" t="s">
        <v>2290</v>
      </c>
      <c r="E4200" s="1" t="n">
        <v>1676</v>
      </c>
      <c r="F4200" s="1" t="s">
        <v>253</v>
      </c>
      <c r="I4200" s="1" t="n">
        <v>10718</v>
      </c>
      <c r="J4200" s="1" t="n">
        <v>14634</v>
      </c>
      <c r="K4200" s="1" t="n">
        <v>7891032015932</v>
      </c>
      <c r="L4200" s="1" t="s">
        <v>3975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5" t="n">
        <v>46212</v>
      </c>
      <c r="C4201" s="1" t="n">
        <v>11</v>
      </c>
      <c r="D4201" s="1" t="s">
        <v>2290</v>
      </c>
      <c r="E4201" s="1" t="n">
        <v>1676</v>
      </c>
      <c r="F4201" s="1" t="s">
        <v>253</v>
      </c>
      <c r="I4201" s="1" t="n">
        <v>10718</v>
      </c>
      <c r="J4201" s="1" t="n">
        <v>15607</v>
      </c>
      <c r="K4201" s="1" t="n">
        <v>7891340303714</v>
      </c>
      <c r="L4201" s="1" t="s">
        <v>2762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5" t="n">
        <v>46212</v>
      </c>
      <c r="C4202" s="1" t="n">
        <v>11</v>
      </c>
      <c r="D4202" s="1" t="s">
        <v>2290</v>
      </c>
      <c r="E4202" s="1" t="n">
        <v>1676</v>
      </c>
      <c r="F4202" s="1" t="s">
        <v>253</v>
      </c>
      <c r="I4202" s="1" t="n">
        <v>10718</v>
      </c>
      <c r="J4202" s="1" t="n">
        <v>15608</v>
      </c>
      <c r="K4202" s="1" t="n">
        <v>7891340303233</v>
      </c>
      <c r="L4202" s="1" t="s">
        <v>2763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5" t="n">
        <v>46212</v>
      </c>
      <c r="C4203" s="1" t="n">
        <v>11</v>
      </c>
      <c r="D4203" s="1" t="s">
        <v>2290</v>
      </c>
      <c r="E4203" s="1" t="n">
        <v>1676</v>
      </c>
      <c r="F4203" s="1" t="s">
        <v>253</v>
      </c>
      <c r="I4203" s="1" t="n">
        <v>10718</v>
      </c>
      <c r="J4203" s="1" t="n">
        <v>15650</v>
      </c>
      <c r="K4203" s="1" t="n">
        <v>7891340303615</v>
      </c>
      <c r="L4203" s="1" t="s">
        <v>2764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5" t="n">
        <v>46212</v>
      </c>
      <c r="C4204" s="1" t="n">
        <v>11</v>
      </c>
      <c r="D4204" s="1" t="s">
        <v>2290</v>
      </c>
      <c r="E4204" s="1" t="n">
        <v>1676</v>
      </c>
      <c r="F4204" s="1" t="s">
        <v>253</v>
      </c>
      <c r="I4204" s="1" t="n">
        <v>10718</v>
      </c>
      <c r="J4204" s="1" t="n">
        <v>15784</v>
      </c>
      <c r="K4204" s="1" t="n">
        <v>7891032015994</v>
      </c>
      <c r="L4204" s="1" t="s">
        <v>3976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5" t="n">
        <v>46212</v>
      </c>
      <c r="C4205" s="1" t="n">
        <v>11</v>
      </c>
      <c r="D4205" s="1" t="s">
        <v>2290</v>
      </c>
      <c r="E4205" s="1" t="n">
        <v>1676</v>
      </c>
      <c r="F4205" s="1" t="s">
        <v>253</v>
      </c>
      <c r="I4205" s="1" t="n">
        <v>10718</v>
      </c>
      <c r="J4205" s="1" t="n">
        <v>16280</v>
      </c>
      <c r="K4205" s="1" t="n">
        <v>7898932838036</v>
      </c>
      <c r="L4205" s="1" t="s">
        <v>3977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5" t="n">
        <v>46212</v>
      </c>
      <c r="C4206" s="1" t="n">
        <v>11</v>
      </c>
      <c r="D4206" s="1" t="s">
        <v>2290</v>
      </c>
      <c r="E4206" s="1" t="n">
        <v>1676</v>
      </c>
      <c r="F4206" s="1" t="s">
        <v>253</v>
      </c>
      <c r="I4206" s="1" t="n">
        <v>10718</v>
      </c>
      <c r="J4206" s="1" t="n">
        <v>17770</v>
      </c>
      <c r="K4206" s="1" t="n">
        <v>7896327511984</v>
      </c>
      <c r="L4206" s="1" t="s">
        <v>2765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5" t="n">
        <v>46212</v>
      </c>
      <c r="C4207" s="1" t="n">
        <v>11</v>
      </c>
      <c r="D4207" s="1" t="s">
        <v>2290</v>
      </c>
      <c r="E4207" s="1" t="n">
        <v>1676</v>
      </c>
      <c r="F4207" s="1" t="s">
        <v>253</v>
      </c>
      <c r="I4207" s="1" t="n">
        <v>10718</v>
      </c>
      <c r="J4207" s="1" t="n">
        <v>17863</v>
      </c>
      <c r="K4207" s="1" t="n">
        <v>7891340303332</v>
      </c>
      <c r="L4207" s="1" t="s">
        <v>3978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5" t="n">
        <v>46212</v>
      </c>
      <c r="C4208" s="1" t="n">
        <v>11</v>
      </c>
      <c r="D4208" s="1" t="s">
        <v>2290</v>
      </c>
      <c r="E4208" s="1" t="n">
        <v>1676</v>
      </c>
      <c r="F4208" s="1" t="s">
        <v>253</v>
      </c>
      <c r="I4208" s="1" t="n">
        <v>10718</v>
      </c>
      <c r="J4208" s="1" t="n">
        <v>27803</v>
      </c>
      <c r="K4208" s="1" t="n">
        <v>7898916462097</v>
      </c>
      <c r="L4208" s="1" t="s">
        <v>3979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5" t="n">
        <v>46212</v>
      </c>
      <c r="C4209" s="1" t="n">
        <v>11</v>
      </c>
      <c r="D4209" s="1" t="s">
        <v>2290</v>
      </c>
      <c r="E4209" s="1" t="n">
        <v>1676</v>
      </c>
      <c r="F4209" s="1" t="s">
        <v>253</v>
      </c>
      <c r="I4209" s="1" t="n">
        <v>10718</v>
      </c>
      <c r="J4209" s="1" t="n">
        <v>29561</v>
      </c>
      <c r="K4209" s="1" t="n">
        <v>7891032015765</v>
      </c>
      <c r="L4209" s="1" t="s">
        <v>3580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5" t="n">
        <v>46212</v>
      </c>
      <c r="C4210" s="1" t="n">
        <v>11</v>
      </c>
      <c r="D4210" s="1" t="s">
        <v>2290</v>
      </c>
      <c r="E4210" s="1" t="n">
        <v>1676</v>
      </c>
      <c r="F4210" s="1" t="s">
        <v>253</v>
      </c>
      <c r="I4210" s="1" t="n">
        <v>10718</v>
      </c>
      <c r="J4210" s="1" t="n">
        <v>44934</v>
      </c>
      <c r="K4210" s="1" t="n">
        <v>7891340365262</v>
      </c>
      <c r="L4210" s="1" t="s">
        <v>3980</v>
      </c>
      <c r="N4210" s="1" t="n">
        <v>30</v>
      </c>
      <c r="O4210" s="1" t="n">
        <v>53</v>
      </c>
    </row>
    <row r="4211" customFormat="false" ht="15" hidden="false" customHeight="true" outlineLevel="0" collapsed="false">
      <c r="A4211" s="1" t="n">
        <v>3</v>
      </c>
      <c r="B4211" s="15" t="n">
        <v>46212</v>
      </c>
      <c r="C4211" s="1" t="n">
        <v>11</v>
      </c>
      <c r="D4211" s="1" t="s">
        <v>2290</v>
      </c>
      <c r="E4211" s="1" t="n">
        <v>1676</v>
      </c>
      <c r="F4211" s="1" t="s">
        <v>253</v>
      </c>
      <c r="I4211" s="1" t="n">
        <v>10718</v>
      </c>
      <c r="J4211" s="1" t="n">
        <v>37303</v>
      </c>
      <c r="K4211" s="1" t="n">
        <v>7891340365392</v>
      </c>
      <c r="L4211" s="1" t="s">
        <v>3981</v>
      </c>
      <c r="N4211" s="1" t="n">
        <v>20</v>
      </c>
      <c r="O4211" s="1" t="n">
        <v>51</v>
      </c>
    </row>
    <row r="4212" customFormat="false" ht="15" hidden="false" customHeight="true" outlineLevel="0" collapsed="false">
      <c r="A4212" s="1" t="n">
        <v>3</v>
      </c>
      <c r="B4212" s="15" t="n">
        <v>46212</v>
      </c>
      <c r="C4212" s="1" t="n">
        <v>11</v>
      </c>
      <c r="D4212" s="1" t="s">
        <v>2290</v>
      </c>
      <c r="E4212" s="1" t="n">
        <v>1676</v>
      </c>
      <c r="F4212" s="1" t="s">
        <v>253</v>
      </c>
      <c r="I4212" s="1" t="n">
        <v>10718</v>
      </c>
      <c r="J4212" s="1" t="n">
        <v>37519</v>
      </c>
      <c r="K4212" s="1" t="n">
        <v>7896025802360</v>
      </c>
      <c r="L4212" s="1" t="s">
        <v>3982</v>
      </c>
      <c r="N4212" s="1" t="n">
        <v>12</v>
      </c>
      <c r="O4212" s="1" t="n">
        <v>85.08</v>
      </c>
    </row>
    <row r="4213" customFormat="false" ht="15" hidden="false" customHeight="true" outlineLevel="0" collapsed="false">
      <c r="A4213" s="1" t="n">
        <v>3</v>
      </c>
      <c r="B4213" s="15" t="n">
        <v>46212</v>
      </c>
      <c r="C4213" s="1" t="n">
        <v>11</v>
      </c>
      <c r="D4213" s="1" t="s">
        <v>2290</v>
      </c>
      <c r="E4213" s="1" t="n">
        <v>1676</v>
      </c>
      <c r="F4213" s="1" t="s">
        <v>253</v>
      </c>
      <c r="I4213" s="1" t="n">
        <v>10718</v>
      </c>
      <c r="J4213" s="1" t="n">
        <v>44719</v>
      </c>
      <c r="K4213" s="1" t="n">
        <v>7896552906647</v>
      </c>
      <c r="L4213" s="1" t="s">
        <v>3983</v>
      </c>
      <c r="N4213" s="1" t="n">
        <v>3</v>
      </c>
      <c r="O4213" s="1" t="n">
        <v>41.1</v>
      </c>
    </row>
    <row r="4214" customFormat="false" ht="15" hidden="false" customHeight="true" outlineLevel="0" collapsed="false">
      <c r="A4214" s="1" t="n">
        <v>3</v>
      </c>
      <c r="B4214" s="15" t="n">
        <v>46212</v>
      </c>
      <c r="C4214" s="1" t="n">
        <v>11</v>
      </c>
      <c r="D4214" s="1" t="s">
        <v>2290</v>
      </c>
      <c r="E4214" s="1" t="n">
        <v>1676</v>
      </c>
      <c r="F4214" s="1" t="s">
        <v>253</v>
      </c>
      <c r="I4214" s="1" t="n">
        <v>10718</v>
      </c>
      <c r="J4214" s="1" t="n">
        <v>44936</v>
      </c>
      <c r="K4214" s="1" t="n">
        <v>7891340365477</v>
      </c>
      <c r="L4214" s="1" t="s">
        <v>3984</v>
      </c>
      <c r="N4214" s="1" t="n">
        <v>30</v>
      </c>
      <c r="O4214" s="1" t="n">
        <v>56</v>
      </c>
    </row>
    <row r="4215" customFormat="false" ht="15" hidden="false" customHeight="true" outlineLevel="0" collapsed="false">
      <c r="A4215" s="1" t="n">
        <v>3</v>
      </c>
      <c r="B4215" s="15" t="n">
        <v>46212</v>
      </c>
      <c r="C4215" s="1" t="n">
        <v>11</v>
      </c>
      <c r="D4215" s="1" t="s">
        <v>2290</v>
      </c>
      <c r="E4215" s="1" t="n">
        <v>1676</v>
      </c>
      <c r="F4215" s="1" t="s">
        <v>253</v>
      </c>
      <c r="I4215" s="1" t="n">
        <v>10718</v>
      </c>
      <c r="J4215" s="1" t="n">
        <v>44937</v>
      </c>
      <c r="K4215" s="1" t="n">
        <v>7891340365460</v>
      </c>
      <c r="L4215" s="1" t="s">
        <v>3985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5" t="n">
        <v>46212</v>
      </c>
      <c r="C4216" s="1" t="n">
        <v>11</v>
      </c>
      <c r="D4216" s="1" t="s">
        <v>2290</v>
      </c>
      <c r="E4216" s="1" t="n">
        <v>1676</v>
      </c>
      <c r="F4216" s="1" t="s">
        <v>253</v>
      </c>
      <c r="I4216" s="1" t="n">
        <v>10718</v>
      </c>
      <c r="J4216" s="1" t="n">
        <v>49142</v>
      </c>
      <c r="K4216" s="1" t="n">
        <v>7891340365576</v>
      </c>
      <c r="L4216" s="1" t="s">
        <v>2776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5" t="n">
        <v>46212</v>
      </c>
      <c r="C4217" s="1" t="n">
        <v>11</v>
      </c>
      <c r="D4217" s="1" t="s">
        <v>2290</v>
      </c>
      <c r="E4217" s="1" t="n">
        <v>1676</v>
      </c>
      <c r="F4217" s="1" t="s">
        <v>253</v>
      </c>
      <c r="I4217" s="1" t="n">
        <v>10718</v>
      </c>
      <c r="J4217" s="1" t="n">
        <v>50541</v>
      </c>
      <c r="K4217" s="1" t="n">
        <v>7891340365279</v>
      </c>
      <c r="L4217" s="1" t="s">
        <v>3986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5" t="n">
        <v>46212</v>
      </c>
      <c r="C4218" s="1" t="n">
        <v>11</v>
      </c>
      <c r="D4218" s="1" t="s">
        <v>2290</v>
      </c>
      <c r="E4218" s="1" t="n">
        <v>1676</v>
      </c>
      <c r="F4218" s="1" t="s">
        <v>253</v>
      </c>
      <c r="I4218" s="1" t="n">
        <v>10718</v>
      </c>
      <c r="J4218" s="1" t="n">
        <v>54413</v>
      </c>
      <c r="K4218" s="1" t="n">
        <v>7891340365491</v>
      </c>
      <c r="L4218" s="1" t="s">
        <v>3987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5" t="n">
        <v>46212</v>
      </c>
      <c r="C4219" s="1" t="n">
        <v>11</v>
      </c>
      <c r="D4219" s="1" t="s">
        <v>2290</v>
      </c>
      <c r="E4219" s="1" t="n">
        <v>1676</v>
      </c>
      <c r="F4219" s="1" t="s">
        <v>253</v>
      </c>
      <c r="I4219" s="1" t="n">
        <v>10718</v>
      </c>
      <c r="J4219" s="1" t="n">
        <v>75055</v>
      </c>
      <c r="K4219" s="1" t="n">
        <v>7896025805811</v>
      </c>
      <c r="L4219" s="1" t="s">
        <v>3988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5" t="n">
        <v>46212</v>
      </c>
      <c r="C4220" s="1" t="n">
        <v>11</v>
      </c>
      <c r="D4220" s="1" t="s">
        <v>2290</v>
      </c>
      <c r="E4220" s="1" t="n">
        <v>1676</v>
      </c>
      <c r="F4220" s="1" t="s">
        <v>253</v>
      </c>
      <c r="I4220" s="1" t="n">
        <v>10718</v>
      </c>
      <c r="J4220" s="1" t="n">
        <v>76653</v>
      </c>
      <c r="K4220" s="1" t="n">
        <v>7896552907484</v>
      </c>
      <c r="L4220" s="1" t="s">
        <v>3989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5" t="n">
        <v>46212</v>
      </c>
      <c r="C4221" s="1" t="n">
        <v>11</v>
      </c>
      <c r="D4221" s="1" t="s">
        <v>2290</v>
      </c>
      <c r="E4221" s="1" t="n">
        <v>1676</v>
      </c>
      <c r="F4221" s="1" t="s">
        <v>253</v>
      </c>
      <c r="I4221" s="1" t="n">
        <v>10718</v>
      </c>
      <c r="J4221" s="1" t="n">
        <v>80089</v>
      </c>
      <c r="K4221" s="1" t="n">
        <v>7891340365286</v>
      </c>
      <c r="L4221" s="1" t="s">
        <v>3990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5" t="n">
        <v>46212</v>
      </c>
      <c r="C4222" s="1" t="n">
        <v>11</v>
      </c>
      <c r="D4222" s="1" t="s">
        <v>2290</v>
      </c>
      <c r="E4222" s="1" t="n">
        <v>1676</v>
      </c>
      <c r="F4222" s="1" t="s">
        <v>253</v>
      </c>
      <c r="I4222" s="1" t="n">
        <v>10718</v>
      </c>
      <c r="J4222" s="1" t="n">
        <v>80561</v>
      </c>
      <c r="K4222" s="1" t="n">
        <v>7896075301080</v>
      </c>
      <c r="L4222" s="1" t="s">
        <v>2781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5" t="n">
        <v>46212</v>
      </c>
      <c r="C4223" s="1" t="n">
        <v>11</v>
      </c>
      <c r="D4223" s="1" t="s">
        <v>2290</v>
      </c>
      <c r="E4223" s="1" t="n">
        <v>1676</v>
      </c>
      <c r="F4223" s="1" t="s">
        <v>253</v>
      </c>
      <c r="I4223" s="1" t="n">
        <v>10718</v>
      </c>
      <c r="J4223" s="1" t="n">
        <v>81234</v>
      </c>
      <c r="K4223" s="1" t="n">
        <v>7896075301103</v>
      </c>
      <c r="L4223" s="1" t="s">
        <v>2786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5" t="n">
        <v>46212</v>
      </c>
      <c r="C4224" s="1" t="n">
        <v>11</v>
      </c>
      <c r="D4224" s="1" t="s">
        <v>2290</v>
      </c>
      <c r="E4224" s="1" t="n">
        <v>1676</v>
      </c>
      <c r="F4224" s="1" t="s">
        <v>253</v>
      </c>
      <c r="I4224" s="1" t="n">
        <v>10718</v>
      </c>
      <c r="J4224" s="1" t="n">
        <v>81238</v>
      </c>
      <c r="K4224" s="1" t="n">
        <v>7898932839125</v>
      </c>
      <c r="L4224" s="1" t="s">
        <v>2790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5" t="n">
        <v>46212</v>
      </c>
      <c r="C4225" s="1" t="n">
        <v>11</v>
      </c>
      <c r="D4225" s="1" t="s">
        <v>2290</v>
      </c>
      <c r="E4225" s="1" t="n">
        <v>1676</v>
      </c>
      <c r="F4225" s="1" t="s">
        <v>253</v>
      </c>
      <c r="I4225" s="1" t="n">
        <v>10718</v>
      </c>
      <c r="J4225" s="1" t="n">
        <v>81685</v>
      </c>
      <c r="K4225" s="1" t="n">
        <v>7898932838029</v>
      </c>
      <c r="L4225" s="1" t="s">
        <v>3991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5" t="n">
        <v>46212</v>
      </c>
      <c r="C4226" s="1" t="n">
        <v>11</v>
      </c>
      <c r="D4226" s="1" t="s">
        <v>2290</v>
      </c>
      <c r="E4226" s="1" t="n">
        <v>1916</v>
      </c>
      <c r="F4226" s="1" t="s">
        <v>351</v>
      </c>
      <c r="I4226" s="1" t="n">
        <v>39713</v>
      </c>
      <c r="J4226" s="1" t="n">
        <v>43924</v>
      </c>
      <c r="K4226" s="1" t="n">
        <v>7898592350268</v>
      </c>
      <c r="L4226" s="1" t="s">
        <v>3992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5" t="n">
        <v>46212</v>
      </c>
      <c r="C4227" s="1" t="n">
        <v>11</v>
      </c>
      <c r="D4227" s="1" t="s">
        <v>2290</v>
      </c>
      <c r="E4227" s="1" t="n">
        <v>1916</v>
      </c>
      <c r="F4227" s="1" t="s">
        <v>351</v>
      </c>
      <c r="I4227" s="1" t="n">
        <v>39713</v>
      </c>
      <c r="J4227" s="1" t="n">
        <v>48436</v>
      </c>
      <c r="K4227" s="1" t="n">
        <v>7898592350251</v>
      </c>
      <c r="L4227" s="1" t="s">
        <v>3450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5" t="n">
        <v>46212</v>
      </c>
      <c r="C4228" s="1" t="n">
        <v>11</v>
      </c>
      <c r="D4228" s="1" t="s">
        <v>2290</v>
      </c>
      <c r="E4228" s="1" t="n">
        <v>1723</v>
      </c>
      <c r="F4228" s="1" t="s">
        <v>76</v>
      </c>
      <c r="I4228" s="1" t="n">
        <v>172782</v>
      </c>
      <c r="J4228" s="1" t="n">
        <v>29080</v>
      </c>
      <c r="K4228" s="1" t="n">
        <v>55516</v>
      </c>
      <c r="L4228" s="1" t="s">
        <v>2362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5" t="n">
        <v>46212</v>
      </c>
      <c r="C4229" s="1" t="n">
        <v>11</v>
      </c>
      <c r="D4229" s="1" t="s">
        <v>2290</v>
      </c>
      <c r="E4229" s="1" t="n">
        <v>1723</v>
      </c>
      <c r="F4229" s="1" t="s">
        <v>76</v>
      </c>
      <c r="I4229" s="1" t="n">
        <v>172840</v>
      </c>
      <c r="J4229" s="1" t="n">
        <v>29079</v>
      </c>
      <c r="K4229" s="1" t="n">
        <v>55515</v>
      </c>
      <c r="L4229" s="1" t="s">
        <v>2360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5" t="n">
        <v>46212</v>
      </c>
      <c r="C4230" s="1" t="n">
        <v>11</v>
      </c>
      <c r="D4230" s="1" t="s">
        <v>2290</v>
      </c>
      <c r="E4230" s="1" t="n">
        <v>1605</v>
      </c>
      <c r="F4230" s="1" t="s">
        <v>113</v>
      </c>
      <c r="I4230" s="1" t="n">
        <v>217864</v>
      </c>
      <c r="J4230" s="1" t="n">
        <v>10811</v>
      </c>
      <c r="K4230" s="1" t="n">
        <v>7891999941879</v>
      </c>
      <c r="L4230" s="1" t="s">
        <v>2370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5" t="n">
        <v>46212</v>
      </c>
      <c r="C4231" s="1" t="n">
        <v>11</v>
      </c>
      <c r="D4231" s="1" t="s">
        <v>2290</v>
      </c>
      <c r="E4231" s="1" t="n">
        <v>1605</v>
      </c>
      <c r="F4231" s="1" t="s">
        <v>113</v>
      </c>
      <c r="I4231" s="1" t="n">
        <v>217864</v>
      </c>
      <c r="J4231" s="1" t="n">
        <v>10812</v>
      </c>
      <c r="K4231" s="1" t="n">
        <v>7891999100047</v>
      </c>
      <c r="L4231" s="1" t="s">
        <v>2371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5" t="n">
        <v>46212</v>
      </c>
      <c r="C4232" s="1" t="n">
        <v>11</v>
      </c>
      <c r="D4232" s="1" t="s">
        <v>2290</v>
      </c>
      <c r="E4232" s="1" t="n">
        <v>1605</v>
      </c>
      <c r="F4232" s="1" t="s">
        <v>113</v>
      </c>
      <c r="I4232" s="1" t="n">
        <v>217864</v>
      </c>
      <c r="J4232" s="1" t="n">
        <v>11158</v>
      </c>
      <c r="K4232" s="1" t="n">
        <v>7891999340108</v>
      </c>
      <c r="L4232" s="1" t="s">
        <v>2372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5" t="n">
        <v>46212</v>
      </c>
      <c r="C4233" s="1" t="n">
        <v>11</v>
      </c>
      <c r="D4233" s="1" t="s">
        <v>2290</v>
      </c>
      <c r="E4233" s="1" t="n">
        <v>1605</v>
      </c>
      <c r="F4233" s="1" t="s">
        <v>113</v>
      </c>
      <c r="I4233" s="1" t="n">
        <v>217864</v>
      </c>
      <c r="J4233" s="1" t="n">
        <v>14127</v>
      </c>
      <c r="K4233" s="1" t="n">
        <v>7898080640635</v>
      </c>
      <c r="L4233" s="1" t="s">
        <v>3591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5" t="n">
        <v>46212</v>
      </c>
      <c r="C4234" s="1" t="n">
        <v>11</v>
      </c>
      <c r="D4234" s="1" t="s">
        <v>2290</v>
      </c>
      <c r="E4234" s="1" t="n">
        <v>1605</v>
      </c>
      <c r="F4234" s="1" t="s">
        <v>113</v>
      </c>
      <c r="I4234" s="1" t="n">
        <v>217864</v>
      </c>
      <c r="J4234" s="1" t="n">
        <v>14128</v>
      </c>
      <c r="K4234" s="1" t="n">
        <v>7898080640611</v>
      </c>
      <c r="L4234" s="1" t="s">
        <v>2794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5" t="n">
        <v>46212</v>
      </c>
      <c r="C4235" s="1" t="n">
        <v>11</v>
      </c>
      <c r="D4235" s="1" t="s">
        <v>2290</v>
      </c>
      <c r="E4235" s="1" t="n">
        <v>1605</v>
      </c>
      <c r="F4235" s="1" t="s">
        <v>113</v>
      </c>
      <c r="I4235" s="1" t="n">
        <v>217864</v>
      </c>
      <c r="J4235" s="1" t="n">
        <v>22022</v>
      </c>
      <c r="K4235" s="1" t="n">
        <v>7891999100023</v>
      </c>
      <c r="L4235" s="1" t="s">
        <v>3993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5" t="n">
        <v>46212</v>
      </c>
      <c r="C4236" s="1" t="n">
        <v>11</v>
      </c>
      <c r="D4236" s="1" t="s">
        <v>2290</v>
      </c>
      <c r="E4236" s="1" t="n">
        <v>1605</v>
      </c>
      <c r="F4236" s="1" t="s">
        <v>113</v>
      </c>
      <c r="I4236" s="1" t="n">
        <v>217864</v>
      </c>
      <c r="J4236" s="1" t="n">
        <v>28453</v>
      </c>
      <c r="K4236" s="1" t="n">
        <v>7891999100016</v>
      </c>
      <c r="L4236" s="1" t="s">
        <v>2374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5" t="n">
        <v>46212</v>
      </c>
      <c r="C4237" s="1" t="n">
        <v>11</v>
      </c>
      <c r="D4237" s="1" t="s">
        <v>2290</v>
      </c>
      <c r="E4237" s="1" t="n">
        <v>1656</v>
      </c>
      <c r="F4237" s="1" t="s">
        <v>260</v>
      </c>
      <c r="I4237" s="1" t="n">
        <v>223333</v>
      </c>
      <c r="J4237" s="1" t="n">
        <v>73554</v>
      </c>
      <c r="K4237" s="1" t="n">
        <v>67891032014708</v>
      </c>
      <c r="L4237" s="1" t="s">
        <v>3994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5" t="n">
        <v>46212</v>
      </c>
      <c r="C4238" s="1" t="n">
        <v>11</v>
      </c>
      <c r="D4238" s="1" t="s">
        <v>2290</v>
      </c>
      <c r="E4238" s="1" t="n">
        <v>1656</v>
      </c>
      <c r="F4238" s="1" t="s">
        <v>260</v>
      </c>
      <c r="I4238" s="1" t="n">
        <v>223333</v>
      </c>
      <c r="J4238" s="1" t="n">
        <v>102497</v>
      </c>
      <c r="K4238" s="1" t="n">
        <v>7891032013259</v>
      </c>
      <c r="L4238" s="1" t="s">
        <v>3571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5" t="n">
        <v>46212</v>
      </c>
      <c r="C4239" s="1" t="n">
        <v>11</v>
      </c>
      <c r="D4239" s="1" t="s">
        <v>2290</v>
      </c>
      <c r="E4239" s="1" t="n">
        <v>1656</v>
      </c>
      <c r="F4239" s="1" t="s">
        <v>260</v>
      </c>
      <c r="I4239" s="1" t="n">
        <v>223333</v>
      </c>
      <c r="J4239" s="1" t="n">
        <v>10685</v>
      </c>
      <c r="K4239" s="1" t="n">
        <v>7891032012504</v>
      </c>
      <c r="L4239" s="1" t="s">
        <v>3995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5" t="n">
        <v>46212</v>
      </c>
      <c r="C4240" s="1" t="n">
        <v>11</v>
      </c>
      <c r="D4240" s="1" t="s">
        <v>2290</v>
      </c>
      <c r="E4240" s="1" t="n">
        <v>1656</v>
      </c>
      <c r="F4240" s="1" t="s">
        <v>260</v>
      </c>
      <c r="I4240" s="1" t="n">
        <v>223333</v>
      </c>
      <c r="J4240" s="1" t="n">
        <v>10686</v>
      </c>
      <c r="K4240" s="1" t="n">
        <v>7891032013105</v>
      </c>
      <c r="L4240" s="1" t="s">
        <v>3996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5" t="n">
        <v>46212</v>
      </c>
      <c r="C4241" s="1" t="n">
        <v>11</v>
      </c>
      <c r="D4241" s="1" t="s">
        <v>2290</v>
      </c>
      <c r="E4241" s="1" t="n">
        <v>1656</v>
      </c>
      <c r="F4241" s="1" t="s">
        <v>260</v>
      </c>
      <c r="I4241" s="1" t="n">
        <v>223333</v>
      </c>
      <c r="J4241" s="1" t="n">
        <v>31411</v>
      </c>
      <c r="K4241" s="1" t="n">
        <v>7896327501855</v>
      </c>
      <c r="L4241" s="1" t="s">
        <v>2766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5" t="n">
        <v>46212</v>
      </c>
      <c r="C4242" s="1" t="n">
        <v>11</v>
      </c>
      <c r="D4242" s="1" t="s">
        <v>2290</v>
      </c>
      <c r="E4242" s="1" t="n">
        <v>1656</v>
      </c>
      <c r="F4242" s="1" t="s">
        <v>260</v>
      </c>
      <c r="I4242" s="1" t="n">
        <v>223333</v>
      </c>
      <c r="J4242" s="1" t="n">
        <v>33179</v>
      </c>
      <c r="K4242" s="1" t="n">
        <v>7896327514329</v>
      </c>
      <c r="L4242" s="1" t="s">
        <v>2768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5" t="n">
        <v>46212</v>
      </c>
      <c r="C4243" s="1" t="n">
        <v>11</v>
      </c>
      <c r="D4243" s="1" t="s">
        <v>2290</v>
      </c>
      <c r="E4243" s="1" t="n">
        <v>1656</v>
      </c>
      <c r="F4243" s="1" t="s">
        <v>260</v>
      </c>
      <c r="I4243" s="1" t="n">
        <v>223333</v>
      </c>
      <c r="J4243" s="1" t="n">
        <v>41997</v>
      </c>
      <c r="K4243" s="1" t="n">
        <v>17896327501050</v>
      </c>
      <c r="L4243" s="1" t="s">
        <v>3997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5" t="n">
        <v>46212</v>
      </c>
      <c r="C4244" s="1" t="n">
        <v>11</v>
      </c>
      <c r="D4244" s="1" t="s">
        <v>2290</v>
      </c>
      <c r="E4244" s="1" t="n">
        <v>1656</v>
      </c>
      <c r="F4244" s="1" t="s">
        <v>260</v>
      </c>
      <c r="I4244" s="1" t="n">
        <v>223333</v>
      </c>
      <c r="J4244" s="1" t="n">
        <v>46484</v>
      </c>
      <c r="K4244" s="1" t="n">
        <v>7898969376334</v>
      </c>
      <c r="L4244" s="1" t="s">
        <v>3515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5" t="n">
        <v>46212</v>
      </c>
      <c r="C4245" s="1" t="n">
        <v>11</v>
      </c>
      <c r="D4245" s="1" t="s">
        <v>2290</v>
      </c>
      <c r="E4245" s="1" t="n">
        <v>1656</v>
      </c>
      <c r="F4245" s="1" t="s">
        <v>260</v>
      </c>
      <c r="I4245" s="1" t="n">
        <v>223333</v>
      </c>
      <c r="J4245" s="1" t="n">
        <v>48562</v>
      </c>
      <c r="K4245" s="1" t="n">
        <v>7898969376310</v>
      </c>
      <c r="L4245" s="1" t="s">
        <v>3515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5" t="n">
        <v>46212</v>
      </c>
      <c r="C4246" s="1" t="n">
        <v>11</v>
      </c>
      <c r="D4246" s="1" t="s">
        <v>2290</v>
      </c>
      <c r="E4246" s="1" t="n">
        <v>1656</v>
      </c>
      <c r="F4246" s="1" t="s">
        <v>260</v>
      </c>
      <c r="I4246" s="1" t="n">
        <v>223333</v>
      </c>
      <c r="J4246" s="1" t="n">
        <v>60844</v>
      </c>
      <c r="K4246" s="1" t="n">
        <v>7893596029905</v>
      </c>
      <c r="L4246" s="1" t="s">
        <v>3998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5" t="n">
        <v>46212</v>
      </c>
      <c r="C4247" s="1" t="n">
        <v>11</v>
      </c>
      <c r="D4247" s="1" t="s">
        <v>2290</v>
      </c>
      <c r="E4247" s="1" t="n">
        <v>1656</v>
      </c>
      <c r="F4247" s="1" t="s">
        <v>260</v>
      </c>
      <c r="I4247" s="1" t="n">
        <v>223333</v>
      </c>
      <c r="J4247" s="1" t="n">
        <v>71351</v>
      </c>
      <c r="K4247" s="1" t="n">
        <v>7898954857879</v>
      </c>
      <c r="L4247" s="1" t="s">
        <v>3532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5" t="n">
        <v>46212</v>
      </c>
      <c r="C4248" s="1" t="n">
        <v>11</v>
      </c>
      <c r="D4248" s="1" t="s">
        <v>2290</v>
      </c>
      <c r="E4248" s="1" t="n">
        <v>1656</v>
      </c>
      <c r="F4248" s="1" t="s">
        <v>260</v>
      </c>
      <c r="I4248" s="1" t="n">
        <v>223333</v>
      </c>
      <c r="J4248" s="1" t="n">
        <v>74051</v>
      </c>
      <c r="K4248" s="1" t="n">
        <v>37896327512968</v>
      </c>
      <c r="L4248" s="1" t="s">
        <v>3999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5" t="n">
        <v>46212</v>
      </c>
      <c r="C4249" s="1" t="n">
        <v>11</v>
      </c>
      <c r="D4249" s="1" t="s">
        <v>2290</v>
      </c>
      <c r="E4249" s="1" t="n">
        <v>1656</v>
      </c>
      <c r="F4249" s="1" t="s">
        <v>260</v>
      </c>
      <c r="I4249" s="1" t="n">
        <v>223333</v>
      </c>
      <c r="J4249" s="1" t="n">
        <v>74394</v>
      </c>
      <c r="K4249" s="1" t="n">
        <v>7898215152330</v>
      </c>
      <c r="L4249" s="1" t="s">
        <v>4000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5" t="n">
        <v>46212</v>
      </c>
      <c r="C4250" s="1" t="n">
        <v>11</v>
      </c>
      <c r="D4250" s="1" t="s">
        <v>2290</v>
      </c>
      <c r="E4250" s="1" t="n">
        <v>1656</v>
      </c>
      <c r="F4250" s="1" t="s">
        <v>260</v>
      </c>
      <c r="I4250" s="1" t="n">
        <v>223333</v>
      </c>
      <c r="J4250" s="1" t="n">
        <v>81689</v>
      </c>
      <c r="K4250" s="1" t="n">
        <v>602883457690</v>
      </c>
      <c r="L4250" s="1" t="s">
        <v>4001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5" t="n">
        <v>46212</v>
      </c>
      <c r="C4251" s="1" t="n">
        <v>11</v>
      </c>
      <c r="D4251" s="1" t="s">
        <v>2290</v>
      </c>
      <c r="E4251" s="1" t="n">
        <v>1734</v>
      </c>
      <c r="F4251" s="1" t="s">
        <v>125</v>
      </c>
      <c r="I4251" s="1" t="n">
        <v>255009</v>
      </c>
      <c r="J4251" s="1" t="n">
        <v>38208</v>
      </c>
      <c r="K4251" s="1" t="n">
        <v>7898055452126</v>
      </c>
      <c r="L4251" s="1" t="s">
        <v>2699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5" t="n">
        <v>46212</v>
      </c>
      <c r="C4252" s="1" t="n">
        <v>11</v>
      </c>
      <c r="D4252" s="1" t="s">
        <v>2290</v>
      </c>
      <c r="E4252" s="1" t="n">
        <v>1734</v>
      </c>
      <c r="F4252" s="1" t="s">
        <v>125</v>
      </c>
      <c r="I4252" s="1" t="n">
        <v>255009</v>
      </c>
      <c r="J4252" s="1" t="n">
        <v>38209</v>
      </c>
      <c r="K4252" s="1" t="n">
        <v>7898055451761</v>
      </c>
      <c r="L4252" s="1" t="s">
        <v>2381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5" t="n">
        <v>46212</v>
      </c>
      <c r="C4253" s="1" t="n">
        <v>11</v>
      </c>
      <c r="D4253" s="1" t="s">
        <v>2290</v>
      </c>
      <c r="E4253" s="1" t="n">
        <v>1734</v>
      </c>
      <c r="F4253" s="1" t="s">
        <v>125</v>
      </c>
      <c r="I4253" s="1" t="n">
        <v>255009</v>
      </c>
      <c r="J4253" s="1" t="n">
        <v>38210</v>
      </c>
      <c r="K4253" s="1" t="n">
        <v>7898055452119</v>
      </c>
      <c r="L4253" s="1" t="s">
        <v>2700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5" t="n">
        <v>46212</v>
      </c>
      <c r="C4254" s="1" t="n">
        <v>11</v>
      </c>
      <c r="D4254" s="1" t="s">
        <v>2290</v>
      </c>
      <c r="E4254" s="1" t="n">
        <v>1734</v>
      </c>
      <c r="F4254" s="1" t="s">
        <v>125</v>
      </c>
      <c r="I4254" s="1" t="n">
        <v>255009</v>
      </c>
      <c r="J4254" s="1" t="n">
        <v>38213</v>
      </c>
      <c r="K4254" s="1" t="n">
        <v>7898055450023</v>
      </c>
      <c r="L4254" s="1" t="s">
        <v>2382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5" t="n">
        <v>46212</v>
      </c>
      <c r="C4255" s="1" t="n">
        <v>11</v>
      </c>
      <c r="D4255" s="1" t="s">
        <v>2290</v>
      </c>
      <c r="E4255" s="1" t="n">
        <v>1734</v>
      </c>
      <c r="F4255" s="1" t="s">
        <v>125</v>
      </c>
      <c r="I4255" s="1" t="n">
        <v>255009</v>
      </c>
      <c r="J4255" s="1" t="n">
        <v>38214</v>
      </c>
      <c r="K4255" s="1" t="n">
        <v>7898055452249</v>
      </c>
      <c r="L4255" s="1" t="s">
        <v>2702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5" t="n">
        <v>46212</v>
      </c>
      <c r="C4256" s="1" t="n">
        <v>11</v>
      </c>
      <c r="D4256" s="1" t="s">
        <v>2290</v>
      </c>
      <c r="E4256" s="1" t="n">
        <v>1734</v>
      </c>
      <c r="F4256" s="1" t="s">
        <v>125</v>
      </c>
      <c r="I4256" s="1" t="n">
        <v>255009</v>
      </c>
      <c r="J4256" s="1" t="n">
        <v>38216</v>
      </c>
      <c r="K4256" s="1" t="n">
        <v>7898055454281</v>
      </c>
      <c r="L4256" s="1" t="s">
        <v>2703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5" t="n">
        <v>46212</v>
      </c>
      <c r="C4257" s="1" t="n">
        <v>11</v>
      </c>
      <c r="D4257" s="1" t="s">
        <v>2290</v>
      </c>
      <c r="E4257" s="1" t="n">
        <v>1734</v>
      </c>
      <c r="F4257" s="1" t="s">
        <v>125</v>
      </c>
      <c r="I4257" s="1" t="n">
        <v>255009</v>
      </c>
      <c r="J4257" s="1" t="n">
        <v>38218</v>
      </c>
      <c r="K4257" s="1" t="n">
        <v>7898055454298</v>
      </c>
      <c r="L4257" s="1" t="s">
        <v>4002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5" t="n">
        <v>46212</v>
      </c>
      <c r="C4258" s="1" t="n">
        <v>11</v>
      </c>
      <c r="D4258" s="1" t="s">
        <v>2290</v>
      </c>
      <c r="E4258" s="1" t="n">
        <v>1734</v>
      </c>
      <c r="F4258" s="1" t="s">
        <v>125</v>
      </c>
      <c r="I4258" s="1" t="n">
        <v>255009</v>
      </c>
      <c r="J4258" s="1" t="n">
        <v>38219</v>
      </c>
      <c r="K4258" s="1" t="n">
        <v>7898055452348</v>
      </c>
      <c r="L4258" s="1" t="s">
        <v>3835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5" t="n">
        <v>46212</v>
      </c>
      <c r="C4259" s="1" t="n">
        <v>11</v>
      </c>
      <c r="D4259" s="1" t="s">
        <v>2290</v>
      </c>
      <c r="E4259" s="1" t="n">
        <v>1734</v>
      </c>
      <c r="F4259" s="1" t="s">
        <v>125</v>
      </c>
      <c r="I4259" s="1" t="n">
        <v>255009</v>
      </c>
      <c r="J4259" s="1" t="n">
        <v>38220</v>
      </c>
      <c r="K4259" s="1" t="n">
        <v>7898055452355</v>
      </c>
      <c r="L4259" s="1" t="s">
        <v>2382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5" t="n">
        <v>46212</v>
      </c>
      <c r="C4260" s="1" t="n">
        <v>11</v>
      </c>
      <c r="D4260" s="1" t="s">
        <v>2290</v>
      </c>
      <c r="E4260" s="1" t="n">
        <v>1734</v>
      </c>
      <c r="F4260" s="1" t="s">
        <v>125</v>
      </c>
      <c r="I4260" s="1" t="n">
        <v>255009</v>
      </c>
      <c r="J4260" s="1" t="n">
        <v>38789</v>
      </c>
      <c r="K4260" s="1" t="n">
        <v>7898055451754</v>
      </c>
      <c r="L4260" s="1" t="s">
        <v>4003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5" t="n">
        <v>46212</v>
      </c>
      <c r="C4261" s="1" t="n">
        <v>11</v>
      </c>
      <c r="D4261" s="1" t="s">
        <v>2290</v>
      </c>
      <c r="E4261" s="1" t="n">
        <v>1734</v>
      </c>
      <c r="F4261" s="1" t="s">
        <v>125</v>
      </c>
      <c r="I4261" s="1" t="n">
        <v>255009</v>
      </c>
      <c r="J4261" s="1" t="n">
        <v>39443</v>
      </c>
      <c r="K4261" s="1" t="n">
        <v>7898055451648</v>
      </c>
      <c r="L4261" s="1" t="s">
        <v>3233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5" t="n">
        <v>46212</v>
      </c>
      <c r="C4262" s="1" t="n">
        <v>11</v>
      </c>
      <c r="D4262" s="1" t="s">
        <v>2290</v>
      </c>
      <c r="E4262" s="1" t="n">
        <v>1734</v>
      </c>
      <c r="F4262" s="1" t="s">
        <v>125</v>
      </c>
      <c r="I4262" s="1" t="n">
        <v>255009</v>
      </c>
      <c r="J4262" s="1" t="n">
        <v>39447</v>
      </c>
      <c r="K4262" s="1" t="n">
        <v>7898055450139</v>
      </c>
      <c r="L4262" s="1" t="s">
        <v>2384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5" t="n">
        <v>46212</v>
      </c>
      <c r="C4263" s="1" t="n">
        <v>11</v>
      </c>
      <c r="D4263" s="1" t="s">
        <v>2290</v>
      </c>
      <c r="E4263" s="1" t="n">
        <v>1734</v>
      </c>
      <c r="F4263" s="1" t="s">
        <v>125</v>
      </c>
      <c r="I4263" s="1" t="n">
        <v>255009</v>
      </c>
      <c r="J4263" s="1" t="n">
        <v>40954</v>
      </c>
      <c r="K4263" s="1" t="n">
        <v>7898055450405</v>
      </c>
      <c r="L4263" s="1" t="s">
        <v>4004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5" t="n">
        <v>46212</v>
      </c>
      <c r="C4264" s="1" t="n">
        <v>11</v>
      </c>
      <c r="D4264" s="1" t="s">
        <v>2290</v>
      </c>
      <c r="E4264" s="1" t="n">
        <v>1734</v>
      </c>
      <c r="F4264" s="1" t="s">
        <v>125</v>
      </c>
      <c r="I4264" s="1" t="n">
        <v>255009</v>
      </c>
      <c r="J4264" s="1" t="n">
        <v>40955</v>
      </c>
      <c r="K4264" s="1" t="n">
        <v>7898055450283</v>
      </c>
      <c r="L4264" s="1" t="s">
        <v>2386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5" t="n">
        <v>46212</v>
      </c>
      <c r="C4265" s="1" t="n">
        <v>11</v>
      </c>
      <c r="D4265" s="1" t="s">
        <v>2290</v>
      </c>
      <c r="E4265" s="1" t="n">
        <v>1734</v>
      </c>
      <c r="F4265" s="1" t="s">
        <v>125</v>
      </c>
      <c r="I4265" s="1" t="n">
        <v>255009</v>
      </c>
      <c r="J4265" s="1" t="n">
        <v>56815</v>
      </c>
      <c r="K4265" s="1" t="n">
        <v>7898055455165</v>
      </c>
      <c r="L4265" s="1" t="s">
        <v>2387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5" t="n">
        <v>46212</v>
      </c>
      <c r="C4266" s="1" t="n">
        <v>11</v>
      </c>
      <c r="D4266" s="1" t="s">
        <v>2290</v>
      </c>
      <c r="E4266" s="1" t="n">
        <v>1734</v>
      </c>
      <c r="F4266" s="1" t="s">
        <v>125</v>
      </c>
      <c r="I4266" s="1" t="n">
        <v>255009</v>
      </c>
      <c r="J4266" s="1" t="n">
        <v>57021</v>
      </c>
      <c r="K4266" s="1" t="n">
        <v>7898055455189</v>
      </c>
      <c r="L4266" s="1" t="s">
        <v>2388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5" t="n">
        <v>46212</v>
      </c>
      <c r="C4267" s="1" t="n">
        <v>11</v>
      </c>
      <c r="D4267" s="1" t="s">
        <v>2290</v>
      </c>
      <c r="E4267" s="1" t="n">
        <v>1107</v>
      </c>
      <c r="F4267" s="1" t="s">
        <v>165</v>
      </c>
      <c r="I4267" s="1" t="n">
        <v>426368</v>
      </c>
      <c r="J4267" s="1" t="n">
        <v>40040</v>
      </c>
      <c r="K4267" s="1" t="n">
        <v>7896029082362</v>
      </c>
      <c r="L4267" s="1" t="s">
        <v>4005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5" t="n">
        <v>46212</v>
      </c>
      <c r="C4268" s="1" t="n">
        <v>11</v>
      </c>
      <c r="D4268" s="1" t="s">
        <v>2290</v>
      </c>
      <c r="E4268" s="1" t="n">
        <v>1107</v>
      </c>
      <c r="F4268" s="1" t="s">
        <v>165</v>
      </c>
      <c r="I4268" s="1" t="n">
        <v>426368</v>
      </c>
      <c r="J4268" s="1" t="n">
        <v>50206</v>
      </c>
      <c r="K4268" s="1" t="n">
        <v>7896029092439</v>
      </c>
      <c r="L4268" s="1" t="s">
        <v>2709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5" t="n">
        <v>46212</v>
      </c>
      <c r="C4269" s="1" t="n">
        <v>11</v>
      </c>
      <c r="D4269" s="1" t="s">
        <v>2290</v>
      </c>
      <c r="E4269" s="1" t="n">
        <v>1107</v>
      </c>
      <c r="F4269" s="1" t="s">
        <v>165</v>
      </c>
      <c r="I4269" s="1" t="n">
        <v>426368</v>
      </c>
      <c r="J4269" s="1" t="n">
        <v>50208</v>
      </c>
      <c r="K4269" s="1" t="n">
        <v>7896029091906</v>
      </c>
      <c r="L4269" s="1" t="s">
        <v>4006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5" t="n">
        <v>46212</v>
      </c>
      <c r="C4270" s="1" t="n">
        <v>11</v>
      </c>
      <c r="D4270" s="1" t="s">
        <v>2290</v>
      </c>
      <c r="E4270" s="1" t="n">
        <v>1107</v>
      </c>
      <c r="F4270" s="1" t="s">
        <v>165</v>
      </c>
      <c r="I4270" s="1" t="n">
        <v>426368</v>
      </c>
      <c r="J4270" s="1" t="n">
        <v>108636</v>
      </c>
      <c r="K4270" s="1" t="n">
        <v>7896029007303</v>
      </c>
      <c r="L4270" s="1" t="s">
        <v>4007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15" t="n">
        <v>46212</v>
      </c>
      <c r="C4271" s="1" t="n">
        <v>11</v>
      </c>
      <c r="D4271" s="1" t="s">
        <v>2290</v>
      </c>
      <c r="E4271" s="1" t="n">
        <v>1107</v>
      </c>
      <c r="F4271" s="1" t="s">
        <v>165</v>
      </c>
      <c r="I4271" s="1" t="n">
        <v>426368</v>
      </c>
      <c r="J4271" s="1" t="n">
        <v>10898</v>
      </c>
      <c r="K4271" s="1" t="n">
        <v>7896029007020</v>
      </c>
      <c r="L4271" s="1" t="s">
        <v>4008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5" t="n">
        <v>46212</v>
      </c>
      <c r="C4272" s="1" t="n">
        <v>11</v>
      </c>
      <c r="D4272" s="1" t="s">
        <v>2290</v>
      </c>
      <c r="E4272" s="1" t="n">
        <v>1107</v>
      </c>
      <c r="F4272" s="1" t="s">
        <v>165</v>
      </c>
      <c r="I4272" s="1" t="n">
        <v>426368</v>
      </c>
      <c r="J4272" s="1" t="n">
        <v>14911</v>
      </c>
      <c r="K4272" s="1" t="n">
        <v>7896029022252</v>
      </c>
      <c r="L4272" s="1" t="s">
        <v>4009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15" t="n">
        <v>46212</v>
      </c>
      <c r="C4273" s="1" t="n">
        <v>11</v>
      </c>
      <c r="D4273" s="1" t="s">
        <v>2290</v>
      </c>
      <c r="E4273" s="1" t="n">
        <v>1107</v>
      </c>
      <c r="F4273" s="1" t="s">
        <v>165</v>
      </c>
      <c r="I4273" s="1" t="n">
        <v>426368</v>
      </c>
      <c r="J4273" s="1" t="n">
        <v>15432</v>
      </c>
      <c r="K4273" s="1" t="n">
        <v>7896029022276</v>
      </c>
      <c r="L4273" s="1" t="s">
        <v>4010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5" t="n">
        <v>46212</v>
      </c>
      <c r="C4274" s="1" t="n">
        <v>11</v>
      </c>
      <c r="D4274" s="1" t="s">
        <v>2290</v>
      </c>
      <c r="E4274" s="1" t="n">
        <v>1107</v>
      </c>
      <c r="F4274" s="1" t="s">
        <v>165</v>
      </c>
      <c r="I4274" s="1" t="n">
        <v>426368</v>
      </c>
      <c r="J4274" s="1" t="n">
        <v>19252</v>
      </c>
      <c r="K4274" s="1" t="n">
        <v>7896029086995</v>
      </c>
      <c r="L4274" s="1" t="s">
        <v>4011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5" t="n">
        <v>46212</v>
      </c>
      <c r="C4275" s="1" t="n">
        <v>11</v>
      </c>
      <c r="D4275" s="1" t="s">
        <v>2290</v>
      </c>
      <c r="E4275" s="1" t="n">
        <v>1107</v>
      </c>
      <c r="F4275" s="1" t="s">
        <v>165</v>
      </c>
      <c r="I4275" s="1" t="n">
        <v>426368</v>
      </c>
      <c r="J4275" s="1" t="n">
        <v>22563</v>
      </c>
      <c r="K4275" s="1" t="n">
        <v>7896029015001</v>
      </c>
      <c r="L4275" s="1" t="s">
        <v>4012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5" t="n">
        <v>46212</v>
      </c>
      <c r="C4276" s="1" t="n">
        <v>11</v>
      </c>
      <c r="D4276" s="1" t="s">
        <v>2290</v>
      </c>
      <c r="E4276" s="1" t="n">
        <v>1107</v>
      </c>
      <c r="F4276" s="1" t="s">
        <v>165</v>
      </c>
      <c r="I4276" s="1" t="n">
        <v>426368</v>
      </c>
      <c r="J4276" s="1" t="n">
        <v>23310</v>
      </c>
      <c r="K4276" s="1" t="n">
        <v>7896029018958</v>
      </c>
      <c r="L4276" s="1" t="s">
        <v>4013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5" t="n">
        <v>46212</v>
      </c>
      <c r="C4277" s="1" t="n">
        <v>11</v>
      </c>
      <c r="D4277" s="1" t="s">
        <v>2290</v>
      </c>
      <c r="E4277" s="1" t="n">
        <v>1107</v>
      </c>
      <c r="F4277" s="1" t="s">
        <v>165</v>
      </c>
      <c r="I4277" s="1" t="n">
        <v>426368</v>
      </c>
      <c r="J4277" s="1" t="n">
        <v>38038</v>
      </c>
      <c r="K4277" s="1" t="n">
        <v>7896029065075</v>
      </c>
      <c r="L4277" s="1" t="s">
        <v>4014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5" t="n">
        <v>46212</v>
      </c>
      <c r="C4278" s="1" t="n">
        <v>11</v>
      </c>
      <c r="D4278" s="1" t="s">
        <v>2290</v>
      </c>
      <c r="E4278" s="1" t="n">
        <v>1107</v>
      </c>
      <c r="F4278" s="1" t="s">
        <v>165</v>
      </c>
      <c r="I4278" s="1" t="n">
        <v>426368</v>
      </c>
      <c r="J4278" s="1" t="n">
        <v>51115</v>
      </c>
      <c r="K4278" s="1" t="n">
        <v>7896029092415</v>
      </c>
      <c r="L4278" s="1" t="s">
        <v>2716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5" t="n">
        <v>46212</v>
      </c>
      <c r="C4279" s="1" t="n">
        <v>11</v>
      </c>
      <c r="D4279" s="1" t="s">
        <v>2290</v>
      </c>
      <c r="E4279" s="1" t="n">
        <v>1107</v>
      </c>
      <c r="F4279" s="1" t="s">
        <v>165</v>
      </c>
      <c r="I4279" s="1" t="n">
        <v>426368</v>
      </c>
      <c r="J4279" s="1" t="n">
        <v>51118</v>
      </c>
      <c r="K4279" s="1" t="n">
        <v>7896029082416</v>
      </c>
      <c r="L4279" s="1" t="s">
        <v>4015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5" t="n">
        <v>46212</v>
      </c>
      <c r="C4280" s="1" t="n">
        <v>11</v>
      </c>
      <c r="D4280" s="1" t="s">
        <v>2290</v>
      </c>
      <c r="E4280" s="1" t="n">
        <v>1107</v>
      </c>
      <c r="F4280" s="1" t="s">
        <v>165</v>
      </c>
      <c r="I4280" s="1" t="n">
        <v>426368</v>
      </c>
      <c r="J4280" s="1" t="n">
        <v>51119</v>
      </c>
      <c r="K4280" s="1" t="n">
        <v>7896029083505</v>
      </c>
      <c r="L4280" s="1" t="s">
        <v>4016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5" t="n">
        <v>46212</v>
      </c>
      <c r="C4281" s="1" t="n">
        <v>11</v>
      </c>
      <c r="D4281" s="1" t="s">
        <v>2290</v>
      </c>
      <c r="E4281" s="1" t="n">
        <v>1107</v>
      </c>
      <c r="F4281" s="1" t="s">
        <v>165</v>
      </c>
      <c r="I4281" s="1" t="n">
        <v>426368</v>
      </c>
      <c r="J4281" s="1" t="n">
        <v>51884</v>
      </c>
      <c r="K4281" s="1" t="n">
        <v>7896029083482</v>
      </c>
      <c r="L4281" s="1" t="s">
        <v>4017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5" t="n">
        <v>46212</v>
      </c>
      <c r="C4282" s="1" t="n">
        <v>11</v>
      </c>
      <c r="D4282" s="1" t="s">
        <v>2290</v>
      </c>
      <c r="E4282" s="1" t="n">
        <v>1107</v>
      </c>
      <c r="F4282" s="1" t="s">
        <v>165</v>
      </c>
      <c r="I4282" s="1" t="n">
        <v>426368</v>
      </c>
      <c r="J4282" s="1" t="n">
        <v>53270</v>
      </c>
      <c r="K4282" s="1" t="n">
        <v>7896029092460</v>
      </c>
      <c r="L4282" s="1" t="s">
        <v>4018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5" t="n">
        <v>46212</v>
      </c>
      <c r="C4283" s="1" t="n">
        <v>11</v>
      </c>
      <c r="D4283" s="1" t="s">
        <v>2290</v>
      </c>
      <c r="E4283" s="1" t="n">
        <v>1107</v>
      </c>
      <c r="F4283" s="1" t="s">
        <v>165</v>
      </c>
      <c r="I4283" s="1" t="n">
        <v>426368</v>
      </c>
      <c r="J4283" s="1" t="n">
        <v>70886</v>
      </c>
      <c r="K4283" s="1" t="n">
        <v>7896029022269</v>
      </c>
      <c r="L4283" s="1" t="s">
        <v>4019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5" t="n">
        <v>46212</v>
      </c>
      <c r="C4284" s="1" t="n">
        <v>11</v>
      </c>
      <c r="D4284" s="1" t="s">
        <v>2290</v>
      </c>
      <c r="E4284" s="1" t="n">
        <v>1718</v>
      </c>
      <c r="F4284" s="1" t="s">
        <v>408</v>
      </c>
      <c r="I4284" s="1" t="n">
        <v>680644</v>
      </c>
      <c r="J4284" s="1" t="n">
        <v>104845</v>
      </c>
      <c r="K4284" s="1" t="n">
        <v>70330909229</v>
      </c>
      <c r="L4284" s="1" t="s">
        <v>3499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5" t="n">
        <v>46212</v>
      </c>
      <c r="C4285" s="1" t="n">
        <v>11</v>
      </c>
      <c r="D4285" s="1" t="s">
        <v>2290</v>
      </c>
      <c r="E4285" s="1" t="n">
        <v>1718</v>
      </c>
      <c r="F4285" s="1" t="s">
        <v>408</v>
      </c>
      <c r="I4285" s="1" t="n">
        <v>680644</v>
      </c>
      <c r="J4285" s="1" t="n">
        <v>105791</v>
      </c>
      <c r="K4285" s="1" t="n">
        <v>70330152168</v>
      </c>
      <c r="L4285" s="1" t="s">
        <v>4020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5" t="n">
        <v>46212</v>
      </c>
      <c r="C4286" s="1" t="n">
        <v>11</v>
      </c>
      <c r="D4286" s="1" t="s">
        <v>2290</v>
      </c>
      <c r="E4286" s="1" t="n">
        <v>1718</v>
      </c>
      <c r="F4286" s="1" t="s">
        <v>408</v>
      </c>
      <c r="I4286" s="1" t="n">
        <v>680644</v>
      </c>
      <c r="J4286" s="1" t="n">
        <v>12703</v>
      </c>
      <c r="K4286" s="1" t="n">
        <v>70330710221</v>
      </c>
      <c r="L4286" s="1" t="s">
        <v>3578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5" t="n">
        <v>46212</v>
      </c>
      <c r="C4287" s="1" t="n">
        <v>11</v>
      </c>
      <c r="D4287" s="1" t="s">
        <v>2290</v>
      </c>
      <c r="E4287" s="1" t="n">
        <v>1718</v>
      </c>
      <c r="F4287" s="1" t="s">
        <v>408</v>
      </c>
      <c r="I4287" s="1" t="n">
        <v>680644</v>
      </c>
      <c r="J4287" s="1" t="n">
        <v>41880</v>
      </c>
      <c r="K4287" s="1" t="n">
        <v>70330631328</v>
      </c>
      <c r="L4287" s="1" t="s">
        <v>3584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5" t="n">
        <v>46212</v>
      </c>
      <c r="C4288" s="1" t="n">
        <v>11</v>
      </c>
      <c r="D4288" s="1" t="s">
        <v>2290</v>
      </c>
      <c r="E4288" s="1" t="n">
        <v>1718</v>
      </c>
      <c r="F4288" s="1" t="s">
        <v>408</v>
      </c>
      <c r="I4288" s="1" t="n">
        <v>680644</v>
      </c>
      <c r="J4288" s="1" t="n">
        <v>57102</v>
      </c>
      <c r="K4288" s="1" t="n">
        <v>7896089088649</v>
      </c>
      <c r="L4288" s="1" t="s">
        <v>4021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5" t="n">
        <v>46212</v>
      </c>
      <c r="C4289" s="1" t="n">
        <v>11</v>
      </c>
      <c r="D4289" s="1" t="s">
        <v>2290</v>
      </c>
      <c r="E4289" s="1" t="n">
        <v>1718</v>
      </c>
      <c r="F4289" s="1" t="s">
        <v>408</v>
      </c>
      <c r="I4289" s="1" t="n">
        <v>680644</v>
      </c>
      <c r="J4289" s="1" t="n">
        <v>81684</v>
      </c>
      <c r="K4289" s="1" t="n">
        <v>70330353138</v>
      </c>
      <c r="L4289" s="1" t="s">
        <v>4022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5" t="n">
        <v>46212</v>
      </c>
      <c r="C4290" s="1" t="n">
        <v>11</v>
      </c>
      <c r="D4290" s="1" t="s">
        <v>2290</v>
      </c>
      <c r="E4290" s="1" t="n">
        <v>1705</v>
      </c>
      <c r="F4290" s="1" t="s">
        <v>122</v>
      </c>
      <c r="I4290" s="1" t="n">
        <v>1193153</v>
      </c>
      <c r="J4290" s="1" t="n">
        <v>103160</v>
      </c>
      <c r="K4290" s="1" t="n">
        <v>7894900030013</v>
      </c>
      <c r="L4290" s="1" t="s">
        <v>3632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5" t="n">
        <v>46212</v>
      </c>
      <c r="C4291" s="1" t="n">
        <v>11</v>
      </c>
      <c r="D4291" s="1" t="s">
        <v>2290</v>
      </c>
      <c r="E4291" s="1" t="n">
        <v>1705</v>
      </c>
      <c r="F4291" s="1" t="s">
        <v>122</v>
      </c>
      <c r="I4291" s="1" t="n">
        <v>1193175</v>
      </c>
      <c r="J4291" s="1" t="n">
        <v>104029</v>
      </c>
      <c r="K4291" s="1" t="n">
        <v>7896045512317</v>
      </c>
      <c r="L4291" s="1" t="s">
        <v>2291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5" t="n">
        <v>46212</v>
      </c>
      <c r="C4292" s="1" t="n">
        <v>11</v>
      </c>
      <c r="D4292" s="1" t="s">
        <v>2290</v>
      </c>
      <c r="E4292" s="1" t="n">
        <v>1705</v>
      </c>
      <c r="F4292" s="1" t="s">
        <v>122</v>
      </c>
      <c r="I4292" s="1" t="n">
        <v>1193178</v>
      </c>
      <c r="J4292" s="1" t="n">
        <v>24324</v>
      </c>
      <c r="K4292" s="1" t="n">
        <v>70847022015</v>
      </c>
      <c r="L4292" s="1" t="s">
        <v>2292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5" t="n">
        <v>46212</v>
      </c>
      <c r="C4293" s="1" t="n">
        <v>11</v>
      </c>
      <c r="D4293" s="1" t="s">
        <v>2290</v>
      </c>
      <c r="E4293" s="1" t="n">
        <v>1705</v>
      </c>
      <c r="F4293" s="1" t="s">
        <v>122</v>
      </c>
      <c r="I4293" s="1" t="n">
        <v>1193178</v>
      </c>
      <c r="J4293" s="1" t="n">
        <v>66038</v>
      </c>
      <c r="K4293" s="1" t="n">
        <v>7898938890076</v>
      </c>
      <c r="L4293" s="1" t="s">
        <v>3612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5" t="n">
        <v>46212</v>
      </c>
      <c r="C4294" s="1" t="n">
        <v>11</v>
      </c>
      <c r="D4294" s="1" t="s">
        <v>2290</v>
      </c>
      <c r="E4294" s="1" t="n">
        <v>1705</v>
      </c>
      <c r="F4294" s="1" t="s">
        <v>122</v>
      </c>
      <c r="I4294" s="1" t="n">
        <v>1193179</v>
      </c>
      <c r="J4294" s="1" t="n">
        <v>14312</v>
      </c>
      <c r="K4294" s="1" t="n">
        <v>7894900504002</v>
      </c>
      <c r="L4294" s="1" t="s">
        <v>4023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5" t="n">
        <v>46212</v>
      </c>
      <c r="C4295" s="1" t="n">
        <v>11</v>
      </c>
      <c r="D4295" s="1" t="s">
        <v>2290</v>
      </c>
      <c r="E4295" s="1" t="n">
        <v>1705</v>
      </c>
      <c r="F4295" s="1" t="s">
        <v>122</v>
      </c>
      <c r="I4295" s="1" t="n">
        <v>1193179</v>
      </c>
      <c r="J4295" s="1" t="n">
        <v>77914</v>
      </c>
      <c r="K4295" s="1" t="n">
        <v>7894900530001</v>
      </c>
      <c r="L4295" s="1" t="s">
        <v>2299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5" t="n">
        <v>46212</v>
      </c>
      <c r="C4296" s="1" t="n">
        <v>11</v>
      </c>
      <c r="D4296" s="1" t="s">
        <v>2290</v>
      </c>
      <c r="E4296" s="1" t="n">
        <v>1705</v>
      </c>
      <c r="F4296" s="1" t="s">
        <v>122</v>
      </c>
      <c r="I4296" s="1" t="n">
        <v>1193179</v>
      </c>
      <c r="J4296" s="1" t="n">
        <v>78351</v>
      </c>
      <c r="K4296" s="1" t="n">
        <v>7894900530032</v>
      </c>
      <c r="L4296" s="1" t="s">
        <v>3613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5" t="n">
        <v>46212</v>
      </c>
      <c r="C4297" s="1" t="n">
        <v>11</v>
      </c>
      <c r="D4297" s="1" t="s">
        <v>2290</v>
      </c>
      <c r="E4297" s="1" t="n">
        <v>1705</v>
      </c>
      <c r="F4297" s="1" t="s">
        <v>122</v>
      </c>
      <c r="I4297" s="1" t="n">
        <v>1193179</v>
      </c>
      <c r="J4297" s="1" t="n">
        <v>79334</v>
      </c>
      <c r="K4297" s="1" t="n">
        <v>7894900531305</v>
      </c>
      <c r="L4297" s="1" t="s">
        <v>4024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5" t="n">
        <v>46212</v>
      </c>
      <c r="C4298" s="1" t="n">
        <v>11</v>
      </c>
      <c r="D4298" s="1" t="s">
        <v>2290</v>
      </c>
      <c r="E4298" s="1" t="n">
        <v>1705</v>
      </c>
      <c r="F4298" s="1" t="s">
        <v>122</v>
      </c>
      <c r="I4298" s="1" t="n">
        <v>1193179</v>
      </c>
      <c r="J4298" s="1" t="n">
        <v>79795</v>
      </c>
      <c r="K4298" s="1" t="n">
        <v>7894900530308</v>
      </c>
      <c r="L4298" s="1" t="s">
        <v>4025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5" t="n">
        <v>46212</v>
      </c>
      <c r="C4299" s="1" t="n">
        <v>11</v>
      </c>
      <c r="D4299" s="1" t="s">
        <v>2290</v>
      </c>
      <c r="E4299" s="1" t="n">
        <v>1705</v>
      </c>
      <c r="F4299" s="1" t="s">
        <v>122</v>
      </c>
      <c r="I4299" s="1" t="n">
        <v>1193179</v>
      </c>
      <c r="J4299" s="1" t="n">
        <v>80206</v>
      </c>
      <c r="K4299" s="1" t="n">
        <v>7894900506006</v>
      </c>
      <c r="L4299" s="1" t="s">
        <v>4026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5" t="n">
        <v>46212</v>
      </c>
      <c r="C4300" s="1" t="n">
        <v>11</v>
      </c>
      <c r="D4300" s="1" t="s">
        <v>2290</v>
      </c>
      <c r="E4300" s="1" t="n">
        <v>1740</v>
      </c>
      <c r="F4300" s="1" t="s">
        <v>170</v>
      </c>
      <c r="I4300" s="1" t="n">
        <v>1245355</v>
      </c>
      <c r="J4300" s="1" t="n">
        <v>100036</v>
      </c>
      <c r="K4300" s="1" t="n">
        <v>37</v>
      </c>
      <c r="L4300" s="1" t="s">
        <v>2432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5" t="n">
        <v>46212</v>
      </c>
      <c r="C4301" s="1" t="n">
        <v>11</v>
      </c>
      <c r="D4301" s="1" t="s">
        <v>2290</v>
      </c>
      <c r="E4301" s="1" t="n">
        <v>1740</v>
      </c>
      <c r="F4301" s="1" t="s">
        <v>170</v>
      </c>
      <c r="I4301" s="1" t="n">
        <v>1245355</v>
      </c>
      <c r="J4301" s="1" t="n">
        <v>110201</v>
      </c>
      <c r="K4301" s="1" t="n">
        <v>37424</v>
      </c>
      <c r="L4301" s="1" t="s">
        <v>4027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5" t="n">
        <v>46212</v>
      </c>
      <c r="C4302" s="1" t="n">
        <v>11</v>
      </c>
      <c r="D4302" s="1" t="s">
        <v>2290</v>
      </c>
      <c r="E4302" s="1" t="n">
        <v>1740</v>
      </c>
      <c r="F4302" s="1" t="s">
        <v>170</v>
      </c>
      <c r="I4302" s="1" t="n">
        <v>1245355</v>
      </c>
      <c r="J4302" s="1" t="n">
        <v>41242</v>
      </c>
      <c r="K4302" s="1" t="n">
        <v>7891164138370</v>
      </c>
      <c r="L4302" s="1" t="s">
        <v>4028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5" t="n">
        <v>46212</v>
      </c>
      <c r="C4303" s="1" t="n">
        <v>11</v>
      </c>
      <c r="D4303" s="1" t="s">
        <v>2290</v>
      </c>
      <c r="E4303" s="1" t="n">
        <v>1740</v>
      </c>
      <c r="F4303" s="1" t="s">
        <v>170</v>
      </c>
      <c r="I4303" s="1" t="n">
        <v>1245355</v>
      </c>
      <c r="J4303" s="1" t="n">
        <v>48504</v>
      </c>
      <c r="K4303" s="1" t="n">
        <v>7891164027377</v>
      </c>
      <c r="L4303" s="1" t="s">
        <v>3097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5" t="n">
        <v>46212</v>
      </c>
      <c r="C4304" s="1" t="n">
        <v>11</v>
      </c>
      <c r="D4304" s="1" t="s">
        <v>2290</v>
      </c>
      <c r="E4304" s="1" t="n">
        <v>1740</v>
      </c>
      <c r="F4304" s="1" t="s">
        <v>170</v>
      </c>
      <c r="I4304" s="1" t="n">
        <v>1245355</v>
      </c>
      <c r="J4304" s="1" t="n">
        <v>110530</v>
      </c>
      <c r="K4304" s="1" t="n">
        <v>57638</v>
      </c>
      <c r="L4304" s="1" t="s">
        <v>2433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5" t="n">
        <v>46212</v>
      </c>
      <c r="C4305" s="1" t="n">
        <v>11</v>
      </c>
      <c r="D4305" s="1" t="s">
        <v>2290</v>
      </c>
      <c r="E4305" s="1" t="n">
        <v>1740</v>
      </c>
      <c r="F4305" s="1" t="s">
        <v>170</v>
      </c>
      <c r="I4305" s="1" t="n">
        <v>1245355</v>
      </c>
      <c r="J4305" s="1" t="n">
        <v>61465</v>
      </c>
      <c r="K4305" s="1" t="n">
        <v>7891164018535</v>
      </c>
      <c r="L4305" s="1" t="s">
        <v>3099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5" t="n">
        <v>46212</v>
      </c>
      <c r="C4306" s="1" t="n">
        <v>11</v>
      </c>
      <c r="D4306" s="1" t="s">
        <v>2290</v>
      </c>
      <c r="E4306" s="1" t="n">
        <v>1740</v>
      </c>
      <c r="F4306" s="1" t="s">
        <v>170</v>
      </c>
      <c r="I4306" s="1" t="n">
        <v>1245355</v>
      </c>
      <c r="J4306" s="1" t="n">
        <v>65686</v>
      </c>
      <c r="K4306" s="1" t="n">
        <v>7891164110727</v>
      </c>
      <c r="L4306" s="1" t="s">
        <v>3000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5" t="n">
        <v>46212</v>
      </c>
      <c r="C4307" s="1" t="n">
        <v>11</v>
      </c>
      <c r="D4307" s="1" t="s">
        <v>2290</v>
      </c>
      <c r="E4307" s="1" t="n">
        <v>1740</v>
      </c>
      <c r="F4307" s="1" t="s">
        <v>170</v>
      </c>
      <c r="I4307" s="1" t="n">
        <v>1245355</v>
      </c>
      <c r="J4307" s="1" t="n">
        <v>81469</v>
      </c>
      <c r="K4307" s="1" t="n">
        <v>7898681940042</v>
      </c>
      <c r="L4307" s="1" t="s">
        <v>4029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5" t="n">
        <v>46212</v>
      </c>
      <c r="C4308" s="1" t="n">
        <v>11</v>
      </c>
      <c r="D4308" s="1" t="s">
        <v>2290</v>
      </c>
      <c r="E4308" s="1" t="n">
        <v>1705</v>
      </c>
      <c r="F4308" s="1" t="s">
        <v>122</v>
      </c>
      <c r="I4308" s="1" t="n">
        <v>1924041</v>
      </c>
      <c r="J4308" s="1" t="n">
        <v>30322</v>
      </c>
      <c r="K4308" s="1" t="n">
        <v>7894900681109</v>
      </c>
      <c r="L4308" s="1" t="s">
        <v>3256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5" t="n">
        <v>46212</v>
      </c>
      <c r="C4309" s="1" t="n">
        <v>11</v>
      </c>
      <c r="D4309" s="1" t="s">
        <v>2290</v>
      </c>
      <c r="E4309" s="1" t="n">
        <v>1705</v>
      </c>
      <c r="F4309" s="1" t="s">
        <v>122</v>
      </c>
      <c r="I4309" s="1" t="n">
        <v>1924041</v>
      </c>
      <c r="J4309" s="1" t="n">
        <v>103142</v>
      </c>
      <c r="K4309" s="1" t="n">
        <v>7894900011753</v>
      </c>
      <c r="L4309" s="1" t="s">
        <v>2305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5" t="n">
        <v>46212</v>
      </c>
      <c r="C4310" s="1" t="n">
        <v>11</v>
      </c>
      <c r="D4310" s="1" t="s">
        <v>2290</v>
      </c>
      <c r="E4310" s="1" t="n">
        <v>1705</v>
      </c>
      <c r="F4310" s="1" t="s">
        <v>122</v>
      </c>
      <c r="I4310" s="1" t="n">
        <v>1924041</v>
      </c>
      <c r="J4310" s="1" t="n">
        <v>103145</v>
      </c>
      <c r="K4310" s="1" t="n">
        <v>7894900051513</v>
      </c>
      <c r="L4310" s="1" t="s">
        <v>2306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5" t="n">
        <v>46212</v>
      </c>
      <c r="C4311" s="1" t="n">
        <v>11</v>
      </c>
      <c r="D4311" s="1" t="s">
        <v>2290</v>
      </c>
      <c r="E4311" s="1" t="n">
        <v>1705</v>
      </c>
      <c r="F4311" s="1" t="s">
        <v>122</v>
      </c>
      <c r="I4311" s="1" t="n">
        <v>1924041</v>
      </c>
      <c r="J4311" s="1" t="n">
        <v>103146</v>
      </c>
      <c r="K4311" s="1" t="n">
        <v>7894900031515</v>
      </c>
      <c r="L4311" s="1" t="s">
        <v>2876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5" t="n">
        <v>46212</v>
      </c>
      <c r="C4312" s="1" t="n">
        <v>11</v>
      </c>
      <c r="D4312" s="1" t="s">
        <v>2290</v>
      </c>
      <c r="E4312" s="1" t="n">
        <v>1705</v>
      </c>
      <c r="F4312" s="1" t="s">
        <v>122</v>
      </c>
      <c r="I4312" s="1" t="n">
        <v>1924041</v>
      </c>
      <c r="J4312" s="1" t="n">
        <v>103155</v>
      </c>
      <c r="K4312" s="1" t="n">
        <v>7894900033564</v>
      </c>
      <c r="L4312" s="1" t="s">
        <v>2876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5" t="n">
        <v>46212</v>
      </c>
      <c r="C4313" s="1" t="n">
        <v>11</v>
      </c>
      <c r="D4313" s="1" t="s">
        <v>2290</v>
      </c>
      <c r="E4313" s="1" t="n">
        <v>1705</v>
      </c>
      <c r="F4313" s="1" t="s">
        <v>122</v>
      </c>
      <c r="I4313" s="1" t="n">
        <v>1924041</v>
      </c>
      <c r="J4313" s="1" t="n">
        <v>103161</v>
      </c>
      <c r="K4313" s="1" t="n">
        <v>7894900010015</v>
      </c>
      <c r="L4313" s="1" t="s">
        <v>3192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5" t="n">
        <v>46212</v>
      </c>
      <c r="C4314" s="1" t="n">
        <v>11</v>
      </c>
      <c r="D4314" s="1" t="s">
        <v>2290</v>
      </c>
      <c r="E4314" s="1" t="n">
        <v>1705</v>
      </c>
      <c r="F4314" s="1" t="s">
        <v>122</v>
      </c>
      <c r="I4314" s="1" t="n">
        <v>1924041</v>
      </c>
      <c r="J4314" s="1" t="n">
        <v>104472</v>
      </c>
      <c r="K4314" s="1" t="n">
        <v>7897105200038</v>
      </c>
      <c r="L4314" s="1" t="s">
        <v>3257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5" t="n">
        <v>46212</v>
      </c>
      <c r="C4315" s="1" t="n">
        <v>11</v>
      </c>
      <c r="D4315" s="1" t="s">
        <v>2290</v>
      </c>
      <c r="E4315" s="1" t="n">
        <v>1705</v>
      </c>
      <c r="F4315" s="1" t="s">
        <v>122</v>
      </c>
      <c r="I4315" s="1" t="n">
        <v>1924041</v>
      </c>
      <c r="J4315" s="1" t="n">
        <v>105323</v>
      </c>
      <c r="K4315" s="1" t="n">
        <v>7894900701753</v>
      </c>
      <c r="L4315" s="1" t="s">
        <v>2307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5" t="n">
        <v>46212</v>
      </c>
      <c r="C4316" s="1" t="n">
        <v>11</v>
      </c>
      <c r="D4316" s="1" t="s">
        <v>2290</v>
      </c>
      <c r="E4316" s="1" t="n">
        <v>1705</v>
      </c>
      <c r="F4316" s="1" t="s">
        <v>122</v>
      </c>
      <c r="I4316" s="1" t="n">
        <v>1924041</v>
      </c>
      <c r="J4316" s="1" t="n">
        <v>105631</v>
      </c>
      <c r="K4316" s="1" t="n">
        <v>7894900011609</v>
      </c>
      <c r="L4316" s="1" t="s">
        <v>2877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5" t="n">
        <v>46212</v>
      </c>
      <c r="C4317" s="1" t="n">
        <v>11</v>
      </c>
      <c r="D4317" s="1" t="s">
        <v>2290</v>
      </c>
      <c r="E4317" s="1" t="n">
        <v>1705</v>
      </c>
      <c r="F4317" s="1" t="s">
        <v>122</v>
      </c>
      <c r="I4317" s="1" t="n">
        <v>1924041</v>
      </c>
      <c r="J4317" s="1" t="n">
        <v>107100</v>
      </c>
      <c r="K4317" s="1" t="n">
        <v>7894900700015</v>
      </c>
      <c r="L4317" s="1" t="s">
        <v>2878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5" t="n">
        <v>46212</v>
      </c>
      <c r="C4318" s="1" t="n">
        <v>11</v>
      </c>
      <c r="D4318" s="1" t="s">
        <v>2290</v>
      </c>
      <c r="E4318" s="1" t="n">
        <v>1705</v>
      </c>
      <c r="F4318" s="1" t="s">
        <v>122</v>
      </c>
      <c r="I4318" s="1" t="n">
        <v>1924041</v>
      </c>
      <c r="J4318" s="1" t="n">
        <v>10830</v>
      </c>
      <c r="K4318" s="1" t="n">
        <v>7894900701517</v>
      </c>
      <c r="L4318" s="1" t="s">
        <v>2879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5" t="n">
        <v>46212</v>
      </c>
      <c r="C4319" s="1" t="n">
        <v>11</v>
      </c>
      <c r="D4319" s="1" t="s">
        <v>2290</v>
      </c>
      <c r="E4319" s="1" t="n">
        <v>1705</v>
      </c>
      <c r="F4319" s="1" t="s">
        <v>122</v>
      </c>
      <c r="I4319" s="1" t="n">
        <v>1924041</v>
      </c>
      <c r="J4319" s="1" t="n">
        <v>21183</v>
      </c>
      <c r="K4319" s="1" t="n">
        <v>7894900556063</v>
      </c>
      <c r="L4319" s="1" t="s">
        <v>3634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5" t="n">
        <v>46212</v>
      </c>
      <c r="C4320" s="1" t="n">
        <v>11</v>
      </c>
      <c r="D4320" s="1" t="s">
        <v>2290</v>
      </c>
      <c r="E4320" s="1" t="n">
        <v>1705</v>
      </c>
      <c r="F4320" s="1" t="s">
        <v>122</v>
      </c>
      <c r="I4320" s="1" t="n">
        <v>1924041</v>
      </c>
      <c r="J4320" s="1" t="n">
        <v>21426</v>
      </c>
      <c r="K4320" s="1" t="n">
        <v>7894900014211</v>
      </c>
      <c r="L4320" s="1" t="s">
        <v>2309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5" t="n">
        <v>46212</v>
      </c>
      <c r="C4321" s="1" t="n">
        <v>11</v>
      </c>
      <c r="D4321" s="1" t="s">
        <v>2290</v>
      </c>
      <c r="E4321" s="1" t="n">
        <v>1705</v>
      </c>
      <c r="F4321" s="1" t="s">
        <v>122</v>
      </c>
      <c r="I4321" s="1" t="n">
        <v>1924041</v>
      </c>
      <c r="J4321" s="1" t="n">
        <v>22893</v>
      </c>
      <c r="K4321" s="1" t="n">
        <v>7894900550061</v>
      </c>
      <c r="L4321" s="1" t="s">
        <v>3636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5" t="n">
        <v>46212</v>
      </c>
      <c r="C4322" s="1" t="n">
        <v>11</v>
      </c>
      <c r="D4322" s="1" t="s">
        <v>2290</v>
      </c>
      <c r="E4322" s="1" t="n">
        <v>1705</v>
      </c>
      <c r="F4322" s="1" t="s">
        <v>122</v>
      </c>
      <c r="I4322" s="1" t="n">
        <v>1924041</v>
      </c>
      <c r="J4322" s="1" t="n">
        <v>28739</v>
      </c>
      <c r="K4322" s="1" t="n">
        <v>7894900027044</v>
      </c>
      <c r="L4322" s="1" t="s">
        <v>2883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5" t="n">
        <v>46212</v>
      </c>
      <c r="C4323" s="1" t="n">
        <v>11</v>
      </c>
      <c r="D4323" s="1" t="s">
        <v>2290</v>
      </c>
      <c r="E4323" s="1" t="n">
        <v>1705</v>
      </c>
      <c r="F4323" s="1" t="s">
        <v>122</v>
      </c>
      <c r="I4323" s="1" t="n">
        <v>1924041</v>
      </c>
      <c r="J4323" s="1" t="n">
        <v>30017</v>
      </c>
      <c r="K4323" s="1" t="n">
        <v>7894900680508</v>
      </c>
      <c r="L4323" s="1" t="s">
        <v>3824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5" t="n">
        <v>46212</v>
      </c>
      <c r="C4324" s="1" t="n">
        <v>11</v>
      </c>
      <c r="D4324" s="1" t="s">
        <v>2290</v>
      </c>
      <c r="E4324" s="1" t="n">
        <v>1705</v>
      </c>
      <c r="F4324" s="1" t="s">
        <v>122</v>
      </c>
      <c r="I4324" s="1" t="n">
        <v>1924041</v>
      </c>
      <c r="J4324" s="1" t="n">
        <v>30085</v>
      </c>
      <c r="K4324" s="1" t="n">
        <v>7894900054217</v>
      </c>
      <c r="L4324" s="1" t="s">
        <v>3259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5" t="n">
        <v>46212</v>
      </c>
      <c r="C4325" s="1" t="n">
        <v>11</v>
      </c>
      <c r="D4325" s="1" t="s">
        <v>2290</v>
      </c>
      <c r="E4325" s="1" t="n">
        <v>1705</v>
      </c>
      <c r="F4325" s="1" t="s">
        <v>122</v>
      </c>
      <c r="I4325" s="1" t="n">
        <v>1924041</v>
      </c>
      <c r="J4325" s="1" t="n">
        <v>31367</v>
      </c>
      <c r="K4325" s="1" t="n">
        <v>7894900704211</v>
      </c>
      <c r="L4325" s="1" t="s">
        <v>2310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5" t="n">
        <v>46212</v>
      </c>
      <c r="C4326" s="1" t="n">
        <v>11</v>
      </c>
      <c r="D4326" s="1" t="s">
        <v>2290</v>
      </c>
      <c r="E4326" s="1" t="n">
        <v>1705</v>
      </c>
      <c r="F4326" s="1" t="s">
        <v>122</v>
      </c>
      <c r="I4326" s="1" t="n">
        <v>1924041</v>
      </c>
      <c r="J4326" s="1" t="n">
        <v>31767</v>
      </c>
      <c r="K4326" s="1" t="n">
        <v>7897105250095</v>
      </c>
      <c r="L4326" s="1" t="s">
        <v>3825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5" t="n">
        <v>46212</v>
      </c>
      <c r="C4327" s="1" t="n">
        <v>11</v>
      </c>
      <c r="D4327" s="1" t="s">
        <v>2290</v>
      </c>
      <c r="E4327" s="1" t="n">
        <v>1705</v>
      </c>
      <c r="F4327" s="1" t="s">
        <v>122</v>
      </c>
      <c r="I4327" s="1" t="n">
        <v>1924041</v>
      </c>
      <c r="J4327" s="1" t="n">
        <v>32339</v>
      </c>
      <c r="K4327" s="1" t="n">
        <v>7894900681000</v>
      </c>
      <c r="L4327" s="1" t="s">
        <v>3261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5" t="n">
        <v>46212</v>
      </c>
      <c r="C4328" s="1" t="n">
        <v>11</v>
      </c>
      <c r="D4328" s="1" t="s">
        <v>2290</v>
      </c>
      <c r="E4328" s="1" t="n">
        <v>1705</v>
      </c>
      <c r="F4328" s="1" t="s">
        <v>122</v>
      </c>
      <c r="I4328" s="1" t="n">
        <v>1924041</v>
      </c>
      <c r="J4328" s="1" t="n">
        <v>38060</v>
      </c>
      <c r="K4328" s="1" t="n">
        <v>7894900701609</v>
      </c>
      <c r="L4328" s="1" t="s">
        <v>2884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5" t="n">
        <v>46212</v>
      </c>
      <c r="C4329" s="1" t="n">
        <v>22</v>
      </c>
      <c r="D4329" s="1" t="s">
        <v>2436</v>
      </c>
      <c r="E4329" s="1" t="n">
        <v>42</v>
      </c>
      <c r="F4329" s="1" t="s">
        <v>80</v>
      </c>
      <c r="I4329" s="1" t="n">
        <v>4366</v>
      </c>
      <c r="J4329" s="1" t="n">
        <v>100006</v>
      </c>
      <c r="K4329" s="1" t="n">
        <v>7</v>
      </c>
      <c r="L4329" s="1" t="s">
        <v>2437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5" t="n">
        <v>46212</v>
      </c>
      <c r="C4330" s="1" t="n">
        <v>22</v>
      </c>
      <c r="D4330" s="1" t="s">
        <v>2436</v>
      </c>
      <c r="E4330" s="1" t="n">
        <v>42</v>
      </c>
      <c r="F4330" s="1" t="s">
        <v>80</v>
      </c>
      <c r="I4330" s="1" t="n">
        <v>4366</v>
      </c>
      <c r="J4330" s="1" t="n">
        <v>100008</v>
      </c>
      <c r="K4330" s="1" t="n">
        <v>9</v>
      </c>
      <c r="L4330" s="1" t="s">
        <v>2438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5" t="n">
        <v>46212</v>
      </c>
      <c r="C4331" s="1" t="n">
        <v>22</v>
      </c>
      <c r="D4331" s="1" t="s">
        <v>2436</v>
      </c>
      <c r="E4331" s="1" t="n">
        <v>42</v>
      </c>
      <c r="F4331" s="1" t="s">
        <v>80</v>
      </c>
      <c r="I4331" s="1" t="n">
        <v>4366</v>
      </c>
      <c r="J4331" s="1" t="n">
        <v>100010</v>
      </c>
      <c r="K4331" s="1" t="n">
        <v>11</v>
      </c>
      <c r="L4331" s="1" t="s">
        <v>2439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5" t="n">
        <v>46212</v>
      </c>
      <c r="C4332" s="1" t="n">
        <v>22</v>
      </c>
      <c r="D4332" s="1" t="s">
        <v>2436</v>
      </c>
      <c r="E4332" s="1" t="n">
        <v>42</v>
      </c>
      <c r="F4332" s="1" t="s">
        <v>80</v>
      </c>
      <c r="I4332" s="1" t="n">
        <v>4366</v>
      </c>
      <c r="J4332" s="1" t="n">
        <v>100011</v>
      </c>
      <c r="K4332" s="1" t="n">
        <v>12</v>
      </c>
      <c r="L4332" s="1" t="s">
        <v>2440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5" t="n">
        <v>46212</v>
      </c>
      <c r="C4333" s="1" t="n">
        <v>22</v>
      </c>
      <c r="D4333" s="1" t="s">
        <v>2436</v>
      </c>
      <c r="E4333" s="1" t="n">
        <v>42</v>
      </c>
      <c r="F4333" s="1" t="s">
        <v>80</v>
      </c>
      <c r="I4333" s="1" t="n">
        <v>4366</v>
      </c>
      <c r="J4333" s="1" t="n">
        <v>100012</v>
      </c>
      <c r="K4333" s="1" t="n">
        <v>13</v>
      </c>
      <c r="L4333" s="1" t="s">
        <v>2441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5" t="n">
        <v>46212</v>
      </c>
      <c r="C4334" s="1" t="n">
        <v>22</v>
      </c>
      <c r="D4334" s="1" t="s">
        <v>2436</v>
      </c>
      <c r="E4334" s="1" t="n">
        <v>42</v>
      </c>
      <c r="F4334" s="1" t="s">
        <v>80</v>
      </c>
      <c r="I4334" s="1" t="n">
        <v>4366</v>
      </c>
      <c r="J4334" s="1" t="n">
        <v>100013</v>
      </c>
      <c r="K4334" s="1" t="n">
        <v>14</v>
      </c>
      <c r="L4334" s="1" t="s">
        <v>2442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5" t="n">
        <v>46212</v>
      </c>
      <c r="C4335" s="1" t="n">
        <v>22</v>
      </c>
      <c r="D4335" s="1" t="s">
        <v>2436</v>
      </c>
      <c r="E4335" s="1" t="n">
        <v>42</v>
      </c>
      <c r="F4335" s="1" t="s">
        <v>80</v>
      </c>
      <c r="I4335" s="1" t="n">
        <v>4366</v>
      </c>
      <c r="J4335" s="1" t="n">
        <v>100014</v>
      </c>
      <c r="K4335" s="1" t="n">
        <v>15</v>
      </c>
      <c r="L4335" s="1" t="s">
        <v>2443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5" t="n">
        <v>46212</v>
      </c>
      <c r="C4336" s="1" t="n">
        <v>22</v>
      </c>
      <c r="D4336" s="1" t="s">
        <v>2436</v>
      </c>
      <c r="E4336" s="1" t="n">
        <v>42</v>
      </c>
      <c r="F4336" s="1" t="s">
        <v>80</v>
      </c>
      <c r="I4336" s="1" t="n">
        <v>4366</v>
      </c>
      <c r="J4336" s="1" t="n">
        <v>100015</v>
      </c>
      <c r="K4336" s="1" t="n">
        <v>16</v>
      </c>
      <c r="L4336" s="1" t="s">
        <v>2444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5" t="n">
        <v>46212</v>
      </c>
      <c r="C4337" s="1" t="n">
        <v>22</v>
      </c>
      <c r="D4337" s="1" t="s">
        <v>2436</v>
      </c>
      <c r="E4337" s="1" t="n">
        <v>42</v>
      </c>
      <c r="F4337" s="1" t="s">
        <v>80</v>
      </c>
      <c r="I4337" s="1" t="n">
        <v>4366</v>
      </c>
      <c r="J4337" s="1" t="n">
        <v>100016</v>
      </c>
      <c r="K4337" s="1" t="n">
        <v>17</v>
      </c>
      <c r="L4337" s="1" t="s">
        <v>2445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5" t="n">
        <v>46212</v>
      </c>
      <c r="C4338" s="1" t="n">
        <v>22</v>
      </c>
      <c r="D4338" s="1" t="s">
        <v>2436</v>
      </c>
      <c r="E4338" s="1" t="n">
        <v>42</v>
      </c>
      <c r="F4338" s="1" t="s">
        <v>80</v>
      </c>
      <c r="I4338" s="1" t="n">
        <v>4366</v>
      </c>
      <c r="J4338" s="1" t="n">
        <v>100017</v>
      </c>
      <c r="K4338" s="1" t="n">
        <v>18</v>
      </c>
      <c r="L4338" s="1" t="s">
        <v>2446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5" t="n">
        <v>46212</v>
      </c>
      <c r="C4339" s="1" t="n">
        <v>22</v>
      </c>
      <c r="D4339" s="1" t="s">
        <v>2436</v>
      </c>
      <c r="E4339" s="1" t="n">
        <v>42</v>
      </c>
      <c r="F4339" s="1" t="s">
        <v>80</v>
      </c>
      <c r="I4339" s="1" t="n">
        <v>4366</v>
      </c>
      <c r="J4339" s="1" t="n">
        <v>100020</v>
      </c>
      <c r="K4339" s="1" t="n">
        <v>21</v>
      </c>
      <c r="L4339" s="1" t="s">
        <v>2456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5" t="n">
        <v>46212</v>
      </c>
      <c r="C4340" s="1" t="n">
        <v>22</v>
      </c>
      <c r="D4340" s="1" t="s">
        <v>2436</v>
      </c>
      <c r="E4340" s="1" t="n">
        <v>42</v>
      </c>
      <c r="F4340" s="1" t="s">
        <v>80</v>
      </c>
      <c r="I4340" s="1" t="n">
        <v>4366</v>
      </c>
      <c r="J4340" s="1" t="n">
        <v>100053</v>
      </c>
      <c r="K4340" s="1" t="n">
        <v>54</v>
      </c>
      <c r="L4340" s="1" t="s">
        <v>2447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5" t="n">
        <v>46212</v>
      </c>
      <c r="C4341" s="1" t="n">
        <v>22</v>
      </c>
      <c r="D4341" s="1" t="s">
        <v>2436</v>
      </c>
      <c r="E4341" s="1" t="n">
        <v>42</v>
      </c>
      <c r="F4341" s="1" t="s">
        <v>80</v>
      </c>
      <c r="I4341" s="1" t="n">
        <v>4366</v>
      </c>
      <c r="J4341" s="1" t="n">
        <v>100638</v>
      </c>
      <c r="K4341" s="1" t="n">
        <v>508</v>
      </c>
      <c r="L4341" s="1" t="s">
        <v>2448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5" t="n">
        <v>46212</v>
      </c>
      <c r="C4342" s="1" t="n">
        <v>22</v>
      </c>
      <c r="D4342" s="1" t="s">
        <v>2436</v>
      </c>
      <c r="E4342" s="1" t="n">
        <v>42</v>
      </c>
      <c r="F4342" s="1" t="s">
        <v>80</v>
      </c>
      <c r="I4342" s="1" t="n">
        <v>4366</v>
      </c>
      <c r="J4342" s="1" t="n">
        <v>100520</v>
      </c>
      <c r="K4342" s="1" t="n">
        <v>507</v>
      </c>
      <c r="L4342" s="1" t="s">
        <v>2449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5" t="n">
        <v>46212</v>
      </c>
      <c r="C4343" s="1" t="n">
        <v>22</v>
      </c>
      <c r="D4343" s="1" t="s">
        <v>2436</v>
      </c>
      <c r="E4343" s="1" t="n">
        <v>42</v>
      </c>
      <c r="F4343" s="1" t="s">
        <v>80</v>
      </c>
      <c r="I4343" s="1" t="n">
        <v>4366</v>
      </c>
      <c r="J4343" s="1" t="n">
        <v>110455</v>
      </c>
      <c r="K4343" s="1" t="n">
        <v>53212</v>
      </c>
      <c r="L4343" s="1" t="s">
        <v>2450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5" t="n">
        <v>46212</v>
      </c>
      <c r="C4344" s="1" t="n">
        <v>22</v>
      </c>
      <c r="D4344" s="1" t="s">
        <v>2436</v>
      </c>
      <c r="E4344" s="1" t="n">
        <v>42</v>
      </c>
      <c r="F4344" s="1" t="s">
        <v>80</v>
      </c>
      <c r="I4344" s="1" t="n">
        <v>4368</v>
      </c>
      <c r="J4344" s="1" t="n">
        <v>100000</v>
      </c>
      <c r="K4344" s="1" t="n">
        <v>1</v>
      </c>
      <c r="L4344" s="1" t="s">
        <v>2451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5" t="n">
        <v>46212</v>
      </c>
      <c r="C4345" s="1" t="n">
        <v>22</v>
      </c>
      <c r="D4345" s="1" t="s">
        <v>2436</v>
      </c>
      <c r="E4345" s="1" t="n">
        <v>42</v>
      </c>
      <c r="F4345" s="1" t="s">
        <v>80</v>
      </c>
      <c r="I4345" s="1" t="n">
        <v>4368</v>
      </c>
      <c r="J4345" s="1" t="n">
        <v>100001</v>
      </c>
      <c r="K4345" s="1" t="n">
        <v>2</v>
      </c>
      <c r="L4345" s="1" t="s">
        <v>2452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5" t="n">
        <v>46212</v>
      </c>
      <c r="C4346" s="1" t="n">
        <v>22</v>
      </c>
      <c r="D4346" s="1" t="s">
        <v>2436</v>
      </c>
      <c r="E4346" s="1" t="n">
        <v>42</v>
      </c>
      <c r="F4346" s="1" t="s">
        <v>80</v>
      </c>
      <c r="I4346" s="1" t="n">
        <v>4368</v>
      </c>
      <c r="J4346" s="1" t="n">
        <v>100002</v>
      </c>
      <c r="K4346" s="1" t="n">
        <v>3</v>
      </c>
      <c r="L4346" s="1" t="s">
        <v>2453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5" t="n">
        <v>46212</v>
      </c>
      <c r="C4347" s="1" t="n">
        <v>22</v>
      </c>
      <c r="D4347" s="1" t="s">
        <v>2436</v>
      </c>
      <c r="E4347" s="1" t="n">
        <v>42</v>
      </c>
      <c r="F4347" s="1" t="s">
        <v>80</v>
      </c>
      <c r="I4347" s="1" t="n">
        <v>4368</v>
      </c>
      <c r="J4347" s="1" t="n">
        <v>100003</v>
      </c>
      <c r="K4347" s="1" t="n">
        <v>4</v>
      </c>
      <c r="L4347" s="1" t="s">
        <v>2454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5" t="n">
        <v>46212</v>
      </c>
      <c r="C4348" s="1" t="n">
        <v>22</v>
      </c>
      <c r="D4348" s="1" t="s">
        <v>2436</v>
      </c>
      <c r="E4348" s="1" t="n">
        <v>42</v>
      </c>
      <c r="F4348" s="1" t="s">
        <v>80</v>
      </c>
      <c r="I4348" s="1" t="n">
        <v>4368</v>
      </c>
      <c r="J4348" s="1" t="n">
        <v>100007</v>
      </c>
      <c r="K4348" s="1" t="n">
        <v>8</v>
      </c>
      <c r="L4348" s="1" t="s">
        <v>2455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5" t="n">
        <v>46212</v>
      </c>
      <c r="C4349" s="1" t="n">
        <v>22</v>
      </c>
      <c r="D4349" s="1" t="s">
        <v>2436</v>
      </c>
      <c r="E4349" s="1" t="n">
        <v>42</v>
      </c>
      <c r="F4349" s="1" t="s">
        <v>80</v>
      </c>
      <c r="I4349" s="1" t="n">
        <v>4368</v>
      </c>
      <c r="J4349" s="1" t="n">
        <v>100638</v>
      </c>
      <c r="K4349" s="1" t="n">
        <v>508</v>
      </c>
      <c r="L4349" s="1" t="s">
        <v>2448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5" t="n">
        <v>46212</v>
      </c>
      <c r="C4350" s="1" t="n">
        <v>22</v>
      </c>
      <c r="D4350" s="1" t="s">
        <v>2436</v>
      </c>
      <c r="E4350" s="1" t="n">
        <v>42</v>
      </c>
      <c r="F4350" s="1" t="s">
        <v>80</v>
      </c>
      <c r="I4350" s="1" t="n">
        <v>4368</v>
      </c>
      <c r="J4350" s="1" t="n">
        <v>100520</v>
      </c>
      <c r="K4350" s="1" t="n">
        <v>507</v>
      </c>
      <c r="L4350" s="1" t="s">
        <v>2449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5" t="n">
        <v>46212</v>
      </c>
      <c r="C4351" s="1" t="n">
        <v>22</v>
      </c>
      <c r="D4351" s="1" t="s">
        <v>2436</v>
      </c>
      <c r="E4351" s="1" t="n">
        <v>42</v>
      </c>
      <c r="F4351" s="1" t="s">
        <v>80</v>
      </c>
      <c r="I4351" s="1" t="n">
        <v>4368</v>
      </c>
      <c r="J4351" s="1" t="n">
        <v>110455</v>
      </c>
      <c r="K4351" s="1" t="n">
        <v>53212</v>
      </c>
      <c r="L4351" s="1" t="s">
        <v>2450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5" t="n">
        <v>46212</v>
      </c>
      <c r="C4352" s="1" t="n">
        <v>100</v>
      </c>
      <c r="D4352" s="1" t="s">
        <v>2457</v>
      </c>
      <c r="E4352" s="1" t="n">
        <v>42</v>
      </c>
      <c r="F4352" s="1" t="s">
        <v>80</v>
      </c>
      <c r="I4352" s="1" t="n">
        <v>1374669</v>
      </c>
      <c r="J4352" s="1" t="n">
        <v>100006</v>
      </c>
      <c r="K4352" s="1" t="n">
        <v>7</v>
      </c>
      <c r="L4352" s="1" t="s">
        <v>2437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5" t="n">
        <v>46212</v>
      </c>
      <c r="C4353" s="1" t="n">
        <v>100</v>
      </c>
      <c r="D4353" s="1" t="s">
        <v>2457</v>
      </c>
      <c r="E4353" s="1" t="n">
        <v>42</v>
      </c>
      <c r="F4353" s="1" t="s">
        <v>80</v>
      </c>
      <c r="I4353" s="1" t="n">
        <v>1374669</v>
      </c>
      <c r="J4353" s="1" t="n">
        <v>100008</v>
      </c>
      <c r="K4353" s="1" t="n">
        <v>9</v>
      </c>
      <c r="L4353" s="1" t="s">
        <v>2438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5" t="n">
        <v>46212</v>
      </c>
      <c r="C4354" s="1" t="n">
        <v>100</v>
      </c>
      <c r="D4354" s="1" t="s">
        <v>2457</v>
      </c>
      <c r="E4354" s="1" t="n">
        <v>42</v>
      </c>
      <c r="F4354" s="1" t="s">
        <v>80</v>
      </c>
      <c r="I4354" s="1" t="n">
        <v>1374669</v>
      </c>
      <c r="J4354" s="1" t="n">
        <v>100010</v>
      </c>
      <c r="K4354" s="1" t="n">
        <v>11</v>
      </c>
      <c r="L4354" s="1" t="s">
        <v>2439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5" t="n">
        <v>46212</v>
      </c>
      <c r="C4355" s="1" t="n">
        <v>100</v>
      </c>
      <c r="D4355" s="1" t="s">
        <v>2457</v>
      </c>
      <c r="E4355" s="1" t="n">
        <v>42</v>
      </c>
      <c r="F4355" s="1" t="s">
        <v>80</v>
      </c>
      <c r="I4355" s="1" t="n">
        <v>1374669</v>
      </c>
      <c r="J4355" s="1" t="n">
        <v>100011</v>
      </c>
      <c r="K4355" s="1" t="n">
        <v>12</v>
      </c>
      <c r="L4355" s="1" t="s">
        <v>2440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5" t="n">
        <v>46212</v>
      </c>
      <c r="C4356" s="1" t="n">
        <v>100</v>
      </c>
      <c r="D4356" s="1" t="s">
        <v>2457</v>
      </c>
      <c r="E4356" s="1" t="n">
        <v>42</v>
      </c>
      <c r="F4356" s="1" t="s">
        <v>80</v>
      </c>
      <c r="I4356" s="1" t="n">
        <v>1374669</v>
      </c>
      <c r="J4356" s="1" t="n">
        <v>100012</v>
      </c>
      <c r="K4356" s="1" t="n">
        <v>13</v>
      </c>
      <c r="L4356" s="1" t="s">
        <v>2441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5" t="n">
        <v>46212</v>
      </c>
      <c r="C4357" s="1" t="n">
        <v>100</v>
      </c>
      <c r="D4357" s="1" t="s">
        <v>2457</v>
      </c>
      <c r="E4357" s="1" t="n">
        <v>42</v>
      </c>
      <c r="F4357" s="1" t="s">
        <v>80</v>
      </c>
      <c r="I4357" s="1" t="n">
        <v>1374669</v>
      </c>
      <c r="J4357" s="1" t="n">
        <v>100013</v>
      </c>
      <c r="K4357" s="1" t="n">
        <v>14</v>
      </c>
      <c r="L4357" s="1" t="s">
        <v>2442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5" t="n">
        <v>46212</v>
      </c>
      <c r="C4358" s="1" t="n">
        <v>100</v>
      </c>
      <c r="D4358" s="1" t="s">
        <v>2457</v>
      </c>
      <c r="E4358" s="1" t="n">
        <v>42</v>
      </c>
      <c r="F4358" s="1" t="s">
        <v>80</v>
      </c>
      <c r="I4358" s="1" t="n">
        <v>1374669</v>
      </c>
      <c r="J4358" s="1" t="n">
        <v>100014</v>
      </c>
      <c r="K4358" s="1" t="n">
        <v>15</v>
      </c>
      <c r="L4358" s="1" t="s">
        <v>2443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5" t="n">
        <v>46212</v>
      </c>
      <c r="C4359" s="1" t="n">
        <v>100</v>
      </c>
      <c r="D4359" s="1" t="s">
        <v>2457</v>
      </c>
      <c r="E4359" s="1" t="n">
        <v>42</v>
      </c>
      <c r="F4359" s="1" t="s">
        <v>80</v>
      </c>
      <c r="I4359" s="1" t="n">
        <v>1374669</v>
      </c>
      <c r="J4359" s="1" t="n">
        <v>100015</v>
      </c>
      <c r="K4359" s="1" t="n">
        <v>16</v>
      </c>
      <c r="L4359" s="1" t="s">
        <v>2444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5" t="n">
        <v>46212</v>
      </c>
      <c r="C4360" s="1" t="n">
        <v>100</v>
      </c>
      <c r="D4360" s="1" t="s">
        <v>2457</v>
      </c>
      <c r="E4360" s="1" t="n">
        <v>42</v>
      </c>
      <c r="F4360" s="1" t="s">
        <v>80</v>
      </c>
      <c r="I4360" s="1" t="n">
        <v>1374669</v>
      </c>
      <c r="J4360" s="1" t="n">
        <v>100016</v>
      </c>
      <c r="K4360" s="1" t="n">
        <v>17</v>
      </c>
      <c r="L4360" s="1" t="s">
        <v>2445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5" t="n">
        <v>46212</v>
      </c>
      <c r="C4361" s="1" t="n">
        <v>100</v>
      </c>
      <c r="D4361" s="1" t="s">
        <v>2457</v>
      </c>
      <c r="E4361" s="1" t="n">
        <v>42</v>
      </c>
      <c r="F4361" s="1" t="s">
        <v>80</v>
      </c>
      <c r="I4361" s="1" t="n">
        <v>1374669</v>
      </c>
      <c r="J4361" s="1" t="n">
        <v>100017</v>
      </c>
      <c r="K4361" s="1" t="n">
        <v>18</v>
      </c>
      <c r="L4361" s="1" t="s">
        <v>2446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5" t="n">
        <v>46212</v>
      </c>
      <c r="C4362" s="1" t="n">
        <v>100</v>
      </c>
      <c r="D4362" s="1" t="s">
        <v>2457</v>
      </c>
      <c r="E4362" s="1" t="n">
        <v>42</v>
      </c>
      <c r="F4362" s="1" t="s">
        <v>80</v>
      </c>
      <c r="I4362" s="1" t="n">
        <v>1374669</v>
      </c>
      <c r="J4362" s="1" t="n">
        <v>100020</v>
      </c>
      <c r="K4362" s="1" t="n">
        <v>21</v>
      </c>
      <c r="L4362" s="1" t="s">
        <v>2456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5" t="n">
        <v>46212</v>
      </c>
      <c r="C4363" s="1" t="n">
        <v>100</v>
      </c>
      <c r="D4363" s="1" t="s">
        <v>2457</v>
      </c>
      <c r="E4363" s="1" t="n">
        <v>42</v>
      </c>
      <c r="F4363" s="1" t="s">
        <v>80</v>
      </c>
      <c r="I4363" s="1" t="n">
        <v>1374669</v>
      </c>
      <c r="J4363" s="1" t="n">
        <v>100053</v>
      </c>
      <c r="K4363" s="1" t="n">
        <v>54</v>
      </c>
      <c r="L4363" s="1" t="s">
        <v>2447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5" t="n">
        <v>46212</v>
      </c>
      <c r="C4364" s="1" t="n">
        <v>100</v>
      </c>
      <c r="D4364" s="1" t="s">
        <v>2457</v>
      </c>
      <c r="E4364" s="1" t="n">
        <v>42</v>
      </c>
      <c r="F4364" s="1" t="s">
        <v>80</v>
      </c>
      <c r="I4364" s="1" t="n">
        <v>1374669</v>
      </c>
      <c r="J4364" s="1" t="n">
        <v>100638</v>
      </c>
      <c r="K4364" s="1" t="n">
        <v>508</v>
      </c>
      <c r="L4364" s="1" t="s">
        <v>2448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5" t="n">
        <v>46212</v>
      </c>
      <c r="C4365" s="1" t="n">
        <v>100</v>
      </c>
      <c r="D4365" s="1" t="s">
        <v>2457</v>
      </c>
      <c r="E4365" s="1" t="n">
        <v>42</v>
      </c>
      <c r="F4365" s="1" t="s">
        <v>80</v>
      </c>
      <c r="I4365" s="1" t="n">
        <v>1374669</v>
      </c>
      <c r="J4365" s="1" t="n">
        <v>100520</v>
      </c>
      <c r="K4365" s="1" t="n">
        <v>507</v>
      </c>
      <c r="L4365" s="1" t="s">
        <v>2449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5" t="n">
        <v>46212</v>
      </c>
      <c r="C4366" s="1" t="n">
        <v>100</v>
      </c>
      <c r="D4366" s="1" t="s">
        <v>2457</v>
      </c>
      <c r="E4366" s="1" t="n">
        <v>42</v>
      </c>
      <c r="F4366" s="1" t="s">
        <v>80</v>
      </c>
      <c r="I4366" s="1" t="n">
        <v>1374669</v>
      </c>
      <c r="J4366" s="1" t="n">
        <v>110455</v>
      </c>
      <c r="K4366" s="1" t="n">
        <v>53212</v>
      </c>
      <c r="L4366" s="1" t="s">
        <v>2450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5" t="n">
        <v>46212</v>
      </c>
      <c r="C4367" s="1" t="n">
        <v>100</v>
      </c>
      <c r="D4367" s="1" t="s">
        <v>2457</v>
      </c>
      <c r="E4367" s="1" t="n">
        <v>42</v>
      </c>
      <c r="F4367" s="1" t="s">
        <v>80</v>
      </c>
      <c r="I4367" s="1" t="n">
        <v>1374745</v>
      </c>
      <c r="J4367" s="1" t="n">
        <v>100000</v>
      </c>
      <c r="K4367" s="1" t="n">
        <v>1</v>
      </c>
      <c r="L4367" s="1" t="s">
        <v>2451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5" t="n">
        <v>46212</v>
      </c>
      <c r="C4368" s="1" t="n">
        <v>100</v>
      </c>
      <c r="D4368" s="1" t="s">
        <v>2457</v>
      </c>
      <c r="E4368" s="1" t="n">
        <v>42</v>
      </c>
      <c r="F4368" s="1" t="s">
        <v>80</v>
      </c>
      <c r="I4368" s="1" t="n">
        <v>1374745</v>
      </c>
      <c r="J4368" s="1" t="n">
        <v>100001</v>
      </c>
      <c r="K4368" s="1" t="n">
        <v>2</v>
      </c>
      <c r="L4368" s="1" t="s">
        <v>2452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5" t="n">
        <v>46212</v>
      </c>
      <c r="C4369" s="1" t="n">
        <v>100</v>
      </c>
      <c r="D4369" s="1" t="s">
        <v>2457</v>
      </c>
      <c r="E4369" s="1" t="n">
        <v>42</v>
      </c>
      <c r="F4369" s="1" t="s">
        <v>80</v>
      </c>
      <c r="I4369" s="1" t="n">
        <v>1374745</v>
      </c>
      <c r="J4369" s="1" t="n">
        <v>100002</v>
      </c>
      <c r="K4369" s="1" t="n">
        <v>3</v>
      </c>
      <c r="L4369" s="1" t="s">
        <v>2453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5" t="n">
        <v>46212</v>
      </c>
      <c r="C4370" s="1" t="n">
        <v>100</v>
      </c>
      <c r="D4370" s="1" t="s">
        <v>2457</v>
      </c>
      <c r="E4370" s="1" t="n">
        <v>42</v>
      </c>
      <c r="F4370" s="1" t="s">
        <v>80</v>
      </c>
      <c r="I4370" s="1" t="n">
        <v>1374745</v>
      </c>
      <c r="J4370" s="1" t="n">
        <v>100003</v>
      </c>
      <c r="K4370" s="1" t="n">
        <v>4</v>
      </c>
      <c r="L4370" s="1" t="s">
        <v>2454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5" t="n">
        <v>46212</v>
      </c>
      <c r="C4371" s="1" t="n">
        <v>100</v>
      </c>
      <c r="D4371" s="1" t="s">
        <v>2457</v>
      </c>
      <c r="E4371" s="1" t="n">
        <v>42</v>
      </c>
      <c r="F4371" s="1" t="s">
        <v>80</v>
      </c>
      <c r="I4371" s="1" t="n">
        <v>1374745</v>
      </c>
      <c r="J4371" s="1" t="n">
        <v>100007</v>
      </c>
      <c r="K4371" s="1" t="n">
        <v>8</v>
      </c>
      <c r="L4371" s="1" t="s">
        <v>2455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5" t="n">
        <v>46212</v>
      </c>
      <c r="C4372" s="1" t="n">
        <v>100</v>
      </c>
      <c r="D4372" s="1" t="s">
        <v>2457</v>
      </c>
      <c r="E4372" s="1" t="n">
        <v>42</v>
      </c>
      <c r="F4372" s="1" t="s">
        <v>80</v>
      </c>
      <c r="I4372" s="1" t="n">
        <v>1374745</v>
      </c>
      <c r="J4372" s="1" t="n">
        <v>100638</v>
      </c>
      <c r="K4372" s="1" t="n">
        <v>508</v>
      </c>
      <c r="L4372" s="1" t="s">
        <v>2448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5" t="n">
        <v>46212</v>
      </c>
      <c r="C4373" s="1" t="n">
        <v>100</v>
      </c>
      <c r="D4373" s="1" t="s">
        <v>2457</v>
      </c>
      <c r="E4373" s="1" t="n">
        <v>42</v>
      </c>
      <c r="F4373" s="1" t="s">
        <v>80</v>
      </c>
      <c r="I4373" s="1" t="n">
        <v>1374745</v>
      </c>
      <c r="J4373" s="1" t="n">
        <v>100520</v>
      </c>
      <c r="K4373" s="1" t="n">
        <v>507</v>
      </c>
      <c r="L4373" s="1" t="s">
        <v>2449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5" t="n">
        <v>46212</v>
      </c>
      <c r="C4374" s="1" t="n">
        <v>100</v>
      </c>
      <c r="D4374" s="1" t="s">
        <v>2457</v>
      </c>
      <c r="E4374" s="1" t="n">
        <v>42</v>
      </c>
      <c r="F4374" s="1" t="s">
        <v>80</v>
      </c>
      <c r="I4374" s="1" t="n">
        <v>1374745</v>
      </c>
      <c r="J4374" s="1" t="n">
        <v>110455</v>
      </c>
      <c r="K4374" s="1" t="n">
        <v>53212</v>
      </c>
      <c r="L4374" s="1" t="s">
        <v>2450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5" t="n">
        <v>46212</v>
      </c>
      <c r="C4375" s="1" t="n">
        <v>171</v>
      </c>
      <c r="D4375" s="1" t="s">
        <v>2517</v>
      </c>
      <c r="E4375" s="1" t="n">
        <v>1107</v>
      </c>
      <c r="F4375" s="1" t="s">
        <v>165</v>
      </c>
      <c r="I4375" s="1" t="n">
        <v>426369</v>
      </c>
      <c r="J4375" s="1" t="n">
        <v>23310</v>
      </c>
      <c r="K4375" s="1" t="n">
        <v>7896029018958</v>
      </c>
      <c r="L4375" s="1" t="s">
        <v>4013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5" t="n">
        <v>46212</v>
      </c>
      <c r="C4376" s="1" t="n">
        <v>171</v>
      </c>
      <c r="D4376" s="1" t="s">
        <v>2517</v>
      </c>
      <c r="E4376" s="1" t="n">
        <v>1107</v>
      </c>
      <c r="F4376" s="1" t="s">
        <v>165</v>
      </c>
      <c r="I4376" s="1" t="n">
        <v>426369</v>
      </c>
      <c r="J4376" s="1" t="n">
        <v>72634</v>
      </c>
      <c r="K4376" s="1" t="n">
        <v>7896029021569</v>
      </c>
      <c r="L4376" s="1" t="s">
        <v>4030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5" t="n">
        <v>46212</v>
      </c>
      <c r="C4377" s="1" t="n">
        <v>171</v>
      </c>
      <c r="D4377" s="1" t="s">
        <v>2517</v>
      </c>
      <c r="E4377" s="1" t="n">
        <v>1107</v>
      </c>
      <c r="F4377" s="1" t="s">
        <v>165</v>
      </c>
      <c r="I4377" s="1" t="n">
        <v>426369</v>
      </c>
      <c r="J4377" s="1" t="n">
        <v>79598</v>
      </c>
      <c r="K4377" s="1" t="n">
        <v>7896029046920</v>
      </c>
      <c r="L4377" s="1" t="s">
        <v>4031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5" t="n">
        <v>46212</v>
      </c>
      <c r="C4378" s="1" t="n">
        <v>171</v>
      </c>
      <c r="D4378" s="1" t="s">
        <v>2517</v>
      </c>
      <c r="E4378" s="1" t="n">
        <v>1740</v>
      </c>
      <c r="F4378" s="1" t="s">
        <v>170</v>
      </c>
      <c r="I4378" s="1" t="n">
        <v>1245354</v>
      </c>
      <c r="J4378" s="1" t="n">
        <v>110201</v>
      </c>
      <c r="K4378" s="1" t="n">
        <v>37424</v>
      </c>
      <c r="L4378" s="1" t="s">
        <v>4027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5" t="n">
        <v>46213</v>
      </c>
      <c r="C4379" s="1" t="n">
        <v>1</v>
      </c>
      <c r="D4379" s="1" t="s">
        <v>2317</v>
      </c>
      <c r="E4379" s="1" t="n">
        <v>10094</v>
      </c>
      <c r="F4379" s="1" t="s">
        <v>920</v>
      </c>
      <c r="I4379" s="1" t="n">
        <v>45</v>
      </c>
      <c r="J4379" s="1" t="n">
        <v>81701</v>
      </c>
      <c r="K4379" s="1" t="n">
        <v>7890284700238</v>
      </c>
      <c r="L4379" s="1" t="s">
        <v>4032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5" t="n">
        <v>46213</v>
      </c>
      <c r="C4380" s="1" t="n">
        <v>1</v>
      </c>
      <c r="D4380" s="1" t="s">
        <v>2317</v>
      </c>
      <c r="E4380" s="1" t="n">
        <v>10035</v>
      </c>
      <c r="F4380" s="1" t="s">
        <v>227</v>
      </c>
      <c r="I4380" s="1" t="n">
        <v>354</v>
      </c>
      <c r="J4380" s="1" t="n">
        <v>38652</v>
      </c>
      <c r="K4380" s="1" t="n">
        <v>7898994684220</v>
      </c>
      <c r="L4380" s="1" t="s">
        <v>2458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5" t="n">
        <v>46213</v>
      </c>
      <c r="C4381" s="1" t="n">
        <v>1</v>
      </c>
      <c r="D4381" s="1" t="s">
        <v>2317</v>
      </c>
      <c r="E4381" s="1" t="n">
        <v>10035</v>
      </c>
      <c r="F4381" s="1" t="s">
        <v>227</v>
      </c>
      <c r="I4381" s="1" t="n">
        <v>354</v>
      </c>
      <c r="J4381" s="1" t="n">
        <v>38653</v>
      </c>
      <c r="K4381" s="1" t="n">
        <v>7898994684275</v>
      </c>
      <c r="L4381" s="1" t="s">
        <v>2459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5" t="n">
        <v>46213</v>
      </c>
      <c r="C4382" s="1" t="n">
        <v>1</v>
      </c>
      <c r="D4382" s="1" t="s">
        <v>2317</v>
      </c>
      <c r="E4382" s="1" t="n">
        <v>10035</v>
      </c>
      <c r="F4382" s="1" t="s">
        <v>227</v>
      </c>
      <c r="I4382" s="1" t="n">
        <v>354</v>
      </c>
      <c r="J4382" s="1" t="n">
        <v>43726</v>
      </c>
      <c r="K4382" s="1" t="n">
        <v>2245461</v>
      </c>
      <c r="L4382" s="1" t="s">
        <v>2460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5" t="n">
        <v>46213</v>
      </c>
      <c r="C4383" s="1" t="n">
        <v>1</v>
      </c>
      <c r="D4383" s="1" t="s">
        <v>2317</v>
      </c>
      <c r="E4383" s="1" t="n">
        <v>1828</v>
      </c>
      <c r="F4383" s="1" t="s">
        <v>278</v>
      </c>
      <c r="I4383" s="1" t="n">
        <v>1378</v>
      </c>
      <c r="J4383" s="1" t="n">
        <v>14247</v>
      </c>
      <c r="K4383" s="1" t="n">
        <v>2229416</v>
      </c>
      <c r="L4383" s="1" t="s">
        <v>2747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5" t="n">
        <v>46213</v>
      </c>
      <c r="C4384" s="1" t="n">
        <v>1</v>
      </c>
      <c r="D4384" s="1" t="s">
        <v>2317</v>
      </c>
      <c r="E4384" s="1" t="n">
        <v>1828</v>
      </c>
      <c r="F4384" s="1" t="s">
        <v>278</v>
      </c>
      <c r="I4384" s="1" t="n">
        <v>1378</v>
      </c>
      <c r="J4384" s="1" t="n">
        <v>14248</v>
      </c>
      <c r="K4384" s="1" t="n">
        <v>2229423</v>
      </c>
      <c r="L4384" s="1" t="s">
        <v>2748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5" t="n">
        <v>46213</v>
      </c>
      <c r="C4385" s="1" t="n">
        <v>1</v>
      </c>
      <c r="D4385" s="1" t="s">
        <v>2317</v>
      </c>
      <c r="E4385" s="1" t="n">
        <v>1828</v>
      </c>
      <c r="F4385" s="1" t="s">
        <v>278</v>
      </c>
      <c r="I4385" s="1" t="n">
        <v>1378</v>
      </c>
      <c r="J4385" s="1" t="n">
        <v>20541</v>
      </c>
      <c r="K4385" s="1" t="n">
        <v>2232829</v>
      </c>
      <c r="L4385" s="1" t="s">
        <v>2749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5" t="n">
        <v>46213</v>
      </c>
      <c r="C4386" s="1" t="n">
        <v>1</v>
      </c>
      <c r="D4386" s="1" t="s">
        <v>2317</v>
      </c>
      <c r="E4386" s="1" t="n">
        <v>10063</v>
      </c>
      <c r="F4386" s="1" t="s">
        <v>218</v>
      </c>
      <c r="I4386" s="1" t="n">
        <v>2459</v>
      </c>
      <c r="J4386" s="1" t="n">
        <v>100174</v>
      </c>
      <c r="K4386" s="1" t="n">
        <v>7898141930286</v>
      </c>
      <c r="L4386" s="1" t="s">
        <v>2519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5" t="n">
        <v>46213</v>
      </c>
      <c r="C4387" s="1" t="n">
        <v>1</v>
      </c>
      <c r="D4387" s="1" t="s">
        <v>2317</v>
      </c>
      <c r="E4387" s="1" t="n">
        <v>10063</v>
      </c>
      <c r="F4387" s="1" t="s">
        <v>218</v>
      </c>
      <c r="I4387" s="1" t="n">
        <v>2459</v>
      </c>
      <c r="J4387" s="1" t="n">
        <v>100933</v>
      </c>
      <c r="K4387" s="1" t="n">
        <v>7896982100059</v>
      </c>
      <c r="L4387" s="1" t="s">
        <v>2520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5" t="n">
        <v>46213</v>
      </c>
      <c r="C4388" s="1" t="n">
        <v>1</v>
      </c>
      <c r="D4388" s="1" t="s">
        <v>2317</v>
      </c>
      <c r="E4388" s="1" t="n">
        <v>1609</v>
      </c>
      <c r="F4388" s="1" t="s">
        <v>410</v>
      </c>
      <c r="I4388" s="1" t="n">
        <v>5789</v>
      </c>
      <c r="J4388" s="1" t="n">
        <v>102382</v>
      </c>
      <c r="K4388" s="1" t="n">
        <v>7896981600673</v>
      </c>
      <c r="L4388" s="1" t="s">
        <v>2521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5" t="n">
        <v>46213</v>
      </c>
      <c r="C4389" s="1" t="n">
        <v>1</v>
      </c>
      <c r="D4389" s="1" t="s">
        <v>2317</v>
      </c>
      <c r="E4389" s="1" t="n">
        <v>1609</v>
      </c>
      <c r="F4389" s="1" t="s">
        <v>410</v>
      </c>
      <c r="I4389" s="1" t="n">
        <v>5789</v>
      </c>
      <c r="J4389" s="1" t="n">
        <v>13225</v>
      </c>
      <c r="K4389" s="1" t="n">
        <v>7896981601151</v>
      </c>
      <c r="L4389" s="1" t="s">
        <v>2522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5" t="n">
        <v>46213</v>
      </c>
      <c r="C4390" s="1" t="n">
        <v>1</v>
      </c>
      <c r="D4390" s="1" t="s">
        <v>2317</v>
      </c>
      <c r="E4390" s="1" t="n">
        <v>1609</v>
      </c>
      <c r="F4390" s="1" t="s">
        <v>410</v>
      </c>
      <c r="I4390" s="1" t="n">
        <v>5789</v>
      </c>
      <c r="J4390" s="1" t="n">
        <v>13720</v>
      </c>
      <c r="K4390" s="1" t="n">
        <v>7896981600307</v>
      </c>
      <c r="L4390" s="1" t="s">
        <v>2523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5" t="n">
        <v>46213</v>
      </c>
      <c r="C4391" s="1" t="n">
        <v>1</v>
      </c>
      <c r="D4391" s="1" t="s">
        <v>2317</v>
      </c>
      <c r="E4391" s="1" t="n">
        <v>1609</v>
      </c>
      <c r="F4391" s="1" t="s">
        <v>410</v>
      </c>
      <c r="I4391" s="1" t="n">
        <v>5789</v>
      </c>
      <c r="J4391" s="1" t="n">
        <v>17163</v>
      </c>
      <c r="K4391" s="1" t="n">
        <v>7896981600567</v>
      </c>
      <c r="L4391" s="1" t="s">
        <v>2524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5" t="n">
        <v>46213</v>
      </c>
      <c r="C4392" s="1" t="n">
        <v>1</v>
      </c>
      <c r="D4392" s="1" t="s">
        <v>2317</v>
      </c>
      <c r="E4392" s="1" t="n">
        <v>1609</v>
      </c>
      <c r="F4392" s="1" t="s">
        <v>410</v>
      </c>
      <c r="I4392" s="1" t="n">
        <v>5789</v>
      </c>
      <c r="J4392" s="1" t="n">
        <v>18382</v>
      </c>
      <c r="K4392" s="1" t="n">
        <v>7896878801190</v>
      </c>
      <c r="L4392" s="1" t="s">
        <v>2525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5" t="n">
        <v>46213</v>
      </c>
      <c r="C4393" s="1" t="n">
        <v>1</v>
      </c>
      <c r="D4393" s="1" t="s">
        <v>2317</v>
      </c>
      <c r="E4393" s="1" t="n">
        <v>1609</v>
      </c>
      <c r="F4393" s="1" t="s">
        <v>410</v>
      </c>
      <c r="I4393" s="1" t="n">
        <v>5789</v>
      </c>
      <c r="J4393" s="1" t="n">
        <v>18384</v>
      </c>
      <c r="K4393" s="1" t="n">
        <v>7896878801206</v>
      </c>
      <c r="L4393" s="1" t="s">
        <v>2526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5" t="n">
        <v>46213</v>
      </c>
      <c r="C4394" s="1" t="n">
        <v>1</v>
      </c>
      <c r="D4394" s="1" t="s">
        <v>2317</v>
      </c>
      <c r="E4394" s="1" t="n">
        <v>1609</v>
      </c>
      <c r="F4394" s="1" t="s">
        <v>410</v>
      </c>
      <c r="I4394" s="1" t="n">
        <v>5789</v>
      </c>
      <c r="J4394" s="1" t="n">
        <v>18385</v>
      </c>
      <c r="K4394" s="1" t="n">
        <v>7896878801220</v>
      </c>
      <c r="L4394" s="1" t="s">
        <v>2527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5" t="n">
        <v>46213</v>
      </c>
      <c r="C4395" s="1" t="n">
        <v>1</v>
      </c>
      <c r="D4395" s="1" t="s">
        <v>2317</v>
      </c>
      <c r="E4395" s="1" t="n">
        <v>1609</v>
      </c>
      <c r="F4395" s="1" t="s">
        <v>410</v>
      </c>
      <c r="I4395" s="1" t="n">
        <v>5789</v>
      </c>
      <c r="J4395" s="1" t="n">
        <v>18385</v>
      </c>
      <c r="K4395" s="1" t="n">
        <v>7896878801220</v>
      </c>
      <c r="L4395" s="1" t="s">
        <v>2527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5" t="n">
        <v>46213</v>
      </c>
      <c r="C4396" s="1" t="n">
        <v>1</v>
      </c>
      <c r="D4396" s="1" t="s">
        <v>2317</v>
      </c>
      <c r="E4396" s="1" t="n">
        <v>1609</v>
      </c>
      <c r="F4396" s="1" t="s">
        <v>410</v>
      </c>
      <c r="I4396" s="1" t="n">
        <v>5789</v>
      </c>
      <c r="J4396" s="1" t="n">
        <v>18775</v>
      </c>
      <c r="K4396" s="1" t="n">
        <v>7896878801237</v>
      </c>
      <c r="L4396" s="1" t="s">
        <v>2528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5" t="n">
        <v>46213</v>
      </c>
      <c r="C4397" s="1" t="n">
        <v>1</v>
      </c>
      <c r="D4397" s="1" t="s">
        <v>2317</v>
      </c>
      <c r="E4397" s="1" t="n">
        <v>1609</v>
      </c>
      <c r="F4397" s="1" t="s">
        <v>410</v>
      </c>
      <c r="I4397" s="1" t="n">
        <v>5789</v>
      </c>
      <c r="J4397" s="1" t="n">
        <v>18968</v>
      </c>
      <c r="K4397" s="1" t="n">
        <v>7896878801244</v>
      </c>
      <c r="L4397" s="1" t="s">
        <v>2529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5" t="n">
        <v>46213</v>
      </c>
      <c r="C4398" s="1" t="n">
        <v>1</v>
      </c>
      <c r="D4398" s="1" t="s">
        <v>2317</v>
      </c>
      <c r="E4398" s="1" t="n">
        <v>1609</v>
      </c>
      <c r="F4398" s="1" t="s">
        <v>410</v>
      </c>
      <c r="I4398" s="1" t="n">
        <v>5789</v>
      </c>
      <c r="J4398" s="1" t="n">
        <v>41614</v>
      </c>
      <c r="K4398" s="1" t="n">
        <v>7896878801213</v>
      </c>
      <c r="L4398" s="1" t="s">
        <v>2530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5" t="n">
        <v>46213</v>
      </c>
      <c r="C4399" s="1" t="n">
        <v>1</v>
      </c>
      <c r="D4399" s="1" t="s">
        <v>2317</v>
      </c>
      <c r="E4399" s="1" t="n">
        <v>1615</v>
      </c>
      <c r="F4399" s="1" t="s">
        <v>130</v>
      </c>
      <c r="I4399" s="1" t="n">
        <v>14833</v>
      </c>
      <c r="J4399" s="1" t="n">
        <v>100114</v>
      </c>
      <c r="K4399" s="1" t="n">
        <v>115</v>
      </c>
      <c r="L4399" s="1" t="s">
        <v>2568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5" t="n">
        <v>46213</v>
      </c>
      <c r="C4400" s="1" t="n">
        <v>1</v>
      </c>
      <c r="D4400" s="1" t="s">
        <v>2317</v>
      </c>
      <c r="E4400" s="1" t="n">
        <v>1615</v>
      </c>
      <c r="F4400" s="1" t="s">
        <v>130</v>
      </c>
      <c r="I4400" s="1" t="n">
        <v>14833</v>
      </c>
      <c r="J4400" s="1" t="n">
        <v>100119</v>
      </c>
      <c r="K4400" s="1" t="n">
        <v>120</v>
      </c>
      <c r="L4400" s="1" t="s">
        <v>3728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5" t="n">
        <v>46213</v>
      </c>
      <c r="C4401" s="1" t="n">
        <v>1</v>
      </c>
      <c r="D4401" s="1" t="s">
        <v>2317</v>
      </c>
      <c r="E4401" s="1" t="n">
        <v>1615</v>
      </c>
      <c r="F4401" s="1" t="s">
        <v>130</v>
      </c>
      <c r="I4401" s="1" t="n">
        <v>14833</v>
      </c>
      <c r="J4401" s="1" t="n">
        <v>55350</v>
      </c>
      <c r="K4401" s="1" t="n">
        <v>609963080076</v>
      </c>
      <c r="L4401" s="1" t="s">
        <v>2319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5" t="n">
        <v>46213</v>
      </c>
      <c r="C4402" s="1" t="n">
        <v>1</v>
      </c>
      <c r="D4402" s="1" t="s">
        <v>2317</v>
      </c>
      <c r="E4402" s="1" t="n">
        <v>911</v>
      </c>
      <c r="F4402" s="1" t="s">
        <v>587</v>
      </c>
      <c r="I4402" s="1" t="n">
        <v>53461</v>
      </c>
      <c r="J4402" s="1" t="n">
        <v>102391</v>
      </c>
      <c r="K4402" s="1" t="n">
        <v>95188790348</v>
      </c>
      <c r="L4402" s="1" t="s">
        <v>2672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5" t="n">
        <v>46213</v>
      </c>
      <c r="C4403" s="1" t="n">
        <v>1</v>
      </c>
      <c r="D4403" s="1" t="s">
        <v>2317</v>
      </c>
      <c r="E4403" s="1" t="n">
        <v>911</v>
      </c>
      <c r="F4403" s="1" t="s">
        <v>587</v>
      </c>
      <c r="I4403" s="1" t="n">
        <v>53461</v>
      </c>
      <c r="J4403" s="1" t="n">
        <v>25959</v>
      </c>
      <c r="K4403" s="1" t="n">
        <v>7898007220834</v>
      </c>
      <c r="L4403" s="1" t="s">
        <v>4033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5" t="n">
        <v>46213</v>
      </c>
      <c r="C4404" s="1" t="n">
        <v>1</v>
      </c>
      <c r="D4404" s="1" t="s">
        <v>2317</v>
      </c>
      <c r="E4404" s="1" t="n">
        <v>911</v>
      </c>
      <c r="F4404" s="1" t="s">
        <v>587</v>
      </c>
      <c r="I4404" s="1" t="n">
        <v>53461</v>
      </c>
      <c r="J4404" s="1" t="n">
        <v>28154</v>
      </c>
      <c r="K4404" s="1" t="n">
        <v>7898007220759</v>
      </c>
      <c r="L4404" s="1" t="s">
        <v>4034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5" t="n">
        <v>46213</v>
      </c>
      <c r="C4405" s="1" t="n">
        <v>1</v>
      </c>
      <c r="D4405" s="1" t="s">
        <v>2317</v>
      </c>
      <c r="E4405" s="1" t="n">
        <v>911</v>
      </c>
      <c r="F4405" s="1" t="s">
        <v>587</v>
      </c>
      <c r="I4405" s="1" t="n">
        <v>53461</v>
      </c>
      <c r="J4405" s="1" t="n">
        <v>30108</v>
      </c>
      <c r="K4405" s="1" t="n">
        <v>7898007220766</v>
      </c>
      <c r="L4405" s="1" t="s">
        <v>4035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5" t="n">
        <v>46213</v>
      </c>
      <c r="C4406" s="1" t="n">
        <v>1</v>
      </c>
      <c r="D4406" s="1" t="s">
        <v>2317</v>
      </c>
      <c r="E4406" s="1" t="n">
        <v>911</v>
      </c>
      <c r="F4406" s="1" t="s">
        <v>587</v>
      </c>
      <c r="I4406" s="1" t="n">
        <v>53461</v>
      </c>
      <c r="J4406" s="1" t="n">
        <v>50676</v>
      </c>
      <c r="K4406" s="1" t="n">
        <v>7898007221176</v>
      </c>
      <c r="L4406" s="1" t="s">
        <v>2673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5" t="n">
        <v>46213</v>
      </c>
      <c r="C4407" s="1" t="n">
        <v>1</v>
      </c>
      <c r="D4407" s="1" t="s">
        <v>2317</v>
      </c>
      <c r="E4407" s="1" t="n">
        <v>911</v>
      </c>
      <c r="F4407" s="1" t="s">
        <v>587</v>
      </c>
      <c r="I4407" s="1" t="n">
        <v>53461</v>
      </c>
      <c r="J4407" s="1" t="n">
        <v>61432</v>
      </c>
      <c r="K4407" s="1" t="n">
        <v>95188874505</v>
      </c>
      <c r="L4407" s="1" t="s">
        <v>4036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5" t="n">
        <v>46213</v>
      </c>
      <c r="C4408" s="1" t="n">
        <v>1</v>
      </c>
      <c r="D4408" s="1" t="s">
        <v>2317</v>
      </c>
      <c r="E4408" s="1" t="n">
        <v>911</v>
      </c>
      <c r="F4408" s="1" t="s">
        <v>587</v>
      </c>
      <c r="I4408" s="1" t="n">
        <v>53461</v>
      </c>
      <c r="J4408" s="1" t="n">
        <v>62654</v>
      </c>
      <c r="K4408" s="1" t="n">
        <v>95188872501</v>
      </c>
      <c r="L4408" s="1" t="s">
        <v>4036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5" t="n">
        <v>46213</v>
      </c>
      <c r="C4409" s="1" t="n">
        <v>1</v>
      </c>
      <c r="D4409" s="1" t="s">
        <v>2317</v>
      </c>
      <c r="E4409" s="1" t="n">
        <v>911</v>
      </c>
      <c r="F4409" s="1" t="s">
        <v>587</v>
      </c>
      <c r="I4409" s="1" t="n">
        <v>53461</v>
      </c>
      <c r="J4409" s="1" t="n">
        <v>63644</v>
      </c>
      <c r="K4409" s="1" t="n">
        <v>95188870507</v>
      </c>
      <c r="L4409" s="1" t="s">
        <v>2675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5" t="n">
        <v>46213</v>
      </c>
      <c r="C4410" s="1" t="n">
        <v>6</v>
      </c>
      <c r="D4410" s="1" t="s">
        <v>2289</v>
      </c>
      <c r="E4410" s="1" t="n">
        <v>42</v>
      </c>
      <c r="F4410" s="1" t="s">
        <v>80</v>
      </c>
      <c r="I4410" s="1" t="n">
        <v>4370</v>
      </c>
      <c r="J4410" s="1" t="n">
        <v>109791</v>
      </c>
      <c r="K4410" s="1" t="n">
        <v>9667</v>
      </c>
      <c r="L4410" s="1" t="s">
        <v>2284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5" t="n">
        <v>46213</v>
      </c>
      <c r="C4411" s="1" t="n">
        <v>6</v>
      </c>
      <c r="D4411" s="1" t="s">
        <v>2289</v>
      </c>
      <c r="E4411" s="1" t="n">
        <v>42</v>
      </c>
      <c r="F4411" s="1" t="s">
        <v>80</v>
      </c>
      <c r="I4411" s="1" t="n">
        <v>4370</v>
      </c>
      <c r="J4411" s="1" t="n">
        <v>37359</v>
      </c>
      <c r="K4411" s="1" t="n">
        <v>55526</v>
      </c>
      <c r="L4411" s="1" t="s">
        <v>2285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5" t="n">
        <v>46213</v>
      </c>
      <c r="C4412" s="1" t="n">
        <v>6</v>
      </c>
      <c r="D4412" s="1" t="s">
        <v>2289</v>
      </c>
      <c r="E4412" s="1" t="n">
        <v>42</v>
      </c>
      <c r="F4412" s="1" t="s">
        <v>80</v>
      </c>
      <c r="I4412" s="1" t="n">
        <v>4370</v>
      </c>
      <c r="J4412" s="1" t="n">
        <v>37361</v>
      </c>
      <c r="K4412" s="1" t="n">
        <v>2240817</v>
      </c>
      <c r="L4412" s="1" t="s">
        <v>2286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5" t="n">
        <v>46213</v>
      </c>
      <c r="C4413" s="1" t="n">
        <v>6</v>
      </c>
      <c r="D4413" s="1" t="s">
        <v>2289</v>
      </c>
      <c r="E4413" s="1" t="n">
        <v>42</v>
      </c>
      <c r="F4413" s="1" t="s">
        <v>80</v>
      </c>
      <c r="I4413" s="1" t="n">
        <v>4371</v>
      </c>
      <c r="J4413" s="1" t="n">
        <v>100062</v>
      </c>
      <c r="K4413" s="1" t="n">
        <v>63</v>
      </c>
      <c r="L4413" s="1" t="s">
        <v>2320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5" t="n">
        <v>46213</v>
      </c>
      <c r="C4414" s="1" t="n">
        <v>6</v>
      </c>
      <c r="D4414" s="1" t="s">
        <v>2289</v>
      </c>
      <c r="E4414" s="1" t="n">
        <v>42</v>
      </c>
      <c r="F4414" s="1" t="s">
        <v>80</v>
      </c>
      <c r="I4414" s="1" t="n">
        <v>4371</v>
      </c>
      <c r="J4414" s="1" t="n">
        <v>100105</v>
      </c>
      <c r="K4414" s="1" t="n">
        <v>106</v>
      </c>
      <c r="L4414" s="1" t="s">
        <v>2322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5" t="n">
        <v>46213</v>
      </c>
      <c r="C4415" s="1" t="n">
        <v>6</v>
      </c>
      <c r="D4415" s="1" t="s">
        <v>2289</v>
      </c>
      <c r="E4415" s="1" t="n">
        <v>42</v>
      </c>
      <c r="F4415" s="1" t="s">
        <v>80</v>
      </c>
      <c r="I4415" s="1" t="n">
        <v>4371</v>
      </c>
      <c r="J4415" s="1" t="n">
        <v>100109</v>
      </c>
      <c r="K4415" s="1" t="n">
        <v>110</v>
      </c>
      <c r="L4415" s="1" t="s">
        <v>2324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5" t="n">
        <v>46213</v>
      </c>
      <c r="C4416" s="1" t="n">
        <v>6</v>
      </c>
      <c r="D4416" s="1" t="s">
        <v>2289</v>
      </c>
      <c r="E4416" s="1" t="n">
        <v>42</v>
      </c>
      <c r="F4416" s="1" t="s">
        <v>80</v>
      </c>
      <c r="I4416" s="1" t="n">
        <v>4371</v>
      </c>
      <c r="J4416" s="1" t="n">
        <v>100113</v>
      </c>
      <c r="K4416" s="1" t="n">
        <v>114</v>
      </c>
      <c r="L4416" s="1" t="s">
        <v>2326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5" t="n">
        <v>46213</v>
      </c>
      <c r="C4417" s="1" t="n">
        <v>6</v>
      </c>
      <c r="D4417" s="1" t="s">
        <v>2289</v>
      </c>
      <c r="E4417" s="1" t="n">
        <v>42</v>
      </c>
      <c r="F4417" s="1" t="s">
        <v>80</v>
      </c>
      <c r="I4417" s="1" t="n">
        <v>4371</v>
      </c>
      <c r="J4417" s="1" t="n">
        <v>100116</v>
      </c>
      <c r="K4417" s="1" t="n">
        <v>117</v>
      </c>
      <c r="L4417" s="1" t="s">
        <v>2327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5" t="n">
        <v>46213</v>
      </c>
      <c r="C4418" s="1" t="n">
        <v>6</v>
      </c>
      <c r="D4418" s="1" t="s">
        <v>2289</v>
      </c>
      <c r="E4418" s="1" t="n">
        <v>42</v>
      </c>
      <c r="F4418" s="1" t="s">
        <v>80</v>
      </c>
      <c r="I4418" s="1" t="n">
        <v>4371</v>
      </c>
      <c r="J4418" s="1" t="n">
        <v>100118</v>
      </c>
      <c r="K4418" s="1" t="n">
        <v>119</v>
      </c>
      <c r="L4418" s="1" t="s">
        <v>2328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5" t="n">
        <v>46213</v>
      </c>
      <c r="C4419" s="1" t="n">
        <v>6</v>
      </c>
      <c r="D4419" s="1" t="s">
        <v>2289</v>
      </c>
      <c r="E4419" s="1" t="n">
        <v>42</v>
      </c>
      <c r="F4419" s="1" t="s">
        <v>80</v>
      </c>
      <c r="I4419" s="1" t="n">
        <v>4371</v>
      </c>
      <c r="J4419" s="1" t="n">
        <v>100122</v>
      </c>
      <c r="K4419" s="1" t="n">
        <v>123</v>
      </c>
      <c r="L4419" s="1" t="s">
        <v>2330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5" t="n">
        <v>46213</v>
      </c>
      <c r="C4420" s="1" t="n">
        <v>6</v>
      </c>
      <c r="D4420" s="1" t="s">
        <v>2289</v>
      </c>
      <c r="E4420" s="1" t="n">
        <v>42</v>
      </c>
      <c r="F4420" s="1" t="s">
        <v>80</v>
      </c>
      <c r="I4420" s="1" t="n">
        <v>4371</v>
      </c>
      <c r="J4420" s="1" t="n">
        <v>100123</v>
      </c>
      <c r="K4420" s="1" t="n">
        <v>124</v>
      </c>
      <c r="L4420" s="1" t="s">
        <v>2475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5" t="n">
        <v>46213</v>
      </c>
      <c r="C4421" s="1" t="n">
        <v>6</v>
      </c>
      <c r="D4421" s="1" t="s">
        <v>2289</v>
      </c>
      <c r="E4421" s="1" t="n">
        <v>42</v>
      </c>
      <c r="F4421" s="1" t="s">
        <v>80</v>
      </c>
      <c r="I4421" s="1" t="n">
        <v>4371</v>
      </c>
      <c r="J4421" s="1" t="n">
        <v>100124</v>
      </c>
      <c r="K4421" s="1" t="n">
        <v>125</v>
      </c>
      <c r="L4421" s="1" t="s">
        <v>2476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5" t="n">
        <v>46213</v>
      </c>
      <c r="C4422" s="1" t="n">
        <v>6</v>
      </c>
      <c r="D4422" s="1" t="s">
        <v>2289</v>
      </c>
      <c r="E4422" s="1" t="n">
        <v>42</v>
      </c>
      <c r="F4422" s="1" t="s">
        <v>80</v>
      </c>
      <c r="I4422" s="1" t="n">
        <v>4371</v>
      </c>
      <c r="J4422" s="1" t="n">
        <v>100125</v>
      </c>
      <c r="K4422" s="1" t="n">
        <v>126</v>
      </c>
      <c r="L4422" s="1" t="s">
        <v>2477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5" t="n">
        <v>46213</v>
      </c>
      <c r="C4423" s="1" t="n">
        <v>6</v>
      </c>
      <c r="D4423" s="1" t="s">
        <v>2289</v>
      </c>
      <c r="E4423" s="1" t="n">
        <v>42</v>
      </c>
      <c r="F4423" s="1" t="s">
        <v>80</v>
      </c>
      <c r="I4423" s="1" t="n">
        <v>4371</v>
      </c>
      <c r="J4423" s="1" t="n">
        <v>100130</v>
      </c>
      <c r="K4423" s="1" t="n">
        <v>131</v>
      </c>
      <c r="L4423" s="1" t="s">
        <v>2331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5" t="n">
        <v>46213</v>
      </c>
      <c r="C4424" s="1" t="n">
        <v>6</v>
      </c>
      <c r="D4424" s="1" t="s">
        <v>2289</v>
      </c>
      <c r="E4424" s="1" t="n">
        <v>42</v>
      </c>
      <c r="F4424" s="1" t="s">
        <v>80</v>
      </c>
      <c r="I4424" s="1" t="n">
        <v>4371</v>
      </c>
      <c r="J4424" s="1" t="n">
        <v>100132</v>
      </c>
      <c r="K4424" s="1" t="n">
        <v>133</v>
      </c>
      <c r="L4424" s="1" t="s">
        <v>3104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5" t="n">
        <v>46213</v>
      </c>
      <c r="C4425" s="1" t="n">
        <v>6</v>
      </c>
      <c r="D4425" s="1" t="s">
        <v>2289</v>
      </c>
      <c r="E4425" s="1" t="n">
        <v>42</v>
      </c>
      <c r="F4425" s="1" t="s">
        <v>80</v>
      </c>
      <c r="I4425" s="1" t="n">
        <v>4371</v>
      </c>
      <c r="J4425" s="1" t="n">
        <v>100133</v>
      </c>
      <c r="K4425" s="1" t="n">
        <v>134</v>
      </c>
      <c r="L4425" s="1" t="s">
        <v>2332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5" t="n">
        <v>46213</v>
      </c>
      <c r="C4426" s="1" t="n">
        <v>6</v>
      </c>
      <c r="D4426" s="1" t="s">
        <v>2289</v>
      </c>
      <c r="E4426" s="1" t="n">
        <v>42</v>
      </c>
      <c r="F4426" s="1" t="s">
        <v>80</v>
      </c>
      <c r="I4426" s="1" t="n">
        <v>4371</v>
      </c>
      <c r="J4426" s="1" t="n">
        <v>100148</v>
      </c>
      <c r="K4426" s="1" t="n">
        <v>149</v>
      </c>
      <c r="L4426" s="1" t="s">
        <v>2676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5" t="n">
        <v>46213</v>
      </c>
      <c r="C4427" s="1" t="n">
        <v>6</v>
      </c>
      <c r="D4427" s="1" t="s">
        <v>2289</v>
      </c>
      <c r="E4427" s="1" t="n">
        <v>42</v>
      </c>
      <c r="F4427" s="1" t="s">
        <v>80</v>
      </c>
      <c r="I4427" s="1" t="n">
        <v>4371</v>
      </c>
      <c r="J4427" s="1" t="n">
        <v>110142</v>
      </c>
      <c r="K4427" s="1" t="n">
        <v>16699</v>
      </c>
      <c r="L4427" s="1" t="s">
        <v>2334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5" t="n">
        <v>46213</v>
      </c>
      <c r="C4428" s="1" t="n">
        <v>11</v>
      </c>
      <c r="D4428" s="1" t="s">
        <v>2290</v>
      </c>
      <c r="E4428" s="1" t="n">
        <v>1136</v>
      </c>
      <c r="F4428" s="1" t="s">
        <v>693</v>
      </c>
      <c r="I4428" s="1" t="n">
        <v>51626</v>
      </c>
      <c r="J4428" s="1" t="n">
        <v>102960</v>
      </c>
      <c r="K4428" s="1" t="n">
        <v>7896221400087</v>
      </c>
      <c r="L4428" s="1" t="s">
        <v>2930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5" t="n">
        <v>46213</v>
      </c>
      <c r="C4429" s="1" t="n">
        <v>11</v>
      </c>
      <c r="D4429" s="1" t="s">
        <v>2290</v>
      </c>
      <c r="E4429" s="1" t="n">
        <v>1136</v>
      </c>
      <c r="F4429" s="1" t="s">
        <v>693</v>
      </c>
      <c r="I4429" s="1" t="n">
        <v>51626</v>
      </c>
      <c r="J4429" s="1" t="n">
        <v>103920</v>
      </c>
      <c r="K4429" s="1" t="n">
        <v>7896221400025</v>
      </c>
      <c r="L4429" s="1" t="s">
        <v>2931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5" t="n">
        <v>46213</v>
      </c>
      <c r="C4430" s="1" t="n">
        <v>11</v>
      </c>
      <c r="D4430" s="1" t="s">
        <v>2290</v>
      </c>
      <c r="E4430" s="1" t="n">
        <v>1136</v>
      </c>
      <c r="F4430" s="1" t="s">
        <v>693</v>
      </c>
      <c r="I4430" s="1" t="n">
        <v>51626</v>
      </c>
      <c r="J4430" s="1" t="n">
        <v>103994</v>
      </c>
      <c r="K4430" s="1" t="n">
        <v>7896221400056</v>
      </c>
      <c r="L4430" s="1" t="s">
        <v>4037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5" t="n">
        <v>46213</v>
      </c>
      <c r="C4431" s="1" t="n">
        <v>11</v>
      </c>
      <c r="D4431" s="1" t="s">
        <v>2290</v>
      </c>
      <c r="E4431" s="1" t="n">
        <v>1136</v>
      </c>
      <c r="F4431" s="1" t="s">
        <v>693</v>
      </c>
      <c r="I4431" s="1" t="n">
        <v>51626</v>
      </c>
      <c r="J4431" s="1" t="n">
        <v>103995</v>
      </c>
      <c r="K4431" s="1" t="n">
        <v>7896221400483</v>
      </c>
      <c r="L4431" s="1" t="s">
        <v>2933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5" t="n">
        <v>46213</v>
      </c>
      <c r="C4432" s="1" t="n">
        <v>11</v>
      </c>
      <c r="D4432" s="1" t="s">
        <v>2290</v>
      </c>
      <c r="E4432" s="1" t="n">
        <v>1136</v>
      </c>
      <c r="F4432" s="1" t="s">
        <v>693</v>
      </c>
      <c r="I4432" s="1" t="n">
        <v>51626</v>
      </c>
      <c r="J4432" s="1" t="n">
        <v>107878</v>
      </c>
      <c r="K4432" s="1" t="n">
        <v>7896221400520</v>
      </c>
      <c r="L4432" s="1" t="s">
        <v>2934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5" t="n">
        <v>46213</v>
      </c>
      <c r="C4433" s="1" t="n">
        <v>11</v>
      </c>
      <c r="D4433" s="1" t="s">
        <v>2290</v>
      </c>
      <c r="E4433" s="1" t="n">
        <v>1136</v>
      </c>
      <c r="F4433" s="1" t="s">
        <v>693</v>
      </c>
      <c r="I4433" s="1" t="n">
        <v>51626</v>
      </c>
      <c r="J4433" s="1" t="n">
        <v>109973</v>
      </c>
      <c r="K4433" s="1" t="n">
        <v>7896067202241</v>
      </c>
      <c r="L4433" s="1" t="s">
        <v>4038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5" t="n">
        <v>46213</v>
      </c>
      <c r="C4434" s="1" t="n">
        <v>11</v>
      </c>
      <c r="D4434" s="1" t="s">
        <v>2290</v>
      </c>
      <c r="E4434" s="1" t="n">
        <v>1136</v>
      </c>
      <c r="F4434" s="1" t="s">
        <v>693</v>
      </c>
      <c r="I4434" s="1" t="n">
        <v>51626</v>
      </c>
      <c r="J4434" s="1" t="n">
        <v>17725</v>
      </c>
      <c r="K4434" s="1" t="n">
        <v>7896221401749</v>
      </c>
      <c r="L4434" s="1" t="s">
        <v>2937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5" t="n">
        <v>46213</v>
      </c>
      <c r="C4435" s="1" t="n">
        <v>11</v>
      </c>
      <c r="D4435" s="1" t="s">
        <v>2290</v>
      </c>
      <c r="E4435" s="1" t="n">
        <v>1136</v>
      </c>
      <c r="F4435" s="1" t="s">
        <v>693</v>
      </c>
      <c r="I4435" s="1" t="n">
        <v>51626</v>
      </c>
      <c r="J4435" s="1" t="n">
        <v>27000</v>
      </c>
      <c r="K4435" s="1" t="n">
        <v>7896067203712</v>
      </c>
      <c r="L4435" s="1" t="s">
        <v>2939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5" t="n">
        <v>46213</v>
      </c>
      <c r="C4436" s="1" t="n">
        <v>11</v>
      </c>
      <c r="D4436" s="1" t="s">
        <v>2290</v>
      </c>
      <c r="E4436" s="1" t="n">
        <v>1136</v>
      </c>
      <c r="F4436" s="1" t="s">
        <v>693</v>
      </c>
      <c r="I4436" s="1" t="n">
        <v>51626</v>
      </c>
      <c r="J4436" s="1" t="n">
        <v>28926</v>
      </c>
      <c r="K4436" s="1" t="n">
        <v>7896067203170</v>
      </c>
      <c r="L4436" s="1" t="s">
        <v>2940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5" t="n">
        <v>46213</v>
      </c>
      <c r="C4437" s="1" t="n">
        <v>11</v>
      </c>
      <c r="D4437" s="1" t="s">
        <v>2290</v>
      </c>
      <c r="E4437" s="1" t="n">
        <v>1136</v>
      </c>
      <c r="F4437" s="1" t="s">
        <v>693</v>
      </c>
      <c r="I4437" s="1" t="n">
        <v>51626</v>
      </c>
      <c r="J4437" s="1" t="n">
        <v>28981</v>
      </c>
      <c r="K4437" s="1" t="n">
        <v>58572</v>
      </c>
      <c r="L4437" s="1" t="s">
        <v>2941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5" t="n">
        <v>46213</v>
      </c>
      <c r="C4438" s="1" t="n">
        <v>11</v>
      </c>
      <c r="D4438" s="1" t="s">
        <v>2290</v>
      </c>
      <c r="E4438" s="1" t="n">
        <v>1136</v>
      </c>
      <c r="F4438" s="1" t="s">
        <v>693</v>
      </c>
      <c r="I4438" s="1" t="n">
        <v>51626</v>
      </c>
      <c r="J4438" s="1" t="n">
        <v>29863</v>
      </c>
      <c r="K4438" s="1" t="n">
        <v>7896221402456</v>
      </c>
      <c r="L4438" s="1" t="s">
        <v>2942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5" t="n">
        <v>46213</v>
      </c>
      <c r="C4439" s="1" t="n">
        <v>11</v>
      </c>
      <c r="D4439" s="1" t="s">
        <v>2290</v>
      </c>
      <c r="E4439" s="1" t="n">
        <v>1136</v>
      </c>
      <c r="F4439" s="1" t="s">
        <v>693</v>
      </c>
      <c r="I4439" s="1" t="n">
        <v>51626</v>
      </c>
      <c r="J4439" s="1" t="n">
        <v>31006</v>
      </c>
      <c r="K4439" s="1" t="n">
        <v>7896221402357</v>
      </c>
      <c r="L4439" s="1" t="s">
        <v>2943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5" t="n">
        <v>46213</v>
      </c>
      <c r="C4440" s="1" t="n">
        <v>11</v>
      </c>
      <c r="D4440" s="1" t="s">
        <v>2290</v>
      </c>
      <c r="E4440" s="1" t="n">
        <v>1136</v>
      </c>
      <c r="F4440" s="1" t="s">
        <v>693</v>
      </c>
      <c r="I4440" s="1" t="n">
        <v>51626</v>
      </c>
      <c r="J4440" s="1" t="n">
        <v>39154</v>
      </c>
      <c r="K4440" s="1" t="n">
        <v>7896221400490</v>
      </c>
      <c r="L4440" s="1" t="s">
        <v>4039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5" t="n">
        <v>46213</v>
      </c>
      <c r="C4441" s="1" t="n">
        <v>11</v>
      </c>
      <c r="D4441" s="1" t="s">
        <v>2290</v>
      </c>
      <c r="E4441" s="1" t="n">
        <v>1136</v>
      </c>
      <c r="F4441" s="1" t="s">
        <v>693</v>
      </c>
      <c r="I4441" s="1" t="n">
        <v>51626</v>
      </c>
      <c r="J4441" s="1" t="n">
        <v>42414</v>
      </c>
      <c r="K4441" s="1" t="n">
        <v>7896221400506</v>
      </c>
      <c r="L4441" s="1" t="s">
        <v>2947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5" t="n">
        <v>46213</v>
      </c>
      <c r="C4442" s="1" t="n">
        <v>11</v>
      </c>
      <c r="D4442" s="1" t="s">
        <v>2290</v>
      </c>
      <c r="E4442" s="1" t="n">
        <v>1666</v>
      </c>
      <c r="F4442" s="1" t="s">
        <v>212</v>
      </c>
      <c r="I4442" s="1" t="n">
        <v>566717</v>
      </c>
      <c r="J4442" s="1" t="n">
        <v>24990</v>
      </c>
      <c r="K4442" s="1" t="n">
        <v>78935761</v>
      </c>
      <c r="L4442" s="1" t="s">
        <v>2589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5" t="n">
        <v>46213</v>
      </c>
      <c r="C4443" s="1" t="n">
        <v>11</v>
      </c>
      <c r="D4443" s="1" t="s">
        <v>2290</v>
      </c>
      <c r="E4443" s="1" t="n">
        <v>1666</v>
      </c>
      <c r="F4443" s="1" t="s">
        <v>212</v>
      </c>
      <c r="I4443" s="1" t="n">
        <v>566717</v>
      </c>
      <c r="J4443" s="1" t="n">
        <v>25392</v>
      </c>
      <c r="K4443" s="1" t="n">
        <v>7898591450600</v>
      </c>
      <c r="L4443" s="1" t="s">
        <v>3298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5" t="n">
        <v>46213</v>
      </c>
      <c r="C4444" s="1" t="n">
        <v>11</v>
      </c>
      <c r="D4444" s="1" t="s">
        <v>2290</v>
      </c>
      <c r="E4444" s="1" t="n">
        <v>1666</v>
      </c>
      <c r="F4444" s="1" t="s">
        <v>212</v>
      </c>
      <c r="I4444" s="1" t="n">
        <v>566717</v>
      </c>
      <c r="J4444" s="1" t="n">
        <v>25661</v>
      </c>
      <c r="K4444" s="1" t="n">
        <v>7898591450686</v>
      </c>
      <c r="L4444" s="1" t="s">
        <v>2590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5" t="n">
        <v>46213</v>
      </c>
      <c r="C4445" s="1" t="n">
        <v>11</v>
      </c>
      <c r="D4445" s="1" t="s">
        <v>2290</v>
      </c>
      <c r="E4445" s="1" t="n">
        <v>1666</v>
      </c>
      <c r="F4445" s="1" t="s">
        <v>212</v>
      </c>
      <c r="I4445" s="1" t="n">
        <v>566717</v>
      </c>
      <c r="J4445" s="1" t="n">
        <v>25662</v>
      </c>
      <c r="K4445" s="1" t="n">
        <v>7898591450662</v>
      </c>
      <c r="L4445" s="1" t="s">
        <v>2591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5" t="n">
        <v>46213</v>
      </c>
      <c r="C4446" s="1" t="n">
        <v>11</v>
      </c>
      <c r="D4446" s="1" t="s">
        <v>2290</v>
      </c>
      <c r="E4446" s="1" t="n">
        <v>1666</v>
      </c>
      <c r="F4446" s="1" t="s">
        <v>212</v>
      </c>
      <c r="I4446" s="1" t="n">
        <v>566717</v>
      </c>
      <c r="J4446" s="1" t="n">
        <v>37535</v>
      </c>
      <c r="K4446" s="1" t="n">
        <v>78942073</v>
      </c>
      <c r="L4446" s="1" t="s">
        <v>2592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5" t="n">
        <v>46213</v>
      </c>
      <c r="C4447" s="1" t="n">
        <v>11</v>
      </c>
      <c r="D4447" s="1" t="s">
        <v>2290</v>
      </c>
      <c r="E4447" s="1" t="n">
        <v>1666</v>
      </c>
      <c r="F4447" s="1" t="s">
        <v>212</v>
      </c>
      <c r="I4447" s="1" t="n">
        <v>566717</v>
      </c>
      <c r="J4447" s="1" t="n">
        <v>37536</v>
      </c>
      <c r="K4447" s="1" t="n">
        <v>78942066</v>
      </c>
      <c r="L4447" s="1" t="s">
        <v>2593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5" t="n">
        <v>46213</v>
      </c>
      <c r="C4448" s="1" t="n">
        <v>11</v>
      </c>
      <c r="D4448" s="1" t="s">
        <v>2290</v>
      </c>
      <c r="E4448" s="1" t="n">
        <v>1666</v>
      </c>
      <c r="F4448" s="1" t="s">
        <v>212</v>
      </c>
      <c r="I4448" s="1" t="n">
        <v>566717</v>
      </c>
      <c r="J4448" s="1" t="n">
        <v>40750</v>
      </c>
      <c r="K4448" s="1" t="n">
        <v>78943032</v>
      </c>
      <c r="L4448" s="1" t="s">
        <v>2594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5" t="n">
        <v>46213</v>
      </c>
      <c r="C4449" s="1" t="n">
        <v>11</v>
      </c>
      <c r="D4449" s="1" t="s">
        <v>2290</v>
      </c>
      <c r="E4449" s="1" t="n">
        <v>1666</v>
      </c>
      <c r="F4449" s="1" t="s">
        <v>212</v>
      </c>
      <c r="I4449" s="1" t="n">
        <v>566717</v>
      </c>
      <c r="J4449" s="1" t="n">
        <v>67177</v>
      </c>
      <c r="K4449" s="1" t="n">
        <v>78944466</v>
      </c>
      <c r="L4449" s="1" t="s">
        <v>2598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5" t="n">
        <v>46213</v>
      </c>
      <c r="C4450" s="1" t="n">
        <v>11</v>
      </c>
      <c r="D4450" s="1" t="s">
        <v>2290</v>
      </c>
      <c r="E4450" s="1" t="n">
        <v>1666</v>
      </c>
      <c r="F4450" s="1" t="s">
        <v>212</v>
      </c>
      <c r="I4450" s="1" t="n">
        <v>566717</v>
      </c>
      <c r="J4450" s="1" t="n">
        <v>77084</v>
      </c>
      <c r="K4450" s="1" t="n">
        <v>78947535</v>
      </c>
      <c r="L4450" s="1" t="s">
        <v>2599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5" t="n">
        <v>46213</v>
      </c>
      <c r="C4451" s="1" t="n">
        <v>11</v>
      </c>
      <c r="D4451" s="1" t="s">
        <v>2290</v>
      </c>
      <c r="E4451" s="1" t="n">
        <v>1666</v>
      </c>
      <c r="F4451" s="1" t="s">
        <v>212</v>
      </c>
      <c r="I4451" s="1" t="n">
        <v>566717</v>
      </c>
      <c r="J4451" s="1" t="n">
        <v>81691</v>
      </c>
      <c r="K4451" s="1" t="n">
        <v>78947610</v>
      </c>
      <c r="L4451" s="1" t="s">
        <v>4040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5" t="n">
        <v>46214</v>
      </c>
      <c r="C4452" s="1" t="n">
        <v>1</v>
      </c>
      <c r="D4452" s="1" t="s">
        <v>2317</v>
      </c>
      <c r="E4452" s="1" t="n">
        <v>1378</v>
      </c>
      <c r="F4452" s="1" t="s">
        <v>120</v>
      </c>
      <c r="I4452" s="1" t="n">
        <v>18164</v>
      </c>
      <c r="J4452" s="1" t="n">
        <v>74061</v>
      </c>
      <c r="K4452" s="1" t="n">
        <v>42882264255</v>
      </c>
      <c r="L4452" s="1" t="s">
        <v>2340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5" t="n">
        <v>46214</v>
      </c>
      <c r="C4453" s="1" t="n">
        <v>1</v>
      </c>
      <c r="D4453" s="1" t="s">
        <v>2317</v>
      </c>
      <c r="E4453" s="1" t="n">
        <v>1378</v>
      </c>
      <c r="F4453" s="1" t="s">
        <v>120</v>
      </c>
      <c r="I4453" s="1" t="n">
        <v>18164</v>
      </c>
      <c r="J4453" s="1" t="n">
        <v>74063</v>
      </c>
      <c r="K4453" s="1" t="n">
        <v>42882264262</v>
      </c>
      <c r="L4453" s="1" t="s">
        <v>2341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5" t="n">
        <v>46214</v>
      </c>
      <c r="C4454" s="1" t="n">
        <v>1</v>
      </c>
      <c r="D4454" s="1" t="s">
        <v>2317</v>
      </c>
      <c r="E4454" s="1" t="n">
        <v>1378</v>
      </c>
      <c r="F4454" s="1" t="s">
        <v>120</v>
      </c>
      <c r="I4454" s="1" t="n">
        <v>18164</v>
      </c>
      <c r="J4454" s="1" t="n">
        <v>74064</v>
      </c>
      <c r="K4454" s="1" t="n">
        <v>42882264279</v>
      </c>
      <c r="L4454" s="1" t="s">
        <v>2342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5" t="n">
        <v>46214</v>
      </c>
      <c r="C4455" s="1" t="n">
        <v>1</v>
      </c>
      <c r="D4455" s="1" t="s">
        <v>2317</v>
      </c>
      <c r="E4455" s="1" t="n">
        <v>1378</v>
      </c>
      <c r="F4455" s="1" t="s">
        <v>120</v>
      </c>
      <c r="I4455" s="1" t="n">
        <v>18164</v>
      </c>
      <c r="J4455" s="1" t="n">
        <v>77994</v>
      </c>
      <c r="K4455" s="1" t="n">
        <v>780117</v>
      </c>
      <c r="L4455" s="1" t="s">
        <v>2344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5" t="n">
        <v>46214</v>
      </c>
      <c r="C4456" s="1" t="n">
        <v>6</v>
      </c>
      <c r="D4456" s="1" t="s">
        <v>2289</v>
      </c>
      <c r="E4456" s="1" t="n">
        <v>42</v>
      </c>
      <c r="F4456" s="1" t="s">
        <v>80</v>
      </c>
      <c r="I4456" s="1" t="n">
        <v>4372</v>
      </c>
      <c r="J4456" s="1" t="n">
        <v>72679</v>
      </c>
      <c r="K4456" s="1" t="n">
        <v>246</v>
      </c>
      <c r="L4456" s="1" t="s">
        <v>2288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5" t="n">
        <v>46214</v>
      </c>
      <c r="C4457" s="1" t="n">
        <v>6</v>
      </c>
      <c r="D4457" s="1" t="s">
        <v>2289</v>
      </c>
      <c r="E4457" s="1" t="n">
        <v>42</v>
      </c>
      <c r="F4457" s="1" t="s">
        <v>80</v>
      </c>
      <c r="I4457" s="1" t="n">
        <v>4373</v>
      </c>
      <c r="J4457" s="1" t="n">
        <v>109791</v>
      </c>
      <c r="K4457" s="1" t="n">
        <v>9667</v>
      </c>
      <c r="L4457" s="1" t="s">
        <v>2284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5" t="n">
        <v>46214</v>
      </c>
      <c r="C4458" s="1" t="n">
        <v>6</v>
      </c>
      <c r="D4458" s="1" t="s">
        <v>2289</v>
      </c>
      <c r="E4458" s="1" t="n">
        <v>42</v>
      </c>
      <c r="F4458" s="1" t="s">
        <v>80</v>
      </c>
      <c r="I4458" s="1" t="n">
        <v>4373</v>
      </c>
      <c r="J4458" s="1" t="n">
        <v>37359</v>
      </c>
      <c r="K4458" s="1" t="n">
        <v>55526</v>
      </c>
      <c r="L4458" s="1" t="s">
        <v>2285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5" t="n">
        <v>46214</v>
      </c>
      <c r="C4459" s="1" t="n">
        <v>6</v>
      </c>
      <c r="D4459" s="1" t="s">
        <v>2289</v>
      </c>
      <c r="E4459" s="1" t="n">
        <v>42</v>
      </c>
      <c r="F4459" s="1" t="s">
        <v>80</v>
      </c>
      <c r="I4459" s="1" t="n">
        <v>4373</v>
      </c>
      <c r="J4459" s="1" t="n">
        <v>37361</v>
      </c>
      <c r="K4459" s="1" t="n">
        <v>2240817</v>
      </c>
      <c r="L4459" s="1" t="s">
        <v>2286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5" t="n">
        <v>46214</v>
      </c>
      <c r="C4460" s="1" t="n">
        <v>6</v>
      </c>
      <c r="D4460" s="1" t="s">
        <v>2289</v>
      </c>
      <c r="E4460" s="1" t="n">
        <v>42</v>
      </c>
      <c r="F4460" s="1" t="s">
        <v>80</v>
      </c>
      <c r="I4460" s="1" t="n">
        <v>4374</v>
      </c>
      <c r="J4460" s="1" t="n">
        <v>100140</v>
      </c>
      <c r="K4460" s="1" t="n">
        <v>141</v>
      </c>
      <c r="L4460" s="1" t="s">
        <v>3840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5" t="n">
        <v>46214</v>
      </c>
      <c r="C4461" s="1" t="n">
        <v>6</v>
      </c>
      <c r="D4461" s="1" t="s">
        <v>2289</v>
      </c>
      <c r="E4461" s="1" t="n">
        <v>42</v>
      </c>
      <c r="F4461" s="1" t="s">
        <v>80</v>
      </c>
      <c r="I4461" s="1" t="n">
        <v>4375</v>
      </c>
      <c r="J4461" s="1" t="n">
        <v>100103</v>
      </c>
      <c r="K4461" s="1" t="n">
        <v>104</v>
      </c>
      <c r="L4461" s="1" t="s">
        <v>2287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5" t="n">
        <v>46214</v>
      </c>
      <c r="C4462" s="1" t="n">
        <v>11</v>
      </c>
      <c r="D4462" s="1" t="s">
        <v>2290</v>
      </c>
      <c r="E4462" s="1" t="n">
        <v>10095</v>
      </c>
      <c r="F4462" s="1" t="s">
        <v>1114</v>
      </c>
      <c r="I4462" s="1" t="n">
        <v>861</v>
      </c>
      <c r="J4462" s="1" t="n">
        <v>81702</v>
      </c>
      <c r="K4462" s="1" t="n">
        <v>7897688801066</v>
      </c>
      <c r="L4462" s="1" t="s">
        <v>4041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5" t="n">
        <v>46214</v>
      </c>
      <c r="C4463" s="1" t="n">
        <v>11</v>
      </c>
      <c r="D4463" s="1" t="s">
        <v>2290</v>
      </c>
      <c r="E4463" s="1" t="n">
        <v>10095</v>
      </c>
      <c r="F4463" s="1" t="s">
        <v>1114</v>
      </c>
      <c r="I4463" s="1" t="n">
        <v>861</v>
      </c>
      <c r="J4463" s="1" t="n">
        <v>81703</v>
      </c>
      <c r="K4463" s="1" t="n">
        <v>7897688801042</v>
      </c>
      <c r="L4463" s="1" t="s">
        <v>4042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5" t="n">
        <v>46214</v>
      </c>
      <c r="C4464" s="1" t="n">
        <v>11</v>
      </c>
      <c r="D4464" s="1" t="s">
        <v>2290</v>
      </c>
      <c r="E4464" s="1" t="n">
        <v>10095</v>
      </c>
      <c r="F4464" s="1" t="s">
        <v>1114</v>
      </c>
      <c r="I4464" s="1" t="n">
        <v>861</v>
      </c>
      <c r="J4464" s="1" t="n">
        <v>81704</v>
      </c>
      <c r="K4464" s="1" t="n">
        <v>7897688801004</v>
      </c>
      <c r="L4464" s="1" t="s">
        <v>4043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5" t="n">
        <v>46216</v>
      </c>
      <c r="C4465" s="1" t="n">
        <v>1</v>
      </c>
      <c r="D4465" s="1" t="s">
        <v>2317</v>
      </c>
      <c r="E4465" s="1" t="n">
        <v>978</v>
      </c>
      <c r="F4465" s="1" t="s">
        <v>183</v>
      </c>
      <c r="I4465" s="1" t="n">
        <v>367</v>
      </c>
      <c r="J4465" s="1" t="n">
        <v>61368</v>
      </c>
      <c r="K4465" s="1" t="n">
        <v>2257907</v>
      </c>
      <c r="L4465" s="1" t="s">
        <v>2335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5" t="n">
        <v>46216</v>
      </c>
      <c r="C4466" s="1" t="n">
        <v>1</v>
      </c>
      <c r="D4466" s="1" t="s">
        <v>2317</v>
      </c>
      <c r="E4466" s="1" t="n">
        <v>978</v>
      </c>
      <c r="F4466" s="1" t="s">
        <v>183</v>
      </c>
      <c r="I4466" s="1" t="n">
        <v>367</v>
      </c>
      <c r="J4466" s="1" t="n">
        <v>61378</v>
      </c>
      <c r="K4466" s="1" t="n">
        <v>2257914</v>
      </c>
      <c r="L4466" s="1" t="s">
        <v>2336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5" t="n">
        <v>46216</v>
      </c>
      <c r="C4467" s="1" t="n">
        <v>1</v>
      </c>
      <c r="D4467" s="1" t="s">
        <v>2317</v>
      </c>
      <c r="E4467" s="1" t="n">
        <v>978</v>
      </c>
      <c r="F4467" s="1" t="s">
        <v>183</v>
      </c>
      <c r="I4467" s="1" t="n">
        <v>367</v>
      </c>
      <c r="J4467" s="1" t="n">
        <v>61379</v>
      </c>
      <c r="K4467" s="1" t="n">
        <v>2257921</v>
      </c>
      <c r="L4467" s="1" t="s">
        <v>2337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5" t="n">
        <v>46216</v>
      </c>
      <c r="C4468" s="1" t="n">
        <v>1</v>
      </c>
      <c r="D4468" s="1" t="s">
        <v>2317</v>
      </c>
      <c r="E4468" s="1" t="n">
        <v>978</v>
      </c>
      <c r="F4468" s="1" t="s">
        <v>183</v>
      </c>
      <c r="I4468" s="1" t="n">
        <v>367</v>
      </c>
      <c r="J4468" s="1" t="n">
        <v>62178</v>
      </c>
      <c r="K4468" s="1" t="n">
        <v>144599</v>
      </c>
      <c r="L4468" s="1" t="s">
        <v>2338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5" t="n">
        <v>46216</v>
      </c>
      <c r="C4469" s="1" t="n">
        <v>1</v>
      </c>
      <c r="D4469" s="1" t="s">
        <v>2317</v>
      </c>
      <c r="E4469" s="1" t="n">
        <v>642</v>
      </c>
      <c r="F4469" s="1" t="s">
        <v>135</v>
      </c>
      <c r="I4469" s="1" t="n">
        <v>528</v>
      </c>
      <c r="J4469" s="1" t="n">
        <v>71766</v>
      </c>
      <c r="K4469" s="1" t="n">
        <v>779180</v>
      </c>
      <c r="L4469" s="1" t="s">
        <v>2566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5" t="n">
        <v>46216</v>
      </c>
      <c r="C4470" s="1" t="n">
        <v>6</v>
      </c>
      <c r="D4470" s="1" t="s">
        <v>2289</v>
      </c>
      <c r="E4470" s="1" t="n">
        <v>42</v>
      </c>
      <c r="F4470" s="1" t="s">
        <v>80</v>
      </c>
      <c r="I4470" s="1" t="n">
        <v>4376</v>
      </c>
      <c r="J4470" s="1" t="n">
        <v>109791</v>
      </c>
      <c r="K4470" s="1" t="n">
        <v>9667</v>
      </c>
      <c r="L4470" s="1" t="s">
        <v>2284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5" t="n">
        <v>46216</v>
      </c>
      <c r="C4471" s="1" t="n">
        <v>6</v>
      </c>
      <c r="D4471" s="1" t="s">
        <v>2289</v>
      </c>
      <c r="E4471" s="1" t="n">
        <v>42</v>
      </c>
      <c r="F4471" s="1" t="s">
        <v>80</v>
      </c>
      <c r="I4471" s="1" t="n">
        <v>4377</v>
      </c>
      <c r="J4471" s="1" t="n">
        <v>100103</v>
      </c>
      <c r="K4471" s="1" t="n">
        <v>104</v>
      </c>
      <c r="L4471" s="1" t="s">
        <v>2287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5" t="n">
        <v>46216</v>
      </c>
      <c r="C4472" s="1" t="n">
        <v>11</v>
      </c>
      <c r="D4472" s="1" t="s">
        <v>2290</v>
      </c>
      <c r="E4472" s="1" t="n">
        <v>10061</v>
      </c>
      <c r="F4472" s="1" t="s">
        <v>465</v>
      </c>
      <c r="I4472" s="1" t="n">
        <v>1040</v>
      </c>
      <c r="J4472" s="1" t="n">
        <v>18822</v>
      </c>
      <c r="K4472" s="1" t="n">
        <v>7898332870025</v>
      </c>
      <c r="L4472" s="1" t="s">
        <v>2668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5" t="n">
        <v>46216</v>
      </c>
      <c r="C4473" s="1" t="n">
        <v>11</v>
      </c>
      <c r="D4473" s="1" t="s">
        <v>2290</v>
      </c>
      <c r="E4473" s="1" t="n">
        <v>10061</v>
      </c>
      <c r="F4473" s="1" t="s">
        <v>465</v>
      </c>
      <c r="I4473" s="1" t="n">
        <v>1040</v>
      </c>
      <c r="J4473" s="1" t="n">
        <v>18846</v>
      </c>
      <c r="K4473" s="1" t="n">
        <v>7898332870056</v>
      </c>
      <c r="L4473" s="1" t="s">
        <v>4044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5" t="n">
        <v>46216</v>
      </c>
      <c r="C4474" s="1" t="n">
        <v>11</v>
      </c>
      <c r="D4474" s="1" t="s">
        <v>2290</v>
      </c>
      <c r="E4474" s="1" t="n">
        <v>10061</v>
      </c>
      <c r="F4474" s="1" t="s">
        <v>465</v>
      </c>
      <c r="I4474" s="1" t="n">
        <v>1040</v>
      </c>
      <c r="J4474" s="1" t="n">
        <v>23196</v>
      </c>
      <c r="K4474" s="1" t="n">
        <v>7898332870186</v>
      </c>
      <c r="L4474" s="1" t="s">
        <v>2669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5" t="n">
        <v>46216</v>
      </c>
      <c r="C4475" s="1" t="n">
        <v>11</v>
      </c>
      <c r="D4475" s="1" t="s">
        <v>2290</v>
      </c>
      <c r="E4475" s="1" t="n">
        <v>10061</v>
      </c>
      <c r="F4475" s="1" t="s">
        <v>465</v>
      </c>
      <c r="I4475" s="1" t="n">
        <v>1040</v>
      </c>
      <c r="J4475" s="1" t="n">
        <v>29438</v>
      </c>
      <c r="K4475" s="1" t="n">
        <v>7898332870261</v>
      </c>
      <c r="L4475" s="1" t="s">
        <v>4045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5" t="n">
        <v>46216</v>
      </c>
      <c r="C4476" s="1" t="n">
        <v>11</v>
      </c>
      <c r="D4476" s="1" t="s">
        <v>2290</v>
      </c>
      <c r="E4476" s="1" t="n">
        <v>10061</v>
      </c>
      <c r="F4476" s="1" t="s">
        <v>465</v>
      </c>
      <c r="I4476" s="1" t="n">
        <v>1040</v>
      </c>
      <c r="J4476" s="1" t="n">
        <v>40257</v>
      </c>
      <c r="K4476" s="1" t="n">
        <v>7898332870438</v>
      </c>
      <c r="L4476" s="1" t="s">
        <v>2670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5" t="n">
        <v>46216</v>
      </c>
      <c r="C4477" s="1" t="n">
        <v>11</v>
      </c>
      <c r="D4477" s="1" t="s">
        <v>2290</v>
      </c>
      <c r="E4477" s="1" t="n">
        <v>10037</v>
      </c>
      <c r="F4477" s="1" t="s">
        <v>359</v>
      </c>
      <c r="I4477" s="1" t="n">
        <v>2751</v>
      </c>
      <c r="J4477" s="1" t="n">
        <v>27820</v>
      </c>
      <c r="K4477" s="1" t="n">
        <v>7899599608536</v>
      </c>
      <c r="L4477" s="1" t="s">
        <v>4046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5" t="n">
        <v>46216</v>
      </c>
      <c r="C4478" s="1" t="n">
        <v>11</v>
      </c>
      <c r="D4478" s="1" t="s">
        <v>2290</v>
      </c>
      <c r="E4478" s="1" t="n">
        <v>10037</v>
      </c>
      <c r="F4478" s="1" t="s">
        <v>359</v>
      </c>
      <c r="I4478" s="1" t="n">
        <v>2751</v>
      </c>
      <c r="J4478" s="1" t="n">
        <v>28060</v>
      </c>
      <c r="K4478" s="1" t="n">
        <v>7899599608628</v>
      </c>
      <c r="L4478" s="1" t="s">
        <v>4047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5" t="n">
        <v>46216</v>
      </c>
      <c r="C4479" s="1" t="n">
        <v>11</v>
      </c>
      <c r="D4479" s="1" t="s">
        <v>2290</v>
      </c>
      <c r="E4479" s="1" t="n">
        <v>10037</v>
      </c>
      <c r="F4479" s="1" t="s">
        <v>359</v>
      </c>
      <c r="I4479" s="1" t="n">
        <v>2751</v>
      </c>
      <c r="J4479" s="1" t="n">
        <v>28061</v>
      </c>
      <c r="K4479" s="1" t="n">
        <v>7899599608529</v>
      </c>
      <c r="L4479" s="1" t="s">
        <v>4048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5" t="n">
        <v>46216</v>
      </c>
      <c r="C4480" s="1" t="n">
        <v>11</v>
      </c>
      <c r="D4480" s="1" t="s">
        <v>2290</v>
      </c>
      <c r="E4480" s="1" t="n">
        <v>10037</v>
      </c>
      <c r="F4480" s="1" t="s">
        <v>359</v>
      </c>
      <c r="I4480" s="1" t="n">
        <v>2751</v>
      </c>
      <c r="J4480" s="1" t="n">
        <v>28395</v>
      </c>
      <c r="K4480" s="1" t="n">
        <v>7898104092426</v>
      </c>
      <c r="L4480" s="1" t="s">
        <v>4049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5" t="n">
        <v>46216</v>
      </c>
      <c r="C4481" s="1" t="n">
        <v>11</v>
      </c>
      <c r="D4481" s="1" t="s">
        <v>2290</v>
      </c>
      <c r="E4481" s="1" t="n">
        <v>10037</v>
      </c>
      <c r="F4481" s="1" t="s">
        <v>359</v>
      </c>
      <c r="I4481" s="1" t="n">
        <v>2751</v>
      </c>
      <c r="J4481" s="1" t="n">
        <v>28397</v>
      </c>
      <c r="K4481" s="1" t="n">
        <v>7898104092440</v>
      </c>
      <c r="L4481" s="1" t="s">
        <v>4050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5" t="n">
        <v>46216</v>
      </c>
      <c r="C4482" s="1" t="n">
        <v>11</v>
      </c>
      <c r="D4482" s="1" t="s">
        <v>2290</v>
      </c>
      <c r="E4482" s="1" t="n">
        <v>10037</v>
      </c>
      <c r="F4482" s="1" t="s">
        <v>359</v>
      </c>
      <c r="I4482" s="1" t="n">
        <v>2751</v>
      </c>
      <c r="J4482" s="1" t="n">
        <v>32790</v>
      </c>
      <c r="K4482" s="1" t="n">
        <v>7899599609069</v>
      </c>
      <c r="L4482" s="1" t="s">
        <v>4051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5" t="n">
        <v>46216</v>
      </c>
      <c r="C4483" s="1" t="n">
        <v>11</v>
      </c>
      <c r="D4483" s="1" t="s">
        <v>2290</v>
      </c>
      <c r="E4483" s="1" t="n">
        <v>10037</v>
      </c>
      <c r="F4483" s="1" t="s">
        <v>359</v>
      </c>
      <c r="I4483" s="1" t="n">
        <v>2751</v>
      </c>
      <c r="J4483" s="1" t="n">
        <v>37414</v>
      </c>
      <c r="K4483" s="1" t="n">
        <v>7898104091535</v>
      </c>
      <c r="L4483" s="1" t="s">
        <v>4052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5" t="n">
        <v>46216</v>
      </c>
      <c r="C4484" s="1" t="n">
        <v>11</v>
      </c>
      <c r="D4484" s="1" t="s">
        <v>2290</v>
      </c>
      <c r="E4484" s="1" t="n">
        <v>10037</v>
      </c>
      <c r="F4484" s="1" t="s">
        <v>359</v>
      </c>
      <c r="I4484" s="1" t="n">
        <v>2751</v>
      </c>
      <c r="J4484" s="1" t="n">
        <v>47370</v>
      </c>
      <c r="K4484" s="1" t="n">
        <v>7898104098855</v>
      </c>
      <c r="L4484" s="1" t="s">
        <v>4053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5" t="n">
        <v>46216</v>
      </c>
      <c r="C4485" s="1" t="n">
        <v>11</v>
      </c>
      <c r="D4485" s="1" t="s">
        <v>2290</v>
      </c>
      <c r="E4485" s="1" t="n">
        <v>10037</v>
      </c>
      <c r="F4485" s="1" t="s">
        <v>359</v>
      </c>
      <c r="I4485" s="1" t="n">
        <v>2751</v>
      </c>
      <c r="J4485" s="1" t="n">
        <v>66364</v>
      </c>
      <c r="K4485" s="1" t="n">
        <v>790840</v>
      </c>
      <c r="L4485" s="1" t="s">
        <v>4054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5" t="n">
        <v>46216</v>
      </c>
      <c r="C4486" s="1" t="n">
        <v>11</v>
      </c>
      <c r="D4486" s="1" t="s">
        <v>2290</v>
      </c>
      <c r="E4486" s="1" t="n">
        <v>10037</v>
      </c>
      <c r="F4486" s="1" t="s">
        <v>359</v>
      </c>
      <c r="I4486" s="1" t="n">
        <v>2751</v>
      </c>
      <c r="J4486" s="1" t="n">
        <v>73933</v>
      </c>
      <c r="K4486" s="1" t="n">
        <v>7898479741233</v>
      </c>
      <c r="L4486" s="1" t="s">
        <v>4055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5" t="n">
        <v>46216</v>
      </c>
      <c r="C4487" s="1" t="n">
        <v>11</v>
      </c>
      <c r="D4487" s="1" t="s">
        <v>2290</v>
      </c>
      <c r="E4487" s="1" t="n">
        <v>10037</v>
      </c>
      <c r="F4487" s="1" t="s">
        <v>359</v>
      </c>
      <c r="I4487" s="1" t="n">
        <v>2751</v>
      </c>
      <c r="J4487" s="1" t="n">
        <v>79556</v>
      </c>
      <c r="K4487" s="1" t="n">
        <v>7898104091375</v>
      </c>
      <c r="L4487" s="1" t="s">
        <v>4056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5" t="n">
        <v>46216</v>
      </c>
      <c r="C4488" s="1" t="n">
        <v>11</v>
      </c>
      <c r="D4488" s="1" t="s">
        <v>2290</v>
      </c>
      <c r="E4488" s="1" t="n">
        <v>1816</v>
      </c>
      <c r="F4488" s="1" t="s">
        <v>554</v>
      </c>
      <c r="I4488" s="1" t="n">
        <v>55315</v>
      </c>
      <c r="J4488" s="1" t="n">
        <v>104907</v>
      </c>
      <c r="K4488" s="1" t="n">
        <v>7898910758011</v>
      </c>
      <c r="L4488" s="1" t="s">
        <v>4057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5" t="n">
        <v>46216</v>
      </c>
      <c r="C4489" s="1" t="n">
        <v>11</v>
      </c>
      <c r="D4489" s="1" t="s">
        <v>2290</v>
      </c>
      <c r="E4489" s="1" t="n">
        <v>1816</v>
      </c>
      <c r="F4489" s="1" t="s">
        <v>554</v>
      </c>
      <c r="I4489" s="1" t="n">
        <v>55315</v>
      </c>
      <c r="J4489" s="1" t="n">
        <v>12673</v>
      </c>
      <c r="K4489" s="1" t="n">
        <v>7898910758158</v>
      </c>
      <c r="L4489" s="1" t="s">
        <v>4058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5" t="n">
        <v>46216</v>
      </c>
      <c r="C4490" s="1" t="n">
        <v>11</v>
      </c>
      <c r="D4490" s="1" t="s">
        <v>2290</v>
      </c>
      <c r="E4490" s="1" t="n">
        <v>1816</v>
      </c>
      <c r="F4490" s="1" t="s">
        <v>554</v>
      </c>
      <c r="I4490" s="1" t="n">
        <v>55315</v>
      </c>
      <c r="J4490" s="1" t="n">
        <v>12855</v>
      </c>
      <c r="K4490" s="1" t="n">
        <v>7898910758127</v>
      </c>
      <c r="L4490" s="1" t="s">
        <v>4059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5" t="n">
        <v>46216</v>
      </c>
      <c r="C4491" s="1" t="n">
        <v>11</v>
      </c>
      <c r="D4491" s="1" t="s">
        <v>2290</v>
      </c>
      <c r="E4491" s="1" t="n">
        <v>1816</v>
      </c>
      <c r="F4491" s="1" t="s">
        <v>554</v>
      </c>
      <c r="I4491" s="1" t="n">
        <v>55315</v>
      </c>
      <c r="J4491" s="1" t="n">
        <v>12961</v>
      </c>
      <c r="K4491" s="1" t="n">
        <v>7898910758035</v>
      </c>
      <c r="L4491" s="1" t="s">
        <v>4060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5" t="n">
        <v>46216</v>
      </c>
      <c r="C4492" s="1" t="n">
        <v>11</v>
      </c>
      <c r="D4492" s="1" t="s">
        <v>2290</v>
      </c>
      <c r="E4492" s="1" t="n">
        <v>1816</v>
      </c>
      <c r="F4492" s="1" t="s">
        <v>554</v>
      </c>
      <c r="I4492" s="1" t="n">
        <v>55315</v>
      </c>
      <c r="J4492" s="1" t="n">
        <v>13912</v>
      </c>
      <c r="K4492" s="1" t="n">
        <v>7898910758189</v>
      </c>
      <c r="L4492" s="1" t="s">
        <v>4061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5" t="n">
        <v>46216</v>
      </c>
      <c r="C4493" s="1" t="n">
        <v>11</v>
      </c>
      <c r="D4493" s="1" t="s">
        <v>2290</v>
      </c>
      <c r="E4493" s="1" t="n">
        <v>1816</v>
      </c>
      <c r="F4493" s="1" t="s">
        <v>554</v>
      </c>
      <c r="I4493" s="1" t="n">
        <v>55315</v>
      </c>
      <c r="J4493" s="1" t="n">
        <v>14177</v>
      </c>
      <c r="K4493" s="1" t="n">
        <v>7898910758165</v>
      </c>
      <c r="L4493" s="1" t="s">
        <v>4058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5" t="n">
        <v>46216</v>
      </c>
      <c r="C4494" s="1" t="n">
        <v>11</v>
      </c>
      <c r="D4494" s="1" t="s">
        <v>2290</v>
      </c>
      <c r="E4494" s="1" t="n">
        <v>1816</v>
      </c>
      <c r="F4494" s="1" t="s">
        <v>554</v>
      </c>
      <c r="I4494" s="1" t="n">
        <v>55315</v>
      </c>
      <c r="J4494" s="1" t="n">
        <v>17757</v>
      </c>
      <c r="K4494" s="1" t="n">
        <v>7898910758349</v>
      </c>
      <c r="L4494" s="1" t="s">
        <v>4062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5" t="n">
        <v>46216</v>
      </c>
      <c r="C4495" s="1" t="n">
        <v>11</v>
      </c>
      <c r="D4495" s="1" t="s">
        <v>2290</v>
      </c>
      <c r="E4495" s="1" t="n">
        <v>1816</v>
      </c>
      <c r="F4495" s="1" t="s">
        <v>554</v>
      </c>
      <c r="I4495" s="1" t="n">
        <v>55315</v>
      </c>
      <c r="J4495" s="1" t="n">
        <v>18365</v>
      </c>
      <c r="K4495" s="1" t="n">
        <v>7898910758356</v>
      </c>
      <c r="L4495" s="1" t="s">
        <v>4063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5" t="n">
        <v>46216</v>
      </c>
      <c r="C4496" s="1" t="n">
        <v>11</v>
      </c>
      <c r="D4496" s="1" t="s">
        <v>2290</v>
      </c>
      <c r="E4496" s="1" t="n">
        <v>1816</v>
      </c>
      <c r="F4496" s="1" t="s">
        <v>554</v>
      </c>
      <c r="I4496" s="1" t="n">
        <v>55315</v>
      </c>
      <c r="J4496" s="1" t="n">
        <v>22930</v>
      </c>
      <c r="K4496" s="1" t="n">
        <v>7898910758516</v>
      </c>
      <c r="L4496" s="1" t="s">
        <v>4064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5" t="n">
        <v>46216</v>
      </c>
      <c r="C4497" s="1" t="n">
        <v>11</v>
      </c>
      <c r="D4497" s="1" t="s">
        <v>2290</v>
      </c>
      <c r="E4497" s="1" t="n">
        <v>1816</v>
      </c>
      <c r="F4497" s="1" t="s">
        <v>554</v>
      </c>
      <c r="I4497" s="1" t="n">
        <v>55315</v>
      </c>
      <c r="J4497" s="1" t="n">
        <v>27241</v>
      </c>
      <c r="K4497" s="1" t="n">
        <v>7898910758639</v>
      </c>
      <c r="L4497" s="1" t="s">
        <v>3142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15" t="n">
        <v>46216</v>
      </c>
      <c r="C4498" s="1" t="n">
        <v>11</v>
      </c>
      <c r="D4498" s="1" t="s">
        <v>2290</v>
      </c>
      <c r="E4498" s="1" t="n">
        <v>1816</v>
      </c>
      <c r="F4498" s="1" t="s">
        <v>554</v>
      </c>
      <c r="I4498" s="1" t="n">
        <v>55315</v>
      </c>
      <c r="J4498" s="1" t="n">
        <v>27415</v>
      </c>
      <c r="K4498" s="1" t="n">
        <v>7898910758684</v>
      </c>
      <c r="L4498" s="1" t="s">
        <v>4060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15" t="n">
        <v>46216</v>
      </c>
      <c r="C4499" s="1" t="n">
        <v>11</v>
      </c>
      <c r="D4499" s="1" t="s">
        <v>2290</v>
      </c>
      <c r="E4499" s="1" t="n">
        <v>1816</v>
      </c>
      <c r="F4499" s="1" t="s">
        <v>554</v>
      </c>
      <c r="I4499" s="1" t="n">
        <v>55315</v>
      </c>
      <c r="J4499" s="1" t="n">
        <v>32799</v>
      </c>
      <c r="K4499" s="1" t="n">
        <v>7898910758578</v>
      </c>
      <c r="L4499" s="1" t="s">
        <v>4065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15" t="n">
        <v>46216</v>
      </c>
      <c r="C4500" s="1" t="n">
        <v>11</v>
      </c>
      <c r="D4500" s="1" t="s">
        <v>2290</v>
      </c>
      <c r="E4500" s="1" t="n">
        <v>1816</v>
      </c>
      <c r="F4500" s="1" t="s">
        <v>554</v>
      </c>
      <c r="I4500" s="1" t="n">
        <v>55315</v>
      </c>
      <c r="J4500" s="1" t="n">
        <v>32800</v>
      </c>
      <c r="K4500" s="1" t="n">
        <v>7898910758592</v>
      </c>
      <c r="L4500" s="1" t="s">
        <v>4065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15" t="n">
        <v>46216</v>
      </c>
      <c r="C4501" s="1" t="n">
        <v>11</v>
      </c>
      <c r="D4501" s="1" t="s">
        <v>2290</v>
      </c>
      <c r="E4501" s="1" t="n">
        <v>1816</v>
      </c>
      <c r="F4501" s="1" t="s">
        <v>554</v>
      </c>
      <c r="I4501" s="1" t="n">
        <v>55315</v>
      </c>
      <c r="J4501" s="1" t="n">
        <v>32801</v>
      </c>
      <c r="K4501" s="1" t="n">
        <v>7898910758585</v>
      </c>
      <c r="L4501" s="1" t="s">
        <v>4065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15" t="n">
        <v>46216</v>
      </c>
      <c r="C4502" s="1" t="n">
        <v>11</v>
      </c>
      <c r="D4502" s="1" t="s">
        <v>2290</v>
      </c>
      <c r="E4502" s="1" t="n">
        <v>1816</v>
      </c>
      <c r="F4502" s="1" t="s">
        <v>554</v>
      </c>
      <c r="I4502" s="1" t="n">
        <v>55315</v>
      </c>
      <c r="J4502" s="1" t="n">
        <v>74961</v>
      </c>
      <c r="K4502" s="1" t="n">
        <v>7898973135101</v>
      </c>
      <c r="L4502" s="1" t="s">
        <v>4066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5" t="n">
        <v>46216</v>
      </c>
      <c r="C4503" s="1" t="n">
        <v>11</v>
      </c>
      <c r="D4503" s="1" t="s">
        <v>2290</v>
      </c>
      <c r="E4503" s="1" t="n">
        <v>1723</v>
      </c>
      <c r="F4503" s="1" t="s">
        <v>76</v>
      </c>
      <c r="I4503" s="1" t="n">
        <v>172918</v>
      </c>
      <c r="J4503" s="1" t="n">
        <v>29080</v>
      </c>
      <c r="K4503" s="1" t="n">
        <v>55516</v>
      </c>
      <c r="L4503" s="1" t="s">
        <v>2362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5" t="n">
        <v>46216</v>
      </c>
      <c r="C4504" s="1" t="n">
        <v>11</v>
      </c>
      <c r="D4504" s="1" t="s">
        <v>2290</v>
      </c>
      <c r="E4504" s="1" t="n">
        <v>1723</v>
      </c>
      <c r="F4504" s="1" t="s">
        <v>76</v>
      </c>
      <c r="I4504" s="1" t="n">
        <v>173091</v>
      </c>
      <c r="J4504" s="1" t="n">
        <v>29079</v>
      </c>
      <c r="K4504" s="1" t="n">
        <v>55515</v>
      </c>
      <c r="L4504" s="1" t="s">
        <v>2360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5" t="n">
        <v>46216</v>
      </c>
      <c r="C4505" s="1" t="n">
        <v>11</v>
      </c>
      <c r="D4505" s="1" t="s">
        <v>2290</v>
      </c>
      <c r="E4505" s="1" t="n">
        <v>1705</v>
      </c>
      <c r="F4505" s="1" t="s">
        <v>122</v>
      </c>
      <c r="I4505" s="1" t="n">
        <v>1197367</v>
      </c>
      <c r="J4505" s="1" t="n">
        <v>26641</v>
      </c>
      <c r="K4505" s="1" t="n">
        <v>7896383730152</v>
      </c>
      <c r="L4505" s="1" t="s">
        <v>4067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5" t="n">
        <v>46216</v>
      </c>
      <c r="C4506" s="1" t="n">
        <v>11</v>
      </c>
      <c r="D4506" s="1" t="s">
        <v>2290</v>
      </c>
      <c r="E4506" s="1" t="n">
        <v>1705</v>
      </c>
      <c r="F4506" s="1" t="s">
        <v>122</v>
      </c>
      <c r="I4506" s="1" t="n">
        <v>1197367</v>
      </c>
      <c r="J4506" s="1" t="n">
        <v>66978</v>
      </c>
      <c r="K4506" s="1" t="n">
        <v>7896010006315</v>
      </c>
      <c r="L4506" s="1" t="s">
        <v>4068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5" t="n">
        <v>46216</v>
      </c>
      <c r="C4507" s="1" t="n">
        <v>11</v>
      </c>
      <c r="D4507" s="1" t="s">
        <v>2290</v>
      </c>
      <c r="E4507" s="1" t="n">
        <v>1705</v>
      </c>
      <c r="F4507" s="1" t="s">
        <v>122</v>
      </c>
      <c r="I4507" s="1" t="n">
        <v>1929985</v>
      </c>
      <c r="J4507" s="1" t="n">
        <v>103145</v>
      </c>
      <c r="K4507" s="1" t="n">
        <v>7894900051513</v>
      </c>
      <c r="L4507" s="1" t="s">
        <v>2306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5" t="n">
        <v>46216</v>
      </c>
      <c r="C4508" s="1" t="n">
        <v>11</v>
      </c>
      <c r="D4508" s="1" t="s">
        <v>2290</v>
      </c>
      <c r="E4508" s="1" t="n">
        <v>1705</v>
      </c>
      <c r="F4508" s="1" t="s">
        <v>122</v>
      </c>
      <c r="I4508" s="1" t="n">
        <v>1929985</v>
      </c>
      <c r="J4508" s="1" t="n">
        <v>103146</v>
      </c>
      <c r="K4508" s="1" t="n">
        <v>7894900031515</v>
      </c>
      <c r="L4508" s="1" t="s">
        <v>2876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5" t="n">
        <v>46216</v>
      </c>
      <c r="C4509" s="1" t="n">
        <v>11</v>
      </c>
      <c r="D4509" s="1" t="s">
        <v>2290</v>
      </c>
      <c r="E4509" s="1" t="n">
        <v>1705</v>
      </c>
      <c r="F4509" s="1" t="s">
        <v>122</v>
      </c>
      <c r="I4509" s="1" t="n">
        <v>1929985</v>
      </c>
      <c r="J4509" s="1" t="n">
        <v>10830</v>
      </c>
      <c r="K4509" s="1" t="n">
        <v>7894900701517</v>
      </c>
      <c r="L4509" s="1" t="s">
        <v>2879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5" t="n">
        <v>46216</v>
      </c>
      <c r="C4510" s="1" t="n">
        <v>11</v>
      </c>
      <c r="D4510" s="1" t="s">
        <v>2290</v>
      </c>
      <c r="E4510" s="1" t="n">
        <v>1705</v>
      </c>
      <c r="F4510" s="1" t="s">
        <v>122</v>
      </c>
      <c r="I4510" s="1" t="n">
        <v>1929985</v>
      </c>
      <c r="J4510" s="1" t="n">
        <v>21183</v>
      </c>
      <c r="K4510" s="1" t="n">
        <v>7894900556063</v>
      </c>
      <c r="L4510" s="1" t="s">
        <v>3634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5" t="n">
        <v>46216</v>
      </c>
      <c r="C4511" s="1" t="n">
        <v>11</v>
      </c>
      <c r="D4511" s="1" t="s">
        <v>2290</v>
      </c>
      <c r="E4511" s="1" t="n">
        <v>1705</v>
      </c>
      <c r="F4511" s="1" t="s">
        <v>122</v>
      </c>
      <c r="I4511" s="1" t="n">
        <v>1929985</v>
      </c>
      <c r="J4511" s="1" t="n">
        <v>21426</v>
      </c>
      <c r="K4511" s="1" t="n">
        <v>7894900014211</v>
      </c>
      <c r="L4511" s="1" t="s">
        <v>2309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5" t="n">
        <v>46216</v>
      </c>
      <c r="C4512" s="1" t="n">
        <v>11</v>
      </c>
      <c r="D4512" s="1" t="s">
        <v>2290</v>
      </c>
      <c r="E4512" s="1" t="n">
        <v>1705</v>
      </c>
      <c r="F4512" s="1" t="s">
        <v>122</v>
      </c>
      <c r="I4512" s="1" t="n">
        <v>1929985</v>
      </c>
      <c r="J4512" s="1" t="n">
        <v>22893</v>
      </c>
      <c r="K4512" s="1" t="n">
        <v>7894900550061</v>
      </c>
      <c r="L4512" s="1" t="s">
        <v>3636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5" t="n">
        <v>46216</v>
      </c>
      <c r="C4513" s="1" t="n">
        <v>11</v>
      </c>
      <c r="D4513" s="1" t="s">
        <v>2290</v>
      </c>
      <c r="E4513" s="1" t="n">
        <v>1705</v>
      </c>
      <c r="F4513" s="1" t="s">
        <v>122</v>
      </c>
      <c r="I4513" s="1" t="n">
        <v>1929985</v>
      </c>
      <c r="J4513" s="1" t="n">
        <v>28739</v>
      </c>
      <c r="K4513" s="1" t="n">
        <v>7894900027044</v>
      </c>
      <c r="L4513" s="1" t="s">
        <v>2883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5" t="n">
        <v>46216</v>
      </c>
      <c r="C4514" s="1" t="n">
        <v>11</v>
      </c>
      <c r="D4514" s="1" t="s">
        <v>2290</v>
      </c>
      <c r="E4514" s="1" t="n">
        <v>1705</v>
      </c>
      <c r="F4514" s="1" t="s">
        <v>122</v>
      </c>
      <c r="I4514" s="1" t="n">
        <v>1929985</v>
      </c>
      <c r="J4514" s="1" t="n">
        <v>31367</v>
      </c>
      <c r="K4514" s="1" t="n">
        <v>7894900704211</v>
      </c>
      <c r="L4514" s="1" t="s">
        <v>2310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5" t="n">
        <v>46216</v>
      </c>
      <c r="C4515" s="1" t="n">
        <v>11</v>
      </c>
      <c r="D4515" s="1" t="s">
        <v>2290</v>
      </c>
      <c r="E4515" s="1" t="n">
        <v>1705</v>
      </c>
      <c r="F4515" s="1" t="s">
        <v>122</v>
      </c>
      <c r="I4515" s="1" t="n">
        <v>1929985</v>
      </c>
      <c r="J4515" s="1" t="n">
        <v>37279</v>
      </c>
      <c r="K4515" s="1" t="n">
        <v>7894900027013</v>
      </c>
      <c r="L4515" s="1" t="s">
        <v>2305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5" t="n">
        <v>46216</v>
      </c>
      <c r="C4516" s="1" t="n">
        <v>22</v>
      </c>
      <c r="D4516" s="1" t="s">
        <v>2436</v>
      </c>
      <c r="E4516" s="1" t="n">
        <v>42</v>
      </c>
      <c r="F4516" s="1" t="s">
        <v>80</v>
      </c>
      <c r="I4516" s="1" t="n">
        <v>4379</v>
      </c>
      <c r="J4516" s="1" t="n">
        <v>100006</v>
      </c>
      <c r="K4516" s="1" t="n">
        <v>7</v>
      </c>
      <c r="L4516" s="1" t="s">
        <v>2437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5" t="n">
        <v>46216</v>
      </c>
      <c r="C4517" s="1" t="n">
        <v>22</v>
      </c>
      <c r="D4517" s="1" t="s">
        <v>2436</v>
      </c>
      <c r="E4517" s="1" t="n">
        <v>42</v>
      </c>
      <c r="F4517" s="1" t="s">
        <v>80</v>
      </c>
      <c r="I4517" s="1" t="n">
        <v>4379</v>
      </c>
      <c r="J4517" s="1" t="n">
        <v>100008</v>
      </c>
      <c r="K4517" s="1" t="n">
        <v>9</v>
      </c>
      <c r="L4517" s="1" t="s">
        <v>2438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5" t="n">
        <v>46216</v>
      </c>
      <c r="C4518" s="1" t="n">
        <v>22</v>
      </c>
      <c r="D4518" s="1" t="s">
        <v>2436</v>
      </c>
      <c r="E4518" s="1" t="n">
        <v>42</v>
      </c>
      <c r="F4518" s="1" t="s">
        <v>80</v>
      </c>
      <c r="I4518" s="1" t="n">
        <v>4379</v>
      </c>
      <c r="J4518" s="1" t="n">
        <v>100010</v>
      </c>
      <c r="K4518" s="1" t="n">
        <v>11</v>
      </c>
      <c r="L4518" s="1" t="s">
        <v>2439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5" t="n">
        <v>46216</v>
      </c>
      <c r="C4519" s="1" t="n">
        <v>22</v>
      </c>
      <c r="D4519" s="1" t="s">
        <v>2436</v>
      </c>
      <c r="E4519" s="1" t="n">
        <v>42</v>
      </c>
      <c r="F4519" s="1" t="s">
        <v>80</v>
      </c>
      <c r="I4519" s="1" t="n">
        <v>4379</v>
      </c>
      <c r="J4519" s="1" t="n">
        <v>100011</v>
      </c>
      <c r="K4519" s="1" t="n">
        <v>12</v>
      </c>
      <c r="L4519" s="1" t="s">
        <v>2440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5" t="n">
        <v>46216</v>
      </c>
      <c r="C4520" s="1" t="n">
        <v>22</v>
      </c>
      <c r="D4520" s="1" t="s">
        <v>2436</v>
      </c>
      <c r="E4520" s="1" t="n">
        <v>42</v>
      </c>
      <c r="F4520" s="1" t="s">
        <v>80</v>
      </c>
      <c r="I4520" s="1" t="n">
        <v>4379</v>
      </c>
      <c r="J4520" s="1" t="n">
        <v>100012</v>
      </c>
      <c r="K4520" s="1" t="n">
        <v>13</v>
      </c>
      <c r="L4520" s="1" t="s">
        <v>2441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5" t="n">
        <v>46216</v>
      </c>
      <c r="C4521" s="1" t="n">
        <v>22</v>
      </c>
      <c r="D4521" s="1" t="s">
        <v>2436</v>
      </c>
      <c r="E4521" s="1" t="n">
        <v>42</v>
      </c>
      <c r="F4521" s="1" t="s">
        <v>80</v>
      </c>
      <c r="I4521" s="1" t="n">
        <v>4379</v>
      </c>
      <c r="J4521" s="1" t="n">
        <v>100013</v>
      </c>
      <c r="K4521" s="1" t="n">
        <v>14</v>
      </c>
      <c r="L4521" s="1" t="s">
        <v>2442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5" t="n">
        <v>46216</v>
      </c>
      <c r="C4522" s="1" t="n">
        <v>22</v>
      </c>
      <c r="D4522" s="1" t="s">
        <v>2436</v>
      </c>
      <c r="E4522" s="1" t="n">
        <v>42</v>
      </c>
      <c r="F4522" s="1" t="s">
        <v>80</v>
      </c>
      <c r="I4522" s="1" t="n">
        <v>4379</v>
      </c>
      <c r="J4522" s="1" t="n">
        <v>100014</v>
      </c>
      <c r="K4522" s="1" t="n">
        <v>15</v>
      </c>
      <c r="L4522" s="1" t="s">
        <v>2443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5" t="n">
        <v>46216</v>
      </c>
      <c r="C4523" s="1" t="n">
        <v>22</v>
      </c>
      <c r="D4523" s="1" t="s">
        <v>2436</v>
      </c>
      <c r="E4523" s="1" t="n">
        <v>42</v>
      </c>
      <c r="F4523" s="1" t="s">
        <v>80</v>
      </c>
      <c r="I4523" s="1" t="n">
        <v>4379</v>
      </c>
      <c r="J4523" s="1" t="n">
        <v>100015</v>
      </c>
      <c r="K4523" s="1" t="n">
        <v>16</v>
      </c>
      <c r="L4523" s="1" t="s">
        <v>2444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5" t="n">
        <v>46216</v>
      </c>
      <c r="C4524" s="1" t="n">
        <v>22</v>
      </c>
      <c r="D4524" s="1" t="s">
        <v>2436</v>
      </c>
      <c r="E4524" s="1" t="n">
        <v>42</v>
      </c>
      <c r="F4524" s="1" t="s">
        <v>80</v>
      </c>
      <c r="I4524" s="1" t="n">
        <v>4379</v>
      </c>
      <c r="J4524" s="1" t="n">
        <v>100016</v>
      </c>
      <c r="K4524" s="1" t="n">
        <v>17</v>
      </c>
      <c r="L4524" s="1" t="s">
        <v>2445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5" t="n">
        <v>46216</v>
      </c>
      <c r="C4525" s="1" t="n">
        <v>22</v>
      </c>
      <c r="D4525" s="1" t="s">
        <v>2436</v>
      </c>
      <c r="E4525" s="1" t="n">
        <v>42</v>
      </c>
      <c r="F4525" s="1" t="s">
        <v>80</v>
      </c>
      <c r="I4525" s="1" t="n">
        <v>4379</v>
      </c>
      <c r="J4525" s="1" t="n">
        <v>100017</v>
      </c>
      <c r="K4525" s="1" t="n">
        <v>18</v>
      </c>
      <c r="L4525" s="1" t="s">
        <v>2446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5" t="n">
        <v>46216</v>
      </c>
      <c r="C4526" s="1" t="n">
        <v>22</v>
      </c>
      <c r="D4526" s="1" t="s">
        <v>2436</v>
      </c>
      <c r="E4526" s="1" t="n">
        <v>42</v>
      </c>
      <c r="F4526" s="1" t="s">
        <v>80</v>
      </c>
      <c r="I4526" s="1" t="n">
        <v>4379</v>
      </c>
      <c r="J4526" s="1" t="n">
        <v>100023</v>
      </c>
      <c r="K4526" s="1" t="n">
        <v>24</v>
      </c>
      <c r="L4526" s="1" t="s">
        <v>3826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5" t="n">
        <v>46216</v>
      </c>
      <c r="C4527" s="1" t="n">
        <v>22</v>
      </c>
      <c r="D4527" s="1" t="s">
        <v>2436</v>
      </c>
      <c r="E4527" s="1" t="n">
        <v>42</v>
      </c>
      <c r="F4527" s="1" t="s">
        <v>80</v>
      </c>
      <c r="I4527" s="1" t="n">
        <v>4379</v>
      </c>
      <c r="J4527" s="1" t="n">
        <v>100053</v>
      </c>
      <c r="K4527" s="1" t="n">
        <v>54</v>
      </c>
      <c r="L4527" s="1" t="s">
        <v>2447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5" t="n">
        <v>46216</v>
      </c>
      <c r="C4528" s="1" t="n">
        <v>22</v>
      </c>
      <c r="D4528" s="1" t="s">
        <v>2436</v>
      </c>
      <c r="E4528" s="1" t="n">
        <v>42</v>
      </c>
      <c r="F4528" s="1" t="s">
        <v>80</v>
      </c>
      <c r="I4528" s="1" t="n">
        <v>4379</v>
      </c>
      <c r="J4528" s="1" t="n">
        <v>100638</v>
      </c>
      <c r="K4528" s="1" t="n">
        <v>508</v>
      </c>
      <c r="L4528" s="1" t="s">
        <v>2448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5" t="n">
        <v>46216</v>
      </c>
      <c r="C4529" s="1" t="n">
        <v>22</v>
      </c>
      <c r="D4529" s="1" t="s">
        <v>2436</v>
      </c>
      <c r="E4529" s="1" t="n">
        <v>42</v>
      </c>
      <c r="F4529" s="1" t="s">
        <v>80</v>
      </c>
      <c r="I4529" s="1" t="n">
        <v>4379</v>
      </c>
      <c r="J4529" s="1" t="n">
        <v>100520</v>
      </c>
      <c r="K4529" s="1" t="n">
        <v>507</v>
      </c>
      <c r="L4529" s="1" t="s">
        <v>2449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5" t="n">
        <v>46216</v>
      </c>
      <c r="C4530" s="1" t="n">
        <v>22</v>
      </c>
      <c r="D4530" s="1" t="s">
        <v>2436</v>
      </c>
      <c r="E4530" s="1" t="n">
        <v>42</v>
      </c>
      <c r="F4530" s="1" t="s">
        <v>80</v>
      </c>
      <c r="I4530" s="1" t="n">
        <v>4379</v>
      </c>
      <c r="J4530" s="1" t="n">
        <v>110455</v>
      </c>
      <c r="K4530" s="1" t="n">
        <v>53212</v>
      </c>
      <c r="L4530" s="1" t="s">
        <v>2450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5" t="n">
        <v>46216</v>
      </c>
      <c r="C4531" s="1" t="n">
        <v>22</v>
      </c>
      <c r="D4531" s="1" t="s">
        <v>2436</v>
      </c>
      <c r="E4531" s="1" t="n">
        <v>42</v>
      </c>
      <c r="F4531" s="1" t="s">
        <v>80</v>
      </c>
      <c r="I4531" s="1" t="n">
        <v>4381</v>
      </c>
      <c r="J4531" s="1" t="n">
        <v>100000</v>
      </c>
      <c r="K4531" s="1" t="n">
        <v>1</v>
      </c>
      <c r="L4531" s="1" t="s">
        <v>2451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5" t="n">
        <v>46216</v>
      </c>
      <c r="C4532" s="1" t="n">
        <v>22</v>
      </c>
      <c r="D4532" s="1" t="s">
        <v>2436</v>
      </c>
      <c r="E4532" s="1" t="n">
        <v>42</v>
      </c>
      <c r="F4532" s="1" t="s">
        <v>80</v>
      </c>
      <c r="I4532" s="1" t="n">
        <v>4381</v>
      </c>
      <c r="J4532" s="1" t="n">
        <v>100001</v>
      </c>
      <c r="K4532" s="1" t="n">
        <v>2</v>
      </c>
      <c r="L4532" s="1" t="s">
        <v>2452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5" t="n">
        <v>46216</v>
      </c>
      <c r="C4533" s="1" t="n">
        <v>22</v>
      </c>
      <c r="D4533" s="1" t="s">
        <v>2436</v>
      </c>
      <c r="E4533" s="1" t="n">
        <v>42</v>
      </c>
      <c r="F4533" s="1" t="s">
        <v>80</v>
      </c>
      <c r="I4533" s="1" t="n">
        <v>4381</v>
      </c>
      <c r="J4533" s="1" t="n">
        <v>100002</v>
      </c>
      <c r="K4533" s="1" t="n">
        <v>3</v>
      </c>
      <c r="L4533" s="1" t="s">
        <v>2453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5" t="n">
        <v>46216</v>
      </c>
      <c r="C4534" s="1" t="n">
        <v>22</v>
      </c>
      <c r="D4534" s="1" t="s">
        <v>2436</v>
      </c>
      <c r="E4534" s="1" t="n">
        <v>42</v>
      </c>
      <c r="F4534" s="1" t="s">
        <v>80</v>
      </c>
      <c r="I4534" s="1" t="n">
        <v>4381</v>
      </c>
      <c r="J4534" s="1" t="n">
        <v>100003</v>
      </c>
      <c r="K4534" s="1" t="n">
        <v>4</v>
      </c>
      <c r="L4534" s="1" t="s">
        <v>2454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5" t="n">
        <v>46216</v>
      </c>
      <c r="C4535" s="1" t="n">
        <v>22</v>
      </c>
      <c r="D4535" s="1" t="s">
        <v>2436</v>
      </c>
      <c r="E4535" s="1" t="n">
        <v>42</v>
      </c>
      <c r="F4535" s="1" t="s">
        <v>80</v>
      </c>
      <c r="I4535" s="1" t="n">
        <v>4381</v>
      </c>
      <c r="J4535" s="1" t="n">
        <v>100007</v>
      </c>
      <c r="K4535" s="1" t="n">
        <v>8</v>
      </c>
      <c r="L4535" s="1" t="s">
        <v>2455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5" t="n">
        <v>46216</v>
      </c>
      <c r="C4536" s="1" t="n">
        <v>22</v>
      </c>
      <c r="D4536" s="1" t="s">
        <v>2436</v>
      </c>
      <c r="E4536" s="1" t="n">
        <v>42</v>
      </c>
      <c r="F4536" s="1" t="s">
        <v>80</v>
      </c>
      <c r="I4536" s="1" t="n">
        <v>4381</v>
      </c>
      <c r="J4536" s="1" t="n">
        <v>100638</v>
      </c>
      <c r="K4536" s="1" t="n">
        <v>508</v>
      </c>
      <c r="L4536" s="1" t="s">
        <v>2448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5" t="n">
        <v>46216</v>
      </c>
      <c r="C4537" s="1" t="n">
        <v>22</v>
      </c>
      <c r="D4537" s="1" t="s">
        <v>2436</v>
      </c>
      <c r="E4537" s="1" t="n">
        <v>42</v>
      </c>
      <c r="F4537" s="1" t="s">
        <v>80</v>
      </c>
      <c r="I4537" s="1" t="n">
        <v>4381</v>
      </c>
      <c r="J4537" s="1" t="n">
        <v>100520</v>
      </c>
      <c r="K4537" s="1" t="n">
        <v>507</v>
      </c>
      <c r="L4537" s="1" t="s">
        <v>2449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5" t="n">
        <v>46216</v>
      </c>
      <c r="C4538" s="1" t="n">
        <v>22</v>
      </c>
      <c r="D4538" s="1" t="s">
        <v>2436</v>
      </c>
      <c r="E4538" s="1" t="n">
        <v>42</v>
      </c>
      <c r="F4538" s="1" t="s">
        <v>80</v>
      </c>
      <c r="I4538" s="1" t="n">
        <v>4381</v>
      </c>
      <c r="J4538" s="1" t="n">
        <v>110455</v>
      </c>
      <c r="K4538" s="1" t="n">
        <v>53212</v>
      </c>
      <c r="L4538" s="1" t="s">
        <v>2450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5" t="n">
        <v>46216</v>
      </c>
      <c r="C4539" s="1" t="n">
        <v>100</v>
      </c>
      <c r="D4539" s="1" t="s">
        <v>2457</v>
      </c>
      <c r="E4539" s="1" t="n">
        <v>42</v>
      </c>
      <c r="F4539" s="1" t="s">
        <v>80</v>
      </c>
      <c r="I4539" s="1" t="n">
        <v>1392713</v>
      </c>
      <c r="J4539" s="1" t="n">
        <v>100006</v>
      </c>
      <c r="K4539" s="1" t="n">
        <v>7</v>
      </c>
      <c r="L4539" s="1" t="s">
        <v>2437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5" t="n">
        <v>46216</v>
      </c>
      <c r="C4540" s="1" t="n">
        <v>100</v>
      </c>
      <c r="D4540" s="1" t="s">
        <v>2457</v>
      </c>
      <c r="E4540" s="1" t="n">
        <v>42</v>
      </c>
      <c r="F4540" s="1" t="s">
        <v>80</v>
      </c>
      <c r="I4540" s="1" t="n">
        <v>1392713</v>
      </c>
      <c r="J4540" s="1" t="n">
        <v>100008</v>
      </c>
      <c r="K4540" s="1" t="n">
        <v>9</v>
      </c>
      <c r="L4540" s="1" t="s">
        <v>2438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5" t="n">
        <v>46216</v>
      </c>
      <c r="C4541" s="1" t="n">
        <v>100</v>
      </c>
      <c r="D4541" s="1" t="s">
        <v>2457</v>
      </c>
      <c r="E4541" s="1" t="n">
        <v>42</v>
      </c>
      <c r="F4541" s="1" t="s">
        <v>80</v>
      </c>
      <c r="I4541" s="1" t="n">
        <v>1392713</v>
      </c>
      <c r="J4541" s="1" t="n">
        <v>100010</v>
      </c>
      <c r="K4541" s="1" t="n">
        <v>11</v>
      </c>
      <c r="L4541" s="1" t="s">
        <v>2439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5" t="n">
        <v>46216</v>
      </c>
      <c r="C4542" s="1" t="n">
        <v>100</v>
      </c>
      <c r="D4542" s="1" t="s">
        <v>2457</v>
      </c>
      <c r="E4542" s="1" t="n">
        <v>42</v>
      </c>
      <c r="F4542" s="1" t="s">
        <v>80</v>
      </c>
      <c r="I4542" s="1" t="n">
        <v>1392713</v>
      </c>
      <c r="J4542" s="1" t="n">
        <v>100011</v>
      </c>
      <c r="K4542" s="1" t="n">
        <v>12</v>
      </c>
      <c r="L4542" s="1" t="s">
        <v>2440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5" t="n">
        <v>46216</v>
      </c>
      <c r="C4543" s="1" t="n">
        <v>100</v>
      </c>
      <c r="D4543" s="1" t="s">
        <v>2457</v>
      </c>
      <c r="E4543" s="1" t="n">
        <v>42</v>
      </c>
      <c r="F4543" s="1" t="s">
        <v>80</v>
      </c>
      <c r="I4543" s="1" t="n">
        <v>1392713</v>
      </c>
      <c r="J4543" s="1" t="n">
        <v>100012</v>
      </c>
      <c r="K4543" s="1" t="n">
        <v>13</v>
      </c>
      <c r="L4543" s="1" t="s">
        <v>2441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5" t="n">
        <v>46216</v>
      </c>
      <c r="C4544" s="1" t="n">
        <v>100</v>
      </c>
      <c r="D4544" s="1" t="s">
        <v>2457</v>
      </c>
      <c r="E4544" s="1" t="n">
        <v>42</v>
      </c>
      <c r="F4544" s="1" t="s">
        <v>80</v>
      </c>
      <c r="I4544" s="1" t="n">
        <v>1392713</v>
      </c>
      <c r="J4544" s="1" t="n">
        <v>100013</v>
      </c>
      <c r="K4544" s="1" t="n">
        <v>14</v>
      </c>
      <c r="L4544" s="1" t="s">
        <v>2442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5" t="n">
        <v>46216</v>
      </c>
      <c r="C4545" s="1" t="n">
        <v>100</v>
      </c>
      <c r="D4545" s="1" t="s">
        <v>2457</v>
      </c>
      <c r="E4545" s="1" t="n">
        <v>42</v>
      </c>
      <c r="F4545" s="1" t="s">
        <v>80</v>
      </c>
      <c r="I4545" s="1" t="n">
        <v>1392713</v>
      </c>
      <c r="J4545" s="1" t="n">
        <v>100014</v>
      </c>
      <c r="K4545" s="1" t="n">
        <v>15</v>
      </c>
      <c r="L4545" s="1" t="s">
        <v>2443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5" t="n">
        <v>46216</v>
      </c>
      <c r="C4546" s="1" t="n">
        <v>100</v>
      </c>
      <c r="D4546" s="1" t="s">
        <v>2457</v>
      </c>
      <c r="E4546" s="1" t="n">
        <v>42</v>
      </c>
      <c r="F4546" s="1" t="s">
        <v>80</v>
      </c>
      <c r="I4546" s="1" t="n">
        <v>1392713</v>
      </c>
      <c r="J4546" s="1" t="n">
        <v>100015</v>
      </c>
      <c r="K4546" s="1" t="n">
        <v>16</v>
      </c>
      <c r="L4546" s="1" t="s">
        <v>2444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5" t="n">
        <v>46216</v>
      </c>
      <c r="C4547" s="1" t="n">
        <v>100</v>
      </c>
      <c r="D4547" s="1" t="s">
        <v>2457</v>
      </c>
      <c r="E4547" s="1" t="n">
        <v>42</v>
      </c>
      <c r="F4547" s="1" t="s">
        <v>80</v>
      </c>
      <c r="I4547" s="1" t="n">
        <v>1392713</v>
      </c>
      <c r="J4547" s="1" t="n">
        <v>100016</v>
      </c>
      <c r="K4547" s="1" t="n">
        <v>17</v>
      </c>
      <c r="L4547" s="1" t="s">
        <v>2445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5" t="n">
        <v>46216</v>
      </c>
      <c r="C4548" s="1" t="n">
        <v>100</v>
      </c>
      <c r="D4548" s="1" t="s">
        <v>2457</v>
      </c>
      <c r="E4548" s="1" t="n">
        <v>42</v>
      </c>
      <c r="F4548" s="1" t="s">
        <v>80</v>
      </c>
      <c r="I4548" s="1" t="n">
        <v>1392713</v>
      </c>
      <c r="J4548" s="1" t="n">
        <v>100017</v>
      </c>
      <c r="K4548" s="1" t="n">
        <v>18</v>
      </c>
      <c r="L4548" s="1" t="s">
        <v>2446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5" t="n">
        <v>46216</v>
      </c>
      <c r="C4549" s="1" t="n">
        <v>100</v>
      </c>
      <c r="D4549" s="1" t="s">
        <v>2457</v>
      </c>
      <c r="E4549" s="1" t="n">
        <v>42</v>
      </c>
      <c r="F4549" s="1" t="s">
        <v>80</v>
      </c>
      <c r="I4549" s="1" t="n">
        <v>1392713</v>
      </c>
      <c r="J4549" s="1" t="n">
        <v>100023</v>
      </c>
      <c r="K4549" s="1" t="n">
        <v>24</v>
      </c>
      <c r="L4549" s="1" t="s">
        <v>3826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5" t="n">
        <v>46216</v>
      </c>
      <c r="C4550" s="1" t="n">
        <v>100</v>
      </c>
      <c r="D4550" s="1" t="s">
        <v>2457</v>
      </c>
      <c r="E4550" s="1" t="n">
        <v>42</v>
      </c>
      <c r="F4550" s="1" t="s">
        <v>80</v>
      </c>
      <c r="I4550" s="1" t="n">
        <v>1392713</v>
      </c>
      <c r="J4550" s="1" t="n">
        <v>100053</v>
      </c>
      <c r="K4550" s="1" t="n">
        <v>54</v>
      </c>
      <c r="L4550" s="1" t="s">
        <v>2447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5" t="n">
        <v>46216</v>
      </c>
      <c r="C4551" s="1" t="n">
        <v>100</v>
      </c>
      <c r="D4551" s="1" t="s">
        <v>2457</v>
      </c>
      <c r="E4551" s="1" t="n">
        <v>42</v>
      </c>
      <c r="F4551" s="1" t="s">
        <v>80</v>
      </c>
      <c r="I4551" s="1" t="n">
        <v>1392713</v>
      </c>
      <c r="J4551" s="1" t="n">
        <v>100638</v>
      </c>
      <c r="K4551" s="1" t="n">
        <v>508</v>
      </c>
      <c r="L4551" s="1" t="s">
        <v>2448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5" t="n">
        <v>46216</v>
      </c>
      <c r="C4552" s="1" t="n">
        <v>100</v>
      </c>
      <c r="D4552" s="1" t="s">
        <v>2457</v>
      </c>
      <c r="E4552" s="1" t="n">
        <v>42</v>
      </c>
      <c r="F4552" s="1" t="s">
        <v>80</v>
      </c>
      <c r="I4552" s="1" t="n">
        <v>1392713</v>
      </c>
      <c r="J4552" s="1" t="n">
        <v>100520</v>
      </c>
      <c r="K4552" s="1" t="n">
        <v>507</v>
      </c>
      <c r="L4552" s="1" t="s">
        <v>2449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5" t="n">
        <v>46216</v>
      </c>
      <c r="C4553" s="1" t="n">
        <v>100</v>
      </c>
      <c r="D4553" s="1" t="s">
        <v>2457</v>
      </c>
      <c r="E4553" s="1" t="n">
        <v>42</v>
      </c>
      <c r="F4553" s="1" t="s">
        <v>80</v>
      </c>
      <c r="I4553" s="1" t="n">
        <v>1392713</v>
      </c>
      <c r="J4553" s="1" t="n">
        <v>110455</v>
      </c>
      <c r="K4553" s="1" t="n">
        <v>53212</v>
      </c>
      <c r="L4553" s="1" t="s">
        <v>2450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5" t="n">
        <v>46216</v>
      </c>
      <c r="C4554" s="1" t="n">
        <v>100</v>
      </c>
      <c r="D4554" s="1" t="s">
        <v>2457</v>
      </c>
      <c r="E4554" s="1" t="n">
        <v>42</v>
      </c>
      <c r="F4554" s="1" t="s">
        <v>80</v>
      </c>
      <c r="I4554" s="1" t="n">
        <v>1393508</v>
      </c>
      <c r="J4554" s="1" t="n">
        <v>100000</v>
      </c>
      <c r="K4554" s="1" t="n">
        <v>1</v>
      </c>
      <c r="L4554" s="1" t="s">
        <v>2451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5" t="n">
        <v>46216</v>
      </c>
      <c r="C4555" s="1" t="n">
        <v>100</v>
      </c>
      <c r="D4555" s="1" t="s">
        <v>2457</v>
      </c>
      <c r="E4555" s="1" t="n">
        <v>42</v>
      </c>
      <c r="F4555" s="1" t="s">
        <v>80</v>
      </c>
      <c r="I4555" s="1" t="n">
        <v>1393508</v>
      </c>
      <c r="J4555" s="1" t="n">
        <v>100001</v>
      </c>
      <c r="K4555" s="1" t="n">
        <v>2</v>
      </c>
      <c r="L4555" s="1" t="s">
        <v>2452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5" t="n">
        <v>46216</v>
      </c>
      <c r="C4556" s="1" t="n">
        <v>100</v>
      </c>
      <c r="D4556" s="1" t="s">
        <v>2457</v>
      </c>
      <c r="E4556" s="1" t="n">
        <v>42</v>
      </c>
      <c r="F4556" s="1" t="s">
        <v>80</v>
      </c>
      <c r="I4556" s="1" t="n">
        <v>1393508</v>
      </c>
      <c r="J4556" s="1" t="n">
        <v>100002</v>
      </c>
      <c r="K4556" s="1" t="n">
        <v>3</v>
      </c>
      <c r="L4556" s="1" t="s">
        <v>2453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5" t="n">
        <v>46216</v>
      </c>
      <c r="C4557" s="1" t="n">
        <v>100</v>
      </c>
      <c r="D4557" s="1" t="s">
        <v>2457</v>
      </c>
      <c r="E4557" s="1" t="n">
        <v>42</v>
      </c>
      <c r="F4557" s="1" t="s">
        <v>80</v>
      </c>
      <c r="I4557" s="1" t="n">
        <v>1393508</v>
      </c>
      <c r="J4557" s="1" t="n">
        <v>100003</v>
      </c>
      <c r="K4557" s="1" t="n">
        <v>4</v>
      </c>
      <c r="L4557" s="1" t="s">
        <v>2454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5" t="n">
        <v>46216</v>
      </c>
      <c r="C4558" s="1" t="n">
        <v>100</v>
      </c>
      <c r="D4558" s="1" t="s">
        <v>2457</v>
      </c>
      <c r="E4558" s="1" t="n">
        <v>42</v>
      </c>
      <c r="F4558" s="1" t="s">
        <v>80</v>
      </c>
      <c r="I4558" s="1" t="n">
        <v>1393508</v>
      </c>
      <c r="J4558" s="1" t="n">
        <v>100007</v>
      </c>
      <c r="K4558" s="1" t="n">
        <v>8</v>
      </c>
      <c r="L4558" s="1" t="s">
        <v>2455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5" t="n">
        <v>46216</v>
      </c>
      <c r="C4559" s="1" t="n">
        <v>100</v>
      </c>
      <c r="D4559" s="1" t="s">
        <v>2457</v>
      </c>
      <c r="E4559" s="1" t="n">
        <v>42</v>
      </c>
      <c r="F4559" s="1" t="s">
        <v>80</v>
      </c>
      <c r="I4559" s="1" t="n">
        <v>1393508</v>
      </c>
      <c r="J4559" s="1" t="n">
        <v>100638</v>
      </c>
      <c r="K4559" s="1" t="n">
        <v>508</v>
      </c>
      <c r="L4559" s="1" t="s">
        <v>2448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5" t="n">
        <v>46216</v>
      </c>
      <c r="C4560" s="1" t="n">
        <v>100</v>
      </c>
      <c r="D4560" s="1" t="s">
        <v>2457</v>
      </c>
      <c r="E4560" s="1" t="n">
        <v>42</v>
      </c>
      <c r="F4560" s="1" t="s">
        <v>80</v>
      </c>
      <c r="I4560" s="1" t="n">
        <v>1393508</v>
      </c>
      <c r="J4560" s="1" t="n">
        <v>100520</v>
      </c>
      <c r="K4560" s="1" t="n">
        <v>507</v>
      </c>
      <c r="L4560" s="1" t="s">
        <v>2449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5" t="n">
        <v>46216</v>
      </c>
      <c r="C4561" s="1" t="n">
        <v>100</v>
      </c>
      <c r="D4561" s="1" t="s">
        <v>2457</v>
      </c>
      <c r="E4561" s="1" t="n">
        <v>42</v>
      </c>
      <c r="F4561" s="1" t="s">
        <v>80</v>
      </c>
      <c r="I4561" s="1" t="n">
        <v>1393508</v>
      </c>
      <c r="J4561" s="1" t="n">
        <v>110455</v>
      </c>
      <c r="K4561" s="1" t="n">
        <v>53212</v>
      </c>
      <c r="L4561" s="1" t="s">
        <v>2450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5" t="n">
        <v>46216</v>
      </c>
      <c r="C4562" s="1" t="n">
        <v>171</v>
      </c>
      <c r="D4562" s="1" t="s">
        <v>2517</v>
      </c>
      <c r="E4562" s="1" t="n">
        <v>1136</v>
      </c>
      <c r="F4562" s="1" t="s">
        <v>693</v>
      </c>
      <c r="I4562" s="1" t="n">
        <v>51627</v>
      </c>
      <c r="J4562" s="1" t="n">
        <v>102960</v>
      </c>
      <c r="K4562" s="1" t="n">
        <v>7896221400087</v>
      </c>
      <c r="L4562" s="1" t="s">
        <v>2930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5" t="n">
        <v>46217</v>
      </c>
      <c r="C4563" s="1" t="n">
        <v>1</v>
      </c>
      <c r="D4563" s="1" t="s">
        <v>2317</v>
      </c>
      <c r="E4563" s="1" t="n">
        <v>10043</v>
      </c>
      <c r="F4563" s="1" t="s">
        <v>112</v>
      </c>
      <c r="I4563" s="1" t="n">
        <v>774</v>
      </c>
      <c r="J4563" s="1" t="n">
        <v>52096</v>
      </c>
      <c r="K4563" s="1" t="n">
        <v>144315</v>
      </c>
      <c r="L4563" s="1" t="s">
        <v>2318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5" t="n">
        <v>46217</v>
      </c>
      <c r="C4564" s="1" t="n">
        <v>6</v>
      </c>
      <c r="D4564" s="1" t="s">
        <v>2289</v>
      </c>
      <c r="E4564" s="1" t="n">
        <v>42</v>
      </c>
      <c r="F4564" s="1" t="s">
        <v>80</v>
      </c>
      <c r="I4564" s="1" t="n">
        <v>4382</v>
      </c>
      <c r="J4564" s="1" t="n">
        <v>37359</v>
      </c>
      <c r="K4564" s="1" t="n">
        <v>55526</v>
      </c>
      <c r="L4564" s="1" t="s">
        <v>2285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5" t="n">
        <v>46217</v>
      </c>
      <c r="C4565" s="1" t="n">
        <v>6</v>
      </c>
      <c r="D4565" s="1" t="s">
        <v>2289</v>
      </c>
      <c r="E4565" s="1" t="n">
        <v>42</v>
      </c>
      <c r="F4565" s="1" t="s">
        <v>80</v>
      </c>
      <c r="I4565" s="1" t="n">
        <v>4382</v>
      </c>
      <c r="J4565" s="1" t="n">
        <v>37361</v>
      </c>
      <c r="K4565" s="1" t="n">
        <v>2240817</v>
      </c>
      <c r="L4565" s="1" t="s">
        <v>2286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5" t="n">
        <v>46217</v>
      </c>
      <c r="C4566" s="1" t="n">
        <v>6</v>
      </c>
      <c r="D4566" s="1" t="s">
        <v>2289</v>
      </c>
      <c r="E4566" s="1" t="n">
        <v>42</v>
      </c>
      <c r="F4566" s="1" t="s">
        <v>80</v>
      </c>
      <c r="I4566" s="1" t="n">
        <v>4383</v>
      </c>
      <c r="J4566" s="1" t="n">
        <v>100062</v>
      </c>
      <c r="K4566" s="1" t="n">
        <v>63</v>
      </c>
      <c r="L4566" s="1" t="s">
        <v>2320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5" t="n">
        <v>46217</v>
      </c>
      <c r="C4567" s="1" t="n">
        <v>6</v>
      </c>
      <c r="D4567" s="1" t="s">
        <v>2289</v>
      </c>
      <c r="E4567" s="1" t="n">
        <v>42</v>
      </c>
      <c r="F4567" s="1" t="s">
        <v>80</v>
      </c>
      <c r="I4567" s="1" t="n">
        <v>4383</v>
      </c>
      <c r="J4567" s="1" t="n">
        <v>100105</v>
      </c>
      <c r="K4567" s="1" t="n">
        <v>106</v>
      </c>
      <c r="L4567" s="1" t="s">
        <v>2322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5" t="n">
        <v>46217</v>
      </c>
      <c r="C4568" s="1" t="n">
        <v>6</v>
      </c>
      <c r="D4568" s="1" t="s">
        <v>2289</v>
      </c>
      <c r="E4568" s="1" t="n">
        <v>42</v>
      </c>
      <c r="F4568" s="1" t="s">
        <v>80</v>
      </c>
      <c r="I4568" s="1" t="n">
        <v>4383</v>
      </c>
      <c r="J4568" s="1" t="n">
        <v>100109</v>
      </c>
      <c r="K4568" s="1" t="n">
        <v>110</v>
      </c>
      <c r="L4568" s="1" t="s">
        <v>2324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5" t="n">
        <v>46217</v>
      </c>
      <c r="C4569" s="1" t="n">
        <v>6</v>
      </c>
      <c r="D4569" s="1" t="s">
        <v>2289</v>
      </c>
      <c r="E4569" s="1" t="n">
        <v>42</v>
      </c>
      <c r="F4569" s="1" t="s">
        <v>80</v>
      </c>
      <c r="I4569" s="1" t="n">
        <v>4383</v>
      </c>
      <c r="J4569" s="1" t="n">
        <v>100113</v>
      </c>
      <c r="K4569" s="1" t="n">
        <v>114</v>
      </c>
      <c r="L4569" s="1" t="s">
        <v>2326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5" t="n">
        <v>46217</v>
      </c>
      <c r="C4570" s="1" t="n">
        <v>6</v>
      </c>
      <c r="D4570" s="1" t="s">
        <v>2289</v>
      </c>
      <c r="E4570" s="1" t="n">
        <v>42</v>
      </c>
      <c r="F4570" s="1" t="s">
        <v>80</v>
      </c>
      <c r="I4570" s="1" t="n">
        <v>4383</v>
      </c>
      <c r="J4570" s="1" t="n">
        <v>100115</v>
      </c>
      <c r="K4570" s="1" t="n">
        <v>116</v>
      </c>
      <c r="L4570" s="1" t="s">
        <v>2474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5" t="n">
        <v>46217</v>
      </c>
      <c r="C4571" s="1" t="n">
        <v>6</v>
      </c>
      <c r="D4571" s="1" t="s">
        <v>2289</v>
      </c>
      <c r="E4571" s="1" t="n">
        <v>42</v>
      </c>
      <c r="F4571" s="1" t="s">
        <v>80</v>
      </c>
      <c r="I4571" s="1" t="n">
        <v>4383</v>
      </c>
      <c r="J4571" s="1" t="n">
        <v>100116</v>
      </c>
      <c r="K4571" s="1" t="n">
        <v>117</v>
      </c>
      <c r="L4571" s="1" t="s">
        <v>2327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5" t="n">
        <v>46217</v>
      </c>
      <c r="C4572" s="1" t="n">
        <v>6</v>
      </c>
      <c r="D4572" s="1" t="s">
        <v>2289</v>
      </c>
      <c r="E4572" s="1" t="n">
        <v>42</v>
      </c>
      <c r="F4572" s="1" t="s">
        <v>80</v>
      </c>
      <c r="I4572" s="1" t="n">
        <v>4383</v>
      </c>
      <c r="J4572" s="1" t="n">
        <v>100121</v>
      </c>
      <c r="K4572" s="1" t="n">
        <v>122</v>
      </c>
      <c r="L4572" s="1" t="s">
        <v>2329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5" t="n">
        <v>46217</v>
      </c>
      <c r="C4573" s="1" t="n">
        <v>6</v>
      </c>
      <c r="D4573" s="1" t="s">
        <v>2289</v>
      </c>
      <c r="E4573" s="1" t="n">
        <v>42</v>
      </c>
      <c r="F4573" s="1" t="s">
        <v>80</v>
      </c>
      <c r="I4573" s="1" t="n">
        <v>4383</v>
      </c>
      <c r="J4573" s="1" t="n">
        <v>100122</v>
      </c>
      <c r="K4573" s="1" t="n">
        <v>123</v>
      </c>
      <c r="L4573" s="1" t="s">
        <v>2330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5" t="n">
        <v>46217</v>
      </c>
      <c r="C4574" s="1" t="n">
        <v>6</v>
      </c>
      <c r="D4574" s="1" t="s">
        <v>2289</v>
      </c>
      <c r="E4574" s="1" t="n">
        <v>42</v>
      </c>
      <c r="F4574" s="1" t="s">
        <v>80</v>
      </c>
      <c r="I4574" s="1" t="n">
        <v>4383</v>
      </c>
      <c r="J4574" s="1" t="n">
        <v>100123</v>
      </c>
      <c r="K4574" s="1" t="n">
        <v>124</v>
      </c>
      <c r="L4574" s="1" t="s">
        <v>2475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5" t="n">
        <v>46217</v>
      </c>
      <c r="C4575" s="1" t="n">
        <v>6</v>
      </c>
      <c r="D4575" s="1" t="s">
        <v>2289</v>
      </c>
      <c r="E4575" s="1" t="n">
        <v>42</v>
      </c>
      <c r="F4575" s="1" t="s">
        <v>80</v>
      </c>
      <c r="I4575" s="1" t="n">
        <v>4383</v>
      </c>
      <c r="J4575" s="1" t="n">
        <v>100125</v>
      </c>
      <c r="K4575" s="1" t="n">
        <v>126</v>
      </c>
      <c r="L4575" s="1" t="s">
        <v>2477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5" t="n">
        <v>46217</v>
      </c>
      <c r="C4576" s="1" t="n">
        <v>6</v>
      </c>
      <c r="D4576" s="1" t="s">
        <v>2289</v>
      </c>
      <c r="E4576" s="1" t="n">
        <v>42</v>
      </c>
      <c r="F4576" s="1" t="s">
        <v>80</v>
      </c>
      <c r="I4576" s="1" t="n">
        <v>4383</v>
      </c>
      <c r="J4576" s="1" t="n">
        <v>100130</v>
      </c>
      <c r="K4576" s="1" t="n">
        <v>131</v>
      </c>
      <c r="L4576" s="1" t="s">
        <v>2331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5" t="n">
        <v>46217</v>
      </c>
      <c r="C4577" s="1" t="n">
        <v>6</v>
      </c>
      <c r="D4577" s="1" t="s">
        <v>2289</v>
      </c>
      <c r="E4577" s="1" t="n">
        <v>42</v>
      </c>
      <c r="F4577" s="1" t="s">
        <v>80</v>
      </c>
      <c r="I4577" s="1" t="n">
        <v>4383</v>
      </c>
      <c r="J4577" s="1" t="n">
        <v>100131</v>
      </c>
      <c r="K4577" s="1" t="n">
        <v>132</v>
      </c>
      <c r="L4577" s="1" t="s">
        <v>3103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5" t="n">
        <v>46217</v>
      </c>
      <c r="C4578" s="1" t="n">
        <v>6</v>
      </c>
      <c r="D4578" s="1" t="s">
        <v>2289</v>
      </c>
      <c r="E4578" s="1" t="n">
        <v>42</v>
      </c>
      <c r="F4578" s="1" t="s">
        <v>80</v>
      </c>
      <c r="I4578" s="1" t="n">
        <v>4383</v>
      </c>
      <c r="J4578" s="1" t="n">
        <v>100132</v>
      </c>
      <c r="K4578" s="1" t="n">
        <v>133</v>
      </c>
      <c r="L4578" s="1" t="s">
        <v>3104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5" t="n">
        <v>46217</v>
      </c>
      <c r="C4579" s="1" t="n">
        <v>6</v>
      </c>
      <c r="D4579" s="1" t="s">
        <v>2289</v>
      </c>
      <c r="E4579" s="1" t="n">
        <v>42</v>
      </c>
      <c r="F4579" s="1" t="s">
        <v>80</v>
      </c>
      <c r="I4579" s="1" t="n">
        <v>4383</v>
      </c>
      <c r="J4579" s="1" t="n">
        <v>100133</v>
      </c>
      <c r="K4579" s="1" t="n">
        <v>134</v>
      </c>
      <c r="L4579" s="1" t="s">
        <v>2332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5" t="n">
        <v>46217</v>
      </c>
      <c r="C4580" s="1" t="n">
        <v>6</v>
      </c>
      <c r="D4580" s="1" t="s">
        <v>2289</v>
      </c>
      <c r="E4580" s="1" t="n">
        <v>42</v>
      </c>
      <c r="F4580" s="1" t="s">
        <v>80</v>
      </c>
      <c r="I4580" s="1" t="n">
        <v>4383</v>
      </c>
      <c r="J4580" s="1" t="n">
        <v>100148</v>
      </c>
      <c r="K4580" s="1" t="n">
        <v>149</v>
      </c>
      <c r="L4580" s="1" t="s">
        <v>2676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5" t="n">
        <v>46217</v>
      </c>
      <c r="C4581" s="1" t="n">
        <v>6</v>
      </c>
      <c r="D4581" s="1" t="s">
        <v>2289</v>
      </c>
      <c r="E4581" s="1" t="n">
        <v>42</v>
      </c>
      <c r="F4581" s="1" t="s">
        <v>80</v>
      </c>
      <c r="I4581" s="1" t="n">
        <v>4383</v>
      </c>
      <c r="J4581" s="1" t="n">
        <v>110142</v>
      </c>
      <c r="K4581" s="1" t="n">
        <v>16699</v>
      </c>
      <c r="L4581" s="1" t="s">
        <v>2334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5" t="n">
        <v>46217</v>
      </c>
      <c r="C4582" s="1" t="n">
        <v>171</v>
      </c>
      <c r="D4582" s="1" t="s">
        <v>2517</v>
      </c>
      <c r="E4582" s="1" t="n">
        <v>1636</v>
      </c>
      <c r="F4582" s="1" t="s">
        <v>49</v>
      </c>
      <c r="I4582" s="1" t="n">
        <v>3213547</v>
      </c>
      <c r="J4582" s="1" t="n">
        <v>30291</v>
      </c>
      <c r="K4582" s="1" t="n">
        <v>7891150059887</v>
      </c>
      <c r="L4582" s="1" t="s">
        <v>4069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5" t="n">
        <v>46217</v>
      </c>
      <c r="C4583" s="1" t="n">
        <v>171</v>
      </c>
      <c r="D4583" s="1" t="s">
        <v>2517</v>
      </c>
      <c r="E4583" s="1" t="n">
        <v>1636</v>
      </c>
      <c r="F4583" s="1" t="s">
        <v>49</v>
      </c>
      <c r="I4583" s="1" t="n">
        <v>3213547</v>
      </c>
      <c r="J4583" s="1" t="n">
        <v>76591</v>
      </c>
      <c r="K4583" s="1" t="n">
        <v>7891150101616</v>
      </c>
      <c r="L4583" s="1" t="s">
        <v>4070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5" t="n">
        <v>46218</v>
      </c>
      <c r="C4584" s="1" t="n">
        <v>6</v>
      </c>
      <c r="D4584" s="1" t="s">
        <v>2289</v>
      </c>
      <c r="E4584" s="1" t="n">
        <v>42</v>
      </c>
      <c r="F4584" s="1" t="s">
        <v>80</v>
      </c>
      <c r="I4584" s="1" t="n">
        <v>4384</v>
      </c>
      <c r="J4584" s="1" t="n">
        <v>37361</v>
      </c>
      <c r="K4584" s="1" t="n">
        <v>2240817</v>
      </c>
      <c r="L4584" s="1" t="s">
        <v>2286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5" t="n">
        <v>46218</v>
      </c>
      <c r="C4585" s="1" t="n">
        <v>6</v>
      </c>
      <c r="D4585" s="1" t="s">
        <v>2289</v>
      </c>
      <c r="E4585" s="1" t="n">
        <v>42</v>
      </c>
      <c r="F4585" s="1" t="s">
        <v>80</v>
      </c>
      <c r="I4585" s="1" t="n">
        <v>4385</v>
      </c>
      <c r="J4585" s="1" t="n">
        <v>100103</v>
      </c>
      <c r="K4585" s="1" t="n">
        <v>104</v>
      </c>
      <c r="L4585" s="1" t="s">
        <v>2287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5" t="n">
        <v>46218</v>
      </c>
      <c r="C4586" s="1" t="n">
        <v>11</v>
      </c>
      <c r="D4586" s="1" t="s">
        <v>2290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2737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5" t="n">
        <v>46218</v>
      </c>
      <c r="C4587" s="1" t="n">
        <v>11</v>
      </c>
      <c r="D4587" s="1" t="s">
        <v>2290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2738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5" t="n">
        <v>46218</v>
      </c>
      <c r="C4588" s="1" t="n">
        <v>11</v>
      </c>
      <c r="D4588" s="1" t="s">
        <v>2290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2740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5" t="n">
        <v>46218</v>
      </c>
      <c r="C4589" s="1" t="n">
        <v>11</v>
      </c>
      <c r="D4589" s="1" t="s">
        <v>2290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3597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5" t="n">
        <v>46218</v>
      </c>
      <c r="C4590" s="1" t="n">
        <v>11</v>
      </c>
      <c r="D4590" s="1" t="s">
        <v>2290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3599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5" t="n">
        <v>46218</v>
      </c>
      <c r="C4591" s="1" t="n">
        <v>11</v>
      </c>
      <c r="D4591" s="1" t="s">
        <v>2290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3600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5" t="n">
        <v>46218</v>
      </c>
      <c r="C4592" s="1" t="n">
        <v>11</v>
      </c>
      <c r="D4592" s="1" t="s">
        <v>2290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2481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5" t="n">
        <v>46218</v>
      </c>
      <c r="C4593" s="1" t="n">
        <v>11</v>
      </c>
      <c r="D4593" s="1" t="s">
        <v>2290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2741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5" t="n">
        <v>46218</v>
      </c>
      <c r="C4594" s="1" t="n">
        <v>11</v>
      </c>
      <c r="D4594" s="1" t="s">
        <v>2290</v>
      </c>
      <c r="E4594" s="1" t="n">
        <v>1378</v>
      </c>
      <c r="F4594" s="1" t="s">
        <v>120</v>
      </c>
      <c r="I4594" s="1" t="n">
        <v>18208</v>
      </c>
      <c r="J4594" s="1" t="n">
        <v>74061</v>
      </c>
      <c r="K4594" s="1" t="n">
        <v>42882264255</v>
      </c>
      <c r="L4594" s="1" t="s">
        <v>2340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5" t="n">
        <v>46218</v>
      </c>
      <c r="C4595" s="1" t="n">
        <v>11</v>
      </c>
      <c r="D4595" s="1" t="s">
        <v>2290</v>
      </c>
      <c r="E4595" s="1" t="n">
        <v>1378</v>
      </c>
      <c r="F4595" s="1" t="s">
        <v>120</v>
      </c>
      <c r="I4595" s="1" t="n">
        <v>18208</v>
      </c>
      <c r="J4595" s="1" t="n">
        <v>74063</v>
      </c>
      <c r="K4595" s="1" t="n">
        <v>42882264262</v>
      </c>
      <c r="L4595" s="1" t="s">
        <v>2341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5" t="n">
        <v>46218</v>
      </c>
      <c r="C4596" s="1" t="n">
        <v>11</v>
      </c>
      <c r="D4596" s="1" t="s">
        <v>2290</v>
      </c>
      <c r="E4596" s="1" t="n">
        <v>1378</v>
      </c>
      <c r="F4596" s="1" t="s">
        <v>120</v>
      </c>
      <c r="I4596" s="1" t="n">
        <v>18208</v>
      </c>
      <c r="J4596" s="1" t="n">
        <v>74064</v>
      </c>
      <c r="K4596" s="1" t="n">
        <v>42882264279</v>
      </c>
      <c r="L4596" s="1" t="s">
        <v>2342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5" t="n">
        <v>46218</v>
      </c>
      <c r="C4597" s="1" t="n">
        <v>11</v>
      </c>
      <c r="D4597" s="1" t="s">
        <v>2290</v>
      </c>
      <c r="E4597" s="1" t="n">
        <v>1378</v>
      </c>
      <c r="F4597" s="1" t="s">
        <v>120</v>
      </c>
      <c r="I4597" s="1" t="n">
        <v>18208</v>
      </c>
      <c r="J4597" s="1" t="n">
        <v>77994</v>
      </c>
      <c r="K4597" s="1" t="n">
        <v>780117</v>
      </c>
      <c r="L4597" s="1" t="s">
        <v>2344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5" t="n">
        <v>46218</v>
      </c>
      <c r="C4598" s="1" t="n">
        <v>11</v>
      </c>
      <c r="D4598" s="1" t="s">
        <v>2290</v>
      </c>
      <c r="E4598" s="1" t="n">
        <v>1740</v>
      </c>
      <c r="F4598" s="1" t="s">
        <v>170</v>
      </c>
      <c r="I4598" s="1" t="n">
        <v>1247916</v>
      </c>
      <c r="J4598" s="1" t="n">
        <v>106130</v>
      </c>
      <c r="K4598" s="1" t="n">
        <v>7891000340004</v>
      </c>
      <c r="L4598" s="1" t="s">
        <v>2484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5" t="n">
        <v>46218</v>
      </c>
      <c r="C4599" s="1" t="n">
        <v>11</v>
      </c>
      <c r="D4599" s="1" t="s">
        <v>2290</v>
      </c>
      <c r="E4599" s="1" t="n">
        <v>1740</v>
      </c>
      <c r="F4599" s="1" t="s">
        <v>170</v>
      </c>
      <c r="I4599" s="1" t="n">
        <v>1247916</v>
      </c>
      <c r="J4599" s="1" t="n">
        <v>16602</v>
      </c>
      <c r="K4599" s="1" t="n">
        <v>7891000084649</v>
      </c>
      <c r="L4599" s="1" t="s">
        <v>3088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5" t="n">
        <v>46218</v>
      </c>
      <c r="C4600" s="1" t="n">
        <v>11</v>
      </c>
      <c r="D4600" s="1" t="s">
        <v>2290</v>
      </c>
      <c r="E4600" s="1" t="n">
        <v>1740</v>
      </c>
      <c r="F4600" s="1" t="s">
        <v>170</v>
      </c>
      <c r="I4600" s="1" t="n">
        <v>1247916</v>
      </c>
      <c r="J4600" s="1" t="n">
        <v>16644</v>
      </c>
      <c r="K4600" s="1" t="n">
        <v>7891000084663</v>
      </c>
      <c r="L4600" s="1" t="s">
        <v>2518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5" t="n">
        <v>46218</v>
      </c>
      <c r="C4601" s="1" t="n">
        <v>11</v>
      </c>
      <c r="D4601" s="1" t="s">
        <v>2290</v>
      </c>
      <c r="E4601" s="1" t="n">
        <v>1740</v>
      </c>
      <c r="F4601" s="1" t="s">
        <v>170</v>
      </c>
      <c r="I4601" s="1" t="n">
        <v>1247916</v>
      </c>
      <c r="J4601" s="1" t="n">
        <v>20021</v>
      </c>
      <c r="K4601" s="1" t="n">
        <v>7891000103937</v>
      </c>
      <c r="L4601" s="1" t="s">
        <v>2486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5" t="n">
        <v>46218</v>
      </c>
      <c r="C4602" s="1" t="n">
        <v>11</v>
      </c>
      <c r="D4602" s="1" t="s">
        <v>2290</v>
      </c>
      <c r="E4602" s="1" t="n">
        <v>1740</v>
      </c>
      <c r="F4602" s="1" t="s">
        <v>170</v>
      </c>
      <c r="I4602" s="1" t="n">
        <v>1247916</v>
      </c>
      <c r="J4602" s="1" t="n">
        <v>20583</v>
      </c>
      <c r="K4602" s="1" t="n">
        <v>7891000103852</v>
      </c>
      <c r="L4602" s="1" t="s">
        <v>3193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5" t="n">
        <v>46218</v>
      </c>
      <c r="C4603" s="1" t="n">
        <v>11</v>
      </c>
      <c r="D4603" s="1" t="s">
        <v>2290</v>
      </c>
      <c r="E4603" s="1" t="n">
        <v>1740</v>
      </c>
      <c r="F4603" s="1" t="s">
        <v>170</v>
      </c>
      <c r="I4603" s="1" t="n">
        <v>1247916</v>
      </c>
      <c r="J4603" s="1" t="n">
        <v>20584</v>
      </c>
      <c r="K4603" s="1" t="n">
        <v>7891000103876</v>
      </c>
      <c r="L4603" s="1" t="s">
        <v>3089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5" t="n">
        <v>46218</v>
      </c>
      <c r="C4604" s="1" t="n">
        <v>11</v>
      </c>
      <c r="D4604" s="1" t="s">
        <v>2290</v>
      </c>
      <c r="E4604" s="1" t="n">
        <v>1740</v>
      </c>
      <c r="F4604" s="1" t="s">
        <v>170</v>
      </c>
      <c r="I4604" s="1" t="n">
        <v>1247916</v>
      </c>
      <c r="J4604" s="1" t="n">
        <v>25112</v>
      </c>
      <c r="K4604" s="1" t="n">
        <v>7891000244425</v>
      </c>
      <c r="L4604" s="1" t="s">
        <v>2487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5" t="n">
        <v>46218</v>
      </c>
      <c r="C4605" s="1" t="n">
        <v>11</v>
      </c>
      <c r="D4605" s="1" t="s">
        <v>2290</v>
      </c>
      <c r="E4605" s="1" t="n">
        <v>1740</v>
      </c>
      <c r="F4605" s="1" t="s">
        <v>170</v>
      </c>
      <c r="I4605" s="1" t="n">
        <v>1247916</v>
      </c>
      <c r="J4605" s="1" t="n">
        <v>25413</v>
      </c>
      <c r="K4605" s="1" t="n">
        <v>7891000241417</v>
      </c>
      <c r="L4605" s="1" t="s">
        <v>2488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5" t="n">
        <v>46218</v>
      </c>
      <c r="C4606" s="1" t="n">
        <v>11</v>
      </c>
      <c r="D4606" s="1" t="s">
        <v>2290</v>
      </c>
      <c r="E4606" s="1" t="n">
        <v>1740</v>
      </c>
      <c r="F4606" s="1" t="s">
        <v>170</v>
      </c>
      <c r="I4606" s="1" t="n">
        <v>1247916</v>
      </c>
      <c r="J4606" s="1" t="n">
        <v>27878</v>
      </c>
      <c r="K4606" s="1" t="n">
        <v>7891000261026</v>
      </c>
      <c r="L4606" s="1" t="s">
        <v>2489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5" t="n">
        <v>46218</v>
      </c>
      <c r="C4607" s="1" t="n">
        <v>11</v>
      </c>
      <c r="D4607" s="1" t="s">
        <v>2290</v>
      </c>
      <c r="E4607" s="1" t="n">
        <v>1740</v>
      </c>
      <c r="F4607" s="1" t="s">
        <v>170</v>
      </c>
      <c r="I4607" s="1" t="n">
        <v>1247916</v>
      </c>
      <c r="J4607" s="1" t="n">
        <v>28388</v>
      </c>
      <c r="K4607" s="1" t="n">
        <v>7891000260166</v>
      </c>
      <c r="L4607" s="1" t="s">
        <v>3091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5" t="n">
        <v>46218</v>
      </c>
      <c r="C4608" s="1" t="n">
        <v>11</v>
      </c>
      <c r="D4608" s="1" t="s">
        <v>2290</v>
      </c>
      <c r="E4608" s="1" t="n">
        <v>1740</v>
      </c>
      <c r="F4608" s="1" t="s">
        <v>170</v>
      </c>
      <c r="I4608" s="1" t="n">
        <v>1247916</v>
      </c>
      <c r="J4608" s="1" t="n">
        <v>28389</v>
      </c>
      <c r="K4608" s="1" t="n">
        <v>7891000261460</v>
      </c>
      <c r="L4608" s="1" t="s">
        <v>3092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5" t="n">
        <v>46218</v>
      </c>
      <c r="C4609" s="1" t="n">
        <v>11</v>
      </c>
      <c r="D4609" s="1" t="s">
        <v>2290</v>
      </c>
      <c r="E4609" s="1" t="n">
        <v>1740</v>
      </c>
      <c r="F4609" s="1" t="s">
        <v>170</v>
      </c>
      <c r="I4609" s="1" t="n">
        <v>1247916</v>
      </c>
      <c r="J4609" s="1" t="n">
        <v>38519</v>
      </c>
      <c r="K4609" s="1" t="n">
        <v>7891000261002</v>
      </c>
      <c r="L4609" s="1" t="s">
        <v>2490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5" t="n">
        <v>46218</v>
      </c>
      <c r="C4610" s="1" t="n">
        <v>11</v>
      </c>
      <c r="D4610" s="1" t="s">
        <v>2290</v>
      </c>
      <c r="E4610" s="1" t="n">
        <v>1740</v>
      </c>
      <c r="F4610" s="1" t="s">
        <v>170</v>
      </c>
      <c r="I4610" s="1" t="n">
        <v>1247916</v>
      </c>
      <c r="J4610" s="1" t="n">
        <v>47789</v>
      </c>
      <c r="K4610" s="1" t="n">
        <v>7891000362037</v>
      </c>
      <c r="L4610" s="1" t="s">
        <v>2491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5" t="n">
        <v>46218</v>
      </c>
      <c r="C4611" s="1" t="n">
        <v>11</v>
      </c>
      <c r="D4611" s="1" t="s">
        <v>2290</v>
      </c>
      <c r="E4611" s="1" t="n">
        <v>1740</v>
      </c>
      <c r="F4611" s="1" t="s">
        <v>170</v>
      </c>
      <c r="I4611" s="1" t="n">
        <v>1247916</v>
      </c>
      <c r="J4611" s="1" t="n">
        <v>50424</v>
      </c>
      <c r="K4611" s="1" t="n">
        <v>7898953148169</v>
      </c>
      <c r="L4611" s="1" t="s">
        <v>2492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5" t="n">
        <v>46218</v>
      </c>
      <c r="C4612" s="1" t="n">
        <v>11</v>
      </c>
      <c r="D4612" s="1" t="s">
        <v>2290</v>
      </c>
      <c r="E4612" s="1" t="n">
        <v>1740</v>
      </c>
      <c r="F4612" s="1" t="s">
        <v>170</v>
      </c>
      <c r="I4612" s="1" t="n">
        <v>1247916</v>
      </c>
      <c r="J4612" s="1" t="n">
        <v>64099</v>
      </c>
      <c r="K4612" s="1" t="n">
        <v>7898953148619</v>
      </c>
      <c r="L4612" s="1" t="s">
        <v>3837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5" t="n">
        <v>46218</v>
      </c>
      <c r="C4613" s="1" t="n">
        <v>11</v>
      </c>
      <c r="D4613" s="1" t="s">
        <v>2290</v>
      </c>
      <c r="E4613" s="1" t="n">
        <v>1740</v>
      </c>
      <c r="F4613" s="1" t="s">
        <v>170</v>
      </c>
      <c r="I4613" s="1" t="n">
        <v>1247916</v>
      </c>
      <c r="J4613" s="1" t="n">
        <v>64795</v>
      </c>
      <c r="K4613" s="1" t="n">
        <v>7891097105739</v>
      </c>
      <c r="L4613" s="1" t="s">
        <v>4071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5" t="n">
        <v>46218</v>
      </c>
      <c r="C4614" s="1" t="n">
        <v>11</v>
      </c>
      <c r="D4614" s="1" t="s">
        <v>2290</v>
      </c>
      <c r="E4614" s="1" t="n">
        <v>1740</v>
      </c>
      <c r="F4614" s="1" t="s">
        <v>170</v>
      </c>
      <c r="I4614" s="1" t="n">
        <v>1247916</v>
      </c>
      <c r="J4614" s="1" t="n">
        <v>69214</v>
      </c>
      <c r="K4614" s="1" t="n">
        <v>7898755200041</v>
      </c>
      <c r="L4614" s="1" t="s">
        <v>3095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5" t="n">
        <v>46218</v>
      </c>
      <c r="C4615" s="1" t="n">
        <v>11</v>
      </c>
      <c r="D4615" s="1" t="s">
        <v>2290</v>
      </c>
      <c r="E4615" s="1" t="n">
        <v>1740</v>
      </c>
      <c r="F4615" s="1" t="s">
        <v>170</v>
      </c>
      <c r="I4615" s="1" t="n">
        <v>1247916</v>
      </c>
      <c r="J4615" s="1" t="n">
        <v>70021</v>
      </c>
      <c r="K4615" s="1" t="n">
        <v>7898755200065</v>
      </c>
      <c r="L4615" s="1" t="s">
        <v>3096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5" t="n">
        <v>46218</v>
      </c>
      <c r="C4616" s="1" t="n">
        <v>11</v>
      </c>
      <c r="D4616" s="1" t="s">
        <v>2290</v>
      </c>
      <c r="E4616" s="1" t="n">
        <v>1740</v>
      </c>
      <c r="F4616" s="1" t="s">
        <v>170</v>
      </c>
      <c r="I4616" s="1" t="n">
        <v>1247916</v>
      </c>
      <c r="J4616" s="1" t="n">
        <v>70023</v>
      </c>
      <c r="K4616" s="1" t="n">
        <v>7898953148275</v>
      </c>
      <c r="L4616" s="1" t="s">
        <v>3838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5" t="n">
        <v>46218</v>
      </c>
      <c r="C4617" s="1" t="n">
        <v>11</v>
      </c>
      <c r="D4617" s="1" t="s">
        <v>2290</v>
      </c>
      <c r="E4617" s="1" t="n">
        <v>1740</v>
      </c>
      <c r="F4617" s="1" t="s">
        <v>170</v>
      </c>
      <c r="I4617" s="1" t="n">
        <v>1247917</v>
      </c>
      <c r="J4617" s="1" t="n">
        <v>103803</v>
      </c>
      <c r="K4617" s="1" t="n">
        <v>7891164018399</v>
      </c>
      <c r="L4617" s="1" t="s">
        <v>4072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5" t="n">
        <v>46218</v>
      </c>
      <c r="C4618" s="1" t="n">
        <v>11</v>
      </c>
      <c r="D4618" s="1" t="s">
        <v>2290</v>
      </c>
      <c r="E4618" s="1" t="n">
        <v>1740</v>
      </c>
      <c r="F4618" s="1" t="s">
        <v>170</v>
      </c>
      <c r="I4618" s="1" t="n">
        <v>1247917</v>
      </c>
      <c r="J4618" s="1" t="n">
        <v>15459</v>
      </c>
      <c r="K4618" s="1" t="n">
        <v>7891164018214</v>
      </c>
      <c r="L4618" s="1" t="s">
        <v>4073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5" t="n">
        <v>46218</v>
      </c>
      <c r="C4619" s="1" t="n">
        <v>11</v>
      </c>
      <c r="D4619" s="1" t="s">
        <v>2290</v>
      </c>
      <c r="E4619" s="1" t="n">
        <v>1740</v>
      </c>
      <c r="F4619" s="1" t="s">
        <v>170</v>
      </c>
      <c r="I4619" s="1" t="n">
        <v>1247917</v>
      </c>
      <c r="J4619" s="1" t="n">
        <v>55039</v>
      </c>
      <c r="K4619" s="1" t="n">
        <v>7891164027117</v>
      </c>
      <c r="L4619" s="1" t="s">
        <v>2996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5" t="n">
        <v>46218</v>
      </c>
      <c r="C4620" s="1" t="n">
        <v>11</v>
      </c>
      <c r="D4620" s="1" t="s">
        <v>2290</v>
      </c>
      <c r="E4620" s="1" t="n">
        <v>1740</v>
      </c>
      <c r="F4620" s="1" t="s">
        <v>170</v>
      </c>
      <c r="I4620" s="1" t="n">
        <v>1247917</v>
      </c>
      <c r="J4620" s="1" t="n">
        <v>110530</v>
      </c>
      <c r="K4620" s="1" t="n">
        <v>57638</v>
      </c>
      <c r="L4620" s="1" t="s">
        <v>2433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5" t="n">
        <v>46218</v>
      </c>
      <c r="C4621" s="1" t="n">
        <v>11</v>
      </c>
      <c r="D4621" s="1" t="s">
        <v>2290</v>
      </c>
      <c r="E4621" s="1" t="n">
        <v>1740</v>
      </c>
      <c r="F4621" s="1" t="s">
        <v>170</v>
      </c>
      <c r="I4621" s="1" t="n">
        <v>1247917</v>
      </c>
      <c r="J4621" s="1" t="n">
        <v>63511</v>
      </c>
      <c r="K4621" s="1" t="n">
        <v>7891164027124</v>
      </c>
      <c r="L4621" s="1" t="s">
        <v>4074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5" t="n">
        <v>46218</v>
      </c>
      <c r="C4622" s="1" t="n">
        <v>11</v>
      </c>
      <c r="D4622" s="1" t="s">
        <v>2290</v>
      </c>
      <c r="E4622" s="1" t="n">
        <v>1740</v>
      </c>
      <c r="F4622" s="1" t="s">
        <v>170</v>
      </c>
      <c r="I4622" s="1" t="n">
        <v>1247917</v>
      </c>
      <c r="J4622" s="1" t="n">
        <v>65295</v>
      </c>
      <c r="K4622" s="1" t="n">
        <v>7891164110635</v>
      </c>
      <c r="L4622" s="1" t="s">
        <v>3000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5" t="n">
        <v>46218</v>
      </c>
      <c r="C4623" s="1" t="n">
        <v>11</v>
      </c>
      <c r="D4623" s="1" t="s">
        <v>2290</v>
      </c>
      <c r="E4623" s="1" t="n">
        <v>1740</v>
      </c>
      <c r="F4623" s="1" t="s">
        <v>170</v>
      </c>
      <c r="I4623" s="1" t="n">
        <v>1247917</v>
      </c>
      <c r="J4623" s="1" t="n">
        <v>67267</v>
      </c>
      <c r="K4623" s="1" t="n">
        <v>7891164110642</v>
      </c>
      <c r="L4623" s="1" t="s">
        <v>4075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5" t="n">
        <v>46218</v>
      </c>
      <c r="C4624" s="1" t="n">
        <v>11</v>
      </c>
      <c r="D4624" s="1" t="s">
        <v>2290</v>
      </c>
      <c r="E4624" s="1" t="n">
        <v>1740</v>
      </c>
      <c r="F4624" s="1" t="s">
        <v>170</v>
      </c>
      <c r="I4624" s="1" t="n">
        <v>1247917</v>
      </c>
      <c r="J4624" s="1" t="n">
        <v>79194</v>
      </c>
      <c r="K4624" s="1" t="n">
        <v>7891164006846</v>
      </c>
      <c r="L4624" s="1" t="s">
        <v>4076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5" t="n">
        <v>46218</v>
      </c>
      <c r="C4625" s="1" t="n">
        <v>11</v>
      </c>
      <c r="D4625" s="1" t="s">
        <v>2290</v>
      </c>
      <c r="E4625" s="1" t="n">
        <v>10009</v>
      </c>
      <c r="F4625" s="1" t="s">
        <v>373</v>
      </c>
      <c r="I4625" s="1" t="n">
        <v>1426526</v>
      </c>
      <c r="J4625" s="1" t="n">
        <v>102412</v>
      </c>
      <c r="K4625" s="1" t="n">
        <v>78912359</v>
      </c>
      <c r="L4625" s="1" t="s">
        <v>3114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5" t="n">
        <v>46218</v>
      </c>
      <c r="C4626" s="1" t="n">
        <v>11</v>
      </c>
      <c r="D4626" s="1" t="s">
        <v>2290</v>
      </c>
      <c r="E4626" s="1" t="n">
        <v>10009</v>
      </c>
      <c r="F4626" s="1" t="s">
        <v>373</v>
      </c>
      <c r="I4626" s="1" t="n">
        <v>1426526</v>
      </c>
      <c r="J4626" s="1" t="n">
        <v>103586</v>
      </c>
      <c r="K4626" s="1" t="n">
        <v>78907461</v>
      </c>
      <c r="L4626" s="1" t="s">
        <v>4077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5" t="n">
        <v>46218</v>
      </c>
      <c r="C4627" s="1" t="n">
        <v>11</v>
      </c>
      <c r="D4627" s="1" t="s">
        <v>2290</v>
      </c>
      <c r="E4627" s="1" t="n">
        <v>10009</v>
      </c>
      <c r="F4627" s="1" t="s">
        <v>373</v>
      </c>
      <c r="I4627" s="1" t="n">
        <v>1426526</v>
      </c>
      <c r="J4627" s="1" t="n">
        <v>103587</v>
      </c>
      <c r="K4627" s="1" t="n">
        <v>78907492</v>
      </c>
      <c r="L4627" s="1" t="s">
        <v>4078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5" t="n">
        <v>46218</v>
      </c>
      <c r="C4628" s="1" t="n">
        <v>11</v>
      </c>
      <c r="D4628" s="1" t="s">
        <v>2290</v>
      </c>
      <c r="E4628" s="1" t="n">
        <v>10009</v>
      </c>
      <c r="F4628" s="1" t="s">
        <v>373</v>
      </c>
      <c r="I4628" s="1" t="n">
        <v>1426526</v>
      </c>
      <c r="J4628" s="1" t="n">
        <v>104691</v>
      </c>
      <c r="K4628" s="1" t="n">
        <v>78907478</v>
      </c>
      <c r="L4628" s="1" t="s">
        <v>4079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5" t="n">
        <v>46218</v>
      </c>
      <c r="C4629" s="1" t="n">
        <v>11</v>
      </c>
      <c r="D4629" s="1" t="s">
        <v>2290</v>
      </c>
      <c r="E4629" s="1" t="n">
        <v>10009</v>
      </c>
      <c r="F4629" s="1" t="s">
        <v>373</v>
      </c>
      <c r="I4629" s="1" t="n">
        <v>1426526</v>
      </c>
      <c r="J4629" s="1" t="n">
        <v>18833</v>
      </c>
      <c r="K4629" s="1" t="n">
        <v>7891000098950</v>
      </c>
      <c r="L4629" s="1" t="s">
        <v>3501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5" t="n">
        <v>46218</v>
      </c>
      <c r="C4630" s="1" t="n">
        <v>11</v>
      </c>
      <c r="D4630" s="1" t="s">
        <v>2290</v>
      </c>
      <c r="E4630" s="1" t="n">
        <v>10009</v>
      </c>
      <c r="F4630" s="1" t="s">
        <v>373</v>
      </c>
      <c r="I4630" s="1" t="n">
        <v>1426526</v>
      </c>
      <c r="J4630" s="1" t="n">
        <v>24768</v>
      </c>
      <c r="K4630" s="1" t="n">
        <v>78912366</v>
      </c>
      <c r="L4630" s="1" t="s">
        <v>4080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5" t="n">
        <v>46218</v>
      </c>
      <c r="C4631" s="1" t="n">
        <v>11</v>
      </c>
      <c r="D4631" s="1" t="s">
        <v>2290</v>
      </c>
      <c r="E4631" s="1" t="n">
        <v>10009</v>
      </c>
      <c r="F4631" s="1" t="s">
        <v>373</v>
      </c>
      <c r="I4631" s="1" t="n">
        <v>1426526</v>
      </c>
      <c r="J4631" s="1" t="n">
        <v>24776</v>
      </c>
      <c r="K4631" s="1" t="n">
        <v>78930230</v>
      </c>
      <c r="L4631" s="1" t="s">
        <v>4081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5" t="n">
        <v>46218</v>
      </c>
      <c r="C4632" s="1" t="n">
        <v>11</v>
      </c>
      <c r="D4632" s="1" t="s">
        <v>2290</v>
      </c>
      <c r="E4632" s="1" t="n">
        <v>10009</v>
      </c>
      <c r="F4632" s="1" t="s">
        <v>373</v>
      </c>
      <c r="I4632" s="1" t="n">
        <v>1426526</v>
      </c>
      <c r="J4632" s="1" t="n">
        <v>38797</v>
      </c>
      <c r="K4632" s="1" t="n">
        <v>78930193</v>
      </c>
      <c r="L4632" s="1" t="s">
        <v>4082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5" t="n">
        <v>46218</v>
      </c>
      <c r="C4633" s="1" t="n">
        <v>11</v>
      </c>
      <c r="D4633" s="1" t="s">
        <v>2290</v>
      </c>
      <c r="E4633" s="1" t="n">
        <v>10009</v>
      </c>
      <c r="F4633" s="1" t="s">
        <v>373</v>
      </c>
      <c r="I4633" s="1" t="n">
        <v>1426526</v>
      </c>
      <c r="J4633" s="1" t="n">
        <v>47560</v>
      </c>
      <c r="K4633" s="1" t="n">
        <v>7891000319505</v>
      </c>
      <c r="L4633" s="1" t="s">
        <v>2625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5" t="n">
        <v>46218</v>
      </c>
      <c r="C4634" s="1" t="n">
        <v>11</v>
      </c>
      <c r="D4634" s="1" t="s">
        <v>2290</v>
      </c>
      <c r="E4634" s="1" t="n">
        <v>10009</v>
      </c>
      <c r="F4634" s="1" t="s">
        <v>373</v>
      </c>
      <c r="I4634" s="1" t="n">
        <v>1426526</v>
      </c>
      <c r="J4634" s="1" t="n">
        <v>47563</v>
      </c>
      <c r="K4634" s="1" t="n">
        <v>7891000319543</v>
      </c>
      <c r="L4634" s="1" t="s">
        <v>2626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5" t="n">
        <v>46218</v>
      </c>
      <c r="C4635" s="1" t="n">
        <v>11</v>
      </c>
      <c r="D4635" s="1" t="s">
        <v>2290</v>
      </c>
      <c r="E4635" s="1" t="n">
        <v>10009</v>
      </c>
      <c r="F4635" s="1" t="s">
        <v>373</v>
      </c>
      <c r="I4635" s="1" t="n">
        <v>1426526</v>
      </c>
      <c r="J4635" s="1" t="n">
        <v>47564</v>
      </c>
      <c r="K4635" s="1" t="n">
        <v>7891000319628</v>
      </c>
      <c r="L4635" s="1" t="s">
        <v>2620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5" t="n">
        <v>46218</v>
      </c>
      <c r="C4636" s="1" t="n">
        <v>11</v>
      </c>
      <c r="D4636" s="1" t="s">
        <v>2290</v>
      </c>
      <c r="E4636" s="1" t="n">
        <v>10009</v>
      </c>
      <c r="F4636" s="1" t="s">
        <v>373</v>
      </c>
      <c r="I4636" s="1" t="n">
        <v>1426592</v>
      </c>
      <c r="J4636" s="1" t="n">
        <v>40074</v>
      </c>
      <c r="K4636" s="1" t="n">
        <v>7891008121773</v>
      </c>
      <c r="L4636" s="1" t="s">
        <v>4083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5" t="n">
        <v>46218</v>
      </c>
      <c r="C4637" s="1" t="n">
        <v>11</v>
      </c>
      <c r="D4637" s="1" t="s">
        <v>2290</v>
      </c>
      <c r="E4637" s="1" t="n">
        <v>10009</v>
      </c>
      <c r="F4637" s="1" t="s">
        <v>373</v>
      </c>
      <c r="I4637" s="1" t="n">
        <v>1426592</v>
      </c>
      <c r="J4637" s="1" t="n">
        <v>40081</v>
      </c>
      <c r="K4637" s="1" t="n">
        <v>7891008121728</v>
      </c>
      <c r="L4637" s="1" t="s">
        <v>4084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5" t="n">
        <v>46218</v>
      </c>
      <c r="C4638" s="1" t="n">
        <v>11</v>
      </c>
      <c r="D4638" s="1" t="s">
        <v>2290</v>
      </c>
      <c r="E4638" s="1" t="n">
        <v>10009</v>
      </c>
      <c r="F4638" s="1" t="s">
        <v>373</v>
      </c>
      <c r="I4638" s="1" t="n">
        <v>1426592</v>
      </c>
      <c r="J4638" s="1" t="n">
        <v>40217</v>
      </c>
      <c r="K4638" s="1" t="n">
        <v>7891008121827</v>
      </c>
      <c r="L4638" s="1" t="s">
        <v>4085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5" t="n">
        <v>46218</v>
      </c>
      <c r="C4639" s="1" t="n">
        <v>11</v>
      </c>
      <c r="D4639" s="1" t="s">
        <v>2290</v>
      </c>
      <c r="E4639" s="1" t="n">
        <v>10009</v>
      </c>
      <c r="F4639" s="1" t="s">
        <v>373</v>
      </c>
      <c r="I4639" s="1" t="n">
        <v>1426592</v>
      </c>
      <c r="J4639" s="1" t="n">
        <v>50552</v>
      </c>
      <c r="K4639" s="1" t="n">
        <v>7891000369340</v>
      </c>
      <c r="L4639" s="1" t="s">
        <v>3502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5" t="n">
        <v>46218</v>
      </c>
      <c r="C4640" s="1" t="n">
        <v>11</v>
      </c>
      <c r="D4640" s="1" t="s">
        <v>2290</v>
      </c>
      <c r="E4640" s="1" t="n">
        <v>10009</v>
      </c>
      <c r="F4640" s="1" t="s">
        <v>373</v>
      </c>
      <c r="I4640" s="1" t="n">
        <v>1426592</v>
      </c>
      <c r="J4640" s="1" t="n">
        <v>51145</v>
      </c>
      <c r="K4640" s="1" t="n">
        <v>7891008124828</v>
      </c>
      <c r="L4640" s="1" t="s">
        <v>4086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5" t="n">
        <v>46218</v>
      </c>
      <c r="C4641" s="1" t="n">
        <v>11</v>
      </c>
      <c r="D4641" s="1" t="s">
        <v>2290</v>
      </c>
      <c r="E4641" s="1" t="n">
        <v>10009</v>
      </c>
      <c r="F4641" s="1" t="s">
        <v>373</v>
      </c>
      <c r="I4641" s="1" t="n">
        <v>1426592</v>
      </c>
      <c r="J4641" s="1" t="n">
        <v>51146</v>
      </c>
      <c r="K4641" s="1" t="n">
        <v>7891008123975</v>
      </c>
      <c r="L4641" s="1" t="s">
        <v>4087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5" t="n">
        <v>46218</v>
      </c>
      <c r="C4642" s="1" t="n">
        <v>11</v>
      </c>
      <c r="D4642" s="1" t="s">
        <v>2290</v>
      </c>
      <c r="E4642" s="1" t="n">
        <v>10009</v>
      </c>
      <c r="F4642" s="1" t="s">
        <v>373</v>
      </c>
      <c r="I4642" s="1" t="n">
        <v>1426592</v>
      </c>
      <c r="J4642" s="1" t="n">
        <v>51705</v>
      </c>
      <c r="K4642" s="1" t="n">
        <v>7891008124026</v>
      </c>
      <c r="L4642" s="1" t="s">
        <v>4088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5" t="n">
        <v>46218</v>
      </c>
      <c r="C4643" s="1" t="n">
        <v>11</v>
      </c>
      <c r="D4643" s="1" t="s">
        <v>2290</v>
      </c>
      <c r="E4643" s="1" t="n">
        <v>10009</v>
      </c>
      <c r="F4643" s="1" t="s">
        <v>373</v>
      </c>
      <c r="I4643" s="1" t="n">
        <v>1426592</v>
      </c>
      <c r="J4643" s="1" t="n">
        <v>53486</v>
      </c>
      <c r="K4643" s="1" t="n">
        <v>7891008125214</v>
      </c>
      <c r="L4643" s="1" t="s">
        <v>4089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5" t="n">
        <v>46218</v>
      </c>
      <c r="C4644" s="1" t="n">
        <v>11</v>
      </c>
      <c r="D4644" s="1" t="s">
        <v>2290</v>
      </c>
      <c r="E4644" s="1" t="n">
        <v>10009</v>
      </c>
      <c r="F4644" s="1" t="s">
        <v>373</v>
      </c>
      <c r="I4644" s="1" t="n">
        <v>1426592</v>
      </c>
      <c r="J4644" s="1" t="n">
        <v>54317</v>
      </c>
      <c r="K4644" s="1" t="n">
        <v>7891000358764</v>
      </c>
      <c r="L4644" s="1" t="s">
        <v>4090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5" t="n">
        <v>46218</v>
      </c>
      <c r="C4645" s="1" t="n">
        <v>11</v>
      </c>
      <c r="D4645" s="1" t="s">
        <v>2290</v>
      </c>
      <c r="E4645" s="1" t="n">
        <v>10009</v>
      </c>
      <c r="F4645" s="1" t="s">
        <v>373</v>
      </c>
      <c r="I4645" s="1" t="n">
        <v>1426592</v>
      </c>
      <c r="J4645" s="1" t="n">
        <v>63187</v>
      </c>
      <c r="K4645" s="1" t="n">
        <v>7891000397107</v>
      </c>
      <c r="L4645" s="1" t="s">
        <v>4091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5" t="n">
        <v>46218</v>
      </c>
      <c r="C4646" s="1" t="n">
        <v>171</v>
      </c>
      <c r="D4646" s="1" t="s">
        <v>2517</v>
      </c>
      <c r="E4646" s="1" t="n">
        <v>1740</v>
      </c>
      <c r="F4646" s="1" t="s">
        <v>170</v>
      </c>
      <c r="I4646" s="1" t="n">
        <v>1247915</v>
      </c>
      <c r="J4646" s="1" t="n">
        <v>14219</v>
      </c>
      <c r="K4646" s="1" t="n">
        <v>7891000072950</v>
      </c>
      <c r="L4646" s="1" t="s">
        <v>2485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5" t="n">
        <v>46218</v>
      </c>
      <c r="C4647" s="1" t="n">
        <v>171</v>
      </c>
      <c r="D4647" s="1" t="s">
        <v>2517</v>
      </c>
      <c r="E4647" s="1" t="n">
        <v>1740</v>
      </c>
      <c r="F4647" s="1" t="s">
        <v>170</v>
      </c>
      <c r="I4647" s="1" t="n">
        <v>1247915</v>
      </c>
      <c r="J4647" s="1" t="n">
        <v>20583</v>
      </c>
      <c r="K4647" s="1" t="n">
        <v>7891000103852</v>
      </c>
      <c r="L4647" s="1" t="s">
        <v>3193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5" t="n">
        <v>46218</v>
      </c>
      <c r="C4648" s="1" t="n">
        <v>171</v>
      </c>
      <c r="D4648" s="1" t="s">
        <v>2517</v>
      </c>
      <c r="E4648" s="1" t="n">
        <v>1740</v>
      </c>
      <c r="F4648" s="1" t="s">
        <v>170</v>
      </c>
      <c r="I4648" s="1" t="n">
        <v>1247915</v>
      </c>
      <c r="J4648" s="1" t="n">
        <v>28388</v>
      </c>
      <c r="K4648" s="1" t="n">
        <v>7891000260166</v>
      </c>
      <c r="L4648" s="1" t="s">
        <v>3091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5" t="n">
        <v>46218</v>
      </c>
      <c r="C4649" s="1" t="n">
        <v>171</v>
      </c>
      <c r="D4649" s="1" t="s">
        <v>2517</v>
      </c>
      <c r="E4649" s="1" t="n">
        <v>1740</v>
      </c>
      <c r="F4649" s="1" t="s">
        <v>170</v>
      </c>
      <c r="I4649" s="1" t="n">
        <v>1247915</v>
      </c>
      <c r="J4649" s="1" t="n">
        <v>47789</v>
      </c>
      <c r="K4649" s="1" t="n">
        <v>7891000362037</v>
      </c>
      <c r="L4649" s="1" t="s">
        <v>2491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5" t="n">
        <v>46219</v>
      </c>
      <c r="C4650" s="1" t="n">
        <v>6</v>
      </c>
      <c r="D4650" s="1" t="s">
        <v>2289</v>
      </c>
      <c r="E4650" s="1" t="n">
        <v>42</v>
      </c>
      <c r="F4650" s="1" t="s">
        <v>80</v>
      </c>
      <c r="I4650" s="1" t="n">
        <v>4386</v>
      </c>
      <c r="J4650" s="1" t="n">
        <v>72679</v>
      </c>
      <c r="K4650" s="1" t="n">
        <v>246</v>
      </c>
      <c r="L4650" s="1" t="s">
        <v>2288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5" t="n">
        <v>46219</v>
      </c>
      <c r="C4651" s="1" t="n">
        <v>6</v>
      </c>
      <c r="D4651" s="1" t="s">
        <v>2289</v>
      </c>
      <c r="E4651" s="1" t="n">
        <v>42</v>
      </c>
      <c r="F4651" s="1" t="s">
        <v>80</v>
      </c>
      <c r="I4651" s="1" t="n">
        <v>4387</v>
      </c>
      <c r="J4651" s="1" t="n">
        <v>100103</v>
      </c>
      <c r="K4651" s="1" t="n">
        <v>104</v>
      </c>
      <c r="L4651" s="1" t="s">
        <v>2287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5" t="n">
        <v>46219</v>
      </c>
      <c r="C4652" s="1" t="n">
        <v>6</v>
      </c>
      <c r="D4652" s="1" t="s">
        <v>2289</v>
      </c>
      <c r="E4652" s="1" t="n">
        <v>42</v>
      </c>
      <c r="F4652" s="1" t="s">
        <v>80</v>
      </c>
      <c r="I4652" s="1" t="n">
        <v>4388</v>
      </c>
      <c r="J4652" s="1" t="n">
        <v>109791</v>
      </c>
      <c r="K4652" s="1" t="n">
        <v>9667</v>
      </c>
      <c r="L4652" s="1" t="s">
        <v>2284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5" t="n">
        <v>46219</v>
      </c>
      <c r="C4653" s="1" t="n">
        <v>6</v>
      </c>
      <c r="D4653" s="1" t="s">
        <v>2289</v>
      </c>
      <c r="E4653" s="1" t="n">
        <v>42</v>
      </c>
      <c r="F4653" s="1" t="s">
        <v>80</v>
      </c>
      <c r="I4653" s="1" t="n">
        <v>4388</v>
      </c>
      <c r="J4653" s="1" t="n">
        <v>37359</v>
      </c>
      <c r="K4653" s="1" t="n">
        <v>55526</v>
      </c>
      <c r="L4653" s="1" t="s">
        <v>2285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5" t="n">
        <v>46219</v>
      </c>
      <c r="C4654" s="1" t="n">
        <v>6</v>
      </c>
      <c r="D4654" s="1" t="s">
        <v>2289</v>
      </c>
      <c r="E4654" s="1" t="n">
        <v>42</v>
      </c>
      <c r="F4654" s="1" t="s">
        <v>80</v>
      </c>
      <c r="I4654" s="1" t="n">
        <v>4388</v>
      </c>
      <c r="J4654" s="1" t="n">
        <v>37361</v>
      </c>
      <c r="K4654" s="1" t="n">
        <v>2240817</v>
      </c>
      <c r="L4654" s="1" t="s">
        <v>2286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5" t="n">
        <v>46219</v>
      </c>
      <c r="C4655" s="1" t="n">
        <v>6</v>
      </c>
      <c r="D4655" s="1" t="s">
        <v>2289</v>
      </c>
      <c r="E4655" s="1" t="n">
        <v>42</v>
      </c>
      <c r="F4655" s="1" t="s">
        <v>80</v>
      </c>
      <c r="I4655" s="1" t="n">
        <v>4389</v>
      </c>
      <c r="J4655" s="1" t="n">
        <v>100112</v>
      </c>
      <c r="K4655" s="1" t="n">
        <v>113</v>
      </c>
      <c r="L4655" s="1" t="s">
        <v>2325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5" t="n">
        <v>46219</v>
      </c>
      <c r="C4656" s="1" t="n">
        <v>11</v>
      </c>
      <c r="D4656" s="1" t="s">
        <v>2290</v>
      </c>
      <c r="E4656" s="1" t="n">
        <v>1122</v>
      </c>
      <c r="F4656" s="1" t="s">
        <v>1242</v>
      </c>
      <c r="I4656" s="1" t="n">
        <v>12877</v>
      </c>
      <c r="J4656" s="1" t="n">
        <v>50209</v>
      </c>
      <c r="K4656" s="1" t="n">
        <v>7891253251959</v>
      </c>
      <c r="L4656" s="1" t="s">
        <v>4092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5" t="n">
        <v>46219</v>
      </c>
      <c r="C4657" s="1" t="n">
        <v>11</v>
      </c>
      <c r="D4657" s="1" t="s">
        <v>2290</v>
      </c>
      <c r="E4657" s="1" t="n">
        <v>1122</v>
      </c>
      <c r="F4657" s="1" t="s">
        <v>1242</v>
      </c>
      <c r="I4657" s="1" t="n">
        <v>12877</v>
      </c>
      <c r="J4657" s="1" t="n">
        <v>37068</v>
      </c>
      <c r="K4657" s="1" t="n">
        <v>7891253264188</v>
      </c>
      <c r="L4657" s="1" t="s">
        <v>4093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5" t="n">
        <v>46219</v>
      </c>
      <c r="C4658" s="1" t="n">
        <v>11</v>
      </c>
      <c r="D4658" s="1" t="s">
        <v>2290</v>
      </c>
      <c r="E4658" s="1" t="n">
        <v>1122</v>
      </c>
      <c r="F4658" s="1" t="s">
        <v>1242</v>
      </c>
      <c r="I4658" s="1" t="n">
        <v>12877</v>
      </c>
      <c r="J4658" s="1" t="n">
        <v>37069</v>
      </c>
      <c r="K4658" s="1" t="n">
        <v>7891253264195</v>
      </c>
      <c r="L4658" s="1" t="s">
        <v>4094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5" t="n">
        <v>46219</v>
      </c>
      <c r="C4659" s="1" t="n">
        <v>11</v>
      </c>
      <c r="D4659" s="1" t="s">
        <v>2290</v>
      </c>
      <c r="E4659" s="1" t="n">
        <v>1122</v>
      </c>
      <c r="F4659" s="1" t="s">
        <v>1242</v>
      </c>
      <c r="I4659" s="1" t="n">
        <v>12877</v>
      </c>
      <c r="J4659" s="1" t="n">
        <v>42757</v>
      </c>
      <c r="K4659" s="1" t="n">
        <v>7891253269664</v>
      </c>
      <c r="L4659" s="1" t="s">
        <v>4095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5" t="n">
        <v>46219</v>
      </c>
      <c r="C4660" s="1" t="n">
        <v>11</v>
      </c>
      <c r="D4660" s="1" t="s">
        <v>2290</v>
      </c>
      <c r="E4660" s="1" t="n">
        <v>1122</v>
      </c>
      <c r="F4660" s="1" t="s">
        <v>1242</v>
      </c>
      <c r="I4660" s="1" t="n">
        <v>12877</v>
      </c>
      <c r="J4660" s="1" t="n">
        <v>44447</v>
      </c>
      <c r="K4660" s="1" t="n">
        <v>7894494666056</v>
      </c>
      <c r="L4660" s="1" t="s">
        <v>4096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5" t="n">
        <v>46219</v>
      </c>
      <c r="C4661" s="1" t="n">
        <v>11</v>
      </c>
      <c r="D4661" s="1" t="s">
        <v>2290</v>
      </c>
      <c r="E4661" s="1" t="n">
        <v>1122</v>
      </c>
      <c r="F4661" s="1" t="s">
        <v>1242</v>
      </c>
      <c r="I4661" s="1" t="n">
        <v>12877</v>
      </c>
      <c r="J4661" s="1" t="n">
        <v>65084</v>
      </c>
      <c r="K4661" s="1" t="n">
        <v>2260464</v>
      </c>
      <c r="L4661" s="1" t="s">
        <v>4097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5" t="n">
        <v>46219</v>
      </c>
      <c r="C4662" s="1" t="n">
        <v>11</v>
      </c>
      <c r="D4662" s="1" t="s">
        <v>2290</v>
      </c>
      <c r="E4662" s="1" t="n">
        <v>1122</v>
      </c>
      <c r="F4662" s="1" t="s">
        <v>1242</v>
      </c>
      <c r="I4662" s="1" t="n">
        <v>12877</v>
      </c>
      <c r="J4662" s="1" t="n">
        <v>71258</v>
      </c>
      <c r="K4662" s="1" t="n">
        <v>742832414654</v>
      </c>
      <c r="L4662" s="1" t="s">
        <v>4098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5" t="n">
        <v>46219</v>
      </c>
      <c r="C4663" s="1" t="n">
        <v>11</v>
      </c>
      <c r="D4663" s="1" t="s">
        <v>2290</v>
      </c>
      <c r="E4663" s="1" t="n">
        <v>1122</v>
      </c>
      <c r="F4663" s="1" t="s">
        <v>1242</v>
      </c>
      <c r="I4663" s="1" t="n">
        <v>12877</v>
      </c>
      <c r="J4663" s="1" t="n">
        <v>71259</v>
      </c>
      <c r="K4663" s="1" t="n">
        <v>742832356770</v>
      </c>
      <c r="L4663" s="1" t="s">
        <v>4099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5" t="n">
        <v>46219</v>
      </c>
      <c r="C4664" s="1" t="n">
        <v>11</v>
      </c>
      <c r="D4664" s="1" t="s">
        <v>2290</v>
      </c>
      <c r="E4664" s="1" t="n">
        <v>1122</v>
      </c>
      <c r="F4664" s="1" t="s">
        <v>1242</v>
      </c>
      <c r="I4664" s="1" t="n">
        <v>12877</v>
      </c>
      <c r="J4664" s="1" t="n">
        <v>71435</v>
      </c>
      <c r="K4664" s="1" t="n">
        <v>7891253283295</v>
      </c>
      <c r="L4664" s="1" t="s">
        <v>4100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5" t="n">
        <v>46219</v>
      </c>
      <c r="C4665" s="1" t="n">
        <v>11</v>
      </c>
      <c r="D4665" s="1" t="s">
        <v>2290</v>
      </c>
      <c r="E4665" s="1" t="n">
        <v>1122</v>
      </c>
      <c r="F4665" s="1" t="s">
        <v>1242</v>
      </c>
      <c r="I4665" s="1" t="n">
        <v>12877</v>
      </c>
      <c r="J4665" s="1" t="n">
        <v>71713</v>
      </c>
      <c r="K4665" s="1" t="n">
        <v>7891253283301</v>
      </c>
      <c r="L4665" s="1" t="s">
        <v>4101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5" t="n">
        <v>46219</v>
      </c>
      <c r="C4666" s="1" t="n">
        <v>11</v>
      </c>
      <c r="D4666" s="1" t="s">
        <v>2290</v>
      </c>
      <c r="E4666" s="1" t="n">
        <v>1122</v>
      </c>
      <c r="F4666" s="1" t="s">
        <v>1242</v>
      </c>
      <c r="I4666" s="1" t="n">
        <v>12877</v>
      </c>
      <c r="J4666" s="1" t="n">
        <v>71714</v>
      </c>
      <c r="K4666" s="1" t="n">
        <v>7891253283318</v>
      </c>
      <c r="L4666" s="1" t="s">
        <v>4102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5" t="n">
        <v>46219</v>
      </c>
      <c r="C4667" s="1" t="n">
        <v>11</v>
      </c>
      <c r="D4667" s="1" t="s">
        <v>2290</v>
      </c>
      <c r="E4667" s="1" t="n">
        <v>1122</v>
      </c>
      <c r="F4667" s="1" t="s">
        <v>1242</v>
      </c>
      <c r="I4667" s="1" t="n">
        <v>12877</v>
      </c>
      <c r="J4667" s="1" t="n">
        <v>81736</v>
      </c>
      <c r="K4667" s="1" t="n">
        <v>7891253283806</v>
      </c>
      <c r="L4667" s="1" t="s">
        <v>4103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5" t="n">
        <v>46219</v>
      </c>
      <c r="C4668" s="1" t="n">
        <v>11</v>
      </c>
      <c r="D4668" s="1" t="s">
        <v>2290</v>
      </c>
      <c r="E4668" s="1" t="n">
        <v>1122</v>
      </c>
      <c r="F4668" s="1" t="s">
        <v>1242</v>
      </c>
      <c r="I4668" s="1" t="n">
        <v>12877</v>
      </c>
      <c r="J4668" s="1" t="n">
        <v>81737</v>
      </c>
      <c r="K4668" s="1" t="n">
        <v>7891253286586</v>
      </c>
      <c r="L4668" s="1" t="s">
        <v>4104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5" t="n">
        <v>46219</v>
      </c>
      <c r="C4669" s="1" t="n">
        <v>11</v>
      </c>
      <c r="D4669" s="1" t="s">
        <v>2290</v>
      </c>
      <c r="E4669" s="1" t="n">
        <v>1122</v>
      </c>
      <c r="F4669" s="1" t="s">
        <v>1242</v>
      </c>
      <c r="I4669" s="1" t="n">
        <v>12877</v>
      </c>
      <c r="J4669" s="1" t="n">
        <v>81738</v>
      </c>
      <c r="K4669" s="1" t="n">
        <v>7891253285626</v>
      </c>
      <c r="L4669" s="1" t="s">
        <v>4105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5" t="n">
        <v>46219</v>
      </c>
      <c r="C4670" s="1" t="n">
        <v>11</v>
      </c>
      <c r="D4670" s="1" t="s">
        <v>2290</v>
      </c>
      <c r="E4670" s="1" t="n">
        <v>1122</v>
      </c>
      <c r="F4670" s="1" t="s">
        <v>1242</v>
      </c>
      <c r="I4670" s="1" t="n">
        <v>12877</v>
      </c>
      <c r="J4670" s="1" t="n">
        <v>81739</v>
      </c>
      <c r="K4670" s="1" t="n">
        <v>7891253285749</v>
      </c>
      <c r="L4670" s="1" t="s">
        <v>4106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5" t="n">
        <v>46219</v>
      </c>
      <c r="C4671" s="1" t="n">
        <v>11</v>
      </c>
      <c r="D4671" s="1" t="s">
        <v>2290</v>
      </c>
      <c r="E4671" s="1" t="n">
        <v>1122</v>
      </c>
      <c r="F4671" s="1" t="s">
        <v>1242</v>
      </c>
      <c r="I4671" s="1" t="n">
        <v>12877</v>
      </c>
      <c r="J4671" s="1" t="n">
        <v>81740</v>
      </c>
      <c r="K4671" s="1" t="n">
        <v>7891253285756</v>
      </c>
      <c r="L4671" s="1" t="s">
        <v>4107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5" t="n">
        <v>46219</v>
      </c>
      <c r="C4672" s="1" t="n">
        <v>11</v>
      </c>
      <c r="D4672" s="1" t="s">
        <v>2290</v>
      </c>
      <c r="E4672" s="1" t="n">
        <v>1122</v>
      </c>
      <c r="F4672" s="1" t="s">
        <v>1242</v>
      </c>
      <c r="I4672" s="1" t="n">
        <v>12877</v>
      </c>
      <c r="J4672" s="1" t="n">
        <v>81741</v>
      </c>
      <c r="K4672" s="1" t="n">
        <v>7891253285886</v>
      </c>
      <c r="L4672" s="1" t="s">
        <v>4108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5" t="n">
        <v>46219</v>
      </c>
      <c r="C4673" s="1" t="n">
        <v>11</v>
      </c>
      <c r="D4673" s="1" t="s">
        <v>2290</v>
      </c>
      <c r="E4673" s="1" t="n">
        <v>1122</v>
      </c>
      <c r="F4673" s="1" t="s">
        <v>1242</v>
      </c>
      <c r="I4673" s="1" t="n">
        <v>12877</v>
      </c>
      <c r="J4673" s="1" t="n">
        <v>81742</v>
      </c>
      <c r="K4673" s="1" t="n">
        <v>742832414678</v>
      </c>
      <c r="L4673" s="1" t="s">
        <v>4109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5" t="n">
        <v>46219</v>
      </c>
      <c r="C4674" s="1" t="n">
        <v>11</v>
      </c>
      <c r="D4674" s="1" t="s">
        <v>2290</v>
      </c>
      <c r="E4674" s="1" t="n">
        <v>1642</v>
      </c>
      <c r="F4674" s="1" t="s">
        <v>274</v>
      </c>
      <c r="I4674" s="1" t="n">
        <v>1032054</v>
      </c>
      <c r="J4674" s="1" t="n">
        <v>104335</v>
      </c>
      <c r="K4674" s="1" t="n">
        <v>7896289210512</v>
      </c>
      <c r="L4674" s="1" t="s">
        <v>2466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5" t="n">
        <v>46219</v>
      </c>
      <c r="C4675" s="1" t="n">
        <v>11</v>
      </c>
      <c r="D4675" s="1" t="s">
        <v>2290</v>
      </c>
      <c r="E4675" s="1" t="n">
        <v>1642</v>
      </c>
      <c r="F4675" s="1" t="s">
        <v>274</v>
      </c>
      <c r="I4675" s="1" t="n">
        <v>1032054</v>
      </c>
      <c r="J4675" s="1" t="n">
        <v>105780</v>
      </c>
      <c r="K4675" s="1" t="n">
        <v>7896289210017</v>
      </c>
      <c r="L4675" s="1" t="s">
        <v>2467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5" t="n">
        <v>46219</v>
      </c>
      <c r="C4676" s="1" t="n">
        <v>11</v>
      </c>
      <c r="D4676" s="1" t="s">
        <v>2290</v>
      </c>
      <c r="E4676" s="1" t="n">
        <v>1642</v>
      </c>
      <c r="F4676" s="1" t="s">
        <v>274</v>
      </c>
      <c r="I4676" s="1" t="n">
        <v>1032054</v>
      </c>
      <c r="J4676" s="1" t="n">
        <v>105782</v>
      </c>
      <c r="K4676" s="1" t="n">
        <v>7896289210352</v>
      </c>
      <c r="L4676" s="1" t="s">
        <v>2468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5" t="n">
        <v>46219</v>
      </c>
      <c r="C4677" s="1" t="n">
        <v>11</v>
      </c>
      <c r="D4677" s="1" t="s">
        <v>2290</v>
      </c>
      <c r="E4677" s="1" t="n">
        <v>1642</v>
      </c>
      <c r="F4677" s="1" t="s">
        <v>274</v>
      </c>
      <c r="I4677" s="1" t="n">
        <v>1032054</v>
      </c>
      <c r="J4677" s="1" t="n">
        <v>106079</v>
      </c>
      <c r="K4677" s="1" t="n">
        <v>7896289210130</v>
      </c>
      <c r="L4677" s="1" t="s">
        <v>2469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5" t="n">
        <v>46219</v>
      </c>
      <c r="C4678" s="1" t="n">
        <v>11</v>
      </c>
      <c r="D4678" s="1" t="s">
        <v>2290</v>
      </c>
      <c r="E4678" s="1" t="n">
        <v>1642</v>
      </c>
      <c r="F4678" s="1" t="s">
        <v>274</v>
      </c>
      <c r="I4678" s="1" t="n">
        <v>1032054</v>
      </c>
      <c r="J4678" s="1" t="n">
        <v>106274</v>
      </c>
      <c r="K4678" s="1" t="n">
        <v>7896289210086</v>
      </c>
      <c r="L4678" s="1" t="s">
        <v>2470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5" t="n">
        <v>46219</v>
      </c>
      <c r="C4679" s="1" t="n">
        <v>11</v>
      </c>
      <c r="D4679" s="1" t="s">
        <v>2290</v>
      </c>
      <c r="E4679" s="1" t="n">
        <v>1642</v>
      </c>
      <c r="F4679" s="1" t="s">
        <v>274</v>
      </c>
      <c r="I4679" s="1" t="n">
        <v>1032054</v>
      </c>
      <c r="J4679" s="1" t="n">
        <v>106280</v>
      </c>
      <c r="K4679" s="1" t="n">
        <v>7896289210062</v>
      </c>
      <c r="L4679" s="1" t="s">
        <v>2471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5" t="n">
        <v>46219</v>
      </c>
      <c r="C4680" s="1" t="n">
        <v>11</v>
      </c>
      <c r="D4680" s="1" t="s">
        <v>2290</v>
      </c>
      <c r="E4680" s="1" t="n">
        <v>1642</v>
      </c>
      <c r="F4680" s="1" t="s">
        <v>274</v>
      </c>
      <c r="I4680" s="1" t="n">
        <v>1032054</v>
      </c>
      <c r="J4680" s="1" t="n">
        <v>106407</v>
      </c>
      <c r="K4680" s="1" t="n">
        <v>7896289210031</v>
      </c>
      <c r="L4680" s="1" t="s">
        <v>2472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5" t="n">
        <v>46219</v>
      </c>
      <c r="C4681" s="1" t="n">
        <v>11</v>
      </c>
      <c r="D4681" s="1" t="s">
        <v>2290</v>
      </c>
      <c r="E4681" s="1" t="n">
        <v>1642</v>
      </c>
      <c r="F4681" s="1" t="s">
        <v>274</v>
      </c>
      <c r="I4681" s="1" t="n">
        <v>1032054</v>
      </c>
      <c r="J4681" s="1" t="n">
        <v>29706</v>
      </c>
      <c r="K4681" s="1" t="n">
        <v>7896289240205</v>
      </c>
      <c r="L4681" s="1" t="s">
        <v>4110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5" t="n">
        <v>46220</v>
      </c>
      <c r="C4682" s="1" t="n">
        <v>1</v>
      </c>
      <c r="D4682" s="1" t="s">
        <v>2317</v>
      </c>
      <c r="E4682" s="1" t="n">
        <v>10035</v>
      </c>
      <c r="F4682" s="1" t="s">
        <v>227</v>
      </c>
      <c r="I4682" s="1" t="n">
        <v>362</v>
      </c>
      <c r="J4682" s="1" t="n">
        <v>38652</v>
      </c>
      <c r="K4682" s="1" t="n">
        <v>7898994684220</v>
      </c>
      <c r="L4682" s="1" t="s">
        <v>2458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5" t="n">
        <v>46220</v>
      </c>
      <c r="C4683" s="1" t="n">
        <v>1</v>
      </c>
      <c r="D4683" s="1" t="s">
        <v>2317</v>
      </c>
      <c r="E4683" s="1" t="n">
        <v>10035</v>
      </c>
      <c r="F4683" s="1" t="s">
        <v>227</v>
      </c>
      <c r="I4683" s="1" t="n">
        <v>362</v>
      </c>
      <c r="J4683" s="1" t="n">
        <v>38653</v>
      </c>
      <c r="K4683" s="1" t="n">
        <v>7898994684275</v>
      </c>
      <c r="L4683" s="1" t="s">
        <v>2459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5" t="n">
        <v>46220</v>
      </c>
      <c r="C4684" s="1" t="n">
        <v>6</v>
      </c>
      <c r="D4684" s="1" t="s">
        <v>2289</v>
      </c>
      <c r="E4684" s="1" t="n">
        <v>42</v>
      </c>
      <c r="F4684" s="1" t="s">
        <v>80</v>
      </c>
      <c r="I4684" s="1" t="n">
        <v>4390</v>
      </c>
      <c r="J4684" s="1" t="n">
        <v>37359</v>
      </c>
      <c r="K4684" s="1" t="n">
        <v>55526</v>
      </c>
      <c r="L4684" s="1" t="s">
        <v>2285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5" t="n">
        <v>46220</v>
      </c>
      <c r="C4685" s="1" t="n">
        <v>6</v>
      </c>
      <c r="D4685" s="1" t="s">
        <v>2289</v>
      </c>
      <c r="E4685" s="1" t="n">
        <v>42</v>
      </c>
      <c r="F4685" s="1" t="s">
        <v>80</v>
      </c>
      <c r="I4685" s="1" t="n">
        <v>4390</v>
      </c>
      <c r="J4685" s="1" t="n">
        <v>37361</v>
      </c>
      <c r="K4685" s="1" t="n">
        <v>2240817</v>
      </c>
      <c r="L4685" s="1" t="s">
        <v>2286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5" t="n">
        <v>46220</v>
      </c>
      <c r="C4686" s="1" t="n">
        <v>6</v>
      </c>
      <c r="D4686" s="1" t="s">
        <v>2289</v>
      </c>
      <c r="E4686" s="1" t="n">
        <v>42</v>
      </c>
      <c r="F4686" s="1" t="s">
        <v>80</v>
      </c>
      <c r="I4686" s="1" t="n">
        <v>4391</v>
      </c>
      <c r="J4686" s="1" t="n">
        <v>100062</v>
      </c>
      <c r="K4686" s="1" t="n">
        <v>63</v>
      </c>
      <c r="L4686" s="1" t="s">
        <v>2320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5" t="n">
        <v>46220</v>
      </c>
      <c r="C4687" s="1" t="n">
        <v>6</v>
      </c>
      <c r="D4687" s="1" t="s">
        <v>2289</v>
      </c>
      <c r="E4687" s="1" t="n">
        <v>42</v>
      </c>
      <c r="F4687" s="1" t="s">
        <v>80</v>
      </c>
      <c r="I4687" s="1" t="n">
        <v>4391</v>
      </c>
      <c r="J4687" s="1" t="n">
        <v>100105</v>
      </c>
      <c r="K4687" s="1" t="n">
        <v>106</v>
      </c>
      <c r="L4687" s="1" t="s">
        <v>2322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5" t="n">
        <v>46220</v>
      </c>
      <c r="C4688" s="1" t="n">
        <v>6</v>
      </c>
      <c r="D4688" s="1" t="s">
        <v>2289</v>
      </c>
      <c r="E4688" s="1" t="n">
        <v>42</v>
      </c>
      <c r="F4688" s="1" t="s">
        <v>80</v>
      </c>
      <c r="I4688" s="1" t="n">
        <v>4391</v>
      </c>
      <c r="J4688" s="1" t="n">
        <v>100109</v>
      </c>
      <c r="K4688" s="1" t="n">
        <v>110</v>
      </c>
      <c r="L4688" s="1" t="s">
        <v>2324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5" t="n">
        <v>46220</v>
      </c>
      <c r="C4689" s="1" t="n">
        <v>6</v>
      </c>
      <c r="D4689" s="1" t="s">
        <v>2289</v>
      </c>
      <c r="E4689" s="1" t="n">
        <v>42</v>
      </c>
      <c r="F4689" s="1" t="s">
        <v>80</v>
      </c>
      <c r="I4689" s="1" t="n">
        <v>4391</v>
      </c>
      <c r="J4689" s="1" t="n">
        <v>100110</v>
      </c>
      <c r="K4689" s="1" t="n">
        <v>111</v>
      </c>
      <c r="L4689" s="1" t="s">
        <v>2473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5" t="n">
        <v>46220</v>
      </c>
      <c r="C4690" s="1" t="n">
        <v>6</v>
      </c>
      <c r="D4690" s="1" t="s">
        <v>2289</v>
      </c>
      <c r="E4690" s="1" t="n">
        <v>42</v>
      </c>
      <c r="F4690" s="1" t="s">
        <v>80</v>
      </c>
      <c r="I4690" s="1" t="n">
        <v>4391</v>
      </c>
      <c r="J4690" s="1" t="n">
        <v>100113</v>
      </c>
      <c r="K4690" s="1" t="n">
        <v>114</v>
      </c>
      <c r="L4690" s="1" t="s">
        <v>2326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5" t="n">
        <v>46220</v>
      </c>
      <c r="C4691" s="1" t="n">
        <v>6</v>
      </c>
      <c r="D4691" s="1" t="s">
        <v>2289</v>
      </c>
      <c r="E4691" s="1" t="n">
        <v>42</v>
      </c>
      <c r="F4691" s="1" t="s">
        <v>80</v>
      </c>
      <c r="I4691" s="1" t="n">
        <v>4391</v>
      </c>
      <c r="J4691" s="1" t="n">
        <v>100115</v>
      </c>
      <c r="K4691" s="1" t="n">
        <v>116</v>
      </c>
      <c r="L4691" s="1" t="s">
        <v>2474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5" t="n">
        <v>46220</v>
      </c>
      <c r="C4692" s="1" t="n">
        <v>6</v>
      </c>
      <c r="D4692" s="1" t="s">
        <v>2289</v>
      </c>
      <c r="E4692" s="1" t="n">
        <v>42</v>
      </c>
      <c r="F4692" s="1" t="s">
        <v>80</v>
      </c>
      <c r="I4692" s="1" t="n">
        <v>4391</v>
      </c>
      <c r="J4692" s="1" t="n">
        <v>100116</v>
      </c>
      <c r="K4692" s="1" t="n">
        <v>117</v>
      </c>
      <c r="L4692" s="1" t="s">
        <v>2327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5" t="n">
        <v>46220</v>
      </c>
      <c r="C4693" s="1" t="n">
        <v>6</v>
      </c>
      <c r="D4693" s="1" t="s">
        <v>2289</v>
      </c>
      <c r="E4693" s="1" t="n">
        <v>42</v>
      </c>
      <c r="F4693" s="1" t="s">
        <v>80</v>
      </c>
      <c r="I4693" s="1" t="n">
        <v>4391</v>
      </c>
      <c r="J4693" s="1" t="n">
        <v>100121</v>
      </c>
      <c r="K4693" s="1" t="n">
        <v>122</v>
      </c>
      <c r="L4693" s="1" t="s">
        <v>2329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5" t="n">
        <v>46220</v>
      </c>
      <c r="C4694" s="1" t="n">
        <v>6</v>
      </c>
      <c r="D4694" s="1" t="s">
        <v>2289</v>
      </c>
      <c r="E4694" s="1" t="n">
        <v>42</v>
      </c>
      <c r="F4694" s="1" t="s">
        <v>80</v>
      </c>
      <c r="I4694" s="1" t="n">
        <v>4391</v>
      </c>
      <c r="J4694" s="1" t="n">
        <v>100122</v>
      </c>
      <c r="K4694" s="1" t="n">
        <v>123</v>
      </c>
      <c r="L4694" s="1" t="s">
        <v>2330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5" t="n">
        <v>46220</v>
      </c>
      <c r="C4695" s="1" t="n">
        <v>6</v>
      </c>
      <c r="D4695" s="1" t="s">
        <v>2289</v>
      </c>
      <c r="E4695" s="1" t="n">
        <v>42</v>
      </c>
      <c r="F4695" s="1" t="s">
        <v>80</v>
      </c>
      <c r="I4695" s="1" t="n">
        <v>4391</v>
      </c>
      <c r="J4695" s="1" t="n">
        <v>100123</v>
      </c>
      <c r="K4695" s="1" t="n">
        <v>124</v>
      </c>
      <c r="L4695" s="1" t="s">
        <v>2475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5" t="n">
        <v>46220</v>
      </c>
      <c r="C4696" s="1" t="n">
        <v>6</v>
      </c>
      <c r="D4696" s="1" t="s">
        <v>2289</v>
      </c>
      <c r="E4696" s="1" t="n">
        <v>42</v>
      </c>
      <c r="F4696" s="1" t="s">
        <v>80</v>
      </c>
      <c r="I4696" s="1" t="n">
        <v>4391</v>
      </c>
      <c r="J4696" s="1" t="n">
        <v>100130</v>
      </c>
      <c r="K4696" s="1" t="n">
        <v>131</v>
      </c>
      <c r="L4696" s="1" t="s">
        <v>2331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5" t="n">
        <v>46220</v>
      </c>
      <c r="C4697" s="1" t="n">
        <v>6</v>
      </c>
      <c r="D4697" s="1" t="s">
        <v>2289</v>
      </c>
      <c r="E4697" s="1" t="n">
        <v>42</v>
      </c>
      <c r="F4697" s="1" t="s">
        <v>80</v>
      </c>
      <c r="I4697" s="1" t="n">
        <v>4391</v>
      </c>
      <c r="J4697" s="1" t="n">
        <v>100132</v>
      </c>
      <c r="K4697" s="1" t="n">
        <v>133</v>
      </c>
      <c r="L4697" s="1" t="s">
        <v>3104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5" t="n">
        <v>46220</v>
      </c>
      <c r="C4698" s="1" t="n">
        <v>6</v>
      </c>
      <c r="D4698" s="1" t="s">
        <v>2289</v>
      </c>
      <c r="E4698" s="1" t="n">
        <v>42</v>
      </c>
      <c r="F4698" s="1" t="s">
        <v>80</v>
      </c>
      <c r="I4698" s="1" t="n">
        <v>4391</v>
      </c>
      <c r="J4698" s="1" t="n">
        <v>100133</v>
      </c>
      <c r="K4698" s="1" t="n">
        <v>134</v>
      </c>
      <c r="L4698" s="1" t="s">
        <v>2332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5" t="n">
        <v>46220</v>
      </c>
      <c r="C4699" s="1" t="n">
        <v>6</v>
      </c>
      <c r="D4699" s="1" t="s">
        <v>2289</v>
      </c>
      <c r="E4699" s="1" t="n">
        <v>42</v>
      </c>
      <c r="F4699" s="1" t="s">
        <v>80</v>
      </c>
      <c r="I4699" s="1" t="n">
        <v>4391</v>
      </c>
      <c r="J4699" s="1" t="n">
        <v>110142</v>
      </c>
      <c r="K4699" s="1" t="n">
        <v>16699</v>
      </c>
      <c r="L4699" s="1" t="s">
        <v>2334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5" t="n">
        <v>46220</v>
      </c>
      <c r="C4700" s="1" t="n">
        <v>6</v>
      </c>
      <c r="D4700" s="1" t="s">
        <v>2289</v>
      </c>
      <c r="E4700" s="1" t="n">
        <v>42</v>
      </c>
      <c r="F4700" s="1" t="s">
        <v>80</v>
      </c>
      <c r="I4700" s="1" t="n">
        <v>4391</v>
      </c>
      <c r="J4700" s="1" t="n">
        <v>110160</v>
      </c>
      <c r="K4700" s="1" t="n">
        <v>38562</v>
      </c>
      <c r="L4700" s="1" t="s">
        <v>3283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5" t="n">
        <v>46220</v>
      </c>
      <c r="C4701" s="1" t="n">
        <v>6</v>
      </c>
      <c r="D4701" s="1" t="s">
        <v>2289</v>
      </c>
      <c r="E4701" s="1" t="n">
        <v>42</v>
      </c>
      <c r="F4701" s="1" t="s">
        <v>80</v>
      </c>
      <c r="I4701" s="1" t="n">
        <v>4391</v>
      </c>
      <c r="J4701" s="1" t="n">
        <v>43627</v>
      </c>
      <c r="K4701" s="1" t="n">
        <v>1175</v>
      </c>
      <c r="L4701" s="1" t="s">
        <v>2479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5" t="n">
        <v>46220</v>
      </c>
      <c r="C4702" s="1" t="n">
        <v>11</v>
      </c>
      <c r="D4702" s="1" t="s">
        <v>2290</v>
      </c>
      <c r="E4702" s="1" t="n">
        <v>10018</v>
      </c>
      <c r="F4702" s="1" t="s">
        <v>654</v>
      </c>
      <c r="I4702" s="1" t="n">
        <v>340</v>
      </c>
      <c r="J4702" s="1" t="n">
        <v>100933</v>
      </c>
      <c r="K4702" s="1" t="n">
        <v>7896982100059</v>
      </c>
      <c r="L4702" s="1" t="s">
        <v>2520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5" t="n">
        <v>46220</v>
      </c>
      <c r="C4703" s="1" t="n">
        <v>11</v>
      </c>
      <c r="D4703" s="1" t="s">
        <v>2290</v>
      </c>
      <c r="E4703" s="1" t="n">
        <v>1615</v>
      </c>
      <c r="F4703" s="1" t="s">
        <v>130</v>
      </c>
      <c r="I4703" s="1" t="n">
        <v>14889</v>
      </c>
      <c r="J4703" s="1" t="n">
        <v>100101</v>
      </c>
      <c r="K4703" s="1" t="n">
        <v>102</v>
      </c>
      <c r="L4703" s="1" t="s">
        <v>2671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5" t="n">
        <v>46220</v>
      </c>
      <c r="C4704" s="1" t="n">
        <v>11</v>
      </c>
      <c r="D4704" s="1" t="s">
        <v>2290</v>
      </c>
      <c r="E4704" s="1" t="n">
        <v>1615</v>
      </c>
      <c r="F4704" s="1" t="s">
        <v>130</v>
      </c>
      <c r="I4704" s="1" t="n">
        <v>14889</v>
      </c>
      <c r="J4704" s="1" t="n">
        <v>37771</v>
      </c>
      <c r="K4704" s="1" t="n">
        <v>774574</v>
      </c>
      <c r="L4704" s="1" t="s">
        <v>2569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5" t="n">
        <v>46220</v>
      </c>
      <c r="C4705" s="1" t="n">
        <v>11</v>
      </c>
      <c r="D4705" s="1" t="s">
        <v>2290</v>
      </c>
      <c r="E4705" s="1" t="n">
        <v>1695</v>
      </c>
      <c r="F4705" s="1" t="s">
        <v>269</v>
      </c>
      <c r="I4705" s="1" t="n">
        <v>19287</v>
      </c>
      <c r="J4705" s="1" t="n">
        <v>101859</v>
      </c>
      <c r="K4705" s="1" t="n">
        <v>7896224807098</v>
      </c>
      <c r="L4705" s="1" t="s">
        <v>3498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5" t="n">
        <v>46220</v>
      </c>
      <c r="C4706" s="1" t="n">
        <v>11</v>
      </c>
      <c r="D4706" s="1" t="s">
        <v>2290</v>
      </c>
      <c r="E4706" s="1" t="n">
        <v>1695</v>
      </c>
      <c r="F4706" s="1" t="s">
        <v>269</v>
      </c>
      <c r="I4706" s="1" t="n">
        <v>19287</v>
      </c>
      <c r="J4706" s="1" t="n">
        <v>101877</v>
      </c>
      <c r="K4706" s="1" t="n">
        <v>7896224813082</v>
      </c>
      <c r="L4706" s="1" t="s">
        <v>2819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5" t="n">
        <v>46220</v>
      </c>
      <c r="C4707" s="1" t="n">
        <v>11</v>
      </c>
      <c r="D4707" s="1" t="s">
        <v>2290</v>
      </c>
      <c r="E4707" s="1" t="n">
        <v>1695</v>
      </c>
      <c r="F4707" s="1" t="s">
        <v>269</v>
      </c>
      <c r="I4707" s="1" t="n">
        <v>19287</v>
      </c>
      <c r="J4707" s="1" t="n">
        <v>101908</v>
      </c>
      <c r="K4707" s="1" t="n">
        <v>7896224808101</v>
      </c>
      <c r="L4707" s="1" t="s">
        <v>2822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5" t="n">
        <v>46220</v>
      </c>
      <c r="C4708" s="1" t="n">
        <v>11</v>
      </c>
      <c r="D4708" s="1" t="s">
        <v>2290</v>
      </c>
      <c r="E4708" s="1" t="n">
        <v>1695</v>
      </c>
      <c r="F4708" s="1" t="s">
        <v>269</v>
      </c>
      <c r="I4708" s="1" t="n">
        <v>19287</v>
      </c>
      <c r="J4708" s="1" t="n">
        <v>101947</v>
      </c>
      <c r="K4708" s="1" t="n">
        <v>7891079001028</v>
      </c>
      <c r="L4708" s="1" t="s">
        <v>2634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5" t="n">
        <v>46220</v>
      </c>
      <c r="C4709" s="1" t="n">
        <v>11</v>
      </c>
      <c r="D4709" s="1" t="s">
        <v>2290</v>
      </c>
      <c r="E4709" s="1" t="n">
        <v>1695</v>
      </c>
      <c r="F4709" s="1" t="s">
        <v>269</v>
      </c>
      <c r="I4709" s="1" t="n">
        <v>19287</v>
      </c>
      <c r="J4709" s="1" t="n">
        <v>101949</v>
      </c>
      <c r="K4709" s="1" t="n">
        <v>7891079001004</v>
      </c>
      <c r="L4709" s="1" t="s">
        <v>2636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5" t="n">
        <v>46220</v>
      </c>
      <c r="C4710" s="1" t="n">
        <v>11</v>
      </c>
      <c r="D4710" s="1" t="s">
        <v>2290</v>
      </c>
      <c r="E4710" s="1" t="n">
        <v>1695</v>
      </c>
      <c r="F4710" s="1" t="s">
        <v>269</v>
      </c>
      <c r="I4710" s="1" t="n">
        <v>19287</v>
      </c>
      <c r="J4710" s="1" t="n">
        <v>101957</v>
      </c>
      <c r="K4710" s="1" t="n">
        <v>7891079000205</v>
      </c>
      <c r="L4710" s="1" t="s">
        <v>2639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5" t="n">
        <v>46220</v>
      </c>
      <c r="C4711" s="1" t="n">
        <v>11</v>
      </c>
      <c r="D4711" s="1" t="s">
        <v>2290</v>
      </c>
      <c r="E4711" s="1" t="n">
        <v>1695</v>
      </c>
      <c r="F4711" s="1" t="s">
        <v>269</v>
      </c>
      <c r="I4711" s="1" t="n">
        <v>19287</v>
      </c>
      <c r="J4711" s="1" t="n">
        <v>102290</v>
      </c>
      <c r="K4711" s="1" t="n">
        <v>7896593500019</v>
      </c>
      <c r="L4711" s="1" t="s">
        <v>2745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5" t="n">
        <v>46220</v>
      </c>
      <c r="C4712" s="1" t="n">
        <v>11</v>
      </c>
      <c r="D4712" s="1" t="s">
        <v>2290</v>
      </c>
      <c r="E4712" s="1" t="n">
        <v>1695</v>
      </c>
      <c r="F4712" s="1" t="s">
        <v>269</v>
      </c>
      <c r="I4712" s="1" t="n">
        <v>19287</v>
      </c>
      <c r="J4712" s="1" t="n">
        <v>103344</v>
      </c>
      <c r="K4712" s="1" t="n">
        <v>7896490288775</v>
      </c>
      <c r="L4712" s="1" t="s">
        <v>4111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5" t="n">
        <v>46220</v>
      </c>
      <c r="C4713" s="1" t="n">
        <v>11</v>
      </c>
      <c r="D4713" s="1" t="s">
        <v>2290</v>
      </c>
      <c r="E4713" s="1" t="n">
        <v>1695</v>
      </c>
      <c r="F4713" s="1" t="s">
        <v>269</v>
      </c>
      <c r="I4713" s="1" t="n">
        <v>19287</v>
      </c>
      <c r="J4713" s="1" t="n">
        <v>104073</v>
      </c>
      <c r="K4713" s="1" t="n">
        <v>7891107101621</v>
      </c>
      <c r="L4713" s="1" t="s">
        <v>4112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5" t="n">
        <v>46220</v>
      </c>
      <c r="C4714" s="1" t="n">
        <v>11</v>
      </c>
      <c r="D4714" s="1" t="s">
        <v>2290</v>
      </c>
      <c r="E4714" s="1" t="n">
        <v>1695</v>
      </c>
      <c r="F4714" s="1" t="s">
        <v>269</v>
      </c>
      <c r="I4714" s="1" t="n">
        <v>19287</v>
      </c>
      <c r="J4714" s="1" t="n">
        <v>104678</v>
      </c>
      <c r="K4714" s="1" t="n">
        <v>7898247780075</v>
      </c>
      <c r="L4714" s="1" t="s">
        <v>3107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5" t="n">
        <v>46220</v>
      </c>
      <c r="C4715" s="1" t="n">
        <v>11</v>
      </c>
      <c r="D4715" s="1" t="s">
        <v>2290</v>
      </c>
      <c r="E4715" s="1" t="n">
        <v>1695</v>
      </c>
      <c r="F4715" s="1" t="s">
        <v>269</v>
      </c>
      <c r="I4715" s="1" t="n">
        <v>19287</v>
      </c>
      <c r="J4715" s="1" t="n">
        <v>109870</v>
      </c>
      <c r="K4715" s="1" t="n">
        <v>7891079011805</v>
      </c>
      <c r="L4715" s="1" t="s">
        <v>4113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5" t="n">
        <v>46220</v>
      </c>
      <c r="C4716" s="1" t="n">
        <v>11</v>
      </c>
      <c r="D4716" s="1" t="s">
        <v>2290</v>
      </c>
      <c r="E4716" s="1" t="n">
        <v>1695</v>
      </c>
      <c r="F4716" s="1" t="s">
        <v>269</v>
      </c>
      <c r="I4716" s="1" t="n">
        <v>19287</v>
      </c>
      <c r="J4716" s="1" t="n">
        <v>10469</v>
      </c>
      <c r="K4716" s="1" t="n">
        <v>7891079011829</v>
      </c>
      <c r="L4716" s="1" t="s">
        <v>4114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5" t="n">
        <v>46220</v>
      </c>
      <c r="C4717" s="1" t="n">
        <v>11</v>
      </c>
      <c r="D4717" s="1" t="s">
        <v>2290</v>
      </c>
      <c r="E4717" s="1" t="n">
        <v>1695</v>
      </c>
      <c r="F4717" s="1" t="s">
        <v>269</v>
      </c>
      <c r="I4717" s="1" t="n">
        <v>19287</v>
      </c>
      <c r="J4717" s="1" t="n">
        <v>10667</v>
      </c>
      <c r="K4717" s="1" t="n">
        <v>7891079011812</v>
      </c>
      <c r="L4717" s="1" t="s">
        <v>4115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5" t="n">
        <v>46220</v>
      </c>
      <c r="C4718" s="1" t="n">
        <v>11</v>
      </c>
      <c r="D4718" s="1" t="s">
        <v>2290</v>
      </c>
      <c r="E4718" s="1" t="n">
        <v>1695</v>
      </c>
      <c r="F4718" s="1" t="s">
        <v>269</v>
      </c>
      <c r="I4718" s="1" t="n">
        <v>19287</v>
      </c>
      <c r="J4718" s="1" t="n">
        <v>25964</v>
      </c>
      <c r="K4718" s="1" t="n">
        <v>7896763621858</v>
      </c>
      <c r="L4718" s="1" t="s">
        <v>3295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5" t="n">
        <v>46220</v>
      </c>
      <c r="C4719" s="1" t="n">
        <v>11</v>
      </c>
      <c r="D4719" s="1" t="s">
        <v>2290</v>
      </c>
      <c r="E4719" s="1" t="n">
        <v>1695</v>
      </c>
      <c r="F4719" s="1" t="s">
        <v>269</v>
      </c>
      <c r="I4719" s="1" t="n">
        <v>19287</v>
      </c>
      <c r="J4719" s="1" t="n">
        <v>32805</v>
      </c>
      <c r="K4719" s="1" t="n">
        <v>7896433800378</v>
      </c>
      <c r="L4719" s="1" t="s">
        <v>3296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5" t="n">
        <v>46220</v>
      </c>
      <c r="C4720" s="1" t="n">
        <v>11</v>
      </c>
      <c r="D4720" s="1" t="s">
        <v>2290</v>
      </c>
      <c r="E4720" s="1" t="n">
        <v>1695</v>
      </c>
      <c r="F4720" s="1" t="s">
        <v>269</v>
      </c>
      <c r="I4720" s="1" t="n">
        <v>19287</v>
      </c>
      <c r="J4720" s="1" t="n">
        <v>36969</v>
      </c>
      <c r="K4720" s="1" t="n">
        <v>7891000325858</v>
      </c>
      <c r="L4720" s="1" t="s">
        <v>2815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5" t="n">
        <v>46220</v>
      </c>
      <c r="C4721" s="1" t="n">
        <v>11</v>
      </c>
      <c r="D4721" s="1" t="s">
        <v>2290</v>
      </c>
      <c r="E4721" s="1" t="n">
        <v>1695</v>
      </c>
      <c r="F4721" s="1" t="s">
        <v>269</v>
      </c>
      <c r="I4721" s="1" t="n">
        <v>19287</v>
      </c>
      <c r="J4721" s="1" t="n">
        <v>71370</v>
      </c>
      <c r="K4721" s="1" t="n">
        <v>7891150097544</v>
      </c>
      <c r="L4721" s="1" t="s">
        <v>2696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5" t="n">
        <v>46220</v>
      </c>
      <c r="C4722" s="1" t="n">
        <v>11</v>
      </c>
      <c r="D4722" s="1" t="s">
        <v>2290</v>
      </c>
      <c r="E4722" s="1" t="n">
        <v>1695</v>
      </c>
      <c r="F4722" s="1" t="s">
        <v>269</v>
      </c>
      <c r="I4722" s="1" t="n">
        <v>19287</v>
      </c>
      <c r="J4722" s="1" t="n">
        <v>71373</v>
      </c>
      <c r="K4722" s="1" t="n">
        <v>7891150097575</v>
      </c>
      <c r="L4722" s="1" t="s">
        <v>2697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5" t="n">
        <v>46220</v>
      </c>
      <c r="C4723" s="1" t="n">
        <v>11</v>
      </c>
      <c r="D4723" s="1" t="s">
        <v>2290</v>
      </c>
      <c r="E4723" s="1" t="n">
        <v>1695</v>
      </c>
      <c r="F4723" s="1" t="s">
        <v>269</v>
      </c>
      <c r="I4723" s="1" t="n">
        <v>19287</v>
      </c>
      <c r="J4723" s="1" t="n">
        <v>71624</v>
      </c>
      <c r="K4723" s="1" t="n">
        <v>7891150097568</v>
      </c>
      <c r="L4723" s="1" t="s">
        <v>4116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5" t="n">
        <v>46220</v>
      </c>
      <c r="C4724" s="1" t="n">
        <v>11</v>
      </c>
      <c r="D4724" s="1" t="s">
        <v>2290</v>
      </c>
      <c r="E4724" s="1" t="n">
        <v>1695</v>
      </c>
      <c r="F4724" s="1" t="s">
        <v>269</v>
      </c>
      <c r="I4724" s="1" t="n">
        <v>19287</v>
      </c>
      <c r="J4724" s="1" t="n">
        <v>72229</v>
      </c>
      <c r="K4724" s="1" t="n">
        <v>7891150097605</v>
      </c>
      <c r="L4724" s="1" t="s">
        <v>4116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5" t="n">
        <v>46220</v>
      </c>
      <c r="C4725" s="1" t="n">
        <v>11</v>
      </c>
      <c r="D4725" s="1" t="s">
        <v>2290</v>
      </c>
      <c r="E4725" s="1" t="n">
        <v>1814</v>
      </c>
      <c r="F4725" s="1" t="s">
        <v>339</v>
      </c>
      <c r="I4725" s="1" t="n">
        <v>27621</v>
      </c>
      <c r="J4725" s="1" t="n">
        <v>25090</v>
      </c>
      <c r="K4725" s="1" t="n">
        <v>7898951519152</v>
      </c>
      <c r="L4725" s="1" t="s">
        <v>2345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5" t="n">
        <v>46220</v>
      </c>
      <c r="C4726" s="1" t="n">
        <v>11</v>
      </c>
      <c r="D4726" s="1" t="s">
        <v>2290</v>
      </c>
      <c r="E4726" s="1" t="n">
        <v>1814</v>
      </c>
      <c r="F4726" s="1" t="s">
        <v>339</v>
      </c>
      <c r="I4726" s="1" t="n">
        <v>27621</v>
      </c>
      <c r="J4726" s="1" t="n">
        <v>25091</v>
      </c>
      <c r="K4726" s="1" t="n">
        <v>7898951519176</v>
      </c>
      <c r="L4726" s="1" t="s">
        <v>2346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5" t="n">
        <v>46220</v>
      </c>
      <c r="C4727" s="1" t="n">
        <v>11</v>
      </c>
      <c r="D4727" s="1" t="s">
        <v>2290</v>
      </c>
      <c r="E4727" s="1" t="n">
        <v>1814</v>
      </c>
      <c r="F4727" s="1" t="s">
        <v>339</v>
      </c>
      <c r="I4727" s="1" t="n">
        <v>27621</v>
      </c>
      <c r="J4727" s="1" t="n">
        <v>25092</v>
      </c>
      <c r="K4727" s="1" t="n">
        <v>7896883601105</v>
      </c>
      <c r="L4727" s="1" t="s">
        <v>3230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5" t="n">
        <v>46220</v>
      </c>
      <c r="C4728" s="1" t="n">
        <v>11</v>
      </c>
      <c r="D4728" s="1" t="s">
        <v>2290</v>
      </c>
      <c r="E4728" s="1" t="n">
        <v>1814</v>
      </c>
      <c r="F4728" s="1" t="s">
        <v>339</v>
      </c>
      <c r="I4728" s="1" t="n">
        <v>27621</v>
      </c>
      <c r="J4728" s="1" t="n">
        <v>25093</v>
      </c>
      <c r="K4728" s="1" t="n">
        <v>7898951519169</v>
      </c>
      <c r="L4728" s="1" t="s">
        <v>2347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5" t="n">
        <v>46220</v>
      </c>
      <c r="C4729" s="1" t="n">
        <v>11</v>
      </c>
      <c r="D4729" s="1" t="s">
        <v>2290</v>
      </c>
      <c r="E4729" s="1" t="n">
        <v>1814</v>
      </c>
      <c r="F4729" s="1" t="s">
        <v>339</v>
      </c>
      <c r="I4729" s="1" t="n">
        <v>27621</v>
      </c>
      <c r="J4729" s="1" t="n">
        <v>25094</v>
      </c>
      <c r="K4729" s="1" t="n">
        <v>7898951519183</v>
      </c>
      <c r="L4729" s="1" t="s">
        <v>4117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5" t="n">
        <v>46220</v>
      </c>
      <c r="C4730" s="1" t="n">
        <v>11</v>
      </c>
      <c r="D4730" s="1" t="s">
        <v>2290</v>
      </c>
      <c r="E4730" s="1" t="n">
        <v>1814</v>
      </c>
      <c r="F4730" s="1" t="s">
        <v>339</v>
      </c>
      <c r="I4730" s="1" t="n">
        <v>27621</v>
      </c>
      <c r="J4730" s="1" t="n">
        <v>25095</v>
      </c>
      <c r="K4730" s="1" t="n">
        <v>7898951519145</v>
      </c>
      <c r="L4730" s="1" t="s">
        <v>2348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5" t="n">
        <v>46220</v>
      </c>
      <c r="C4731" s="1" t="n">
        <v>11</v>
      </c>
      <c r="D4731" s="1" t="s">
        <v>2290</v>
      </c>
      <c r="E4731" s="1" t="n">
        <v>1814</v>
      </c>
      <c r="F4731" s="1" t="s">
        <v>339</v>
      </c>
      <c r="I4731" s="1" t="n">
        <v>27621</v>
      </c>
      <c r="J4731" s="1" t="n">
        <v>25096</v>
      </c>
      <c r="K4731" s="1" t="n">
        <v>7898951519138</v>
      </c>
      <c r="L4731" s="1" t="s">
        <v>3231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5" t="n">
        <v>46220</v>
      </c>
      <c r="C4732" s="1" t="n">
        <v>11</v>
      </c>
      <c r="D4732" s="1" t="s">
        <v>2290</v>
      </c>
      <c r="E4732" s="1" t="n">
        <v>1814</v>
      </c>
      <c r="F4732" s="1" t="s">
        <v>339</v>
      </c>
      <c r="I4732" s="1" t="n">
        <v>27621</v>
      </c>
      <c r="J4732" s="1" t="n">
        <v>25134</v>
      </c>
      <c r="K4732" s="1" t="n">
        <v>7898951519114</v>
      </c>
      <c r="L4732" s="1" t="s">
        <v>2350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5" t="n">
        <v>46220</v>
      </c>
      <c r="C4733" s="1" t="n">
        <v>11</v>
      </c>
      <c r="D4733" s="1" t="s">
        <v>2290</v>
      </c>
      <c r="E4733" s="1" t="n">
        <v>1814</v>
      </c>
      <c r="F4733" s="1" t="s">
        <v>339</v>
      </c>
      <c r="I4733" s="1" t="n">
        <v>27621</v>
      </c>
      <c r="J4733" s="1" t="n">
        <v>25815</v>
      </c>
      <c r="K4733" s="1" t="n">
        <v>7898951519206</v>
      </c>
      <c r="L4733" s="1" t="s">
        <v>4118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5" t="n">
        <v>46220</v>
      </c>
      <c r="C4734" s="1" t="n">
        <v>11</v>
      </c>
      <c r="D4734" s="1" t="s">
        <v>2290</v>
      </c>
      <c r="E4734" s="1" t="n">
        <v>1814</v>
      </c>
      <c r="F4734" s="1" t="s">
        <v>339</v>
      </c>
      <c r="I4734" s="1" t="n">
        <v>27621</v>
      </c>
      <c r="J4734" s="1" t="n">
        <v>39930</v>
      </c>
      <c r="K4734" s="1" t="n">
        <v>7898951519060</v>
      </c>
      <c r="L4734" s="1" t="s">
        <v>2355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5" t="n">
        <v>46220</v>
      </c>
      <c r="C4735" s="1" t="n">
        <v>11</v>
      </c>
      <c r="D4735" s="1" t="s">
        <v>2290</v>
      </c>
      <c r="E4735" s="1" t="n">
        <v>1814</v>
      </c>
      <c r="F4735" s="1" t="s">
        <v>339</v>
      </c>
      <c r="I4735" s="1" t="n">
        <v>27621</v>
      </c>
      <c r="J4735" s="1" t="n">
        <v>39935</v>
      </c>
      <c r="K4735" s="1" t="n">
        <v>7898951519053</v>
      </c>
      <c r="L4735" s="1" t="s">
        <v>2357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5" t="n">
        <v>46220</v>
      </c>
      <c r="C4736" s="1" t="n">
        <v>11</v>
      </c>
      <c r="D4736" s="1" t="s">
        <v>2290</v>
      </c>
      <c r="E4736" s="1" t="n">
        <v>1814</v>
      </c>
      <c r="F4736" s="1" t="s">
        <v>339</v>
      </c>
      <c r="I4736" s="1" t="n">
        <v>27621</v>
      </c>
      <c r="J4736" s="1" t="n">
        <v>39936</v>
      </c>
      <c r="K4736" s="1" t="n">
        <v>7898951519084</v>
      </c>
      <c r="L4736" s="1" t="s">
        <v>2358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5" t="n">
        <v>46220</v>
      </c>
      <c r="C4737" s="1" t="n">
        <v>11</v>
      </c>
      <c r="D4737" s="1" t="s">
        <v>2290</v>
      </c>
      <c r="E4737" s="1" t="n">
        <v>1814</v>
      </c>
      <c r="F4737" s="1" t="s">
        <v>339</v>
      </c>
      <c r="I4737" s="1" t="n">
        <v>27621</v>
      </c>
      <c r="J4737" s="1" t="n">
        <v>39937</v>
      </c>
      <c r="K4737" s="1" t="n">
        <v>7898951519022</v>
      </c>
      <c r="L4737" s="1" t="s">
        <v>2359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5" t="n">
        <v>46220</v>
      </c>
      <c r="C4738" s="1" t="n">
        <v>11</v>
      </c>
      <c r="D4738" s="1" t="s">
        <v>2290</v>
      </c>
      <c r="E4738" s="1" t="n">
        <v>1814</v>
      </c>
      <c r="F4738" s="1" t="s">
        <v>339</v>
      </c>
      <c r="I4738" s="1" t="n">
        <v>27621</v>
      </c>
      <c r="J4738" s="1" t="n">
        <v>81422</v>
      </c>
      <c r="K4738" s="1" t="n">
        <v>7898951519336</v>
      </c>
      <c r="L4738" s="1" t="s">
        <v>3232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5" t="n">
        <v>46220</v>
      </c>
      <c r="C4739" s="1" t="n">
        <v>11</v>
      </c>
      <c r="D4739" s="1" t="s">
        <v>2290</v>
      </c>
      <c r="E4739" s="1" t="n">
        <v>1445</v>
      </c>
      <c r="F4739" s="1" t="s">
        <v>1267</v>
      </c>
      <c r="I4739" s="1" t="n">
        <v>27791</v>
      </c>
      <c r="J4739" s="1" t="n">
        <v>28745</v>
      </c>
      <c r="K4739" s="1" t="n">
        <v>7898949135197</v>
      </c>
      <c r="L4739" s="1" t="s">
        <v>4119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5" t="n">
        <v>46220</v>
      </c>
      <c r="C4740" s="1" t="n">
        <v>11</v>
      </c>
      <c r="D4740" s="1" t="s">
        <v>2290</v>
      </c>
      <c r="E4740" s="1" t="n">
        <v>1445</v>
      </c>
      <c r="F4740" s="1" t="s">
        <v>1267</v>
      </c>
      <c r="I4740" s="1" t="n">
        <v>27791</v>
      </c>
      <c r="J4740" s="1" t="n">
        <v>62173</v>
      </c>
      <c r="K4740" s="1" t="n">
        <v>7898949135227</v>
      </c>
      <c r="L4740" s="1" t="s">
        <v>4120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5" t="n">
        <v>46220</v>
      </c>
      <c r="C4741" s="1" t="n">
        <v>11</v>
      </c>
      <c r="D4741" s="1" t="s">
        <v>2290</v>
      </c>
      <c r="E4741" s="1" t="n">
        <v>1445</v>
      </c>
      <c r="F4741" s="1" t="s">
        <v>1267</v>
      </c>
      <c r="I4741" s="1" t="n">
        <v>27791</v>
      </c>
      <c r="J4741" s="1" t="n">
        <v>81770</v>
      </c>
      <c r="K4741" s="1" t="n">
        <v>7898751030024</v>
      </c>
      <c r="L4741" s="1" t="s">
        <v>4121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5" t="n">
        <v>46220</v>
      </c>
      <c r="C4742" s="1" t="n">
        <v>11</v>
      </c>
      <c r="D4742" s="1" t="s">
        <v>2290</v>
      </c>
      <c r="E4742" s="1" t="n">
        <v>1873</v>
      </c>
      <c r="F4742" s="1" t="s">
        <v>1333</v>
      </c>
      <c r="I4742" s="1" t="n">
        <v>111670</v>
      </c>
      <c r="J4742" s="1" t="n">
        <v>101854</v>
      </c>
      <c r="K4742" s="1" t="n">
        <v>7898071010010</v>
      </c>
      <c r="L4742" s="1" t="s">
        <v>4122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5" t="n">
        <v>46220</v>
      </c>
      <c r="C4743" s="1" t="n">
        <v>11</v>
      </c>
      <c r="D4743" s="1" t="s">
        <v>2290</v>
      </c>
      <c r="E4743" s="1" t="n">
        <v>1873</v>
      </c>
      <c r="F4743" s="1" t="s">
        <v>1333</v>
      </c>
      <c r="I4743" s="1" t="n">
        <v>111670</v>
      </c>
      <c r="J4743" s="1" t="n">
        <v>101855</v>
      </c>
      <c r="K4743" s="1" t="n">
        <v>7898071010027</v>
      </c>
      <c r="L4743" s="1" t="s">
        <v>4123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5" t="n">
        <v>46220</v>
      </c>
      <c r="C4744" s="1" t="n">
        <v>11</v>
      </c>
      <c r="D4744" s="1" t="s">
        <v>2290</v>
      </c>
      <c r="E4744" s="1" t="n">
        <v>1705</v>
      </c>
      <c r="F4744" s="1" t="s">
        <v>122</v>
      </c>
      <c r="I4744" s="1" t="n">
        <v>1207168</v>
      </c>
      <c r="J4744" s="1" t="n">
        <v>102360</v>
      </c>
      <c r="K4744" s="1" t="n">
        <v>7894900593709</v>
      </c>
      <c r="L4744" s="1" t="s">
        <v>3187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5" t="n">
        <v>46220</v>
      </c>
      <c r="C4745" s="1" t="n">
        <v>11</v>
      </c>
      <c r="D4745" s="1" t="s">
        <v>2290</v>
      </c>
      <c r="E4745" s="1" t="n">
        <v>1705</v>
      </c>
      <c r="F4745" s="1" t="s">
        <v>122</v>
      </c>
      <c r="I4745" s="1" t="n">
        <v>1207168</v>
      </c>
      <c r="J4745" s="1" t="n">
        <v>102361</v>
      </c>
      <c r="K4745" s="1" t="n">
        <v>7894900573701</v>
      </c>
      <c r="L4745" s="1" t="s">
        <v>4124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5" t="n">
        <v>46220</v>
      </c>
      <c r="C4746" s="1" t="n">
        <v>11</v>
      </c>
      <c r="D4746" s="1" t="s">
        <v>2290</v>
      </c>
      <c r="E4746" s="1" t="n">
        <v>1705</v>
      </c>
      <c r="F4746" s="1" t="s">
        <v>122</v>
      </c>
      <c r="I4746" s="1" t="n">
        <v>1207168</v>
      </c>
      <c r="J4746" s="1" t="n">
        <v>102362</v>
      </c>
      <c r="K4746" s="1" t="n">
        <v>7894900583700</v>
      </c>
      <c r="L4746" s="1" t="s">
        <v>3188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5" t="n">
        <v>46220</v>
      </c>
      <c r="C4747" s="1" t="n">
        <v>11</v>
      </c>
      <c r="D4747" s="1" t="s">
        <v>2290</v>
      </c>
      <c r="E4747" s="1" t="n">
        <v>1705</v>
      </c>
      <c r="F4747" s="1" t="s">
        <v>122</v>
      </c>
      <c r="I4747" s="1" t="n">
        <v>1207168</v>
      </c>
      <c r="J4747" s="1" t="n">
        <v>102363</v>
      </c>
      <c r="K4747" s="1" t="n">
        <v>7894900563702</v>
      </c>
      <c r="L4747" s="1" t="s">
        <v>4125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5" t="n">
        <v>46220</v>
      </c>
      <c r="C4748" s="1" t="n">
        <v>11</v>
      </c>
      <c r="D4748" s="1" t="s">
        <v>2290</v>
      </c>
      <c r="E4748" s="1" t="n">
        <v>1705</v>
      </c>
      <c r="F4748" s="1" t="s">
        <v>122</v>
      </c>
      <c r="I4748" s="1" t="n">
        <v>1207168</v>
      </c>
      <c r="J4748" s="1" t="n">
        <v>103159</v>
      </c>
      <c r="K4748" s="1" t="n">
        <v>7894900050011</v>
      </c>
      <c r="L4748" s="1" t="s">
        <v>4126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5" t="n">
        <v>46220</v>
      </c>
      <c r="C4749" s="1" t="n">
        <v>11</v>
      </c>
      <c r="D4749" s="1" t="s">
        <v>2290</v>
      </c>
      <c r="E4749" s="1" t="n">
        <v>1705</v>
      </c>
      <c r="F4749" s="1" t="s">
        <v>122</v>
      </c>
      <c r="I4749" s="1" t="n">
        <v>1207168</v>
      </c>
      <c r="J4749" s="1" t="n">
        <v>104575</v>
      </c>
      <c r="K4749" s="1" t="n">
        <v>7898341430098</v>
      </c>
      <c r="L4749" s="1" t="s">
        <v>3252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5" t="n">
        <v>46220</v>
      </c>
      <c r="C4750" s="1" t="n">
        <v>11</v>
      </c>
      <c r="D4750" s="1" t="s">
        <v>2290</v>
      </c>
      <c r="E4750" s="1" t="n">
        <v>1705</v>
      </c>
      <c r="F4750" s="1" t="s">
        <v>122</v>
      </c>
      <c r="I4750" s="1" t="n">
        <v>1207168</v>
      </c>
      <c r="J4750" s="1" t="n">
        <v>27643</v>
      </c>
      <c r="K4750" s="1" t="n">
        <v>7894900031713</v>
      </c>
      <c r="L4750" s="1" t="s">
        <v>2881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5" t="n">
        <v>46220</v>
      </c>
      <c r="C4751" s="1" t="n">
        <v>11</v>
      </c>
      <c r="D4751" s="1" t="s">
        <v>2290</v>
      </c>
      <c r="E4751" s="1" t="n">
        <v>1705</v>
      </c>
      <c r="F4751" s="1" t="s">
        <v>122</v>
      </c>
      <c r="I4751" s="1" t="n">
        <v>1207168</v>
      </c>
      <c r="J4751" s="1" t="n">
        <v>29747</v>
      </c>
      <c r="K4751" s="1" t="n">
        <v>70847022305</v>
      </c>
      <c r="L4751" s="1" t="s">
        <v>2294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5" t="n">
        <v>46220</v>
      </c>
      <c r="C4752" s="1" t="n">
        <v>11</v>
      </c>
      <c r="D4752" s="1" t="s">
        <v>2290</v>
      </c>
      <c r="E4752" s="1" t="n">
        <v>1705</v>
      </c>
      <c r="F4752" s="1" t="s">
        <v>122</v>
      </c>
      <c r="I4752" s="1" t="n">
        <v>1207168</v>
      </c>
      <c r="J4752" s="1" t="n">
        <v>29749</v>
      </c>
      <c r="K4752" s="1" t="n">
        <v>70847033929</v>
      </c>
      <c r="L4752" s="1" t="s">
        <v>4127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5" t="n">
        <v>46220</v>
      </c>
      <c r="C4753" s="1" t="n">
        <v>11</v>
      </c>
      <c r="D4753" s="1" t="s">
        <v>2290</v>
      </c>
      <c r="E4753" s="1" t="n">
        <v>1705</v>
      </c>
      <c r="F4753" s="1" t="s">
        <v>122</v>
      </c>
      <c r="I4753" s="1" t="n">
        <v>1207168</v>
      </c>
      <c r="J4753" s="1" t="n">
        <v>62378</v>
      </c>
      <c r="K4753" s="1" t="n">
        <v>7896045506934</v>
      </c>
      <c r="L4753" s="1" t="s">
        <v>3190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5" t="n">
        <v>46220</v>
      </c>
      <c r="C4754" s="1" t="n">
        <v>11</v>
      </c>
      <c r="D4754" s="1" t="s">
        <v>2290</v>
      </c>
      <c r="E4754" s="1" t="n">
        <v>1705</v>
      </c>
      <c r="F4754" s="1" t="s">
        <v>122</v>
      </c>
      <c r="I4754" s="1" t="n">
        <v>1207168</v>
      </c>
      <c r="J4754" s="1" t="n">
        <v>77914</v>
      </c>
      <c r="K4754" s="1" t="n">
        <v>7894900530001</v>
      </c>
      <c r="L4754" s="1" t="s">
        <v>2299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5" t="n">
        <v>46220</v>
      </c>
      <c r="C4755" s="1" t="n">
        <v>11</v>
      </c>
      <c r="D4755" s="1" t="s">
        <v>2290</v>
      </c>
      <c r="E4755" s="1" t="n">
        <v>1705</v>
      </c>
      <c r="F4755" s="1" t="s">
        <v>122</v>
      </c>
      <c r="I4755" s="1" t="n">
        <v>1207168</v>
      </c>
      <c r="J4755" s="1" t="n">
        <v>78241</v>
      </c>
      <c r="K4755" s="1" t="n">
        <v>7898938890120</v>
      </c>
      <c r="L4755" s="1" t="s">
        <v>2300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5" t="n">
        <v>46220</v>
      </c>
      <c r="C4756" s="1" t="n">
        <v>11</v>
      </c>
      <c r="D4756" s="1" t="s">
        <v>2290</v>
      </c>
      <c r="E4756" s="1" t="n">
        <v>1705</v>
      </c>
      <c r="F4756" s="1" t="s">
        <v>122</v>
      </c>
      <c r="I4756" s="1" t="n">
        <v>1207168</v>
      </c>
      <c r="J4756" s="1" t="n">
        <v>78351</v>
      </c>
      <c r="K4756" s="1" t="n">
        <v>7894900530032</v>
      </c>
      <c r="L4756" s="1" t="s">
        <v>3613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5" t="n">
        <v>46220</v>
      </c>
      <c r="C4757" s="1" t="n">
        <v>11</v>
      </c>
      <c r="D4757" s="1" t="s">
        <v>2290</v>
      </c>
      <c r="E4757" s="1" t="n">
        <v>1705</v>
      </c>
      <c r="F4757" s="1" t="s">
        <v>122</v>
      </c>
      <c r="I4757" s="1" t="n">
        <v>1940210</v>
      </c>
      <c r="J4757" s="1" t="n">
        <v>103161</v>
      </c>
      <c r="K4757" s="1" t="n">
        <v>7894900010015</v>
      </c>
      <c r="L4757" s="1" t="s">
        <v>3192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5" t="n">
        <v>46220</v>
      </c>
      <c r="C4758" s="1" t="n">
        <v>11</v>
      </c>
      <c r="D4758" s="1" t="s">
        <v>2290</v>
      </c>
      <c r="E4758" s="1" t="n">
        <v>1705</v>
      </c>
      <c r="F4758" s="1" t="s">
        <v>122</v>
      </c>
      <c r="I4758" s="1" t="n">
        <v>1940210</v>
      </c>
      <c r="J4758" s="1" t="n">
        <v>22893</v>
      </c>
      <c r="K4758" s="1" t="n">
        <v>7894900550061</v>
      </c>
      <c r="L4758" s="1" t="s">
        <v>3636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5" t="n">
        <v>46220</v>
      </c>
      <c r="C4759" s="1" t="n">
        <v>11</v>
      </c>
      <c r="D4759" s="1" t="s">
        <v>2290</v>
      </c>
      <c r="E4759" s="1" t="n">
        <v>1705</v>
      </c>
      <c r="F4759" s="1" t="s">
        <v>122</v>
      </c>
      <c r="I4759" s="1" t="n">
        <v>1940210</v>
      </c>
      <c r="J4759" s="1" t="n">
        <v>32339</v>
      </c>
      <c r="K4759" s="1" t="n">
        <v>7894900681000</v>
      </c>
      <c r="L4759" s="1" t="s">
        <v>3261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5" t="n">
        <v>46220</v>
      </c>
      <c r="C4760" s="1" t="n">
        <v>11</v>
      </c>
      <c r="D4760" s="1" t="s">
        <v>2290</v>
      </c>
      <c r="E4760" s="1" t="n">
        <v>1705</v>
      </c>
      <c r="F4760" s="1" t="s">
        <v>122</v>
      </c>
      <c r="I4760" s="1" t="n">
        <v>1940210</v>
      </c>
      <c r="J4760" s="1" t="n">
        <v>34629</v>
      </c>
      <c r="K4760" s="1" t="n">
        <v>7894900027020</v>
      </c>
      <c r="L4760" s="1" t="s">
        <v>2313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5" t="n">
        <v>46220</v>
      </c>
      <c r="C4761" s="1" t="n">
        <v>11</v>
      </c>
      <c r="D4761" s="1" t="s">
        <v>2290</v>
      </c>
      <c r="E4761" s="1" t="n">
        <v>1705</v>
      </c>
      <c r="F4761" s="1" t="s">
        <v>122</v>
      </c>
      <c r="I4761" s="1" t="n">
        <v>1940210</v>
      </c>
      <c r="J4761" s="1" t="n">
        <v>38978</v>
      </c>
      <c r="K4761" s="1" t="n">
        <v>7894900034097</v>
      </c>
      <c r="L4761" s="1" t="s">
        <v>2314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5" t="n">
        <v>46220</v>
      </c>
      <c r="C4762" s="1" t="n">
        <v>11</v>
      </c>
      <c r="D4762" s="1" t="s">
        <v>2290</v>
      </c>
      <c r="E4762" s="1" t="n">
        <v>1705</v>
      </c>
      <c r="F4762" s="1" t="s">
        <v>122</v>
      </c>
      <c r="I4762" s="1" t="n">
        <v>1940210</v>
      </c>
      <c r="J4762" s="1" t="n">
        <v>38984</v>
      </c>
      <c r="K4762" s="1" t="n">
        <v>7894900027457</v>
      </c>
      <c r="L4762" s="1" t="s">
        <v>2315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5" t="n">
        <v>46220</v>
      </c>
      <c r="C4763" s="1" t="n">
        <v>11</v>
      </c>
      <c r="D4763" s="1" t="s">
        <v>2290</v>
      </c>
      <c r="E4763" s="1" t="n">
        <v>1705</v>
      </c>
      <c r="F4763" s="1" t="s">
        <v>122</v>
      </c>
      <c r="I4763" s="1" t="n">
        <v>1940210</v>
      </c>
      <c r="J4763" s="1" t="n">
        <v>38985</v>
      </c>
      <c r="K4763" s="1" t="n">
        <v>7894900044096</v>
      </c>
      <c r="L4763" s="1" t="s">
        <v>2316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5" t="n">
        <v>46221</v>
      </c>
      <c r="C4764" s="1" t="n">
        <v>1</v>
      </c>
      <c r="D4764" s="1" t="s">
        <v>2317</v>
      </c>
      <c r="E4764" s="1" t="n">
        <v>10035</v>
      </c>
      <c r="F4764" s="1" t="s">
        <v>227</v>
      </c>
      <c r="I4764" s="1" t="n">
        <v>368</v>
      </c>
      <c r="J4764" s="1" t="n">
        <v>43726</v>
      </c>
      <c r="K4764" s="1" t="n">
        <v>2245461</v>
      </c>
      <c r="L4764" s="1" t="s">
        <v>2460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5" t="n">
        <v>46221</v>
      </c>
      <c r="C4765" s="1" t="n">
        <v>6</v>
      </c>
      <c r="D4765" s="1" t="s">
        <v>2289</v>
      </c>
      <c r="E4765" s="1" t="n">
        <v>42</v>
      </c>
      <c r="F4765" s="1" t="s">
        <v>80</v>
      </c>
      <c r="I4765" s="1" t="n">
        <v>4392</v>
      </c>
      <c r="J4765" s="1" t="n">
        <v>100103</v>
      </c>
      <c r="K4765" s="1" t="n">
        <v>104</v>
      </c>
      <c r="L4765" s="1" t="s">
        <v>2287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5" t="n">
        <v>46221</v>
      </c>
      <c r="C4766" s="1" t="n">
        <v>6</v>
      </c>
      <c r="D4766" s="1" t="s">
        <v>2289</v>
      </c>
      <c r="E4766" s="1" t="n">
        <v>42</v>
      </c>
      <c r="F4766" s="1" t="s">
        <v>80</v>
      </c>
      <c r="I4766" s="1" t="n">
        <v>4397</v>
      </c>
      <c r="J4766" s="1" t="n">
        <v>109791</v>
      </c>
      <c r="K4766" s="1" t="n">
        <v>9667</v>
      </c>
      <c r="L4766" s="1" t="s">
        <v>2284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5" t="n">
        <v>46221</v>
      </c>
      <c r="C4767" s="1" t="n">
        <v>6</v>
      </c>
      <c r="D4767" s="1" t="s">
        <v>2289</v>
      </c>
      <c r="E4767" s="1" t="n">
        <v>42</v>
      </c>
      <c r="F4767" s="1" t="s">
        <v>80</v>
      </c>
      <c r="I4767" s="1" t="n">
        <v>4397</v>
      </c>
      <c r="J4767" s="1" t="n">
        <v>37359</v>
      </c>
      <c r="K4767" s="1" t="n">
        <v>55526</v>
      </c>
      <c r="L4767" s="1" t="s">
        <v>2285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5" t="n">
        <v>46221</v>
      </c>
      <c r="C4768" s="1" t="n">
        <v>6</v>
      </c>
      <c r="D4768" s="1" t="s">
        <v>2289</v>
      </c>
      <c r="E4768" s="1" t="n">
        <v>42</v>
      </c>
      <c r="F4768" s="1" t="s">
        <v>80</v>
      </c>
      <c r="I4768" s="1" t="n">
        <v>4397</v>
      </c>
      <c r="J4768" s="1" t="n">
        <v>37361</v>
      </c>
      <c r="K4768" s="1" t="n">
        <v>2240817</v>
      </c>
      <c r="L4768" s="1" t="s">
        <v>2286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5" t="n">
        <v>46221</v>
      </c>
      <c r="C4769" s="1" t="n">
        <v>11</v>
      </c>
      <c r="D4769" s="1" t="s">
        <v>2290</v>
      </c>
      <c r="E4769" s="1" t="n">
        <v>1027</v>
      </c>
      <c r="F4769" s="1" t="s">
        <v>1328</v>
      </c>
      <c r="I4769" s="1" t="n">
        <v>2535</v>
      </c>
      <c r="J4769" s="1" t="n">
        <v>62572</v>
      </c>
      <c r="K4769" s="1" t="n">
        <v>7891172121104</v>
      </c>
      <c r="L4769" s="1" t="s">
        <v>4128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5" t="n">
        <v>46221</v>
      </c>
      <c r="C4770" s="1" t="n">
        <v>11</v>
      </c>
      <c r="D4770" s="1" t="s">
        <v>2290</v>
      </c>
      <c r="E4770" s="1" t="n">
        <v>1027</v>
      </c>
      <c r="F4770" s="1" t="s">
        <v>1328</v>
      </c>
      <c r="I4770" s="1" t="n">
        <v>2535</v>
      </c>
      <c r="J4770" s="1" t="n">
        <v>62572</v>
      </c>
      <c r="K4770" s="1" t="n">
        <v>7891172121104</v>
      </c>
      <c r="L4770" s="1" t="s">
        <v>4128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5" t="n">
        <v>46221</v>
      </c>
      <c r="C4771" s="1" t="n">
        <v>11</v>
      </c>
      <c r="D4771" s="1" t="s">
        <v>2290</v>
      </c>
      <c r="E4771" s="1" t="n">
        <v>1027</v>
      </c>
      <c r="F4771" s="1" t="s">
        <v>1328</v>
      </c>
      <c r="I4771" s="1" t="n">
        <v>2535</v>
      </c>
      <c r="J4771" s="1" t="n">
        <v>62572</v>
      </c>
      <c r="K4771" s="1" t="n">
        <v>7891172121104</v>
      </c>
      <c r="L4771" s="1" t="s">
        <v>4128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5" t="n">
        <v>46221</v>
      </c>
      <c r="C4772" s="1" t="n">
        <v>11</v>
      </c>
      <c r="D4772" s="1" t="s">
        <v>2290</v>
      </c>
      <c r="E4772" s="1" t="n">
        <v>1027</v>
      </c>
      <c r="F4772" s="1" t="s">
        <v>1328</v>
      </c>
      <c r="I4772" s="1" t="n">
        <v>2535</v>
      </c>
      <c r="J4772" s="1" t="n">
        <v>62572</v>
      </c>
      <c r="K4772" s="1" t="n">
        <v>7891172121104</v>
      </c>
      <c r="L4772" s="1" t="s">
        <v>4128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5" t="n">
        <v>46221</v>
      </c>
      <c r="C4773" s="1" t="n">
        <v>11</v>
      </c>
      <c r="D4773" s="1" t="s">
        <v>2290</v>
      </c>
      <c r="E4773" s="1" t="n">
        <v>1027</v>
      </c>
      <c r="F4773" s="1" t="s">
        <v>1328</v>
      </c>
      <c r="I4773" s="1" t="n">
        <v>2535</v>
      </c>
      <c r="J4773" s="1" t="n">
        <v>81756</v>
      </c>
      <c r="K4773" s="1" t="n">
        <v>817578</v>
      </c>
      <c r="L4773" s="1" t="s">
        <v>4129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5" t="n">
        <v>46221</v>
      </c>
      <c r="C4774" s="1" t="n">
        <v>11</v>
      </c>
      <c r="D4774" s="1" t="s">
        <v>2290</v>
      </c>
      <c r="E4774" s="1" t="n">
        <v>1027</v>
      </c>
      <c r="F4774" s="1" t="s">
        <v>1328</v>
      </c>
      <c r="I4774" s="1" t="n">
        <v>2535</v>
      </c>
      <c r="J4774" s="1" t="n">
        <v>81758</v>
      </c>
      <c r="K4774" s="1" t="n">
        <v>7893010832081</v>
      </c>
      <c r="L4774" s="1" t="s">
        <v>4130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5" t="n">
        <v>46221</v>
      </c>
      <c r="C4775" s="1" t="n">
        <v>11</v>
      </c>
      <c r="D4775" s="1" t="s">
        <v>2290</v>
      </c>
      <c r="E4775" s="1" t="n">
        <v>1378</v>
      </c>
      <c r="F4775" s="1" t="s">
        <v>120</v>
      </c>
      <c r="I4775" s="1" t="n">
        <v>18250</v>
      </c>
      <c r="J4775" s="1" t="n">
        <v>74061</v>
      </c>
      <c r="K4775" s="1" t="n">
        <v>42882264255</v>
      </c>
      <c r="L4775" s="1" t="s">
        <v>2340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5" t="n">
        <v>46221</v>
      </c>
      <c r="C4776" s="1" t="n">
        <v>11</v>
      </c>
      <c r="D4776" s="1" t="s">
        <v>2290</v>
      </c>
      <c r="E4776" s="1" t="n">
        <v>1378</v>
      </c>
      <c r="F4776" s="1" t="s">
        <v>120</v>
      </c>
      <c r="I4776" s="1" t="n">
        <v>18250</v>
      </c>
      <c r="J4776" s="1" t="n">
        <v>74063</v>
      </c>
      <c r="K4776" s="1" t="n">
        <v>42882264262</v>
      </c>
      <c r="L4776" s="1" t="s">
        <v>2341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5" t="n">
        <v>46221</v>
      </c>
      <c r="C4777" s="1" t="n">
        <v>11</v>
      </c>
      <c r="D4777" s="1" t="s">
        <v>2290</v>
      </c>
      <c r="E4777" s="1" t="n">
        <v>1378</v>
      </c>
      <c r="F4777" s="1" t="s">
        <v>120</v>
      </c>
      <c r="I4777" s="1" t="n">
        <v>18250</v>
      </c>
      <c r="J4777" s="1" t="n">
        <v>74064</v>
      </c>
      <c r="K4777" s="1" t="n">
        <v>42882264279</v>
      </c>
      <c r="L4777" s="1" t="s">
        <v>2342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5" t="n">
        <v>46221</v>
      </c>
      <c r="C4778" s="1" t="n">
        <v>11</v>
      </c>
      <c r="D4778" s="1" t="s">
        <v>2290</v>
      </c>
      <c r="E4778" s="1" t="n">
        <v>1378</v>
      </c>
      <c r="F4778" s="1" t="s">
        <v>120</v>
      </c>
      <c r="I4778" s="1" t="n">
        <v>18250</v>
      </c>
      <c r="J4778" s="1" t="n">
        <v>74065</v>
      </c>
      <c r="K4778" s="1" t="n">
        <v>602883558090</v>
      </c>
      <c r="L4778" s="1" t="s">
        <v>2343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5" t="n">
        <v>46221</v>
      </c>
      <c r="C4779" s="1" t="n">
        <v>11</v>
      </c>
      <c r="D4779" s="1" t="s">
        <v>2290</v>
      </c>
      <c r="E4779" s="1" t="n">
        <v>1378</v>
      </c>
      <c r="F4779" s="1" t="s">
        <v>120</v>
      </c>
      <c r="I4779" s="1" t="n">
        <v>18250</v>
      </c>
      <c r="J4779" s="1" t="n">
        <v>77994</v>
      </c>
      <c r="K4779" s="1" t="n">
        <v>780117</v>
      </c>
      <c r="L4779" s="1" t="s">
        <v>2344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5" t="n">
        <v>46221</v>
      </c>
      <c r="C4780" s="1" t="n">
        <v>11</v>
      </c>
      <c r="D4780" s="1" t="s">
        <v>2290</v>
      </c>
      <c r="E4780" s="1" t="n">
        <v>1681</v>
      </c>
      <c r="F4780" s="1" t="s">
        <v>1345</v>
      </c>
      <c r="I4780" s="1" t="n">
        <v>39195</v>
      </c>
      <c r="J4780" s="1" t="n">
        <v>100035</v>
      </c>
      <c r="K4780" s="1" t="n">
        <v>36</v>
      </c>
      <c r="L4780" s="1" t="s">
        <v>2391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5" t="n">
        <v>46221</v>
      </c>
      <c r="C4781" s="1" t="n">
        <v>11</v>
      </c>
      <c r="D4781" s="1" t="s">
        <v>2290</v>
      </c>
      <c r="E4781" s="1" t="n">
        <v>1681</v>
      </c>
      <c r="F4781" s="1" t="s">
        <v>1345</v>
      </c>
      <c r="I4781" s="1" t="n">
        <v>39195</v>
      </c>
      <c r="J4781" s="1" t="n">
        <v>101262</v>
      </c>
      <c r="K4781" s="1" t="n">
        <v>7896179500013</v>
      </c>
      <c r="L4781" s="1" t="s">
        <v>4131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5" t="n">
        <v>46221</v>
      </c>
      <c r="C4782" s="1" t="n">
        <v>11</v>
      </c>
      <c r="D4782" s="1" t="s">
        <v>2290</v>
      </c>
      <c r="E4782" s="1" t="n">
        <v>1681</v>
      </c>
      <c r="F4782" s="1" t="s">
        <v>1345</v>
      </c>
      <c r="I4782" s="1" t="n">
        <v>39195</v>
      </c>
      <c r="J4782" s="1" t="n">
        <v>102302</v>
      </c>
      <c r="K4782" s="1" t="n">
        <v>7896011900025</v>
      </c>
      <c r="L4782" s="1" t="s">
        <v>4132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5" t="n">
        <v>46221</v>
      </c>
      <c r="C4783" s="1" t="n">
        <v>11</v>
      </c>
      <c r="D4783" s="1" t="s">
        <v>2290</v>
      </c>
      <c r="E4783" s="1" t="n">
        <v>1681</v>
      </c>
      <c r="F4783" s="1" t="s">
        <v>1345</v>
      </c>
      <c r="I4783" s="1" t="n">
        <v>39195</v>
      </c>
      <c r="J4783" s="1" t="n">
        <v>103851</v>
      </c>
      <c r="K4783" s="1" t="n">
        <v>7893000482401</v>
      </c>
      <c r="L4783" s="1" t="s">
        <v>2844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5" t="n">
        <v>46221</v>
      </c>
      <c r="C4784" s="1" t="n">
        <v>11</v>
      </c>
      <c r="D4784" s="1" t="s">
        <v>2290</v>
      </c>
      <c r="E4784" s="1" t="n">
        <v>1681</v>
      </c>
      <c r="F4784" s="1" t="s">
        <v>1345</v>
      </c>
      <c r="I4784" s="1" t="n">
        <v>39195</v>
      </c>
      <c r="J4784" s="1" t="n">
        <v>23197</v>
      </c>
      <c r="K4784" s="1" t="n">
        <v>7896116900029</v>
      </c>
      <c r="L4784" s="1" t="s">
        <v>3241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5" t="n">
        <v>46221</v>
      </c>
      <c r="C4785" s="1" t="n">
        <v>11</v>
      </c>
      <c r="D4785" s="1" t="s">
        <v>2290</v>
      </c>
      <c r="E4785" s="1" t="n">
        <v>1681</v>
      </c>
      <c r="F4785" s="1" t="s">
        <v>1345</v>
      </c>
      <c r="I4785" s="1" t="n">
        <v>39195</v>
      </c>
      <c r="J4785" s="1" t="n">
        <v>23695</v>
      </c>
      <c r="K4785" s="1" t="n">
        <v>7891515474126</v>
      </c>
      <c r="L4785" s="1" t="s">
        <v>2995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5" t="n">
        <v>46221</v>
      </c>
      <c r="C4786" s="1" t="n">
        <v>11</v>
      </c>
      <c r="D4786" s="1" t="s">
        <v>2290</v>
      </c>
      <c r="E4786" s="1" t="n">
        <v>1681</v>
      </c>
      <c r="F4786" s="1" t="s">
        <v>1345</v>
      </c>
      <c r="I4786" s="1" t="n">
        <v>39195</v>
      </c>
      <c r="J4786" s="1" t="n">
        <v>24024</v>
      </c>
      <c r="K4786" s="1" t="n">
        <v>7896116900432</v>
      </c>
      <c r="L4786" s="1" t="s">
        <v>2392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5" t="n">
        <v>46221</v>
      </c>
      <c r="C4787" s="1" t="n">
        <v>11</v>
      </c>
      <c r="D4787" s="1" t="s">
        <v>2290</v>
      </c>
      <c r="E4787" s="1" t="n">
        <v>1681</v>
      </c>
      <c r="F4787" s="1" t="s">
        <v>1345</v>
      </c>
      <c r="I4787" s="1" t="n">
        <v>39195</v>
      </c>
      <c r="J4787" s="1" t="n">
        <v>29054</v>
      </c>
      <c r="K4787" s="1" t="n">
        <v>7893000018778</v>
      </c>
      <c r="L4787" s="1" t="s">
        <v>4133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5" t="n">
        <v>46221</v>
      </c>
      <c r="C4788" s="1" t="n">
        <v>11</v>
      </c>
      <c r="D4788" s="1" t="s">
        <v>2290</v>
      </c>
      <c r="E4788" s="1" t="n">
        <v>1681</v>
      </c>
      <c r="F4788" s="1" t="s">
        <v>1345</v>
      </c>
      <c r="I4788" s="1" t="n">
        <v>39195</v>
      </c>
      <c r="J4788" s="1" t="n">
        <v>29054</v>
      </c>
      <c r="K4788" s="1" t="n">
        <v>7893000018778</v>
      </c>
      <c r="L4788" s="1" t="s">
        <v>4133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5" t="n">
        <v>46221</v>
      </c>
      <c r="C4789" s="1" t="n">
        <v>11</v>
      </c>
      <c r="D4789" s="1" t="s">
        <v>2290</v>
      </c>
      <c r="E4789" s="1" t="n">
        <v>1681</v>
      </c>
      <c r="F4789" s="1" t="s">
        <v>1345</v>
      </c>
      <c r="I4789" s="1" t="n">
        <v>39195</v>
      </c>
      <c r="J4789" s="1" t="n">
        <v>31859</v>
      </c>
      <c r="K4789" s="1" t="n">
        <v>7898922012385</v>
      </c>
      <c r="L4789" s="1" t="s">
        <v>3243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5" t="n">
        <v>46221</v>
      </c>
      <c r="C4790" s="1" t="n">
        <v>11</v>
      </c>
      <c r="D4790" s="1" t="s">
        <v>2290</v>
      </c>
      <c r="E4790" s="1" t="n">
        <v>1681</v>
      </c>
      <c r="F4790" s="1" t="s">
        <v>1345</v>
      </c>
      <c r="I4790" s="1" t="n">
        <v>39195</v>
      </c>
      <c r="J4790" s="1" t="n">
        <v>110849</v>
      </c>
      <c r="K4790" s="1" t="n">
        <v>75165</v>
      </c>
      <c r="L4790" s="1" t="s">
        <v>4134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5" t="n">
        <v>46221</v>
      </c>
      <c r="C4791" s="1" t="n">
        <v>11</v>
      </c>
      <c r="D4791" s="1" t="s">
        <v>2290</v>
      </c>
      <c r="E4791" s="1" t="n">
        <v>1723</v>
      </c>
      <c r="F4791" s="1" t="s">
        <v>76</v>
      </c>
      <c r="I4791" s="1" t="n">
        <v>173151</v>
      </c>
      <c r="J4791" s="1" t="n">
        <v>29079</v>
      </c>
      <c r="K4791" s="1" t="n">
        <v>55515</v>
      </c>
      <c r="L4791" s="1" t="s">
        <v>2360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5" t="n">
        <v>46221</v>
      </c>
      <c r="C4792" s="1" t="n">
        <v>11</v>
      </c>
      <c r="D4792" s="1" t="s">
        <v>2290</v>
      </c>
      <c r="E4792" s="1" t="n">
        <v>1723</v>
      </c>
      <c r="F4792" s="1" t="s">
        <v>76</v>
      </c>
      <c r="I4792" s="1" t="n">
        <v>173151</v>
      </c>
      <c r="J4792" s="1" t="n">
        <v>29080</v>
      </c>
      <c r="K4792" s="1" t="n">
        <v>55516</v>
      </c>
      <c r="L4792" s="1" t="s">
        <v>2362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5" t="n">
        <v>46221</v>
      </c>
      <c r="C4793" s="1" t="n">
        <v>11</v>
      </c>
      <c r="D4793" s="1" t="s">
        <v>2290</v>
      </c>
      <c r="E4793" s="1" t="n">
        <v>1723</v>
      </c>
      <c r="F4793" s="1" t="s">
        <v>76</v>
      </c>
      <c r="I4793" s="1" t="n">
        <v>173328</v>
      </c>
      <c r="J4793" s="1" t="n">
        <v>29079</v>
      </c>
      <c r="K4793" s="1" t="n">
        <v>55515</v>
      </c>
      <c r="L4793" s="1" t="s">
        <v>2360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5" t="n">
        <v>46221</v>
      </c>
      <c r="C4794" s="1" t="n">
        <v>11</v>
      </c>
      <c r="D4794" s="1" t="s">
        <v>2290</v>
      </c>
      <c r="E4794" s="1" t="n">
        <v>1723</v>
      </c>
      <c r="F4794" s="1" t="s">
        <v>76</v>
      </c>
      <c r="I4794" s="1" t="n">
        <v>173328</v>
      </c>
      <c r="J4794" s="1" t="n">
        <v>110184</v>
      </c>
      <c r="K4794" s="1" t="n">
        <v>37393</v>
      </c>
      <c r="L4794" s="1" t="s">
        <v>2584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5" t="n">
        <v>46221</v>
      </c>
      <c r="C4795" s="1" t="n">
        <v>11</v>
      </c>
      <c r="D4795" s="1" t="s">
        <v>2290</v>
      </c>
      <c r="E4795" s="1" t="n">
        <v>1621</v>
      </c>
      <c r="F4795" s="1" t="s">
        <v>306</v>
      </c>
      <c r="I4795" s="1" t="n">
        <v>899327</v>
      </c>
      <c r="J4795" s="1" t="n">
        <v>52560</v>
      </c>
      <c r="K4795" s="1" t="n">
        <v>7891991299619</v>
      </c>
      <c r="L4795" s="1" t="s">
        <v>4135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5" t="n">
        <v>46221</v>
      </c>
      <c r="C4796" s="1" t="n">
        <v>22</v>
      </c>
      <c r="D4796" s="1" t="s">
        <v>2436</v>
      </c>
      <c r="E4796" s="1" t="n">
        <v>42</v>
      </c>
      <c r="F4796" s="1" t="s">
        <v>80</v>
      </c>
      <c r="I4796" s="1" t="n">
        <v>4394</v>
      </c>
      <c r="J4796" s="1" t="n">
        <v>100000</v>
      </c>
      <c r="K4796" s="1" t="n">
        <v>1</v>
      </c>
      <c r="L4796" s="1" t="s">
        <v>2451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5" t="n">
        <v>46221</v>
      </c>
      <c r="C4797" s="1" t="n">
        <v>22</v>
      </c>
      <c r="D4797" s="1" t="s">
        <v>2436</v>
      </c>
      <c r="E4797" s="1" t="n">
        <v>42</v>
      </c>
      <c r="F4797" s="1" t="s">
        <v>80</v>
      </c>
      <c r="I4797" s="1" t="n">
        <v>4394</v>
      </c>
      <c r="J4797" s="1" t="n">
        <v>100001</v>
      </c>
      <c r="K4797" s="1" t="n">
        <v>2</v>
      </c>
      <c r="L4797" s="1" t="s">
        <v>2452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5" t="n">
        <v>46221</v>
      </c>
      <c r="C4798" s="1" t="n">
        <v>22</v>
      </c>
      <c r="D4798" s="1" t="s">
        <v>2436</v>
      </c>
      <c r="E4798" s="1" t="n">
        <v>42</v>
      </c>
      <c r="F4798" s="1" t="s">
        <v>80</v>
      </c>
      <c r="I4798" s="1" t="n">
        <v>4394</v>
      </c>
      <c r="J4798" s="1" t="n">
        <v>100002</v>
      </c>
      <c r="K4798" s="1" t="n">
        <v>3</v>
      </c>
      <c r="L4798" s="1" t="s">
        <v>2453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5" t="n">
        <v>46221</v>
      </c>
      <c r="C4799" s="1" t="n">
        <v>22</v>
      </c>
      <c r="D4799" s="1" t="s">
        <v>2436</v>
      </c>
      <c r="E4799" s="1" t="n">
        <v>42</v>
      </c>
      <c r="F4799" s="1" t="s">
        <v>80</v>
      </c>
      <c r="I4799" s="1" t="n">
        <v>4394</v>
      </c>
      <c r="J4799" s="1" t="n">
        <v>100003</v>
      </c>
      <c r="K4799" s="1" t="n">
        <v>4</v>
      </c>
      <c r="L4799" s="1" t="s">
        <v>2454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5" t="n">
        <v>46221</v>
      </c>
      <c r="C4800" s="1" t="n">
        <v>22</v>
      </c>
      <c r="D4800" s="1" t="s">
        <v>2436</v>
      </c>
      <c r="E4800" s="1" t="n">
        <v>42</v>
      </c>
      <c r="F4800" s="1" t="s">
        <v>80</v>
      </c>
      <c r="I4800" s="1" t="n">
        <v>4394</v>
      </c>
      <c r="J4800" s="1" t="n">
        <v>100006</v>
      </c>
      <c r="K4800" s="1" t="n">
        <v>7</v>
      </c>
      <c r="L4800" s="1" t="s">
        <v>2437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5" t="n">
        <v>46221</v>
      </c>
      <c r="C4801" s="1" t="n">
        <v>22</v>
      </c>
      <c r="D4801" s="1" t="s">
        <v>2436</v>
      </c>
      <c r="E4801" s="1" t="n">
        <v>42</v>
      </c>
      <c r="F4801" s="1" t="s">
        <v>80</v>
      </c>
      <c r="I4801" s="1" t="n">
        <v>4394</v>
      </c>
      <c r="J4801" s="1" t="n">
        <v>100007</v>
      </c>
      <c r="K4801" s="1" t="n">
        <v>8</v>
      </c>
      <c r="L4801" s="1" t="s">
        <v>2455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5" t="n">
        <v>46221</v>
      </c>
      <c r="C4802" s="1" t="n">
        <v>22</v>
      </c>
      <c r="D4802" s="1" t="s">
        <v>2436</v>
      </c>
      <c r="E4802" s="1" t="n">
        <v>42</v>
      </c>
      <c r="F4802" s="1" t="s">
        <v>80</v>
      </c>
      <c r="I4802" s="1" t="n">
        <v>4394</v>
      </c>
      <c r="J4802" s="1" t="n">
        <v>100008</v>
      </c>
      <c r="K4802" s="1" t="n">
        <v>9</v>
      </c>
      <c r="L4802" s="1" t="s">
        <v>2438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5" t="n">
        <v>46221</v>
      </c>
      <c r="C4803" s="1" t="n">
        <v>22</v>
      </c>
      <c r="D4803" s="1" t="s">
        <v>2436</v>
      </c>
      <c r="E4803" s="1" t="n">
        <v>42</v>
      </c>
      <c r="F4803" s="1" t="s">
        <v>80</v>
      </c>
      <c r="I4803" s="1" t="n">
        <v>4394</v>
      </c>
      <c r="J4803" s="1" t="n">
        <v>100010</v>
      </c>
      <c r="K4803" s="1" t="n">
        <v>11</v>
      </c>
      <c r="L4803" s="1" t="s">
        <v>2439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5" t="n">
        <v>46221</v>
      </c>
      <c r="C4804" s="1" t="n">
        <v>22</v>
      </c>
      <c r="D4804" s="1" t="s">
        <v>2436</v>
      </c>
      <c r="E4804" s="1" t="n">
        <v>42</v>
      </c>
      <c r="F4804" s="1" t="s">
        <v>80</v>
      </c>
      <c r="I4804" s="1" t="n">
        <v>4394</v>
      </c>
      <c r="J4804" s="1" t="n">
        <v>100011</v>
      </c>
      <c r="K4804" s="1" t="n">
        <v>12</v>
      </c>
      <c r="L4804" s="1" t="s">
        <v>2440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5" t="n">
        <v>46221</v>
      </c>
      <c r="C4805" s="1" t="n">
        <v>22</v>
      </c>
      <c r="D4805" s="1" t="s">
        <v>2436</v>
      </c>
      <c r="E4805" s="1" t="n">
        <v>42</v>
      </c>
      <c r="F4805" s="1" t="s">
        <v>80</v>
      </c>
      <c r="I4805" s="1" t="n">
        <v>4394</v>
      </c>
      <c r="J4805" s="1" t="n">
        <v>100012</v>
      </c>
      <c r="K4805" s="1" t="n">
        <v>13</v>
      </c>
      <c r="L4805" s="1" t="s">
        <v>2441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5" t="n">
        <v>46221</v>
      </c>
      <c r="C4806" s="1" t="n">
        <v>22</v>
      </c>
      <c r="D4806" s="1" t="s">
        <v>2436</v>
      </c>
      <c r="E4806" s="1" t="n">
        <v>42</v>
      </c>
      <c r="F4806" s="1" t="s">
        <v>80</v>
      </c>
      <c r="I4806" s="1" t="n">
        <v>4394</v>
      </c>
      <c r="J4806" s="1" t="n">
        <v>100013</v>
      </c>
      <c r="K4806" s="1" t="n">
        <v>14</v>
      </c>
      <c r="L4806" s="1" t="s">
        <v>2442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5" t="n">
        <v>46221</v>
      </c>
      <c r="C4807" s="1" t="n">
        <v>22</v>
      </c>
      <c r="D4807" s="1" t="s">
        <v>2436</v>
      </c>
      <c r="E4807" s="1" t="n">
        <v>42</v>
      </c>
      <c r="F4807" s="1" t="s">
        <v>80</v>
      </c>
      <c r="I4807" s="1" t="n">
        <v>4394</v>
      </c>
      <c r="J4807" s="1" t="n">
        <v>100014</v>
      </c>
      <c r="K4807" s="1" t="n">
        <v>15</v>
      </c>
      <c r="L4807" s="1" t="s">
        <v>2443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5" t="n">
        <v>46221</v>
      </c>
      <c r="C4808" s="1" t="n">
        <v>22</v>
      </c>
      <c r="D4808" s="1" t="s">
        <v>2436</v>
      </c>
      <c r="E4808" s="1" t="n">
        <v>42</v>
      </c>
      <c r="F4808" s="1" t="s">
        <v>80</v>
      </c>
      <c r="I4808" s="1" t="n">
        <v>4394</v>
      </c>
      <c r="J4808" s="1" t="n">
        <v>100015</v>
      </c>
      <c r="K4808" s="1" t="n">
        <v>16</v>
      </c>
      <c r="L4808" s="1" t="s">
        <v>2444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5" t="n">
        <v>46221</v>
      </c>
      <c r="C4809" s="1" t="n">
        <v>22</v>
      </c>
      <c r="D4809" s="1" t="s">
        <v>2436</v>
      </c>
      <c r="E4809" s="1" t="n">
        <v>42</v>
      </c>
      <c r="F4809" s="1" t="s">
        <v>80</v>
      </c>
      <c r="I4809" s="1" t="n">
        <v>4394</v>
      </c>
      <c r="J4809" s="1" t="n">
        <v>100016</v>
      </c>
      <c r="K4809" s="1" t="n">
        <v>17</v>
      </c>
      <c r="L4809" s="1" t="s">
        <v>2445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5" t="n">
        <v>46221</v>
      </c>
      <c r="C4810" s="1" t="n">
        <v>22</v>
      </c>
      <c r="D4810" s="1" t="s">
        <v>2436</v>
      </c>
      <c r="E4810" s="1" t="n">
        <v>42</v>
      </c>
      <c r="F4810" s="1" t="s">
        <v>80</v>
      </c>
      <c r="I4810" s="1" t="n">
        <v>4394</v>
      </c>
      <c r="J4810" s="1" t="n">
        <v>100017</v>
      </c>
      <c r="K4810" s="1" t="n">
        <v>18</v>
      </c>
      <c r="L4810" s="1" t="s">
        <v>2446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5" t="n">
        <v>46221</v>
      </c>
      <c r="C4811" s="1" t="n">
        <v>22</v>
      </c>
      <c r="D4811" s="1" t="s">
        <v>2436</v>
      </c>
      <c r="E4811" s="1" t="n">
        <v>42</v>
      </c>
      <c r="F4811" s="1" t="s">
        <v>80</v>
      </c>
      <c r="I4811" s="1" t="n">
        <v>4394</v>
      </c>
      <c r="J4811" s="1" t="n">
        <v>100019</v>
      </c>
      <c r="K4811" s="1" t="n">
        <v>20</v>
      </c>
      <c r="L4811" s="1" t="s">
        <v>4136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5" t="n">
        <v>46221</v>
      </c>
      <c r="C4812" s="1" t="n">
        <v>22</v>
      </c>
      <c r="D4812" s="1" t="s">
        <v>2436</v>
      </c>
      <c r="E4812" s="1" t="n">
        <v>42</v>
      </c>
      <c r="F4812" s="1" t="s">
        <v>80</v>
      </c>
      <c r="I4812" s="1" t="n">
        <v>4394</v>
      </c>
      <c r="J4812" s="1" t="n">
        <v>100020</v>
      </c>
      <c r="K4812" s="1" t="n">
        <v>21</v>
      </c>
      <c r="L4812" s="1" t="s">
        <v>2456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5" t="n">
        <v>46221</v>
      </c>
      <c r="C4813" s="1" t="n">
        <v>22</v>
      </c>
      <c r="D4813" s="1" t="s">
        <v>2436</v>
      </c>
      <c r="E4813" s="1" t="n">
        <v>42</v>
      </c>
      <c r="F4813" s="1" t="s">
        <v>80</v>
      </c>
      <c r="I4813" s="1" t="n">
        <v>4394</v>
      </c>
      <c r="J4813" s="1" t="n">
        <v>100023</v>
      </c>
      <c r="K4813" s="1" t="n">
        <v>24</v>
      </c>
      <c r="L4813" s="1" t="s">
        <v>3826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5" t="n">
        <v>46221</v>
      </c>
      <c r="C4814" s="1" t="n">
        <v>22</v>
      </c>
      <c r="D4814" s="1" t="s">
        <v>2436</v>
      </c>
      <c r="E4814" s="1" t="n">
        <v>42</v>
      </c>
      <c r="F4814" s="1" t="s">
        <v>80</v>
      </c>
      <c r="I4814" s="1" t="n">
        <v>4394</v>
      </c>
      <c r="J4814" s="1" t="n">
        <v>100053</v>
      </c>
      <c r="K4814" s="1" t="n">
        <v>54</v>
      </c>
      <c r="L4814" s="1" t="s">
        <v>2447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5" t="n">
        <v>46221</v>
      </c>
      <c r="C4815" s="1" t="n">
        <v>22</v>
      </c>
      <c r="D4815" s="1" t="s">
        <v>2436</v>
      </c>
      <c r="E4815" s="1" t="n">
        <v>42</v>
      </c>
      <c r="F4815" s="1" t="s">
        <v>80</v>
      </c>
      <c r="I4815" s="1" t="n">
        <v>4394</v>
      </c>
      <c r="J4815" s="1" t="n">
        <v>100638</v>
      </c>
      <c r="K4815" s="1" t="n">
        <v>508</v>
      </c>
      <c r="L4815" s="1" t="s">
        <v>2448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5" t="n">
        <v>46221</v>
      </c>
      <c r="C4816" s="1" t="n">
        <v>22</v>
      </c>
      <c r="D4816" s="1" t="s">
        <v>2436</v>
      </c>
      <c r="E4816" s="1" t="n">
        <v>42</v>
      </c>
      <c r="F4816" s="1" t="s">
        <v>80</v>
      </c>
      <c r="I4816" s="1" t="n">
        <v>4394</v>
      </c>
      <c r="J4816" s="1" t="n">
        <v>100638</v>
      </c>
      <c r="K4816" s="1" t="n">
        <v>508</v>
      </c>
      <c r="L4816" s="1" t="s">
        <v>2448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5" t="n">
        <v>46221</v>
      </c>
      <c r="C4817" s="1" t="n">
        <v>22</v>
      </c>
      <c r="D4817" s="1" t="s">
        <v>2436</v>
      </c>
      <c r="E4817" s="1" t="n">
        <v>42</v>
      </c>
      <c r="F4817" s="1" t="s">
        <v>80</v>
      </c>
      <c r="I4817" s="1" t="n">
        <v>4394</v>
      </c>
      <c r="J4817" s="1" t="n">
        <v>100520</v>
      </c>
      <c r="K4817" s="1" t="n">
        <v>507</v>
      </c>
      <c r="L4817" s="1" t="s">
        <v>2449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5" t="n">
        <v>46221</v>
      </c>
      <c r="C4818" s="1" t="n">
        <v>22</v>
      </c>
      <c r="D4818" s="1" t="s">
        <v>2436</v>
      </c>
      <c r="E4818" s="1" t="n">
        <v>42</v>
      </c>
      <c r="F4818" s="1" t="s">
        <v>80</v>
      </c>
      <c r="I4818" s="1" t="n">
        <v>4394</v>
      </c>
      <c r="J4818" s="1" t="n">
        <v>100520</v>
      </c>
      <c r="K4818" s="1" t="n">
        <v>507</v>
      </c>
      <c r="L4818" s="1" t="s">
        <v>2449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5" t="n">
        <v>46221</v>
      </c>
      <c r="C4819" s="1" t="n">
        <v>22</v>
      </c>
      <c r="D4819" s="1" t="s">
        <v>2436</v>
      </c>
      <c r="E4819" s="1" t="n">
        <v>42</v>
      </c>
      <c r="F4819" s="1" t="s">
        <v>80</v>
      </c>
      <c r="I4819" s="1" t="n">
        <v>4394</v>
      </c>
      <c r="J4819" s="1" t="n">
        <v>110455</v>
      </c>
      <c r="K4819" s="1" t="n">
        <v>53212</v>
      </c>
      <c r="L4819" s="1" t="s">
        <v>2450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5" t="n">
        <v>46221</v>
      </c>
      <c r="C4820" s="1" t="n">
        <v>22</v>
      </c>
      <c r="D4820" s="1" t="s">
        <v>2436</v>
      </c>
      <c r="E4820" s="1" t="n">
        <v>42</v>
      </c>
      <c r="F4820" s="1" t="s">
        <v>80</v>
      </c>
      <c r="I4820" s="1" t="n">
        <v>4394</v>
      </c>
      <c r="J4820" s="1" t="n">
        <v>110455</v>
      </c>
      <c r="K4820" s="1" t="n">
        <v>53212</v>
      </c>
      <c r="L4820" s="1" t="s">
        <v>2450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5" t="n">
        <v>46221</v>
      </c>
      <c r="C4821" s="1" t="n">
        <v>22</v>
      </c>
      <c r="D4821" s="1" t="s">
        <v>2436</v>
      </c>
      <c r="E4821" s="1" t="n">
        <v>42</v>
      </c>
      <c r="F4821" s="1" t="s">
        <v>80</v>
      </c>
      <c r="I4821" s="1" t="n">
        <v>4396</v>
      </c>
      <c r="J4821" s="1" t="n">
        <v>100006</v>
      </c>
      <c r="K4821" s="1" t="n">
        <v>7</v>
      </c>
      <c r="L4821" s="1" t="s">
        <v>2437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5" t="n">
        <v>46221</v>
      </c>
      <c r="C4822" s="1" t="n">
        <v>22</v>
      </c>
      <c r="D4822" s="1" t="s">
        <v>2436</v>
      </c>
      <c r="E4822" s="1" t="n">
        <v>42</v>
      </c>
      <c r="F4822" s="1" t="s">
        <v>80</v>
      </c>
      <c r="I4822" s="1" t="n">
        <v>4396</v>
      </c>
      <c r="J4822" s="1" t="n">
        <v>100008</v>
      </c>
      <c r="K4822" s="1" t="n">
        <v>9</v>
      </c>
      <c r="L4822" s="1" t="s">
        <v>2438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5" t="n">
        <v>46221</v>
      </c>
      <c r="C4823" s="1" t="n">
        <v>22</v>
      </c>
      <c r="D4823" s="1" t="s">
        <v>2436</v>
      </c>
      <c r="E4823" s="1" t="n">
        <v>42</v>
      </c>
      <c r="F4823" s="1" t="s">
        <v>80</v>
      </c>
      <c r="I4823" s="1" t="n">
        <v>4396</v>
      </c>
      <c r="J4823" s="1" t="n">
        <v>100010</v>
      </c>
      <c r="K4823" s="1" t="n">
        <v>11</v>
      </c>
      <c r="L4823" s="1" t="s">
        <v>2439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5" t="n">
        <v>46221</v>
      </c>
      <c r="C4824" s="1" t="n">
        <v>22</v>
      </c>
      <c r="D4824" s="1" t="s">
        <v>2436</v>
      </c>
      <c r="E4824" s="1" t="n">
        <v>42</v>
      </c>
      <c r="F4824" s="1" t="s">
        <v>80</v>
      </c>
      <c r="I4824" s="1" t="n">
        <v>4396</v>
      </c>
      <c r="J4824" s="1" t="n">
        <v>100011</v>
      </c>
      <c r="K4824" s="1" t="n">
        <v>12</v>
      </c>
      <c r="L4824" s="1" t="s">
        <v>2440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5" t="n">
        <v>46221</v>
      </c>
      <c r="C4825" s="1" t="n">
        <v>22</v>
      </c>
      <c r="D4825" s="1" t="s">
        <v>2436</v>
      </c>
      <c r="E4825" s="1" t="n">
        <v>42</v>
      </c>
      <c r="F4825" s="1" t="s">
        <v>80</v>
      </c>
      <c r="I4825" s="1" t="n">
        <v>4396</v>
      </c>
      <c r="J4825" s="1" t="n">
        <v>100012</v>
      </c>
      <c r="K4825" s="1" t="n">
        <v>13</v>
      </c>
      <c r="L4825" s="1" t="s">
        <v>2441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5" t="n">
        <v>46221</v>
      </c>
      <c r="C4826" s="1" t="n">
        <v>22</v>
      </c>
      <c r="D4826" s="1" t="s">
        <v>2436</v>
      </c>
      <c r="E4826" s="1" t="n">
        <v>42</v>
      </c>
      <c r="F4826" s="1" t="s">
        <v>80</v>
      </c>
      <c r="I4826" s="1" t="n">
        <v>4396</v>
      </c>
      <c r="J4826" s="1" t="n">
        <v>100013</v>
      </c>
      <c r="K4826" s="1" t="n">
        <v>14</v>
      </c>
      <c r="L4826" s="1" t="s">
        <v>2442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5" t="n">
        <v>46221</v>
      </c>
      <c r="C4827" s="1" t="n">
        <v>22</v>
      </c>
      <c r="D4827" s="1" t="s">
        <v>2436</v>
      </c>
      <c r="E4827" s="1" t="n">
        <v>42</v>
      </c>
      <c r="F4827" s="1" t="s">
        <v>80</v>
      </c>
      <c r="I4827" s="1" t="n">
        <v>4396</v>
      </c>
      <c r="J4827" s="1" t="n">
        <v>100014</v>
      </c>
      <c r="K4827" s="1" t="n">
        <v>15</v>
      </c>
      <c r="L4827" s="1" t="s">
        <v>2443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5" t="n">
        <v>46221</v>
      </c>
      <c r="C4828" s="1" t="n">
        <v>22</v>
      </c>
      <c r="D4828" s="1" t="s">
        <v>2436</v>
      </c>
      <c r="E4828" s="1" t="n">
        <v>42</v>
      </c>
      <c r="F4828" s="1" t="s">
        <v>80</v>
      </c>
      <c r="I4828" s="1" t="n">
        <v>4396</v>
      </c>
      <c r="J4828" s="1" t="n">
        <v>100015</v>
      </c>
      <c r="K4828" s="1" t="n">
        <v>16</v>
      </c>
      <c r="L4828" s="1" t="s">
        <v>2444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5" t="n">
        <v>46221</v>
      </c>
      <c r="C4829" s="1" t="n">
        <v>22</v>
      </c>
      <c r="D4829" s="1" t="s">
        <v>2436</v>
      </c>
      <c r="E4829" s="1" t="n">
        <v>42</v>
      </c>
      <c r="F4829" s="1" t="s">
        <v>80</v>
      </c>
      <c r="I4829" s="1" t="n">
        <v>4396</v>
      </c>
      <c r="J4829" s="1" t="n">
        <v>100016</v>
      </c>
      <c r="K4829" s="1" t="n">
        <v>17</v>
      </c>
      <c r="L4829" s="1" t="s">
        <v>2445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5" t="n">
        <v>46221</v>
      </c>
      <c r="C4830" s="1" t="n">
        <v>22</v>
      </c>
      <c r="D4830" s="1" t="s">
        <v>2436</v>
      </c>
      <c r="E4830" s="1" t="n">
        <v>42</v>
      </c>
      <c r="F4830" s="1" t="s">
        <v>80</v>
      </c>
      <c r="I4830" s="1" t="n">
        <v>4396</v>
      </c>
      <c r="J4830" s="1" t="n">
        <v>100017</v>
      </c>
      <c r="K4830" s="1" t="n">
        <v>18</v>
      </c>
      <c r="L4830" s="1" t="s">
        <v>2446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5" t="n">
        <v>46221</v>
      </c>
      <c r="C4831" s="1" t="n">
        <v>22</v>
      </c>
      <c r="D4831" s="1" t="s">
        <v>2436</v>
      </c>
      <c r="E4831" s="1" t="n">
        <v>42</v>
      </c>
      <c r="F4831" s="1" t="s">
        <v>80</v>
      </c>
      <c r="I4831" s="1" t="n">
        <v>4396</v>
      </c>
      <c r="J4831" s="1" t="n">
        <v>100053</v>
      </c>
      <c r="K4831" s="1" t="n">
        <v>54</v>
      </c>
      <c r="L4831" s="1" t="s">
        <v>2447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5" t="n">
        <v>46221</v>
      </c>
      <c r="C4832" s="1" t="n">
        <v>22</v>
      </c>
      <c r="D4832" s="1" t="s">
        <v>2436</v>
      </c>
      <c r="E4832" s="1" t="n">
        <v>42</v>
      </c>
      <c r="F4832" s="1" t="s">
        <v>80</v>
      </c>
      <c r="I4832" s="1" t="n">
        <v>4396</v>
      </c>
      <c r="J4832" s="1" t="n">
        <v>100638</v>
      </c>
      <c r="K4832" s="1" t="n">
        <v>508</v>
      </c>
      <c r="L4832" s="1" t="s">
        <v>2448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5" t="n">
        <v>46221</v>
      </c>
      <c r="C4833" s="1" t="n">
        <v>22</v>
      </c>
      <c r="D4833" s="1" t="s">
        <v>2436</v>
      </c>
      <c r="E4833" s="1" t="n">
        <v>42</v>
      </c>
      <c r="F4833" s="1" t="s">
        <v>80</v>
      </c>
      <c r="I4833" s="1" t="n">
        <v>4396</v>
      </c>
      <c r="J4833" s="1" t="n">
        <v>100520</v>
      </c>
      <c r="K4833" s="1" t="n">
        <v>507</v>
      </c>
      <c r="L4833" s="1" t="s">
        <v>2449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5" t="n">
        <v>46221</v>
      </c>
      <c r="C4834" s="1" t="n">
        <v>22</v>
      </c>
      <c r="D4834" s="1" t="s">
        <v>2436</v>
      </c>
      <c r="E4834" s="1" t="n">
        <v>42</v>
      </c>
      <c r="F4834" s="1" t="s">
        <v>80</v>
      </c>
      <c r="I4834" s="1" t="n">
        <v>4396</v>
      </c>
      <c r="J4834" s="1" t="n">
        <v>110455</v>
      </c>
      <c r="K4834" s="1" t="n">
        <v>53212</v>
      </c>
      <c r="L4834" s="1" t="s">
        <v>2450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5" t="n">
        <v>46221</v>
      </c>
      <c r="C4835" s="1" t="n">
        <v>100</v>
      </c>
      <c r="D4835" s="1" t="s">
        <v>2457</v>
      </c>
      <c r="E4835" s="1" t="n">
        <v>42</v>
      </c>
      <c r="F4835" s="1" t="s">
        <v>80</v>
      </c>
      <c r="I4835" s="1" t="n">
        <v>1414665</v>
      </c>
      <c r="J4835" s="1" t="n">
        <v>100000</v>
      </c>
      <c r="K4835" s="1" t="n">
        <v>1</v>
      </c>
      <c r="L4835" s="1" t="s">
        <v>2451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5" t="n">
        <v>46221</v>
      </c>
      <c r="C4836" s="1" t="n">
        <v>100</v>
      </c>
      <c r="D4836" s="1" t="s">
        <v>2457</v>
      </c>
      <c r="E4836" s="1" t="n">
        <v>42</v>
      </c>
      <c r="F4836" s="1" t="s">
        <v>80</v>
      </c>
      <c r="I4836" s="1" t="n">
        <v>1414665</v>
      </c>
      <c r="J4836" s="1" t="n">
        <v>100001</v>
      </c>
      <c r="K4836" s="1" t="n">
        <v>2</v>
      </c>
      <c r="L4836" s="1" t="s">
        <v>2452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5" t="n">
        <v>46221</v>
      </c>
      <c r="C4837" s="1" t="n">
        <v>100</v>
      </c>
      <c r="D4837" s="1" t="s">
        <v>2457</v>
      </c>
      <c r="E4837" s="1" t="n">
        <v>42</v>
      </c>
      <c r="F4837" s="1" t="s">
        <v>80</v>
      </c>
      <c r="I4837" s="1" t="n">
        <v>1414665</v>
      </c>
      <c r="J4837" s="1" t="n">
        <v>100002</v>
      </c>
      <c r="K4837" s="1" t="n">
        <v>3</v>
      </c>
      <c r="L4837" s="1" t="s">
        <v>2453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5" t="n">
        <v>46221</v>
      </c>
      <c r="C4838" s="1" t="n">
        <v>100</v>
      </c>
      <c r="D4838" s="1" t="s">
        <v>2457</v>
      </c>
      <c r="E4838" s="1" t="n">
        <v>42</v>
      </c>
      <c r="F4838" s="1" t="s">
        <v>80</v>
      </c>
      <c r="I4838" s="1" t="n">
        <v>1414665</v>
      </c>
      <c r="J4838" s="1" t="n">
        <v>100003</v>
      </c>
      <c r="K4838" s="1" t="n">
        <v>4</v>
      </c>
      <c r="L4838" s="1" t="s">
        <v>2454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5" t="n">
        <v>46221</v>
      </c>
      <c r="C4839" s="1" t="n">
        <v>100</v>
      </c>
      <c r="D4839" s="1" t="s">
        <v>2457</v>
      </c>
      <c r="E4839" s="1" t="n">
        <v>42</v>
      </c>
      <c r="F4839" s="1" t="s">
        <v>80</v>
      </c>
      <c r="I4839" s="1" t="n">
        <v>1414665</v>
      </c>
      <c r="J4839" s="1" t="n">
        <v>100007</v>
      </c>
      <c r="K4839" s="1" t="n">
        <v>8</v>
      </c>
      <c r="L4839" s="1" t="s">
        <v>2455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5" t="n">
        <v>46221</v>
      </c>
      <c r="C4840" s="1" t="n">
        <v>100</v>
      </c>
      <c r="D4840" s="1" t="s">
        <v>2457</v>
      </c>
      <c r="E4840" s="1" t="n">
        <v>42</v>
      </c>
      <c r="F4840" s="1" t="s">
        <v>80</v>
      </c>
      <c r="I4840" s="1" t="n">
        <v>1414665</v>
      </c>
      <c r="J4840" s="1" t="n">
        <v>100638</v>
      </c>
      <c r="K4840" s="1" t="n">
        <v>508</v>
      </c>
      <c r="L4840" s="1" t="s">
        <v>2448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5" t="n">
        <v>46221</v>
      </c>
      <c r="C4841" s="1" t="n">
        <v>100</v>
      </c>
      <c r="D4841" s="1" t="s">
        <v>2457</v>
      </c>
      <c r="E4841" s="1" t="n">
        <v>42</v>
      </c>
      <c r="F4841" s="1" t="s">
        <v>80</v>
      </c>
      <c r="I4841" s="1" t="n">
        <v>1414665</v>
      </c>
      <c r="J4841" s="1" t="n">
        <v>100520</v>
      </c>
      <c r="K4841" s="1" t="n">
        <v>507</v>
      </c>
      <c r="L4841" s="1" t="s">
        <v>2449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5" t="n">
        <v>46221</v>
      </c>
      <c r="C4842" s="1" t="n">
        <v>100</v>
      </c>
      <c r="D4842" s="1" t="s">
        <v>2457</v>
      </c>
      <c r="E4842" s="1" t="n">
        <v>42</v>
      </c>
      <c r="F4842" s="1" t="s">
        <v>80</v>
      </c>
      <c r="I4842" s="1" t="n">
        <v>1414665</v>
      </c>
      <c r="J4842" s="1" t="n">
        <v>110455</v>
      </c>
      <c r="K4842" s="1" t="n">
        <v>53212</v>
      </c>
      <c r="L4842" s="1" t="s">
        <v>2450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5" t="n">
        <v>46221</v>
      </c>
      <c r="C4843" s="1" t="n">
        <v>100</v>
      </c>
      <c r="D4843" s="1" t="s">
        <v>2457</v>
      </c>
      <c r="E4843" s="1" t="n">
        <v>42</v>
      </c>
      <c r="F4843" s="1" t="s">
        <v>80</v>
      </c>
      <c r="I4843" s="1" t="n">
        <v>1414676</v>
      </c>
      <c r="J4843" s="1" t="n">
        <v>100006</v>
      </c>
      <c r="K4843" s="1" t="n">
        <v>7</v>
      </c>
      <c r="L4843" s="1" t="s">
        <v>2437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5" t="n">
        <v>46221</v>
      </c>
      <c r="C4844" s="1" t="n">
        <v>100</v>
      </c>
      <c r="D4844" s="1" t="s">
        <v>2457</v>
      </c>
      <c r="E4844" s="1" t="n">
        <v>42</v>
      </c>
      <c r="F4844" s="1" t="s">
        <v>80</v>
      </c>
      <c r="I4844" s="1" t="n">
        <v>1414676</v>
      </c>
      <c r="J4844" s="1" t="n">
        <v>100008</v>
      </c>
      <c r="K4844" s="1" t="n">
        <v>9</v>
      </c>
      <c r="L4844" s="1" t="s">
        <v>2438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5" t="n">
        <v>46221</v>
      </c>
      <c r="C4845" s="1" t="n">
        <v>100</v>
      </c>
      <c r="D4845" s="1" t="s">
        <v>2457</v>
      </c>
      <c r="E4845" s="1" t="n">
        <v>42</v>
      </c>
      <c r="F4845" s="1" t="s">
        <v>80</v>
      </c>
      <c r="I4845" s="1" t="n">
        <v>1414676</v>
      </c>
      <c r="J4845" s="1" t="n">
        <v>100010</v>
      </c>
      <c r="K4845" s="1" t="n">
        <v>11</v>
      </c>
      <c r="L4845" s="1" t="s">
        <v>2439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5" t="n">
        <v>46221</v>
      </c>
      <c r="C4846" s="1" t="n">
        <v>100</v>
      </c>
      <c r="D4846" s="1" t="s">
        <v>2457</v>
      </c>
      <c r="E4846" s="1" t="n">
        <v>42</v>
      </c>
      <c r="F4846" s="1" t="s">
        <v>80</v>
      </c>
      <c r="I4846" s="1" t="n">
        <v>1414676</v>
      </c>
      <c r="J4846" s="1" t="n">
        <v>100011</v>
      </c>
      <c r="K4846" s="1" t="n">
        <v>12</v>
      </c>
      <c r="L4846" s="1" t="s">
        <v>2440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5" t="n">
        <v>46221</v>
      </c>
      <c r="C4847" s="1" t="n">
        <v>100</v>
      </c>
      <c r="D4847" s="1" t="s">
        <v>2457</v>
      </c>
      <c r="E4847" s="1" t="n">
        <v>42</v>
      </c>
      <c r="F4847" s="1" t="s">
        <v>80</v>
      </c>
      <c r="I4847" s="1" t="n">
        <v>1414676</v>
      </c>
      <c r="J4847" s="1" t="n">
        <v>100012</v>
      </c>
      <c r="K4847" s="1" t="n">
        <v>13</v>
      </c>
      <c r="L4847" s="1" t="s">
        <v>2441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5" t="n">
        <v>46221</v>
      </c>
      <c r="C4848" s="1" t="n">
        <v>100</v>
      </c>
      <c r="D4848" s="1" t="s">
        <v>2457</v>
      </c>
      <c r="E4848" s="1" t="n">
        <v>42</v>
      </c>
      <c r="F4848" s="1" t="s">
        <v>80</v>
      </c>
      <c r="I4848" s="1" t="n">
        <v>1414676</v>
      </c>
      <c r="J4848" s="1" t="n">
        <v>100013</v>
      </c>
      <c r="K4848" s="1" t="n">
        <v>14</v>
      </c>
      <c r="L4848" s="1" t="s">
        <v>2442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5" t="n">
        <v>46221</v>
      </c>
      <c r="C4849" s="1" t="n">
        <v>100</v>
      </c>
      <c r="D4849" s="1" t="s">
        <v>2457</v>
      </c>
      <c r="E4849" s="1" t="n">
        <v>42</v>
      </c>
      <c r="F4849" s="1" t="s">
        <v>80</v>
      </c>
      <c r="I4849" s="1" t="n">
        <v>1414676</v>
      </c>
      <c r="J4849" s="1" t="n">
        <v>100014</v>
      </c>
      <c r="K4849" s="1" t="n">
        <v>15</v>
      </c>
      <c r="L4849" s="1" t="s">
        <v>2443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5" t="n">
        <v>46221</v>
      </c>
      <c r="C4850" s="1" t="n">
        <v>100</v>
      </c>
      <c r="D4850" s="1" t="s">
        <v>2457</v>
      </c>
      <c r="E4850" s="1" t="n">
        <v>42</v>
      </c>
      <c r="F4850" s="1" t="s">
        <v>80</v>
      </c>
      <c r="I4850" s="1" t="n">
        <v>1414676</v>
      </c>
      <c r="J4850" s="1" t="n">
        <v>100015</v>
      </c>
      <c r="K4850" s="1" t="n">
        <v>16</v>
      </c>
      <c r="L4850" s="1" t="s">
        <v>2444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5" t="n">
        <v>46221</v>
      </c>
      <c r="C4851" s="1" t="n">
        <v>100</v>
      </c>
      <c r="D4851" s="1" t="s">
        <v>2457</v>
      </c>
      <c r="E4851" s="1" t="n">
        <v>42</v>
      </c>
      <c r="F4851" s="1" t="s">
        <v>80</v>
      </c>
      <c r="I4851" s="1" t="n">
        <v>1414676</v>
      </c>
      <c r="J4851" s="1" t="n">
        <v>100016</v>
      </c>
      <c r="K4851" s="1" t="n">
        <v>17</v>
      </c>
      <c r="L4851" s="1" t="s">
        <v>2445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5" t="n">
        <v>46221</v>
      </c>
      <c r="C4852" s="1" t="n">
        <v>100</v>
      </c>
      <c r="D4852" s="1" t="s">
        <v>2457</v>
      </c>
      <c r="E4852" s="1" t="n">
        <v>42</v>
      </c>
      <c r="F4852" s="1" t="s">
        <v>80</v>
      </c>
      <c r="I4852" s="1" t="n">
        <v>1414676</v>
      </c>
      <c r="J4852" s="1" t="n">
        <v>100017</v>
      </c>
      <c r="K4852" s="1" t="n">
        <v>18</v>
      </c>
      <c r="L4852" s="1" t="s">
        <v>2446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5" t="n">
        <v>46221</v>
      </c>
      <c r="C4853" s="1" t="n">
        <v>100</v>
      </c>
      <c r="D4853" s="1" t="s">
        <v>2457</v>
      </c>
      <c r="E4853" s="1" t="n">
        <v>42</v>
      </c>
      <c r="F4853" s="1" t="s">
        <v>80</v>
      </c>
      <c r="I4853" s="1" t="n">
        <v>1414676</v>
      </c>
      <c r="J4853" s="1" t="n">
        <v>100019</v>
      </c>
      <c r="K4853" s="1" t="n">
        <v>20</v>
      </c>
      <c r="L4853" s="1" t="s">
        <v>4136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5" t="n">
        <v>46221</v>
      </c>
      <c r="C4854" s="1" t="n">
        <v>100</v>
      </c>
      <c r="D4854" s="1" t="s">
        <v>2457</v>
      </c>
      <c r="E4854" s="1" t="n">
        <v>42</v>
      </c>
      <c r="F4854" s="1" t="s">
        <v>80</v>
      </c>
      <c r="I4854" s="1" t="n">
        <v>1414676</v>
      </c>
      <c r="J4854" s="1" t="n">
        <v>100020</v>
      </c>
      <c r="K4854" s="1" t="n">
        <v>21</v>
      </c>
      <c r="L4854" s="1" t="s">
        <v>2456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5" t="n">
        <v>46221</v>
      </c>
      <c r="C4855" s="1" t="n">
        <v>100</v>
      </c>
      <c r="D4855" s="1" t="s">
        <v>2457</v>
      </c>
      <c r="E4855" s="1" t="n">
        <v>42</v>
      </c>
      <c r="F4855" s="1" t="s">
        <v>80</v>
      </c>
      <c r="I4855" s="1" t="n">
        <v>1414676</v>
      </c>
      <c r="J4855" s="1" t="n">
        <v>100023</v>
      </c>
      <c r="K4855" s="1" t="n">
        <v>24</v>
      </c>
      <c r="L4855" s="1" t="s">
        <v>3826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5" t="n">
        <v>46221</v>
      </c>
      <c r="C4856" s="1" t="n">
        <v>100</v>
      </c>
      <c r="D4856" s="1" t="s">
        <v>2457</v>
      </c>
      <c r="E4856" s="1" t="n">
        <v>42</v>
      </c>
      <c r="F4856" s="1" t="s">
        <v>80</v>
      </c>
      <c r="I4856" s="1" t="n">
        <v>1414676</v>
      </c>
      <c r="J4856" s="1" t="n">
        <v>100053</v>
      </c>
      <c r="K4856" s="1" t="n">
        <v>54</v>
      </c>
      <c r="L4856" s="1" t="s">
        <v>2447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5" t="n">
        <v>46221</v>
      </c>
      <c r="C4857" s="1" t="n">
        <v>100</v>
      </c>
      <c r="D4857" s="1" t="s">
        <v>2457</v>
      </c>
      <c r="E4857" s="1" t="n">
        <v>42</v>
      </c>
      <c r="F4857" s="1" t="s">
        <v>80</v>
      </c>
      <c r="I4857" s="1" t="n">
        <v>1414676</v>
      </c>
      <c r="J4857" s="1" t="n">
        <v>100638</v>
      </c>
      <c r="K4857" s="1" t="n">
        <v>508</v>
      </c>
      <c r="L4857" s="1" t="s">
        <v>2448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5" t="n">
        <v>46221</v>
      </c>
      <c r="C4858" s="1" t="n">
        <v>100</v>
      </c>
      <c r="D4858" s="1" t="s">
        <v>2457</v>
      </c>
      <c r="E4858" s="1" t="n">
        <v>42</v>
      </c>
      <c r="F4858" s="1" t="s">
        <v>80</v>
      </c>
      <c r="I4858" s="1" t="n">
        <v>1414676</v>
      </c>
      <c r="J4858" s="1" t="n">
        <v>100520</v>
      </c>
      <c r="K4858" s="1" t="n">
        <v>507</v>
      </c>
      <c r="L4858" s="1" t="s">
        <v>2449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5" t="n">
        <v>46221</v>
      </c>
      <c r="C4859" s="1" t="n">
        <v>100</v>
      </c>
      <c r="D4859" s="1" t="s">
        <v>2457</v>
      </c>
      <c r="E4859" s="1" t="n">
        <v>42</v>
      </c>
      <c r="F4859" s="1" t="s">
        <v>80</v>
      </c>
      <c r="I4859" s="1" t="n">
        <v>1414676</v>
      </c>
      <c r="J4859" s="1" t="n">
        <v>110455</v>
      </c>
      <c r="K4859" s="1" t="n">
        <v>53212</v>
      </c>
      <c r="L4859" s="1" t="s">
        <v>2450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5" t="n">
        <v>46221</v>
      </c>
      <c r="C4860" s="1" t="n">
        <v>100</v>
      </c>
      <c r="D4860" s="1" t="s">
        <v>2457</v>
      </c>
      <c r="E4860" s="1" t="n">
        <v>42</v>
      </c>
      <c r="F4860" s="1" t="s">
        <v>80</v>
      </c>
      <c r="I4860" s="1" t="n">
        <v>1414734</v>
      </c>
      <c r="J4860" s="1" t="n">
        <v>100006</v>
      </c>
      <c r="K4860" s="1" t="n">
        <v>7</v>
      </c>
      <c r="L4860" s="1" t="s">
        <v>2437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5" t="n">
        <v>46221</v>
      </c>
      <c r="C4861" s="1" t="n">
        <v>100</v>
      </c>
      <c r="D4861" s="1" t="s">
        <v>2457</v>
      </c>
      <c r="E4861" s="1" t="n">
        <v>42</v>
      </c>
      <c r="F4861" s="1" t="s">
        <v>80</v>
      </c>
      <c r="I4861" s="1" t="n">
        <v>1414734</v>
      </c>
      <c r="J4861" s="1" t="n">
        <v>100008</v>
      </c>
      <c r="K4861" s="1" t="n">
        <v>9</v>
      </c>
      <c r="L4861" s="1" t="s">
        <v>2438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5" t="n">
        <v>46221</v>
      </c>
      <c r="C4862" s="1" t="n">
        <v>100</v>
      </c>
      <c r="D4862" s="1" t="s">
        <v>2457</v>
      </c>
      <c r="E4862" s="1" t="n">
        <v>42</v>
      </c>
      <c r="F4862" s="1" t="s">
        <v>80</v>
      </c>
      <c r="I4862" s="1" t="n">
        <v>1414734</v>
      </c>
      <c r="J4862" s="1" t="n">
        <v>100010</v>
      </c>
      <c r="K4862" s="1" t="n">
        <v>11</v>
      </c>
      <c r="L4862" s="1" t="s">
        <v>2439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5" t="n">
        <v>46221</v>
      </c>
      <c r="C4863" s="1" t="n">
        <v>100</v>
      </c>
      <c r="D4863" s="1" t="s">
        <v>2457</v>
      </c>
      <c r="E4863" s="1" t="n">
        <v>42</v>
      </c>
      <c r="F4863" s="1" t="s">
        <v>80</v>
      </c>
      <c r="I4863" s="1" t="n">
        <v>1414734</v>
      </c>
      <c r="J4863" s="1" t="n">
        <v>100011</v>
      </c>
      <c r="K4863" s="1" t="n">
        <v>12</v>
      </c>
      <c r="L4863" s="1" t="s">
        <v>2440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5" t="n">
        <v>46221</v>
      </c>
      <c r="C4864" s="1" t="n">
        <v>100</v>
      </c>
      <c r="D4864" s="1" t="s">
        <v>2457</v>
      </c>
      <c r="E4864" s="1" t="n">
        <v>42</v>
      </c>
      <c r="F4864" s="1" t="s">
        <v>80</v>
      </c>
      <c r="I4864" s="1" t="n">
        <v>1414734</v>
      </c>
      <c r="J4864" s="1" t="n">
        <v>100012</v>
      </c>
      <c r="K4864" s="1" t="n">
        <v>13</v>
      </c>
      <c r="L4864" s="1" t="s">
        <v>2441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5" t="n">
        <v>46221</v>
      </c>
      <c r="C4865" s="1" t="n">
        <v>100</v>
      </c>
      <c r="D4865" s="1" t="s">
        <v>2457</v>
      </c>
      <c r="E4865" s="1" t="n">
        <v>42</v>
      </c>
      <c r="F4865" s="1" t="s">
        <v>80</v>
      </c>
      <c r="I4865" s="1" t="n">
        <v>1414734</v>
      </c>
      <c r="J4865" s="1" t="n">
        <v>100013</v>
      </c>
      <c r="K4865" s="1" t="n">
        <v>14</v>
      </c>
      <c r="L4865" s="1" t="s">
        <v>2442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5" t="n">
        <v>46221</v>
      </c>
      <c r="C4866" s="1" t="n">
        <v>100</v>
      </c>
      <c r="D4866" s="1" t="s">
        <v>2457</v>
      </c>
      <c r="E4866" s="1" t="n">
        <v>42</v>
      </c>
      <c r="F4866" s="1" t="s">
        <v>80</v>
      </c>
      <c r="I4866" s="1" t="n">
        <v>1414734</v>
      </c>
      <c r="J4866" s="1" t="n">
        <v>100014</v>
      </c>
      <c r="K4866" s="1" t="n">
        <v>15</v>
      </c>
      <c r="L4866" s="1" t="s">
        <v>2443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5" t="n">
        <v>46221</v>
      </c>
      <c r="C4867" s="1" t="n">
        <v>100</v>
      </c>
      <c r="D4867" s="1" t="s">
        <v>2457</v>
      </c>
      <c r="E4867" s="1" t="n">
        <v>42</v>
      </c>
      <c r="F4867" s="1" t="s">
        <v>80</v>
      </c>
      <c r="I4867" s="1" t="n">
        <v>1414734</v>
      </c>
      <c r="J4867" s="1" t="n">
        <v>100015</v>
      </c>
      <c r="K4867" s="1" t="n">
        <v>16</v>
      </c>
      <c r="L4867" s="1" t="s">
        <v>2444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5" t="n">
        <v>46221</v>
      </c>
      <c r="C4868" s="1" t="n">
        <v>100</v>
      </c>
      <c r="D4868" s="1" t="s">
        <v>2457</v>
      </c>
      <c r="E4868" s="1" t="n">
        <v>42</v>
      </c>
      <c r="F4868" s="1" t="s">
        <v>80</v>
      </c>
      <c r="I4868" s="1" t="n">
        <v>1414734</v>
      </c>
      <c r="J4868" s="1" t="n">
        <v>100016</v>
      </c>
      <c r="K4868" s="1" t="n">
        <v>17</v>
      </c>
      <c r="L4868" s="1" t="s">
        <v>2445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5" t="n">
        <v>46221</v>
      </c>
      <c r="C4869" s="1" t="n">
        <v>100</v>
      </c>
      <c r="D4869" s="1" t="s">
        <v>2457</v>
      </c>
      <c r="E4869" s="1" t="n">
        <v>42</v>
      </c>
      <c r="F4869" s="1" t="s">
        <v>80</v>
      </c>
      <c r="I4869" s="1" t="n">
        <v>1414734</v>
      </c>
      <c r="J4869" s="1" t="n">
        <v>100017</v>
      </c>
      <c r="K4869" s="1" t="n">
        <v>18</v>
      </c>
      <c r="L4869" s="1" t="s">
        <v>2446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5" t="n">
        <v>46221</v>
      </c>
      <c r="C4870" s="1" t="n">
        <v>100</v>
      </c>
      <c r="D4870" s="1" t="s">
        <v>2457</v>
      </c>
      <c r="E4870" s="1" t="n">
        <v>42</v>
      </c>
      <c r="F4870" s="1" t="s">
        <v>80</v>
      </c>
      <c r="I4870" s="1" t="n">
        <v>1414734</v>
      </c>
      <c r="J4870" s="1" t="n">
        <v>100053</v>
      </c>
      <c r="K4870" s="1" t="n">
        <v>54</v>
      </c>
      <c r="L4870" s="1" t="s">
        <v>2447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5" t="n">
        <v>46221</v>
      </c>
      <c r="C4871" s="1" t="n">
        <v>100</v>
      </c>
      <c r="D4871" s="1" t="s">
        <v>2457</v>
      </c>
      <c r="E4871" s="1" t="n">
        <v>42</v>
      </c>
      <c r="F4871" s="1" t="s">
        <v>80</v>
      </c>
      <c r="I4871" s="1" t="n">
        <v>1414734</v>
      </c>
      <c r="J4871" s="1" t="n">
        <v>100638</v>
      </c>
      <c r="K4871" s="1" t="n">
        <v>508</v>
      </c>
      <c r="L4871" s="1" t="s">
        <v>2448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5" t="n">
        <v>46221</v>
      </c>
      <c r="C4872" s="1" t="n">
        <v>100</v>
      </c>
      <c r="D4872" s="1" t="s">
        <v>2457</v>
      </c>
      <c r="E4872" s="1" t="n">
        <v>42</v>
      </c>
      <c r="F4872" s="1" t="s">
        <v>80</v>
      </c>
      <c r="I4872" s="1" t="n">
        <v>1414734</v>
      </c>
      <c r="J4872" s="1" t="n">
        <v>100520</v>
      </c>
      <c r="K4872" s="1" t="n">
        <v>507</v>
      </c>
      <c r="L4872" s="1" t="s">
        <v>2449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5" t="n">
        <v>46221</v>
      </c>
      <c r="C4873" s="1" t="n">
        <v>100</v>
      </c>
      <c r="D4873" s="1" t="s">
        <v>2457</v>
      </c>
      <c r="E4873" s="1" t="n">
        <v>42</v>
      </c>
      <c r="F4873" s="1" t="s">
        <v>80</v>
      </c>
      <c r="I4873" s="1" t="n">
        <v>1414734</v>
      </c>
      <c r="J4873" s="1" t="n">
        <v>110455</v>
      </c>
      <c r="K4873" s="1" t="n">
        <v>53212</v>
      </c>
      <c r="L4873" s="1" t="s">
        <v>2450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5" t="n">
        <v>46223</v>
      </c>
      <c r="C4874" s="1" t="n">
        <v>1</v>
      </c>
      <c r="D4874" s="1" t="s">
        <v>2317</v>
      </c>
      <c r="E4874" s="1" t="n">
        <v>10043</v>
      </c>
      <c r="F4874" s="1" t="s">
        <v>112</v>
      </c>
      <c r="I4874" s="1" t="n">
        <v>789</v>
      </c>
      <c r="J4874" s="1" t="n">
        <v>52096</v>
      </c>
      <c r="K4874" s="1" t="n">
        <v>144315</v>
      </c>
      <c r="L4874" s="1" t="s">
        <v>2318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5" t="n">
        <v>46223</v>
      </c>
      <c r="C4875" s="1" t="n">
        <v>6</v>
      </c>
      <c r="D4875" s="1" t="s">
        <v>2289</v>
      </c>
      <c r="E4875" s="1" t="n">
        <v>42</v>
      </c>
      <c r="F4875" s="1" t="s">
        <v>80</v>
      </c>
      <c r="I4875" s="1" t="n">
        <v>4398</v>
      </c>
      <c r="J4875" s="1" t="n">
        <v>109791</v>
      </c>
      <c r="K4875" s="1" t="n">
        <v>9667</v>
      </c>
      <c r="L4875" s="1" t="s">
        <v>2284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5" t="n">
        <v>46223</v>
      </c>
      <c r="C4876" s="1" t="n">
        <v>6</v>
      </c>
      <c r="D4876" s="1" t="s">
        <v>2289</v>
      </c>
      <c r="E4876" s="1" t="n">
        <v>42</v>
      </c>
      <c r="F4876" s="1" t="s">
        <v>80</v>
      </c>
      <c r="I4876" s="1" t="n">
        <v>4398</v>
      </c>
      <c r="J4876" s="1" t="n">
        <v>37361</v>
      </c>
      <c r="K4876" s="1" t="n">
        <v>2240817</v>
      </c>
      <c r="L4876" s="1" t="s">
        <v>2286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5" t="n">
        <v>46223</v>
      </c>
      <c r="C4877" s="1" t="n">
        <v>6</v>
      </c>
      <c r="D4877" s="1" t="s">
        <v>2289</v>
      </c>
      <c r="E4877" s="1" t="n">
        <v>42</v>
      </c>
      <c r="F4877" s="1" t="s">
        <v>80</v>
      </c>
      <c r="I4877" s="1" t="n">
        <v>4399</v>
      </c>
      <c r="J4877" s="1" t="n">
        <v>100103</v>
      </c>
      <c r="K4877" s="1" t="n">
        <v>104</v>
      </c>
      <c r="L4877" s="1" t="s">
        <v>2287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5" t="n">
        <v>46223</v>
      </c>
      <c r="C4878" s="1" t="n">
        <v>11</v>
      </c>
      <c r="D4878" s="1" t="s">
        <v>2290</v>
      </c>
      <c r="E4878" s="1" t="n">
        <v>642</v>
      </c>
      <c r="F4878" s="1" t="s">
        <v>135</v>
      </c>
      <c r="I4878" s="1" t="n">
        <v>536</v>
      </c>
      <c r="J4878" s="1" t="n">
        <v>71766</v>
      </c>
      <c r="K4878" s="1" t="n">
        <v>779180</v>
      </c>
      <c r="L4878" s="1" t="s">
        <v>2566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5" t="n">
        <v>46223</v>
      </c>
      <c r="C4879" s="1" t="n">
        <v>11</v>
      </c>
      <c r="D4879" s="1" t="s">
        <v>2290</v>
      </c>
      <c r="E4879" s="1" t="n">
        <v>1398</v>
      </c>
      <c r="F4879" s="1" t="s">
        <v>1245</v>
      </c>
      <c r="I4879" s="1" t="n">
        <v>1330</v>
      </c>
      <c r="J4879" s="1" t="n">
        <v>36092</v>
      </c>
      <c r="K4879" s="1" t="n">
        <v>7894494000539</v>
      </c>
      <c r="L4879" s="1" t="s">
        <v>4137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5" t="n">
        <v>46223</v>
      </c>
      <c r="C4880" s="1" t="n">
        <v>11</v>
      </c>
      <c r="D4880" s="1" t="s">
        <v>2290</v>
      </c>
      <c r="E4880" s="1" t="n">
        <v>1398</v>
      </c>
      <c r="F4880" s="1" t="s">
        <v>1245</v>
      </c>
      <c r="I4880" s="1" t="n">
        <v>1330</v>
      </c>
      <c r="J4880" s="1" t="n">
        <v>36298</v>
      </c>
      <c r="K4880" s="1" t="n">
        <v>7894494687532</v>
      </c>
      <c r="L4880" s="1" t="s">
        <v>4138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5" t="n">
        <v>46223</v>
      </c>
      <c r="C4881" s="1" t="n">
        <v>11</v>
      </c>
      <c r="D4881" s="1" t="s">
        <v>2290</v>
      </c>
      <c r="E4881" s="1" t="n">
        <v>1398</v>
      </c>
      <c r="F4881" s="1" t="s">
        <v>1245</v>
      </c>
      <c r="I4881" s="1" t="n">
        <v>1330</v>
      </c>
      <c r="J4881" s="1" t="n">
        <v>36467</v>
      </c>
      <c r="K4881" s="1" t="n">
        <v>7894494687587</v>
      </c>
      <c r="L4881" s="1" t="s">
        <v>4139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5" t="n">
        <v>46223</v>
      </c>
      <c r="C4882" s="1" t="n">
        <v>11</v>
      </c>
      <c r="D4882" s="1" t="s">
        <v>2290</v>
      </c>
      <c r="E4882" s="1" t="n">
        <v>1398</v>
      </c>
      <c r="F4882" s="1" t="s">
        <v>1245</v>
      </c>
      <c r="I4882" s="1" t="n">
        <v>1330</v>
      </c>
      <c r="J4882" s="1" t="n">
        <v>44077</v>
      </c>
      <c r="K4882" s="1" t="n">
        <v>7894494188183</v>
      </c>
      <c r="L4882" s="1" t="s">
        <v>4140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5" t="n">
        <v>46223</v>
      </c>
      <c r="C4883" s="1" t="n">
        <v>11</v>
      </c>
      <c r="D4883" s="1" t="s">
        <v>2290</v>
      </c>
      <c r="E4883" s="1" t="n">
        <v>1398</v>
      </c>
      <c r="F4883" s="1" t="s">
        <v>1245</v>
      </c>
      <c r="I4883" s="1" t="n">
        <v>1330</v>
      </c>
      <c r="J4883" s="1" t="n">
        <v>54692</v>
      </c>
      <c r="K4883" s="1" t="n">
        <v>7894494000546</v>
      </c>
      <c r="L4883" s="1" t="s">
        <v>4141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5" t="n">
        <v>46223</v>
      </c>
      <c r="C4884" s="1" t="n">
        <v>11</v>
      </c>
      <c r="D4884" s="1" t="s">
        <v>2290</v>
      </c>
      <c r="E4884" s="1" t="n">
        <v>1398</v>
      </c>
      <c r="F4884" s="1" t="s">
        <v>1245</v>
      </c>
      <c r="I4884" s="1" t="n">
        <v>1330</v>
      </c>
      <c r="J4884" s="1" t="n">
        <v>54693</v>
      </c>
      <c r="K4884" s="1" t="n">
        <v>7894494000553</v>
      </c>
      <c r="L4884" s="1" t="s">
        <v>4142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5" t="n">
        <v>46223</v>
      </c>
      <c r="C4885" s="1" t="n">
        <v>11</v>
      </c>
      <c r="D4885" s="1" t="s">
        <v>2290</v>
      </c>
      <c r="E4885" s="1" t="n">
        <v>1398</v>
      </c>
      <c r="F4885" s="1" t="s">
        <v>1245</v>
      </c>
      <c r="I4885" s="1" t="n">
        <v>1330</v>
      </c>
      <c r="J4885" s="1" t="n">
        <v>61347</v>
      </c>
      <c r="K4885" s="1" t="n">
        <v>7894494716799</v>
      </c>
      <c r="L4885" s="1" t="s">
        <v>4143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5" t="n">
        <v>46223</v>
      </c>
      <c r="C4886" s="1" t="n">
        <v>11</v>
      </c>
      <c r="D4886" s="1" t="s">
        <v>2290</v>
      </c>
      <c r="E4886" s="1" t="n">
        <v>1398</v>
      </c>
      <c r="F4886" s="1" t="s">
        <v>1245</v>
      </c>
      <c r="I4886" s="1" t="n">
        <v>1330</v>
      </c>
      <c r="J4886" s="1" t="n">
        <v>62490</v>
      </c>
      <c r="K4886" s="1" t="n">
        <v>7894494000522</v>
      </c>
      <c r="L4886" s="1" t="s">
        <v>4144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5" t="n">
        <v>46223</v>
      </c>
      <c r="C4887" s="1" t="n">
        <v>11</v>
      </c>
      <c r="D4887" s="1" t="s">
        <v>2290</v>
      </c>
      <c r="E4887" s="1" t="n">
        <v>1398</v>
      </c>
      <c r="F4887" s="1" t="s">
        <v>1245</v>
      </c>
      <c r="I4887" s="1" t="n">
        <v>1330</v>
      </c>
      <c r="J4887" s="1" t="n">
        <v>62531</v>
      </c>
      <c r="K4887" s="1" t="n">
        <v>7894494687938</v>
      </c>
      <c r="L4887" s="1" t="s">
        <v>4145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5" t="n">
        <v>46223</v>
      </c>
      <c r="C4888" s="1" t="n">
        <v>11</v>
      </c>
      <c r="D4888" s="1" t="s">
        <v>2290</v>
      </c>
      <c r="E4888" s="1" t="n">
        <v>1398</v>
      </c>
      <c r="F4888" s="1" t="s">
        <v>1245</v>
      </c>
      <c r="I4888" s="1" t="n">
        <v>1330</v>
      </c>
      <c r="J4888" s="1" t="n">
        <v>62537</v>
      </c>
      <c r="K4888" s="1" t="n">
        <v>7894494687921</v>
      </c>
      <c r="L4888" s="1" t="s">
        <v>4146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5" t="n">
        <v>46223</v>
      </c>
      <c r="C4889" s="1" t="n">
        <v>11</v>
      </c>
      <c r="D4889" s="1" t="s">
        <v>2290</v>
      </c>
      <c r="E4889" s="1" t="n">
        <v>1398</v>
      </c>
      <c r="F4889" s="1" t="s">
        <v>1245</v>
      </c>
      <c r="I4889" s="1" t="n">
        <v>1330</v>
      </c>
      <c r="J4889" s="1" t="n">
        <v>62573</v>
      </c>
      <c r="K4889" s="1" t="n">
        <v>7894494187766</v>
      </c>
      <c r="L4889" s="1" t="s">
        <v>4147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5" t="n">
        <v>46223</v>
      </c>
      <c r="C4890" s="1" t="n">
        <v>11</v>
      </c>
      <c r="D4890" s="1" t="s">
        <v>2290</v>
      </c>
      <c r="E4890" s="1" t="n">
        <v>1398</v>
      </c>
      <c r="F4890" s="1" t="s">
        <v>1245</v>
      </c>
      <c r="I4890" s="1" t="n">
        <v>1330</v>
      </c>
      <c r="J4890" s="1" t="n">
        <v>62582</v>
      </c>
      <c r="K4890" s="1" t="n">
        <v>7894494752841</v>
      </c>
      <c r="L4890" s="1" t="s">
        <v>4148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5" t="n">
        <v>46223</v>
      </c>
      <c r="C4891" s="1" t="n">
        <v>11</v>
      </c>
      <c r="D4891" s="1" t="s">
        <v>2290</v>
      </c>
      <c r="E4891" s="1" t="n">
        <v>1398</v>
      </c>
      <c r="F4891" s="1" t="s">
        <v>1245</v>
      </c>
      <c r="I4891" s="1" t="n">
        <v>1330</v>
      </c>
      <c r="J4891" s="1" t="n">
        <v>62926</v>
      </c>
      <c r="K4891" s="1" t="n">
        <v>7894494637711</v>
      </c>
      <c r="L4891" s="1" t="s">
        <v>4149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5" t="n">
        <v>46223</v>
      </c>
      <c r="C4892" s="1" t="n">
        <v>11</v>
      </c>
      <c r="D4892" s="1" t="s">
        <v>2290</v>
      </c>
      <c r="E4892" s="1" t="n">
        <v>1398</v>
      </c>
      <c r="F4892" s="1" t="s">
        <v>1245</v>
      </c>
      <c r="I4892" s="1" t="n">
        <v>1330</v>
      </c>
      <c r="J4892" s="1" t="n">
        <v>63530</v>
      </c>
      <c r="K4892" s="1" t="n">
        <v>7894494187520</v>
      </c>
      <c r="L4892" s="1" t="s">
        <v>4150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5" t="n">
        <v>46223</v>
      </c>
      <c r="C4893" s="1" t="n">
        <v>11</v>
      </c>
      <c r="D4893" s="1" t="s">
        <v>2290</v>
      </c>
      <c r="E4893" s="1" t="n">
        <v>1398</v>
      </c>
      <c r="F4893" s="1" t="s">
        <v>1245</v>
      </c>
      <c r="I4893" s="1" t="n">
        <v>1330</v>
      </c>
      <c r="J4893" s="1" t="n">
        <v>65865</v>
      </c>
      <c r="K4893" s="1" t="n">
        <v>7894494752810</v>
      </c>
      <c r="L4893" s="1" t="s">
        <v>4151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5" t="n">
        <v>46223</v>
      </c>
      <c r="C4894" s="1" t="n">
        <v>11</v>
      </c>
      <c r="D4894" s="1" t="s">
        <v>2290</v>
      </c>
      <c r="E4894" s="1" t="n">
        <v>1398</v>
      </c>
      <c r="F4894" s="1" t="s">
        <v>1245</v>
      </c>
      <c r="I4894" s="1" t="n">
        <v>1330</v>
      </c>
      <c r="J4894" s="1" t="n">
        <v>65909</v>
      </c>
      <c r="K4894" s="1" t="n">
        <v>7894494187513</v>
      </c>
      <c r="L4894" s="1" t="s">
        <v>4152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5" t="n">
        <v>46223</v>
      </c>
      <c r="C4895" s="1" t="n">
        <v>11</v>
      </c>
      <c r="D4895" s="1" t="s">
        <v>2290</v>
      </c>
      <c r="E4895" s="1" t="n">
        <v>1398</v>
      </c>
      <c r="F4895" s="1" t="s">
        <v>1245</v>
      </c>
      <c r="I4895" s="1" t="n">
        <v>1330</v>
      </c>
      <c r="J4895" s="1" t="n">
        <v>65918</v>
      </c>
      <c r="K4895" s="1" t="n">
        <v>7894494594472</v>
      </c>
      <c r="L4895" s="1" t="s">
        <v>4153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5" t="n">
        <v>46223</v>
      </c>
      <c r="C4896" s="1" t="n">
        <v>11</v>
      </c>
      <c r="D4896" s="1" t="s">
        <v>2290</v>
      </c>
      <c r="E4896" s="1" t="n">
        <v>1398</v>
      </c>
      <c r="F4896" s="1" t="s">
        <v>1245</v>
      </c>
      <c r="I4896" s="1" t="n">
        <v>1330</v>
      </c>
      <c r="J4896" s="1" t="n">
        <v>73136</v>
      </c>
      <c r="K4896" s="1" t="n">
        <v>7895110049000</v>
      </c>
      <c r="L4896" s="1" t="s">
        <v>4154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5" t="n">
        <v>46223</v>
      </c>
      <c r="C4897" s="1" t="n">
        <v>11</v>
      </c>
      <c r="D4897" s="1" t="s">
        <v>2290</v>
      </c>
      <c r="E4897" s="1" t="n">
        <v>1398</v>
      </c>
      <c r="F4897" s="1" t="s">
        <v>1245</v>
      </c>
      <c r="I4897" s="1" t="n">
        <v>1330</v>
      </c>
      <c r="J4897" s="1" t="n">
        <v>74893</v>
      </c>
      <c r="K4897" s="1" t="n">
        <v>7894494711008</v>
      </c>
      <c r="L4897" s="1" t="s">
        <v>4151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5" t="n">
        <v>46223</v>
      </c>
      <c r="C4898" s="1" t="n">
        <v>11</v>
      </c>
      <c r="D4898" s="1" t="s">
        <v>2290</v>
      </c>
      <c r="E4898" s="1" t="n">
        <v>1398</v>
      </c>
      <c r="F4898" s="1" t="s">
        <v>1245</v>
      </c>
      <c r="I4898" s="1" t="n">
        <v>1330</v>
      </c>
      <c r="J4898" s="1" t="n">
        <v>74898</v>
      </c>
      <c r="K4898" s="1" t="n">
        <v>7894494687471</v>
      </c>
      <c r="L4898" s="1" t="s">
        <v>4151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5" t="n">
        <v>46223</v>
      </c>
      <c r="C4899" s="1" t="n">
        <v>11</v>
      </c>
      <c r="D4899" s="1" t="s">
        <v>2290</v>
      </c>
      <c r="E4899" s="1" t="n">
        <v>1398</v>
      </c>
      <c r="F4899" s="1" t="s">
        <v>1245</v>
      </c>
      <c r="I4899" s="1" t="n">
        <v>1330</v>
      </c>
      <c r="J4899" s="1" t="n">
        <v>74900</v>
      </c>
      <c r="K4899" s="1" t="n">
        <v>7894494549458</v>
      </c>
      <c r="L4899" s="1" t="s">
        <v>4148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5" t="n">
        <v>46223</v>
      </c>
      <c r="C4900" s="1" t="n">
        <v>11</v>
      </c>
      <c r="D4900" s="1" t="s">
        <v>2290</v>
      </c>
      <c r="E4900" s="1" t="n">
        <v>1398</v>
      </c>
      <c r="F4900" s="1" t="s">
        <v>1245</v>
      </c>
      <c r="I4900" s="1" t="n">
        <v>1330</v>
      </c>
      <c r="J4900" s="1" t="n">
        <v>74901</v>
      </c>
      <c r="K4900" s="1" t="n">
        <v>7894494687563</v>
      </c>
      <c r="L4900" s="1" t="s">
        <v>4150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5" t="n">
        <v>46223</v>
      </c>
      <c r="C4901" s="1" t="n">
        <v>11</v>
      </c>
      <c r="D4901" s="1" t="s">
        <v>2290</v>
      </c>
      <c r="E4901" s="1" t="n">
        <v>1398</v>
      </c>
      <c r="F4901" s="1" t="s">
        <v>1245</v>
      </c>
      <c r="I4901" s="1" t="n">
        <v>1330</v>
      </c>
      <c r="J4901" s="1" t="n">
        <v>74910</v>
      </c>
      <c r="K4901" s="1" t="n">
        <v>7894494187957</v>
      </c>
      <c r="L4901" s="1" t="s">
        <v>4150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5" t="n">
        <v>46223</v>
      </c>
      <c r="C4902" s="1" t="n">
        <v>11</v>
      </c>
      <c r="D4902" s="1" t="s">
        <v>2290</v>
      </c>
      <c r="E4902" s="1" t="n">
        <v>1398</v>
      </c>
      <c r="F4902" s="1" t="s">
        <v>1245</v>
      </c>
      <c r="I4902" s="1" t="n">
        <v>1330</v>
      </c>
      <c r="J4902" s="1" t="n">
        <v>76264</v>
      </c>
      <c r="K4902" s="1" t="n">
        <v>7894494583674</v>
      </c>
      <c r="L4902" s="1" t="s">
        <v>4155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5" t="n">
        <v>46223</v>
      </c>
      <c r="C4903" s="1" t="n">
        <v>11</v>
      </c>
      <c r="D4903" s="1" t="s">
        <v>2290</v>
      </c>
      <c r="E4903" s="1" t="n">
        <v>1398</v>
      </c>
      <c r="F4903" s="1" t="s">
        <v>1245</v>
      </c>
      <c r="I4903" s="1" t="n">
        <v>1330</v>
      </c>
      <c r="J4903" s="1" t="n">
        <v>76273</v>
      </c>
      <c r="K4903" s="1" t="n">
        <v>7894494699207</v>
      </c>
      <c r="L4903" s="1" t="s">
        <v>4150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5" t="n">
        <v>46223</v>
      </c>
      <c r="C4904" s="1" t="n">
        <v>11</v>
      </c>
      <c r="D4904" s="1" t="s">
        <v>2290</v>
      </c>
      <c r="E4904" s="1" t="n">
        <v>1398</v>
      </c>
      <c r="F4904" s="1" t="s">
        <v>1245</v>
      </c>
      <c r="I4904" s="1" t="n">
        <v>1330</v>
      </c>
      <c r="J4904" s="1" t="n">
        <v>76277</v>
      </c>
      <c r="K4904" s="1" t="n">
        <v>7894494759048</v>
      </c>
      <c r="L4904" s="1" t="s">
        <v>4148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5" t="n">
        <v>46223</v>
      </c>
      <c r="C4905" s="1" t="n">
        <v>11</v>
      </c>
      <c r="D4905" s="1" t="s">
        <v>2290</v>
      </c>
      <c r="E4905" s="1" t="n">
        <v>1398</v>
      </c>
      <c r="F4905" s="1" t="s">
        <v>1245</v>
      </c>
      <c r="I4905" s="1" t="n">
        <v>1330</v>
      </c>
      <c r="J4905" s="1" t="n">
        <v>76278</v>
      </c>
      <c r="K4905" s="1" t="n">
        <v>7894494759055</v>
      </c>
      <c r="L4905" s="1" t="s">
        <v>4148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5" t="n">
        <v>46223</v>
      </c>
      <c r="C4906" s="1" t="n">
        <v>11</v>
      </c>
      <c r="D4906" s="1" t="s">
        <v>2290</v>
      </c>
      <c r="E4906" s="1" t="n">
        <v>1398</v>
      </c>
      <c r="F4906" s="1" t="s">
        <v>1245</v>
      </c>
      <c r="I4906" s="1" t="n">
        <v>1330</v>
      </c>
      <c r="J4906" s="1" t="n">
        <v>76356</v>
      </c>
      <c r="K4906" s="1" t="n">
        <v>7894494687600</v>
      </c>
      <c r="L4906" s="1" t="s">
        <v>4156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5" t="n">
        <v>46223</v>
      </c>
      <c r="C4907" s="1" t="n">
        <v>11</v>
      </c>
      <c r="D4907" s="1" t="s">
        <v>2290</v>
      </c>
      <c r="E4907" s="1" t="n">
        <v>1398</v>
      </c>
      <c r="F4907" s="1" t="s">
        <v>1245</v>
      </c>
      <c r="I4907" s="1" t="n">
        <v>1330</v>
      </c>
      <c r="J4907" s="1" t="n">
        <v>79095</v>
      </c>
      <c r="K4907" s="1" t="n">
        <v>7894494711404</v>
      </c>
      <c r="L4907" s="1" t="s">
        <v>4157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5" t="n">
        <v>46223</v>
      </c>
      <c r="C4908" s="1" t="n">
        <v>11</v>
      </c>
      <c r="D4908" s="1" t="s">
        <v>2290</v>
      </c>
      <c r="E4908" s="1" t="n">
        <v>1398</v>
      </c>
      <c r="F4908" s="1" t="s">
        <v>1245</v>
      </c>
      <c r="I4908" s="1" t="n">
        <v>1330</v>
      </c>
      <c r="J4908" s="1" t="n">
        <v>79111</v>
      </c>
      <c r="K4908" s="1" t="n">
        <v>7894494687624</v>
      </c>
      <c r="L4908" s="1" t="s">
        <v>4158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5" t="n">
        <v>46223</v>
      </c>
      <c r="C4909" s="1" t="n">
        <v>11</v>
      </c>
      <c r="D4909" s="1" t="s">
        <v>2290</v>
      </c>
      <c r="E4909" s="1" t="n">
        <v>1398</v>
      </c>
      <c r="F4909" s="1" t="s">
        <v>1245</v>
      </c>
      <c r="I4909" s="1" t="n">
        <v>1330</v>
      </c>
      <c r="J4909" s="1" t="n">
        <v>81745</v>
      </c>
      <c r="K4909" s="1" t="n">
        <v>7894494752827</v>
      </c>
      <c r="L4909" s="1" t="s">
        <v>4159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5" t="n">
        <v>46223</v>
      </c>
      <c r="C4910" s="1" t="n">
        <v>11</v>
      </c>
      <c r="D4910" s="1" t="s">
        <v>2290</v>
      </c>
      <c r="E4910" s="1" t="n">
        <v>1398</v>
      </c>
      <c r="F4910" s="1" t="s">
        <v>1245</v>
      </c>
      <c r="I4910" s="1" t="n">
        <v>1330</v>
      </c>
      <c r="J4910" s="1" t="n">
        <v>81746</v>
      </c>
      <c r="K4910" s="1" t="n">
        <v>7894494782244</v>
      </c>
      <c r="L4910" s="1" t="s">
        <v>4160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5" t="n">
        <v>46223</v>
      </c>
      <c r="C4911" s="1" t="n">
        <v>11</v>
      </c>
      <c r="D4911" s="1" t="s">
        <v>2290</v>
      </c>
      <c r="E4911" s="1" t="n">
        <v>1828</v>
      </c>
      <c r="F4911" s="1" t="s">
        <v>278</v>
      </c>
      <c r="I4911" s="1" t="n">
        <v>1393</v>
      </c>
      <c r="J4911" s="1" t="n">
        <v>14247</v>
      </c>
      <c r="K4911" s="1" t="n">
        <v>2229416</v>
      </c>
      <c r="L4911" s="1" t="s">
        <v>2747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5" t="n">
        <v>46223</v>
      </c>
      <c r="C4912" s="1" t="n">
        <v>11</v>
      </c>
      <c r="D4912" s="1" t="s">
        <v>2290</v>
      </c>
      <c r="E4912" s="1" t="n">
        <v>1828</v>
      </c>
      <c r="F4912" s="1" t="s">
        <v>278</v>
      </c>
      <c r="I4912" s="1" t="n">
        <v>1393</v>
      </c>
      <c r="J4912" s="1" t="n">
        <v>14248</v>
      </c>
      <c r="K4912" s="1" t="n">
        <v>2229423</v>
      </c>
      <c r="L4912" s="1" t="s">
        <v>2748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5" t="n">
        <v>46223</v>
      </c>
      <c r="C4913" s="1" t="n">
        <v>11</v>
      </c>
      <c r="D4913" s="1" t="s">
        <v>2290</v>
      </c>
      <c r="E4913" s="1" t="n">
        <v>1828</v>
      </c>
      <c r="F4913" s="1" t="s">
        <v>278</v>
      </c>
      <c r="I4913" s="1" t="n">
        <v>1393</v>
      </c>
      <c r="J4913" s="1" t="n">
        <v>20541</v>
      </c>
      <c r="K4913" s="1" t="n">
        <v>2232829</v>
      </c>
      <c r="L4913" s="1" t="s">
        <v>2749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5" t="n">
        <v>46223</v>
      </c>
      <c r="C4914" s="1" t="n">
        <v>11</v>
      </c>
      <c r="D4914" s="1" t="s">
        <v>2290</v>
      </c>
      <c r="E4914" s="1" t="n">
        <v>1166</v>
      </c>
      <c r="F4914" s="1" t="s">
        <v>941</v>
      </c>
      <c r="I4914" s="1" t="n">
        <v>35519</v>
      </c>
      <c r="J4914" s="1" t="n">
        <v>102408</v>
      </c>
      <c r="K4914" s="1" t="n">
        <v>7891515602918</v>
      </c>
      <c r="L4914" s="1" t="s">
        <v>2843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5" t="n">
        <v>46223</v>
      </c>
      <c r="C4915" s="1" t="n">
        <v>11</v>
      </c>
      <c r="D4915" s="1" t="s">
        <v>2290</v>
      </c>
      <c r="E4915" s="1" t="n">
        <v>1166</v>
      </c>
      <c r="F4915" s="1" t="s">
        <v>941</v>
      </c>
      <c r="I4915" s="1" t="n">
        <v>35519</v>
      </c>
      <c r="J4915" s="1" t="n">
        <v>70044</v>
      </c>
      <c r="K4915" s="1" t="n">
        <v>7891515220983</v>
      </c>
      <c r="L4915" s="1" t="s">
        <v>2587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5" t="n">
        <v>46223</v>
      </c>
      <c r="C4916" s="1" t="n">
        <v>11</v>
      </c>
      <c r="D4916" s="1" t="s">
        <v>2290</v>
      </c>
      <c r="E4916" s="1" t="n">
        <v>1166</v>
      </c>
      <c r="F4916" s="1" t="s">
        <v>941</v>
      </c>
      <c r="I4916" s="1" t="n">
        <v>35519</v>
      </c>
      <c r="J4916" s="1" t="n">
        <v>81787</v>
      </c>
      <c r="K4916" s="1" t="n">
        <v>1298</v>
      </c>
      <c r="L4916" s="1" t="s">
        <v>4161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5" t="n">
        <v>46223</v>
      </c>
      <c r="C4917" s="1" t="n">
        <v>11</v>
      </c>
      <c r="D4917" s="1" t="s">
        <v>2290</v>
      </c>
      <c r="E4917" s="1" t="n">
        <v>1166</v>
      </c>
      <c r="F4917" s="1" t="s">
        <v>941</v>
      </c>
      <c r="I4917" s="1" t="n">
        <v>35548</v>
      </c>
      <c r="J4917" s="1" t="n">
        <v>100035</v>
      </c>
      <c r="K4917" s="1" t="n">
        <v>36</v>
      </c>
      <c r="L4917" s="1" t="s">
        <v>2391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5" t="n">
        <v>46223</v>
      </c>
      <c r="C4918" s="1" t="n">
        <v>11</v>
      </c>
      <c r="D4918" s="1" t="s">
        <v>2290</v>
      </c>
      <c r="E4918" s="1" t="n">
        <v>1657</v>
      </c>
      <c r="F4918" s="1" t="s">
        <v>255</v>
      </c>
      <c r="I4918" s="1" t="n">
        <v>295040</v>
      </c>
      <c r="J4918" s="1" t="n">
        <v>101345</v>
      </c>
      <c r="K4918" s="1" t="n">
        <v>78913639</v>
      </c>
      <c r="L4918" s="1" t="s">
        <v>3457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5" t="n">
        <v>46223</v>
      </c>
      <c r="C4919" s="1" t="n">
        <v>11</v>
      </c>
      <c r="D4919" s="1" t="s">
        <v>2290</v>
      </c>
      <c r="E4919" s="1" t="n">
        <v>1657</v>
      </c>
      <c r="F4919" s="1" t="s">
        <v>255</v>
      </c>
      <c r="I4919" s="1" t="n">
        <v>295040</v>
      </c>
      <c r="J4919" s="1" t="n">
        <v>101349</v>
      </c>
      <c r="K4919" s="1" t="n">
        <v>7896075801337</v>
      </c>
      <c r="L4919" s="1" t="s">
        <v>4162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5" t="n">
        <v>46223</v>
      </c>
      <c r="C4920" s="1" t="n">
        <v>11</v>
      </c>
      <c r="D4920" s="1" t="s">
        <v>2290</v>
      </c>
      <c r="E4920" s="1" t="n">
        <v>1657</v>
      </c>
      <c r="F4920" s="1" t="s">
        <v>255</v>
      </c>
      <c r="I4920" s="1" t="n">
        <v>295040</v>
      </c>
      <c r="J4920" s="1" t="n">
        <v>101352</v>
      </c>
      <c r="K4920" s="1" t="n">
        <v>7896075801306</v>
      </c>
      <c r="L4920" s="1" t="s">
        <v>4163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5" t="n">
        <v>46223</v>
      </c>
      <c r="C4921" s="1" t="n">
        <v>11</v>
      </c>
      <c r="D4921" s="1" t="s">
        <v>2290</v>
      </c>
      <c r="E4921" s="1" t="n">
        <v>1657</v>
      </c>
      <c r="F4921" s="1" t="s">
        <v>255</v>
      </c>
      <c r="I4921" s="1" t="n">
        <v>295040</v>
      </c>
      <c r="J4921" s="1" t="n">
        <v>101759</v>
      </c>
      <c r="K4921" s="1" t="n">
        <v>7896179500037</v>
      </c>
      <c r="L4921" s="1" t="s">
        <v>4164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5" t="n">
        <v>46223</v>
      </c>
      <c r="C4922" s="1" t="n">
        <v>11</v>
      </c>
      <c r="D4922" s="1" t="s">
        <v>2290</v>
      </c>
      <c r="E4922" s="1" t="n">
        <v>1657</v>
      </c>
      <c r="F4922" s="1" t="s">
        <v>255</v>
      </c>
      <c r="I4922" s="1" t="n">
        <v>295040</v>
      </c>
      <c r="J4922" s="1" t="n">
        <v>102206</v>
      </c>
      <c r="K4922" s="1" t="n">
        <v>7896028014494</v>
      </c>
      <c r="L4922" s="1" t="s">
        <v>4165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5" t="n">
        <v>46223</v>
      </c>
      <c r="C4923" s="1" t="n">
        <v>11</v>
      </c>
      <c r="D4923" s="1" t="s">
        <v>2290</v>
      </c>
      <c r="E4923" s="1" t="n">
        <v>1657</v>
      </c>
      <c r="F4923" s="1" t="s">
        <v>255</v>
      </c>
      <c r="I4923" s="1" t="n">
        <v>295040</v>
      </c>
      <c r="J4923" s="1" t="n">
        <v>102271</v>
      </c>
      <c r="K4923" s="1" t="n">
        <v>7898286190316</v>
      </c>
      <c r="L4923" s="1" t="s">
        <v>4166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5" t="n">
        <v>46223</v>
      </c>
      <c r="C4924" s="1" t="n">
        <v>11</v>
      </c>
      <c r="D4924" s="1" t="s">
        <v>2290</v>
      </c>
      <c r="E4924" s="1" t="n">
        <v>1657</v>
      </c>
      <c r="F4924" s="1" t="s">
        <v>255</v>
      </c>
      <c r="I4924" s="1" t="n">
        <v>295040</v>
      </c>
      <c r="J4924" s="1" t="n">
        <v>102335</v>
      </c>
      <c r="K4924" s="1" t="n">
        <v>7896547500218</v>
      </c>
      <c r="L4924" s="1" t="s">
        <v>3458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5" t="n">
        <v>46223</v>
      </c>
      <c r="C4925" s="1" t="n">
        <v>11</v>
      </c>
      <c r="D4925" s="1" t="s">
        <v>2290</v>
      </c>
      <c r="E4925" s="1" t="n">
        <v>1657</v>
      </c>
      <c r="F4925" s="1" t="s">
        <v>255</v>
      </c>
      <c r="I4925" s="1" t="n">
        <v>295040</v>
      </c>
      <c r="J4925" s="1" t="n">
        <v>103680</v>
      </c>
      <c r="K4925" s="1" t="n">
        <v>7896024801104</v>
      </c>
      <c r="L4925" s="1" t="s">
        <v>4167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5" t="n">
        <v>46223</v>
      </c>
      <c r="C4926" s="1" t="n">
        <v>11</v>
      </c>
      <c r="D4926" s="1" t="s">
        <v>2290</v>
      </c>
      <c r="E4926" s="1" t="n">
        <v>1657</v>
      </c>
      <c r="F4926" s="1" t="s">
        <v>255</v>
      </c>
      <c r="I4926" s="1" t="n">
        <v>295040</v>
      </c>
      <c r="J4926" s="1" t="n">
        <v>103781</v>
      </c>
      <c r="K4926" s="1" t="n">
        <v>7897006310027</v>
      </c>
      <c r="L4926" s="1" t="s">
        <v>4168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5" t="n">
        <v>46223</v>
      </c>
      <c r="C4927" s="1" t="n">
        <v>11</v>
      </c>
      <c r="D4927" s="1" t="s">
        <v>2290</v>
      </c>
      <c r="E4927" s="1" t="n">
        <v>1657</v>
      </c>
      <c r="F4927" s="1" t="s">
        <v>255</v>
      </c>
      <c r="I4927" s="1" t="n">
        <v>295040</v>
      </c>
      <c r="J4927" s="1" t="n">
        <v>103791</v>
      </c>
      <c r="K4927" s="1" t="n">
        <v>7897006310010</v>
      </c>
      <c r="L4927" s="1" t="s">
        <v>3461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5" t="n">
        <v>46223</v>
      </c>
      <c r="C4928" s="1" t="n">
        <v>11</v>
      </c>
      <c r="D4928" s="1" t="s">
        <v>2290</v>
      </c>
      <c r="E4928" s="1" t="n">
        <v>1657</v>
      </c>
      <c r="F4928" s="1" t="s">
        <v>255</v>
      </c>
      <c r="I4928" s="1" t="n">
        <v>295040</v>
      </c>
      <c r="J4928" s="1" t="n">
        <v>103801</v>
      </c>
      <c r="K4928" s="1" t="n">
        <v>7897006310133</v>
      </c>
      <c r="L4928" s="1" t="s">
        <v>3463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5" t="n">
        <v>46223</v>
      </c>
      <c r="C4929" s="1" t="n">
        <v>11</v>
      </c>
      <c r="D4929" s="1" t="s">
        <v>2290</v>
      </c>
      <c r="E4929" s="1" t="n">
        <v>1657</v>
      </c>
      <c r="F4929" s="1" t="s">
        <v>255</v>
      </c>
      <c r="I4929" s="1" t="n">
        <v>295040</v>
      </c>
      <c r="J4929" s="1" t="n">
        <v>104032</v>
      </c>
      <c r="K4929" s="1" t="n">
        <v>7897006310072</v>
      </c>
      <c r="L4929" s="1" t="s">
        <v>3464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5" t="n">
        <v>46223</v>
      </c>
      <c r="C4930" s="1" t="n">
        <v>11</v>
      </c>
      <c r="D4930" s="1" t="s">
        <v>2290</v>
      </c>
      <c r="E4930" s="1" t="n">
        <v>1657</v>
      </c>
      <c r="F4930" s="1" t="s">
        <v>255</v>
      </c>
      <c r="I4930" s="1" t="n">
        <v>295040</v>
      </c>
      <c r="J4930" s="1" t="n">
        <v>104252</v>
      </c>
      <c r="K4930" s="1" t="n">
        <v>7897006310089</v>
      </c>
      <c r="L4930" s="1" t="s">
        <v>3467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5" t="n">
        <v>46223</v>
      </c>
      <c r="C4931" s="1" t="n">
        <v>11</v>
      </c>
      <c r="D4931" s="1" t="s">
        <v>2290</v>
      </c>
      <c r="E4931" s="1" t="n">
        <v>1657</v>
      </c>
      <c r="F4931" s="1" t="s">
        <v>255</v>
      </c>
      <c r="I4931" s="1" t="n">
        <v>295040</v>
      </c>
      <c r="J4931" s="1" t="n">
        <v>104477</v>
      </c>
      <c r="K4931" s="1" t="n">
        <v>7898286190323</v>
      </c>
      <c r="L4931" s="1" t="s">
        <v>4169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5" t="n">
        <v>46223</v>
      </c>
      <c r="C4932" s="1" t="n">
        <v>11</v>
      </c>
      <c r="D4932" s="1" t="s">
        <v>2290</v>
      </c>
      <c r="E4932" s="1" t="n">
        <v>1657</v>
      </c>
      <c r="F4932" s="1" t="s">
        <v>255</v>
      </c>
      <c r="I4932" s="1" t="n">
        <v>295040</v>
      </c>
      <c r="J4932" s="1" t="n">
        <v>104479</v>
      </c>
      <c r="K4932" s="1" t="n">
        <v>7898286200015</v>
      </c>
      <c r="L4932" s="1" t="s">
        <v>3573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5" t="n">
        <v>46223</v>
      </c>
      <c r="C4933" s="1" t="n">
        <v>11</v>
      </c>
      <c r="D4933" s="1" t="s">
        <v>2290</v>
      </c>
      <c r="E4933" s="1" t="n">
        <v>1657</v>
      </c>
      <c r="F4933" s="1" t="s">
        <v>255</v>
      </c>
      <c r="I4933" s="1" t="n">
        <v>295040</v>
      </c>
      <c r="J4933" s="1" t="n">
        <v>104658</v>
      </c>
      <c r="K4933" s="1" t="n">
        <v>7896547500058</v>
      </c>
      <c r="L4933" s="1" t="s">
        <v>4170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5" t="n">
        <v>46223</v>
      </c>
      <c r="C4934" s="1" t="n">
        <v>11</v>
      </c>
      <c r="D4934" s="1" t="s">
        <v>2290</v>
      </c>
      <c r="E4934" s="1" t="n">
        <v>1657</v>
      </c>
      <c r="F4934" s="1" t="s">
        <v>255</v>
      </c>
      <c r="I4934" s="1" t="n">
        <v>295040</v>
      </c>
      <c r="J4934" s="1" t="n">
        <v>11519</v>
      </c>
      <c r="K4934" s="1" t="n">
        <v>7897312400924</v>
      </c>
      <c r="L4934" s="1" t="s">
        <v>4171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5" t="n">
        <v>46223</v>
      </c>
      <c r="C4935" s="1" t="n">
        <v>11</v>
      </c>
      <c r="D4935" s="1" t="s">
        <v>2290</v>
      </c>
      <c r="E4935" s="1" t="n">
        <v>1657</v>
      </c>
      <c r="F4935" s="1" t="s">
        <v>255</v>
      </c>
      <c r="I4935" s="1" t="n">
        <v>295040</v>
      </c>
      <c r="J4935" s="1" t="n">
        <v>11769</v>
      </c>
      <c r="K4935" s="1" t="n">
        <v>7897312400948</v>
      </c>
      <c r="L4935" s="1" t="s">
        <v>4172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5" t="n">
        <v>46223</v>
      </c>
      <c r="C4936" s="1" t="n">
        <v>11</v>
      </c>
      <c r="D4936" s="1" t="s">
        <v>2290</v>
      </c>
      <c r="E4936" s="1" t="n">
        <v>1657</v>
      </c>
      <c r="F4936" s="1" t="s">
        <v>255</v>
      </c>
      <c r="I4936" s="1" t="n">
        <v>295040</v>
      </c>
      <c r="J4936" s="1" t="n">
        <v>11770</v>
      </c>
      <c r="K4936" s="1" t="n">
        <v>7897312400962</v>
      </c>
      <c r="L4936" s="1" t="s">
        <v>4173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5" t="n">
        <v>46223</v>
      </c>
      <c r="C4937" s="1" t="n">
        <v>11</v>
      </c>
      <c r="D4937" s="1" t="s">
        <v>2290</v>
      </c>
      <c r="E4937" s="1" t="n">
        <v>1657</v>
      </c>
      <c r="F4937" s="1" t="s">
        <v>255</v>
      </c>
      <c r="I4937" s="1" t="n">
        <v>295040</v>
      </c>
      <c r="J4937" s="1" t="n">
        <v>11881</v>
      </c>
      <c r="K4937" s="1" t="n">
        <v>7892300030688</v>
      </c>
      <c r="L4937" s="1" t="s">
        <v>3472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5" t="n">
        <v>46223</v>
      </c>
      <c r="C4938" s="1" t="n">
        <v>11</v>
      </c>
      <c r="D4938" s="1" t="s">
        <v>2290</v>
      </c>
      <c r="E4938" s="1" t="n">
        <v>1657</v>
      </c>
      <c r="F4938" s="1" t="s">
        <v>255</v>
      </c>
      <c r="I4938" s="1" t="n">
        <v>295040</v>
      </c>
      <c r="J4938" s="1" t="n">
        <v>12122</v>
      </c>
      <c r="K4938" s="1" t="n">
        <v>7898286190354</v>
      </c>
      <c r="L4938" s="1" t="s">
        <v>4174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5" t="n">
        <v>46223</v>
      </c>
      <c r="C4939" s="1" t="n">
        <v>11</v>
      </c>
      <c r="D4939" s="1" t="s">
        <v>2290</v>
      </c>
      <c r="E4939" s="1" t="n">
        <v>1657</v>
      </c>
      <c r="F4939" s="1" t="s">
        <v>255</v>
      </c>
      <c r="I4939" s="1" t="n">
        <v>295040</v>
      </c>
      <c r="J4939" s="1" t="n">
        <v>15551</v>
      </c>
      <c r="K4939" s="1" t="n">
        <v>7897006310140</v>
      </c>
      <c r="L4939" s="1" t="s">
        <v>4175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5" t="n">
        <v>46223</v>
      </c>
      <c r="C4940" s="1" t="n">
        <v>11</v>
      </c>
      <c r="D4940" s="1" t="s">
        <v>2290</v>
      </c>
      <c r="E4940" s="1" t="n">
        <v>1657</v>
      </c>
      <c r="F4940" s="1" t="s">
        <v>255</v>
      </c>
      <c r="I4940" s="1" t="n">
        <v>295040</v>
      </c>
      <c r="J4940" s="1" t="n">
        <v>21197</v>
      </c>
      <c r="K4940" s="1" t="n">
        <v>7898956358022</v>
      </c>
      <c r="L4940" s="1" t="s">
        <v>3474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5" t="n">
        <v>46223</v>
      </c>
      <c r="C4941" s="1" t="n">
        <v>11</v>
      </c>
      <c r="D4941" s="1" t="s">
        <v>2290</v>
      </c>
      <c r="E4941" s="1" t="n">
        <v>1657</v>
      </c>
      <c r="F4941" s="1" t="s">
        <v>255</v>
      </c>
      <c r="I4941" s="1" t="n">
        <v>295040</v>
      </c>
      <c r="J4941" s="1" t="n">
        <v>21283</v>
      </c>
      <c r="K4941" s="1" t="n">
        <v>7897006310102</v>
      </c>
      <c r="L4941" s="1" t="s">
        <v>4176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5" t="n">
        <v>46223</v>
      </c>
      <c r="C4942" s="1" t="n">
        <v>11</v>
      </c>
      <c r="D4942" s="1" t="s">
        <v>2290</v>
      </c>
      <c r="E4942" s="1" t="n">
        <v>1657</v>
      </c>
      <c r="F4942" s="1" t="s">
        <v>255</v>
      </c>
      <c r="I4942" s="1" t="n">
        <v>295040</v>
      </c>
      <c r="J4942" s="1" t="n">
        <v>27697</v>
      </c>
      <c r="K4942" s="1" t="n">
        <v>7897664171756</v>
      </c>
      <c r="L4942" s="1" t="s">
        <v>4177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5" t="n">
        <v>46223</v>
      </c>
      <c r="C4943" s="1" t="n">
        <v>11</v>
      </c>
      <c r="D4943" s="1" t="s">
        <v>2290</v>
      </c>
      <c r="E4943" s="1" t="n">
        <v>1657</v>
      </c>
      <c r="F4943" s="1" t="s">
        <v>255</v>
      </c>
      <c r="I4943" s="1" t="n">
        <v>295040</v>
      </c>
      <c r="J4943" s="1" t="n">
        <v>27698</v>
      </c>
      <c r="K4943" s="1" t="n">
        <v>7897664171732</v>
      </c>
      <c r="L4943" s="1" t="s">
        <v>4178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5" t="n">
        <v>46223</v>
      </c>
      <c r="C4944" s="1" t="n">
        <v>11</v>
      </c>
      <c r="D4944" s="1" t="s">
        <v>2290</v>
      </c>
      <c r="E4944" s="1" t="n">
        <v>1657</v>
      </c>
      <c r="F4944" s="1" t="s">
        <v>255</v>
      </c>
      <c r="I4944" s="1" t="n">
        <v>295040</v>
      </c>
      <c r="J4944" s="1" t="n">
        <v>27699</v>
      </c>
      <c r="K4944" s="1" t="n">
        <v>7897664171701</v>
      </c>
      <c r="L4944" s="1" t="s">
        <v>4179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5" t="n">
        <v>46223</v>
      </c>
      <c r="C4945" s="1" t="n">
        <v>11</v>
      </c>
      <c r="D4945" s="1" t="s">
        <v>2290</v>
      </c>
      <c r="E4945" s="1" t="n">
        <v>1657</v>
      </c>
      <c r="F4945" s="1" t="s">
        <v>255</v>
      </c>
      <c r="I4945" s="1" t="n">
        <v>295040</v>
      </c>
      <c r="J4945" s="1" t="n">
        <v>27701</v>
      </c>
      <c r="K4945" s="1" t="n">
        <v>7897664171749</v>
      </c>
      <c r="L4945" s="1" t="s">
        <v>4180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5" t="n">
        <v>46223</v>
      </c>
      <c r="C4946" s="1" t="n">
        <v>11</v>
      </c>
      <c r="D4946" s="1" t="s">
        <v>2290</v>
      </c>
      <c r="E4946" s="1" t="n">
        <v>1657</v>
      </c>
      <c r="F4946" s="1" t="s">
        <v>255</v>
      </c>
      <c r="I4946" s="1" t="n">
        <v>295040</v>
      </c>
      <c r="J4946" s="1" t="n">
        <v>27702</v>
      </c>
      <c r="K4946" s="1" t="n">
        <v>7897664171725</v>
      </c>
      <c r="L4946" s="1" t="s">
        <v>4181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5" t="n">
        <v>46223</v>
      </c>
      <c r="C4947" s="1" t="n">
        <v>11</v>
      </c>
      <c r="D4947" s="1" t="s">
        <v>2290</v>
      </c>
      <c r="E4947" s="1" t="n">
        <v>1657</v>
      </c>
      <c r="F4947" s="1" t="s">
        <v>255</v>
      </c>
      <c r="I4947" s="1" t="n">
        <v>295040</v>
      </c>
      <c r="J4947" s="1" t="n">
        <v>34480</v>
      </c>
      <c r="K4947" s="1" t="n">
        <v>7908324400120</v>
      </c>
      <c r="L4947" s="1" t="s">
        <v>4182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5" t="n">
        <v>46223</v>
      </c>
      <c r="C4948" s="1" t="n">
        <v>11</v>
      </c>
      <c r="D4948" s="1" t="s">
        <v>2290</v>
      </c>
      <c r="E4948" s="1" t="n">
        <v>1657</v>
      </c>
      <c r="F4948" s="1" t="s">
        <v>255</v>
      </c>
      <c r="I4948" s="1" t="n">
        <v>295040</v>
      </c>
      <c r="J4948" s="1" t="n">
        <v>39258</v>
      </c>
      <c r="K4948" s="1" t="n">
        <v>7897006310096</v>
      </c>
      <c r="L4948" s="1" t="s">
        <v>4183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5" t="n">
        <v>46223</v>
      </c>
      <c r="C4949" s="1" t="n">
        <v>11</v>
      </c>
      <c r="D4949" s="1" t="s">
        <v>2290</v>
      </c>
      <c r="E4949" s="1" t="n">
        <v>1657</v>
      </c>
      <c r="F4949" s="1" t="s">
        <v>255</v>
      </c>
      <c r="I4949" s="1" t="n">
        <v>295040</v>
      </c>
      <c r="J4949" s="1" t="n">
        <v>45906</v>
      </c>
      <c r="K4949" s="1" t="n">
        <v>7898677310064</v>
      </c>
      <c r="L4949" s="1" t="s">
        <v>4184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5" t="n">
        <v>46223</v>
      </c>
      <c r="C4950" s="1" t="n">
        <v>11</v>
      </c>
      <c r="D4950" s="1" t="s">
        <v>2290</v>
      </c>
      <c r="E4950" s="1" t="n">
        <v>1657</v>
      </c>
      <c r="F4950" s="1" t="s">
        <v>255</v>
      </c>
      <c r="I4950" s="1" t="n">
        <v>295040</v>
      </c>
      <c r="J4950" s="1" t="n">
        <v>53225</v>
      </c>
      <c r="K4950" s="1" t="n">
        <v>7897312404083</v>
      </c>
      <c r="L4950" s="1" t="s">
        <v>4185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5" t="n">
        <v>46223</v>
      </c>
      <c r="C4951" s="1" t="n">
        <v>11</v>
      </c>
      <c r="D4951" s="1" t="s">
        <v>2290</v>
      </c>
      <c r="E4951" s="1" t="n">
        <v>1636</v>
      </c>
      <c r="F4951" s="1" t="s">
        <v>49</v>
      </c>
      <c r="I4951" s="1" t="n">
        <v>3218718</v>
      </c>
      <c r="J4951" s="1" t="n">
        <v>14767</v>
      </c>
      <c r="K4951" s="1" t="n">
        <v>7896036095096</v>
      </c>
      <c r="L4951" s="1" t="s">
        <v>4186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5" t="n">
        <v>46223</v>
      </c>
      <c r="C4952" s="1" t="n">
        <v>11</v>
      </c>
      <c r="D4952" s="1" t="s">
        <v>2290</v>
      </c>
      <c r="E4952" s="1" t="n">
        <v>1636</v>
      </c>
      <c r="F4952" s="1" t="s">
        <v>49</v>
      </c>
      <c r="I4952" s="1" t="n">
        <v>3218718</v>
      </c>
      <c r="J4952" s="1" t="n">
        <v>14874</v>
      </c>
      <c r="K4952" s="1" t="n">
        <v>7896036095102</v>
      </c>
      <c r="L4952" s="1" t="s">
        <v>3418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5" t="n">
        <v>46223</v>
      </c>
      <c r="C4953" s="1" t="n">
        <v>11</v>
      </c>
      <c r="D4953" s="1" t="s">
        <v>2290</v>
      </c>
      <c r="E4953" s="1" t="n">
        <v>1636</v>
      </c>
      <c r="F4953" s="1" t="s">
        <v>49</v>
      </c>
      <c r="I4953" s="1" t="n">
        <v>3218718</v>
      </c>
      <c r="J4953" s="1" t="n">
        <v>18509</v>
      </c>
      <c r="K4953" s="1" t="n">
        <v>7896036094815</v>
      </c>
      <c r="L4953" s="1" t="s">
        <v>4187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5" t="n">
        <v>46223</v>
      </c>
      <c r="C4954" s="1" t="n">
        <v>11</v>
      </c>
      <c r="D4954" s="1" t="s">
        <v>2290</v>
      </c>
      <c r="E4954" s="1" t="n">
        <v>1636</v>
      </c>
      <c r="F4954" s="1" t="s">
        <v>49</v>
      </c>
      <c r="I4954" s="1" t="n">
        <v>3218718</v>
      </c>
      <c r="J4954" s="1" t="n">
        <v>29032</v>
      </c>
      <c r="K4954" s="1" t="n">
        <v>7896423419276</v>
      </c>
      <c r="L4954" s="1" t="s">
        <v>3427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5" t="n">
        <v>46223</v>
      </c>
      <c r="C4955" s="1" t="n">
        <v>11</v>
      </c>
      <c r="D4955" s="1" t="s">
        <v>2290</v>
      </c>
      <c r="E4955" s="1" t="n">
        <v>1636</v>
      </c>
      <c r="F4955" s="1" t="s">
        <v>49</v>
      </c>
      <c r="I4955" s="1" t="n">
        <v>3218718</v>
      </c>
      <c r="J4955" s="1" t="n">
        <v>29676</v>
      </c>
      <c r="K4955" s="1" t="n">
        <v>7896423470994</v>
      </c>
      <c r="L4955" s="1" t="s">
        <v>4188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5" t="n">
        <v>46223</v>
      </c>
      <c r="C4956" s="1" t="n">
        <v>11</v>
      </c>
      <c r="D4956" s="1" t="s">
        <v>2290</v>
      </c>
      <c r="E4956" s="1" t="n">
        <v>1636</v>
      </c>
      <c r="F4956" s="1" t="s">
        <v>49</v>
      </c>
      <c r="I4956" s="1" t="n">
        <v>3218718</v>
      </c>
      <c r="J4956" s="1" t="n">
        <v>30015</v>
      </c>
      <c r="K4956" s="1" t="n">
        <v>7896423420180</v>
      </c>
      <c r="L4956" s="1" t="s">
        <v>3428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5" t="n">
        <v>46223</v>
      </c>
      <c r="C4957" s="1" t="n">
        <v>11</v>
      </c>
      <c r="D4957" s="1" t="s">
        <v>2290</v>
      </c>
      <c r="E4957" s="1" t="n">
        <v>1636</v>
      </c>
      <c r="F4957" s="1" t="s">
        <v>49</v>
      </c>
      <c r="I4957" s="1" t="n">
        <v>3218718</v>
      </c>
      <c r="J4957" s="1" t="n">
        <v>37266</v>
      </c>
      <c r="K4957" s="1" t="n">
        <v>7896036098325</v>
      </c>
      <c r="L4957" s="1" t="s">
        <v>4189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5" t="n">
        <v>46223</v>
      </c>
      <c r="C4958" s="1" t="n">
        <v>11</v>
      </c>
      <c r="D4958" s="1" t="s">
        <v>2290</v>
      </c>
      <c r="E4958" s="1" t="n">
        <v>1636</v>
      </c>
      <c r="F4958" s="1" t="s">
        <v>49</v>
      </c>
      <c r="I4958" s="1" t="n">
        <v>3218718</v>
      </c>
      <c r="J4958" s="1" t="n">
        <v>50363</v>
      </c>
      <c r="K4958" s="1" t="n">
        <v>7896036099377</v>
      </c>
      <c r="L4958" s="1" t="s">
        <v>4190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5" t="n">
        <v>46223</v>
      </c>
      <c r="C4959" s="1" t="n">
        <v>11</v>
      </c>
      <c r="D4959" s="1" t="s">
        <v>2290</v>
      </c>
      <c r="E4959" s="1" t="n">
        <v>1636</v>
      </c>
      <c r="F4959" s="1" t="s">
        <v>49</v>
      </c>
      <c r="I4959" s="1" t="n">
        <v>3218718</v>
      </c>
      <c r="J4959" s="1" t="n">
        <v>50368</v>
      </c>
      <c r="K4959" s="1" t="n">
        <v>7896036099384</v>
      </c>
      <c r="L4959" s="1" t="s">
        <v>4191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5" t="n">
        <v>46223</v>
      </c>
      <c r="C4960" s="1" t="n">
        <v>11</v>
      </c>
      <c r="D4960" s="1" t="s">
        <v>2290</v>
      </c>
      <c r="E4960" s="1" t="n">
        <v>1636</v>
      </c>
      <c r="F4960" s="1" t="s">
        <v>49</v>
      </c>
      <c r="I4960" s="1" t="n">
        <v>3218718</v>
      </c>
      <c r="J4960" s="1" t="n">
        <v>57639</v>
      </c>
      <c r="K4960" s="1" t="n">
        <v>7896004006277</v>
      </c>
      <c r="L4960" s="1" t="s">
        <v>2364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5" t="n">
        <v>46223</v>
      </c>
      <c r="C4961" s="1" t="n">
        <v>11</v>
      </c>
      <c r="D4961" s="1" t="s">
        <v>2290</v>
      </c>
      <c r="E4961" s="1" t="n">
        <v>1636</v>
      </c>
      <c r="F4961" s="1" t="s">
        <v>49</v>
      </c>
      <c r="I4961" s="1" t="n">
        <v>3218718</v>
      </c>
      <c r="J4961" s="1" t="n">
        <v>57878</v>
      </c>
      <c r="K4961" s="1" t="n">
        <v>7896004006239</v>
      </c>
      <c r="L4961" s="1" t="s">
        <v>4192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5" t="n">
        <v>46223</v>
      </c>
      <c r="C4962" s="1" t="n">
        <v>11</v>
      </c>
      <c r="D4962" s="1" t="s">
        <v>2290</v>
      </c>
      <c r="E4962" s="1" t="n">
        <v>1636</v>
      </c>
      <c r="F4962" s="1" t="s">
        <v>49</v>
      </c>
      <c r="I4962" s="1" t="n">
        <v>3218718</v>
      </c>
      <c r="J4962" s="1" t="n">
        <v>61667</v>
      </c>
      <c r="K4962" s="1" t="n">
        <v>7896004006284</v>
      </c>
      <c r="L4962" s="1" t="s">
        <v>2365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5" t="n">
        <v>46223</v>
      </c>
      <c r="C4963" s="1" t="n">
        <v>11</v>
      </c>
      <c r="D4963" s="1" t="s">
        <v>2290</v>
      </c>
      <c r="E4963" s="1" t="n">
        <v>1636</v>
      </c>
      <c r="F4963" s="1" t="s">
        <v>49</v>
      </c>
      <c r="I4963" s="1" t="n">
        <v>3218718</v>
      </c>
      <c r="J4963" s="1" t="n">
        <v>63943</v>
      </c>
      <c r="K4963" s="1" t="n">
        <v>7896004008998</v>
      </c>
      <c r="L4963" s="1" t="s">
        <v>4193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5" t="n">
        <v>46223</v>
      </c>
      <c r="C4964" s="1" t="n">
        <v>11</v>
      </c>
      <c r="D4964" s="1" t="s">
        <v>2290</v>
      </c>
      <c r="E4964" s="1" t="n">
        <v>1636</v>
      </c>
      <c r="F4964" s="1" t="s">
        <v>49</v>
      </c>
      <c r="I4964" s="1" t="n">
        <v>3218718</v>
      </c>
      <c r="J4964" s="1" t="n">
        <v>65885</v>
      </c>
      <c r="K4964" s="1" t="n">
        <v>7896036001219</v>
      </c>
      <c r="L4964" s="1" t="s">
        <v>3442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5" t="n">
        <v>46223</v>
      </c>
      <c r="C4965" s="1" t="n">
        <v>11</v>
      </c>
      <c r="D4965" s="1" t="s">
        <v>2290</v>
      </c>
      <c r="E4965" s="1" t="n">
        <v>1636</v>
      </c>
      <c r="F4965" s="1" t="s">
        <v>49</v>
      </c>
      <c r="I4965" s="1" t="n">
        <v>3218718</v>
      </c>
      <c r="J4965" s="1" t="n">
        <v>66069</v>
      </c>
      <c r="K4965" s="1" t="n">
        <v>7896004010076</v>
      </c>
      <c r="L4965" s="1" t="s">
        <v>3443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5" t="n">
        <v>46223</v>
      </c>
      <c r="C4966" s="1" t="n">
        <v>11</v>
      </c>
      <c r="D4966" s="1" t="s">
        <v>2290</v>
      </c>
      <c r="E4966" s="1" t="n">
        <v>1636</v>
      </c>
      <c r="F4966" s="1" t="s">
        <v>49</v>
      </c>
      <c r="I4966" s="1" t="n">
        <v>3218718</v>
      </c>
      <c r="J4966" s="1" t="n">
        <v>67359</v>
      </c>
      <c r="K4966" s="1" t="n">
        <v>7891167831650</v>
      </c>
      <c r="L4966" s="1" t="s">
        <v>4194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5" t="n">
        <v>46223</v>
      </c>
      <c r="C4967" s="1" t="n">
        <v>11</v>
      </c>
      <c r="D4967" s="1" t="s">
        <v>2290</v>
      </c>
      <c r="E4967" s="1" t="n">
        <v>1636</v>
      </c>
      <c r="F4967" s="1" t="s">
        <v>49</v>
      </c>
      <c r="I4967" s="1" t="n">
        <v>3218718</v>
      </c>
      <c r="J4967" s="1" t="n">
        <v>67363</v>
      </c>
      <c r="K4967" s="1" t="n">
        <v>7891167831667</v>
      </c>
      <c r="L4967" s="1" t="s">
        <v>4195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5" t="n">
        <v>46223</v>
      </c>
      <c r="C4968" s="1" t="n">
        <v>11</v>
      </c>
      <c r="D4968" s="1" t="s">
        <v>2290</v>
      </c>
      <c r="E4968" s="1" t="n">
        <v>1636</v>
      </c>
      <c r="F4968" s="1" t="s">
        <v>49</v>
      </c>
      <c r="I4968" s="1" t="n">
        <v>3218718</v>
      </c>
      <c r="J4968" s="1" t="n">
        <v>74370</v>
      </c>
      <c r="K4968" s="1" t="n">
        <v>7896036001349</v>
      </c>
      <c r="L4968" s="1" t="s">
        <v>4196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5" t="n">
        <v>46223</v>
      </c>
      <c r="C4969" s="1" t="n">
        <v>11</v>
      </c>
      <c r="D4969" s="1" t="s">
        <v>2290</v>
      </c>
      <c r="E4969" s="1" t="n">
        <v>1636</v>
      </c>
      <c r="F4969" s="1" t="s">
        <v>49</v>
      </c>
      <c r="I4969" s="1" t="n">
        <v>3218718</v>
      </c>
      <c r="J4969" s="1" t="n">
        <v>77626</v>
      </c>
      <c r="K4969" s="1" t="n">
        <v>7896004011653</v>
      </c>
      <c r="L4969" s="1" t="s">
        <v>4197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5" t="n">
        <v>46223</v>
      </c>
      <c r="C4970" s="1" t="n">
        <v>11</v>
      </c>
      <c r="D4970" s="1" t="s">
        <v>2290</v>
      </c>
      <c r="E4970" s="1" t="n">
        <v>1636</v>
      </c>
      <c r="F4970" s="1" t="s">
        <v>49</v>
      </c>
      <c r="I4970" s="1" t="n">
        <v>3218718</v>
      </c>
      <c r="J4970" s="1" t="n">
        <v>78138</v>
      </c>
      <c r="K4970" s="1" t="n">
        <v>7896423438703</v>
      </c>
      <c r="L4970" s="1" t="s">
        <v>4198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5" t="n">
        <v>46223</v>
      </c>
      <c r="C4971" s="1" t="n">
        <v>11</v>
      </c>
      <c r="D4971" s="1" t="s">
        <v>2290</v>
      </c>
      <c r="E4971" s="1" t="n">
        <v>1636</v>
      </c>
      <c r="F4971" s="1" t="s">
        <v>49</v>
      </c>
      <c r="I4971" s="1" t="n">
        <v>3218718</v>
      </c>
      <c r="J4971" s="1" t="n">
        <v>78481</v>
      </c>
      <c r="K4971" s="1" t="n">
        <v>7896423438727</v>
      </c>
      <c r="L4971" s="1" t="s">
        <v>3445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5" t="n">
        <v>46223</v>
      </c>
      <c r="C4972" s="1" t="n">
        <v>11</v>
      </c>
      <c r="D4972" s="1" t="s">
        <v>2290</v>
      </c>
      <c r="E4972" s="1" t="n">
        <v>1636</v>
      </c>
      <c r="F4972" s="1" t="s">
        <v>49</v>
      </c>
      <c r="I4972" s="1" t="n">
        <v>3218718</v>
      </c>
      <c r="J4972" s="1" t="n">
        <v>81125</v>
      </c>
      <c r="K4972" s="1" t="n">
        <v>7896004012162</v>
      </c>
      <c r="L4972" s="1" t="s">
        <v>2367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5" t="n">
        <v>46223</v>
      </c>
      <c r="C4973" s="1" t="n">
        <v>171</v>
      </c>
      <c r="D4973" s="1" t="s">
        <v>2517</v>
      </c>
      <c r="E4973" s="1" t="n">
        <v>1955</v>
      </c>
      <c r="F4973" s="1" t="s">
        <v>2216</v>
      </c>
      <c r="I4973" s="1" t="n">
        <v>47445</v>
      </c>
      <c r="J4973" s="1" t="n">
        <v>45154</v>
      </c>
      <c r="K4973" s="1" t="n">
        <v>2246390</v>
      </c>
      <c r="L4973" s="1" t="s">
        <v>3505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5" t="n">
        <v>46223</v>
      </c>
      <c r="C4974" s="1" t="n">
        <v>171</v>
      </c>
      <c r="D4974" s="1" t="s">
        <v>2517</v>
      </c>
      <c r="E4974" s="1" t="n">
        <v>1955</v>
      </c>
      <c r="F4974" s="1" t="s">
        <v>2216</v>
      </c>
      <c r="I4974" s="1" t="n">
        <v>47445</v>
      </c>
      <c r="J4974" s="1" t="n">
        <v>45155</v>
      </c>
      <c r="K4974" s="1" t="n">
        <v>2246406</v>
      </c>
      <c r="L4974" s="1" t="s">
        <v>3506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5" t="n">
        <v>46223</v>
      </c>
      <c r="C4975" s="1" t="n">
        <v>171</v>
      </c>
      <c r="D4975" s="1" t="s">
        <v>2517</v>
      </c>
      <c r="E4975" s="1" t="n">
        <v>1636</v>
      </c>
      <c r="F4975" s="1" t="s">
        <v>49</v>
      </c>
      <c r="I4975" s="1" t="n">
        <v>3218719</v>
      </c>
      <c r="J4975" s="1" t="n">
        <v>57639</v>
      </c>
      <c r="K4975" s="1" t="n">
        <v>7896004006277</v>
      </c>
      <c r="L4975" s="1" t="s">
        <v>2364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5" t="n">
        <v>46224</v>
      </c>
      <c r="C4976" s="1" t="n">
        <v>6</v>
      </c>
      <c r="D4976" s="1" t="s">
        <v>2289</v>
      </c>
      <c r="E4976" s="1" t="n">
        <v>42</v>
      </c>
      <c r="F4976" s="1" t="s">
        <v>80</v>
      </c>
      <c r="I4976" s="1" t="n">
        <v>4402</v>
      </c>
      <c r="J4976" s="1" t="n">
        <v>109791</v>
      </c>
      <c r="K4976" s="1" t="n">
        <v>9667</v>
      </c>
      <c r="L4976" s="1" t="s">
        <v>2284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5" t="n">
        <v>46224</v>
      </c>
      <c r="C4977" s="1" t="n">
        <v>6</v>
      </c>
      <c r="D4977" s="1" t="s">
        <v>2289</v>
      </c>
      <c r="E4977" s="1" t="n">
        <v>42</v>
      </c>
      <c r="F4977" s="1" t="s">
        <v>80</v>
      </c>
      <c r="I4977" s="1" t="n">
        <v>4402</v>
      </c>
      <c r="J4977" s="1" t="n">
        <v>37359</v>
      </c>
      <c r="K4977" s="1" t="n">
        <v>55526</v>
      </c>
      <c r="L4977" s="1" t="s">
        <v>2285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5" t="n">
        <v>46224</v>
      </c>
      <c r="C4978" s="1" t="n">
        <v>6</v>
      </c>
      <c r="D4978" s="1" t="s">
        <v>2289</v>
      </c>
      <c r="E4978" s="1" t="n">
        <v>42</v>
      </c>
      <c r="F4978" s="1" t="s">
        <v>80</v>
      </c>
      <c r="I4978" s="1" t="n">
        <v>4402</v>
      </c>
      <c r="J4978" s="1" t="n">
        <v>37361</v>
      </c>
      <c r="K4978" s="1" t="n">
        <v>2240817</v>
      </c>
      <c r="L4978" s="1" t="s">
        <v>2286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5" t="n">
        <v>46224</v>
      </c>
      <c r="C4979" s="1" t="n">
        <v>6</v>
      </c>
      <c r="D4979" s="1" t="s">
        <v>2289</v>
      </c>
      <c r="E4979" s="1" t="n">
        <v>42</v>
      </c>
      <c r="F4979" s="1" t="s">
        <v>80</v>
      </c>
      <c r="I4979" s="1" t="n">
        <v>4403</v>
      </c>
      <c r="J4979" s="1" t="n">
        <v>72679</v>
      </c>
      <c r="K4979" s="1" t="n">
        <v>246</v>
      </c>
      <c r="L4979" s="1" t="s">
        <v>2288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5" t="n">
        <v>46224</v>
      </c>
      <c r="C4980" s="1" t="n">
        <v>6</v>
      </c>
      <c r="D4980" s="1" t="s">
        <v>2289</v>
      </c>
      <c r="E4980" s="1" t="n">
        <v>42</v>
      </c>
      <c r="F4980" s="1" t="s">
        <v>80</v>
      </c>
      <c r="I4980" s="1" t="n">
        <v>4406</v>
      </c>
      <c r="J4980" s="1" t="n">
        <v>100103</v>
      </c>
      <c r="K4980" s="1" t="n">
        <v>104</v>
      </c>
      <c r="L4980" s="1" t="s">
        <v>2287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5" t="n">
        <v>46224</v>
      </c>
      <c r="C4981" s="1" t="n">
        <v>6</v>
      </c>
      <c r="D4981" s="1" t="s">
        <v>2289</v>
      </c>
      <c r="E4981" s="1" t="n">
        <v>42</v>
      </c>
      <c r="F4981" s="1" t="s">
        <v>80</v>
      </c>
      <c r="I4981" s="1" t="n">
        <v>4407</v>
      </c>
      <c r="J4981" s="1" t="n">
        <v>100062</v>
      </c>
      <c r="K4981" s="1" t="n">
        <v>63</v>
      </c>
      <c r="L4981" s="1" t="s">
        <v>2320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5" t="n">
        <v>46224</v>
      </c>
      <c r="C4982" s="1" t="n">
        <v>6</v>
      </c>
      <c r="D4982" s="1" t="s">
        <v>2289</v>
      </c>
      <c r="E4982" s="1" t="n">
        <v>42</v>
      </c>
      <c r="F4982" s="1" t="s">
        <v>80</v>
      </c>
      <c r="I4982" s="1" t="n">
        <v>4407</v>
      </c>
      <c r="J4982" s="1" t="n">
        <v>100104</v>
      </c>
      <c r="K4982" s="1" t="n">
        <v>105</v>
      </c>
      <c r="L4982" s="1" t="s">
        <v>2321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5" t="n">
        <v>46224</v>
      </c>
      <c r="C4983" s="1" t="n">
        <v>6</v>
      </c>
      <c r="D4983" s="1" t="s">
        <v>2289</v>
      </c>
      <c r="E4983" s="1" t="n">
        <v>42</v>
      </c>
      <c r="F4983" s="1" t="s">
        <v>80</v>
      </c>
      <c r="I4983" s="1" t="n">
        <v>4407</v>
      </c>
      <c r="J4983" s="1" t="n">
        <v>100105</v>
      </c>
      <c r="K4983" s="1" t="n">
        <v>106</v>
      </c>
      <c r="L4983" s="1" t="s">
        <v>2322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5" t="n">
        <v>46224</v>
      </c>
      <c r="C4984" s="1" t="n">
        <v>6</v>
      </c>
      <c r="D4984" s="1" t="s">
        <v>2289</v>
      </c>
      <c r="E4984" s="1" t="n">
        <v>42</v>
      </c>
      <c r="F4984" s="1" t="s">
        <v>80</v>
      </c>
      <c r="I4984" s="1" t="n">
        <v>4407</v>
      </c>
      <c r="J4984" s="1" t="n">
        <v>100107</v>
      </c>
      <c r="K4984" s="1" t="n">
        <v>108</v>
      </c>
      <c r="L4984" s="1" t="s">
        <v>2323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5" t="n">
        <v>46224</v>
      </c>
      <c r="C4985" s="1" t="n">
        <v>6</v>
      </c>
      <c r="D4985" s="1" t="s">
        <v>2289</v>
      </c>
      <c r="E4985" s="1" t="n">
        <v>42</v>
      </c>
      <c r="F4985" s="1" t="s">
        <v>80</v>
      </c>
      <c r="I4985" s="1" t="n">
        <v>4407</v>
      </c>
      <c r="J4985" s="1" t="n">
        <v>100109</v>
      </c>
      <c r="K4985" s="1" t="n">
        <v>110</v>
      </c>
      <c r="L4985" s="1" t="s">
        <v>2324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5" t="n">
        <v>46224</v>
      </c>
      <c r="C4986" s="1" t="n">
        <v>6</v>
      </c>
      <c r="D4986" s="1" t="s">
        <v>2289</v>
      </c>
      <c r="E4986" s="1" t="n">
        <v>42</v>
      </c>
      <c r="F4986" s="1" t="s">
        <v>80</v>
      </c>
      <c r="I4986" s="1" t="n">
        <v>4407</v>
      </c>
      <c r="J4986" s="1" t="n">
        <v>100110</v>
      </c>
      <c r="K4986" s="1" t="n">
        <v>111</v>
      </c>
      <c r="L4986" s="1" t="s">
        <v>2473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5" t="n">
        <v>46224</v>
      </c>
      <c r="C4987" s="1" t="n">
        <v>6</v>
      </c>
      <c r="D4987" s="1" t="s">
        <v>2289</v>
      </c>
      <c r="E4987" s="1" t="n">
        <v>42</v>
      </c>
      <c r="F4987" s="1" t="s">
        <v>80</v>
      </c>
      <c r="I4987" s="1" t="n">
        <v>4407</v>
      </c>
      <c r="J4987" s="1" t="n">
        <v>100113</v>
      </c>
      <c r="K4987" s="1" t="n">
        <v>114</v>
      </c>
      <c r="L4987" s="1" t="s">
        <v>2326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5" t="n">
        <v>46224</v>
      </c>
      <c r="C4988" s="1" t="n">
        <v>6</v>
      </c>
      <c r="D4988" s="1" t="s">
        <v>2289</v>
      </c>
      <c r="E4988" s="1" t="n">
        <v>42</v>
      </c>
      <c r="F4988" s="1" t="s">
        <v>80</v>
      </c>
      <c r="I4988" s="1" t="n">
        <v>4407</v>
      </c>
      <c r="J4988" s="1" t="n">
        <v>100116</v>
      </c>
      <c r="K4988" s="1" t="n">
        <v>117</v>
      </c>
      <c r="L4988" s="1" t="s">
        <v>2327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5" t="n">
        <v>46224</v>
      </c>
      <c r="C4989" s="1" t="n">
        <v>6</v>
      </c>
      <c r="D4989" s="1" t="s">
        <v>2289</v>
      </c>
      <c r="E4989" s="1" t="n">
        <v>42</v>
      </c>
      <c r="F4989" s="1" t="s">
        <v>80</v>
      </c>
      <c r="I4989" s="1" t="n">
        <v>4407</v>
      </c>
      <c r="J4989" s="1" t="n">
        <v>100118</v>
      </c>
      <c r="K4989" s="1" t="n">
        <v>119</v>
      </c>
      <c r="L4989" s="1" t="s">
        <v>2328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5" t="n">
        <v>46224</v>
      </c>
      <c r="C4990" s="1" t="n">
        <v>6</v>
      </c>
      <c r="D4990" s="1" t="s">
        <v>2289</v>
      </c>
      <c r="E4990" s="1" t="n">
        <v>42</v>
      </c>
      <c r="F4990" s="1" t="s">
        <v>80</v>
      </c>
      <c r="I4990" s="1" t="n">
        <v>4407</v>
      </c>
      <c r="J4990" s="1" t="n">
        <v>100121</v>
      </c>
      <c r="K4990" s="1" t="n">
        <v>122</v>
      </c>
      <c r="L4990" s="1" t="s">
        <v>2329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5" t="n">
        <v>46224</v>
      </c>
      <c r="C4991" s="1" t="n">
        <v>6</v>
      </c>
      <c r="D4991" s="1" t="s">
        <v>2289</v>
      </c>
      <c r="E4991" s="1" t="n">
        <v>42</v>
      </c>
      <c r="F4991" s="1" t="s">
        <v>80</v>
      </c>
      <c r="I4991" s="1" t="n">
        <v>4407</v>
      </c>
      <c r="J4991" s="1" t="n">
        <v>100122</v>
      </c>
      <c r="K4991" s="1" t="n">
        <v>123</v>
      </c>
      <c r="L4991" s="1" t="s">
        <v>2330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5" t="n">
        <v>46224</v>
      </c>
      <c r="C4992" s="1" t="n">
        <v>6</v>
      </c>
      <c r="D4992" s="1" t="s">
        <v>2289</v>
      </c>
      <c r="E4992" s="1" t="n">
        <v>42</v>
      </c>
      <c r="F4992" s="1" t="s">
        <v>80</v>
      </c>
      <c r="I4992" s="1" t="n">
        <v>4407</v>
      </c>
      <c r="J4992" s="1" t="n">
        <v>100124</v>
      </c>
      <c r="K4992" s="1" t="n">
        <v>125</v>
      </c>
      <c r="L4992" s="1" t="s">
        <v>2476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5" t="n">
        <v>46224</v>
      </c>
      <c r="C4993" s="1" t="n">
        <v>6</v>
      </c>
      <c r="D4993" s="1" t="s">
        <v>2289</v>
      </c>
      <c r="E4993" s="1" t="n">
        <v>42</v>
      </c>
      <c r="F4993" s="1" t="s">
        <v>80</v>
      </c>
      <c r="I4993" s="1" t="n">
        <v>4407</v>
      </c>
      <c r="J4993" s="1" t="n">
        <v>100125</v>
      </c>
      <c r="K4993" s="1" t="n">
        <v>126</v>
      </c>
      <c r="L4993" s="1" t="s">
        <v>2477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5" t="n">
        <v>46224</v>
      </c>
      <c r="C4994" s="1" t="n">
        <v>6</v>
      </c>
      <c r="D4994" s="1" t="s">
        <v>2289</v>
      </c>
      <c r="E4994" s="1" t="n">
        <v>42</v>
      </c>
      <c r="F4994" s="1" t="s">
        <v>80</v>
      </c>
      <c r="I4994" s="1" t="n">
        <v>4407</v>
      </c>
      <c r="J4994" s="1" t="n">
        <v>100132</v>
      </c>
      <c r="K4994" s="1" t="n">
        <v>133</v>
      </c>
      <c r="L4994" s="1" t="s">
        <v>3104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5" t="n">
        <v>46224</v>
      </c>
      <c r="C4995" s="1" t="n">
        <v>6</v>
      </c>
      <c r="D4995" s="1" t="s">
        <v>2289</v>
      </c>
      <c r="E4995" s="1" t="n">
        <v>42</v>
      </c>
      <c r="F4995" s="1" t="s">
        <v>80</v>
      </c>
      <c r="I4995" s="1" t="n">
        <v>4407</v>
      </c>
      <c r="J4995" s="1" t="n">
        <v>100133</v>
      </c>
      <c r="K4995" s="1" t="n">
        <v>134</v>
      </c>
      <c r="L4995" s="1" t="s">
        <v>2332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5" t="n">
        <v>46224</v>
      </c>
      <c r="C4996" s="1" t="n">
        <v>6</v>
      </c>
      <c r="D4996" s="1" t="s">
        <v>2289</v>
      </c>
      <c r="E4996" s="1" t="n">
        <v>42</v>
      </c>
      <c r="F4996" s="1" t="s">
        <v>80</v>
      </c>
      <c r="I4996" s="1" t="n">
        <v>4407</v>
      </c>
      <c r="J4996" s="1" t="n">
        <v>100138</v>
      </c>
      <c r="K4996" s="1" t="n">
        <v>139</v>
      </c>
      <c r="L4996" s="1" t="s">
        <v>2333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5" t="n">
        <v>46224</v>
      </c>
      <c r="C4997" s="1" t="n">
        <v>6</v>
      </c>
      <c r="D4997" s="1" t="s">
        <v>2289</v>
      </c>
      <c r="E4997" s="1" t="n">
        <v>42</v>
      </c>
      <c r="F4997" s="1" t="s">
        <v>80</v>
      </c>
      <c r="I4997" s="1" t="n">
        <v>4407</v>
      </c>
      <c r="J4997" s="1" t="n">
        <v>100148</v>
      </c>
      <c r="K4997" s="1" t="n">
        <v>149</v>
      </c>
      <c r="L4997" s="1" t="s">
        <v>2676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5" t="n">
        <v>46224</v>
      </c>
      <c r="C4998" s="1" t="n">
        <v>6</v>
      </c>
      <c r="D4998" s="1" t="s">
        <v>2289</v>
      </c>
      <c r="E4998" s="1" t="n">
        <v>42</v>
      </c>
      <c r="F4998" s="1" t="s">
        <v>80</v>
      </c>
      <c r="I4998" s="1" t="n">
        <v>4407</v>
      </c>
      <c r="J4998" s="1" t="n">
        <v>110142</v>
      </c>
      <c r="K4998" s="1" t="n">
        <v>16699</v>
      </c>
      <c r="L4998" s="1" t="s">
        <v>2334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5" t="n">
        <v>46224</v>
      </c>
      <c r="C4999" s="1" t="n">
        <v>11</v>
      </c>
      <c r="D4999" s="1" t="s">
        <v>2290</v>
      </c>
      <c r="E4999" s="1" t="n">
        <v>1625</v>
      </c>
      <c r="F4999" s="1" t="s">
        <v>320</v>
      </c>
      <c r="I4999" s="1" t="n">
        <v>14770</v>
      </c>
      <c r="J4999" s="1" t="n">
        <v>29079</v>
      </c>
      <c r="K4999" s="1" t="n">
        <v>55515</v>
      </c>
      <c r="L4999" s="1" t="s">
        <v>2360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5" t="n">
        <v>46224</v>
      </c>
      <c r="C5000" s="1" t="n">
        <v>11</v>
      </c>
      <c r="D5000" s="1" t="s">
        <v>2290</v>
      </c>
      <c r="E5000" s="1" t="n">
        <v>1625</v>
      </c>
      <c r="F5000" s="1" t="s">
        <v>320</v>
      </c>
      <c r="I5000" s="1" t="n">
        <v>14770</v>
      </c>
      <c r="J5000" s="1" t="n">
        <v>110231</v>
      </c>
      <c r="K5000" s="1" t="n">
        <v>38306</v>
      </c>
      <c r="L5000" s="1" t="s">
        <v>2363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5" t="n">
        <v>46224</v>
      </c>
      <c r="C5001" s="1" t="n">
        <v>11</v>
      </c>
      <c r="D5001" s="1" t="s">
        <v>2290</v>
      </c>
      <c r="E5001" s="1" t="n">
        <v>1723</v>
      </c>
      <c r="F5001" s="1" t="s">
        <v>76</v>
      </c>
      <c r="I5001" s="1" t="n">
        <v>173515</v>
      </c>
      <c r="J5001" s="1" t="n">
        <v>29079</v>
      </c>
      <c r="K5001" s="1" t="n">
        <v>55515</v>
      </c>
      <c r="L5001" s="1" t="s">
        <v>2360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5" t="n">
        <v>46224</v>
      </c>
      <c r="C5002" s="1" t="n">
        <v>11</v>
      </c>
      <c r="D5002" s="1" t="s">
        <v>2290</v>
      </c>
      <c r="E5002" s="1" t="n">
        <v>1723</v>
      </c>
      <c r="F5002" s="1" t="s">
        <v>76</v>
      </c>
      <c r="I5002" s="1" t="n">
        <v>173515</v>
      </c>
      <c r="J5002" s="1" t="n">
        <v>29080</v>
      </c>
      <c r="K5002" s="1" t="n">
        <v>55516</v>
      </c>
      <c r="L5002" s="1" t="s">
        <v>2362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5" t="n">
        <v>46224</v>
      </c>
      <c r="C5003" s="1" t="n">
        <v>11</v>
      </c>
      <c r="D5003" s="1" t="s">
        <v>2290</v>
      </c>
      <c r="E5003" s="1" t="n">
        <v>1723</v>
      </c>
      <c r="F5003" s="1" t="s">
        <v>76</v>
      </c>
      <c r="I5003" s="1" t="n">
        <v>173515</v>
      </c>
      <c r="J5003" s="1" t="n">
        <v>78040</v>
      </c>
      <c r="K5003" s="1" t="n">
        <v>780414</v>
      </c>
      <c r="L5003" s="1" t="s">
        <v>2585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5" t="n">
        <v>46224</v>
      </c>
      <c r="C5004" s="1" t="n">
        <v>11</v>
      </c>
      <c r="D5004" s="1" t="s">
        <v>2290</v>
      </c>
      <c r="E5004" s="1" t="n">
        <v>1705</v>
      </c>
      <c r="F5004" s="1" t="s">
        <v>122</v>
      </c>
      <c r="I5004" s="1" t="n">
        <v>1211738</v>
      </c>
      <c r="J5004" s="1" t="n">
        <v>103139</v>
      </c>
      <c r="K5004" s="1" t="n">
        <v>7894900051759</v>
      </c>
      <c r="L5004" s="1" t="s">
        <v>2303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5" t="n">
        <v>46224</v>
      </c>
      <c r="C5005" s="1" t="n">
        <v>11</v>
      </c>
      <c r="D5005" s="1" t="s">
        <v>2290</v>
      </c>
      <c r="E5005" s="1" t="n">
        <v>1705</v>
      </c>
      <c r="F5005" s="1" t="s">
        <v>122</v>
      </c>
      <c r="I5005" s="1" t="n">
        <v>1211738</v>
      </c>
      <c r="J5005" s="1" t="n">
        <v>103140</v>
      </c>
      <c r="K5005" s="1" t="n">
        <v>7894900031751</v>
      </c>
      <c r="L5005" s="1" t="s">
        <v>2304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5" t="n">
        <v>46224</v>
      </c>
      <c r="C5006" s="1" t="n">
        <v>11</v>
      </c>
      <c r="D5006" s="1" t="s">
        <v>2290</v>
      </c>
      <c r="E5006" s="1" t="n">
        <v>1705</v>
      </c>
      <c r="F5006" s="1" t="s">
        <v>122</v>
      </c>
      <c r="I5006" s="1" t="n">
        <v>1211738</v>
      </c>
      <c r="J5006" s="1" t="n">
        <v>104575</v>
      </c>
      <c r="K5006" s="1" t="n">
        <v>7898341430098</v>
      </c>
      <c r="L5006" s="1" t="s">
        <v>3252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5" t="n">
        <v>46224</v>
      </c>
      <c r="C5007" s="1" t="n">
        <v>11</v>
      </c>
      <c r="D5007" s="1" t="s">
        <v>2290</v>
      </c>
      <c r="E5007" s="1" t="n">
        <v>1705</v>
      </c>
      <c r="F5007" s="1" t="s">
        <v>122</v>
      </c>
      <c r="I5007" s="1" t="n">
        <v>1211738</v>
      </c>
      <c r="J5007" s="1" t="n">
        <v>104576</v>
      </c>
      <c r="K5007" s="1" t="n">
        <v>7898341430111</v>
      </c>
      <c r="L5007" s="1" t="s">
        <v>3253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5" t="n">
        <v>46224</v>
      </c>
      <c r="C5008" s="1" t="n">
        <v>11</v>
      </c>
      <c r="D5008" s="1" t="s">
        <v>2290</v>
      </c>
      <c r="E5008" s="1" t="n">
        <v>1705</v>
      </c>
      <c r="F5008" s="1" t="s">
        <v>122</v>
      </c>
      <c r="I5008" s="1" t="n">
        <v>1211738</v>
      </c>
      <c r="J5008" s="1" t="n">
        <v>24662</v>
      </c>
      <c r="K5008" s="1" t="n">
        <v>7897105250019</v>
      </c>
      <c r="L5008" s="1" t="s">
        <v>3637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5" t="n">
        <v>46224</v>
      </c>
      <c r="C5009" s="1" t="n">
        <v>11</v>
      </c>
      <c r="D5009" s="1" t="s">
        <v>2290</v>
      </c>
      <c r="E5009" s="1" t="n">
        <v>1705</v>
      </c>
      <c r="F5009" s="1" t="s">
        <v>122</v>
      </c>
      <c r="I5009" s="1" t="n">
        <v>1211738</v>
      </c>
      <c r="J5009" s="1" t="n">
        <v>41322</v>
      </c>
      <c r="K5009" s="1" t="n">
        <v>7897105200076</v>
      </c>
      <c r="L5009" s="1" t="s">
        <v>3639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5" t="n">
        <v>46224</v>
      </c>
      <c r="C5010" s="1" t="n">
        <v>11</v>
      </c>
      <c r="D5010" s="1" t="s">
        <v>2290</v>
      </c>
      <c r="E5010" s="1" t="n">
        <v>1705</v>
      </c>
      <c r="F5010" s="1" t="s">
        <v>122</v>
      </c>
      <c r="I5010" s="1" t="n">
        <v>1211738</v>
      </c>
      <c r="J5010" s="1" t="n">
        <v>61083</v>
      </c>
      <c r="K5010" s="1" t="n">
        <v>7894900503029</v>
      </c>
      <c r="L5010" s="1" t="s">
        <v>4199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5" t="n">
        <v>46224</v>
      </c>
      <c r="C5011" s="1" t="n">
        <v>11</v>
      </c>
      <c r="D5011" s="1" t="s">
        <v>2290</v>
      </c>
      <c r="E5011" s="1" t="n">
        <v>1705</v>
      </c>
      <c r="F5011" s="1" t="s">
        <v>122</v>
      </c>
      <c r="I5011" s="1" t="n">
        <v>1211738</v>
      </c>
      <c r="J5011" s="1" t="n">
        <v>77914</v>
      </c>
      <c r="K5011" s="1" t="n">
        <v>7894900530001</v>
      </c>
      <c r="L5011" s="1" t="s">
        <v>2299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5" t="n">
        <v>46224</v>
      </c>
      <c r="C5012" s="1" t="n">
        <v>11</v>
      </c>
      <c r="D5012" s="1" t="s">
        <v>2290</v>
      </c>
      <c r="E5012" s="1" t="n">
        <v>1705</v>
      </c>
      <c r="F5012" s="1" t="s">
        <v>122</v>
      </c>
      <c r="I5012" s="1" t="n">
        <v>1211738</v>
      </c>
      <c r="J5012" s="1" t="n">
        <v>78351</v>
      </c>
      <c r="K5012" s="1" t="n">
        <v>7894900530032</v>
      </c>
      <c r="L5012" s="1" t="s">
        <v>3613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5" t="n">
        <v>46224</v>
      </c>
      <c r="C5013" s="1" t="n">
        <v>11</v>
      </c>
      <c r="D5013" s="1" t="s">
        <v>2290</v>
      </c>
      <c r="E5013" s="1" t="n">
        <v>1705</v>
      </c>
      <c r="F5013" s="1" t="s">
        <v>122</v>
      </c>
      <c r="I5013" s="1" t="n">
        <v>1211738</v>
      </c>
      <c r="J5013" s="1" t="n">
        <v>80906</v>
      </c>
      <c r="K5013" s="1" t="n">
        <v>7894900509700</v>
      </c>
      <c r="L5013" s="1" t="s">
        <v>2302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5" t="n">
        <v>46224</v>
      </c>
      <c r="C5014" s="1" t="n">
        <v>11</v>
      </c>
      <c r="D5014" s="1" t="s">
        <v>2290</v>
      </c>
      <c r="E5014" s="1" t="n">
        <v>1705</v>
      </c>
      <c r="F5014" s="1" t="s">
        <v>122</v>
      </c>
      <c r="I5014" s="1" t="n">
        <v>1946331</v>
      </c>
      <c r="J5014" s="1" t="n">
        <v>30322</v>
      </c>
      <c r="K5014" s="1" t="n">
        <v>7894900681109</v>
      </c>
      <c r="L5014" s="1" t="s">
        <v>3256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5" t="n">
        <v>46224</v>
      </c>
      <c r="C5015" s="1" t="n">
        <v>11</v>
      </c>
      <c r="D5015" s="1" t="s">
        <v>2290</v>
      </c>
      <c r="E5015" s="1" t="n">
        <v>1705</v>
      </c>
      <c r="F5015" s="1" t="s">
        <v>122</v>
      </c>
      <c r="I5015" s="1" t="n">
        <v>1946331</v>
      </c>
      <c r="J5015" s="1" t="n">
        <v>103142</v>
      </c>
      <c r="K5015" s="1" t="n">
        <v>7894900011753</v>
      </c>
      <c r="L5015" s="1" t="s">
        <v>2305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5" t="n">
        <v>46224</v>
      </c>
      <c r="C5016" s="1" t="n">
        <v>11</v>
      </c>
      <c r="D5016" s="1" t="s">
        <v>2290</v>
      </c>
      <c r="E5016" s="1" t="n">
        <v>1705</v>
      </c>
      <c r="F5016" s="1" t="s">
        <v>122</v>
      </c>
      <c r="I5016" s="1" t="n">
        <v>1946331</v>
      </c>
      <c r="J5016" s="1" t="n">
        <v>103146</v>
      </c>
      <c r="K5016" s="1" t="n">
        <v>7894900031515</v>
      </c>
      <c r="L5016" s="1" t="s">
        <v>2876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5" t="n">
        <v>46224</v>
      </c>
      <c r="C5017" s="1" t="n">
        <v>11</v>
      </c>
      <c r="D5017" s="1" t="s">
        <v>2290</v>
      </c>
      <c r="E5017" s="1" t="n">
        <v>1705</v>
      </c>
      <c r="F5017" s="1" t="s">
        <v>122</v>
      </c>
      <c r="I5017" s="1" t="n">
        <v>1946331</v>
      </c>
      <c r="J5017" s="1" t="n">
        <v>103160</v>
      </c>
      <c r="K5017" s="1" t="n">
        <v>7894900030013</v>
      </c>
      <c r="L5017" s="1" t="s">
        <v>3632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5" t="n">
        <v>46224</v>
      </c>
      <c r="C5018" s="1" t="n">
        <v>11</v>
      </c>
      <c r="D5018" s="1" t="s">
        <v>2290</v>
      </c>
      <c r="E5018" s="1" t="n">
        <v>1705</v>
      </c>
      <c r="F5018" s="1" t="s">
        <v>122</v>
      </c>
      <c r="I5018" s="1" t="n">
        <v>1946331</v>
      </c>
      <c r="J5018" s="1" t="n">
        <v>105323</v>
      </c>
      <c r="K5018" s="1" t="n">
        <v>7894900701753</v>
      </c>
      <c r="L5018" s="1" t="s">
        <v>2307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5" t="n">
        <v>46224</v>
      </c>
      <c r="C5019" s="1" t="n">
        <v>11</v>
      </c>
      <c r="D5019" s="1" t="s">
        <v>2290</v>
      </c>
      <c r="E5019" s="1" t="n">
        <v>1705</v>
      </c>
      <c r="F5019" s="1" t="s">
        <v>122</v>
      </c>
      <c r="I5019" s="1" t="n">
        <v>1946331</v>
      </c>
      <c r="J5019" s="1" t="n">
        <v>105631</v>
      </c>
      <c r="K5019" s="1" t="n">
        <v>7894900011609</v>
      </c>
      <c r="L5019" s="1" t="s">
        <v>2877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5" t="n">
        <v>46224</v>
      </c>
      <c r="C5020" s="1" t="n">
        <v>11</v>
      </c>
      <c r="D5020" s="1" t="s">
        <v>2290</v>
      </c>
      <c r="E5020" s="1" t="n">
        <v>1705</v>
      </c>
      <c r="F5020" s="1" t="s">
        <v>122</v>
      </c>
      <c r="I5020" s="1" t="n">
        <v>1946331</v>
      </c>
      <c r="J5020" s="1" t="n">
        <v>10830</v>
      </c>
      <c r="K5020" s="1" t="n">
        <v>7894900701517</v>
      </c>
      <c r="L5020" s="1" t="s">
        <v>2879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5" t="n">
        <v>46224</v>
      </c>
      <c r="C5021" s="1" t="n">
        <v>11</v>
      </c>
      <c r="D5021" s="1" t="s">
        <v>2290</v>
      </c>
      <c r="E5021" s="1" t="n">
        <v>1705</v>
      </c>
      <c r="F5021" s="1" t="s">
        <v>122</v>
      </c>
      <c r="I5021" s="1" t="n">
        <v>1946331</v>
      </c>
      <c r="J5021" s="1" t="n">
        <v>21426</v>
      </c>
      <c r="K5021" s="1" t="n">
        <v>7894900014211</v>
      </c>
      <c r="L5021" s="1" t="s">
        <v>2309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5" t="n">
        <v>46224</v>
      </c>
      <c r="C5022" s="1" t="n">
        <v>11</v>
      </c>
      <c r="D5022" s="1" t="s">
        <v>2290</v>
      </c>
      <c r="E5022" s="1" t="n">
        <v>1705</v>
      </c>
      <c r="F5022" s="1" t="s">
        <v>122</v>
      </c>
      <c r="I5022" s="1" t="n">
        <v>1946331</v>
      </c>
      <c r="J5022" s="1" t="n">
        <v>28739</v>
      </c>
      <c r="K5022" s="1" t="n">
        <v>7894900027044</v>
      </c>
      <c r="L5022" s="1" t="s">
        <v>2883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5" t="n">
        <v>46224</v>
      </c>
      <c r="C5023" s="1" t="n">
        <v>11</v>
      </c>
      <c r="D5023" s="1" t="s">
        <v>2290</v>
      </c>
      <c r="E5023" s="1" t="n">
        <v>1705</v>
      </c>
      <c r="F5023" s="1" t="s">
        <v>122</v>
      </c>
      <c r="I5023" s="1" t="n">
        <v>1946331</v>
      </c>
      <c r="J5023" s="1" t="n">
        <v>29826</v>
      </c>
      <c r="K5023" s="1" t="n">
        <v>7894900556032</v>
      </c>
      <c r="L5023" s="1" t="s">
        <v>4200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5" t="n">
        <v>46224</v>
      </c>
      <c r="C5024" s="1" t="n">
        <v>11</v>
      </c>
      <c r="D5024" s="1" t="s">
        <v>2290</v>
      </c>
      <c r="E5024" s="1" t="n">
        <v>1705</v>
      </c>
      <c r="F5024" s="1" t="s">
        <v>122</v>
      </c>
      <c r="I5024" s="1" t="n">
        <v>1946331</v>
      </c>
      <c r="J5024" s="1" t="n">
        <v>30085</v>
      </c>
      <c r="K5024" s="1" t="n">
        <v>7894900054217</v>
      </c>
      <c r="L5024" s="1" t="s">
        <v>3259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5" t="n">
        <v>46224</v>
      </c>
      <c r="C5025" s="1" t="n">
        <v>11</v>
      </c>
      <c r="D5025" s="1" t="s">
        <v>2290</v>
      </c>
      <c r="E5025" s="1" t="n">
        <v>1705</v>
      </c>
      <c r="F5025" s="1" t="s">
        <v>122</v>
      </c>
      <c r="I5025" s="1" t="n">
        <v>1946331</v>
      </c>
      <c r="J5025" s="1" t="n">
        <v>31367</v>
      </c>
      <c r="K5025" s="1" t="n">
        <v>7894900704211</v>
      </c>
      <c r="L5025" s="1" t="s">
        <v>2310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5" t="n">
        <v>46224</v>
      </c>
      <c r="C5026" s="1" t="n">
        <v>11</v>
      </c>
      <c r="D5026" s="1" t="s">
        <v>2290</v>
      </c>
      <c r="E5026" s="1" t="n">
        <v>1705</v>
      </c>
      <c r="F5026" s="1" t="s">
        <v>122</v>
      </c>
      <c r="I5026" s="1" t="n">
        <v>1946331</v>
      </c>
      <c r="J5026" s="1" t="n">
        <v>32339</v>
      </c>
      <c r="K5026" s="1" t="n">
        <v>7894900681000</v>
      </c>
      <c r="L5026" s="1" t="s">
        <v>3261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5" t="n">
        <v>46224</v>
      </c>
      <c r="C5027" s="1" t="n">
        <v>11</v>
      </c>
      <c r="D5027" s="1" t="s">
        <v>2290</v>
      </c>
      <c r="E5027" s="1" t="n">
        <v>1705</v>
      </c>
      <c r="F5027" s="1" t="s">
        <v>122</v>
      </c>
      <c r="I5027" s="1" t="n">
        <v>1946331</v>
      </c>
      <c r="J5027" s="1" t="n">
        <v>37279</v>
      </c>
      <c r="K5027" s="1" t="n">
        <v>7894900027013</v>
      </c>
      <c r="L5027" s="1" t="s">
        <v>2305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5" t="n">
        <v>46224</v>
      </c>
      <c r="C5028" s="1" t="n">
        <v>11</v>
      </c>
      <c r="D5028" s="1" t="s">
        <v>2290</v>
      </c>
      <c r="E5028" s="1" t="n">
        <v>1705</v>
      </c>
      <c r="F5028" s="1" t="s">
        <v>122</v>
      </c>
      <c r="I5028" s="1" t="n">
        <v>1946331</v>
      </c>
      <c r="J5028" s="1" t="n">
        <v>38984</v>
      </c>
      <c r="K5028" s="1" t="n">
        <v>7894900027457</v>
      </c>
      <c r="L5028" s="1" t="s">
        <v>2315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5" t="n">
        <v>46224</v>
      </c>
      <c r="C5029" s="1" t="n">
        <v>22</v>
      </c>
      <c r="D5029" s="1" t="s">
        <v>2436</v>
      </c>
      <c r="E5029" s="1" t="n">
        <v>42</v>
      </c>
      <c r="F5029" s="1" t="s">
        <v>80</v>
      </c>
      <c r="I5029" s="1" t="n">
        <v>4401</v>
      </c>
      <c r="J5029" s="1" t="n">
        <v>100000</v>
      </c>
      <c r="K5029" s="1" t="n">
        <v>1</v>
      </c>
      <c r="L5029" s="1" t="s">
        <v>2451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5" t="n">
        <v>46224</v>
      </c>
      <c r="C5030" s="1" t="n">
        <v>22</v>
      </c>
      <c r="D5030" s="1" t="s">
        <v>2436</v>
      </c>
      <c r="E5030" s="1" t="n">
        <v>42</v>
      </c>
      <c r="F5030" s="1" t="s">
        <v>80</v>
      </c>
      <c r="I5030" s="1" t="n">
        <v>4401</v>
      </c>
      <c r="J5030" s="1" t="n">
        <v>100001</v>
      </c>
      <c r="K5030" s="1" t="n">
        <v>2</v>
      </c>
      <c r="L5030" s="1" t="s">
        <v>2452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5" t="n">
        <v>46224</v>
      </c>
      <c r="C5031" s="1" t="n">
        <v>22</v>
      </c>
      <c r="D5031" s="1" t="s">
        <v>2436</v>
      </c>
      <c r="E5031" s="1" t="n">
        <v>42</v>
      </c>
      <c r="F5031" s="1" t="s">
        <v>80</v>
      </c>
      <c r="I5031" s="1" t="n">
        <v>4401</v>
      </c>
      <c r="J5031" s="1" t="n">
        <v>100002</v>
      </c>
      <c r="K5031" s="1" t="n">
        <v>3</v>
      </c>
      <c r="L5031" s="1" t="s">
        <v>2453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5" t="n">
        <v>46224</v>
      </c>
      <c r="C5032" s="1" t="n">
        <v>22</v>
      </c>
      <c r="D5032" s="1" t="s">
        <v>2436</v>
      </c>
      <c r="E5032" s="1" t="n">
        <v>42</v>
      </c>
      <c r="F5032" s="1" t="s">
        <v>80</v>
      </c>
      <c r="I5032" s="1" t="n">
        <v>4401</v>
      </c>
      <c r="J5032" s="1" t="n">
        <v>100003</v>
      </c>
      <c r="K5032" s="1" t="n">
        <v>4</v>
      </c>
      <c r="L5032" s="1" t="s">
        <v>2454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5" t="n">
        <v>46224</v>
      </c>
      <c r="C5033" s="1" t="n">
        <v>22</v>
      </c>
      <c r="D5033" s="1" t="s">
        <v>2436</v>
      </c>
      <c r="E5033" s="1" t="n">
        <v>42</v>
      </c>
      <c r="F5033" s="1" t="s">
        <v>80</v>
      </c>
      <c r="I5033" s="1" t="n">
        <v>4401</v>
      </c>
      <c r="J5033" s="1" t="n">
        <v>100004</v>
      </c>
      <c r="K5033" s="1" t="n">
        <v>5</v>
      </c>
      <c r="L5033" s="1" t="s">
        <v>2667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5" t="n">
        <v>46224</v>
      </c>
      <c r="C5034" s="1" t="n">
        <v>22</v>
      </c>
      <c r="D5034" s="1" t="s">
        <v>2436</v>
      </c>
      <c r="E5034" s="1" t="n">
        <v>42</v>
      </c>
      <c r="F5034" s="1" t="s">
        <v>80</v>
      </c>
      <c r="I5034" s="1" t="n">
        <v>4401</v>
      </c>
      <c r="J5034" s="1" t="n">
        <v>100006</v>
      </c>
      <c r="K5034" s="1" t="n">
        <v>7</v>
      </c>
      <c r="L5034" s="1" t="s">
        <v>2437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5" t="n">
        <v>46224</v>
      </c>
      <c r="C5035" s="1" t="n">
        <v>22</v>
      </c>
      <c r="D5035" s="1" t="s">
        <v>2436</v>
      </c>
      <c r="E5035" s="1" t="n">
        <v>42</v>
      </c>
      <c r="F5035" s="1" t="s">
        <v>80</v>
      </c>
      <c r="I5035" s="1" t="n">
        <v>4401</v>
      </c>
      <c r="J5035" s="1" t="n">
        <v>100007</v>
      </c>
      <c r="K5035" s="1" t="n">
        <v>8</v>
      </c>
      <c r="L5035" s="1" t="s">
        <v>2455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5" t="n">
        <v>46224</v>
      </c>
      <c r="C5036" s="1" t="n">
        <v>22</v>
      </c>
      <c r="D5036" s="1" t="s">
        <v>2436</v>
      </c>
      <c r="E5036" s="1" t="n">
        <v>42</v>
      </c>
      <c r="F5036" s="1" t="s">
        <v>80</v>
      </c>
      <c r="I5036" s="1" t="n">
        <v>4401</v>
      </c>
      <c r="J5036" s="1" t="n">
        <v>100008</v>
      </c>
      <c r="K5036" s="1" t="n">
        <v>9</v>
      </c>
      <c r="L5036" s="1" t="s">
        <v>2438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5" t="n">
        <v>46224</v>
      </c>
      <c r="C5037" s="1" t="n">
        <v>22</v>
      </c>
      <c r="D5037" s="1" t="s">
        <v>2436</v>
      </c>
      <c r="E5037" s="1" t="n">
        <v>42</v>
      </c>
      <c r="F5037" s="1" t="s">
        <v>80</v>
      </c>
      <c r="I5037" s="1" t="n">
        <v>4401</v>
      </c>
      <c r="J5037" s="1" t="n">
        <v>100010</v>
      </c>
      <c r="K5037" s="1" t="n">
        <v>11</v>
      </c>
      <c r="L5037" s="1" t="s">
        <v>2439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5" t="n">
        <v>46224</v>
      </c>
      <c r="C5038" s="1" t="n">
        <v>22</v>
      </c>
      <c r="D5038" s="1" t="s">
        <v>2436</v>
      </c>
      <c r="E5038" s="1" t="n">
        <v>42</v>
      </c>
      <c r="F5038" s="1" t="s">
        <v>80</v>
      </c>
      <c r="I5038" s="1" t="n">
        <v>4401</v>
      </c>
      <c r="J5038" s="1" t="n">
        <v>100011</v>
      </c>
      <c r="K5038" s="1" t="n">
        <v>12</v>
      </c>
      <c r="L5038" s="1" t="s">
        <v>2440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5" t="n">
        <v>46224</v>
      </c>
      <c r="C5039" s="1" t="n">
        <v>22</v>
      </c>
      <c r="D5039" s="1" t="s">
        <v>2436</v>
      </c>
      <c r="E5039" s="1" t="n">
        <v>42</v>
      </c>
      <c r="F5039" s="1" t="s">
        <v>80</v>
      </c>
      <c r="I5039" s="1" t="n">
        <v>4401</v>
      </c>
      <c r="J5039" s="1" t="n">
        <v>100012</v>
      </c>
      <c r="K5039" s="1" t="n">
        <v>13</v>
      </c>
      <c r="L5039" s="1" t="s">
        <v>2441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5" t="n">
        <v>46224</v>
      </c>
      <c r="C5040" s="1" t="n">
        <v>22</v>
      </c>
      <c r="D5040" s="1" t="s">
        <v>2436</v>
      </c>
      <c r="E5040" s="1" t="n">
        <v>42</v>
      </c>
      <c r="F5040" s="1" t="s">
        <v>80</v>
      </c>
      <c r="I5040" s="1" t="n">
        <v>4401</v>
      </c>
      <c r="J5040" s="1" t="n">
        <v>100013</v>
      </c>
      <c r="K5040" s="1" t="n">
        <v>14</v>
      </c>
      <c r="L5040" s="1" t="s">
        <v>2442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5" t="n">
        <v>46224</v>
      </c>
      <c r="C5041" s="1" t="n">
        <v>22</v>
      </c>
      <c r="D5041" s="1" t="s">
        <v>2436</v>
      </c>
      <c r="E5041" s="1" t="n">
        <v>42</v>
      </c>
      <c r="F5041" s="1" t="s">
        <v>80</v>
      </c>
      <c r="I5041" s="1" t="n">
        <v>4401</v>
      </c>
      <c r="J5041" s="1" t="n">
        <v>100014</v>
      </c>
      <c r="K5041" s="1" t="n">
        <v>15</v>
      </c>
      <c r="L5041" s="1" t="s">
        <v>2443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5" t="n">
        <v>46224</v>
      </c>
      <c r="C5042" s="1" t="n">
        <v>22</v>
      </c>
      <c r="D5042" s="1" t="s">
        <v>2436</v>
      </c>
      <c r="E5042" s="1" t="n">
        <v>42</v>
      </c>
      <c r="F5042" s="1" t="s">
        <v>80</v>
      </c>
      <c r="I5042" s="1" t="n">
        <v>4401</v>
      </c>
      <c r="J5042" s="1" t="n">
        <v>100015</v>
      </c>
      <c r="K5042" s="1" t="n">
        <v>16</v>
      </c>
      <c r="L5042" s="1" t="s">
        <v>2444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5" t="n">
        <v>46224</v>
      </c>
      <c r="C5043" s="1" t="n">
        <v>22</v>
      </c>
      <c r="D5043" s="1" t="s">
        <v>2436</v>
      </c>
      <c r="E5043" s="1" t="n">
        <v>42</v>
      </c>
      <c r="F5043" s="1" t="s">
        <v>80</v>
      </c>
      <c r="I5043" s="1" t="n">
        <v>4401</v>
      </c>
      <c r="J5043" s="1" t="n">
        <v>100016</v>
      </c>
      <c r="K5043" s="1" t="n">
        <v>17</v>
      </c>
      <c r="L5043" s="1" t="s">
        <v>2445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5" t="n">
        <v>46224</v>
      </c>
      <c r="C5044" s="1" t="n">
        <v>22</v>
      </c>
      <c r="D5044" s="1" t="s">
        <v>2436</v>
      </c>
      <c r="E5044" s="1" t="n">
        <v>42</v>
      </c>
      <c r="F5044" s="1" t="s">
        <v>80</v>
      </c>
      <c r="I5044" s="1" t="n">
        <v>4401</v>
      </c>
      <c r="J5044" s="1" t="n">
        <v>100017</v>
      </c>
      <c r="K5044" s="1" t="n">
        <v>18</v>
      </c>
      <c r="L5044" s="1" t="s">
        <v>2446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5" t="n">
        <v>46224</v>
      </c>
      <c r="C5045" s="1" t="n">
        <v>22</v>
      </c>
      <c r="D5045" s="1" t="s">
        <v>2436</v>
      </c>
      <c r="E5045" s="1" t="n">
        <v>42</v>
      </c>
      <c r="F5045" s="1" t="s">
        <v>80</v>
      </c>
      <c r="I5045" s="1" t="n">
        <v>4401</v>
      </c>
      <c r="J5045" s="1" t="n">
        <v>100020</v>
      </c>
      <c r="K5045" s="1" t="n">
        <v>21</v>
      </c>
      <c r="L5045" s="1" t="s">
        <v>2456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5" t="n">
        <v>46224</v>
      </c>
      <c r="C5046" s="1" t="n">
        <v>22</v>
      </c>
      <c r="D5046" s="1" t="s">
        <v>2436</v>
      </c>
      <c r="E5046" s="1" t="n">
        <v>42</v>
      </c>
      <c r="F5046" s="1" t="s">
        <v>80</v>
      </c>
      <c r="I5046" s="1" t="n">
        <v>4401</v>
      </c>
      <c r="J5046" s="1" t="n">
        <v>100053</v>
      </c>
      <c r="K5046" s="1" t="n">
        <v>54</v>
      </c>
      <c r="L5046" s="1" t="s">
        <v>2447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5" t="n">
        <v>46224</v>
      </c>
      <c r="C5047" s="1" t="n">
        <v>22</v>
      </c>
      <c r="D5047" s="1" t="s">
        <v>2436</v>
      </c>
      <c r="E5047" s="1" t="n">
        <v>42</v>
      </c>
      <c r="F5047" s="1" t="s">
        <v>80</v>
      </c>
      <c r="I5047" s="1" t="n">
        <v>4401</v>
      </c>
      <c r="J5047" s="1" t="n">
        <v>100638</v>
      </c>
      <c r="K5047" s="1" t="n">
        <v>508</v>
      </c>
      <c r="L5047" s="1" t="s">
        <v>2448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5" t="n">
        <v>46224</v>
      </c>
      <c r="C5048" s="1" t="n">
        <v>22</v>
      </c>
      <c r="D5048" s="1" t="s">
        <v>2436</v>
      </c>
      <c r="E5048" s="1" t="n">
        <v>42</v>
      </c>
      <c r="F5048" s="1" t="s">
        <v>80</v>
      </c>
      <c r="I5048" s="1" t="n">
        <v>4401</v>
      </c>
      <c r="J5048" s="1" t="n">
        <v>100638</v>
      </c>
      <c r="K5048" s="1" t="n">
        <v>508</v>
      </c>
      <c r="L5048" s="1" t="s">
        <v>2448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5" t="n">
        <v>46224</v>
      </c>
      <c r="C5049" s="1" t="n">
        <v>22</v>
      </c>
      <c r="D5049" s="1" t="s">
        <v>2436</v>
      </c>
      <c r="E5049" s="1" t="n">
        <v>42</v>
      </c>
      <c r="F5049" s="1" t="s">
        <v>80</v>
      </c>
      <c r="I5049" s="1" t="n">
        <v>4401</v>
      </c>
      <c r="J5049" s="1" t="n">
        <v>100638</v>
      </c>
      <c r="K5049" s="1" t="n">
        <v>508</v>
      </c>
      <c r="L5049" s="1" t="s">
        <v>2448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5" t="n">
        <v>46224</v>
      </c>
      <c r="C5050" s="1" t="n">
        <v>22</v>
      </c>
      <c r="D5050" s="1" t="s">
        <v>2436</v>
      </c>
      <c r="E5050" s="1" t="n">
        <v>42</v>
      </c>
      <c r="F5050" s="1" t="s">
        <v>80</v>
      </c>
      <c r="I5050" s="1" t="n">
        <v>4401</v>
      </c>
      <c r="J5050" s="1" t="n">
        <v>100520</v>
      </c>
      <c r="K5050" s="1" t="n">
        <v>507</v>
      </c>
      <c r="L5050" s="1" t="s">
        <v>2449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5" t="n">
        <v>46224</v>
      </c>
      <c r="C5051" s="1" t="n">
        <v>22</v>
      </c>
      <c r="D5051" s="1" t="s">
        <v>2436</v>
      </c>
      <c r="E5051" s="1" t="n">
        <v>42</v>
      </c>
      <c r="F5051" s="1" t="s">
        <v>80</v>
      </c>
      <c r="I5051" s="1" t="n">
        <v>4401</v>
      </c>
      <c r="J5051" s="1" t="n">
        <v>100520</v>
      </c>
      <c r="K5051" s="1" t="n">
        <v>507</v>
      </c>
      <c r="L5051" s="1" t="s">
        <v>2449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5" t="n">
        <v>46224</v>
      </c>
      <c r="C5052" s="1" t="n">
        <v>22</v>
      </c>
      <c r="D5052" s="1" t="s">
        <v>2436</v>
      </c>
      <c r="E5052" s="1" t="n">
        <v>42</v>
      </c>
      <c r="F5052" s="1" t="s">
        <v>80</v>
      </c>
      <c r="I5052" s="1" t="n">
        <v>4401</v>
      </c>
      <c r="J5052" s="1" t="n">
        <v>110455</v>
      </c>
      <c r="K5052" s="1" t="n">
        <v>53212</v>
      </c>
      <c r="L5052" s="1" t="s">
        <v>2450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5" t="n">
        <v>46224</v>
      </c>
      <c r="C5053" s="1" t="n">
        <v>22</v>
      </c>
      <c r="D5053" s="1" t="s">
        <v>2436</v>
      </c>
      <c r="E5053" s="1" t="n">
        <v>42</v>
      </c>
      <c r="F5053" s="1" t="s">
        <v>80</v>
      </c>
      <c r="I5053" s="1" t="n">
        <v>4401</v>
      </c>
      <c r="J5053" s="1" t="n">
        <v>110455</v>
      </c>
      <c r="K5053" s="1" t="n">
        <v>53212</v>
      </c>
      <c r="L5053" s="1" t="s">
        <v>2450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5" t="n">
        <v>46224</v>
      </c>
      <c r="C5054" s="1" t="n">
        <v>22</v>
      </c>
      <c r="D5054" s="1" t="s">
        <v>2436</v>
      </c>
      <c r="E5054" s="1" t="n">
        <v>42</v>
      </c>
      <c r="F5054" s="1" t="s">
        <v>80</v>
      </c>
      <c r="I5054" s="1" t="n">
        <v>4401</v>
      </c>
      <c r="J5054" s="1" t="n">
        <v>110455</v>
      </c>
      <c r="K5054" s="1" t="n">
        <v>53212</v>
      </c>
      <c r="L5054" s="1" t="s">
        <v>2450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5" t="n">
        <v>46224</v>
      </c>
      <c r="C5055" s="1" t="n">
        <v>22</v>
      </c>
      <c r="D5055" s="1" t="s">
        <v>2436</v>
      </c>
      <c r="E5055" s="1" t="n">
        <v>42</v>
      </c>
      <c r="F5055" s="1" t="s">
        <v>80</v>
      </c>
      <c r="I5055" s="1" t="n">
        <v>4405</v>
      </c>
      <c r="J5055" s="1" t="n">
        <v>100006</v>
      </c>
      <c r="K5055" s="1" t="n">
        <v>7</v>
      </c>
      <c r="L5055" s="1" t="s">
        <v>2437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5" t="n">
        <v>46224</v>
      </c>
      <c r="C5056" s="1" t="n">
        <v>22</v>
      </c>
      <c r="D5056" s="1" t="s">
        <v>2436</v>
      </c>
      <c r="E5056" s="1" t="n">
        <v>42</v>
      </c>
      <c r="F5056" s="1" t="s">
        <v>80</v>
      </c>
      <c r="I5056" s="1" t="n">
        <v>4405</v>
      </c>
      <c r="J5056" s="1" t="n">
        <v>100006</v>
      </c>
      <c r="K5056" s="1" t="n">
        <v>7</v>
      </c>
      <c r="L5056" s="1" t="s">
        <v>2437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5" t="n">
        <v>46224</v>
      </c>
      <c r="C5057" s="1" t="n">
        <v>22</v>
      </c>
      <c r="D5057" s="1" t="s">
        <v>2436</v>
      </c>
      <c r="E5057" s="1" t="n">
        <v>42</v>
      </c>
      <c r="F5057" s="1" t="s">
        <v>80</v>
      </c>
      <c r="I5057" s="1" t="n">
        <v>4405</v>
      </c>
      <c r="J5057" s="1" t="n">
        <v>100008</v>
      </c>
      <c r="K5057" s="1" t="n">
        <v>9</v>
      </c>
      <c r="L5057" s="1" t="s">
        <v>2438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5" t="n">
        <v>46224</v>
      </c>
      <c r="C5058" s="1" t="n">
        <v>22</v>
      </c>
      <c r="D5058" s="1" t="s">
        <v>2436</v>
      </c>
      <c r="E5058" s="1" t="n">
        <v>42</v>
      </c>
      <c r="F5058" s="1" t="s">
        <v>80</v>
      </c>
      <c r="I5058" s="1" t="n">
        <v>4405</v>
      </c>
      <c r="J5058" s="1" t="n">
        <v>100010</v>
      </c>
      <c r="K5058" s="1" t="n">
        <v>11</v>
      </c>
      <c r="L5058" s="1" t="s">
        <v>2439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5" t="n">
        <v>46224</v>
      </c>
      <c r="C5059" s="1" t="n">
        <v>22</v>
      </c>
      <c r="D5059" s="1" t="s">
        <v>2436</v>
      </c>
      <c r="E5059" s="1" t="n">
        <v>42</v>
      </c>
      <c r="F5059" s="1" t="s">
        <v>80</v>
      </c>
      <c r="I5059" s="1" t="n">
        <v>4405</v>
      </c>
      <c r="J5059" s="1" t="n">
        <v>100010</v>
      </c>
      <c r="K5059" s="1" t="n">
        <v>11</v>
      </c>
      <c r="L5059" s="1" t="s">
        <v>2439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5" t="n">
        <v>46224</v>
      </c>
      <c r="C5060" s="1" t="n">
        <v>22</v>
      </c>
      <c r="D5060" s="1" t="s">
        <v>2436</v>
      </c>
      <c r="E5060" s="1" t="n">
        <v>42</v>
      </c>
      <c r="F5060" s="1" t="s">
        <v>80</v>
      </c>
      <c r="I5060" s="1" t="n">
        <v>4405</v>
      </c>
      <c r="J5060" s="1" t="n">
        <v>100011</v>
      </c>
      <c r="K5060" s="1" t="n">
        <v>12</v>
      </c>
      <c r="L5060" s="1" t="s">
        <v>2440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5" t="n">
        <v>46224</v>
      </c>
      <c r="C5061" s="1" t="n">
        <v>22</v>
      </c>
      <c r="D5061" s="1" t="s">
        <v>2436</v>
      </c>
      <c r="E5061" s="1" t="n">
        <v>42</v>
      </c>
      <c r="F5061" s="1" t="s">
        <v>80</v>
      </c>
      <c r="I5061" s="1" t="n">
        <v>4405</v>
      </c>
      <c r="J5061" s="1" t="n">
        <v>100011</v>
      </c>
      <c r="K5061" s="1" t="n">
        <v>12</v>
      </c>
      <c r="L5061" s="1" t="s">
        <v>2440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5" t="n">
        <v>46224</v>
      </c>
      <c r="C5062" s="1" t="n">
        <v>22</v>
      </c>
      <c r="D5062" s="1" t="s">
        <v>2436</v>
      </c>
      <c r="E5062" s="1" t="n">
        <v>42</v>
      </c>
      <c r="F5062" s="1" t="s">
        <v>80</v>
      </c>
      <c r="I5062" s="1" t="n">
        <v>4405</v>
      </c>
      <c r="J5062" s="1" t="n">
        <v>100012</v>
      </c>
      <c r="K5062" s="1" t="n">
        <v>13</v>
      </c>
      <c r="L5062" s="1" t="s">
        <v>2441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5" t="n">
        <v>46224</v>
      </c>
      <c r="C5063" s="1" t="n">
        <v>22</v>
      </c>
      <c r="D5063" s="1" t="s">
        <v>2436</v>
      </c>
      <c r="E5063" s="1" t="n">
        <v>42</v>
      </c>
      <c r="F5063" s="1" t="s">
        <v>80</v>
      </c>
      <c r="I5063" s="1" t="n">
        <v>4405</v>
      </c>
      <c r="J5063" s="1" t="n">
        <v>100012</v>
      </c>
      <c r="K5063" s="1" t="n">
        <v>13</v>
      </c>
      <c r="L5063" s="1" t="s">
        <v>2441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5" t="n">
        <v>46224</v>
      </c>
      <c r="C5064" s="1" t="n">
        <v>22</v>
      </c>
      <c r="D5064" s="1" t="s">
        <v>2436</v>
      </c>
      <c r="E5064" s="1" t="n">
        <v>42</v>
      </c>
      <c r="F5064" s="1" t="s">
        <v>80</v>
      </c>
      <c r="I5064" s="1" t="n">
        <v>4405</v>
      </c>
      <c r="J5064" s="1" t="n">
        <v>100013</v>
      </c>
      <c r="K5064" s="1" t="n">
        <v>14</v>
      </c>
      <c r="L5064" s="1" t="s">
        <v>2442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5" t="n">
        <v>46224</v>
      </c>
      <c r="C5065" s="1" t="n">
        <v>22</v>
      </c>
      <c r="D5065" s="1" t="s">
        <v>2436</v>
      </c>
      <c r="E5065" s="1" t="n">
        <v>42</v>
      </c>
      <c r="F5065" s="1" t="s">
        <v>80</v>
      </c>
      <c r="I5065" s="1" t="n">
        <v>4405</v>
      </c>
      <c r="J5065" s="1" t="n">
        <v>100013</v>
      </c>
      <c r="K5065" s="1" t="n">
        <v>14</v>
      </c>
      <c r="L5065" s="1" t="s">
        <v>2442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5" t="n">
        <v>46224</v>
      </c>
      <c r="C5066" s="1" t="n">
        <v>22</v>
      </c>
      <c r="D5066" s="1" t="s">
        <v>2436</v>
      </c>
      <c r="E5066" s="1" t="n">
        <v>42</v>
      </c>
      <c r="F5066" s="1" t="s">
        <v>80</v>
      </c>
      <c r="I5066" s="1" t="n">
        <v>4405</v>
      </c>
      <c r="J5066" s="1" t="n">
        <v>100014</v>
      </c>
      <c r="K5066" s="1" t="n">
        <v>15</v>
      </c>
      <c r="L5066" s="1" t="s">
        <v>2443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5" t="n">
        <v>46224</v>
      </c>
      <c r="C5067" s="1" t="n">
        <v>22</v>
      </c>
      <c r="D5067" s="1" t="s">
        <v>2436</v>
      </c>
      <c r="E5067" s="1" t="n">
        <v>42</v>
      </c>
      <c r="F5067" s="1" t="s">
        <v>80</v>
      </c>
      <c r="I5067" s="1" t="n">
        <v>4405</v>
      </c>
      <c r="J5067" s="1" t="n">
        <v>100014</v>
      </c>
      <c r="K5067" s="1" t="n">
        <v>15</v>
      </c>
      <c r="L5067" s="1" t="s">
        <v>2443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5" t="n">
        <v>46224</v>
      </c>
      <c r="C5068" s="1" t="n">
        <v>22</v>
      </c>
      <c r="D5068" s="1" t="s">
        <v>2436</v>
      </c>
      <c r="E5068" s="1" t="n">
        <v>42</v>
      </c>
      <c r="F5068" s="1" t="s">
        <v>80</v>
      </c>
      <c r="I5068" s="1" t="n">
        <v>4405</v>
      </c>
      <c r="J5068" s="1" t="n">
        <v>100015</v>
      </c>
      <c r="K5068" s="1" t="n">
        <v>16</v>
      </c>
      <c r="L5068" s="1" t="s">
        <v>2444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5" t="n">
        <v>46224</v>
      </c>
      <c r="C5069" s="1" t="n">
        <v>22</v>
      </c>
      <c r="D5069" s="1" t="s">
        <v>2436</v>
      </c>
      <c r="E5069" s="1" t="n">
        <v>42</v>
      </c>
      <c r="F5069" s="1" t="s">
        <v>80</v>
      </c>
      <c r="I5069" s="1" t="n">
        <v>4405</v>
      </c>
      <c r="J5069" s="1" t="n">
        <v>100015</v>
      </c>
      <c r="K5069" s="1" t="n">
        <v>16</v>
      </c>
      <c r="L5069" s="1" t="s">
        <v>2444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5" t="n">
        <v>46224</v>
      </c>
      <c r="C5070" s="1" t="n">
        <v>22</v>
      </c>
      <c r="D5070" s="1" t="s">
        <v>2436</v>
      </c>
      <c r="E5070" s="1" t="n">
        <v>42</v>
      </c>
      <c r="F5070" s="1" t="s">
        <v>80</v>
      </c>
      <c r="I5070" s="1" t="n">
        <v>4405</v>
      </c>
      <c r="J5070" s="1" t="n">
        <v>100016</v>
      </c>
      <c r="K5070" s="1" t="n">
        <v>17</v>
      </c>
      <c r="L5070" s="1" t="s">
        <v>2445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5" t="n">
        <v>46224</v>
      </c>
      <c r="C5071" s="1" t="n">
        <v>22</v>
      </c>
      <c r="D5071" s="1" t="s">
        <v>2436</v>
      </c>
      <c r="E5071" s="1" t="n">
        <v>42</v>
      </c>
      <c r="F5071" s="1" t="s">
        <v>80</v>
      </c>
      <c r="I5071" s="1" t="n">
        <v>4405</v>
      </c>
      <c r="J5071" s="1" t="n">
        <v>100017</v>
      </c>
      <c r="K5071" s="1" t="n">
        <v>18</v>
      </c>
      <c r="L5071" s="1" t="s">
        <v>2446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5" t="n">
        <v>46224</v>
      </c>
      <c r="C5072" s="1" t="n">
        <v>22</v>
      </c>
      <c r="D5072" s="1" t="s">
        <v>2436</v>
      </c>
      <c r="E5072" s="1" t="n">
        <v>42</v>
      </c>
      <c r="F5072" s="1" t="s">
        <v>80</v>
      </c>
      <c r="I5072" s="1" t="n">
        <v>4405</v>
      </c>
      <c r="J5072" s="1" t="n">
        <v>100017</v>
      </c>
      <c r="K5072" s="1" t="n">
        <v>18</v>
      </c>
      <c r="L5072" s="1" t="s">
        <v>2446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5" t="n">
        <v>46224</v>
      </c>
      <c r="C5073" s="1" t="n">
        <v>22</v>
      </c>
      <c r="D5073" s="1" t="s">
        <v>2436</v>
      </c>
      <c r="E5073" s="1" t="n">
        <v>42</v>
      </c>
      <c r="F5073" s="1" t="s">
        <v>80</v>
      </c>
      <c r="I5073" s="1" t="n">
        <v>4405</v>
      </c>
      <c r="J5073" s="1" t="n">
        <v>100023</v>
      </c>
      <c r="K5073" s="1" t="n">
        <v>24</v>
      </c>
      <c r="L5073" s="1" t="s">
        <v>3826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5" t="n">
        <v>46224</v>
      </c>
      <c r="C5074" s="1" t="n">
        <v>22</v>
      </c>
      <c r="D5074" s="1" t="s">
        <v>2436</v>
      </c>
      <c r="E5074" s="1" t="n">
        <v>42</v>
      </c>
      <c r="F5074" s="1" t="s">
        <v>80</v>
      </c>
      <c r="I5074" s="1" t="n">
        <v>4405</v>
      </c>
      <c r="J5074" s="1" t="n">
        <v>100053</v>
      </c>
      <c r="K5074" s="1" t="n">
        <v>54</v>
      </c>
      <c r="L5074" s="1" t="s">
        <v>2447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5" t="n">
        <v>46224</v>
      </c>
      <c r="C5075" s="1" t="n">
        <v>22</v>
      </c>
      <c r="D5075" s="1" t="s">
        <v>2436</v>
      </c>
      <c r="E5075" s="1" t="n">
        <v>42</v>
      </c>
      <c r="F5075" s="1" t="s">
        <v>80</v>
      </c>
      <c r="I5075" s="1" t="n">
        <v>4405</v>
      </c>
      <c r="J5075" s="1" t="n">
        <v>100638</v>
      </c>
      <c r="K5075" s="1" t="n">
        <v>508</v>
      </c>
      <c r="L5075" s="1" t="s">
        <v>2448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5" t="n">
        <v>46224</v>
      </c>
      <c r="C5076" s="1" t="n">
        <v>22</v>
      </c>
      <c r="D5076" s="1" t="s">
        <v>2436</v>
      </c>
      <c r="E5076" s="1" t="n">
        <v>42</v>
      </c>
      <c r="F5076" s="1" t="s">
        <v>80</v>
      </c>
      <c r="I5076" s="1" t="n">
        <v>4405</v>
      </c>
      <c r="J5076" s="1" t="n">
        <v>100638</v>
      </c>
      <c r="K5076" s="1" t="n">
        <v>508</v>
      </c>
      <c r="L5076" s="1" t="s">
        <v>2448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5" t="n">
        <v>46224</v>
      </c>
      <c r="C5077" s="1" t="n">
        <v>22</v>
      </c>
      <c r="D5077" s="1" t="s">
        <v>2436</v>
      </c>
      <c r="E5077" s="1" t="n">
        <v>42</v>
      </c>
      <c r="F5077" s="1" t="s">
        <v>80</v>
      </c>
      <c r="I5077" s="1" t="n">
        <v>4405</v>
      </c>
      <c r="J5077" s="1" t="n">
        <v>100520</v>
      </c>
      <c r="K5077" s="1" t="n">
        <v>507</v>
      </c>
      <c r="L5077" s="1" t="s">
        <v>2449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5" t="n">
        <v>46224</v>
      </c>
      <c r="C5078" s="1" t="n">
        <v>22</v>
      </c>
      <c r="D5078" s="1" t="s">
        <v>2436</v>
      </c>
      <c r="E5078" s="1" t="n">
        <v>42</v>
      </c>
      <c r="F5078" s="1" t="s">
        <v>80</v>
      </c>
      <c r="I5078" s="1" t="n">
        <v>4405</v>
      </c>
      <c r="J5078" s="1" t="n">
        <v>100520</v>
      </c>
      <c r="K5078" s="1" t="n">
        <v>507</v>
      </c>
      <c r="L5078" s="1" t="s">
        <v>2449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5" t="n">
        <v>46224</v>
      </c>
      <c r="C5079" s="1" t="n">
        <v>22</v>
      </c>
      <c r="D5079" s="1" t="s">
        <v>2436</v>
      </c>
      <c r="E5079" s="1" t="n">
        <v>42</v>
      </c>
      <c r="F5079" s="1" t="s">
        <v>80</v>
      </c>
      <c r="I5079" s="1" t="n">
        <v>4405</v>
      </c>
      <c r="J5079" s="1" t="n">
        <v>110455</v>
      </c>
      <c r="K5079" s="1" t="n">
        <v>53212</v>
      </c>
      <c r="L5079" s="1" t="s">
        <v>2450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5" t="n">
        <v>46224</v>
      </c>
      <c r="C5080" s="1" t="n">
        <v>22</v>
      </c>
      <c r="D5080" s="1" t="s">
        <v>2436</v>
      </c>
      <c r="E5080" s="1" t="n">
        <v>42</v>
      </c>
      <c r="F5080" s="1" t="s">
        <v>80</v>
      </c>
      <c r="I5080" s="1" t="n">
        <v>4405</v>
      </c>
      <c r="J5080" s="1" t="n">
        <v>110455</v>
      </c>
      <c r="K5080" s="1" t="n">
        <v>53212</v>
      </c>
      <c r="L5080" s="1" t="s">
        <v>2450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5" t="n">
        <v>46224</v>
      </c>
      <c r="C5081" s="1" t="n">
        <v>100</v>
      </c>
      <c r="D5081" s="1" t="s">
        <v>2457</v>
      </c>
      <c r="E5081" s="1" t="n">
        <v>42</v>
      </c>
      <c r="F5081" s="1" t="s">
        <v>80</v>
      </c>
      <c r="I5081" s="1" t="n">
        <v>1427501</v>
      </c>
      <c r="J5081" s="1" t="n">
        <v>100004</v>
      </c>
      <c r="K5081" s="1" t="n">
        <v>5</v>
      </c>
      <c r="L5081" s="1" t="s">
        <v>2667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5" t="n">
        <v>46224</v>
      </c>
      <c r="C5082" s="1" t="n">
        <v>100</v>
      </c>
      <c r="D5082" s="1" t="s">
        <v>2457</v>
      </c>
      <c r="E5082" s="1" t="n">
        <v>42</v>
      </c>
      <c r="F5082" s="1" t="s">
        <v>80</v>
      </c>
      <c r="I5082" s="1" t="n">
        <v>1427501</v>
      </c>
      <c r="J5082" s="1" t="n">
        <v>100020</v>
      </c>
      <c r="K5082" s="1" t="n">
        <v>21</v>
      </c>
      <c r="L5082" s="1" t="s">
        <v>2456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5" t="n">
        <v>46224</v>
      </c>
      <c r="C5083" s="1" t="n">
        <v>100</v>
      </c>
      <c r="D5083" s="1" t="s">
        <v>2457</v>
      </c>
      <c r="E5083" s="1" t="n">
        <v>42</v>
      </c>
      <c r="F5083" s="1" t="s">
        <v>80</v>
      </c>
      <c r="I5083" s="1" t="n">
        <v>1427501</v>
      </c>
      <c r="J5083" s="1" t="n">
        <v>100638</v>
      </c>
      <c r="K5083" s="1" t="n">
        <v>508</v>
      </c>
      <c r="L5083" s="1" t="s">
        <v>2448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5" t="n">
        <v>46224</v>
      </c>
      <c r="C5084" s="1" t="n">
        <v>100</v>
      </c>
      <c r="D5084" s="1" t="s">
        <v>2457</v>
      </c>
      <c r="E5084" s="1" t="n">
        <v>42</v>
      </c>
      <c r="F5084" s="1" t="s">
        <v>80</v>
      </c>
      <c r="I5084" s="1" t="n">
        <v>1427501</v>
      </c>
      <c r="J5084" s="1" t="n">
        <v>110455</v>
      </c>
      <c r="K5084" s="1" t="n">
        <v>53212</v>
      </c>
      <c r="L5084" s="1" t="s">
        <v>2450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5" t="n">
        <v>46224</v>
      </c>
      <c r="C5085" s="1" t="n">
        <v>100</v>
      </c>
      <c r="D5085" s="1" t="s">
        <v>2457</v>
      </c>
      <c r="E5085" s="1" t="n">
        <v>42</v>
      </c>
      <c r="F5085" s="1" t="s">
        <v>80</v>
      </c>
      <c r="I5085" s="1" t="n">
        <v>1427507</v>
      </c>
      <c r="J5085" s="1" t="n">
        <v>100000</v>
      </c>
      <c r="K5085" s="1" t="n">
        <v>1</v>
      </c>
      <c r="L5085" s="1" t="s">
        <v>2451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5" t="n">
        <v>46224</v>
      </c>
      <c r="C5086" s="1" t="n">
        <v>100</v>
      </c>
      <c r="D5086" s="1" t="s">
        <v>2457</v>
      </c>
      <c r="E5086" s="1" t="n">
        <v>42</v>
      </c>
      <c r="F5086" s="1" t="s">
        <v>80</v>
      </c>
      <c r="I5086" s="1" t="n">
        <v>1427507</v>
      </c>
      <c r="J5086" s="1" t="n">
        <v>100001</v>
      </c>
      <c r="K5086" s="1" t="n">
        <v>2</v>
      </c>
      <c r="L5086" s="1" t="s">
        <v>2452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5" t="n">
        <v>46224</v>
      </c>
      <c r="C5087" s="1" t="n">
        <v>100</v>
      </c>
      <c r="D5087" s="1" t="s">
        <v>2457</v>
      </c>
      <c r="E5087" s="1" t="n">
        <v>42</v>
      </c>
      <c r="F5087" s="1" t="s">
        <v>80</v>
      </c>
      <c r="I5087" s="1" t="n">
        <v>1427507</v>
      </c>
      <c r="J5087" s="1" t="n">
        <v>100002</v>
      </c>
      <c r="K5087" s="1" t="n">
        <v>3</v>
      </c>
      <c r="L5087" s="1" t="s">
        <v>2453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5" t="n">
        <v>46224</v>
      </c>
      <c r="C5088" s="1" t="n">
        <v>100</v>
      </c>
      <c r="D5088" s="1" t="s">
        <v>2457</v>
      </c>
      <c r="E5088" s="1" t="n">
        <v>42</v>
      </c>
      <c r="F5088" s="1" t="s">
        <v>80</v>
      </c>
      <c r="I5088" s="1" t="n">
        <v>1427507</v>
      </c>
      <c r="J5088" s="1" t="n">
        <v>100003</v>
      </c>
      <c r="K5088" s="1" t="n">
        <v>4</v>
      </c>
      <c r="L5088" s="1" t="s">
        <v>2454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5" t="n">
        <v>46224</v>
      </c>
      <c r="C5089" s="1" t="n">
        <v>100</v>
      </c>
      <c r="D5089" s="1" t="s">
        <v>2457</v>
      </c>
      <c r="E5089" s="1" t="n">
        <v>42</v>
      </c>
      <c r="F5089" s="1" t="s">
        <v>80</v>
      </c>
      <c r="I5089" s="1" t="n">
        <v>1427507</v>
      </c>
      <c r="J5089" s="1" t="n">
        <v>100007</v>
      </c>
      <c r="K5089" s="1" t="n">
        <v>8</v>
      </c>
      <c r="L5089" s="1" t="s">
        <v>2455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5" t="n">
        <v>46224</v>
      </c>
      <c r="C5090" s="1" t="n">
        <v>100</v>
      </c>
      <c r="D5090" s="1" t="s">
        <v>2457</v>
      </c>
      <c r="E5090" s="1" t="n">
        <v>42</v>
      </c>
      <c r="F5090" s="1" t="s">
        <v>80</v>
      </c>
      <c r="I5090" s="1" t="n">
        <v>1427507</v>
      </c>
      <c r="J5090" s="1" t="n">
        <v>100638</v>
      </c>
      <c r="K5090" s="1" t="n">
        <v>508</v>
      </c>
      <c r="L5090" s="1" t="s">
        <v>2448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5" t="n">
        <v>46224</v>
      </c>
      <c r="C5091" s="1" t="n">
        <v>100</v>
      </c>
      <c r="D5091" s="1" t="s">
        <v>2457</v>
      </c>
      <c r="E5091" s="1" t="n">
        <v>42</v>
      </c>
      <c r="F5091" s="1" t="s">
        <v>80</v>
      </c>
      <c r="I5091" s="1" t="n">
        <v>1427507</v>
      </c>
      <c r="J5091" s="1" t="n">
        <v>100520</v>
      </c>
      <c r="K5091" s="1" t="n">
        <v>507</v>
      </c>
      <c r="L5091" s="1" t="s">
        <v>2449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5" t="n">
        <v>46224</v>
      </c>
      <c r="C5092" s="1" t="n">
        <v>100</v>
      </c>
      <c r="D5092" s="1" t="s">
        <v>2457</v>
      </c>
      <c r="E5092" s="1" t="n">
        <v>42</v>
      </c>
      <c r="F5092" s="1" t="s">
        <v>80</v>
      </c>
      <c r="I5092" s="1" t="n">
        <v>1427507</v>
      </c>
      <c r="J5092" s="1" t="n">
        <v>110455</v>
      </c>
      <c r="K5092" s="1" t="n">
        <v>53212</v>
      </c>
      <c r="L5092" s="1" t="s">
        <v>2450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5" t="n">
        <v>46224</v>
      </c>
      <c r="C5093" s="1" t="n">
        <v>100</v>
      </c>
      <c r="D5093" s="1" t="s">
        <v>2457</v>
      </c>
      <c r="E5093" s="1" t="n">
        <v>42</v>
      </c>
      <c r="F5093" s="1" t="s">
        <v>80</v>
      </c>
      <c r="I5093" s="1" t="n">
        <v>1427510</v>
      </c>
      <c r="J5093" s="1" t="n">
        <v>100006</v>
      </c>
      <c r="K5093" s="1" t="n">
        <v>7</v>
      </c>
      <c r="L5093" s="1" t="s">
        <v>2437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5" t="n">
        <v>46224</v>
      </c>
      <c r="C5094" s="1" t="n">
        <v>100</v>
      </c>
      <c r="D5094" s="1" t="s">
        <v>2457</v>
      </c>
      <c r="E5094" s="1" t="n">
        <v>42</v>
      </c>
      <c r="F5094" s="1" t="s">
        <v>80</v>
      </c>
      <c r="I5094" s="1" t="n">
        <v>1427510</v>
      </c>
      <c r="J5094" s="1" t="n">
        <v>100008</v>
      </c>
      <c r="K5094" s="1" t="n">
        <v>9</v>
      </c>
      <c r="L5094" s="1" t="s">
        <v>2438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5" t="n">
        <v>46224</v>
      </c>
      <c r="C5095" s="1" t="n">
        <v>100</v>
      </c>
      <c r="D5095" s="1" t="s">
        <v>2457</v>
      </c>
      <c r="E5095" s="1" t="n">
        <v>42</v>
      </c>
      <c r="F5095" s="1" t="s">
        <v>80</v>
      </c>
      <c r="I5095" s="1" t="n">
        <v>1427510</v>
      </c>
      <c r="J5095" s="1" t="n">
        <v>100010</v>
      </c>
      <c r="K5095" s="1" t="n">
        <v>11</v>
      </c>
      <c r="L5095" s="1" t="s">
        <v>2439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5" t="n">
        <v>46224</v>
      </c>
      <c r="C5096" s="1" t="n">
        <v>100</v>
      </c>
      <c r="D5096" s="1" t="s">
        <v>2457</v>
      </c>
      <c r="E5096" s="1" t="n">
        <v>42</v>
      </c>
      <c r="F5096" s="1" t="s">
        <v>80</v>
      </c>
      <c r="I5096" s="1" t="n">
        <v>1427510</v>
      </c>
      <c r="J5096" s="1" t="n">
        <v>100011</v>
      </c>
      <c r="K5096" s="1" t="n">
        <v>12</v>
      </c>
      <c r="L5096" s="1" t="s">
        <v>2440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5" t="n">
        <v>46224</v>
      </c>
      <c r="C5097" s="1" t="n">
        <v>100</v>
      </c>
      <c r="D5097" s="1" t="s">
        <v>2457</v>
      </c>
      <c r="E5097" s="1" t="n">
        <v>42</v>
      </c>
      <c r="F5097" s="1" t="s">
        <v>80</v>
      </c>
      <c r="I5097" s="1" t="n">
        <v>1427510</v>
      </c>
      <c r="J5097" s="1" t="n">
        <v>100012</v>
      </c>
      <c r="K5097" s="1" t="n">
        <v>13</v>
      </c>
      <c r="L5097" s="1" t="s">
        <v>2441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5" t="n">
        <v>46224</v>
      </c>
      <c r="C5098" s="1" t="n">
        <v>100</v>
      </c>
      <c r="D5098" s="1" t="s">
        <v>2457</v>
      </c>
      <c r="E5098" s="1" t="n">
        <v>42</v>
      </c>
      <c r="F5098" s="1" t="s">
        <v>80</v>
      </c>
      <c r="I5098" s="1" t="n">
        <v>1427510</v>
      </c>
      <c r="J5098" s="1" t="n">
        <v>100013</v>
      </c>
      <c r="K5098" s="1" t="n">
        <v>14</v>
      </c>
      <c r="L5098" s="1" t="s">
        <v>2442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5" t="n">
        <v>46224</v>
      </c>
      <c r="C5099" s="1" t="n">
        <v>100</v>
      </c>
      <c r="D5099" s="1" t="s">
        <v>2457</v>
      </c>
      <c r="E5099" s="1" t="n">
        <v>42</v>
      </c>
      <c r="F5099" s="1" t="s">
        <v>80</v>
      </c>
      <c r="I5099" s="1" t="n">
        <v>1427510</v>
      </c>
      <c r="J5099" s="1" t="n">
        <v>100014</v>
      </c>
      <c r="K5099" s="1" t="n">
        <v>15</v>
      </c>
      <c r="L5099" s="1" t="s">
        <v>2443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5" t="n">
        <v>46224</v>
      </c>
      <c r="C5100" s="1" t="n">
        <v>100</v>
      </c>
      <c r="D5100" s="1" t="s">
        <v>2457</v>
      </c>
      <c r="E5100" s="1" t="n">
        <v>42</v>
      </c>
      <c r="F5100" s="1" t="s">
        <v>80</v>
      </c>
      <c r="I5100" s="1" t="n">
        <v>1427510</v>
      </c>
      <c r="J5100" s="1" t="n">
        <v>100015</v>
      </c>
      <c r="K5100" s="1" t="n">
        <v>16</v>
      </c>
      <c r="L5100" s="1" t="s">
        <v>2444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5" t="n">
        <v>46224</v>
      </c>
      <c r="C5101" s="1" t="n">
        <v>100</v>
      </c>
      <c r="D5101" s="1" t="s">
        <v>2457</v>
      </c>
      <c r="E5101" s="1" t="n">
        <v>42</v>
      </c>
      <c r="F5101" s="1" t="s">
        <v>80</v>
      </c>
      <c r="I5101" s="1" t="n">
        <v>1427510</v>
      </c>
      <c r="J5101" s="1" t="n">
        <v>100016</v>
      </c>
      <c r="K5101" s="1" t="n">
        <v>17</v>
      </c>
      <c r="L5101" s="1" t="s">
        <v>2445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5" t="n">
        <v>46224</v>
      </c>
      <c r="C5102" s="1" t="n">
        <v>100</v>
      </c>
      <c r="D5102" s="1" t="s">
        <v>2457</v>
      </c>
      <c r="E5102" s="1" t="n">
        <v>42</v>
      </c>
      <c r="F5102" s="1" t="s">
        <v>80</v>
      </c>
      <c r="I5102" s="1" t="n">
        <v>1427510</v>
      </c>
      <c r="J5102" s="1" t="n">
        <v>100017</v>
      </c>
      <c r="K5102" s="1" t="n">
        <v>18</v>
      </c>
      <c r="L5102" s="1" t="s">
        <v>2446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5" t="n">
        <v>46224</v>
      </c>
      <c r="C5103" s="1" t="n">
        <v>100</v>
      </c>
      <c r="D5103" s="1" t="s">
        <v>2457</v>
      </c>
      <c r="E5103" s="1" t="n">
        <v>42</v>
      </c>
      <c r="F5103" s="1" t="s">
        <v>80</v>
      </c>
      <c r="I5103" s="1" t="n">
        <v>1427510</v>
      </c>
      <c r="J5103" s="1" t="n">
        <v>100053</v>
      </c>
      <c r="K5103" s="1" t="n">
        <v>54</v>
      </c>
      <c r="L5103" s="1" t="s">
        <v>2447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5" t="n">
        <v>46224</v>
      </c>
      <c r="C5104" s="1" t="n">
        <v>100</v>
      </c>
      <c r="D5104" s="1" t="s">
        <v>2457</v>
      </c>
      <c r="E5104" s="1" t="n">
        <v>42</v>
      </c>
      <c r="F5104" s="1" t="s">
        <v>80</v>
      </c>
      <c r="I5104" s="1" t="n">
        <v>1427510</v>
      </c>
      <c r="J5104" s="1" t="n">
        <v>100638</v>
      </c>
      <c r="K5104" s="1" t="n">
        <v>508</v>
      </c>
      <c r="L5104" s="1" t="s">
        <v>2448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5" t="n">
        <v>46224</v>
      </c>
      <c r="C5105" s="1" t="n">
        <v>100</v>
      </c>
      <c r="D5105" s="1" t="s">
        <v>2457</v>
      </c>
      <c r="E5105" s="1" t="n">
        <v>42</v>
      </c>
      <c r="F5105" s="1" t="s">
        <v>80</v>
      </c>
      <c r="I5105" s="1" t="n">
        <v>1427510</v>
      </c>
      <c r="J5105" s="1" t="n">
        <v>100520</v>
      </c>
      <c r="K5105" s="1" t="n">
        <v>507</v>
      </c>
      <c r="L5105" s="1" t="s">
        <v>2449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5" t="n">
        <v>46224</v>
      </c>
      <c r="C5106" s="1" t="n">
        <v>100</v>
      </c>
      <c r="D5106" s="1" t="s">
        <v>2457</v>
      </c>
      <c r="E5106" s="1" t="n">
        <v>42</v>
      </c>
      <c r="F5106" s="1" t="s">
        <v>80</v>
      </c>
      <c r="I5106" s="1" t="n">
        <v>1427510</v>
      </c>
      <c r="J5106" s="1" t="n">
        <v>110455</v>
      </c>
      <c r="K5106" s="1" t="n">
        <v>53212</v>
      </c>
      <c r="L5106" s="1" t="s">
        <v>2450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5" t="n">
        <v>46224</v>
      </c>
      <c r="C5107" s="1" t="n">
        <v>100</v>
      </c>
      <c r="D5107" s="1" t="s">
        <v>2457</v>
      </c>
      <c r="E5107" s="1" t="n">
        <v>42</v>
      </c>
      <c r="F5107" s="1" t="s">
        <v>80</v>
      </c>
      <c r="I5107" s="1" t="n">
        <v>1427797</v>
      </c>
      <c r="J5107" s="1" t="n">
        <v>100006</v>
      </c>
      <c r="K5107" s="1" t="n">
        <v>7</v>
      </c>
      <c r="L5107" s="1" t="s">
        <v>2437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5" t="n">
        <v>46224</v>
      </c>
      <c r="C5108" s="1" t="n">
        <v>100</v>
      </c>
      <c r="D5108" s="1" t="s">
        <v>2457</v>
      </c>
      <c r="E5108" s="1" t="n">
        <v>42</v>
      </c>
      <c r="F5108" s="1" t="s">
        <v>80</v>
      </c>
      <c r="I5108" s="1" t="n">
        <v>1427797</v>
      </c>
      <c r="J5108" s="1" t="n">
        <v>100010</v>
      </c>
      <c r="K5108" s="1" t="n">
        <v>11</v>
      </c>
      <c r="L5108" s="1" t="s">
        <v>2439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5" t="n">
        <v>46224</v>
      </c>
      <c r="C5109" s="1" t="n">
        <v>100</v>
      </c>
      <c r="D5109" s="1" t="s">
        <v>2457</v>
      </c>
      <c r="E5109" s="1" t="n">
        <v>42</v>
      </c>
      <c r="F5109" s="1" t="s">
        <v>80</v>
      </c>
      <c r="I5109" s="1" t="n">
        <v>1427797</v>
      </c>
      <c r="J5109" s="1" t="n">
        <v>100011</v>
      </c>
      <c r="K5109" s="1" t="n">
        <v>12</v>
      </c>
      <c r="L5109" s="1" t="s">
        <v>2440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5" t="n">
        <v>46224</v>
      </c>
      <c r="C5110" s="1" t="n">
        <v>100</v>
      </c>
      <c r="D5110" s="1" t="s">
        <v>2457</v>
      </c>
      <c r="E5110" s="1" t="n">
        <v>42</v>
      </c>
      <c r="F5110" s="1" t="s">
        <v>80</v>
      </c>
      <c r="I5110" s="1" t="n">
        <v>1427797</v>
      </c>
      <c r="J5110" s="1" t="n">
        <v>100012</v>
      </c>
      <c r="K5110" s="1" t="n">
        <v>13</v>
      </c>
      <c r="L5110" s="1" t="s">
        <v>2441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5" t="n">
        <v>46224</v>
      </c>
      <c r="C5111" s="1" t="n">
        <v>100</v>
      </c>
      <c r="D5111" s="1" t="s">
        <v>2457</v>
      </c>
      <c r="E5111" s="1" t="n">
        <v>42</v>
      </c>
      <c r="F5111" s="1" t="s">
        <v>80</v>
      </c>
      <c r="I5111" s="1" t="n">
        <v>1427797</v>
      </c>
      <c r="J5111" s="1" t="n">
        <v>100013</v>
      </c>
      <c r="K5111" s="1" t="n">
        <v>14</v>
      </c>
      <c r="L5111" s="1" t="s">
        <v>2442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5" t="n">
        <v>46224</v>
      </c>
      <c r="C5112" s="1" t="n">
        <v>100</v>
      </c>
      <c r="D5112" s="1" t="s">
        <v>2457</v>
      </c>
      <c r="E5112" s="1" t="n">
        <v>42</v>
      </c>
      <c r="F5112" s="1" t="s">
        <v>80</v>
      </c>
      <c r="I5112" s="1" t="n">
        <v>1427797</v>
      </c>
      <c r="J5112" s="1" t="n">
        <v>100014</v>
      </c>
      <c r="K5112" s="1" t="n">
        <v>15</v>
      </c>
      <c r="L5112" s="1" t="s">
        <v>2443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5" t="n">
        <v>46224</v>
      </c>
      <c r="C5113" s="1" t="n">
        <v>100</v>
      </c>
      <c r="D5113" s="1" t="s">
        <v>2457</v>
      </c>
      <c r="E5113" s="1" t="n">
        <v>42</v>
      </c>
      <c r="F5113" s="1" t="s">
        <v>80</v>
      </c>
      <c r="I5113" s="1" t="n">
        <v>1427797</v>
      </c>
      <c r="J5113" s="1" t="n">
        <v>100015</v>
      </c>
      <c r="K5113" s="1" t="n">
        <v>16</v>
      </c>
      <c r="L5113" s="1" t="s">
        <v>2444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5" t="n">
        <v>46224</v>
      </c>
      <c r="C5114" s="1" t="n">
        <v>100</v>
      </c>
      <c r="D5114" s="1" t="s">
        <v>2457</v>
      </c>
      <c r="E5114" s="1" t="n">
        <v>42</v>
      </c>
      <c r="F5114" s="1" t="s">
        <v>80</v>
      </c>
      <c r="I5114" s="1" t="n">
        <v>1427797</v>
      </c>
      <c r="J5114" s="1" t="n">
        <v>100017</v>
      </c>
      <c r="K5114" s="1" t="n">
        <v>18</v>
      </c>
      <c r="L5114" s="1" t="s">
        <v>2446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5" t="n">
        <v>46224</v>
      </c>
      <c r="C5115" s="1" t="n">
        <v>100</v>
      </c>
      <c r="D5115" s="1" t="s">
        <v>2457</v>
      </c>
      <c r="E5115" s="1" t="n">
        <v>42</v>
      </c>
      <c r="F5115" s="1" t="s">
        <v>80</v>
      </c>
      <c r="I5115" s="1" t="n">
        <v>1427797</v>
      </c>
      <c r="J5115" s="1" t="n">
        <v>100023</v>
      </c>
      <c r="K5115" s="1" t="n">
        <v>24</v>
      </c>
      <c r="L5115" s="1" t="s">
        <v>3826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5" t="n">
        <v>46224</v>
      </c>
      <c r="C5116" s="1" t="n">
        <v>100</v>
      </c>
      <c r="D5116" s="1" t="s">
        <v>2457</v>
      </c>
      <c r="E5116" s="1" t="n">
        <v>42</v>
      </c>
      <c r="F5116" s="1" t="s">
        <v>80</v>
      </c>
      <c r="I5116" s="1" t="n">
        <v>1427797</v>
      </c>
      <c r="J5116" s="1" t="n">
        <v>100638</v>
      </c>
      <c r="K5116" s="1" t="n">
        <v>508</v>
      </c>
      <c r="L5116" s="1" t="s">
        <v>2448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5" t="n">
        <v>46224</v>
      </c>
      <c r="C5117" s="1" t="n">
        <v>100</v>
      </c>
      <c r="D5117" s="1" t="s">
        <v>2457</v>
      </c>
      <c r="E5117" s="1" t="n">
        <v>42</v>
      </c>
      <c r="F5117" s="1" t="s">
        <v>80</v>
      </c>
      <c r="I5117" s="1" t="n">
        <v>1427797</v>
      </c>
      <c r="J5117" s="1" t="n">
        <v>100520</v>
      </c>
      <c r="K5117" s="1" t="n">
        <v>507</v>
      </c>
      <c r="L5117" s="1" t="s">
        <v>2449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5" t="n">
        <v>46224</v>
      </c>
      <c r="C5118" s="1" t="n">
        <v>100</v>
      </c>
      <c r="D5118" s="1" t="s">
        <v>2457</v>
      </c>
      <c r="E5118" s="1" t="n">
        <v>42</v>
      </c>
      <c r="F5118" s="1" t="s">
        <v>80</v>
      </c>
      <c r="I5118" s="1" t="n">
        <v>1427797</v>
      </c>
      <c r="J5118" s="1" t="n">
        <v>110455</v>
      </c>
      <c r="K5118" s="1" t="n">
        <v>53212</v>
      </c>
      <c r="L5118" s="1" t="s">
        <v>2450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5" t="n">
        <v>46224</v>
      </c>
      <c r="C5119" s="1" t="n">
        <v>100</v>
      </c>
      <c r="D5119" s="1" t="s">
        <v>2457</v>
      </c>
      <c r="E5119" s="1" t="n">
        <v>42</v>
      </c>
      <c r="F5119" s="1" t="s">
        <v>80</v>
      </c>
      <c r="I5119" s="1" t="n">
        <v>1427801</v>
      </c>
      <c r="J5119" s="1" t="n">
        <v>100006</v>
      </c>
      <c r="K5119" s="1" t="n">
        <v>7</v>
      </c>
      <c r="L5119" s="1" t="s">
        <v>2437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5" t="n">
        <v>46224</v>
      </c>
      <c r="C5120" s="1" t="n">
        <v>100</v>
      </c>
      <c r="D5120" s="1" t="s">
        <v>2457</v>
      </c>
      <c r="E5120" s="1" t="n">
        <v>42</v>
      </c>
      <c r="F5120" s="1" t="s">
        <v>80</v>
      </c>
      <c r="I5120" s="1" t="n">
        <v>1427801</v>
      </c>
      <c r="J5120" s="1" t="n">
        <v>100008</v>
      </c>
      <c r="K5120" s="1" t="n">
        <v>9</v>
      </c>
      <c r="L5120" s="1" t="s">
        <v>2438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5" t="n">
        <v>46224</v>
      </c>
      <c r="C5121" s="1" t="n">
        <v>100</v>
      </c>
      <c r="D5121" s="1" t="s">
        <v>2457</v>
      </c>
      <c r="E5121" s="1" t="n">
        <v>42</v>
      </c>
      <c r="F5121" s="1" t="s">
        <v>80</v>
      </c>
      <c r="I5121" s="1" t="n">
        <v>1427801</v>
      </c>
      <c r="J5121" s="1" t="n">
        <v>100010</v>
      </c>
      <c r="K5121" s="1" t="n">
        <v>11</v>
      </c>
      <c r="L5121" s="1" t="s">
        <v>2439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5" t="n">
        <v>46224</v>
      </c>
      <c r="C5122" s="1" t="n">
        <v>100</v>
      </c>
      <c r="D5122" s="1" t="s">
        <v>2457</v>
      </c>
      <c r="E5122" s="1" t="n">
        <v>42</v>
      </c>
      <c r="F5122" s="1" t="s">
        <v>80</v>
      </c>
      <c r="I5122" s="1" t="n">
        <v>1427801</v>
      </c>
      <c r="J5122" s="1" t="n">
        <v>100011</v>
      </c>
      <c r="K5122" s="1" t="n">
        <v>12</v>
      </c>
      <c r="L5122" s="1" t="s">
        <v>2440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5" t="n">
        <v>46224</v>
      </c>
      <c r="C5123" s="1" t="n">
        <v>100</v>
      </c>
      <c r="D5123" s="1" t="s">
        <v>2457</v>
      </c>
      <c r="E5123" s="1" t="n">
        <v>42</v>
      </c>
      <c r="F5123" s="1" t="s">
        <v>80</v>
      </c>
      <c r="I5123" s="1" t="n">
        <v>1427801</v>
      </c>
      <c r="J5123" s="1" t="n">
        <v>100012</v>
      </c>
      <c r="K5123" s="1" t="n">
        <v>13</v>
      </c>
      <c r="L5123" s="1" t="s">
        <v>2441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5" t="n">
        <v>46224</v>
      </c>
      <c r="C5124" s="1" t="n">
        <v>100</v>
      </c>
      <c r="D5124" s="1" t="s">
        <v>2457</v>
      </c>
      <c r="E5124" s="1" t="n">
        <v>42</v>
      </c>
      <c r="F5124" s="1" t="s">
        <v>80</v>
      </c>
      <c r="I5124" s="1" t="n">
        <v>1427801</v>
      </c>
      <c r="J5124" s="1" t="n">
        <v>100013</v>
      </c>
      <c r="K5124" s="1" t="n">
        <v>14</v>
      </c>
      <c r="L5124" s="1" t="s">
        <v>2442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5" t="n">
        <v>46224</v>
      </c>
      <c r="C5125" s="1" t="n">
        <v>100</v>
      </c>
      <c r="D5125" s="1" t="s">
        <v>2457</v>
      </c>
      <c r="E5125" s="1" t="n">
        <v>42</v>
      </c>
      <c r="F5125" s="1" t="s">
        <v>80</v>
      </c>
      <c r="I5125" s="1" t="n">
        <v>1427801</v>
      </c>
      <c r="J5125" s="1" t="n">
        <v>100014</v>
      </c>
      <c r="K5125" s="1" t="n">
        <v>15</v>
      </c>
      <c r="L5125" s="1" t="s">
        <v>2443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5" t="n">
        <v>46224</v>
      </c>
      <c r="C5126" s="1" t="n">
        <v>100</v>
      </c>
      <c r="D5126" s="1" t="s">
        <v>2457</v>
      </c>
      <c r="E5126" s="1" t="n">
        <v>42</v>
      </c>
      <c r="F5126" s="1" t="s">
        <v>80</v>
      </c>
      <c r="I5126" s="1" t="n">
        <v>1427801</v>
      </c>
      <c r="J5126" s="1" t="n">
        <v>100015</v>
      </c>
      <c r="K5126" s="1" t="n">
        <v>16</v>
      </c>
      <c r="L5126" s="1" t="s">
        <v>2444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5" t="n">
        <v>46224</v>
      </c>
      <c r="C5127" s="1" t="n">
        <v>100</v>
      </c>
      <c r="D5127" s="1" t="s">
        <v>2457</v>
      </c>
      <c r="E5127" s="1" t="n">
        <v>42</v>
      </c>
      <c r="F5127" s="1" t="s">
        <v>80</v>
      </c>
      <c r="I5127" s="1" t="n">
        <v>1427801</v>
      </c>
      <c r="J5127" s="1" t="n">
        <v>100016</v>
      </c>
      <c r="K5127" s="1" t="n">
        <v>17</v>
      </c>
      <c r="L5127" s="1" t="s">
        <v>2445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5" t="n">
        <v>46224</v>
      </c>
      <c r="C5128" s="1" t="n">
        <v>100</v>
      </c>
      <c r="D5128" s="1" t="s">
        <v>2457</v>
      </c>
      <c r="E5128" s="1" t="n">
        <v>42</v>
      </c>
      <c r="F5128" s="1" t="s">
        <v>80</v>
      </c>
      <c r="I5128" s="1" t="n">
        <v>1427801</v>
      </c>
      <c r="J5128" s="1" t="n">
        <v>100017</v>
      </c>
      <c r="K5128" s="1" t="n">
        <v>18</v>
      </c>
      <c r="L5128" s="1" t="s">
        <v>2446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5" t="n">
        <v>46224</v>
      </c>
      <c r="C5129" s="1" t="n">
        <v>100</v>
      </c>
      <c r="D5129" s="1" t="s">
        <v>2457</v>
      </c>
      <c r="E5129" s="1" t="n">
        <v>42</v>
      </c>
      <c r="F5129" s="1" t="s">
        <v>80</v>
      </c>
      <c r="I5129" s="1" t="n">
        <v>1427801</v>
      </c>
      <c r="J5129" s="1" t="n">
        <v>100053</v>
      </c>
      <c r="K5129" s="1" t="n">
        <v>54</v>
      </c>
      <c r="L5129" s="1" t="s">
        <v>2447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5" t="n">
        <v>46224</v>
      </c>
      <c r="C5130" s="1" t="n">
        <v>100</v>
      </c>
      <c r="D5130" s="1" t="s">
        <v>2457</v>
      </c>
      <c r="E5130" s="1" t="n">
        <v>42</v>
      </c>
      <c r="F5130" s="1" t="s">
        <v>80</v>
      </c>
      <c r="I5130" s="1" t="n">
        <v>1427801</v>
      </c>
      <c r="J5130" s="1" t="n">
        <v>100638</v>
      </c>
      <c r="K5130" s="1" t="n">
        <v>508</v>
      </c>
      <c r="L5130" s="1" t="s">
        <v>2448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5" t="n">
        <v>46224</v>
      </c>
      <c r="C5131" s="1" t="n">
        <v>100</v>
      </c>
      <c r="D5131" s="1" t="s">
        <v>2457</v>
      </c>
      <c r="E5131" s="1" t="n">
        <v>42</v>
      </c>
      <c r="F5131" s="1" t="s">
        <v>80</v>
      </c>
      <c r="I5131" s="1" t="n">
        <v>1427801</v>
      </c>
      <c r="J5131" s="1" t="n">
        <v>100520</v>
      </c>
      <c r="K5131" s="1" t="n">
        <v>507</v>
      </c>
      <c r="L5131" s="1" t="s">
        <v>2449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5" t="n">
        <v>46224</v>
      </c>
      <c r="C5132" s="1" t="n">
        <v>100</v>
      </c>
      <c r="D5132" s="1" t="s">
        <v>2457</v>
      </c>
      <c r="E5132" s="1" t="n">
        <v>42</v>
      </c>
      <c r="F5132" s="1" t="s">
        <v>80</v>
      </c>
      <c r="I5132" s="1" t="n">
        <v>1427801</v>
      </c>
      <c r="J5132" s="1" t="n">
        <v>110455</v>
      </c>
      <c r="K5132" s="1" t="n">
        <v>53212</v>
      </c>
      <c r="L5132" s="1" t="s">
        <v>2450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5" t="n">
        <v>46225</v>
      </c>
      <c r="C5133" s="1" t="n">
        <v>6</v>
      </c>
      <c r="D5133" s="1" t="s">
        <v>2289</v>
      </c>
      <c r="E5133" s="1" t="n">
        <v>42</v>
      </c>
      <c r="F5133" s="1" t="s">
        <v>80</v>
      </c>
      <c r="I5133" s="1" t="n">
        <v>4408</v>
      </c>
      <c r="J5133" s="1" t="n">
        <v>109791</v>
      </c>
      <c r="K5133" s="1" t="n">
        <v>9667</v>
      </c>
      <c r="L5133" s="1" t="s">
        <v>2284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5" t="n">
        <v>46225</v>
      </c>
      <c r="C5134" s="1" t="n">
        <v>6</v>
      </c>
      <c r="D5134" s="1" t="s">
        <v>2289</v>
      </c>
      <c r="E5134" s="1" t="n">
        <v>42</v>
      </c>
      <c r="F5134" s="1" t="s">
        <v>80</v>
      </c>
      <c r="I5134" s="1" t="n">
        <v>4408</v>
      </c>
      <c r="J5134" s="1" t="n">
        <v>37359</v>
      </c>
      <c r="K5134" s="1" t="n">
        <v>55526</v>
      </c>
      <c r="L5134" s="1" t="s">
        <v>2285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5" t="n">
        <v>46225</v>
      </c>
      <c r="C5135" s="1" t="n">
        <v>6</v>
      </c>
      <c r="D5135" s="1" t="s">
        <v>2289</v>
      </c>
      <c r="E5135" s="1" t="n">
        <v>42</v>
      </c>
      <c r="F5135" s="1" t="s">
        <v>80</v>
      </c>
      <c r="I5135" s="1" t="n">
        <v>4408</v>
      </c>
      <c r="J5135" s="1" t="n">
        <v>37361</v>
      </c>
      <c r="K5135" s="1" t="n">
        <v>2240817</v>
      </c>
      <c r="L5135" s="1" t="s">
        <v>2286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5" t="n">
        <v>46225</v>
      </c>
      <c r="C5136" s="1" t="n">
        <v>6</v>
      </c>
      <c r="D5136" s="1" t="s">
        <v>2289</v>
      </c>
      <c r="E5136" s="1" t="n">
        <v>42</v>
      </c>
      <c r="F5136" s="1" t="s">
        <v>80</v>
      </c>
      <c r="I5136" s="1" t="n">
        <v>4409</v>
      </c>
      <c r="J5136" s="1" t="n">
        <v>74674</v>
      </c>
      <c r="K5136" s="1" t="n">
        <v>741</v>
      </c>
      <c r="L5136" s="1" t="s">
        <v>2919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5" t="n">
        <v>46225</v>
      </c>
      <c r="C5137" s="1" t="n">
        <v>6</v>
      </c>
      <c r="D5137" s="1" t="s">
        <v>2289</v>
      </c>
      <c r="E5137" s="1" t="n">
        <v>42</v>
      </c>
      <c r="F5137" s="1" t="s">
        <v>80</v>
      </c>
      <c r="I5137" s="1" t="n">
        <v>4410</v>
      </c>
      <c r="J5137" s="1" t="n">
        <v>100103</v>
      </c>
      <c r="K5137" s="1" t="n">
        <v>104</v>
      </c>
      <c r="L5137" s="1" t="s">
        <v>2287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5" t="n">
        <v>46225</v>
      </c>
      <c r="C5138" s="1" t="n">
        <v>11</v>
      </c>
      <c r="D5138" s="1" t="s">
        <v>2290</v>
      </c>
      <c r="E5138" s="1" t="n">
        <v>1609</v>
      </c>
      <c r="F5138" s="1" t="s">
        <v>410</v>
      </c>
      <c r="I5138" s="1" t="n">
        <v>5838</v>
      </c>
      <c r="J5138" s="1" t="n">
        <v>102382</v>
      </c>
      <c r="K5138" s="1" t="n">
        <v>7896981600673</v>
      </c>
      <c r="L5138" s="1" t="s">
        <v>2521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5" t="n">
        <v>46225</v>
      </c>
      <c r="C5139" s="1" t="n">
        <v>11</v>
      </c>
      <c r="D5139" s="1" t="s">
        <v>2290</v>
      </c>
      <c r="E5139" s="1" t="n">
        <v>1609</v>
      </c>
      <c r="F5139" s="1" t="s">
        <v>410</v>
      </c>
      <c r="I5139" s="1" t="n">
        <v>5838</v>
      </c>
      <c r="J5139" s="1" t="n">
        <v>13225</v>
      </c>
      <c r="K5139" s="1" t="n">
        <v>7896981601151</v>
      </c>
      <c r="L5139" s="1" t="s">
        <v>2522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5" t="n">
        <v>46225</v>
      </c>
      <c r="C5140" s="1" t="n">
        <v>11</v>
      </c>
      <c r="D5140" s="1" t="s">
        <v>2290</v>
      </c>
      <c r="E5140" s="1" t="n">
        <v>1609</v>
      </c>
      <c r="F5140" s="1" t="s">
        <v>410</v>
      </c>
      <c r="I5140" s="1" t="n">
        <v>5838</v>
      </c>
      <c r="J5140" s="1" t="n">
        <v>17163</v>
      </c>
      <c r="K5140" s="1" t="n">
        <v>7896981600567</v>
      </c>
      <c r="L5140" s="1" t="s">
        <v>2524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5" t="n">
        <v>46225</v>
      </c>
      <c r="C5141" s="1" t="n">
        <v>11</v>
      </c>
      <c r="D5141" s="1" t="s">
        <v>2290</v>
      </c>
      <c r="E5141" s="1" t="n">
        <v>1609</v>
      </c>
      <c r="F5141" s="1" t="s">
        <v>410</v>
      </c>
      <c r="I5141" s="1" t="n">
        <v>5838</v>
      </c>
      <c r="J5141" s="1" t="n">
        <v>18383</v>
      </c>
      <c r="K5141" s="1" t="n">
        <v>7896878801138</v>
      </c>
      <c r="L5141" s="1" t="s">
        <v>4201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5" t="n">
        <v>46225</v>
      </c>
      <c r="C5142" s="1" t="n">
        <v>11</v>
      </c>
      <c r="D5142" s="1" t="s">
        <v>2290</v>
      </c>
      <c r="E5142" s="1" t="n">
        <v>1609</v>
      </c>
      <c r="F5142" s="1" t="s">
        <v>410</v>
      </c>
      <c r="I5142" s="1" t="n">
        <v>5838</v>
      </c>
      <c r="J5142" s="1" t="n">
        <v>18384</v>
      </c>
      <c r="K5142" s="1" t="n">
        <v>7896878801206</v>
      </c>
      <c r="L5142" s="1" t="s">
        <v>2526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5" t="n">
        <v>46225</v>
      </c>
      <c r="C5143" s="1" t="n">
        <v>11</v>
      </c>
      <c r="D5143" s="1" t="s">
        <v>2290</v>
      </c>
      <c r="E5143" s="1" t="n">
        <v>1609</v>
      </c>
      <c r="F5143" s="1" t="s">
        <v>410</v>
      </c>
      <c r="I5143" s="1" t="n">
        <v>5838</v>
      </c>
      <c r="J5143" s="1" t="n">
        <v>18385</v>
      </c>
      <c r="K5143" s="1" t="n">
        <v>7896878801220</v>
      </c>
      <c r="L5143" s="1" t="s">
        <v>2527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5" t="n">
        <v>46225</v>
      </c>
      <c r="C5144" s="1" t="n">
        <v>11</v>
      </c>
      <c r="D5144" s="1" t="s">
        <v>2290</v>
      </c>
      <c r="E5144" s="1" t="n">
        <v>1609</v>
      </c>
      <c r="F5144" s="1" t="s">
        <v>410</v>
      </c>
      <c r="I5144" s="1" t="n">
        <v>5838</v>
      </c>
      <c r="J5144" s="1" t="n">
        <v>18775</v>
      </c>
      <c r="K5144" s="1" t="n">
        <v>7896878801237</v>
      </c>
      <c r="L5144" s="1" t="s">
        <v>2528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5" t="n">
        <v>46225</v>
      </c>
      <c r="C5145" s="1" t="n">
        <v>11</v>
      </c>
      <c r="D5145" s="1" t="s">
        <v>2290</v>
      </c>
      <c r="E5145" s="1" t="n">
        <v>1609</v>
      </c>
      <c r="F5145" s="1" t="s">
        <v>410</v>
      </c>
      <c r="I5145" s="1" t="n">
        <v>5838</v>
      </c>
      <c r="J5145" s="1" t="n">
        <v>18910</v>
      </c>
      <c r="K5145" s="1" t="n">
        <v>7896878801176</v>
      </c>
      <c r="L5145" s="1" t="s">
        <v>4202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5" t="n">
        <v>46225</v>
      </c>
      <c r="C5146" s="1" t="n">
        <v>11</v>
      </c>
      <c r="D5146" s="1" t="s">
        <v>2290</v>
      </c>
      <c r="E5146" s="1" t="n">
        <v>1609</v>
      </c>
      <c r="F5146" s="1" t="s">
        <v>410</v>
      </c>
      <c r="I5146" s="1" t="n">
        <v>5838</v>
      </c>
      <c r="J5146" s="1" t="n">
        <v>18968</v>
      </c>
      <c r="K5146" s="1" t="n">
        <v>7896878801244</v>
      </c>
      <c r="L5146" s="1" t="s">
        <v>2529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5" t="n">
        <v>46225</v>
      </c>
      <c r="C5147" s="1" t="n">
        <v>11</v>
      </c>
      <c r="D5147" s="1" t="s">
        <v>2290</v>
      </c>
      <c r="E5147" s="1" t="n">
        <v>1609</v>
      </c>
      <c r="F5147" s="1" t="s">
        <v>410</v>
      </c>
      <c r="I5147" s="1" t="n">
        <v>5838</v>
      </c>
      <c r="J5147" s="1" t="n">
        <v>20027</v>
      </c>
      <c r="K5147" s="1" t="n">
        <v>7896878801053</v>
      </c>
      <c r="L5147" s="1" t="s">
        <v>4203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5" t="n">
        <v>46225</v>
      </c>
      <c r="C5148" s="1" t="n">
        <v>11</v>
      </c>
      <c r="D5148" s="1" t="s">
        <v>2290</v>
      </c>
      <c r="E5148" s="1" t="n">
        <v>1609</v>
      </c>
      <c r="F5148" s="1" t="s">
        <v>410</v>
      </c>
      <c r="I5148" s="1" t="n">
        <v>5838</v>
      </c>
      <c r="J5148" s="1" t="n">
        <v>24963</v>
      </c>
      <c r="K5148" s="1" t="n">
        <v>7896878801060</v>
      </c>
      <c r="L5148" s="1" t="s">
        <v>4204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5" t="n">
        <v>46225</v>
      </c>
      <c r="C5149" s="1" t="n">
        <v>11</v>
      </c>
      <c r="D5149" s="1" t="s">
        <v>2290</v>
      </c>
      <c r="E5149" s="1" t="n">
        <v>1609</v>
      </c>
      <c r="F5149" s="1" t="s">
        <v>410</v>
      </c>
      <c r="I5149" s="1" t="n">
        <v>5838</v>
      </c>
      <c r="J5149" s="1" t="n">
        <v>24964</v>
      </c>
      <c r="K5149" s="1" t="n">
        <v>7896878801183</v>
      </c>
      <c r="L5149" s="1" t="s">
        <v>4205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5" t="n">
        <v>46225</v>
      </c>
      <c r="C5150" s="1" t="n">
        <v>11</v>
      </c>
      <c r="D5150" s="1" t="s">
        <v>2290</v>
      </c>
      <c r="E5150" s="1" t="n">
        <v>1609</v>
      </c>
      <c r="F5150" s="1" t="s">
        <v>410</v>
      </c>
      <c r="I5150" s="1" t="n">
        <v>5838</v>
      </c>
      <c r="J5150" s="1" t="n">
        <v>24965</v>
      </c>
      <c r="K5150" s="1" t="n">
        <v>7896878801107</v>
      </c>
      <c r="L5150" s="1" t="s">
        <v>4206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5" t="n">
        <v>46225</v>
      </c>
      <c r="C5151" s="1" t="n">
        <v>11</v>
      </c>
      <c r="D5151" s="1" t="s">
        <v>2290</v>
      </c>
      <c r="E5151" s="1" t="n">
        <v>1609</v>
      </c>
      <c r="F5151" s="1" t="s">
        <v>410</v>
      </c>
      <c r="I5151" s="1" t="n">
        <v>5838</v>
      </c>
      <c r="J5151" s="1" t="n">
        <v>32861</v>
      </c>
      <c r="K5151" s="1" t="n">
        <v>7896878801145</v>
      </c>
      <c r="L5151" s="1" t="s">
        <v>4207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15" t="n">
        <v>46225</v>
      </c>
      <c r="C5152" s="1" t="n">
        <v>11</v>
      </c>
      <c r="D5152" s="1" t="s">
        <v>2290</v>
      </c>
      <c r="E5152" s="1" t="n">
        <v>1609</v>
      </c>
      <c r="F5152" s="1" t="s">
        <v>410</v>
      </c>
      <c r="I5152" s="1" t="n">
        <v>5838</v>
      </c>
      <c r="J5152" s="1" t="n">
        <v>41614</v>
      </c>
      <c r="K5152" s="1" t="n">
        <v>7896878801213</v>
      </c>
      <c r="L5152" s="1" t="s">
        <v>2530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15" t="n">
        <v>46225</v>
      </c>
      <c r="C5153" s="1" t="n">
        <v>11</v>
      </c>
      <c r="D5153" s="1" t="s">
        <v>2290</v>
      </c>
      <c r="E5153" s="1" t="n">
        <v>1609</v>
      </c>
      <c r="F5153" s="1" t="s">
        <v>410</v>
      </c>
      <c r="I5153" s="1" t="n">
        <v>5838</v>
      </c>
      <c r="J5153" s="1" t="n">
        <v>44019</v>
      </c>
      <c r="K5153" s="1" t="n">
        <v>7896981600703</v>
      </c>
      <c r="L5153" s="1" t="s">
        <v>4208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5" t="n">
        <v>46225</v>
      </c>
      <c r="C5154" s="1" t="n">
        <v>11</v>
      </c>
      <c r="D5154" s="1" t="s">
        <v>2290</v>
      </c>
      <c r="E5154" s="1" t="n">
        <v>1609</v>
      </c>
      <c r="F5154" s="1" t="s">
        <v>410</v>
      </c>
      <c r="I5154" s="1" t="n">
        <v>5838</v>
      </c>
      <c r="J5154" s="1" t="n">
        <v>80962</v>
      </c>
      <c r="K5154" s="1" t="n">
        <v>7890678801091</v>
      </c>
      <c r="L5154" s="1" t="s">
        <v>4209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5" t="n">
        <v>46225</v>
      </c>
      <c r="C5155" s="1" t="n">
        <v>11</v>
      </c>
      <c r="D5155" s="1" t="s">
        <v>2290</v>
      </c>
      <c r="E5155" s="1" t="n">
        <v>1722</v>
      </c>
      <c r="F5155" s="1" t="s">
        <v>417</v>
      </c>
      <c r="I5155" s="1" t="n">
        <v>6860</v>
      </c>
      <c r="J5155" s="1" t="n">
        <v>40370</v>
      </c>
      <c r="K5155" s="1" t="n">
        <v>40141707130</v>
      </c>
      <c r="L5155" s="1" t="s">
        <v>3791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5" t="n">
        <v>46225</v>
      </c>
      <c r="C5156" s="1" t="n">
        <v>11</v>
      </c>
      <c r="D5156" s="1" t="s">
        <v>2290</v>
      </c>
      <c r="E5156" s="1" t="n">
        <v>1722</v>
      </c>
      <c r="F5156" s="1" t="s">
        <v>417</v>
      </c>
      <c r="I5156" s="1" t="n">
        <v>6860</v>
      </c>
      <c r="J5156" s="1" t="n">
        <v>40803</v>
      </c>
      <c r="K5156" s="1" t="n">
        <v>40141707123</v>
      </c>
      <c r="L5156" s="1" t="s">
        <v>3792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5" t="n">
        <v>46225</v>
      </c>
      <c r="C5157" s="1" t="n">
        <v>11</v>
      </c>
      <c r="D5157" s="1" t="s">
        <v>2290</v>
      </c>
      <c r="E5157" s="1" t="n">
        <v>1722</v>
      </c>
      <c r="F5157" s="1" t="s">
        <v>417</v>
      </c>
      <c r="I5157" s="1" t="n">
        <v>6860</v>
      </c>
      <c r="J5157" s="1" t="n">
        <v>66756</v>
      </c>
      <c r="K5157" s="1" t="n">
        <v>40141707161</v>
      </c>
      <c r="L5157" s="1" t="s">
        <v>3793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15" t="n">
        <v>46225</v>
      </c>
      <c r="C5158" s="1" t="n">
        <v>11</v>
      </c>
      <c r="D5158" s="1" t="s">
        <v>2290</v>
      </c>
      <c r="E5158" s="1" t="n">
        <v>1722</v>
      </c>
      <c r="F5158" s="1" t="s">
        <v>417</v>
      </c>
      <c r="I5158" s="1" t="n">
        <v>6860</v>
      </c>
      <c r="J5158" s="1" t="n">
        <v>66984</v>
      </c>
      <c r="K5158" s="1" t="n">
        <v>40141707147</v>
      </c>
      <c r="L5158" s="1" t="s">
        <v>3794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15" t="n">
        <v>46225</v>
      </c>
      <c r="C5159" s="1" t="n">
        <v>11</v>
      </c>
      <c r="D5159" s="1" t="s">
        <v>2290</v>
      </c>
      <c r="E5159" s="1" t="n">
        <v>1722</v>
      </c>
      <c r="F5159" s="1" t="s">
        <v>417</v>
      </c>
      <c r="I5159" s="1" t="n">
        <v>6860</v>
      </c>
      <c r="J5159" s="1" t="n">
        <v>66985</v>
      </c>
      <c r="K5159" s="1" t="n">
        <v>40141707154</v>
      </c>
      <c r="L5159" s="1" t="s">
        <v>3795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5" t="n">
        <v>46225</v>
      </c>
      <c r="C5160" s="1" t="n">
        <v>11</v>
      </c>
      <c r="D5160" s="1" t="s">
        <v>2290</v>
      </c>
      <c r="E5160" s="1" t="n">
        <v>1722</v>
      </c>
      <c r="F5160" s="1" t="s">
        <v>417</v>
      </c>
      <c r="I5160" s="1" t="n">
        <v>6860</v>
      </c>
      <c r="J5160" s="1" t="n">
        <v>67102</v>
      </c>
      <c r="K5160" s="1" t="n">
        <v>40141707178</v>
      </c>
      <c r="L5160" s="1" t="s">
        <v>2567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5" t="n">
        <v>46225</v>
      </c>
      <c r="C5161" s="1" t="n">
        <v>11</v>
      </c>
      <c r="D5161" s="1" t="s">
        <v>2290</v>
      </c>
      <c r="E5161" s="1" t="n">
        <v>1643</v>
      </c>
      <c r="F5161" s="1" t="s">
        <v>198</v>
      </c>
      <c r="I5161" s="1" t="n">
        <v>10747</v>
      </c>
      <c r="J5161" s="1" t="n">
        <v>63172</v>
      </c>
      <c r="K5161" s="1" t="n">
        <v>7898928536526</v>
      </c>
      <c r="L5161" s="1" t="s">
        <v>2464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5" t="n">
        <v>46225</v>
      </c>
      <c r="C5162" s="1" t="n">
        <v>11</v>
      </c>
      <c r="D5162" s="1" t="s">
        <v>2290</v>
      </c>
      <c r="E5162" s="1" t="n">
        <v>1643</v>
      </c>
      <c r="F5162" s="1" t="s">
        <v>198</v>
      </c>
      <c r="I5162" s="1" t="n">
        <v>10747</v>
      </c>
      <c r="J5162" s="1" t="n">
        <v>63904</v>
      </c>
      <c r="K5162" s="1" t="n">
        <v>7898928536595</v>
      </c>
      <c r="L5162" s="1" t="s">
        <v>2465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5" t="n">
        <v>46225</v>
      </c>
      <c r="C5163" s="1" t="n">
        <v>11</v>
      </c>
      <c r="D5163" s="1" t="s">
        <v>2290</v>
      </c>
      <c r="E5163" s="1" t="n">
        <v>1643</v>
      </c>
      <c r="F5163" s="1" t="s">
        <v>198</v>
      </c>
      <c r="I5163" s="1" t="n">
        <v>10747</v>
      </c>
      <c r="J5163" s="1" t="n">
        <v>64175</v>
      </c>
      <c r="K5163" s="1" t="n">
        <v>7898928536533</v>
      </c>
      <c r="L5163" s="1" t="s">
        <v>2465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5" t="n">
        <v>46225</v>
      </c>
      <c r="C5164" s="1" t="n">
        <v>11</v>
      </c>
      <c r="D5164" s="1" t="s">
        <v>2290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2739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5" t="n">
        <v>46225</v>
      </c>
      <c r="C5165" s="1" t="n">
        <v>11</v>
      </c>
      <c r="D5165" s="1" t="s">
        <v>2290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2742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5" t="n">
        <v>46225</v>
      </c>
      <c r="C5166" s="1" t="n">
        <v>11</v>
      </c>
      <c r="D5166" s="1" t="s">
        <v>2290</v>
      </c>
      <c r="E5166" s="1" t="n">
        <v>1625</v>
      </c>
      <c r="F5166" s="1" t="s">
        <v>320</v>
      </c>
      <c r="I5166" s="1" t="n">
        <v>14783</v>
      </c>
      <c r="J5166" s="1" t="n">
        <v>29079</v>
      </c>
      <c r="K5166" s="1" t="n">
        <v>55515</v>
      </c>
      <c r="L5166" s="1" t="s">
        <v>2360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5" t="n">
        <v>46225</v>
      </c>
      <c r="C5167" s="1" t="n">
        <v>11</v>
      </c>
      <c r="D5167" s="1" t="s">
        <v>2290</v>
      </c>
      <c r="E5167" s="1" t="n">
        <v>1615</v>
      </c>
      <c r="F5167" s="1" t="s">
        <v>130</v>
      </c>
      <c r="I5167" s="1" t="n">
        <v>14912</v>
      </c>
      <c r="J5167" s="1" t="n">
        <v>100114</v>
      </c>
      <c r="K5167" s="1" t="n">
        <v>115</v>
      </c>
      <c r="L5167" s="1" t="s">
        <v>2568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5" t="n">
        <v>46225</v>
      </c>
      <c r="C5168" s="1" t="n">
        <v>11</v>
      </c>
      <c r="D5168" s="1" t="s">
        <v>2290</v>
      </c>
      <c r="E5168" s="1" t="n">
        <v>1615</v>
      </c>
      <c r="F5168" s="1" t="s">
        <v>130</v>
      </c>
      <c r="I5168" s="1" t="n">
        <v>14912</v>
      </c>
      <c r="J5168" s="1" t="n">
        <v>55350</v>
      </c>
      <c r="K5168" s="1" t="n">
        <v>609963080076</v>
      </c>
      <c r="L5168" s="1" t="s">
        <v>2319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5" t="n">
        <v>46225</v>
      </c>
      <c r="C5169" s="1" t="n">
        <v>11</v>
      </c>
      <c r="D5169" s="1" t="s">
        <v>2290</v>
      </c>
      <c r="E5169" s="1" t="n">
        <v>1378</v>
      </c>
      <c r="F5169" s="1" t="s">
        <v>120</v>
      </c>
      <c r="I5169" s="1" t="n">
        <v>18314</v>
      </c>
      <c r="J5169" s="1" t="n">
        <v>74064</v>
      </c>
      <c r="K5169" s="1" t="n">
        <v>42882264279</v>
      </c>
      <c r="L5169" s="1" t="s">
        <v>2342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5" t="n">
        <v>46225</v>
      </c>
      <c r="C5170" s="1" t="n">
        <v>11</v>
      </c>
      <c r="D5170" s="1" t="s">
        <v>2290</v>
      </c>
      <c r="E5170" s="1" t="n">
        <v>1378</v>
      </c>
      <c r="F5170" s="1" t="s">
        <v>120</v>
      </c>
      <c r="I5170" s="1" t="n">
        <v>18314</v>
      </c>
      <c r="J5170" s="1" t="n">
        <v>77994</v>
      </c>
      <c r="K5170" s="1" t="n">
        <v>780117</v>
      </c>
      <c r="L5170" s="1" t="s">
        <v>2344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5" t="n">
        <v>46225</v>
      </c>
      <c r="C5171" s="1" t="n">
        <v>11</v>
      </c>
      <c r="D5171" s="1" t="s">
        <v>2290</v>
      </c>
      <c r="E5171" s="1" t="n">
        <v>1921</v>
      </c>
      <c r="F5171" s="1" t="s">
        <v>247</v>
      </c>
      <c r="I5171" s="1" t="n">
        <v>21113</v>
      </c>
      <c r="J5171" s="1" t="n">
        <v>44581</v>
      </c>
      <c r="K5171" s="1" t="n">
        <v>144827</v>
      </c>
      <c r="L5171" s="1" t="s">
        <v>3204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5" t="n">
        <v>46225</v>
      </c>
      <c r="C5172" s="1" t="n">
        <v>11</v>
      </c>
      <c r="D5172" s="1" t="s">
        <v>2290</v>
      </c>
      <c r="E5172" s="1" t="n">
        <v>1921</v>
      </c>
      <c r="F5172" s="1" t="s">
        <v>247</v>
      </c>
      <c r="I5172" s="1" t="n">
        <v>21113</v>
      </c>
      <c r="J5172" s="1" t="n">
        <v>45435</v>
      </c>
      <c r="K5172" s="1" t="n">
        <v>7908031500694</v>
      </c>
      <c r="L5172" s="1" t="s">
        <v>4210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5" t="n">
        <v>46225</v>
      </c>
      <c r="C5173" s="1" t="n">
        <v>11</v>
      </c>
      <c r="D5173" s="1" t="s">
        <v>2290</v>
      </c>
      <c r="E5173" s="1" t="n">
        <v>1921</v>
      </c>
      <c r="F5173" s="1" t="s">
        <v>247</v>
      </c>
      <c r="I5173" s="1" t="n">
        <v>21113</v>
      </c>
      <c r="J5173" s="1" t="n">
        <v>45512</v>
      </c>
      <c r="K5173" s="1" t="n">
        <v>7899085120023</v>
      </c>
      <c r="L5173" s="1" t="s">
        <v>3205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5" t="n">
        <v>46225</v>
      </c>
      <c r="C5174" s="1" t="n">
        <v>11</v>
      </c>
      <c r="D5174" s="1" t="s">
        <v>2290</v>
      </c>
      <c r="E5174" s="1" t="n">
        <v>1921</v>
      </c>
      <c r="F5174" s="1" t="s">
        <v>247</v>
      </c>
      <c r="I5174" s="1" t="n">
        <v>21113</v>
      </c>
      <c r="J5174" s="1" t="n">
        <v>45677</v>
      </c>
      <c r="K5174" s="1" t="n">
        <v>7899085120627</v>
      </c>
      <c r="L5174" s="1" t="s">
        <v>3206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5" t="n">
        <v>46225</v>
      </c>
      <c r="C5175" s="1" t="n">
        <v>11</v>
      </c>
      <c r="D5175" s="1" t="s">
        <v>2290</v>
      </c>
      <c r="E5175" s="1" t="n">
        <v>1921</v>
      </c>
      <c r="F5175" s="1" t="s">
        <v>247</v>
      </c>
      <c r="I5175" s="1" t="n">
        <v>21113</v>
      </c>
      <c r="J5175" s="1" t="n">
        <v>45856</v>
      </c>
      <c r="K5175" s="1" t="n">
        <v>7899085120443</v>
      </c>
      <c r="L5175" s="1" t="s">
        <v>3207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5" t="n">
        <v>46225</v>
      </c>
      <c r="C5176" s="1" t="n">
        <v>11</v>
      </c>
      <c r="D5176" s="1" t="s">
        <v>2290</v>
      </c>
      <c r="E5176" s="1" t="n">
        <v>1921</v>
      </c>
      <c r="F5176" s="1" t="s">
        <v>247</v>
      </c>
      <c r="I5176" s="1" t="n">
        <v>21113</v>
      </c>
      <c r="J5176" s="1" t="n">
        <v>46077</v>
      </c>
      <c r="K5176" s="1" t="n">
        <v>7899085120221</v>
      </c>
      <c r="L5176" s="1" t="s">
        <v>3208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5" t="n">
        <v>46225</v>
      </c>
      <c r="C5177" s="1" t="n">
        <v>11</v>
      </c>
      <c r="D5177" s="1" t="s">
        <v>2290</v>
      </c>
      <c r="E5177" s="1" t="n">
        <v>1921</v>
      </c>
      <c r="F5177" s="1" t="s">
        <v>247</v>
      </c>
      <c r="I5177" s="1" t="n">
        <v>21113</v>
      </c>
      <c r="J5177" s="1" t="n">
        <v>46078</v>
      </c>
      <c r="K5177" s="1" t="n">
        <v>7899085120016</v>
      </c>
      <c r="L5177" s="1" t="s">
        <v>3209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5" t="n">
        <v>46225</v>
      </c>
      <c r="C5178" s="1" t="n">
        <v>11</v>
      </c>
      <c r="D5178" s="1" t="s">
        <v>2290</v>
      </c>
      <c r="E5178" s="1" t="n">
        <v>1921</v>
      </c>
      <c r="F5178" s="1" t="s">
        <v>247</v>
      </c>
      <c r="I5178" s="1" t="n">
        <v>21113</v>
      </c>
      <c r="J5178" s="1" t="n">
        <v>46080</v>
      </c>
      <c r="K5178" s="1" t="n">
        <v>7899085120603</v>
      </c>
      <c r="L5178" s="1" t="s">
        <v>4211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5" t="n">
        <v>46225</v>
      </c>
      <c r="C5179" s="1" t="n">
        <v>11</v>
      </c>
      <c r="D5179" s="1" t="s">
        <v>2290</v>
      </c>
      <c r="E5179" s="1" t="n">
        <v>1921</v>
      </c>
      <c r="F5179" s="1" t="s">
        <v>247</v>
      </c>
      <c r="I5179" s="1" t="n">
        <v>21113</v>
      </c>
      <c r="J5179" s="1" t="n">
        <v>46088</v>
      </c>
      <c r="K5179" s="1" t="n">
        <v>7899085120269</v>
      </c>
      <c r="L5179" s="1" t="s">
        <v>3211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5" t="n">
        <v>46225</v>
      </c>
      <c r="C5180" s="1" t="n">
        <v>11</v>
      </c>
      <c r="D5180" s="1" t="s">
        <v>2290</v>
      </c>
      <c r="E5180" s="1" t="n">
        <v>1921</v>
      </c>
      <c r="F5180" s="1" t="s">
        <v>247</v>
      </c>
      <c r="I5180" s="1" t="n">
        <v>21113</v>
      </c>
      <c r="J5180" s="1" t="n">
        <v>46089</v>
      </c>
      <c r="K5180" s="1" t="n">
        <v>7899085120542</v>
      </c>
      <c r="L5180" s="1" t="s">
        <v>3212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5" t="n">
        <v>46225</v>
      </c>
      <c r="C5181" s="1" t="n">
        <v>11</v>
      </c>
      <c r="D5181" s="1" t="s">
        <v>2290</v>
      </c>
      <c r="E5181" s="1" t="n">
        <v>1921</v>
      </c>
      <c r="F5181" s="1" t="s">
        <v>247</v>
      </c>
      <c r="I5181" s="1" t="n">
        <v>21113</v>
      </c>
      <c r="J5181" s="1" t="n">
        <v>46093</v>
      </c>
      <c r="K5181" s="1" t="n">
        <v>7899085120597</v>
      </c>
      <c r="L5181" s="1" t="s">
        <v>4212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5" t="n">
        <v>46225</v>
      </c>
      <c r="C5182" s="1" t="n">
        <v>11</v>
      </c>
      <c r="D5182" s="1" t="s">
        <v>2290</v>
      </c>
      <c r="E5182" s="1" t="n">
        <v>1921</v>
      </c>
      <c r="F5182" s="1" t="s">
        <v>247</v>
      </c>
      <c r="I5182" s="1" t="n">
        <v>21113</v>
      </c>
      <c r="J5182" s="1" t="n">
        <v>46094</v>
      </c>
      <c r="K5182" s="1" t="n">
        <v>7899085120580</v>
      </c>
      <c r="L5182" s="1" t="s">
        <v>3213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5" t="n">
        <v>46225</v>
      </c>
      <c r="C5183" s="1" t="n">
        <v>11</v>
      </c>
      <c r="D5183" s="1" t="s">
        <v>2290</v>
      </c>
      <c r="E5183" s="1" t="n">
        <v>1921</v>
      </c>
      <c r="F5183" s="1" t="s">
        <v>247</v>
      </c>
      <c r="I5183" s="1" t="n">
        <v>21113</v>
      </c>
      <c r="J5183" s="1" t="n">
        <v>46588</v>
      </c>
      <c r="K5183" s="1" t="n">
        <v>7899085120924</v>
      </c>
      <c r="L5183" s="1" t="s">
        <v>3215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5" t="n">
        <v>46225</v>
      </c>
      <c r="C5184" s="1" t="n">
        <v>11</v>
      </c>
      <c r="D5184" s="1" t="s">
        <v>2290</v>
      </c>
      <c r="E5184" s="1" t="n">
        <v>1921</v>
      </c>
      <c r="F5184" s="1" t="s">
        <v>247</v>
      </c>
      <c r="I5184" s="1" t="n">
        <v>21113</v>
      </c>
      <c r="J5184" s="1" t="n">
        <v>47044</v>
      </c>
      <c r="K5184" s="1" t="n">
        <v>7899085120290</v>
      </c>
      <c r="L5184" s="1" t="s">
        <v>3218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5" t="n">
        <v>46225</v>
      </c>
      <c r="C5185" s="1" t="n">
        <v>11</v>
      </c>
      <c r="D5185" s="1" t="s">
        <v>2290</v>
      </c>
      <c r="E5185" s="1" t="n">
        <v>1921</v>
      </c>
      <c r="F5185" s="1" t="s">
        <v>247</v>
      </c>
      <c r="I5185" s="1" t="n">
        <v>21113</v>
      </c>
      <c r="J5185" s="1" t="n">
        <v>47046</v>
      </c>
      <c r="K5185" s="1" t="n">
        <v>7899085120436</v>
      </c>
      <c r="L5185" s="1" t="s">
        <v>4213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5" t="n">
        <v>46225</v>
      </c>
      <c r="C5186" s="1" t="n">
        <v>11</v>
      </c>
      <c r="D5186" s="1" t="s">
        <v>2290</v>
      </c>
      <c r="E5186" s="1" t="n">
        <v>1921</v>
      </c>
      <c r="F5186" s="1" t="s">
        <v>247</v>
      </c>
      <c r="I5186" s="1" t="n">
        <v>21113</v>
      </c>
      <c r="J5186" s="1" t="n">
        <v>47047</v>
      </c>
      <c r="K5186" s="1" t="n">
        <v>7899085120108</v>
      </c>
      <c r="L5186" s="1" t="s">
        <v>3219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5" t="n">
        <v>46225</v>
      </c>
      <c r="C5187" s="1" t="n">
        <v>11</v>
      </c>
      <c r="D5187" s="1" t="s">
        <v>2290</v>
      </c>
      <c r="E5187" s="1" t="n">
        <v>1921</v>
      </c>
      <c r="F5187" s="1" t="s">
        <v>247</v>
      </c>
      <c r="I5187" s="1" t="n">
        <v>21113</v>
      </c>
      <c r="J5187" s="1" t="n">
        <v>47048</v>
      </c>
      <c r="K5187" s="1" t="n">
        <v>7899085120498</v>
      </c>
      <c r="L5187" s="1" t="s">
        <v>3220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5" t="n">
        <v>46225</v>
      </c>
      <c r="C5188" s="1" t="n">
        <v>11</v>
      </c>
      <c r="D5188" s="1" t="s">
        <v>2290</v>
      </c>
      <c r="E5188" s="1" t="n">
        <v>1921</v>
      </c>
      <c r="F5188" s="1" t="s">
        <v>247</v>
      </c>
      <c r="I5188" s="1" t="n">
        <v>21113</v>
      </c>
      <c r="J5188" s="1" t="n">
        <v>47050</v>
      </c>
      <c r="K5188" s="1" t="n">
        <v>7899085120146</v>
      </c>
      <c r="L5188" s="1" t="s">
        <v>4214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5" t="n">
        <v>46225</v>
      </c>
      <c r="C5189" s="1" t="n">
        <v>11</v>
      </c>
      <c r="D5189" s="1" t="s">
        <v>2290</v>
      </c>
      <c r="E5189" s="1" t="n">
        <v>1921</v>
      </c>
      <c r="F5189" s="1" t="s">
        <v>247</v>
      </c>
      <c r="I5189" s="1" t="n">
        <v>21113</v>
      </c>
      <c r="J5189" s="1" t="n">
        <v>47064</v>
      </c>
      <c r="K5189" s="1" t="n">
        <v>7899085120122</v>
      </c>
      <c r="L5189" s="1" t="s">
        <v>3223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5" t="n">
        <v>46225</v>
      </c>
      <c r="C5190" s="1" t="n">
        <v>11</v>
      </c>
      <c r="D5190" s="1" t="s">
        <v>2290</v>
      </c>
      <c r="E5190" s="1" t="n">
        <v>1921</v>
      </c>
      <c r="F5190" s="1" t="s">
        <v>247</v>
      </c>
      <c r="I5190" s="1" t="n">
        <v>21113</v>
      </c>
      <c r="J5190" s="1" t="n">
        <v>47067</v>
      </c>
      <c r="K5190" s="1" t="n">
        <v>7899085120573</v>
      </c>
      <c r="L5190" s="1" t="s">
        <v>3224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5" t="n">
        <v>46225</v>
      </c>
      <c r="C5191" s="1" t="n">
        <v>11</v>
      </c>
      <c r="D5191" s="1" t="s">
        <v>2290</v>
      </c>
      <c r="E5191" s="1" t="n">
        <v>1921</v>
      </c>
      <c r="F5191" s="1" t="s">
        <v>247</v>
      </c>
      <c r="I5191" s="1" t="n">
        <v>21113</v>
      </c>
      <c r="J5191" s="1" t="n">
        <v>48073</v>
      </c>
      <c r="K5191" s="1" t="n">
        <v>7899085120634</v>
      </c>
      <c r="L5191" s="1" t="s">
        <v>4215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5" t="n">
        <v>46225</v>
      </c>
      <c r="C5192" s="1" t="n">
        <v>11</v>
      </c>
      <c r="D5192" s="1" t="s">
        <v>2290</v>
      </c>
      <c r="E5192" s="1" t="n">
        <v>1921</v>
      </c>
      <c r="F5192" s="1" t="s">
        <v>247</v>
      </c>
      <c r="I5192" s="1" t="n">
        <v>21113</v>
      </c>
      <c r="J5192" s="1" t="n">
        <v>49811</v>
      </c>
      <c r="K5192" s="1" t="n">
        <v>7899085120917</v>
      </c>
      <c r="L5192" s="1" t="s">
        <v>3225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5" t="n">
        <v>46225</v>
      </c>
      <c r="C5193" s="1" t="n">
        <v>11</v>
      </c>
      <c r="D5193" s="1" t="s">
        <v>2290</v>
      </c>
      <c r="E5193" s="1" t="n">
        <v>1921</v>
      </c>
      <c r="F5193" s="1" t="s">
        <v>247</v>
      </c>
      <c r="I5193" s="1" t="n">
        <v>21113</v>
      </c>
      <c r="J5193" s="1" t="n">
        <v>71717</v>
      </c>
      <c r="K5193" s="1" t="n">
        <v>7899085121952</v>
      </c>
      <c r="L5193" s="1" t="s">
        <v>4216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5" t="n">
        <v>46225</v>
      </c>
      <c r="C5194" s="1" t="n">
        <v>11</v>
      </c>
      <c r="D5194" s="1" t="s">
        <v>2290</v>
      </c>
      <c r="E5194" s="1" t="n">
        <v>1681</v>
      </c>
      <c r="F5194" s="1" t="s">
        <v>1345</v>
      </c>
      <c r="I5194" s="1" t="n">
        <v>39221</v>
      </c>
      <c r="J5194" s="1" t="n">
        <v>100058</v>
      </c>
      <c r="K5194" s="1" t="n">
        <v>59</v>
      </c>
      <c r="L5194" s="1" t="s">
        <v>4217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5" t="n">
        <v>46225</v>
      </c>
      <c r="C5195" s="1" t="n">
        <v>11</v>
      </c>
      <c r="D5195" s="1" t="s">
        <v>2290</v>
      </c>
      <c r="E5195" s="1" t="n">
        <v>1681</v>
      </c>
      <c r="F5195" s="1" t="s">
        <v>1345</v>
      </c>
      <c r="I5195" s="1" t="n">
        <v>39221</v>
      </c>
      <c r="J5195" s="1" t="n">
        <v>103851</v>
      </c>
      <c r="K5195" s="1" t="n">
        <v>7893000482401</v>
      </c>
      <c r="L5195" s="1" t="s">
        <v>2844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5" t="n">
        <v>46225</v>
      </c>
      <c r="C5196" s="1" t="n">
        <v>11</v>
      </c>
      <c r="D5196" s="1" t="s">
        <v>2290</v>
      </c>
      <c r="E5196" s="1" t="n">
        <v>1681</v>
      </c>
      <c r="F5196" s="1" t="s">
        <v>1345</v>
      </c>
      <c r="I5196" s="1" t="n">
        <v>39221</v>
      </c>
      <c r="J5196" s="1" t="n">
        <v>23197</v>
      </c>
      <c r="K5196" s="1" t="n">
        <v>7896116900029</v>
      </c>
      <c r="L5196" s="1" t="s">
        <v>3241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5" t="n">
        <v>46225</v>
      </c>
      <c r="C5197" s="1" t="n">
        <v>11</v>
      </c>
      <c r="D5197" s="1" t="s">
        <v>2290</v>
      </c>
      <c r="E5197" s="1" t="n">
        <v>1681</v>
      </c>
      <c r="F5197" s="1" t="s">
        <v>1345</v>
      </c>
      <c r="I5197" s="1" t="n">
        <v>39221</v>
      </c>
      <c r="J5197" s="1" t="n">
        <v>110184</v>
      </c>
      <c r="K5197" s="1" t="n">
        <v>37393</v>
      </c>
      <c r="L5197" s="1" t="s">
        <v>2584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5" t="n">
        <v>46225</v>
      </c>
      <c r="C5198" s="1" t="n">
        <v>11</v>
      </c>
      <c r="D5198" s="1" t="s">
        <v>2290</v>
      </c>
      <c r="E5198" s="1" t="n">
        <v>1681</v>
      </c>
      <c r="F5198" s="1" t="s">
        <v>1345</v>
      </c>
      <c r="I5198" s="1" t="n">
        <v>39221</v>
      </c>
      <c r="J5198" s="1" t="n">
        <v>31858</v>
      </c>
      <c r="K5198" s="1" t="n">
        <v>7898922012354</v>
      </c>
      <c r="L5198" s="1" t="s">
        <v>4218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5" t="n">
        <v>46225</v>
      </c>
      <c r="C5199" s="1" t="n">
        <v>11</v>
      </c>
      <c r="D5199" s="1" t="s">
        <v>2290</v>
      </c>
      <c r="E5199" s="1" t="n">
        <v>1681</v>
      </c>
      <c r="F5199" s="1" t="s">
        <v>1345</v>
      </c>
      <c r="I5199" s="1" t="n">
        <v>39221</v>
      </c>
      <c r="J5199" s="1" t="n">
        <v>33534</v>
      </c>
      <c r="K5199" s="1" t="n">
        <v>7898922012408</v>
      </c>
      <c r="L5199" s="1" t="s">
        <v>2395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5" t="n">
        <v>46225</v>
      </c>
      <c r="C5200" s="1" t="n">
        <v>11</v>
      </c>
      <c r="D5200" s="1" t="s">
        <v>2290</v>
      </c>
      <c r="E5200" s="1" t="n">
        <v>1681</v>
      </c>
      <c r="F5200" s="1" t="s">
        <v>1345</v>
      </c>
      <c r="I5200" s="1" t="n">
        <v>39221</v>
      </c>
      <c r="J5200" s="1" t="n">
        <v>70942</v>
      </c>
      <c r="K5200" s="1" t="n">
        <v>7891000412855</v>
      </c>
      <c r="L5200" s="1" t="s">
        <v>4219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5" t="n">
        <v>46225</v>
      </c>
      <c r="C5201" s="1" t="n">
        <v>11</v>
      </c>
      <c r="D5201" s="1" t="s">
        <v>2290</v>
      </c>
      <c r="E5201" s="1" t="n">
        <v>1916</v>
      </c>
      <c r="F5201" s="1" t="s">
        <v>351</v>
      </c>
      <c r="I5201" s="1" t="n">
        <v>39904</v>
      </c>
      <c r="J5201" s="1" t="n">
        <v>43963</v>
      </c>
      <c r="K5201" s="1" t="n">
        <v>7890000002844</v>
      </c>
      <c r="L5201" s="1" t="s">
        <v>3449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5" t="n">
        <v>46225</v>
      </c>
      <c r="C5202" s="1" t="n">
        <v>11</v>
      </c>
      <c r="D5202" s="1" t="s">
        <v>2290</v>
      </c>
      <c r="E5202" s="1" t="n">
        <v>1916</v>
      </c>
      <c r="F5202" s="1" t="s">
        <v>351</v>
      </c>
      <c r="I5202" s="1" t="n">
        <v>39904</v>
      </c>
      <c r="J5202" s="1" t="n">
        <v>43965</v>
      </c>
      <c r="K5202" s="1" t="n">
        <v>7898567710226</v>
      </c>
      <c r="L5202" s="1" t="s">
        <v>2571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5" t="n">
        <v>46225</v>
      </c>
      <c r="C5203" s="1" t="n">
        <v>11</v>
      </c>
      <c r="D5203" s="1" t="s">
        <v>2290</v>
      </c>
      <c r="E5203" s="1" t="n">
        <v>1024</v>
      </c>
      <c r="F5203" s="1" t="s">
        <v>161</v>
      </c>
      <c r="I5203" s="1" t="n">
        <v>607701</v>
      </c>
      <c r="J5203" s="1" t="n">
        <v>30387</v>
      </c>
      <c r="K5203" s="1" t="n">
        <v>7898654710092</v>
      </c>
      <c r="L5203" s="1" t="s">
        <v>3144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5" t="n">
        <v>46225</v>
      </c>
      <c r="C5204" s="1" t="n">
        <v>11</v>
      </c>
      <c r="D5204" s="1" t="s">
        <v>2290</v>
      </c>
      <c r="E5204" s="1" t="n">
        <v>1024</v>
      </c>
      <c r="F5204" s="1" t="s">
        <v>161</v>
      </c>
      <c r="I5204" s="1" t="n">
        <v>607701</v>
      </c>
      <c r="J5204" s="1" t="n">
        <v>103169</v>
      </c>
      <c r="K5204" s="1" t="n">
        <v>7898919635016</v>
      </c>
      <c r="L5204" s="1" t="s">
        <v>3145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5" t="n">
        <v>46225</v>
      </c>
      <c r="C5205" s="1" t="n">
        <v>11</v>
      </c>
      <c r="D5205" s="1" t="s">
        <v>2290</v>
      </c>
      <c r="E5205" s="1" t="n">
        <v>1024</v>
      </c>
      <c r="F5205" s="1" t="s">
        <v>161</v>
      </c>
      <c r="I5205" s="1" t="n">
        <v>607701</v>
      </c>
      <c r="J5205" s="1" t="n">
        <v>103170</v>
      </c>
      <c r="K5205" s="1" t="n">
        <v>7896792000020</v>
      </c>
      <c r="L5205" s="1" t="s">
        <v>3146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5" t="n">
        <v>46225</v>
      </c>
      <c r="C5206" s="1" t="n">
        <v>11</v>
      </c>
      <c r="D5206" s="1" t="s">
        <v>2290</v>
      </c>
      <c r="E5206" s="1" t="n">
        <v>1024</v>
      </c>
      <c r="F5206" s="1" t="s">
        <v>161</v>
      </c>
      <c r="I5206" s="1" t="n">
        <v>607701</v>
      </c>
      <c r="J5206" s="1" t="n">
        <v>10276</v>
      </c>
      <c r="K5206" s="1" t="n">
        <v>7898919635030</v>
      </c>
      <c r="L5206" s="1" t="s">
        <v>3149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5" t="n">
        <v>46225</v>
      </c>
      <c r="C5207" s="1" t="n">
        <v>11</v>
      </c>
      <c r="D5207" s="1" t="s">
        <v>2290</v>
      </c>
      <c r="E5207" s="1" t="n">
        <v>1024</v>
      </c>
      <c r="F5207" s="1" t="s">
        <v>161</v>
      </c>
      <c r="I5207" s="1" t="n">
        <v>607701</v>
      </c>
      <c r="J5207" s="1" t="n">
        <v>30090</v>
      </c>
      <c r="K5207" s="1" t="n">
        <v>7896792510017</v>
      </c>
      <c r="L5207" s="1" t="s">
        <v>4220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5" t="n">
        <v>46225</v>
      </c>
      <c r="C5208" s="1" t="n">
        <v>11</v>
      </c>
      <c r="D5208" s="1" t="s">
        <v>2290</v>
      </c>
      <c r="E5208" s="1" t="n">
        <v>1024</v>
      </c>
      <c r="F5208" s="1" t="s">
        <v>161</v>
      </c>
      <c r="I5208" s="1" t="n">
        <v>607701</v>
      </c>
      <c r="J5208" s="1" t="n">
        <v>36458</v>
      </c>
      <c r="K5208" s="1" t="n">
        <v>7898654710122</v>
      </c>
      <c r="L5208" s="1" t="s">
        <v>3154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5" t="n">
        <v>46225</v>
      </c>
      <c r="C5209" s="1" t="n">
        <v>11</v>
      </c>
      <c r="D5209" s="1" t="s">
        <v>2290</v>
      </c>
      <c r="E5209" s="1" t="n">
        <v>1024</v>
      </c>
      <c r="F5209" s="1" t="s">
        <v>161</v>
      </c>
      <c r="I5209" s="1" t="n">
        <v>607701</v>
      </c>
      <c r="J5209" s="1" t="n">
        <v>39214</v>
      </c>
      <c r="K5209" s="1" t="n">
        <v>7898654710306</v>
      </c>
      <c r="L5209" s="1" t="s">
        <v>3155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5" t="n">
        <v>46225</v>
      </c>
      <c r="C5210" s="1" t="n">
        <v>11</v>
      </c>
      <c r="D5210" s="1" t="s">
        <v>2290</v>
      </c>
      <c r="E5210" s="1" t="n">
        <v>1024</v>
      </c>
      <c r="F5210" s="1" t="s">
        <v>161</v>
      </c>
      <c r="I5210" s="1" t="n">
        <v>607701</v>
      </c>
      <c r="J5210" s="1" t="n">
        <v>46562</v>
      </c>
      <c r="K5210" s="1" t="n">
        <v>7898654710337</v>
      </c>
      <c r="L5210" s="1" t="s">
        <v>3158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5" t="n">
        <v>46225</v>
      </c>
      <c r="C5211" s="1" t="n">
        <v>11</v>
      </c>
      <c r="D5211" s="1" t="s">
        <v>2290</v>
      </c>
      <c r="E5211" s="1" t="n">
        <v>1024</v>
      </c>
      <c r="F5211" s="1" t="s">
        <v>161</v>
      </c>
      <c r="I5211" s="1" t="n">
        <v>607701</v>
      </c>
      <c r="J5211" s="1" t="n">
        <v>60866</v>
      </c>
      <c r="K5211" s="1" t="n">
        <v>7898654710474</v>
      </c>
      <c r="L5211" s="1" t="s">
        <v>3159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5" t="n">
        <v>46225</v>
      </c>
      <c r="C5212" s="1" t="n">
        <v>11</v>
      </c>
      <c r="D5212" s="1" t="s">
        <v>2290</v>
      </c>
      <c r="E5212" s="1" t="n">
        <v>1672</v>
      </c>
      <c r="F5212" s="1" t="s">
        <v>67</v>
      </c>
      <c r="I5212" s="1" t="n">
        <v>1400510</v>
      </c>
      <c r="J5212" s="1" t="n">
        <v>40017</v>
      </c>
      <c r="K5212" s="1" t="n">
        <v>7899465200802</v>
      </c>
      <c r="L5212" s="1" t="s">
        <v>4221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5" t="n">
        <v>46225</v>
      </c>
      <c r="C5213" s="1" t="n">
        <v>11</v>
      </c>
      <c r="D5213" s="1" t="s">
        <v>2290</v>
      </c>
      <c r="E5213" s="1" t="n">
        <v>1672</v>
      </c>
      <c r="F5213" s="1" t="s">
        <v>67</v>
      </c>
      <c r="I5213" s="1" t="n">
        <v>1400510</v>
      </c>
      <c r="J5213" s="1" t="n">
        <v>102357</v>
      </c>
      <c r="K5213" s="1" t="n">
        <v>7896004400358</v>
      </c>
      <c r="L5213" s="1" t="s">
        <v>4222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5" t="n">
        <v>46225</v>
      </c>
      <c r="C5214" s="1" t="n">
        <v>11</v>
      </c>
      <c r="D5214" s="1" t="s">
        <v>2290</v>
      </c>
      <c r="E5214" s="1" t="n">
        <v>1672</v>
      </c>
      <c r="F5214" s="1" t="s">
        <v>67</v>
      </c>
      <c r="I5214" s="1" t="n">
        <v>1400510</v>
      </c>
      <c r="J5214" s="1" t="n">
        <v>103165</v>
      </c>
      <c r="K5214" s="1" t="n">
        <v>7896579310106</v>
      </c>
      <c r="L5214" s="1" t="s">
        <v>2865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5" t="n">
        <v>46225</v>
      </c>
      <c r="C5215" s="1" t="n">
        <v>11</v>
      </c>
      <c r="D5215" s="1" t="s">
        <v>2290</v>
      </c>
      <c r="E5215" s="1" t="n">
        <v>1672</v>
      </c>
      <c r="F5215" s="1" t="s">
        <v>67</v>
      </c>
      <c r="I5215" s="1" t="n">
        <v>1400510</v>
      </c>
      <c r="J5215" s="1" t="n">
        <v>103940</v>
      </c>
      <c r="K5215" s="1" t="n">
        <v>7896579330081</v>
      </c>
      <c r="L5215" s="1" t="s">
        <v>3755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5" t="n">
        <v>46225</v>
      </c>
      <c r="C5216" s="1" t="n">
        <v>11</v>
      </c>
      <c r="D5216" s="1" t="s">
        <v>2290</v>
      </c>
      <c r="E5216" s="1" t="n">
        <v>1672</v>
      </c>
      <c r="F5216" s="1" t="s">
        <v>67</v>
      </c>
      <c r="I5216" s="1" t="n">
        <v>1400510</v>
      </c>
      <c r="J5216" s="1" t="n">
        <v>103941</v>
      </c>
      <c r="K5216" s="1" t="n">
        <v>7896579330036</v>
      </c>
      <c r="L5216" s="1" t="s">
        <v>3756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5" t="n">
        <v>46225</v>
      </c>
      <c r="C5217" s="1" t="n">
        <v>11</v>
      </c>
      <c r="D5217" s="1" t="s">
        <v>2290</v>
      </c>
      <c r="E5217" s="1" t="n">
        <v>1672</v>
      </c>
      <c r="F5217" s="1" t="s">
        <v>67</v>
      </c>
      <c r="I5217" s="1" t="n">
        <v>1400510</v>
      </c>
      <c r="J5217" s="1" t="n">
        <v>104355</v>
      </c>
      <c r="K5217" s="1" t="n">
        <v>7896579380116</v>
      </c>
      <c r="L5217" s="1" t="s">
        <v>2867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5" t="n">
        <v>46225</v>
      </c>
      <c r="C5218" s="1" t="n">
        <v>11</v>
      </c>
      <c r="D5218" s="1" t="s">
        <v>2290</v>
      </c>
      <c r="E5218" s="1" t="n">
        <v>1672</v>
      </c>
      <c r="F5218" s="1" t="s">
        <v>67</v>
      </c>
      <c r="I5218" s="1" t="n">
        <v>1400510</v>
      </c>
      <c r="J5218" s="1" t="n">
        <v>104360</v>
      </c>
      <c r="K5218" s="1" t="n">
        <v>7896579330074</v>
      </c>
      <c r="L5218" s="1" t="s">
        <v>4223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5" t="n">
        <v>46225</v>
      </c>
      <c r="C5219" s="1" t="n">
        <v>11</v>
      </c>
      <c r="D5219" s="1" t="s">
        <v>2290</v>
      </c>
      <c r="E5219" s="1" t="n">
        <v>1672</v>
      </c>
      <c r="F5219" s="1" t="s">
        <v>67</v>
      </c>
      <c r="I5219" s="1" t="n">
        <v>1400510</v>
      </c>
      <c r="J5219" s="1" t="n">
        <v>106239</v>
      </c>
      <c r="K5219" s="1" t="n">
        <v>7896579390016</v>
      </c>
      <c r="L5219" s="1" t="s">
        <v>3768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5" t="n">
        <v>46225</v>
      </c>
      <c r="C5220" s="1" t="n">
        <v>11</v>
      </c>
      <c r="D5220" s="1" t="s">
        <v>2290</v>
      </c>
      <c r="E5220" s="1" t="n">
        <v>1672</v>
      </c>
      <c r="F5220" s="1" t="s">
        <v>67</v>
      </c>
      <c r="I5220" s="1" t="n">
        <v>1400510</v>
      </c>
      <c r="J5220" s="1" t="n">
        <v>108508</v>
      </c>
      <c r="K5220" s="1" t="n">
        <v>7896004401409</v>
      </c>
      <c r="L5220" s="1" t="s">
        <v>4224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5" t="n">
        <v>46225</v>
      </c>
      <c r="C5221" s="1" t="n">
        <v>11</v>
      </c>
      <c r="D5221" s="1" t="s">
        <v>2290</v>
      </c>
      <c r="E5221" s="1" t="n">
        <v>1672</v>
      </c>
      <c r="F5221" s="1" t="s">
        <v>67</v>
      </c>
      <c r="I5221" s="1" t="n">
        <v>1400510</v>
      </c>
      <c r="J5221" s="1" t="n">
        <v>12755</v>
      </c>
      <c r="K5221" s="1" t="n">
        <v>7896520027190</v>
      </c>
      <c r="L5221" s="1" t="s">
        <v>4225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5" t="n">
        <v>46225</v>
      </c>
      <c r="C5222" s="1" t="n">
        <v>11</v>
      </c>
      <c r="D5222" s="1" t="s">
        <v>2290</v>
      </c>
      <c r="E5222" s="1" t="n">
        <v>1672</v>
      </c>
      <c r="F5222" s="1" t="s">
        <v>67</v>
      </c>
      <c r="I5222" s="1" t="n">
        <v>1400510</v>
      </c>
      <c r="J5222" s="1" t="n">
        <v>13184</v>
      </c>
      <c r="K5222" s="1" t="n">
        <v>7896579310113</v>
      </c>
      <c r="L5222" s="1" t="s">
        <v>3757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5" t="n">
        <v>46225</v>
      </c>
      <c r="C5223" s="1" t="n">
        <v>11</v>
      </c>
      <c r="D5223" s="1" t="s">
        <v>2290</v>
      </c>
      <c r="E5223" s="1" t="n">
        <v>1672</v>
      </c>
      <c r="F5223" s="1" t="s">
        <v>67</v>
      </c>
      <c r="I5223" s="1" t="n">
        <v>1400510</v>
      </c>
      <c r="J5223" s="1" t="n">
        <v>13228</v>
      </c>
      <c r="K5223" s="1" t="n">
        <v>7896520026261</v>
      </c>
      <c r="L5223" s="1" t="s">
        <v>3758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5" t="n">
        <v>46225</v>
      </c>
      <c r="C5224" s="1" t="n">
        <v>11</v>
      </c>
      <c r="D5224" s="1" t="s">
        <v>2290</v>
      </c>
      <c r="E5224" s="1" t="n">
        <v>1672</v>
      </c>
      <c r="F5224" s="1" t="s">
        <v>67</v>
      </c>
      <c r="I5224" s="1" t="n">
        <v>1400510</v>
      </c>
      <c r="J5224" s="1" t="n">
        <v>13798</v>
      </c>
      <c r="K5224" s="1" t="n">
        <v>7896520025974</v>
      </c>
      <c r="L5224" s="1" t="s">
        <v>4226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5" t="n">
        <v>46225</v>
      </c>
      <c r="C5225" s="1" t="n">
        <v>11</v>
      </c>
      <c r="D5225" s="1" t="s">
        <v>2290</v>
      </c>
      <c r="E5225" s="1" t="n">
        <v>1672</v>
      </c>
      <c r="F5225" s="1" t="s">
        <v>67</v>
      </c>
      <c r="I5225" s="1" t="n">
        <v>1400510</v>
      </c>
      <c r="J5225" s="1" t="n">
        <v>16569</v>
      </c>
      <c r="K5225" s="1" t="n">
        <v>7896004401744</v>
      </c>
      <c r="L5225" s="1" t="s">
        <v>4227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5" t="n">
        <v>46225</v>
      </c>
      <c r="C5226" s="1" t="n">
        <v>11</v>
      </c>
      <c r="D5226" s="1" t="s">
        <v>2290</v>
      </c>
      <c r="E5226" s="1" t="n">
        <v>1672</v>
      </c>
      <c r="F5226" s="1" t="s">
        <v>67</v>
      </c>
      <c r="I5226" s="1" t="n">
        <v>1400510</v>
      </c>
      <c r="J5226" s="1" t="n">
        <v>18293</v>
      </c>
      <c r="K5226" s="1" t="n">
        <v>7896520027206</v>
      </c>
      <c r="L5226" s="1" t="s">
        <v>4228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5" t="n">
        <v>46225</v>
      </c>
      <c r="C5227" s="1" t="n">
        <v>11</v>
      </c>
      <c r="D5227" s="1" t="s">
        <v>2290</v>
      </c>
      <c r="E5227" s="1" t="n">
        <v>1672</v>
      </c>
      <c r="F5227" s="1" t="s">
        <v>67</v>
      </c>
      <c r="I5227" s="1" t="n">
        <v>1400510</v>
      </c>
      <c r="J5227" s="1" t="n">
        <v>19371</v>
      </c>
      <c r="K5227" s="1" t="n">
        <v>7896520021334</v>
      </c>
      <c r="L5227" s="1" t="s">
        <v>3760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5" t="n">
        <v>46225</v>
      </c>
      <c r="C5228" s="1" t="n">
        <v>11</v>
      </c>
      <c r="D5228" s="1" t="s">
        <v>2290</v>
      </c>
      <c r="E5228" s="1" t="n">
        <v>1672</v>
      </c>
      <c r="F5228" s="1" t="s">
        <v>67</v>
      </c>
      <c r="I5228" s="1" t="n">
        <v>1400510</v>
      </c>
      <c r="J5228" s="1" t="n">
        <v>19373</v>
      </c>
      <c r="K5228" s="1" t="n">
        <v>7896520023017</v>
      </c>
      <c r="L5228" s="1" t="s">
        <v>4229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5" t="n">
        <v>46225</v>
      </c>
      <c r="C5229" s="1" t="n">
        <v>11</v>
      </c>
      <c r="D5229" s="1" t="s">
        <v>2290</v>
      </c>
      <c r="E5229" s="1" t="n">
        <v>1672</v>
      </c>
      <c r="F5229" s="1" t="s">
        <v>67</v>
      </c>
      <c r="I5229" s="1" t="n">
        <v>1400510</v>
      </c>
      <c r="J5229" s="1" t="n">
        <v>19375</v>
      </c>
      <c r="K5229" s="1" t="n">
        <v>7896520021327</v>
      </c>
      <c r="L5229" s="1" t="s">
        <v>4230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5" t="n">
        <v>46225</v>
      </c>
      <c r="C5230" s="1" t="n">
        <v>11</v>
      </c>
      <c r="D5230" s="1" t="s">
        <v>2290</v>
      </c>
      <c r="E5230" s="1" t="n">
        <v>1672</v>
      </c>
      <c r="F5230" s="1" t="s">
        <v>67</v>
      </c>
      <c r="I5230" s="1" t="n">
        <v>1400510</v>
      </c>
      <c r="J5230" s="1" t="n">
        <v>23258</v>
      </c>
      <c r="K5230" s="1" t="n">
        <v>7899465200505</v>
      </c>
      <c r="L5230" s="1" t="s">
        <v>4231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5" t="n">
        <v>46225</v>
      </c>
      <c r="C5231" s="1" t="n">
        <v>11</v>
      </c>
      <c r="D5231" s="1" t="s">
        <v>2290</v>
      </c>
      <c r="E5231" s="1" t="n">
        <v>1672</v>
      </c>
      <c r="F5231" s="1" t="s">
        <v>67</v>
      </c>
      <c r="I5231" s="1" t="n">
        <v>1400510</v>
      </c>
      <c r="J5231" s="1" t="n">
        <v>26411</v>
      </c>
      <c r="K5231" s="1" t="n">
        <v>7899465200819</v>
      </c>
      <c r="L5231" s="1" t="s">
        <v>4232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5" t="n">
        <v>46225</v>
      </c>
      <c r="C5232" s="1" t="n">
        <v>11</v>
      </c>
      <c r="D5232" s="1" t="s">
        <v>2290</v>
      </c>
      <c r="E5232" s="1" t="n">
        <v>1672</v>
      </c>
      <c r="F5232" s="1" t="s">
        <v>67</v>
      </c>
      <c r="I5232" s="1" t="n">
        <v>1400510</v>
      </c>
      <c r="J5232" s="1" t="n">
        <v>27109</v>
      </c>
      <c r="K5232" s="1" t="n">
        <v>7896520028623</v>
      </c>
      <c r="L5232" s="1" t="s">
        <v>3761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5" t="n">
        <v>46225</v>
      </c>
      <c r="C5233" s="1" t="n">
        <v>11</v>
      </c>
      <c r="D5233" s="1" t="s">
        <v>2290</v>
      </c>
      <c r="E5233" s="1" t="n">
        <v>1672</v>
      </c>
      <c r="F5233" s="1" t="s">
        <v>67</v>
      </c>
      <c r="I5233" s="1" t="n">
        <v>1400510</v>
      </c>
      <c r="J5233" s="1" t="n">
        <v>27381</v>
      </c>
      <c r="K5233" s="1" t="n">
        <v>7896004401843</v>
      </c>
      <c r="L5233" s="1" t="s">
        <v>4233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5" t="n">
        <v>46225</v>
      </c>
      <c r="C5234" s="1" t="n">
        <v>11</v>
      </c>
      <c r="D5234" s="1" t="s">
        <v>2290</v>
      </c>
      <c r="E5234" s="1" t="n">
        <v>1672</v>
      </c>
      <c r="F5234" s="1" t="s">
        <v>67</v>
      </c>
      <c r="I5234" s="1" t="n">
        <v>1400510</v>
      </c>
      <c r="J5234" s="1" t="n">
        <v>27524</v>
      </c>
      <c r="K5234" s="1" t="n">
        <v>7899465200444</v>
      </c>
      <c r="L5234" s="1" t="s">
        <v>3762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5" t="n">
        <v>46225</v>
      </c>
      <c r="C5235" s="1" t="n">
        <v>11</v>
      </c>
      <c r="D5235" s="1" t="s">
        <v>2290</v>
      </c>
      <c r="E5235" s="1" t="n">
        <v>1672</v>
      </c>
      <c r="F5235" s="1" t="s">
        <v>67</v>
      </c>
      <c r="I5235" s="1" t="n">
        <v>1400510</v>
      </c>
      <c r="J5235" s="1" t="n">
        <v>31622</v>
      </c>
      <c r="K5235" s="1" t="n">
        <v>7896579370032</v>
      </c>
      <c r="L5235" s="1" t="s">
        <v>2868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5" t="n">
        <v>46225</v>
      </c>
      <c r="C5236" s="1" t="n">
        <v>11</v>
      </c>
      <c r="D5236" s="1" t="s">
        <v>2290</v>
      </c>
      <c r="E5236" s="1" t="n">
        <v>1672</v>
      </c>
      <c r="F5236" s="1" t="s">
        <v>67</v>
      </c>
      <c r="I5236" s="1" t="n">
        <v>1400510</v>
      </c>
      <c r="J5236" s="1" t="n">
        <v>31920</v>
      </c>
      <c r="K5236" s="1" t="n">
        <v>7896579330012</v>
      </c>
      <c r="L5236" s="1" t="s">
        <v>4234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5" t="n">
        <v>46225</v>
      </c>
      <c r="C5237" s="1" t="n">
        <v>11</v>
      </c>
      <c r="D5237" s="1" t="s">
        <v>2290</v>
      </c>
      <c r="E5237" s="1" t="n">
        <v>1672</v>
      </c>
      <c r="F5237" s="1" t="s">
        <v>67</v>
      </c>
      <c r="I5237" s="1" t="n">
        <v>1400510</v>
      </c>
      <c r="J5237" s="1" t="n">
        <v>33883</v>
      </c>
      <c r="K5237" s="1" t="n">
        <v>7899465200987</v>
      </c>
      <c r="L5237" s="1" t="s">
        <v>4235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5" t="n">
        <v>46225</v>
      </c>
      <c r="C5238" s="1" t="n">
        <v>11</v>
      </c>
      <c r="D5238" s="1" t="s">
        <v>2290</v>
      </c>
      <c r="E5238" s="1" t="n">
        <v>1672</v>
      </c>
      <c r="F5238" s="1" t="s">
        <v>67</v>
      </c>
      <c r="I5238" s="1" t="n">
        <v>1400510</v>
      </c>
      <c r="J5238" s="1" t="n">
        <v>35007</v>
      </c>
      <c r="K5238" s="1" t="n">
        <v>7896579340110</v>
      </c>
      <c r="L5238" s="1" t="s">
        <v>3764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5" t="n">
        <v>46225</v>
      </c>
      <c r="C5239" s="1" t="n">
        <v>11</v>
      </c>
      <c r="D5239" s="1" t="s">
        <v>2290</v>
      </c>
      <c r="E5239" s="1" t="n">
        <v>1672</v>
      </c>
      <c r="F5239" s="1" t="s">
        <v>67</v>
      </c>
      <c r="I5239" s="1" t="n">
        <v>1400510</v>
      </c>
      <c r="J5239" s="1" t="n">
        <v>35008</v>
      </c>
      <c r="K5239" s="1" t="n">
        <v>7896579350256</v>
      </c>
      <c r="L5239" s="1" t="s">
        <v>3765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5" t="n">
        <v>46225</v>
      </c>
      <c r="C5240" s="1" t="n">
        <v>11</v>
      </c>
      <c r="D5240" s="1" t="s">
        <v>2290</v>
      </c>
      <c r="E5240" s="1" t="n">
        <v>1672</v>
      </c>
      <c r="F5240" s="1" t="s">
        <v>67</v>
      </c>
      <c r="I5240" s="1" t="n">
        <v>1400510</v>
      </c>
      <c r="J5240" s="1" t="n">
        <v>37153</v>
      </c>
      <c r="K5240" s="1" t="n">
        <v>7896579310311</v>
      </c>
      <c r="L5240" s="1" t="s">
        <v>2869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5" t="n">
        <v>46225</v>
      </c>
      <c r="C5241" s="1" t="n">
        <v>11</v>
      </c>
      <c r="D5241" s="1" t="s">
        <v>2290</v>
      </c>
      <c r="E5241" s="1" t="n">
        <v>1672</v>
      </c>
      <c r="F5241" s="1" t="s">
        <v>67</v>
      </c>
      <c r="I5241" s="1" t="n">
        <v>1400510</v>
      </c>
      <c r="J5241" s="1" t="n">
        <v>37154</v>
      </c>
      <c r="K5241" s="1" t="n">
        <v>7896579310601</v>
      </c>
      <c r="L5241" s="1" t="s">
        <v>2870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5" t="n">
        <v>46225</v>
      </c>
      <c r="C5242" s="1" t="n">
        <v>11</v>
      </c>
      <c r="D5242" s="1" t="s">
        <v>2290</v>
      </c>
      <c r="E5242" s="1" t="n">
        <v>1672</v>
      </c>
      <c r="F5242" s="1" t="s">
        <v>67</v>
      </c>
      <c r="I5242" s="1" t="n">
        <v>1400510</v>
      </c>
      <c r="J5242" s="1" t="n">
        <v>37156</v>
      </c>
      <c r="K5242" s="1" t="n">
        <v>7896579310502</v>
      </c>
      <c r="L5242" s="1" t="s">
        <v>2871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5" t="n">
        <v>46225</v>
      </c>
      <c r="C5243" s="1" t="n">
        <v>11</v>
      </c>
      <c r="D5243" s="1" t="s">
        <v>2290</v>
      </c>
      <c r="E5243" s="1" t="n">
        <v>1672</v>
      </c>
      <c r="F5243" s="1" t="s">
        <v>67</v>
      </c>
      <c r="I5243" s="1" t="n">
        <v>1400510</v>
      </c>
      <c r="J5243" s="1" t="n">
        <v>37157</v>
      </c>
      <c r="K5243" s="1" t="n">
        <v>7896579310403</v>
      </c>
      <c r="L5243" s="1" t="s">
        <v>2872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5" t="n">
        <v>46225</v>
      </c>
      <c r="C5244" s="1" t="n">
        <v>11</v>
      </c>
      <c r="D5244" s="1" t="s">
        <v>2290</v>
      </c>
      <c r="E5244" s="1" t="n">
        <v>1672</v>
      </c>
      <c r="F5244" s="1" t="s">
        <v>67</v>
      </c>
      <c r="I5244" s="1" t="n">
        <v>1400510</v>
      </c>
      <c r="J5244" s="1" t="n">
        <v>38315</v>
      </c>
      <c r="K5244" s="1" t="n">
        <v>7896579320242</v>
      </c>
      <c r="L5244" s="1" t="s">
        <v>2873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5" t="n">
        <v>46225</v>
      </c>
      <c r="C5245" s="1" t="n">
        <v>11</v>
      </c>
      <c r="D5245" s="1" t="s">
        <v>2290</v>
      </c>
      <c r="E5245" s="1" t="n">
        <v>1672</v>
      </c>
      <c r="F5245" s="1" t="s">
        <v>67</v>
      </c>
      <c r="I5245" s="1" t="n">
        <v>1400510</v>
      </c>
      <c r="J5245" s="1" t="n">
        <v>38539</v>
      </c>
      <c r="K5245" s="1" t="n">
        <v>7896579320235</v>
      </c>
      <c r="L5245" s="1" t="s">
        <v>2874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5" t="n">
        <v>46225</v>
      </c>
      <c r="C5246" s="1" t="n">
        <v>11</v>
      </c>
      <c r="D5246" s="1" t="s">
        <v>2290</v>
      </c>
      <c r="E5246" s="1" t="n">
        <v>1672</v>
      </c>
      <c r="F5246" s="1" t="s">
        <v>67</v>
      </c>
      <c r="I5246" s="1" t="n">
        <v>1400510</v>
      </c>
      <c r="J5246" s="1" t="n">
        <v>45144</v>
      </c>
      <c r="K5246" s="1" t="n">
        <v>7896579350164</v>
      </c>
      <c r="L5246" s="1" t="s">
        <v>2875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5" t="n">
        <v>46225</v>
      </c>
      <c r="C5247" s="1" t="n">
        <v>11</v>
      </c>
      <c r="D5247" s="1" t="s">
        <v>2290</v>
      </c>
      <c r="E5247" s="1" t="n">
        <v>1672</v>
      </c>
      <c r="F5247" s="1" t="s">
        <v>67</v>
      </c>
      <c r="I5247" s="1" t="n">
        <v>1400510</v>
      </c>
      <c r="J5247" s="1" t="n">
        <v>53441</v>
      </c>
      <c r="K5247" s="1" t="n">
        <v>7896579340165</v>
      </c>
      <c r="L5247" s="1" t="s">
        <v>4236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5" t="n">
        <v>46225</v>
      </c>
      <c r="C5248" s="1" t="n">
        <v>11</v>
      </c>
      <c r="D5248" s="1" t="s">
        <v>2290</v>
      </c>
      <c r="E5248" s="1" t="n">
        <v>1672</v>
      </c>
      <c r="F5248" s="1" t="s">
        <v>67</v>
      </c>
      <c r="I5248" s="1" t="n">
        <v>1400510</v>
      </c>
      <c r="J5248" s="1" t="n">
        <v>61503</v>
      </c>
      <c r="K5248" s="1" t="n">
        <v>7896579310915</v>
      </c>
      <c r="L5248" s="1" t="s">
        <v>4237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5" t="n">
        <v>46225</v>
      </c>
      <c r="C5249" s="1" t="n">
        <v>11</v>
      </c>
      <c r="D5249" s="1" t="s">
        <v>2290</v>
      </c>
      <c r="E5249" s="1" t="n">
        <v>1672</v>
      </c>
      <c r="F5249" s="1" t="s">
        <v>67</v>
      </c>
      <c r="I5249" s="1" t="n">
        <v>1400510</v>
      </c>
      <c r="J5249" s="1" t="n">
        <v>65610</v>
      </c>
      <c r="K5249" s="1" t="n">
        <v>7896579340172</v>
      </c>
      <c r="L5249" s="1" t="s">
        <v>3769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5" t="n">
        <v>46225</v>
      </c>
      <c r="C5250" s="1" t="n">
        <v>11</v>
      </c>
      <c r="D5250" s="1" t="s">
        <v>2290</v>
      </c>
      <c r="E5250" s="1" t="n">
        <v>1613</v>
      </c>
      <c r="F5250" s="1" t="s">
        <v>177</v>
      </c>
      <c r="I5250" s="1" t="n">
        <v>1609946</v>
      </c>
      <c r="J5250" s="1" t="n">
        <v>110883</v>
      </c>
      <c r="K5250" s="1" t="n">
        <v>45</v>
      </c>
      <c r="L5250" s="1" t="s">
        <v>3267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5" t="n">
        <v>46225</v>
      </c>
      <c r="C5251" s="1" t="n">
        <v>11</v>
      </c>
      <c r="D5251" s="1" t="s">
        <v>2290</v>
      </c>
      <c r="E5251" s="1" t="n">
        <v>1613</v>
      </c>
      <c r="F5251" s="1" t="s">
        <v>177</v>
      </c>
      <c r="I5251" s="1" t="n">
        <v>1609946</v>
      </c>
      <c r="J5251" s="1" t="n">
        <v>100045</v>
      </c>
      <c r="K5251" s="1" t="n">
        <v>46</v>
      </c>
      <c r="L5251" s="1" t="s">
        <v>3268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5" t="n">
        <v>46225</v>
      </c>
      <c r="C5252" s="1" t="n">
        <v>11</v>
      </c>
      <c r="D5252" s="1" t="s">
        <v>2290</v>
      </c>
      <c r="E5252" s="1" t="n">
        <v>1613</v>
      </c>
      <c r="F5252" s="1" t="s">
        <v>177</v>
      </c>
      <c r="I5252" s="1" t="n">
        <v>1609946</v>
      </c>
      <c r="J5252" s="1" t="n">
        <v>100073</v>
      </c>
      <c r="K5252" s="1" t="n">
        <v>74</v>
      </c>
      <c r="L5252" s="1" t="s">
        <v>2793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5" t="n">
        <v>46225</v>
      </c>
      <c r="C5253" s="1" t="n">
        <v>11</v>
      </c>
      <c r="D5253" s="1" t="s">
        <v>2290</v>
      </c>
      <c r="E5253" s="1" t="n">
        <v>1613</v>
      </c>
      <c r="F5253" s="1" t="s">
        <v>177</v>
      </c>
      <c r="I5253" s="1" t="n">
        <v>1609946</v>
      </c>
      <c r="J5253" s="1" t="n">
        <v>103796</v>
      </c>
      <c r="K5253" s="1" t="n">
        <v>7893000436725</v>
      </c>
      <c r="L5253" s="1" t="s">
        <v>2988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5" t="n">
        <v>46225</v>
      </c>
      <c r="C5254" s="1" t="n">
        <v>11</v>
      </c>
      <c r="D5254" s="1" t="s">
        <v>2290</v>
      </c>
      <c r="E5254" s="1" t="n">
        <v>1613</v>
      </c>
      <c r="F5254" s="1" t="s">
        <v>177</v>
      </c>
      <c r="I5254" s="1" t="n">
        <v>1609946</v>
      </c>
      <c r="J5254" s="1" t="n">
        <v>103830</v>
      </c>
      <c r="K5254" s="1" t="n">
        <v>7893000394209</v>
      </c>
      <c r="L5254" s="1" t="s">
        <v>2989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5" t="n">
        <v>46225</v>
      </c>
      <c r="C5255" s="1" t="n">
        <v>11</v>
      </c>
      <c r="D5255" s="1" t="s">
        <v>2290</v>
      </c>
      <c r="E5255" s="1" t="n">
        <v>1613</v>
      </c>
      <c r="F5255" s="1" t="s">
        <v>177</v>
      </c>
      <c r="I5255" s="1" t="n">
        <v>1609946</v>
      </c>
      <c r="J5255" s="1" t="n">
        <v>22445</v>
      </c>
      <c r="K5255" s="1" t="n">
        <v>7891515432089</v>
      </c>
      <c r="L5255" s="1" t="s">
        <v>4238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5" t="n">
        <v>46225</v>
      </c>
      <c r="C5256" s="1" t="n">
        <v>11</v>
      </c>
      <c r="D5256" s="1" t="s">
        <v>2290</v>
      </c>
      <c r="E5256" s="1" t="n">
        <v>1613</v>
      </c>
      <c r="F5256" s="1" t="s">
        <v>177</v>
      </c>
      <c r="I5256" s="1" t="n">
        <v>1609946</v>
      </c>
      <c r="J5256" s="1" t="n">
        <v>23695</v>
      </c>
      <c r="K5256" s="1" t="n">
        <v>7891515474126</v>
      </c>
      <c r="L5256" s="1" t="s">
        <v>2995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5" t="n">
        <v>46225</v>
      </c>
      <c r="C5257" s="1" t="n">
        <v>11</v>
      </c>
      <c r="D5257" s="1" t="s">
        <v>2290</v>
      </c>
      <c r="E5257" s="1" t="n">
        <v>1613</v>
      </c>
      <c r="F5257" s="1" t="s">
        <v>177</v>
      </c>
      <c r="I5257" s="1" t="n">
        <v>1609946</v>
      </c>
      <c r="J5257" s="1" t="n">
        <v>110181</v>
      </c>
      <c r="K5257" s="1" t="n">
        <v>37389</v>
      </c>
      <c r="L5257" s="1" t="s">
        <v>3270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5" t="n">
        <v>46225</v>
      </c>
      <c r="C5258" s="1" t="n">
        <v>22</v>
      </c>
      <c r="D5258" s="1" t="s">
        <v>2436</v>
      </c>
      <c r="E5258" s="1" t="n">
        <v>42</v>
      </c>
      <c r="F5258" s="1" t="s">
        <v>80</v>
      </c>
      <c r="I5258" s="1" t="n">
        <v>4412</v>
      </c>
      <c r="J5258" s="1" t="n">
        <v>100006</v>
      </c>
      <c r="K5258" s="1" t="n">
        <v>7</v>
      </c>
      <c r="L5258" s="1" t="s">
        <v>2437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5" t="n">
        <v>46225</v>
      </c>
      <c r="C5259" s="1" t="n">
        <v>22</v>
      </c>
      <c r="D5259" s="1" t="s">
        <v>2436</v>
      </c>
      <c r="E5259" s="1" t="n">
        <v>42</v>
      </c>
      <c r="F5259" s="1" t="s">
        <v>80</v>
      </c>
      <c r="I5259" s="1" t="n">
        <v>4412</v>
      </c>
      <c r="J5259" s="1" t="n">
        <v>100008</v>
      </c>
      <c r="K5259" s="1" t="n">
        <v>9</v>
      </c>
      <c r="L5259" s="1" t="s">
        <v>2438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5" t="n">
        <v>46225</v>
      </c>
      <c r="C5260" s="1" t="n">
        <v>22</v>
      </c>
      <c r="D5260" s="1" t="s">
        <v>2436</v>
      </c>
      <c r="E5260" s="1" t="n">
        <v>42</v>
      </c>
      <c r="F5260" s="1" t="s">
        <v>80</v>
      </c>
      <c r="I5260" s="1" t="n">
        <v>4412</v>
      </c>
      <c r="J5260" s="1" t="n">
        <v>100010</v>
      </c>
      <c r="K5260" s="1" t="n">
        <v>11</v>
      </c>
      <c r="L5260" s="1" t="s">
        <v>2439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5" t="n">
        <v>46225</v>
      </c>
      <c r="C5261" s="1" t="n">
        <v>22</v>
      </c>
      <c r="D5261" s="1" t="s">
        <v>2436</v>
      </c>
      <c r="E5261" s="1" t="n">
        <v>42</v>
      </c>
      <c r="F5261" s="1" t="s">
        <v>80</v>
      </c>
      <c r="I5261" s="1" t="n">
        <v>4412</v>
      </c>
      <c r="J5261" s="1" t="n">
        <v>100011</v>
      </c>
      <c r="K5261" s="1" t="n">
        <v>12</v>
      </c>
      <c r="L5261" s="1" t="s">
        <v>2440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5" t="n">
        <v>46225</v>
      </c>
      <c r="C5262" s="1" t="n">
        <v>22</v>
      </c>
      <c r="D5262" s="1" t="s">
        <v>2436</v>
      </c>
      <c r="E5262" s="1" t="n">
        <v>42</v>
      </c>
      <c r="F5262" s="1" t="s">
        <v>80</v>
      </c>
      <c r="I5262" s="1" t="n">
        <v>4412</v>
      </c>
      <c r="J5262" s="1" t="n">
        <v>100012</v>
      </c>
      <c r="K5262" s="1" t="n">
        <v>13</v>
      </c>
      <c r="L5262" s="1" t="s">
        <v>2441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5" t="n">
        <v>46225</v>
      </c>
      <c r="C5263" s="1" t="n">
        <v>22</v>
      </c>
      <c r="D5263" s="1" t="s">
        <v>2436</v>
      </c>
      <c r="E5263" s="1" t="n">
        <v>42</v>
      </c>
      <c r="F5263" s="1" t="s">
        <v>80</v>
      </c>
      <c r="I5263" s="1" t="n">
        <v>4412</v>
      </c>
      <c r="J5263" s="1" t="n">
        <v>100013</v>
      </c>
      <c r="K5263" s="1" t="n">
        <v>14</v>
      </c>
      <c r="L5263" s="1" t="s">
        <v>2442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5" t="n">
        <v>46225</v>
      </c>
      <c r="C5264" s="1" t="n">
        <v>22</v>
      </c>
      <c r="D5264" s="1" t="s">
        <v>2436</v>
      </c>
      <c r="E5264" s="1" t="n">
        <v>42</v>
      </c>
      <c r="F5264" s="1" t="s">
        <v>80</v>
      </c>
      <c r="I5264" s="1" t="n">
        <v>4412</v>
      </c>
      <c r="J5264" s="1" t="n">
        <v>100014</v>
      </c>
      <c r="K5264" s="1" t="n">
        <v>15</v>
      </c>
      <c r="L5264" s="1" t="s">
        <v>2443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5" t="n">
        <v>46225</v>
      </c>
      <c r="C5265" s="1" t="n">
        <v>22</v>
      </c>
      <c r="D5265" s="1" t="s">
        <v>2436</v>
      </c>
      <c r="E5265" s="1" t="n">
        <v>42</v>
      </c>
      <c r="F5265" s="1" t="s">
        <v>80</v>
      </c>
      <c r="I5265" s="1" t="n">
        <v>4412</v>
      </c>
      <c r="J5265" s="1" t="n">
        <v>100015</v>
      </c>
      <c r="K5265" s="1" t="n">
        <v>16</v>
      </c>
      <c r="L5265" s="1" t="s">
        <v>2444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5" t="n">
        <v>46225</v>
      </c>
      <c r="C5266" s="1" t="n">
        <v>22</v>
      </c>
      <c r="D5266" s="1" t="s">
        <v>2436</v>
      </c>
      <c r="E5266" s="1" t="n">
        <v>42</v>
      </c>
      <c r="F5266" s="1" t="s">
        <v>80</v>
      </c>
      <c r="I5266" s="1" t="n">
        <v>4412</v>
      </c>
      <c r="J5266" s="1" t="n">
        <v>100016</v>
      </c>
      <c r="K5266" s="1" t="n">
        <v>17</v>
      </c>
      <c r="L5266" s="1" t="s">
        <v>2445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5" t="n">
        <v>46225</v>
      </c>
      <c r="C5267" s="1" t="n">
        <v>22</v>
      </c>
      <c r="D5267" s="1" t="s">
        <v>2436</v>
      </c>
      <c r="E5267" s="1" t="n">
        <v>42</v>
      </c>
      <c r="F5267" s="1" t="s">
        <v>80</v>
      </c>
      <c r="I5267" s="1" t="n">
        <v>4412</v>
      </c>
      <c r="J5267" s="1" t="n">
        <v>100017</v>
      </c>
      <c r="K5267" s="1" t="n">
        <v>18</v>
      </c>
      <c r="L5267" s="1" t="s">
        <v>2446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5" t="n">
        <v>46225</v>
      </c>
      <c r="C5268" s="1" t="n">
        <v>22</v>
      </c>
      <c r="D5268" s="1" t="s">
        <v>2436</v>
      </c>
      <c r="E5268" s="1" t="n">
        <v>42</v>
      </c>
      <c r="F5268" s="1" t="s">
        <v>80</v>
      </c>
      <c r="I5268" s="1" t="n">
        <v>4412</v>
      </c>
      <c r="J5268" s="1" t="n">
        <v>100019</v>
      </c>
      <c r="K5268" s="1" t="n">
        <v>20</v>
      </c>
      <c r="L5268" s="1" t="s">
        <v>4136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5" t="n">
        <v>46225</v>
      </c>
      <c r="C5269" s="1" t="n">
        <v>22</v>
      </c>
      <c r="D5269" s="1" t="s">
        <v>2436</v>
      </c>
      <c r="E5269" s="1" t="n">
        <v>42</v>
      </c>
      <c r="F5269" s="1" t="s">
        <v>80</v>
      </c>
      <c r="I5269" s="1" t="n">
        <v>4412</v>
      </c>
      <c r="J5269" s="1" t="n">
        <v>100053</v>
      </c>
      <c r="K5269" s="1" t="n">
        <v>54</v>
      </c>
      <c r="L5269" s="1" t="s">
        <v>2447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5" t="n">
        <v>46225</v>
      </c>
      <c r="C5270" s="1" t="n">
        <v>22</v>
      </c>
      <c r="D5270" s="1" t="s">
        <v>2436</v>
      </c>
      <c r="E5270" s="1" t="n">
        <v>42</v>
      </c>
      <c r="F5270" s="1" t="s">
        <v>80</v>
      </c>
      <c r="I5270" s="1" t="n">
        <v>4412</v>
      </c>
      <c r="J5270" s="1" t="n">
        <v>100638</v>
      </c>
      <c r="K5270" s="1" t="n">
        <v>508</v>
      </c>
      <c r="L5270" s="1" t="s">
        <v>2448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5" t="n">
        <v>46225</v>
      </c>
      <c r="C5271" s="1" t="n">
        <v>22</v>
      </c>
      <c r="D5271" s="1" t="s">
        <v>2436</v>
      </c>
      <c r="E5271" s="1" t="n">
        <v>42</v>
      </c>
      <c r="F5271" s="1" t="s">
        <v>80</v>
      </c>
      <c r="I5271" s="1" t="n">
        <v>4412</v>
      </c>
      <c r="J5271" s="1" t="n">
        <v>100520</v>
      </c>
      <c r="K5271" s="1" t="n">
        <v>507</v>
      </c>
      <c r="L5271" s="1" t="s">
        <v>2449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5" t="n">
        <v>46225</v>
      </c>
      <c r="C5272" s="1" t="n">
        <v>22</v>
      </c>
      <c r="D5272" s="1" t="s">
        <v>2436</v>
      </c>
      <c r="E5272" s="1" t="n">
        <v>42</v>
      </c>
      <c r="F5272" s="1" t="s">
        <v>80</v>
      </c>
      <c r="I5272" s="1" t="n">
        <v>4412</v>
      </c>
      <c r="J5272" s="1" t="n">
        <v>110455</v>
      </c>
      <c r="K5272" s="1" t="n">
        <v>53212</v>
      </c>
      <c r="L5272" s="1" t="s">
        <v>2450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5" t="n">
        <v>46225</v>
      </c>
      <c r="C5273" s="1" t="n">
        <v>100</v>
      </c>
      <c r="D5273" s="1" t="s">
        <v>2457</v>
      </c>
      <c r="E5273" s="1" t="n">
        <v>42</v>
      </c>
      <c r="F5273" s="1" t="s">
        <v>80</v>
      </c>
      <c r="I5273" s="1" t="n">
        <v>1434695</v>
      </c>
      <c r="J5273" s="1" t="n">
        <v>100006</v>
      </c>
      <c r="K5273" s="1" t="n">
        <v>7</v>
      </c>
      <c r="L5273" s="1" t="s">
        <v>2437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5" t="n">
        <v>46225</v>
      </c>
      <c r="C5274" s="1" t="n">
        <v>100</v>
      </c>
      <c r="D5274" s="1" t="s">
        <v>2457</v>
      </c>
      <c r="E5274" s="1" t="n">
        <v>42</v>
      </c>
      <c r="F5274" s="1" t="s">
        <v>80</v>
      </c>
      <c r="I5274" s="1" t="n">
        <v>1434695</v>
      </c>
      <c r="J5274" s="1" t="n">
        <v>100008</v>
      </c>
      <c r="K5274" s="1" t="n">
        <v>9</v>
      </c>
      <c r="L5274" s="1" t="s">
        <v>2438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5" t="n">
        <v>46225</v>
      </c>
      <c r="C5275" s="1" t="n">
        <v>100</v>
      </c>
      <c r="D5275" s="1" t="s">
        <v>2457</v>
      </c>
      <c r="E5275" s="1" t="n">
        <v>42</v>
      </c>
      <c r="F5275" s="1" t="s">
        <v>80</v>
      </c>
      <c r="I5275" s="1" t="n">
        <v>1434695</v>
      </c>
      <c r="J5275" s="1" t="n">
        <v>100010</v>
      </c>
      <c r="K5275" s="1" t="n">
        <v>11</v>
      </c>
      <c r="L5275" s="1" t="s">
        <v>2439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5" t="n">
        <v>46225</v>
      </c>
      <c r="C5276" s="1" t="n">
        <v>100</v>
      </c>
      <c r="D5276" s="1" t="s">
        <v>2457</v>
      </c>
      <c r="E5276" s="1" t="n">
        <v>42</v>
      </c>
      <c r="F5276" s="1" t="s">
        <v>80</v>
      </c>
      <c r="I5276" s="1" t="n">
        <v>1434695</v>
      </c>
      <c r="J5276" s="1" t="n">
        <v>100011</v>
      </c>
      <c r="K5276" s="1" t="n">
        <v>12</v>
      </c>
      <c r="L5276" s="1" t="s">
        <v>2440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5" t="n">
        <v>46225</v>
      </c>
      <c r="C5277" s="1" t="n">
        <v>100</v>
      </c>
      <c r="D5277" s="1" t="s">
        <v>2457</v>
      </c>
      <c r="E5277" s="1" t="n">
        <v>42</v>
      </c>
      <c r="F5277" s="1" t="s">
        <v>80</v>
      </c>
      <c r="I5277" s="1" t="n">
        <v>1434695</v>
      </c>
      <c r="J5277" s="1" t="n">
        <v>100012</v>
      </c>
      <c r="K5277" s="1" t="n">
        <v>13</v>
      </c>
      <c r="L5277" s="1" t="s">
        <v>2441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5" t="n">
        <v>46225</v>
      </c>
      <c r="C5278" s="1" t="n">
        <v>100</v>
      </c>
      <c r="D5278" s="1" t="s">
        <v>2457</v>
      </c>
      <c r="E5278" s="1" t="n">
        <v>42</v>
      </c>
      <c r="F5278" s="1" t="s">
        <v>80</v>
      </c>
      <c r="I5278" s="1" t="n">
        <v>1434695</v>
      </c>
      <c r="J5278" s="1" t="n">
        <v>100013</v>
      </c>
      <c r="K5278" s="1" t="n">
        <v>14</v>
      </c>
      <c r="L5278" s="1" t="s">
        <v>2442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5" t="n">
        <v>46225</v>
      </c>
      <c r="C5279" s="1" t="n">
        <v>100</v>
      </c>
      <c r="D5279" s="1" t="s">
        <v>2457</v>
      </c>
      <c r="E5279" s="1" t="n">
        <v>42</v>
      </c>
      <c r="F5279" s="1" t="s">
        <v>80</v>
      </c>
      <c r="I5279" s="1" t="n">
        <v>1434695</v>
      </c>
      <c r="J5279" s="1" t="n">
        <v>100014</v>
      </c>
      <c r="K5279" s="1" t="n">
        <v>15</v>
      </c>
      <c r="L5279" s="1" t="s">
        <v>2443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5" t="n">
        <v>46225</v>
      </c>
      <c r="C5280" s="1" t="n">
        <v>100</v>
      </c>
      <c r="D5280" s="1" t="s">
        <v>2457</v>
      </c>
      <c r="E5280" s="1" t="n">
        <v>42</v>
      </c>
      <c r="F5280" s="1" t="s">
        <v>80</v>
      </c>
      <c r="I5280" s="1" t="n">
        <v>1434695</v>
      </c>
      <c r="J5280" s="1" t="n">
        <v>100015</v>
      </c>
      <c r="K5280" s="1" t="n">
        <v>16</v>
      </c>
      <c r="L5280" s="1" t="s">
        <v>2444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5" t="n">
        <v>46225</v>
      </c>
      <c r="C5281" s="1" t="n">
        <v>100</v>
      </c>
      <c r="D5281" s="1" t="s">
        <v>2457</v>
      </c>
      <c r="E5281" s="1" t="n">
        <v>42</v>
      </c>
      <c r="F5281" s="1" t="s">
        <v>80</v>
      </c>
      <c r="I5281" s="1" t="n">
        <v>1434695</v>
      </c>
      <c r="J5281" s="1" t="n">
        <v>100016</v>
      </c>
      <c r="K5281" s="1" t="n">
        <v>17</v>
      </c>
      <c r="L5281" s="1" t="s">
        <v>2445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5" t="n">
        <v>46225</v>
      </c>
      <c r="C5282" s="1" t="n">
        <v>100</v>
      </c>
      <c r="D5282" s="1" t="s">
        <v>2457</v>
      </c>
      <c r="E5282" s="1" t="n">
        <v>42</v>
      </c>
      <c r="F5282" s="1" t="s">
        <v>80</v>
      </c>
      <c r="I5282" s="1" t="n">
        <v>1434695</v>
      </c>
      <c r="J5282" s="1" t="n">
        <v>100017</v>
      </c>
      <c r="K5282" s="1" t="n">
        <v>18</v>
      </c>
      <c r="L5282" s="1" t="s">
        <v>2446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5" t="n">
        <v>46225</v>
      </c>
      <c r="C5283" s="1" t="n">
        <v>100</v>
      </c>
      <c r="D5283" s="1" t="s">
        <v>2457</v>
      </c>
      <c r="E5283" s="1" t="n">
        <v>42</v>
      </c>
      <c r="F5283" s="1" t="s">
        <v>80</v>
      </c>
      <c r="I5283" s="1" t="n">
        <v>1434695</v>
      </c>
      <c r="J5283" s="1" t="n">
        <v>100019</v>
      </c>
      <c r="K5283" s="1" t="n">
        <v>20</v>
      </c>
      <c r="L5283" s="1" t="s">
        <v>4136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5" t="n">
        <v>46225</v>
      </c>
      <c r="C5284" s="1" t="n">
        <v>100</v>
      </c>
      <c r="D5284" s="1" t="s">
        <v>2457</v>
      </c>
      <c r="E5284" s="1" t="n">
        <v>42</v>
      </c>
      <c r="F5284" s="1" t="s">
        <v>80</v>
      </c>
      <c r="I5284" s="1" t="n">
        <v>1434695</v>
      </c>
      <c r="J5284" s="1" t="n">
        <v>100053</v>
      </c>
      <c r="K5284" s="1" t="n">
        <v>54</v>
      </c>
      <c r="L5284" s="1" t="s">
        <v>2447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5" t="n">
        <v>46225</v>
      </c>
      <c r="C5285" s="1" t="n">
        <v>100</v>
      </c>
      <c r="D5285" s="1" t="s">
        <v>2457</v>
      </c>
      <c r="E5285" s="1" t="n">
        <v>42</v>
      </c>
      <c r="F5285" s="1" t="s">
        <v>80</v>
      </c>
      <c r="I5285" s="1" t="n">
        <v>1434695</v>
      </c>
      <c r="J5285" s="1" t="n">
        <v>100638</v>
      </c>
      <c r="K5285" s="1" t="n">
        <v>508</v>
      </c>
      <c r="L5285" s="1" t="s">
        <v>2448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5" t="n">
        <v>46225</v>
      </c>
      <c r="C5286" s="1" t="n">
        <v>100</v>
      </c>
      <c r="D5286" s="1" t="s">
        <v>2457</v>
      </c>
      <c r="E5286" s="1" t="n">
        <v>42</v>
      </c>
      <c r="F5286" s="1" t="s">
        <v>80</v>
      </c>
      <c r="I5286" s="1" t="n">
        <v>1434695</v>
      </c>
      <c r="J5286" s="1" t="n">
        <v>100520</v>
      </c>
      <c r="K5286" s="1" t="n">
        <v>507</v>
      </c>
      <c r="L5286" s="1" t="s">
        <v>2449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5" t="n">
        <v>46225</v>
      </c>
      <c r="C5287" s="1" t="n">
        <v>100</v>
      </c>
      <c r="D5287" s="1" t="s">
        <v>2457</v>
      </c>
      <c r="E5287" s="1" t="n">
        <v>42</v>
      </c>
      <c r="F5287" s="1" t="s">
        <v>80</v>
      </c>
      <c r="I5287" s="1" t="n">
        <v>1434695</v>
      </c>
      <c r="J5287" s="1" t="n">
        <v>110455</v>
      </c>
      <c r="K5287" s="1" t="n">
        <v>53212</v>
      </c>
      <c r="L5287" s="1" t="s">
        <v>2450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5" t="n">
        <v>46226</v>
      </c>
      <c r="C5288" s="1" t="n">
        <v>6</v>
      </c>
      <c r="D5288" s="1" t="s">
        <v>2289</v>
      </c>
      <c r="E5288" s="1" t="n">
        <v>42</v>
      </c>
      <c r="F5288" s="1" t="s">
        <v>80</v>
      </c>
      <c r="I5288" s="1" t="n">
        <v>4413</v>
      </c>
      <c r="J5288" s="1" t="n">
        <v>109791</v>
      </c>
      <c r="K5288" s="1" t="n">
        <v>9667</v>
      </c>
      <c r="L5288" s="1" t="s">
        <v>2284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5" t="n">
        <v>46226</v>
      </c>
      <c r="C5289" s="1" t="n">
        <v>6</v>
      </c>
      <c r="D5289" s="1" t="s">
        <v>2289</v>
      </c>
      <c r="E5289" s="1" t="n">
        <v>42</v>
      </c>
      <c r="F5289" s="1" t="s">
        <v>80</v>
      </c>
      <c r="I5289" s="1" t="n">
        <v>4413</v>
      </c>
      <c r="J5289" s="1" t="n">
        <v>37361</v>
      </c>
      <c r="K5289" s="1" t="n">
        <v>2240817</v>
      </c>
      <c r="L5289" s="1" t="s">
        <v>2286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5" t="n">
        <v>46226</v>
      </c>
      <c r="C5290" s="1" t="n">
        <v>6</v>
      </c>
      <c r="D5290" s="1" t="s">
        <v>2289</v>
      </c>
      <c r="E5290" s="1" t="n">
        <v>42</v>
      </c>
      <c r="F5290" s="1" t="s">
        <v>80</v>
      </c>
      <c r="I5290" s="1" t="n">
        <v>4414</v>
      </c>
      <c r="J5290" s="1" t="n">
        <v>27510</v>
      </c>
      <c r="K5290" s="1" t="n">
        <v>7898306020241</v>
      </c>
      <c r="L5290" s="1" t="s">
        <v>2917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5" t="n">
        <v>46226</v>
      </c>
      <c r="C5291" s="1" t="n">
        <v>6</v>
      </c>
      <c r="D5291" s="1" t="s">
        <v>2289</v>
      </c>
      <c r="E5291" s="1" t="n">
        <v>42</v>
      </c>
      <c r="F5291" s="1" t="s">
        <v>80</v>
      </c>
      <c r="I5291" s="1" t="n">
        <v>4414</v>
      </c>
      <c r="J5291" s="1" t="n">
        <v>52668</v>
      </c>
      <c r="K5291" s="1" t="n">
        <v>7898306020036</v>
      </c>
      <c r="L5291" s="1" t="s">
        <v>2918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5" t="n">
        <v>46226</v>
      </c>
      <c r="C5292" s="1" t="n">
        <v>6</v>
      </c>
      <c r="D5292" s="1" t="s">
        <v>2289</v>
      </c>
      <c r="E5292" s="1" t="n">
        <v>42</v>
      </c>
      <c r="F5292" s="1" t="s">
        <v>80</v>
      </c>
      <c r="I5292" s="1" t="n">
        <v>4415</v>
      </c>
      <c r="J5292" s="1" t="n">
        <v>100103</v>
      </c>
      <c r="K5292" s="1" t="n">
        <v>104</v>
      </c>
      <c r="L5292" s="1" t="s">
        <v>2287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5" t="n">
        <v>46226</v>
      </c>
      <c r="C5293" s="1" t="n">
        <v>11</v>
      </c>
      <c r="D5293" s="1" t="s">
        <v>2290</v>
      </c>
      <c r="E5293" s="1" t="n">
        <v>1734</v>
      </c>
      <c r="F5293" s="1" t="s">
        <v>125</v>
      </c>
      <c r="I5293" s="1" t="n">
        <v>256020</v>
      </c>
      <c r="J5293" s="1" t="n">
        <v>38222</v>
      </c>
      <c r="K5293" s="1" t="n">
        <v>7898055450863</v>
      </c>
      <c r="L5293" s="1" t="s">
        <v>2376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5" t="n">
        <v>46226</v>
      </c>
      <c r="C5294" s="1" t="n">
        <v>11</v>
      </c>
      <c r="D5294" s="1" t="s">
        <v>2290</v>
      </c>
      <c r="E5294" s="1" t="n">
        <v>1734</v>
      </c>
      <c r="F5294" s="1" t="s">
        <v>125</v>
      </c>
      <c r="I5294" s="1" t="n">
        <v>256020</v>
      </c>
      <c r="J5294" s="1" t="n">
        <v>38784</v>
      </c>
      <c r="K5294" s="1" t="n">
        <v>7898055450320</v>
      </c>
      <c r="L5294" s="1" t="s">
        <v>2721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5" t="n">
        <v>46226</v>
      </c>
      <c r="C5295" s="1" t="n">
        <v>11</v>
      </c>
      <c r="D5295" s="1" t="s">
        <v>2290</v>
      </c>
      <c r="E5295" s="1" t="n">
        <v>1734</v>
      </c>
      <c r="F5295" s="1" t="s">
        <v>125</v>
      </c>
      <c r="I5295" s="1" t="n">
        <v>256020</v>
      </c>
      <c r="J5295" s="1" t="n">
        <v>38785</v>
      </c>
      <c r="K5295" s="1" t="n">
        <v>7898055450344</v>
      </c>
      <c r="L5295" s="1" t="s">
        <v>3683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5" t="n">
        <v>46226</v>
      </c>
      <c r="C5296" s="1" t="n">
        <v>11</v>
      </c>
      <c r="D5296" s="1" t="s">
        <v>2290</v>
      </c>
      <c r="E5296" s="1" t="n">
        <v>1734</v>
      </c>
      <c r="F5296" s="1" t="s">
        <v>125</v>
      </c>
      <c r="I5296" s="1" t="n">
        <v>256020</v>
      </c>
      <c r="J5296" s="1" t="n">
        <v>38787</v>
      </c>
      <c r="K5296" s="1" t="n">
        <v>7898055450849</v>
      </c>
      <c r="L5296" s="1" t="s">
        <v>2722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5" t="n">
        <v>46226</v>
      </c>
      <c r="C5297" s="1" t="n">
        <v>11</v>
      </c>
      <c r="D5297" s="1" t="s">
        <v>2290</v>
      </c>
      <c r="E5297" s="1" t="n">
        <v>1734</v>
      </c>
      <c r="F5297" s="1" t="s">
        <v>125</v>
      </c>
      <c r="I5297" s="1" t="n">
        <v>256020</v>
      </c>
      <c r="J5297" s="1" t="n">
        <v>39028</v>
      </c>
      <c r="K5297" s="1" t="n">
        <v>7898055450368</v>
      </c>
      <c r="L5297" s="1" t="s">
        <v>2378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5" t="n">
        <v>46226</v>
      </c>
      <c r="C5298" s="1" t="n">
        <v>11</v>
      </c>
      <c r="D5298" s="1" t="s">
        <v>2290</v>
      </c>
      <c r="E5298" s="1" t="n">
        <v>1734</v>
      </c>
      <c r="F5298" s="1" t="s">
        <v>125</v>
      </c>
      <c r="I5298" s="1" t="n">
        <v>256020</v>
      </c>
      <c r="J5298" s="1" t="n">
        <v>44940</v>
      </c>
      <c r="K5298" s="1" t="n">
        <v>7898055450382</v>
      </c>
      <c r="L5298" s="1" t="s">
        <v>3202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5" t="n">
        <v>46226</v>
      </c>
      <c r="C5299" s="1" t="n">
        <v>11</v>
      </c>
      <c r="D5299" s="1" t="s">
        <v>2290</v>
      </c>
      <c r="E5299" s="1" t="n">
        <v>1734</v>
      </c>
      <c r="F5299" s="1" t="s">
        <v>125</v>
      </c>
      <c r="I5299" s="1" t="n">
        <v>256020</v>
      </c>
      <c r="J5299" s="1" t="n">
        <v>45875</v>
      </c>
      <c r="K5299" s="1" t="n">
        <v>7898055450214</v>
      </c>
      <c r="L5299" s="1" t="s">
        <v>2724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5" t="n">
        <v>46226</v>
      </c>
      <c r="C5300" s="1" t="n">
        <v>11</v>
      </c>
      <c r="D5300" s="1" t="s">
        <v>2290</v>
      </c>
      <c r="E5300" s="1" t="n">
        <v>1734</v>
      </c>
      <c r="F5300" s="1" t="s">
        <v>125</v>
      </c>
      <c r="I5300" s="1" t="n">
        <v>256020</v>
      </c>
      <c r="J5300" s="1" t="n">
        <v>81026</v>
      </c>
      <c r="K5300" s="1" t="n">
        <v>7898055455745</v>
      </c>
      <c r="L5300" s="1" t="s">
        <v>2726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5" t="n">
        <v>46226</v>
      </c>
      <c r="C5301" s="1" t="n">
        <v>11</v>
      </c>
      <c r="D5301" s="1" t="s">
        <v>2290</v>
      </c>
      <c r="E5301" s="1" t="n">
        <v>1699</v>
      </c>
      <c r="F5301" s="1" t="s">
        <v>60</v>
      </c>
      <c r="I5301" s="1" t="n">
        <v>308737</v>
      </c>
      <c r="J5301" s="1" t="n">
        <v>101262</v>
      </c>
      <c r="K5301" s="1" t="n">
        <v>7896179500013</v>
      </c>
      <c r="L5301" s="1" t="s">
        <v>4131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5" t="n">
        <v>46226</v>
      </c>
      <c r="C5302" s="1" t="n">
        <v>11</v>
      </c>
      <c r="D5302" s="1" t="s">
        <v>2290</v>
      </c>
      <c r="E5302" s="1" t="n">
        <v>1699</v>
      </c>
      <c r="F5302" s="1" t="s">
        <v>60</v>
      </c>
      <c r="I5302" s="1" t="n">
        <v>308737</v>
      </c>
      <c r="J5302" s="1" t="n">
        <v>101759</v>
      </c>
      <c r="K5302" s="1" t="n">
        <v>7896179500037</v>
      </c>
      <c r="L5302" s="1" t="s">
        <v>4164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5" t="n">
        <v>46226</v>
      </c>
      <c r="C5303" s="1" t="n">
        <v>11</v>
      </c>
      <c r="D5303" s="1" t="s">
        <v>2290</v>
      </c>
      <c r="E5303" s="1" t="n">
        <v>1699</v>
      </c>
      <c r="F5303" s="1" t="s">
        <v>60</v>
      </c>
      <c r="I5303" s="1" t="n">
        <v>308737</v>
      </c>
      <c r="J5303" s="1" t="n">
        <v>102219</v>
      </c>
      <c r="K5303" s="1" t="n">
        <v>7898617582247</v>
      </c>
      <c r="L5303" s="1" t="s">
        <v>4239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5" t="n">
        <v>46226</v>
      </c>
      <c r="C5304" s="1" t="n">
        <v>11</v>
      </c>
      <c r="D5304" s="1" t="s">
        <v>2290</v>
      </c>
      <c r="E5304" s="1" t="n">
        <v>1699</v>
      </c>
      <c r="F5304" s="1" t="s">
        <v>60</v>
      </c>
      <c r="I5304" s="1" t="n">
        <v>308737</v>
      </c>
      <c r="J5304" s="1" t="n">
        <v>102457</v>
      </c>
      <c r="K5304" s="1" t="n">
        <v>7896031253347</v>
      </c>
      <c r="L5304" s="1" t="s">
        <v>2797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5" t="n">
        <v>46226</v>
      </c>
      <c r="C5305" s="1" t="n">
        <v>11</v>
      </c>
      <c r="D5305" s="1" t="s">
        <v>2290</v>
      </c>
      <c r="E5305" s="1" t="n">
        <v>1699</v>
      </c>
      <c r="F5305" s="1" t="s">
        <v>60</v>
      </c>
      <c r="I5305" s="1" t="n">
        <v>308737</v>
      </c>
      <c r="J5305" s="1" t="n">
        <v>104678</v>
      </c>
      <c r="K5305" s="1" t="n">
        <v>7898247780075</v>
      </c>
      <c r="L5305" s="1" t="s">
        <v>3107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5" t="n">
        <v>46226</v>
      </c>
      <c r="C5306" s="1" t="n">
        <v>11</v>
      </c>
      <c r="D5306" s="1" t="s">
        <v>2290</v>
      </c>
      <c r="E5306" s="1" t="n">
        <v>1699</v>
      </c>
      <c r="F5306" s="1" t="s">
        <v>60</v>
      </c>
      <c r="I5306" s="1" t="n">
        <v>308737</v>
      </c>
      <c r="J5306" s="1" t="n">
        <v>13188</v>
      </c>
      <c r="K5306" s="1" t="n">
        <v>7896393601046</v>
      </c>
      <c r="L5306" s="1" t="s">
        <v>3293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5" t="n">
        <v>46226</v>
      </c>
      <c r="C5307" s="1" t="n">
        <v>11</v>
      </c>
      <c r="D5307" s="1" t="s">
        <v>2290</v>
      </c>
      <c r="E5307" s="1" t="n">
        <v>1699</v>
      </c>
      <c r="F5307" s="1" t="s">
        <v>60</v>
      </c>
      <c r="I5307" s="1" t="n">
        <v>308737</v>
      </c>
      <c r="J5307" s="1" t="n">
        <v>23413</v>
      </c>
      <c r="K5307" s="1" t="n">
        <v>7898542022900</v>
      </c>
      <c r="L5307" s="1" t="s">
        <v>2586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5" t="n">
        <v>46226</v>
      </c>
      <c r="C5308" s="1" t="n">
        <v>11</v>
      </c>
      <c r="D5308" s="1" t="s">
        <v>2290</v>
      </c>
      <c r="E5308" s="1" t="n">
        <v>1699</v>
      </c>
      <c r="F5308" s="1" t="s">
        <v>60</v>
      </c>
      <c r="I5308" s="1" t="n">
        <v>308737</v>
      </c>
      <c r="J5308" s="1" t="n">
        <v>25579</v>
      </c>
      <c r="K5308" s="1" t="n">
        <v>7506306241183</v>
      </c>
      <c r="L5308" s="1" t="s">
        <v>2806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5" t="n">
        <v>46226</v>
      </c>
      <c r="C5309" s="1" t="n">
        <v>11</v>
      </c>
      <c r="D5309" s="1" t="s">
        <v>2290</v>
      </c>
      <c r="E5309" s="1" t="n">
        <v>1699</v>
      </c>
      <c r="F5309" s="1" t="s">
        <v>60</v>
      </c>
      <c r="I5309" s="1" t="n">
        <v>308737</v>
      </c>
      <c r="J5309" s="1" t="n">
        <v>26420</v>
      </c>
      <c r="K5309" s="1" t="n">
        <v>7898932426110</v>
      </c>
      <c r="L5309" s="1" t="s">
        <v>2808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5" t="n">
        <v>46226</v>
      </c>
      <c r="C5310" s="1" t="n">
        <v>11</v>
      </c>
      <c r="D5310" s="1" t="s">
        <v>2290</v>
      </c>
      <c r="E5310" s="1" t="n">
        <v>1699</v>
      </c>
      <c r="F5310" s="1" t="s">
        <v>60</v>
      </c>
      <c r="I5310" s="1" t="n">
        <v>308737</v>
      </c>
      <c r="J5310" s="1" t="n">
        <v>29441</v>
      </c>
      <c r="K5310" s="1" t="n">
        <v>7891350034622</v>
      </c>
      <c r="L5310" s="1" t="s">
        <v>2810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5" t="n">
        <v>46226</v>
      </c>
      <c r="C5311" s="1" t="n">
        <v>11</v>
      </c>
      <c r="D5311" s="1" t="s">
        <v>2290</v>
      </c>
      <c r="E5311" s="1" t="n">
        <v>1699</v>
      </c>
      <c r="F5311" s="1" t="s">
        <v>60</v>
      </c>
      <c r="I5311" s="1" t="n">
        <v>308737</v>
      </c>
      <c r="J5311" s="1" t="n">
        <v>29443</v>
      </c>
      <c r="K5311" s="1" t="n">
        <v>7891350034646</v>
      </c>
      <c r="L5311" s="1" t="s">
        <v>4240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5" t="n">
        <v>46226</v>
      </c>
      <c r="C5312" s="1" t="n">
        <v>11</v>
      </c>
      <c r="D5312" s="1" t="s">
        <v>2290</v>
      </c>
      <c r="E5312" s="1" t="n">
        <v>1699</v>
      </c>
      <c r="F5312" s="1" t="s">
        <v>60</v>
      </c>
      <c r="I5312" s="1" t="n">
        <v>308737</v>
      </c>
      <c r="J5312" s="1" t="n">
        <v>31195</v>
      </c>
      <c r="K5312" s="1" t="n">
        <v>7898955964750</v>
      </c>
      <c r="L5312" s="1" t="s">
        <v>2812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5" t="n">
        <v>46226</v>
      </c>
      <c r="C5313" s="1" t="n">
        <v>11</v>
      </c>
      <c r="D5313" s="1" t="s">
        <v>2290</v>
      </c>
      <c r="E5313" s="1" t="n">
        <v>1699</v>
      </c>
      <c r="F5313" s="1" t="s">
        <v>60</v>
      </c>
      <c r="I5313" s="1" t="n">
        <v>308737</v>
      </c>
      <c r="J5313" s="1" t="n">
        <v>32805</v>
      </c>
      <c r="K5313" s="1" t="n">
        <v>7896433800378</v>
      </c>
      <c r="L5313" s="1" t="s">
        <v>3296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5" t="n">
        <v>46226</v>
      </c>
      <c r="C5314" s="1" t="n">
        <v>11</v>
      </c>
      <c r="D5314" s="1" t="s">
        <v>2290</v>
      </c>
      <c r="E5314" s="1" t="n">
        <v>1699</v>
      </c>
      <c r="F5314" s="1" t="s">
        <v>60</v>
      </c>
      <c r="I5314" s="1" t="n">
        <v>308737</v>
      </c>
      <c r="J5314" s="1" t="n">
        <v>37982</v>
      </c>
      <c r="K5314" s="1" t="n">
        <v>7896219183107</v>
      </c>
      <c r="L5314" s="1" t="s">
        <v>3297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5" t="n">
        <v>46226</v>
      </c>
      <c r="C5315" s="1" t="n">
        <v>11</v>
      </c>
      <c r="D5315" s="1" t="s">
        <v>2290</v>
      </c>
      <c r="E5315" s="1" t="n">
        <v>1699</v>
      </c>
      <c r="F5315" s="1" t="s">
        <v>60</v>
      </c>
      <c r="I5315" s="1" t="n">
        <v>308737</v>
      </c>
      <c r="J5315" s="1" t="n">
        <v>39110</v>
      </c>
      <c r="K5315" s="1" t="n">
        <v>7896219181929</v>
      </c>
      <c r="L5315" s="1" t="s">
        <v>4241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5" t="n">
        <v>46226</v>
      </c>
      <c r="C5316" s="1" t="n">
        <v>11</v>
      </c>
      <c r="D5316" s="1" t="s">
        <v>2290</v>
      </c>
      <c r="E5316" s="1" t="n">
        <v>1699</v>
      </c>
      <c r="F5316" s="1" t="s">
        <v>60</v>
      </c>
      <c r="I5316" s="1" t="n">
        <v>308737</v>
      </c>
      <c r="J5316" s="1" t="n">
        <v>39111</v>
      </c>
      <c r="K5316" s="1" t="n">
        <v>7896219181943</v>
      </c>
      <c r="L5316" s="1" t="s">
        <v>4242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5" t="n">
        <v>46226</v>
      </c>
      <c r="C5317" s="1" t="n">
        <v>11</v>
      </c>
      <c r="D5317" s="1" t="s">
        <v>2290</v>
      </c>
      <c r="E5317" s="1" t="n">
        <v>1699</v>
      </c>
      <c r="F5317" s="1" t="s">
        <v>60</v>
      </c>
      <c r="I5317" s="1" t="n">
        <v>308737</v>
      </c>
      <c r="J5317" s="1" t="n">
        <v>39112</v>
      </c>
      <c r="K5317" s="1" t="n">
        <v>7896219181936</v>
      </c>
      <c r="L5317" s="1" t="s">
        <v>4243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5" t="n">
        <v>46226</v>
      </c>
      <c r="C5318" s="1" t="n">
        <v>11</v>
      </c>
      <c r="D5318" s="1" t="s">
        <v>2290</v>
      </c>
      <c r="E5318" s="1" t="n">
        <v>1699</v>
      </c>
      <c r="F5318" s="1" t="s">
        <v>60</v>
      </c>
      <c r="I5318" s="1" t="n">
        <v>308737</v>
      </c>
      <c r="J5318" s="1" t="n">
        <v>80005</v>
      </c>
      <c r="K5318" s="1" t="n">
        <v>7891000457092</v>
      </c>
      <c r="L5318" s="1" t="s">
        <v>3495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5" t="n">
        <v>46226</v>
      </c>
      <c r="C5319" s="1" t="n">
        <v>11</v>
      </c>
      <c r="D5319" s="1" t="s">
        <v>2290</v>
      </c>
      <c r="E5319" s="1" t="n">
        <v>1815</v>
      </c>
      <c r="F5319" s="1" t="s">
        <v>53</v>
      </c>
      <c r="I5319" s="1" t="n">
        <v>393808</v>
      </c>
      <c r="J5319" s="1" t="n">
        <v>100024</v>
      </c>
      <c r="K5319" s="1" t="n">
        <v>25</v>
      </c>
      <c r="L5319" s="1" t="s">
        <v>2390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5" t="n">
        <v>46226</v>
      </c>
      <c r="C5320" s="1" t="n">
        <v>11</v>
      </c>
      <c r="D5320" s="1" t="s">
        <v>2290</v>
      </c>
      <c r="E5320" s="1" t="n">
        <v>1815</v>
      </c>
      <c r="F5320" s="1" t="s">
        <v>53</v>
      </c>
      <c r="I5320" s="1" t="n">
        <v>393808</v>
      </c>
      <c r="J5320" s="1" t="n">
        <v>100034</v>
      </c>
      <c r="K5320" s="1" t="n">
        <v>35</v>
      </c>
      <c r="L5320" s="1" t="s">
        <v>3266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5" t="n">
        <v>46226</v>
      </c>
      <c r="C5321" s="1" t="n">
        <v>11</v>
      </c>
      <c r="D5321" s="1" t="s">
        <v>2290</v>
      </c>
      <c r="E5321" s="1" t="n">
        <v>1815</v>
      </c>
      <c r="F5321" s="1" t="s">
        <v>53</v>
      </c>
      <c r="I5321" s="1" t="n">
        <v>393808</v>
      </c>
      <c r="J5321" s="1" t="n">
        <v>100035</v>
      </c>
      <c r="K5321" s="1" t="n">
        <v>36</v>
      </c>
      <c r="L5321" s="1" t="s">
        <v>2391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5" t="n">
        <v>46226</v>
      </c>
      <c r="C5322" s="1" t="n">
        <v>11</v>
      </c>
      <c r="D5322" s="1" t="s">
        <v>2290</v>
      </c>
      <c r="E5322" s="1" t="n">
        <v>1815</v>
      </c>
      <c r="F5322" s="1" t="s">
        <v>53</v>
      </c>
      <c r="I5322" s="1" t="n">
        <v>393808</v>
      </c>
      <c r="J5322" s="1" t="n">
        <v>102407</v>
      </c>
      <c r="K5322" s="1" t="n">
        <v>7893000394117</v>
      </c>
      <c r="L5322" s="1" t="s">
        <v>2987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5" t="n">
        <v>46226</v>
      </c>
      <c r="C5323" s="1" t="n">
        <v>11</v>
      </c>
      <c r="D5323" s="1" t="s">
        <v>2290</v>
      </c>
      <c r="E5323" s="1" t="n">
        <v>1815</v>
      </c>
      <c r="F5323" s="1" t="s">
        <v>53</v>
      </c>
      <c r="I5323" s="1" t="n">
        <v>393808</v>
      </c>
      <c r="J5323" s="1" t="n">
        <v>23695</v>
      </c>
      <c r="K5323" s="1" t="n">
        <v>7891515474126</v>
      </c>
      <c r="L5323" s="1" t="s">
        <v>2995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5" t="n">
        <v>46226</v>
      </c>
      <c r="C5324" s="1" t="n">
        <v>11</v>
      </c>
      <c r="D5324" s="1" t="s">
        <v>2290</v>
      </c>
      <c r="E5324" s="1" t="n">
        <v>1815</v>
      </c>
      <c r="F5324" s="1" t="s">
        <v>53</v>
      </c>
      <c r="I5324" s="1" t="n">
        <v>393808</v>
      </c>
      <c r="J5324" s="1" t="n">
        <v>110191</v>
      </c>
      <c r="K5324" s="1" t="n">
        <v>37402</v>
      </c>
      <c r="L5324" s="1" t="s">
        <v>2396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5" t="n">
        <v>46226</v>
      </c>
      <c r="C5325" s="1" t="n">
        <v>11</v>
      </c>
      <c r="D5325" s="1" t="s">
        <v>2290</v>
      </c>
      <c r="E5325" s="1" t="n">
        <v>1815</v>
      </c>
      <c r="F5325" s="1" t="s">
        <v>53</v>
      </c>
      <c r="I5325" s="1" t="n">
        <v>393808</v>
      </c>
      <c r="J5325" s="1" t="n">
        <v>110523</v>
      </c>
      <c r="K5325" s="1" t="n">
        <v>57058</v>
      </c>
      <c r="L5325" s="1" t="s">
        <v>2848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5" t="n">
        <v>46226</v>
      </c>
      <c r="C5326" s="1" t="n">
        <v>11</v>
      </c>
      <c r="D5326" s="1" t="s">
        <v>2290</v>
      </c>
      <c r="E5326" s="1" t="n">
        <v>1815</v>
      </c>
      <c r="F5326" s="1" t="s">
        <v>53</v>
      </c>
      <c r="I5326" s="1" t="n">
        <v>393808</v>
      </c>
      <c r="J5326" s="1" t="n">
        <v>57552</v>
      </c>
      <c r="K5326" s="1" t="n">
        <v>7896807416099</v>
      </c>
      <c r="L5326" s="1" t="s">
        <v>2849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5" t="n">
        <v>46226</v>
      </c>
      <c r="C5327" s="1" t="n">
        <v>11</v>
      </c>
      <c r="D5327" s="1" t="s">
        <v>2290</v>
      </c>
      <c r="E5327" s="1" t="n">
        <v>1815</v>
      </c>
      <c r="F5327" s="1" t="s">
        <v>53</v>
      </c>
      <c r="I5327" s="1" t="n">
        <v>393808</v>
      </c>
      <c r="J5327" s="1" t="n">
        <v>61513</v>
      </c>
      <c r="K5327" s="1" t="n">
        <v>742832226301</v>
      </c>
      <c r="L5327" s="1" t="s">
        <v>2996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5" t="n">
        <v>46226</v>
      </c>
      <c r="C5328" s="1" t="n">
        <v>11</v>
      </c>
      <c r="D5328" s="1" t="s">
        <v>2290</v>
      </c>
      <c r="E5328" s="1" t="n">
        <v>1815</v>
      </c>
      <c r="F5328" s="1" t="s">
        <v>53</v>
      </c>
      <c r="I5328" s="1" t="n">
        <v>393808</v>
      </c>
      <c r="J5328" s="1" t="n">
        <v>61514</v>
      </c>
      <c r="K5328" s="1" t="n">
        <v>742832226349</v>
      </c>
      <c r="L5328" s="1" t="s">
        <v>3938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5" t="n">
        <v>46226</v>
      </c>
      <c r="C5329" s="1" t="n">
        <v>11</v>
      </c>
      <c r="D5329" s="1" t="s">
        <v>2290</v>
      </c>
      <c r="E5329" s="1" t="n">
        <v>1815</v>
      </c>
      <c r="F5329" s="1" t="s">
        <v>53</v>
      </c>
      <c r="I5329" s="1" t="n">
        <v>393808</v>
      </c>
      <c r="J5329" s="1" t="n">
        <v>110778</v>
      </c>
      <c r="K5329" s="1" t="n">
        <v>71976</v>
      </c>
      <c r="L5329" s="1" t="s">
        <v>4244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5" t="n">
        <v>46226</v>
      </c>
      <c r="C5330" s="1" t="n">
        <v>11</v>
      </c>
      <c r="D5330" s="1" t="s">
        <v>2290</v>
      </c>
      <c r="E5330" s="1" t="n">
        <v>1815</v>
      </c>
      <c r="F5330" s="1" t="s">
        <v>53</v>
      </c>
      <c r="I5330" s="1" t="n">
        <v>393808</v>
      </c>
      <c r="J5330" s="1" t="n">
        <v>81827</v>
      </c>
      <c r="K5330" s="1" t="n">
        <v>7899567291838</v>
      </c>
      <c r="L5330" s="1" t="s">
        <v>4245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5" t="n">
        <v>46226</v>
      </c>
      <c r="C5331" s="1" t="n">
        <v>11</v>
      </c>
      <c r="D5331" s="1" t="s">
        <v>2290</v>
      </c>
      <c r="E5331" s="1" t="n">
        <v>1815</v>
      </c>
      <c r="F5331" s="1" t="s">
        <v>53</v>
      </c>
      <c r="I5331" s="1" t="n">
        <v>393808</v>
      </c>
      <c r="J5331" s="1" t="n">
        <v>81828</v>
      </c>
      <c r="K5331" s="1" t="n">
        <v>7898677910059</v>
      </c>
      <c r="L5331" s="1" t="s">
        <v>4246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5" t="n">
        <v>46226</v>
      </c>
      <c r="C5332" s="1" t="n">
        <v>11</v>
      </c>
      <c r="D5332" s="1" t="s">
        <v>2290</v>
      </c>
      <c r="E5332" s="1" t="n">
        <v>1642</v>
      </c>
      <c r="F5332" s="1" t="s">
        <v>274</v>
      </c>
      <c r="I5332" s="1" t="n">
        <v>1033137</v>
      </c>
      <c r="J5332" s="1" t="n">
        <v>105780</v>
      </c>
      <c r="K5332" s="1" t="n">
        <v>7896289210017</v>
      </c>
      <c r="L5332" s="1" t="s">
        <v>2467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5" t="n">
        <v>46226</v>
      </c>
      <c r="C5333" s="1" t="n">
        <v>11</v>
      </c>
      <c r="D5333" s="1" t="s">
        <v>2290</v>
      </c>
      <c r="E5333" s="1" t="n">
        <v>1642</v>
      </c>
      <c r="F5333" s="1" t="s">
        <v>274</v>
      </c>
      <c r="I5333" s="1" t="n">
        <v>1033137</v>
      </c>
      <c r="J5333" s="1" t="n">
        <v>105782</v>
      </c>
      <c r="K5333" s="1" t="n">
        <v>7896289210352</v>
      </c>
      <c r="L5333" s="1" t="s">
        <v>2468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5" t="n">
        <v>46226</v>
      </c>
      <c r="C5334" s="1" t="n">
        <v>11</v>
      </c>
      <c r="D5334" s="1" t="s">
        <v>2290</v>
      </c>
      <c r="E5334" s="1" t="n">
        <v>1642</v>
      </c>
      <c r="F5334" s="1" t="s">
        <v>274</v>
      </c>
      <c r="I5334" s="1" t="n">
        <v>1033137</v>
      </c>
      <c r="J5334" s="1" t="n">
        <v>106079</v>
      </c>
      <c r="K5334" s="1" t="n">
        <v>7896289210130</v>
      </c>
      <c r="L5334" s="1" t="s">
        <v>2469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5" t="n">
        <v>46226</v>
      </c>
      <c r="C5335" s="1" t="n">
        <v>11</v>
      </c>
      <c r="D5335" s="1" t="s">
        <v>2290</v>
      </c>
      <c r="E5335" s="1" t="n">
        <v>1642</v>
      </c>
      <c r="F5335" s="1" t="s">
        <v>274</v>
      </c>
      <c r="I5335" s="1" t="n">
        <v>1033137</v>
      </c>
      <c r="J5335" s="1" t="n">
        <v>106274</v>
      </c>
      <c r="K5335" s="1" t="n">
        <v>7896289210086</v>
      </c>
      <c r="L5335" s="1" t="s">
        <v>2470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5" t="n">
        <v>46226</v>
      </c>
      <c r="C5336" s="1" t="n">
        <v>11</v>
      </c>
      <c r="D5336" s="1" t="s">
        <v>2290</v>
      </c>
      <c r="E5336" s="1" t="n">
        <v>1642</v>
      </c>
      <c r="F5336" s="1" t="s">
        <v>274</v>
      </c>
      <c r="I5336" s="1" t="n">
        <v>1033137</v>
      </c>
      <c r="J5336" s="1" t="n">
        <v>106280</v>
      </c>
      <c r="K5336" s="1" t="n">
        <v>7896289210062</v>
      </c>
      <c r="L5336" s="1" t="s">
        <v>2471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5" t="n">
        <v>46226</v>
      </c>
      <c r="C5337" s="1" t="n">
        <v>11</v>
      </c>
      <c r="D5337" s="1" t="s">
        <v>2290</v>
      </c>
      <c r="E5337" s="1" t="n">
        <v>1642</v>
      </c>
      <c r="F5337" s="1" t="s">
        <v>274</v>
      </c>
      <c r="I5337" s="1" t="n">
        <v>1033137</v>
      </c>
      <c r="J5337" s="1" t="n">
        <v>106407</v>
      </c>
      <c r="K5337" s="1" t="n">
        <v>7896289210031</v>
      </c>
      <c r="L5337" s="1" t="s">
        <v>2472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5" t="n">
        <v>46226</v>
      </c>
      <c r="C5338" s="1" t="n">
        <v>11</v>
      </c>
      <c r="D5338" s="1" t="s">
        <v>2290</v>
      </c>
      <c r="E5338" s="1" t="n">
        <v>1642</v>
      </c>
      <c r="F5338" s="1" t="s">
        <v>274</v>
      </c>
      <c r="I5338" s="1" t="n">
        <v>1033137</v>
      </c>
      <c r="J5338" s="1" t="n">
        <v>29706</v>
      </c>
      <c r="K5338" s="1" t="n">
        <v>7896289240205</v>
      </c>
      <c r="L5338" s="1" t="s">
        <v>4110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5" t="n">
        <v>46226</v>
      </c>
      <c r="C5339" s="1" t="n">
        <v>11</v>
      </c>
      <c r="D5339" s="1" t="s">
        <v>2290</v>
      </c>
      <c r="E5339" s="1" t="n">
        <v>1740</v>
      </c>
      <c r="F5339" s="1" t="s">
        <v>170</v>
      </c>
      <c r="I5339" s="1" t="n">
        <v>1250418</v>
      </c>
      <c r="J5339" s="1" t="n">
        <v>100036</v>
      </c>
      <c r="K5339" s="1" t="n">
        <v>37</v>
      </c>
      <c r="L5339" s="1" t="s">
        <v>2432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5" t="n">
        <v>46226</v>
      </c>
      <c r="C5340" s="1" t="n">
        <v>11</v>
      </c>
      <c r="D5340" s="1" t="s">
        <v>2290</v>
      </c>
      <c r="E5340" s="1" t="n">
        <v>1740</v>
      </c>
      <c r="F5340" s="1" t="s">
        <v>170</v>
      </c>
      <c r="I5340" s="1" t="n">
        <v>1250418</v>
      </c>
      <c r="J5340" s="1" t="n">
        <v>12790</v>
      </c>
      <c r="K5340" s="1" t="n">
        <v>7891164026530</v>
      </c>
      <c r="L5340" s="1" t="s">
        <v>4247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5" t="n">
        <v>46226</v>
      </c>
      <c r="C5341" s="1" t="n">
        <v>11</v>
      </c>
      <c r="D5341" s="1" t="s">
        <v>2290</v>
      </c>
      <c r="E5341" s="1" t="n">
        <v>1740</v>
      </c>
      <c r="F5341" s="1" t="s">
        <v>170</v>
      </c>
      <c r="I5341" s="1" t="n">
        <v>1250418</v>
      </c>
      <c r="J5341" s="1" t="n">
        <v>110201</v>
      </c>
      <c r="K5341" s="1" t="n">
        <v>37424</v>
      </c>
      <c r="L5341" s="1" t="s">
        <v>4027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5" t="n">
        <v>46226</v>
      </c>
      <c r="C5342" s="1" t="n">
        <v>11</v>
      </c>
      <c r="D5342" s="1" t="s">
        <v>2290</v>
      </c>
      <c r="E5342" s="1" t="n">
        <v>1740</v>
      </c>
      <c r="F5342" s="1" t="s">
        <v>170</v>
      </c>
      <c r="I5342" s="1" t="n">
        <v>1250418</v>
      </c>
      <c r="J5342" s="1" t="n">
        <v>39418</v>
      </c>
      <c r="K5342" s="1" t="n">
        <v>7891164026547</v>
      </c>
      <c r="L5342" s="1" t="s">
        <v>4248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5" t="n">
        <v>46226</v>
      </c>
      <c r="C5343" s="1" t="n">
        <v>11</v>
      </c>
      <c r="D5343" s="1" t="s">
        <v>2290</v>
      </c>
      <c r="E5343" s="1" t="n">
        <v>1740</v>
      </c>
      <c r="F5343" s="1" t="s">
        <v>170</v>
      </c>
      <c r="I5343" s="1" t="n">
        <v>1250418</v>
      </c>
      <c r="J5343" s="1" t="n">
        <v>41242</v>
      </c>
      <c r="K5343" s="1" t="n">
        <v>7891164138370</v>
      </c>
      <c r="L5343" s="1" t="s">
        <v>4028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5" t="n">
        <v>46226</v>
      </c>
      <c r="C5344" s="1" t="n">
        <v>11</v>
      </c>
      <c r="D5344" s="1" t="s">
        <v>2290</v>
      </c>
      <c r="E5344" s="1" t="n">
        <v>1740</v>
      </c>
      <c r="F5344" s="1" t="s">
        <v>170</v>
      </c>
      <c r="I5344" s="1" t="n">
        <v>1250418</v>
      </c>
      <c r="J5344" s="1" t="n">
        <v>55039</v>
      </c>
      <c r="K5344" s="1" t="n">
        <v>7891164027117</v>
      </c>
      <c r="L5344" s="1" t="s">
        <v>2996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5" t="n">
        <v>46226</v>
      </c>
      <c r="C5345" s="1" t="n">
        <v>11</v>
      </c>
      <c r="D5345" s="1" t="s">
        <v>2290</v>
      </c>
      <c r="E5345" s="1" t="n">
        <v>1740</v>
      </c>
      <c r="F5345" s="1" t="s">
        <v>170</v>
      </c>
      <c r="I5345" s="1" t="n">
        <v>1250418</v>
      </c>
      <c r="J5345" s="1" t="n">
        <v>110530</v>
      </c>
      <c r="K5345" s="1" t="n">
        <v>57638</v>
      </c>
      <c r="L5345" s="1" t="s">
        <v>2433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5" t="n">
        <v>46226</v>
      </c>
      <c r="C5346" s="1" t="n">
        <v>11</v>
      </c>
      <c r="D5346" s="1" t="s">
        <v>2290</v>
      </c>
      <c r="E5346" s="1" t="n">
        <v>1740</v>
      </c>
      <c r="F5346" s="1" t="s">
        <v>170</v>
      </c>
      <c r="I5346" s="1" t="n">
        <v>1250418</v>
      </c>
      <c r="J5346" s="1" t="n">
        <v>61465</v>
      </c>
      <c r="K5346" s="1" t="n">
        <v>7891164018535</v>
      </c>
      <c r="L5346" s="1" t="s">
        <v>3099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5" t="n">
        <v>46226</v>
      </c>
      <c r="C5347" s="1" t="n">
        <v>11</v>
      </c>
      <c r="D5347" s="1" t="s">
        <v>2290</v>
      </c>
      <c r="E5347" s="1" t="n">
        <v>1740</v>
      </c>
      <c r="F5347" s="1" t="s">
        <v>170</v>
      </c>
      <c r="I5347" s="1" t="n">
        <v>1250418</v>
      </c>
      <c r="J5347" s="1" t="n">
        <v>79194</v>
      </c>
      <c r="K5347" s="1" t="n">
        <v>7891164006846</v>
      </c>
      <c r="L5347" s="1" t="s">
        <v>4076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5" t="n">
        <v>46226</v>
      </c>
      <c r="C5348" s="1" t="n">
        <v>11</v>
      </c>
      <c r="D5348" s="1" t="s">
        <v>2290</v>
      </c>
      <c r="E5348" s="1" t="n">
        <v>1672</v>
      </c>
      <c r="F5348" s="1" t="s">
        <v>67</v>
      </c>
      <c r="I5348" s="1" t="n">
        <v>1400631</v>
      </c>
      <c r="J5348" s="1" t="n">
        <v>101308</v>
      </c>
      <c r="K5348" s="1" t="n">
        <v>7896579330098</v>
      </c>
      <c r="L5348" s="1" t="s">
        <v>2434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5" t="n">
        <v>46226</v>
      </c>
      <c r="C5349" s="1" t="n">
        <v>11</v>
      </c>
      <c r="D5349" s="1" t="s">
        <v>2290</v>
      </c>
      <c r="E5349" s="1" t="n">
        <v>1672</v>
      </c>
      <c r="F5349" s="1" t="s">
        <v>67</v>
      </c>
      <c r="I5349" s="1" t="n">
        <v>1400631</v>
      </c>
      <c r="J5349" s="1" t="n">
        <v>37507</v>
      </c>
      <c r="K5349" s="1" t="n">
        <v>7896579310854</v>
      </c>
      <c r="L5349" s="1" t="s">
        <v>2435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5" t="n">
        <v>46226</v>
      </c>
      <c r="C5350" s="1" t="n">
        <v>107</v>
      </c>
      <c r="D5350" s="1" t="s">
        <v>2735</v>
      </c>
      <c r="E5350" s="1" t="n">
        <v>1672</v>
      </c>
      <c r="F5350" s="1" t="s">
        <v>67</v>
      </c>
      <c r="I5350" s="1" t="n">
        <v>1400632</v>
      </c>
      <c r="J5350" s="1" t="n">
        <v>101308</v>
      </c>
      <c r="K5350" s="1" t="n">
        <v>7896579330098</v>
      </c>
      <c r="L5350" s="1" t="s">
        <v>2434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5" t="n">
        <v>46227</v>
      </c>
      <c r="C5351" s="1" t="n">
        <v>1</v>
      </c>
      <c r="D5351" s="1" t="s">
        <v>2317</v>
      </c>
      <c r="E5351" s="1" t="n">
        <v>10035</v>
      </c>
      <c r="F5351" s="1" t="s">
        <v>227</v>
      </c>
      <c r="I5351" s="1" t="n">
        <v>373</v>
      </c>
      <c r="J5351" s="1" t="n">
        <v>38652</v>
      </c>
      <c r="K5351" s="1" t="n">
        <v>7898994684220</v>
      </c>
      <c r="L5351" s="1" t="s">
        <v>2458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5" t="n">
        <v>46227</v>
      </c>
      <c r="C5352" s="1" t="n">
        <v>1</v>
      </c>
      <c r="D5352" s="1" t="s">
        <v>2317</v>
      </c>
      <c r="E5352" s="1" t="n">
        <v>10035</v>
      </c>
      <c r="F5352" s="1" t="s">
        <v>227</v>
      </c>
      <c r="I5352" s="1" t="n">
        <v>373</v>
      </c>
      <c r="J5352" s="1" t="n">
        <v>43726</v>
      </c>
      <c r="K5352" s="1" t="n">
        <v>2245461</v>
      </c>
      <c r="L5352" s="1" t="s">
        <v>2460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5" t="n">
        <v>46227</v>
      </c>
      <c r="C5353" s="1" t="n">
        <v>6</v>
      </c>
      <c r="D5353" s="1" t="s">
        <v>2289</v>
      </c>
      <c r="E5353" s="1" t="n">
        <v>42</v>
      </c>
      <c r="F5353" s="1" t="s">
        <v>80</v>
      </c>
      <c r="I5353" s="1" t="n">
        <v>4417</v>
      </c>
      <c r="J5353" s="1" t="n">
        <v>100112</v>
      </c>
      <c r="K5353" s="1" t="n">
        <v>113</v>
      </c>
      <c r="L5353" s="1" t="s">
        <v>2325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5" t="n">
        <v>46227</v>
      </c>
      <c r="C5354" s="1" t="n">
        <v>6</v>
      </c>
      <c r="D5354" s="1" t="s">
        <v>2289</v>
      </c>
      <c r="E5354" s="1" t="n">
        <v>42</v>
      </c>
      <c r="F5354" s="1" t="s">
        <v>80</v>
      </c>
      <c r="I5354" s="1" t="n">
        <v>4417</v>
      </c>
      <c r="J5354" s="1" t="n">
        <v>100140</v>
      </c>
      <c r="K5354" s="1" t="n">
        <v>141</v>
      </c>
      <c r="L5354" s="1" t="s">
        <v>3840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5" t="n">
        <v>46227</v>
      </c>
      <c r="C5355" s="1" t="n">
        <v>6</v>
      </c>
      <c r="D5355" s="1" t="s">
        <v>2289</v>
      </c>
      <c r="E5355" s="1" t="n">
        <v>42</v>
      </c>
      <c r="F5355" s="1" t="s">
        <v>80</v>
      </c>
      <c r="I5355" s="1" t="n">
        <v>4418</v>
      </c>
      <c r="J5355" s="1" t="n">
        <v>72679</v>
      </c>
      <c r="K5355" s="1" t="n">
        <v>246</v>
      </c>
      <c r="L5355" s="1" t="s">
        <v>2288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5" t="n">
        <v>46227</v>
      </c>
      <c r="C5356" s="1" t="n">
        <v>6</v>
      </c>
      <c r="D5356" s="1" t="s">
        <v>2289</v>
      </c>
      <c r="E5356" s="1" t="n">
        <v>42</v>
      </c>
      <c r="F5356" s="1" t="s">
        <v>80</v>
      </c>
      <c r="I5356" s="1" t="n">
        <v>4419</v>
      </c>
      <c r="J5356" s="1" t="n">
        <v>37361</v>
      </c>
      <c r="K5356" s="1" t="n">
        <v>2240817</v>
      </c>
      <c r="L5356" s="1" t="s">
        <v>2286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5" t="n">
        <v>46227</v>
      </c>
      <c r="C5357" s="1" t="n">
        <v>6</v>
      </c>
      <c r="D5357" s="1" t="s">
        <v>2289</v>
      </c>
      <c r="E5357" s="1" t="n">
        <v>42</v>
      </c>
      <c r="F5357" s="1" t="s">
        <v>80</v>
      </c>
      <c r="I5357" s="1" t="n">
        <v>4420</v>
      </c>
      <c r="J5357" s="1" t="n">
        <v>100062</v>
      </c>
      <c r="K5357" s="1" t="n">
        <v>63</v>
      </c>
      <c r="L5357" s="1" t="s">
        <v>2320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5" t="n">
        <v>46227</v>
      </c>
      <c r="C5358" s="1" t="n">
        <v>6</v>
      </c>
      <c r="D5358" s="1" t="s">
        <v>2289</v>
      </c>
      <c r="E5358" s="1" t="n">
        <v>42</v>
      </c>
      <c r="F5358" s="1" t="s">
        <v>80</v>
      </c>
      <c r="I5358" s="1" t="n">
        <v>4420</v>
      </c>
      <c r="J5358" s="1" t="n">
        <v>100104</v>
      </c>
      <c r="K5358" s="1" t="n">
        <v>105</v>
      </c>
      <c r="L5358" s="1" t="s">
        <v>2321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5" t="n">
        <v>46227</v>
      </c>
      <c r="C5359" s="1" t="n">
        <v>6</v>
      </c>
      <c r="D5359" s="1" t="s">
        <v>2289</v>
      </c>
      <c r="E5359" s="1" t="n">
        <v>42</v>
      </c>
      <c r="F5359" s="1" t="s">
        <v>80</v>
      </c>
      <c r="I5359" s="1" t="n">
        <v>4420</v>
      </c>
      <c r="J5359" s="1" t="n">
        <v>100105</v>
      </c>
      <c r="K5359" s="1" t="n">
        <v>106</v>
      </c>
      <c r="L5359" s="1" t="s">
        <v>2322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5" t="n">
        <v>46227</v>
      </c>
      <c r="C5360" s="1" t="n">
        <v>6</v>
      </c>
      <c r="D5360" s="1" t="s">
        <v>2289</v>
      </c>
      <c r="E5360" s="1" t="n">
        <v>42</v>
      </c>
      <c r="F5360" s="1" t="s">
        <v>80</v>
      </c>
      <c r="I5360" s="1" t="n">
        <v>4420</v>
      </c>
      <c r="J5360" s="1" t="n">
        <v>100107</v>
      </c>
      <c r="K5360" s="1" t="n">
        <v>108</v>
      </c>
      <c r="L5360" s="1" t="s">
        <v>2323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5" t="n">
        <v>46227</v>
      </c>
      <c r="C5361" s="1" t="n">
        <v>6</v>
      </c>
      <c r="D5361" s="1" t="s">
        <v>2289</v>
      </c>
      <c r="E5361" s="1" t="n">
        <v>42</v>
      </c>
      <c r="F5361" s="1" t="s">
        <v>80</v>
      </c>
      <c r="I5361" s="1" t="n">
        <v>4420</v>
      </c>
      <c r="J5361" s="1" t="n">
        <v>100109</v>
      </c>
      <c r="K5361" s="1" t="n">
        <v>110</v>
      </c>
      <c r="L5361" s="1" t="s">
        <v>2324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5" t="n">
        <v>46227</v>
      </c>
      <c r="C5362" s="1" t="n">
        <v>6</v>
      </c>
      <c r="D5362" s="1" t="s">
        <v>2289</v>
      </c>
      <c r="E5362" s="1" t="n">
        <v>42</v>
      </c>
      <c r="F5362" s="1" t="s">
        <v>80</v>
      </c>
      <c r="I5362" s="1" t="n">
        <v>4420</v>
      </c>
      <c r="J5362" s="1" t="n">
        <v>100110</v>
      </c>
      <c r="K5362" s="1" t="n">
        <v>111</v>
      </c>
      <c r="L5362" s="1" t="s">
        <v>2473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5" t="n">
        <v>46227</v>
      </c>
      <c r="C5363" s="1" t="n">
        <v>6</v>
      </c>
      <c r="D5363" s="1" t="s">
        <v>2289</v>
      </c>
      <c r="E5363" s="1" t="n">
        <v>42</v>
      </c>
      <c r="F5363" s="1" t="s">
        <v>80</v>
      </c>
      <c r="I5363" s="1" t="n">
        <v>4420</v>
      </c>
      <c r="J5363" s="1" t="n">
        <v>100113</v>
      </c>
      <c r="K5363" s="1" t="n">
        <v>114</v>
      </c>
      <c r="L5363" s="1" t="s">
        <v>2326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5" t="n">
        <v>46227</v>
      </c>
      <c r="C5364" s="1" t="n">
        <v>6</v>
      </c>
      <c r="D5364" s="1" t="s">
        <v>2289</v>
      </c>
      <c r="E5364" s="1" t="n">
        <v>42</v>
      </c>
      <c r="F5364" s="1" t="s">
        <v>80</v>
      </c>
      <c r="I5364" s="1" t="n">
        <v>4420</v>
      </c>
      <c r="J5364" s="1" t="n">
        <v>100115</v>
      </c>
      <c r="K5364" s="1" t="n">
        <v>116</v>
      </c>
      <c r="L5364" s="1" t="s">
        <v>2474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5" t="n">
        <v>46227</v>
      </c>
      <c r="C5365" s="1" t="n">
        <v>6</v>
      </c>
      <c r="D5365" s="1" t="s">
        <v>2289</v>
      </c>
      <c r="E5365" s="1" t="n">
        <v>42</v>
      </c>
      <c r="F5365" s="1" t="s">
        <v>80</v>
      </c>
      <c r="I5365" s="1" t="n">
        <v>4420</v>
      </c>
      <c r="J5365" s="1" t="n">
        <v>100116</v>
      </c>
      <c r="K5365" s="1" t="n">
        <v>117</v>
      </c>
      <c r="L5365" s="1" t="s">
        <v>2327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5" t="n">
        <v>46227</v>
      </c>
      <c r="C5366" s="1" t="n">
        <v>6</v>
      </c>
      <c r="D5366" s="1" t="s">
        <v>2289</v>
      </c>
      <c r="E5366" s="1" t="n">
        <v>42</v>
      </c>
      <c r="F5366" s="1" t="s">
        <v>80</v>
      </c>
      <c r="I5366" s="1" t="n">
        <v>4420</v>
      </c>
      <c r="J5366" s="1" t="n">
        <v>100118</v>
      </c>
      <c r="K5366" s="1" t="n">
        <v>119</v>
      </c>
      <c r="L5366" s="1" t="s">
        <v>2328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5" t="n">
        <v>46227</v>
      </c>
      <c r="C5367" s="1" t="n">
        <v>6</v>
      </c>
      <c r="D5367" s="1" t="s">
        <v>2289</v>
      </c>
      <c r="E5367" s="1" t="n">
        <v>42</v>
      </c>
      <c r="F5367" s="1" t="s">
        <v>80</v>
      </c>
      <c r="I5367" s="1" t="n">
        <v>4420</v>
      </c>
      <c r="J5367" s="1" t="n">
        <v>100121</v>
      </c>
      <c r="K5367" s="1" t="n">
        <v>122</v>
      </c>
      <c r="L5367" s="1" t="s">
        <v>2329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5" t="n">
        <v>46227</v>
      </c>
      <c r="C5368" s="1" t="n">
        <v>6</v>
      </c>
      <c r="D5368" s="1" t="s">
        <v>2289</v>
      </c>
      <c r="E5368" s="1" t="n">
        <v>42</v>
      </c>
      <c r="F5368" s="1" t="s">
        <v>80</v>
      </c>
      <c r="I5368" s="1" t="n">
        <v>4420</v>
      </c>
      <c r="J5368" s="1" t="n">
        <v>100124</v>
      </c>
      <c r="K5368" s="1" t="n">
        <v>125</v>
      </c>
      <c r="L5368" s="1" t="s">
        <v>2476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5" t="n">
        <v>46227</v>
      </c>
      <c r="C5369" s="1" t="n">
        <v>6</v>
      </c>
      <c r="D5369" s="1" t="s">
        <v>2289</v>
      </c>
      <c r="E5369" s="1" t="n">
        <v>42</v>
      </c>
      <c r="F5369" s="1" t="s">
        <v>80</v>
      </c>
      <c r="I5369" s="1" t="n">
        <v>4420</v>
      </c>
      <c r="J5369" s="1" t="n">
        <v>100125</v>
      </c>
      <c r="K5369" s="1" t="n">
        <v>126</v>
      </c>
      <c r="L5369" s="1" t="s">
        <v>2477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5" t="n">
        <v>46227</v>
      </c>
      <c r="C5370" s="1" t="n">
        <v>6</v>
      </c>
      <c r="D5370" s="1" t="s">
        <v>2289</v>
      </c>
      <c r="E5370" s="1" t="n">
        <v>42</v>
      </c>
      <c r="F5370" s="1" t="s">
        <v>80</v>
      </c>
      <c r="I5370" s="1" t="n">
        <v>4420</v>
      </c>
      <c r="J5370" s="1" t="n">
        <v>100130</v>
      </c>
      <c r="K5370" s="1" t="n">
        <v>131</v>
      </c>
      <c r="L5370" s="1" t="s">
        <v>2331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5" t="n">
        <v>46227</v>
      </c>
      <c r="C5371" s="1" t="n">
        <v>6</v>
      </c>
      <c r="D5371" s="1" t="s">
        <v>2289</v>
      </c>
      <c r="E5371" s="1" t="n">
        <v>42</v>
      </c>
      <c r="F5371" s="1" t="s">
        <v>80</v>
      </c>
      <c r="I5371" s="1" t="n">
        <v>4420</v>
      </c>
      <c r="J5371" s="1" t="n">
        <v>100132</v>
      </c>
      <c r="K5371" s="1" t="n">
        <v>133</v>
      </c>
      <c r="L5371" s="1" t="s">
        <v>3104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5" t="n">
        <v>46227</v>
      </c>
      <c r="C5372" s="1" t="n">
        <v>6</v>
      </c>
      <c r="D5372" s="1" t="s">
        <v>2289</v>
      </c>
      <c r="E5372" s="1" t="n">
        <v>42</v>
      </c>
      <c r="F5372" s="1" t="s">
        <v>80</v>
      </c>
      <c r="I5372" s="1" t="n">
        <v>4420</v>
      </c>
      <c r="J5372" s="1" t="n">
        <v>100133</v>
      </c>
      <c r="K5372" s="1" t="n">
        <v>134</v>
      </c>
      <c r="L5372" s="1" t="s">
        <v>2332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5" t="n">
        <v>46227</v>
      </c>
      <c r="C5373" s="1" t="n">
        <v>6</v>
      </c>
      <c r="D5373" s="1" t="s">
        <v>2289</v>
      </c>
      <c r="E5373" s="1" t="n">
        <v>42</v>
      </c>
      <c r="F5373" s="1" t="s">
        <v>80</v>
      </c>
      <c r="I5373" s="1" t="n">
        <v>4420</v>
      </c>
      <c r="J5373" s="1" t="n">
        <v>100148</v>
      </c>
      <c r="K5373" s="1" t="n">
        <v>149</v>
      </c>
      <c r="L5373" s="1" t="s">
        <v>2676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5" t="n">
        <v>46227</v>
      </c>
      <c r="C5374" s="1" t="n">
        <v>6</v>
      </c>
      <c r="D5374" s="1" t="s">
        <v>2289</v>
      </c>
      <c r="E5374" s="1" t="n">
        <v>42</v>
      </c>
      <c r="F5374" s="1" t="s">
        <v>80</v>
      </c>
      <c r="I5374" s="1" t="n">
        <v>4420</v>
      </c>
      <c r="J5374" s="1" t="n">
        <v>110142</v>
      </c>
      <c r="K5374" s="1" t="n">
        <v>16699</v>
      </c>
      <c r="L5374" s="1" t="s">
        <v>2334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5" t="n">
        <v>46227</v>
      </c>
      <c r="C5375" s="1" t="n">
        <v>6</v>
      </c>
      <c r="D5375" s="1" t="s">
        <v>2289</v>
      </c>
      <c r="E5375" s="1" t="n">
        <v>42</v>
      </c>
      <c r="F5375" s="1" t="s">
        <v>80</v>
      </c>
      <c r="I5375" s="1" t="n">
        <v>4420</v>
      </c>
      <c r="J5375" s="1" t="n">
        <v>110265</v>
      </c>
      <c r="K5375" s="1" t="n">
        <v>41346</v>
      </c>
      <c r="L5375" s="1" t="s">
        <v>2478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5" t="n">
        <v>46227</v>
      </c>
      <c r="C5376" s="1" t="n">
        <v>11</v>
      </c>
      <c r="D5376" s="1" t="s">
        <v>2290</v>
      </c>
      <c r="E5376" s="1" t="n">
        <v>10096</v>
      </c>
      <c r="F5376" s="1" t="s">
        <v>1232</v>
      </c>
      <c r="I5376" s="1" t="n">
        <v>73</v>
      </c>
      <c r="J5376" s="1" t="n">
        <v>61580</v>
      </c>
      <c r="K5376" s="1" t="n">
        <v>2258157</v>
      </c>
      <c r="L5376" s="1" t="s">
        <v>2339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5" t="n">
        <v>46227</v>
      </c>
      <c r="C5377" s="1" t="n">
        <v>11</v>
      </c>
      <c r="D5377" s="1" t="s">
        <v>2290</v>
      </c>
      <c r="E5377" s="1" t="n">
        <v>10061</v>
      </c>
      <c r="F5377" s="1" t="s">
        <v>465</v>
      </c>
      <c r="I5377" s="1" t="n">
        <v>1133</v>
      </c>
      <c r="J5377" s="1" t="n">
        <v>18846</v>
      </c>
      <c r="K5377" s="1" t="n">
        <v>7898332870056</v>
      </c>
      <c r="L5377" s="1" t="s">
        <v>4044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5" t="n">
        <v>46227</v>
      </c>
      <c r="C5378" s="1" t="n">
        <v>11</v>
      </c>
      <c r="D5378" s="1" t="s">
        <v>2290</v>
      </c>
      <c r="E5378" s="1" t="n">
        <v>10061</v>
      </c>
      <c r="F5378" s="1" t="s">
        <v>465</v>
      </c>
      <c r="I5378" s="1" t="n">
        <v>1133</v>
      </c>
      <c r="J5378" s="1" t="n">
        <v>31316</v>
      </c>
      <c r="K5378" s="1" t="n">
        <v>7898332870391</v>
      </c>
      <c r="L5378" s="1" t="s">
        <v>4249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5" t="n">
        <v>46227</v>
      </c>
      <c r="C5379" s="1" t="n">
        <v>11</v>
      </c>
      <c r="D5379" s="1" t="s">
        <v>2290</v>
      </c>
      <c r="E5379" s="1" t="n">
        <v>10061</v>
      </c>
      <c r="F5379" s="1" t="s">
        <v>465</v>
      </c>
      <c r="I5379" s="1" t="n">
        <v>1133</v>
      </c>
      <c r="J5379" s="1" t="n">
        <v>40257</v>
      </c>
      <c r="K5379" s="1" t="n">
        <v>7898332870438</v>
      </c>
      <c r="L5379" s="1" t="s">
        <v>2670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5" t="n">
        <v>46227</v>
      </c>
      <c r="C5380" s="1" t="n">
        <v>11</v>
      </c>
      <c r="D5380" s="1" t="s">
        <v>2290</v>
      </c>
      <c r="E5380" s="1" t="n">
        <v>10063</v>
      </c>
      <c r="F5380" s="1" t="s">
        <v>218</v>
      </c>
      <c r="I5380" s="1" t="n">
        <v>2587</v>
      </c>
      <c r="J5380" s="1" t="n">
        <v>100174</v>
      </c>
      <c r="K5380" s="1" t="n">
        <v>7898141930286</v>
      </c>
      <c r="L5380" s="1" t="s">
        <v>2519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5" t="n">
        <v>46227</v>
      </c>
      <c r="C5381" s="1" t="n">
        <v>11</v>
      </c>
      <c r="D5381" s="1" t="s">
        <v>2290</v>
      </c>
      <c r="E5381" s="1" t="n">
        <v>10063</v>
      </c>
      <c r="F5381" s="1" t="s">
        <v>218</v>
      </c>
      <c r="I5381" s="1" t="n">
        <v>2587</v>
      </c>
      <c r="J5381" s="1" t="n">
        <v>100933</v>
      </c>
      <c r="K5381" s="1" t="n">
        <v>7896982100059</v>
      </c>
      <c r="L5381" s="1" t="s">
        <v>2520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5" t="n">
        <v>46227</v>
      </c>
      <c r="C5382" s="1" t="n">
        <v>11</v>
      </c>
      <c r="D5382" s="1" t="s">
        <v>2290</v>
      </c>
      <c r="E5382" s="1" t="n">
        <v>1615</v>
      </c>
      <c r="F5382" s="1" t="s">
        <v>130</v>
      </c>
      <c r="I5382" s="1" t="n">
        <v>14946</v>
      </c>
      <c r="J5382" s="1" t="n">
        <v>100114</v>
      </c>
      <c r="K5382" s="1" t="n">
        <v>115</v>
      </c>
      <c r="L5382" s="1" t="s">
        <v>2568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5" t="n">
        <v>46227</v>
      </c>
      <c r="C5383" s="1" t="n">
        <v>11</v>
      </c>
      <c r="D5383" s="1" t="s">
        <v>2290</v>
      </c>
      <c r="E5383" s="1" t="n">
        <v>1615</v>
      </c>
      <c r="F5383" s="1" t="s">
        <v>130</v>
      </c>
      <c r="I5383" s="1" t="n">
        <v>14946</v>
      </c>
      <c r="J5383" s="1" t="n">
        <v>37771</v>
      </c>
      <c r="K5383" s="1" t="n">
        <v>774574</v>
      </c>
      <c r="L5383" s="1" t="s">
        <v>2569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5" t="n">
        <v>46227</v>
      </c>
      <c r="C5384" s="1" t="n">
        <v>11</v>
      </c>
      <c r="D5384" s="1" t="s">
        <v>2290</v>
      </c>
      <c r="E5384" s="1" t="n">
        <v>1608</v>
      </c>
      <c r="F5384" s="1" t="s">
        <v>41</v>
      </c>
      <c r="I5384" s="1" t="n">
        <v>1699133</v>
      </c>
      <c r="J5384" s="1" t="n">
        <v>40020</v>
      </c>
      <c r="K5384" s="1" t="n">
        <v>7891132110216</v>
      </c>
      <c r="L5384" s="1" t="s">
        <v>3615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5" t="n">
        <v>46227</v>
      </c>
      <c r="C5385" s="1" t="n">
        <v>11</v>
      </c>
      <c r="D5385" s="1" t="s">
        <v>2290</v>
      </c>
      <c r="E5385" s="1" t="n">
        <v>1608</v>
      </c>
      <c r="F5385" s="1" t="s">
        <v>41</v>
      </c>
      <c r="I5385" s="1" t="n">
        <v>1699133</v>
      </c>
      <c r="J5385" s="1" t="n">
        <v>102476</v>
      </c>
      <c r="K5385" s="1" t="n">
        <v>7891132019021</v>
      </c>
      <c r="L5385" s="1" t="s">
        <v>3617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5" t="n">
        <v>46227</v>
      </c>
      <c r="C5386" s="1" t="n">
        <v>11</v>
      </c>
      <c r="D5386" s="1" t="s">
        <v>2290</v>
      </c>
      <c r="E5386" s="1" t="n">
        <v>1608</v>
      </c>
      <c r="F5386" s="1" t="s">
        <v>41</v>
      </c>
      <c r="I5386" s="1" t="n">
        <v>1699133</v>
      </c>
      <c r="J5386" s="1" t="n">
        <v>102477</v>
      </c>
      <c r="K5386" s="1" t="n">
        <v>7891132019038</v>
      </c>
      <c r="L5386" s="1" t="s">
        <v>4250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5" t="n">
        <v>46227</v>
      </c>
      <c r="C5387" s="1" t="n">
        <v>11</v>
      </c>
      <c r="D5387" s="1" t="s">
        <v>2290</v>
      </c>
      <c r="E5387" s="1" t="n">
        <v>1608</v>
      </c>
      <c r="F5387" s="1" t="s">
        <v>41</v>
      </c>
      <c r="I5387" s="1" t="n">
        <v>1699133</v>
      </c>
      <c r="J5387" s="1" t="n">
        <v>102511</v>
      </c>
      <c r="K5387" s="1" t="n">
        <v>7891132012015</v>
      </c>
      <c r="L5387" s="1" t="s">
        <v>4251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5" t="n">
        <v>46227</v>
      </c>
      <c r="C5388" s="1" t="n">
        <v>11</v>
      </c>
      <c r="D5388" s="1" t="s">
        <v>2290</v>
      </c>
      <c r="E5388" s="1" t="n">
        <v>1608</v>
      </c>
      <c r="F5388" s="1" t="s">
        <v>41</v>
      </c>
      <c r="I5388" s="1" t="n">
        <v>1699133</v>
      </c>
      <c r="J5388" s="1" t="n">
        <v>102512</v>
      </c>
      <c r="K5388" s="1" t="n">
        <v>7891132019274</v>
      </c>
      <c r="L5388" s="1" t="s">
        <v>3618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5" t="n">
        <v>46227</v>
      </c>
      <c r="C5389" s="1" t="n">
        <v>11</v>
      </c>
      <c r="D5389" s="1" t="s">
        <v>2290</v>
      </c>
      <c r="E5389" s="1" t="n">
        <v>1608</v>
      </c>
      <c r="F5389" s="1" t="s">
        <v>41</v>
      </c>
      <c r="I5389" s="1" t="n">
        <v>1699133</v>
      </c>
      <c r="J5389" s="1" t="n">
        <v>102517</v>
      </c>
      <c r="K5389" s="1" t="n">
        <v>7891132019281</v>
      </c>
      <c r="L5389" s="1" t="s">
        <v>3620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5" t="n">
        <v>46227</v>
      </c>
      <c r="C5390" s="1" t="n">
        <v>11</v>
      </c>
      <c r="D5390" s="1" t="s">
        <v>2290</v>
      </c>
      <c r="E5390" s="1" t="n">
        <v>1608</v>
      </c>
      <c r="F5390" s="1" t="s">
        <v>41</v>
      </c>
      <c r="I5390" s="1" t="n">
        <v>1699133</v>
      </c>
      <c r="J5390" s="1" t="n">
        <v>102973</v>
      </c>
      <c r="K5390" s="1" t="n">
        <v>7896009728013</v>
      </c>
      <c r="L5390" s="1" t="s">
        <v>4252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5" t="n">
        <v>46227</v>
      </c>
      <c r="C5391" s="1" t="n">
        <v>11</v>
      </c>
      <c r="D5391" s="1" t="s">
        <v>2290</v>
      </c>
      <c r="E5391" s="1" t="n">
        <v>1608</v>
      </c>
      <c r="F5391" s="1" t="s">
        <v>41</v>
      </c>
      <c r="I5391" s="1" t="n">
        <v>1699133</v>
      </c>
      <c r="J5391" s="1" t="n">
        <v>109870</v>
      </c>
      <c r="K5391" s="1" t="n">
        <v>7891079011805</v>
      </c>
      <c r="L5391" s="1" t="s">
        <v>4113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5" t="n">
        <v>46227</v>
      </c>
      <c r="C5392" s="1" t="n">
        <v>11</v>
      </c>
      <c r="D5392" s="1" t="s">
        <v>2290</v>
      </c>
      <c r="E5392" s="1" t="n">
        <v>1608</v>
      </c>
      <c r="F5392" s="1" t="s">
        <v>41</v>
      </c>
      <c r="I5392" s="1" t="n">
        <v>1699133</v>
      </c>
      <c r="J5392" s="1" t="n">
        <v>10667</v>
      </c>
      <c r="K5392" s="1" t="n">
        <v>7891079011812</v>
      </c>
      <c r="L5392" s="1" t="s">
        <v>4115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5" t="n">
        <v>46227</v>
      </c>
      <c r="C5393" s="1" t="n">
        <v>11</v>
      </c>
      <c r="D5393" s="1" t="s">
        <v>2290</v>
      </c>
      <c r="E5393" s="1" t="n">
        <v>1608</v>
      </c>
      <c r="F5393" s="1" t="s">
        <v>41</v>
      </c>
      <c r="I5393" s="1" t="n">
        <v>1699133</v>
      </c>
      <c r="J5393" s="1" t="n">
        <v>19599</v>
      </c>
      <c r="K5393" s="1" t="n">
        <v>7891132010080</v>
      </c>
      <c r="L5393" s="1" t="s">
        <v>4253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5" t="n">
        <v>46227</v>
      </c>
      <c r="C5394" s="1" t="n">
        <v>11</v>
      </c>
      <c r="D5394" s="1" t="s">
        <v>2290</v>
      </c>
      <c r="E5394" s="1" t="n">
        <v>1608</v>
      </c>
      <c r="F5394" s="1" t="s">
        <v>41</v>
      </c>
      <c r="I5394" s="1" t="n">
        <v>1699133</v>
      </c>
      <c r="J5394" s="1" t="n">
        <v>20040</v>
      </c>
      <c r="K5394" s="1" t="n">
        <v>7891132008421</v>
      </c>
      <c r="L5394" s="1" t="s">
        <v>3623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5" t="n">
        <v>46227</v>
      </c>
      <c r="C5395" s="1" t="n">
        <v>11</v>
      </c>
      <c r="D5395" s="1" t="s">
        <v>2290</v>
      </c>
      <c r="E5395" s="1" t="n">
        <v>1608</v>
      </c>
      <c r="F5395" s="1" t="s">
        <v>41</v>
      </c>
      <c r="I5395" s="1" t="n">
        <v>1699133</v>
      </c>
      <c r="J5395" s="1" t="n">
        <v>20041</v>
      </c>
      <c r="K5395" s="1" t="n">
        <v>7891132008391</v>
      </c>
      <c r="L5395" s="1" t="s">
        <v>3624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5" t="n">
        <v>46227</v>
      </c>
      <c r="C5396" s="1" t="n">
        <v>11</v>
      </c>
      <c r="D5396" s="1" t="s">
        <v>2290</v>
      </c>
      <c r="E5396" s="1" t="n">
        <v>1608</v>
      </c>
      <c r="F5396" s="1" t="s">
        <v>41</v>
      </c>
      <c r="I5396" s="1" t="n">
        <v>1699133</v>
      </c>
      <c r="J5396" s="1" t="n">
        <v>28539</v>
      </c>
      <c r="K5396" s="1" t="n">
        <v>7891132082469</v>
      </c>
      <c r="L5396" s="1" t="s">
        <v>4254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5" t="n">
        <v>46227</v>
      </c>
      <c r="C5397" s="1" t="n">
        <v>11</v>
      </c>
      <c r="D5397" s="1" t="s">
        <v>2290</v>
      </c>
      <c r="E5397" s="1" t="n">
        <v>1608</v>
      </c>
      <c r="F5397" s="1" t="s">
        <v>41</v>
      </c>
      <c r="I5397" s="1" t="n">
        <v>1699133</v>
      </c>
      <c r="J5397" s="1" t="n">
        <v>28766</v>
      </c>
      <c r="K5397" s="1" t="n">
        <v>7891132083084</v>
      </c>
      <c r="L5397" s="1" t="s">
        <v>4255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5" t="n">
        <v>46227</v>
      </c>
      <c r="C5398" s="1" t="n">
        <v>11</v>
      </c>
      <c r="D5398" s="1" t="s">
        <v>2290</v>
      </c>
      <c r="E5398" s="1" t="n">
        <v>1608</v>
      </c>
      <c r="F5398" s="1" t="s">
        <v>41</v>
      </c>
      <c r="I5398" s="1" t="n">
        <v>1699133</v>
      </c>
      <c r="J5398" s="1" t="n">
        <v>30996</v>
      </c>
      <c r="K5398" s="1" t="n">
        <v>7891079013359</v>
      </c>
      <c r="L5398" s="1" t="s">
        <v>4256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5" t="n">
        <v>46227</v>
      </c>
      <c r="C5399" s="1" t="n">
        <v>11</v>
      </c>
      <c r="D5399" s="1" t="s">
        <v>2290</v>
      </c>
      <c r="E5399" s="1" t="n">
        <v>1608</v>
      </c>
      <c r="F5399" s="1" t="s">
        <v>41</v>
      </c>
      <c r="I5399" s="1" t="n">
        <v>1699133</v>
      </c>
      <c r="J5399" s="1" t="n">
        <v>31069</v>
      </c>
      <c r="K5399" s="1" t="n">
        <v>7891079013342</v>
      </c>
      <c r="L5399" s="1" t="s">
        <v>4257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5" t="n">
        <v>46227</v>
      </c>
      <c r="C5400" s="1" t="n">
        <v>11</v>
      </c>
      <c r="D5400" s="1" t="s">
        <v>2290</v>
      </c>
      <c r="E5400" s="1" t="n">
        <v>1608</v>
      </c>
      <c r="F5400" s="1" t="s">
        <v>41</v>
      </c>
      <c r="I5400" s="1" t="n">
        <v>1699133</v>
      </c>
      <c r="J5400" s="1" t="n">
        <v>35875</v>
      </c>
      <c r="K5400" s="1" t="n">
        <v>7891132082384</v>
      </c>
      <c r="L5400" s="1" t="s">
        <v>4258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5" t="n">
        <v>46227</v>
      </c>
      <c r="C5401" s="1" t="n">
        <v>11</v>
      </c>
      <c r="D5401" s="1" t="s">
        <v>2290</v>
      </c>
      <c r="E5401" s="1" t="n">
        <v>1608</v>
      </c>
      <c r="F5401" s="1" t="s">
        <v>41</v>
      </c>
      <c r="I5401" s="1" t="n">
        <v>1699133</v>
      </c>
      <c r="J5401" s="1" t="n">
        <v>35876</v>
      </c>
      <c r="K5401" s="1" t="n">
        <v>7891132082520</v>
      </c>
      <c r="L5401" s="1" t="s">
        <v>4259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5" t="n">
        <v>46227</v>
      </c>
      <c r="C5402" s="1" t="n">
        <v>11</v>
      </c>
      <c r="D5402" s="1" t="s">
        <v>2290</v>
      </c>
      <c r="E5402" s="1" t="n">
        <v>1608</v>
      </c>
      <c r="F5402" s="1" t="s">
        <v>41</v>
      </c>
      <c r="I5402" s="1" t="n">
        <v>1699133</v>
      </c>
      <c r="J5402" s="1" t="n">
        <v>35877</v>
      </c>
      <c r="K5402" s="1" t="n">
        <v>7891132082445</v>
      </c>
      <c r="L5402" s="1" t="s">
        <v>4260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5" t="n">
        <v>46227</v>
      </c>
      <c r="C5403" s="1" t="n">
        <v>11</v>
      </c>
      <c r="D5403" s="1" t="s">
        <v>2290</v>
      </c>
      <c r="E5403" s="1" t="n">
        <v>1608</v>
      </c>
      <c r="F5403" s="1" t="s">
        <v>41</v>
      </c>
      <c r="I5403" s="1" t="n">
        <v>1699133</v>
      </c>
      <c r="J5403" s="1" t="n">
        <v>36696</v>
      </c>
      <c r="K5403" s="1" t="n">
        <v>7891132082261</v>
      </c>
      <c r="L5403" s="1" t="s">
        <v>4261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5" t="n">
        <v>46227</v>
      </c>
      <c r="C5404" s="1" t="n">
        <v>11</v>
      </c>
      <c r="D5404" s="1" t="s">
        <v>2290</v>
      </c>
      <c r="E5404" s="1" t="n">
        <v>1608</v>
      </c>
      <c r="F5404" s="1" t="s">
        <v>41</v>
      </c>
      <c r="I5404" s="1" t="n">
        <v>1699133</v>
      </c>
      <c r="J5404" s="1" t="n">
        <v>36697</v>
      </c>
      <c r="K5404" s="1" t="n">
        <v>7891132082360</v>
      </c>
      <c r="L5404" s="1" t="s">
        <v>4262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5" t="n">
        <v>46227</v>
      </c>
      <c r="C5405" s="1" t="n">
        <v>11</v>
      </c>
      <c r="D5405" s="1" t="s">
        <v>2290</v>
      </c>
      <c r="E5405" s="1" t="n">
        <v>1608</v>
      </c>
      <c r="F5405" s="1" t="s">
        <v>41</v>
      </c>
      <c r="I5405" s="1" t="n">
        <v>1699133</v>
      </c>
      <c r="J5405" s="1" t="n">
        <v>36698</v>
      </c>
      <c r="K5405" s="1" t="n">
        <v>7891132082322</v>
      </c>
      <c r="L5405" s="1" t="s">
        <v>4263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5" t="n">
        <v>46227</v>
      </c>
      <c r="C5406" s="1" t="n">
        <v>11</v>
      </c>
      <c r="D5406" s="1" t="s">
        <v>2290</v>
      </c>
      <c r="E5406" s="1" t="n">
        <v>1608</v>
      </c>
      <c r="F5406" s="1" t="s">
        <v>41</v>
      </c>
      <c r="I5406" s="1" t="n">
        <v>1699133</v>
      </c>
      <c r="J5406" s="1" t="n">
        <v>36699</v>
      </c>
      <c r="K5406" s="1" t="n">
        <v>7891132082483</v>
      </c>
      <c r="L5406" s="1" t="s">
        <v>4264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5" t="n">
        <v>46227</v>
      </c>
      <c r="C5407" s="1" t="n">
        <v>11</v>
      </c>
      <c r="D5407" s="1" t="s">
        <v>2290</v>
      </c>
      <c r="E5407" s="1" t="n">
        <v>1608</v>
      </c>
      <c r="F5407" s="1" t="s">
        <v>41</v>
      </c>
      <c r="I5407" s="1" t="n">
        <v>1699133</v>
      </c>
      <c r="J5407" s="1" t="n">
        <v>36700</v>
      </c>
      <c r="K5407" s="1" t="n">
        <v>7891132082346</v>
      </c>
      <c r="L5407" s="1" t="s">
        <v>4265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5" t="n">
        <v>46227</v>
      </c>
      <c r="C5408" s="1" t="n">
        <v>11</v>
      </c>
      <c r="D5408" s="1" t="s">
        <v>2290</v>
      </c>
      <c r="E5408" s="1" t="n">
        <v>1608</v>
      </c>
      <c r="F5408" s="1" t="s">
        <v>41</v>
      </c>
      <c r="I5408" s="1" t="n">
        <v>1699133</v>
      </c>
      <c r="J5408" s="1" t="n">
        <v>36703</v>
      </c>
      <c r="K5408" s="1" t="n">
        <v>7891132082285</v>
      </c>
      <c r="L5408" s="1" t="s">
        <v>4266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5" t="n">
        <v>46227</v>
      </c>
      <c r="C5409" s="1" t="n">
        <v>11</v>
      </c>
      <c r="D5409" s="1" t="s">
        <v>2290</v>
      </c>
      <c r="E5409" s="1" t="n">
        <v>1608</v>
      </c>
      <c r="F5409" s="1" t="s">
        <v>41</v>
      </c>
      <c r="I5409" s="1" t="n">
        <v>1699133</v>
      </c>
      <c r="J5409" s="1" t="n">
        <v>38793</v>
      </c>
      <c r="K5409" s="1" t="n">
        <v>7891132083107</v>
      </c>
      <c r="L5409" s="1" t="s">
        <v>4267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5" t="n">
        <v>46227</v>
      </c>
      <c r="C5410" s="1" t="n">
        <v>11</v>
      </c>
      <c r="D5410" s="1" t="s">
        <v>2290</v>
      </c>
      <c r="E5410" s="1" t="n">
        <v>1608</v>
      </c>
      <c r="F5410" s="1" t="s">
        <v>41</v>
      </c>
      <c r="I5410" s="1" t="n">
        <v>1699133</v>
      </c>
      <c r="J5410" s="1" t="n">
        <v>42793</v>
      </c>
      <c r="K5410" s="1" t="n">
        <v>7891132110230</v>
      </c>
      <c r="L5410" s="1" t="s">
        <v>3629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5" t="n">
        <v>46227</v>
      </c>
      <c r="C5411" s="1" t="n">
        <v>171</v>
      </c>
      <c r="D5411" s="1" t="s">
        <v>2517</v>
      </c>
      <c r="E5411" s="1" t="n">
        <v>1955</v>
      </c>
      <c r="F5411" s="1" t="s">
        <v>2216</v>
      </c>
      <c r="I5411" s="1" t="n">
        <v>47281</v>
      </c>
      <c r="J5411" s="1" t="n">
        <v>45153</v>
      </c>
      <c r="K5411" s="1" t="n">
        <v>7899403713715</v>
      </c>
      <c r="L5411" s="1" t="s">
        <v>3504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5" t="n">
        <v>46227</v>
      </c>
      <c r="C5412" s="1" t="n">
        <v>171</v>
      </c>
      <c r="D5412" s="1" t="s">
        <v>2517</v>
      </c>
      <c r="E5412" s="1" t="n">
        <v>1955</v>
      </c>
      <c r="F5412" s="1" t="s">
        <v>2216</v>
      </c>
      <c r="I5412" s="1" t="n">
        <v>47281</v>
      </c>
      <c r="J5412" s="1" t="n">
        <v>45154</v>
      </c>
      <c r="K5412" s="1" t="n">
        <v>2246390</v>
      </c>
      <c r="L5412" s="1" t="s">
        <v>3505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5" t="n">
        <v>46227</v>
      </c>
      <c r="C5413" s="1" t="n">
        <v>171</v>
      </c>
      <c r="D5413" s="1" t="s">
        <v>2517</v>
      </c>
      <c r="E5413" s="1" t="n">
        <v>1955</v>
      </c>
      <c r="F5413" s="1" t="s">
        <v>2216</v>
      </c>
      <c r="I5413" s="1" t="n">
        <v>47281</v>
      </c>
      <c r="J5413" s="1" t="n">
        <v>45155</v>
      </c>
      <c r="K5413" s="1" t="n">
        <v>2246406</v>
      </c>
      <c r="L5413" s="1" t="s">
        <v>3506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5" t="n">
        <v>46228</v>
      </c>
      <c r="C5414" s="1" t="n">
        <v>1</v>
      </c>
      <c r="D5414" s="1" t="s">
        <v>2317</v>
      </c>
      <c r="E5414" s="1" t="n">
        <v>10043</v>
      </c>
      <c r="F5414" s="1" t="s">
        <v>112</v>
      </c>
      <c r="I5414" s="1" t="n">
        <v>806</v>
      </c>
      <c r="J5414" s="1" t="n">
        <v>52096</v>
      </c>
      <c r="K5414" s="1" t="n">
        <v>144315</v>
      </c>
      <c r="L5414" s="1" t="s">
        <v>2318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5" t="n">
        <v>46228</v>
      </c>
      <c r="C5415" s="1" t="n">
        <v>6</v>
      </c>
      <c r="D5415" s="1" t="s">
        <v>2289</v>
      </c>
      <c r="E5415" s="1" t="n">
        <v>42</v>
      </c>
      <c r="F5415" s="1" t="s">
        <v>80</v>
      </c>
      <c r="I5415" s="1" t="n">
        <v>4421</v>
      </c>
      <c r="J5415" s="1" t="n">
        <v>100103</v>
      </c>
      <c r="K5415" s="1" t="n">
        <v>104</v>
      </c>
      <c r="L5415" s="1" t="s">
        <v>2287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5" t="n">
        <v>46228</v>
      </c>
      <c r="C5416" s="1" t="n">
        <v>6</v>
      </c>
      <c r="D5416" s="1" t="s">
        <v>2289</v>
      </c>
      <c r="E5416" s="1" t="n">
        <v>42</v>
      </c>
      <c r="F5416" s="1" t="s">
        <v>80</v>
      </c>
      <c r="I5416" s="1" t="n">
        <v>4422</v>
      </c>
      <c r="J5416" s="1" t="n">
        <v>109791</v>
      </c>
      <c r="K5416" s="1" t="n">
        <v>9667</v>
      </c>
      <c r="L5416" s="1" t="s">
        <v>2284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5" t="n">
        <v>46228</v>
      </c>
      <c r="C5417" s="1" t="n">
        <v>6</v>
      </c>
      <c r="D5417" s="1" t="s">
        <v>2289</v>
      </c>
      <c r="E5417" s="1" t="n">
        <v>42</v>
      </c>
      <c r="F5417" s="1" t="s">
        <v>80</v>
      </c>
      <c r="I5417" s="1" t="n">
        <v>4422</v>
      </c>
      <c r="J5417" s="1" t="n">
        <v>37359</v>
      </c>
      <c r="K5417" s="1" t="n">
        <v>55526</v>
      </c>
      <c r="L5417" s="1" t="s">
        <v>2285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5" t="n">
        <v>46228</v>
      </c>
      <c r="C5418" s="1" t="n">
        <v>6</v>
      </c>
      <c r="D5418" s="1" t="s">
        <v>2289</v>
      </c>
      <c r="E5418" s="1" t="n">
        <v>42</v>
      </c>
      <c r="F5418" s="1" t="s">
        <v>80</v>
      </c>
      <c r="I5418" s="1" t="n">
        <v>4422</v>
      </c>
      <c r="J5418" s="1" t="n">
        <v>37361</v>
      </c>
      <c r="K5418" s="1" t="n">
        <v>2240817</v>
      </c>
      <c r="L5418" s="1" t="s">
        <v>2286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5" t="n">
        <v>46228</v>
      </c>
      <c r="C5419" s="1" t="n">
        <v>11</v>
      </c>
      <c r="D5419" s="1" t="s">
        <v>2290</v>
      </c>
      <c r="E5419" s="1" t="n">
        <v>1378</v>
      </c>
      <c r="F5419" s="1" t="s">
        <v>120</v>
      </c>
      <c r="I5419" s="1" t="n">
        <v>18359</v>
      </c>
      <c r="J5419" s="1" t="n">
        <v>74061</v>
      </c>
      <c r="K5419" s="1" t="n">
        <v>42882264255</v>
      </c>
      <c r="L5419" s="1" t="s">
        <v>2340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5" t="n">
        <v>46228</v>
      </c>
      <c r="C5420" s="1" t="n">
        <v>11</v>
      </c>
      <c r="D5420" s="1" t="s">
        <v>2290</v>
      </c>
      <c r="E5420" s="1" t="n">
        <v>1378</v>
      </c>
      <c r="F5420" s="1" t="s">
        <v>120</v>
      </c>
      <c r="I5420" s="1" t="n">
        <v>18359</v>
      </c>
      <c r="J5420" s="1" t="n">
        <v>74063</v>
      </c>
      <c r="K5420" s="1" t="n">
        <v>42882264262</v>
      </c>
      <c r="L5420" s="1" t="s">
        <v>2341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5" t="n">
        <v>46228</v>
      </c>
      <c r="C5421" s="1" t="n">
        <v>11</v>
      </c>
      <c r="D5421" s="1" t="s">
        <v>2290</v>
      </c>
      <c r="E5421" s="1" t="n">
        <v>1378</v>
      </c>
      <c r="F5421" s="1" t="s">
        <v>120</v>
      </c>
      <c r="I5421" s="1" t="n">
        <v>18359</v>
      </c>
      <c r="J5421" s="1" t="n">
        <v>74064</v>
      </c>
      <c r="K5421" s="1" t="n">
        <v>42882264279</v>
      </c>
      <c r="L5421" s="1" t="s">
        <v>2342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5" t="n">
        <v>46228</v>
      </c>
      <c r="C5422" s="1" t="n">
        <v>11</v>
      </c>
      <c r="D5422" s="1" t="s">
        <v>2290</v>
      </c>
      <c r="E5422" s="1" t="n">
        <v>1378</v>
      </c>
      <c r="F5422" s="1" t="s">
        <v>120</v>
      </c>
      <c r="I5422" s="1" t="n">
        <v>18359</v>
      </c>
      <c r="J5422" s="1" t="n">
        <v>77994</v>
      </c>
      <c r="K5422" s="1" t="n">
        <v>780117</v>
      </c>
      <c r="L5422" s="1" t="s">
        <v>2344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5" t="n">
        <v>46228</v>
      </c>
      <c r="C5423" s="1" t="n">
        <v>11</v>
      </c>
      <c r="D5423" s="1" t="s">
        <v>2290</v>
      </c>
      <c r="E5423" s="1" t="n">
        <v>1695</v>
      </c>
      <c r="F5423" s="1" t="s">
        <v>269</v>
      </c>
      <c r="I5423" s="1" t="n">
        <v>19453</v>
      </c>
      <c r="J5423" s="1" t="n">
        <v>101947</v>
      </c>
      <c r="K5423" s="1" t="n">
        <v>7891079001028</v>
      </c>
      <c r="L5423" s="1" t="s">
        <v>2634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5" t="n">
        <v>46228</v>
      </c>
      <c r="C5424" s="1" t="n">
        <v>11</v>
      </c>
      <c r="D5424" s="1" t="s">
        <v>2290</v>
      </c>
      <c r="E5424" s="1" t="n">
        <v>1695</v>
      </c>
      <c r="F5424" s="1" t="s">
        <v>269</v>
      </c>
      <c r="I5424" s="1" t="n">
        <v>19453</v>
      </c>
      <c r="J5424" s="1" t="n">
        <v>101949</v>
      </c>
      <c r="K5424" s="1" t="n">
        <v>7891079001004</v>
      </c>
      <c r="L5424" s="1" t="s">
        <v>2636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5" t="n">
        <v>46228</v>
      </c>
      <c r="C5425" s="1" t="n">
        <v>11</v>
      </c>
      <c r="D5425" s="1" t="s">
        <v>2290</v>
      </c>
      <c r="E5425" s="1" t="n">
        <v>1695</v>
      </c>
      <c r="F5425" s="1" t="s">
        <v>269</v>
      </c>
      <c r="I5425" s="1" t="n">
        <v>19453</v>
      </c>
      <c r="J5425" s="1" t="n">
        <v>101957</v>
      </c>
      <c r="K5425" s="1" t="n">
        <v>7891079000205</v>
      </c>
      <c r="L5425" s="1" t="s">
        <v>2639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5" t="n">
        <v>46228</v>
      </c>
      <c r="C5426" s="1" t="n">
        <v>11</v>
      </c>
      <c r="D5426" s="1" t="s">
        <v>2290</v>
      </c>
      <c r="E5426" s="1" t="n">
        <v>1695</v>
      </c>
      <c r="F5426" s="1" t="s">
        <v>269</v>
      </c>
      <c r="I5426" s="1" t="n">
        <v>19453</v>
      </c>
      <c r="J5426" s="1" t="n">
        <v>102290</v>
      </c>
      <c r="K5426" s="1" t="n">
        <v>7896593500019</v>
      </c>
      <c r="L5426" s="1" t="s">
        <v>2745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5" t="n">
        <v>46228</v>
      </c>
      <c r="C5427" s="1" t="n">
        <v>11</v>
      </c>
      <c r="D5427" s="1" t="s">
        <v>2290</v>
      </c>
      <c r="E5427" s="1" t="n">
        <v>1695</v>
      </c>
      <c r="F5427" s="1" t="s">
        <v>269</v>
      </c>
      <c r="I5427" s="1" t="n">
        <v>19453</v>
      </c>
      <c r="J5427" s="1" t="n">
        <v>102592</v>
      </c>
      <c r="K5427" s="1" t="n">
        <v>7891030003467</v>
      </c>
      <c r="L5427" s="1" t="s">
        <v>3716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5" t="n">
        <v>46228</v>
      </c>
      <c r="C5428" s="1" t="n">
        <v>11</v>
      </c>
      <c r="D5428" s="1" t="s">
        <v>2290</v>
      </c>
      <c r="E5428" s="1" t="n">
        <v>1695</v>
      </c>
      <c r="F5428" s="1" t="s">
        <v>269</v>
      </c>
      <c r="I5428" s="1" t="n">
        <v>19453</v>
      </c>
      <c r="J5428" s="1" t="n">
        <v>104073</v>
      </c>
      <c r="K5428" s="1" t="n">
        <v>7891107101621</v>
      </c>
      <c r="L5428" s="1" t="s">
        <v>4112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5" t="n">
        <v>46228</v>
      </c>
      <c r="C5429" s="1" t="n">
        <v>11</v>
      </c>
      <c r="D5429" s="1" t="s">
        <v>2290</v>
      </c>
      <c r="E5429" s="1" t="n">
        <v>1695</v>
      </c>
      <c r="F5429" s="1" t="s">
        <v>269</v>
      </c>
      <c r="I5429" s="1" t="n">
        <v>19453</v>
      </c>
      <c r="J5429" s="1" t="n">
        <v>104678</v>
      </c>
      <c r="K5429" s="1" t="n">
        <v>7898247780075</v>
      </c>
      <c r="L5429" s="1" t="s">
        <v>3107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5" t="n">
        <v>46228</v>
      </c>
      <c r="C5430" s="1" t="n">
        <v>11</v>
      </c>
      <c r="D5430" s="1" t="s">
        <v>2290</v>
      </c>
      <c r="E5430" s="1" t="n">
        <v>1695</v>
      </c>
      <c r="F5430" s="1" t="s">
        <v>269</v>
      </c>
      <c r="I5430" s="1" t="n">
        <v>19453</v>
      </c>
      <c r="J5430" s="1" t="n">
        <v>107754</v>
      </c>
      <c r="K5430" s="1" t="n">
        <v>7898366930351</v>
      </c>
      <c r="L5430" s="1" t="s">
        <v>4268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5" t="n">
        <v>46228</v>
      </c>
      <c r="C5431" s="1" t="n">
        <v>11</v>
      </c>
      <c r="D5431" s="1" t="s">
        <v>2290</v>
      </c>
      <c r="E5431" s="1" t="n">
        <v>1695</v>
      </c>
      <c r="F5431" s="1" t="s">
        <v>269</v>
      </c>
      <c r="I5431" s="1" t="n">
        <v>19453</v>
      </c>
      <c r="J5431" s="1" t="n">
        <v>109870</v>
      </c>
      <c r="K5431" s="1" t="n">
        <v>7891079011805</v>
      </c>
      <c r="L5431" s="1" t="s">
        <v>4113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5" t="n">
        <v>46228</v>
      </c>
      <c r="C5432" s="1" t="n">
        <v>11</v>
      </c>
      <c r="D5432" s="1" t="s">
        <v>2290</v>
      </c>
      <c r="E5432" s="1" t="n">
        <v>1695</v>
      </c>
      <c r="F5432" s="1" t="s">
        <v>269</v>
      </c>
      <c r="I5432" s="1" t="n">
        <v>19453</v>
      </c>
      <c r="J5432" s="1" t="n">
        <v>10469</v>
      </c>
      <c r="K5432" s="1" t="n">
        <v>7891079011829</v>
      </c>
      <c r="L5432" s="1" t="s">
        <v>4114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5" t="n">
        <v>46228</v>
      </c>
      <c r="C5433" s="1" t="n">
        <v>11</v>
      </c>
      <c r="D5433" s="1" t="s">
        <v>2290</v>
      </c>
      <c r="E5433" s="1" t="n">
        <v>1695</v>
      </c>
      <c r="F5433" s="1" t="s">
        <v>269</v>
      </c>
      <c r="I5433" s="1" t="n">
        <v>19453</v>
      </c>
      <c r="J5433" s="1" t="n">
        <v>10667</v>
      </c>
      <c r="K5433" s="1" t="n">
        <v>7891079011812</v>
      </c>
      <c r="L5433" s="1" t="s">
        <v>4115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5" t="n">
        <v>46228</v>
      </c>
      <c r="C5434" s="1" t="n">
        <v>11</v>
      </c>
      <c r="D5434" s="1" t="s">
        <v>2290</v>
      </c>
      <c r="E5434" s="1" t="n">
        <v>1695</v>
      </c>
      <c r="F5434" s="1" t="s">
        <v>269</v>
      </c>
      <c r="I5434" s="1" t="n">
        <v>19453</v>
      </c>
      <c r="J5434" s="1" t="n">
        <v>15397</v>
      </c>
      <c r="K5434" s="1" t="n">
        <v>7898927045012</v>
      </c>
      <c r="L5434" s="1" t="s">
        <v>2966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5" t="n">
        <v>46228</v>
      </c>
      <c r="C5435" s="1" t="n">
        <v>11</v>
      </c>
      <c r="D5435" s="1" t="s">
        <v>2290</v>
      </c>
      <c r="E5435" s="1" t="n">
        <v>1695</v>
      </c>
      <c r="F5435" s="1" t="s">
        <v>269</v>
      </c>
      <c r="I5435" s="1" t="n">
        <v>19453</v>
      </c>
      <c r="J5435" s="1" t="n">
        <v>21655</v>
      </c>
      <c r="K5435" s="1" t="n">
        <v>7896102502763</v>
      </c>
      <c r="L5435" s="1" t="s">
        <v>2852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5" t="n">
        <v>46228</v>
      </c>
      <c r="C5436" s="1" t="n">
        <v>11</v>
      </c>
      <c r="D5436" s="1" t="s">
        <v>2290</v>
      </c>
      <c r="E5436" s="1" t="n">
        <v>1695</v>
      </c>
      <c r="F5436" s="1" t="s">
        <v>269</v>
      </c>
      <c r="I5436" s="1" t="n">
        <v>19453</v>
      </c>
      <c r="J5436" s="1" t="n">
        <v>22079</v>
      </c>
      <c r="K5436" s="1" t="n">
        <v>7896102502756</v>
      </c>
      <c r="L5436" s="1" t="s">
        <v>4269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5" t="n">
        <v>46228</v>
      </c>
      <c r="C5437" s="1" t="n">
        <v>11</v>
      </c>
      <c r="D5437" s="1" t="s">
        <v>2290</v>
      </c>
      <c r="E5437" s="1" t="n">
        <v>1695</v>
      </c>
      <c r="F5437" s="1" t="s">
        <v>269</v>
      </c>
      <c r="I5437" s="1" t="n">
        <v>19453</v>
      </c>
      <c r="J5437" s="1" t="n">
        <v>25964</v>
      </c>
      <c r="K5437" s="1" t="n">
        <v>7896763621858</v>
      </c>
      <c r="L5437" s="1" t="s">
        <v>3295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5" t="n">
        <v>46228</v>
      </c>
      <c r="C5438" s="1" t="n">
        <v>11</v>
      </c>
      <c r="D5438" s="1" t="s">
        <v>2290</v>
      </c>
      <c r="E5438" s="1" t="n">
        <v>1695</v>
      </c>
      <c r="F5438" s="1" t="s">
        <v>269</v>
      </c>
      <c r="I5438" s="1" t="n">
        <v>19453</v>
      </c>
      <c r="J5438" s="1" t="n">
        <v>29846</v>
      </c>
      <c r="K5438" s="1" t="n">
        <v>7891097102059</v>
      </c>
      <c r="L5438" s="1" t="s">
        <v>3843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5" t="n">
        <v>46228</v>
      </c>
      <c r="C5439" s="1" t="n">
        <v>11</v>
      </c>
      <c r="D5439" s="1" t="s">
        <v>2290</v>
      </c>
      <c r="E5439" s="1" t="n">
        <v>1695</v>
      </c>
      <c r="F5439" s="1" t="s">
        <v>269</v>
      </c>
      <c r="I5439" s="1" t="n">
        <v>19453</v>
      </c>
      <c r="J5439" s="1" t="n">
        <v>36969</v>
      </c>
      <c r="K5439" s="1" t="n">
        <v>7891000325858</v>
      </c>
      <c r="L5439" s="1" t="s">
        <v>2815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5" t="n">
        <v>46228</v>
      </c>
      <c r="C5440" s="1" t="n">
        <v>11</v>
      </c>
      <c r="D5440" s="1" t="s">
        <v>2290</v>
      </c>
      <c r="E5440" s="1" t="n">
        <v>1723</v>
      </c>
      <c r="F5440" s="1" t="s">
        <v>76</v>
      </c>
      <c r="I5440" s="1" t="n">
        <v>173728</v>
      </c>
      <c r="J5440" s="1" t="n">
        <v>29079</v>
      </c>
      <c r="K5440" s="1" t="n">
        <v>55515</v>
      </c>
      <c r="L5440" s="1" t="s">
        <v>2360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5" t="n">
        <v>46228</v>
      </c>
      <c r="C5441" s="1" t="n">
        <v>11</v>
      </c>
      <c r="D5441" s="1" t="s">
        <v>2290</v>
      </c>
      <c r="E5441" s="1" t="n">
        <v>1723</v>
      </c>
      <c r="F5441" s="1" t="s">
        <v>76</v>
      </c>
      <c r="I5441" s="1" t="n">
        <v>173728</v>
      </c>
      <c r="J5441" s="1" t="n">
        <v>29080</v>
      </c>
      <c r="K5441" s="1" t="n">
        <v>55516</v>
      </c>
      <c r="L5441" s="1" t="s">
        <v>2362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5" t="n">
        <v>46228</v>
      </c>
      <c r="C5442" s="1" t="n">
        <v>11</v>
      </c>
      <c r="D5442" s="1" t="s">
        <v>2290</v>
      </c>
      <c r="E5442" s="1" t="n">
        <v>1705</v>
      </c>
      <c r="F5442" s="1" t="s">
        <v>122</v>
      </c>
      <c r="I5442" s="1" t="n">
        <v>1220130</v>
      </c>
      <c r="J5442" s="1" t="n">
        <v>103139</v>
      </c>
      <c r="K5442" s="1" t="n">
        <v>7894900051759</v>
      </c>
      <c r="L5442" s="1" t="s">
        <v>2303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5" t="n">
        <v>46228</v>
      </c>
      <c r="C5443" s="1" t="n">
        <v>11</v>
      </c>
      <c r="D5443" s="1" t="s">
        <v>2290</v>
      </c>
      <c r="E5443" s="1" t="n">
        <v>1705</v>
      </c>
      <c r="F5443" s="1" t="s">
        <v>122</v>
      </c>
      <c r="I5443" s="1" t="n">
        <v>1220130</v>
      </c>
      <c r="J5443" s="1" t="n">
        <v>103140</v>
      </c>
      <c r="K5443" s="1" t="n">
        <v>7894900031751</v>
      </c>
      <c r="L5443" s="1" t="s">
        <v>2304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5" t="n">
        <v>46228</v>
      </c>
      <c r="C5444" s="1" t="n">
        <v>11</v>
      </c>
      <c r="D5444" s="1" t="s">
        <v>2290</v>
      </c>
      <c r="E5444" s="1" t="n">
        <v>1705</v>
      </c>
      <c r="F5444" s="1" t="s">
        <v>122</v>
      </c>
      <c r="I5444" s="1" t="n">
        <v>1220130</v>
      </c>
      <c r="J5444" s="1" t="n">
        <v>103158</v>
      </c>
      <c r="K5444" s="1" t="n">
        <v>7894900060010</v>
      </c>
      <c r="L5444" s="1" t="s">
        <v>3631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5" t="n">
        <v>46228</v>
      </c>
      <c r="C5445" s="1" t="n">
        <v>11</v>
      </c>
      <c r="D5445" s="1" t="s">
        <v>2290</v>
      </c>
      <c r="E5445" s="1" t="n">
        <v>1705</v>
      </c>
      <c r="F5445" s="1" t="s">
        <v>122</v>
      </c>
      <c r="I5445" s="1" t="n">
        <v>1220130</v>
      </c>
      <c r="J5445" s="1" t="n">
        <v>18192</v>
      </c>
      <c r="K5445" s="1" t="n">
        <v>7894900320015</v>
      </c>
      <c r="L5445" s="1" t="s">
        <v>2308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5" t="n">
        <v>46228</v>
      </c>
      <c r="C5446" s="1" t="n">
        <v>11</v>
      </c>
      <c r="D5446" s="1" t="s">
        <v>2290</v>
      </c>
      <c r="E5446" s="1" t="n">
        <v>1705</v>
      </c>
      <c r="F5446" s="1" t="s">
        <v>122</v>
      </c>
      <c r="I5446" s="1" t="n">
        <v>1220130</v>
      </c>
      <c r="J5446" s="1" t="n">
        <v>24324</v>
      </c>
      <c r="K5446" s="1" t="n">
        <v>70847022015</v>
      </c>
      <c r="L5446" s="1" t="s">
        <v>2292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5" t="n">
        <v>46228</v>
      </c>
      <c r="C5447" s="1" t="n">
        <v>11</v>
      </c>
      <c r="D5447" s="1" t="s">
        <v>2290</v>
      </c>
      <c r="E5447" s="1" t="n">
        <v>1705</v>
      </c>
      <c r="F5447" s="1" t="s">
        <v>122</v>
      </c>
      <c r="I5447" s="1" t="n">
        <v>1220130</v>
      </c>
      <c r="J5447" s="1" t="n">
        <v>27673</v>
      </c>
      <c r="K5447" s="1" t="n">
        <v>7894900701715</v>
      </c>
      <c r="L5447" s="1" t="s">
        <v>2882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5" t="n">
        <v>46228</v>
      </c>
      <c r="C5448" s="1" t="n">
        <v>11</v>
      </c>
      <c r="D5448" s="1" t="s">
        <v>2290</v>
      </c>
      <c r="E5448" s="1" t="n">
        <v>1705</v>
      </c>
      <c r="F5448" s="1" t="s">
        <v>122</v>
      </c>
      <c r="I5448" s="1" t="n">
        <v>1220130</v>
      </c>
      <c r="J5448" s="1" t="n">
        <v>29747</v>
      </c>
      <c r="K5448" s="1" t="n">
        <v>70847022305</v>
      </c>
      <c r="L5448" s="1" t="s">
        <v>2294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5" t="n">
        <v>46228</v>
      </c>
      <c r="C5449" s="1" t="n">
        <v>11</v>
      </c>
      <c r="D5449" s="1" t="s">
        <v>2290</v>
      </c>
      <c r="E5449" s="1" t="n">
        <v>1705</v>
      </c>
      <c r="F5449" s="1" t="s">
        <v>122</v>
      </c>
      <c r="I5449" s="1" t="n">
        <v>1220130</v>
      </c>
      <c r="J5449" s="1" t="n">
        <v>29748</v>
      </c>
      <c r="K5449" s="1" t="n">
        <v>70847033301</v>
      </c>
      <c r="L5449" s="1" t="s">
        <v>3611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5" t="n">
        <v>46228</v>
      </c>
      <c r="C5450" s="1" t="n">
        <v>11</v>
      </c>
      <c r="D5450" s="1" t="s">
        <v>2290</v>
      </c>
      <c r="E5450" s="1" t="n">
        <v>1705</v>
      </c>
      <c r="F5450" s="1" t="s">
        <v>122</v>
      </c>
      <c r="I5450" s="1" t="n">
        <v>1220130</v>
      </c>
      <c r="J5450" s="1" t="n">
        <v>29749</v>
      </c>
      <c r="K5450" s="1" t="n">
        <v>70847033929</v>
      </c>
      <c r="L5450" s="1" t="s">
        <v>4127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5" t="n">
        <v>46228</v>
      </c>
      <c r="C5451" s="1" t="n">
        <v>11</v>
      </c>
      <c r="D5451" s="1" t="s">
        <v>2290</v>
      </c>
      <c r="E5451" s="1" t="n">
        <v>1705</v>
      </c>
      <c r="F5451" s="1" t="s">
        <v>122</v>
      </c>
      <c r="I5451" s="1" t="n">
        <v>1220130</v>
      </c>
      <c r="J5451" s="1" t="n">
        <v>35357</v>
      </c>
      <c r="K5451" s="1" t="n">
        <v>7894900681017</v>
      </c>
      <c r="L5451" s="1" t="s">
        <v>3638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5" t="n">
        <v>46228</v>
      </c>
      <c r="C5452" s="1" t="n">
        <v>11</v>
      </c>
      <c r="D5452" s="1" t="s">
        <v>2290</v>
      </c>
      <c r="E5452" s="1" t="n">
        <v>1705</v>
      </c>
      <c r="F5452" s="1" t="s">
        <v>122</v>
      </c>
      <c r="I5452" s="1" t="n">
        <v>1220130</v>
      </c>
      <c r="J5452" s="1" t="n">
        <v>47082</v>
      </c>
      <c r="K5452" s="1" t="n">
        <v>1220000250031</v>
      </c>
      <c r="L5452" s="1" t="s">
        <v>2295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5" t="n">
        <v>46228</v>
      </c>
      <c r="C5453" s="1" t="n">
        <v>11</v>
      </c>
      <c r="D5453" s="1" t="s">
        <v>2290</v>
      </c>
      <c r="E5453" s="1" t="n">
        <v>1705</v>
      </c>
      <c r="F5453" s="1" t="s">
        <v>122</v>
      </c>
      <c r="I5453" s="1" t="n">
        <v>1220130</v>
      </c>
      <c r="J5453" s="1" t="n">
        <v>62378</v>
      </c>
      <c r="K5453" s="1" t="n">
        <v>7896045506934</v>
      </c>
      <c r="L5453" s="1" t="s">
        <v>3190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5" t="n">
        <v>46228</v>
      </c>
      <c r="C5454" s="1" t="n">
        <v>11</v>
      </c>
      <c r="D5454" s="1" t="s">
        <v>2290</v>
      </c>
      <c r="E5454" s="1" t="n">
        <v>1705</v>
      </c>
      <c r="F5454" s="1" t="s">
        <v>122</v>
      </c>
      <c r="I5454" s="1" t="n">
        <v>1220130</v>
      </c>
      <c r="J5454" s="1" t="n">
        <v>66038</v>
      </c>
      <c r="K5454" s="1" t="n">
        <v>7898938890076</v>
      </c>
      <c r="L5454" s="1" t="s">
        <v>3612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5" t="n">
        <v>46228</v>
      </c>
      <c r="C5455" s="1" t="n">
        <v>11</v>
      </c>
      <c r="D5455" s="1" t="s">
        <v>2290</v>
      </c>
      <c r="E5455" s="1" t="n">
        <v>1705</v>
      </c>
      <c r="F5455" s="1" t="s">
        <v>122</v>
      </c>
      <c r="I5455" s="1" t="n">
        <v>1220130</v>
      </c>
      <c r="J5455" s="1" t="n">
        <v>77914</v>
      </c>
      <c r="K5455" s="1" t="n">
        <v>7894900530001</v>
      </c>
      <c r="L5455" s="1" t="s">
        <v>2299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5" t="n">
        <v>46228</v>
      </c>
      <c r="C5456" s="1" t="n">
        <v>11</v>
      </c>
      <c r="D5456" s="1" t="s">
        <v>2290</v>
      </c>
      <c r="E5456" s="1" t="n">
        <v>10009</v>
      </c>
      <c r="F5456" s="1" t="s">
        <v>373</v>
      </c>
      <c r="I5456" s="1" t="n">
        <v>1431205</v>
      </c>
      <c r="J5456" s="1" t="n">
        <v>100211</v>
      </c>
      <c r="K5456" s="1" t="n">
        <v>212</v>
      </c>
      <c r="L5456" s="1" t="s">
        <v>4270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5" t="n">
        <v>46228</v>
      </c>
      <c r="C5457" s="1" t="n">
        <v>11</v>
      </c>
      <c r="D5457" s="1" t="s">
        <v>2290</v>
      </c>
      <c r="E5457" s="1" t="n">
        <v>10009</v>
      </c>
      <c r="F5457" s="1" t="s">
        <v>373</v>
      </c>
      <c r="I5457" s="1" t="n">
        <v>1431205</v>
      </c>
      <c r="J5457" s="1" t="n">
        <v>100436</v>
      </c>
      <c r="K5457" s="1" t="n">
        <v>307</v>
      </c>
      <c r="L5457" s="1" t="s">
        <v>2915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5" t="n">
        <v>46228</v>
      </c>
      <c r="C5458" s="1" t="n">
        <v>11</v>
      </c>
      <c r="D5458" s="1" t="s">
        <v>2290</v>
      </c>
      <c r="E5458" s="1" t="n">
        <v>10009</v>
      </c>
      <c r="F5458" s="1" t="s">
        <v>373</v>
      </c>
      <c r="I5458" s="1" t="n">
        <v>1431205</v>
      </c>
      <c r="J5458" s="1" t="n">
        <v>107341</v>
      </c>
      <c r="K5458" s="1" t="n">
        <v>7896015605193</v>
      </c>
      <c r="L5458" s="1" t="s">
        <v>2916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5" t="n">
        <v>46228</v>
      </c>
      <c r="C5459" s="1" t="n">
        <v>11</v>
      </c>
      <c r="D5459" s="1" t="s">
        <v>2290</v>
      </c>
      <c r="E5459" s="1" t="n">
        <v>10009</v>
      </c>
      <c r="F5459" s="1" t="s">
        <v>373</v>
      </c>
      <c r="I5459" s="1" t="n">
        <v>1431205</v>
      </c>
      <c r="J5459" s="1" t="n">
        <v>43040</v>
      </c>
      <c r="K5459" s="1" t="n">
        <v>7891000069455</v>
      </c>
      <c r="L5459" s="1" t="s">
        <v>4271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5" t="n">
        <v>46228</v>
      </c>
      <c r="C5460" s="1" t="n">
        <v>11</v>
      </c>
      <c r="D5460" s="1" t="s">
        <v>2290</v>
      </c>
      <c r="E5460" s="1" t="n">
        <v>1705</v>
      </c>
      <c r="F5460" s="1" t="s">
        <v>122</v>
      </c>
      <c r="I5460" s="1" t="n">
        <v>1954505</v>
      </c>
      <c r="J5460" s="1" t="n">
        <v>30188</v>
      </c>
      <c r="K5460" s="1" t="n">
        <v>78908901</v>
      </c>
      <c r="L5460" s="1" t="s">
        <v>4272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5" t="n">
        <v>46228</v>
      </c>
      <c r="C5461" s="1" t="n">
        <v>11</v>
      </c>
      <c r="D5461" s="1" t="s">
        <v>2290</v>
      </c>
      <c r="E5461" s="1" t="n">
        <v>1705</v>
      </c>
      <c r="F5461" s="1" t="s">
        <v>122</v>
      </c>
      <c r="I5461" s="1" t="n">
        <v>1954505</v>
      </c>
      <c r="J5461" s="1" t="n">
        <v>103159</v>
      </c>
      <c r="K5461" s="1" t="n">
        <v>7894900050011</v>
      </c>
      <c r="L5461" s="1" t="s">
        <v>4126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5" t="n">
        <v>46228</v>
      </c>
      <c r="C5462" s="1" t="n">
        <v>11</v>
      </c>
      <c r="D5462" s="1" t="s">
        <v>2290</v>
      </c>
      <c r="E5462" s="1" t="n">
        <v>1705</v>
      </c>
      <c r="F5462" s="1" t="s">
        <v>122</v>
      </c>
      <c r="I5462" s="1" t="n">
        <v>1954505</v>
      </c>
      <c r="J5462" s="1" t="n">
        <v>103161</v>
      </c>
      <c r="K5462" s="1" t="n">
        <v>7894900010015</v>
      </c>
      <c r="L5462" s="1" t="s">
        <v>3192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5" t="n">
        <v>46228</v>
      </c>
      <c r="C5463" s="1" t="n">
        <v>11</v>
      </c>
      <c r="D5463" s="1" t="s">
        <v>2290</v>
      </c>
      <c r="E5463" s="1" t="n">
        <v>1705</v>
      </c>
      <c r="F5463" s="1" t="s">
        <v>122</v>
      </c>
      <c r="I5463" s="1" t="n">
        <v>1954505</v>
      </c>
      <c r="J5463" s="1" t="n">
        <v>104051</v>
      </c>
      <c r="K5463" s="1" t="n">
        <v>7894900300017</v>
      </c>
      <c r="L5463" s="1" t="s">
        <v>4273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5" t="n">
        <v>46228</v>
      </c>
      <c r="C5464" s="1" t="n">
        <v>11</v>
      </c>
      <c r="D5464" s="1" t="s">
        <v>2290</v>
      </c>
      <c r="E5464" s="1" t="n">
        <v>1705</v>
      </c>
      <c r="F5464" s="1" t="s">
        <v>122</v>
      </c>
      <c r="I5464" s="1" t="n">
        <v>1954505</v>
      </c>
      <c r="J5464" s="1" t="n">
        <v>105323</v>
      </c>
      <c r="K5464" s="1" t="n">
        <v>7894900701753</v>
      </c>
      <c r="L5464" s="1" t="s">
        <v>2307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5" t="n">
        <v>46228</v>
      </c>
      <c r="C5465" s="1" t="n">
        <v>11</v>
      </c>
      <c r="D5465" s="1" t="s">
        <v>2290</v>
      </c>
      <c r="E5465" s="1" t="n">
        <v>1705</v>
      </c>
      <c r="F5465" s="1" t="s">
        <v>122</v>
      </c>
      <c r="I5465" s="1" t="n">
        <v>1954505</v>
      </c>
      <c r="J5465" s="1" t="n">
        <v>105631</v>
      </c>
      <c r="K5465" s="1" t="n">
        <v>7894900011609</v>
      </c>
      <c r="L5465" s="1" t="s">
        <v>2877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5" t="n">
        <v>46228</v>
      </c>
      <c r="C5466" s="1" t="n">
        <v>11</v>
      </c>
      <c r="D5466" s="1" t="s">
        <v>2290</v>
      </c>
      <c r="E5466" s="1" t="n">
        <v>1705</v>
      </c>
      <c r="F5466" s="1" t="s">
        <v>122</v>
      </c>
      <c r="I5466" s="1" t="n">
        <v>1954505</v>
      </c>
      <c r="J5466" s="1" t="n">
        <v>107100</v>
      </c>
      <c r="K5466" s="1" t="n">
        <v>7894900700015</v>
      </c>
      <c r="L5466" s="1" t="s">
        <v>2878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5" t="n">
        <v>46228</v>
      </c>
      <c r="C5467" s="1" t="n">
        <v>11</v>
      </c>
      <c r="D5467" s="1" t="s">
        <v>2290</v>
      </c>
      <c r="E5467" s="1" t="n">
        <v>1705</v>
      </c>
      <c r="F5467" s="1" t="s">
        <v>122</v>
      </c>
      <c r="I5467" s="1" t="n">
        <v>1954505</v>
      </c>
      <c r="J5467" s="1" t="n">
        <v>10830</v>
      </c>
      <c r="K5467" s="1" t="n">
        <v>7894900701517</v>
      </c>
      <c r="L5467" s="1" t="s">
        <v>2879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5" t="n">
        <v>46228</v>
      </c>
      <c r="C5468" s="1" t="n">
        <v>11</v>
      </c>
      <c r="D5468" s="1" t="s">
        <v>2290</v>
      </c>
      <c r="E5468" s="1" t="n">
        <v>1705</v>
      </c>
      <c r="F5468" s="1" t="s">
        <v>122</v>
      </c>
      <c r="I5468" s="1" t="n">
        <v>1954505</v>
      </c>
      <c r="J5468" s="1" t="n">
        <v>21426</v>
      </c>
      <c r="K5468" s="1" t="n">
        <v>7894900014211</v>
      </c>
      <c r="L5468" s="1" t="s">
        <v>2309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5" t="n">
        <v>46228</v>
      </c>
      <c r="C5469" s="1" t="n">
        <v>11</v>
      </c>
      <c r="D5469" s="1" t="s">
        <v>2290</v>
      </c>
      <c r="E5469" s="1" t="n">
        <v>1705</v>
      </c>
      <c r="F5469" s="1" t="s">
        <v>122</v>
      </c>
      <c r="I5469" s="1" t="n">
        <v>1954505</v>
      </c>
      <c r="J5469" s="1" t="n">
        <v>29509</v>
      </c>
      <c r="K5469" s="1" t="n">
        <v>78933873</v>
      </c>
      <c r="L5469" s="1" t="s">
        <v>2310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5" t="n">
        <v>46228</v>
      </c>
      <c r="C5470" s="1" t="n">
        <v>11</v>
      </c>
      <c r="D5470" s="1" t="s">
        <v>2290</v>
      </c>
      <c r="E5470" s="1" t="n">
        <v>1705</v>
      </c>
      <c r="F5470" s="1" t="s">
        <v>122</v>
      </c>
      <c r="I5470" s="1" t="n">
        <v>1954505</v>
      </c>
      <c r="J5470" s="1" t="n">
        <v>29614</v>
      </c>
      <c r="K5470" s="1" t="n">
        <v>7894900550030</v>
      </c>
      <c r="L5470" s="1" t="s">
        <v>3258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5" t="n">
        <v>46228</v>
      </c>
      <c r="C5471" s="1" t="n">
        <v>11</v>
      </c>
      <c r="D5471" s="1" t="s">
        <v>2290</v>
      </c>
      <c r="E5471" s="1" t="n">
        <v>1705</v>
      </c>
      <c r="F5471" s="1" t="s">
        <v>122</v>
      </c>
      <c r="I5471" s="1" t="n">
        <v>1954505</v>
      </c>
      <c r="J5471" s="1" t="n">
        <v>31367</v>
      </c>
      <c r="K5471" s="1" t="n">
        <v>7894900704211</v>
      </c>
      <c r="L5471" s="1" t="s">
        <v>2310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5" t="n">
        <v>46228</v>
      </c>
      <c r="C5472" s="1" t="n">
        <v>11</v>
      </c>
      <c r="D5472" s="1" t="s">
        <v>2290</v>
      </c>
      <c r="E5472" s="1" t="n">
        <v>1705</v>
      </c>
      <c r="F5472" s="1" t="s">
        <v>122</v>
      </c>
      <c r="I5472" s="1" t="n">
        <v>1954505</v>
      </c>
      <c r="J5472" s="1" t="n">
        <v>32339</v>
      </c>
      <c r="K5472" s="1" t="n">
        <v>7894900681000</v>
      </c>
      <c r="L5472" s="1" t="s">
        <v>3261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5" t="n">
        <v>46228</v>
      </c>
      <c r="C5473" s="1" t="n">
        <v>11</v>
      </c>
      <c r="D5473" s="1" t="s">
        <v>2290</v>
      </c>
      <c r="E5473" s="1" t="n">
        <v>1705</v>
      </c>
      <c r="F5473" s="1" t="s">
        <v>122</v>
      </c>
      <c r="I5473" s="1" t="n">
        <v>1954505</v>
      </c>
      <c r="J5473" s="1" t="n">
        <v>38060</v>
      </c>
      <c r="K5473" s="1" t="n">
        <v>7894900701609</v>
      </c>
      <c r="L5473" s="1" t="s">
        <v>2884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5" t="n">
        <v>46228</v>
      </c>
      <c r="C5474" s="1" t="n">
        <v>11</v>
      </c>
      <c r="D5474" s="1" t="s">
        <v>2290</v>
      </c>
      <c r="E5474" s="1" t="n">
        <v>1636</v>
      </c>
      <c r="F5474" s="1" t="s">
        <v>49</v>
      </c>
      <c r="I5474" s="1" t="n">
        <v>3223572</v>
      </c>
      <c r="J5474" s="1" t="n">
        <v>71370</v>
      </c>
      <c r="K5474" s="1" t="n">
        <v>7891150097544</v>
      </c>
      <c r="L5474" s="1" t="s">
        <v>2696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5" t="n">
        <v>46228</v>
      </c>
      <c r="C5475" s="1" t="n">
        <v>11</v>
      </c>
      <c r="D5475" s="1" t="s">
        <v>2290</v>
      </c>
      <c r="E5475" s="1" t="n">
        <v>1636</v>
      </c>
      <c r="F5475" s="1" t="s">
        <v>49</v>
      </c>
      <c r="I5475" s="1" t="n">
        <v>3223572</v>
      </c>
      <c r="J5475" s="1" t="n">
        <v>71371</v>
      </c>
      <c r="K5475" s="1" t="n">
        <v>7891150097582</v>
      </c>
      <c r="L5475" s="1" t="s">
        <v>4274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5" t="n">
        <v>46228</v>
      </c>
      <c r="C5476" s="1" t="n">
        <v>11</v>
      </c>
      <c r="D5476" s="1" t="s">
        <v>2290</v>
      </c>
      <c r="E5476" s="1" t="n">
        <v>1636</v>
      </c>
      <c r="F5476" s="1" t="s">
        <v>49</v>
      </c>
      <c r="I5476" s="1" t="n">
        <v>3223572</v>
      </c>
      <c r="J5476" s="1" t="n">
        <v>71372</v>
      </c>
      <c r="K5476" s="1" t="n">
        <v>7891150097612</v>
      </c>
      <c r="L5476" s="1" t="s">
        <v>4275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5" t="n">
        <v>46228</v>
      </c>
      <c r="C5477" s="1" t="n">
        <v>11</v>
      </c>
      <c r="D5477" s="1" t="s">
        <v>2290</v>
      </c>
      <c r="E5477" s="1" t="n">
        <v>1636</v>
      </c>
      <c r="F5477" s="1" t="s">
        <v>49</v>
      </c>
      <c r="I5477" s="1" t="n">
        <v>3223572</v>
      </c>
      <c r="J5477" s="1" t="n">
        <v>71624</v>
      </c>
      <c r="K5477" s="1" t="n">
        <v>7891150097568</v>
      </c>
      <c r="L5477" s="1" t="s">
        <v>4116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5" t="n">
        <v>46228</v>
      </c>
      <c r="C5478" s="1" t="n">
        <v>11</v>
      </c>
      <c r="D5478" s="1" t="s">
        <v>2290</v>
      </c>
      <c r="E5478" s="1" t="n">
        <v>1636</v>
      </c>
      <c r="F5478" s="1" t="s">
        <v>49</v>
      </c>
      <c r="I5478" s="1" t="n">
        <v>3223572</v>
      </c>
      <c r="J5478" s="1" t="n">
        <v>71625</v>
      </c>
      <c r="K5478" s="1" t="n">
        <v>7891150097537</v>
      </c>
      <c r="L5478" s="1" t="s">
        <v>4276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5" t="n">
        <v>46228</v>
      </c>
      <c r="C5479" s="1" t="n">
        <v>22</v>
      </c>
      <c r="D5479" s="1" t="s">
        <v>2436</v>
      </c>
      <c r="E5479" s="1" t="n">
        <v>42</v>
      </c>
      <c r="F5479" s="1" t="s">
        <v>80</v>
      </c>
      <c r="I5479" s="1" t="n">
        <v>4424</v>
      </c>
      <c r="J5479" s="1" t="n">
        <v>100000</v>
      </c>
      <c r="K5479" s="1" t="n">
        <v>1</v>
      </c>
      <c r="L5479" s="1" t="s">
        <v>2451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5" t="n">
        <v>46228</v>
      </c>
      <c r="C5480" s="1" t="n">
        <v>22</v>
      </c>
      <c r="D5480" s="1" t="s">
        <v>2436</v>
      </c>
      <c r="E5480" s="1" t="n">
        <v>42</v>
      </c>
      <c r="F5480" s="1" t="s">
        <v>80</v>
      </c>
      <c r="I5480" s="1" t="n">
        <v>4424</v>
      </c>
      <c r="J5480" s="1" t="n">
        <v>100000</v>
      </c>
      <c r="K5480" s="1" t="n">
        <v>1</v>
      </c>
      <c r="L5480" s="1" t="s">
        <v>2451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5" t="n">
        <v>46228</v>
      </c>
      <c r="C5481" s="1" t="n">
        <v>22</v>
      </c>
      <c r="D5481" s="1" t="s">
        <v>2436</v>
      </c>
      <c r="E5481" s="1" t="n">
        <v>42</v>
      </c>
      <c r="F5481" s="1" t="s">
        <v>80</v>
      </c>
      <c r="I5481" s="1" t="n">
        <v>4424</v>
      </c>
      <c r="J5481" s="1" t="n">
        <v>100001</v>
      </c>
      <c r="K5481" s="1" t="n">
        <v>2</v>
      </c>
      <c r="L5481" s="1" t="s">
        <v>2452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5" t="n">
        <v>46228</v>
      </c>
      <c r="C5482" s="1" t="n">
        <v>22</v>
      </c>
      <c r="D5482" s="1" t="s">
        <v>2436</v>
      </c>
      <c r="E5482" s="1" t="n">
        <v>42</v>
      </c>
      <c r="F5482" s="1" t="s">
        <v>80</v>
      </c>
      <c r="I5482" s="1" t="n">
        <v>4424</v>
      </c>
      <c r="J5482" s="1" t="n">
        <v>100002</v>
      </c>
      <c r="K5482" s="1" t="n">
        <v>3</v>
      </c>
      <c r="L5482" s="1" t="s">
        <v>2453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5" t="n">
        <v>46228</v>
      </c>
      <c r="C5483" s="1" t="n">
        <v>22</v>
      </c>
      <c r="D5483" s="1" t="s">
        <v>2436</v>
      </c>
      <c r="E5483" s="1" t="n">
        <v>42</v>
      </c>
      <c r="F5483" s="1" t="s">
        <v>80</v>
      </c>
      <c r="I5483" s="1" t="n">
        <v>4424</v>
      </c>
      <c r="J5483" s="1" t="n">
        <v>100003</v>
      </c>
      <c r="K5483" s="1" t="n">
        <v>4</v>
      </c>
      <c r="L5483" s="1" t="s">
        <v>2454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5" t="n">
        <v>46228</v>
      </c>
      <c r="C5484" s="1" t="n">
        <v>22</v>
      </c>
      <c r="D5484" s="1" t="s">
        <v>2436</v>
      </c>
      <c r="E5484" s="1" t="n">
        <v>42</v>
      </c>
      <c r="F5484" s="1" t="s">
        <v>80</v>
      </c>
      <c r="I5484" s="1" t="n">
        <v>4424</v>
      </c>
      <c r="J5484" s="1" t="n">
        <v>100006</v>
      </c>
      <c r="K5484" s="1" t="n">
        <v>7</v>
      </c>
      <c r="L5484" s="1" t="s">
        <v>2437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5" t="n">
        <v>46228</v>
      </c>
      <c r="C5485" s="1" t="n">
        <v>22</v>
      </c>
      <c r="D5485" s="1" t="s">
        <v>2436</v>
      </c>
      <c r="E5485" s="1" t="n">
        <v>42</v>
      </c>
      <c r="F5485" s="1" t="s">
        <v>80</v>
      </c>
      <c r="I5485" s="1" t="n">
        <v>4424</v>
      </c>
      <c r="J5485" s="1" t="n">
        <v>100007</v>
      </c>
      <c r="K5485" s="1" t="n">
        <v>8</v>
      </c>
      <c r="L5485" s="1" t="s">
        <v>2455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5" t="n">
        <v>46228</v>
      </c>
      <c r="C5486" s="1" t="n">
        <v>22</v>
      </c>
      <c r="D5486" s="1" t="s">
        <v>2436</v>
      </c>
      <c r="E5486" s="1" t="n">
        <v>42</v>
      </c>
      <c r="F5486" s="1" t="s">
        <v>80</v>
      </c>
      <c r="I5486" s="1" t="n">
        <v>4424</v>
      </c>
      <c r="J5486" s="1" t="n">
        <v>100008</v>
      </c>
      <c r="K5486" s="1" t="n">
        <v>9</v>
      </c>
      <c r="L5486" s="1" t="s">
        <v>2438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5" t="n">
        <v>46228</v>
      </c>
      <c r="C5487" s="1" t="n">
        <v>22</v>
      </c>
      <c r="D5487" s="1" t="s">
        <v>2436</v>
      </c>
      <c r="E5487" s="1" t="n">
        <v>42</v>
      </c>
      <c r="F5487" s="1" t="s">
        <v>80</v>
      </c>
      <c r="I5487" s="1" t="n">
        <v>4424</v>
      </c>
      <c r="J5487" s="1" t="n">
        <v>100010</v>
      </c>
      <c r="K5487" s="1" t="n">
        <v>11</v>
      </c>
      <c r="L5487" s="1" t="s">
        <v>2439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5" t="n">
        <v>46228</v>
      </c>
      <c r="C5488" s="1" t="n">
        <v>22</v>
      </c>
      <c r="D5488" s="1" t="s">
        <v>2436</v>
      </c>
      <c r="E5488" s="1" t="n">
        <v>42</v>
      </c>
      <c r="F5488" s="1" t="s">
        <v>80</v>
      </c>
      <c r="I5488" s="1" t="n">
        <v>4424</v>
      </c>
      <c r="J5488" s="1" t="n">
        <v>100011</v>
      </c>
      <c r="K5488" s="1" t="n">
        <v>12</v>
      </c>
      <c r="L5488" s="1" t="s">
        <v>2440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5" t="n">
        <v>46228</v>
      </c>
      <c r="C5489" s="1" t="n">
        <v>22</v>
      </c>
      <c r="D5489" s="1" t="s">
        <v>2436</v>
      </c>
      <c r="E5489" s="1" t="n">
        <v>42</v>
      </c>
      <c r="F5489" s="1" t="s">
        <v>80</v>
      </c>
      <c r="I5489" s="1" t="n">
        <v>4424</v>
      </c>
      <c r="J5489" s="1" t="n">
        <v>100012</v>
      </c>
      <c r="K5489" s="1" t="n">
        <v>13</v>
      </c>
      <c r="L5489" s="1" t="s">
        <v>2441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5" t="n">
        <v>46228</v>
      </c>
      <c r="C5490" s="1" t="n">
        <v>22</v>
      </c>
      <c r="D5490" s="1" t="s">
        <v>2436</v>
      </c>
      <c r="E5490" s="1" t="n">
        <v>42</v>
      </c>
      <c r="F5490" s="1" t="s">
        <v>80</v>
      </c>
      <c r="I5490" s="1" t="n">
        <v>4424</v>
      </c>
      <c r="J5490" s="1" t="n">
        <v>100013</v>
      </c>
      <c r="K5490" s="1" t="n">
        <v>14</v>
      </c>
      <c r="L5490" s="1" t="s">
        <v>2442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5" t="n">
        <v>46228</v>
      </c>
      <c r="C5491" s="1" t="n">
        <v>22</v>
      </c>
      <c r="D5491" s="1" t="s">
        <v>2436</v>
      </c>
      <c r="E5491" s="1" t="n">
        <v>42</v>
      </c>
      <c r="F5491" s="1" t="s">
        <v>80</v>
      </c>
      <c r="I5491" s="1" t="n">
        <v>4424</v>
      </c>
      <c r="J5491" s="1" t="n">
        <v>100014</v>
      </c>
      <c r="K5491" s="1" t="n">
        <v>15</v>
      </c>
      <c r="L5491" s="1" t="s">
        <v>2443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5" t="n">
        <v>46228</v>
      </c>
      <c r="C5492" s="1" t="n">
        <v>22</v>
      </c>
      <c r="D5492" s="1" t="s">
        <v>2436</v>
      </c>
      <c r="E5492" s="1" t="n">
        <v>42</v>
      </c>
      <c r="F5492" s="1" t="s">
        <v>80</v>
      </c>
      <c r="I5492" s="1" t="n">
        <v>4424</v>
      </c>
      <c r="J5492" s="1" t="n">
        <v>100015</v>
      </c>
      <c r="K5492" s="1" t="n">
        <v>16</v>
      </c>
      <c r="L5492" s="1" t="s">
        <v>2444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5" t="n">
        <v>46228</v>
      </c>
      <c r="C5493" s="1" t="n">
        <v>22</v>
      </c>
      <c r="D5493" s="1" t="s">
        <v>2436</v>
      </c>
      <c r="E5493" s="1" t="n">
        <v>42</v>
      </c>
      <c r="F5493" s="1" t="s">
        <v>80</v>
      </c>
      <c r="I5493" s="1" t="n">
        <v>4424</v>
      </c>
      <c r="J5493" s="1" t="n">
        <v>100016</v>
      </c>
      <c r="K5493" s="1" t="n">
        <v>17</v>
      </c>
      <c r="L5493" s="1" t="s">
        <v>2445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5" t="n">
        <v>46228</v>
      </c>
      <c r="C5494" s="1" t="n">
        <v>22</v>
      </c>
      <c r="D5494" s="1" t="s">
        <v>2436</v>
      </c>
      <c r="E5494" s="1" t="n">
        <v>42</v>
      </c>
      <c r="F5494" s="1" t="s">
        <v>80</v>
      </c>
      <c r="I5494" s="1" t="n">
        <v>4424</v>
      </c>
      <c r="J5494" s="1" t="n">
        <v>100017</v>
      </c>
      <c r="K5494" s="1" t="n">
        <v>18</v>
      </c>
      <c r="L5494" s="1" t="s">
        <v>2446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5" t="n">
        <v>46228</v>
      </c>
      <c r="C5495" s="1" t="n">
        <v>22</v>
      </c>
      <c r="D5495" s="1" t="s">
        <v>2436</v>
      </c>
      <c r="E5495" s="1" t="n">
        <v>42</v>
      </c>
      <c r="F5495" s="1" t="s">
        <v>80</v>
      </c>
      <c r="I5495" s="1" t="n">
        <v>4424</v>
      </c>
      <c r="J5495" s="1" t="n">
        <v>100053</v>
      </c>
      <c r="K5495" s="1" t="n">
        <v>54</v>
      </c>
      <c r="L5495" s="1" t="s">
        <v>2447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5" t="n">
        <v>46228</v>
      </c>
      <c r="C5496" s="1" t="n">
        <v>22</v>
      </c>
      <c r="D5496" s="1" t="s">
        <v>2436</v>
      </c>
      <c r="E5496" s="1" t="n">
        <v>42</v>
      </c>
      <c r="F5496" s="1" t="s">
        <v>80</v>
      </c>
      <c r="I5496" s="1" t="n">
        <v>4424</v>
      </c>
      <c r="J5496" s="1" t="n">
        <v>100638</v>
      </c>
      <c r="K5496" s="1" t="n">
        <v>508</v>
      </c>
      <c r="L5496" s="1" t="s">
        <v>2448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5" t="n">
        <v>46228</v>
      </c>
      <c r="C5497" s="1" t="n">
        <v>22</v>
      </c>
      <c r="D5497" s="1" t="s">
        <v>2436</v>
      </c>
      <c r="E5497" s="1" t="n">
        <v>42</v>
      </c>
      <c r="F5497" s="1" t="s">
        <v>80</v>
      </c>
      <c r="I5497" s="1" t="n">
        <v>4424</v>
      </c>
      <c r="J5497" s="1" t="n">
        <v>100638</v>
      </c>
      <c r="K5497" s="1" t="n">
        <v>508</v>
      </c>
      <c r="L5497" s="1" t="s">
        <v>2448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5" t="n">
        <v>46228</v>
      </c>
      <c r="C5498" s="1" t="n">
        <v>22</v>
      </c>
      <c r="D5498" s="1" t="s">
        <v>2436</v>
      </c>
      <c r="E5498" s="1" t="n">
        <v>42</v>
      </c>
      <c r="F5498" s="1" t="s">
        <v>80</v>
      </c>
      <c r="I5498" s="1" t="n">
        <v>4424</v>
      </c>
      <c r="J5498" s="1" t="n">
        <v>100520</v>
      </c>
      <c r="K5498" s="1" t="n">
        <v>507</v>
      </c>
      <c r="L5498" s="1" t="s">
        <v>2449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5" t="n">
        <v>46228</v>
      </c>
      <c r="C5499" s="1" t="n">
        <v>22</v>
      </c>
      <c r="D5499" s="1" t="s">
        <v>2436</v>
      </c>
      <c r="E5499" s="1" t="n">
        <v>42</v>
      </c>
      <c r="F5499" s="1" t="s">
        <v>80</v>
      </c>
      <c r="I5499" s="1" t="n">
        <v>4424</v>
      </c>
      <c r="J5499" s="1" t="n">
        <v>100520</v>
      </c>
      <c r="K5499" s="1" t="n">
        <v>507</v>
      </c>
      <c r="L5499" s="1" t="s">
        <v>2449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5" t="n">
        <v>46228</v>
      </c>
      <c r="C5500" s="1" t="n">
        <v>22</v>
      </c>
      <c r="D5500" s="1" t="s">
        <v>2436</v>
      </c>
      <c r="E5500" s="1" t="n">
        <v>42</v>
      </c>
      <c r="F5500" s="1" t="s">
        <v>80</v>
      </c>
      <c r="I5500" s="1" t="n">
        <v>4424</v>
      </c>
      <c r="J5500" s="1" t="n">
        <v>110455</v>
      </c>
      <c r="K5500" s="1" t="n">
        <v>53212</v>
      </c>
      <c r="L5500" s="1" t="s">
        <v>2450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5" t="n">
        <v>46228</v>
      </c>
      <c r="C5501" s="1" t="n">
        <v>22</v>
      </c>
      <c r="D5501" s="1" t="s">
        <v>2436</v>
      </c>
      <c r="E5501" s="1" t="n">
        <v>42</v>
      </c>
      <c r="F5501" s="1" t="s">
        <v>80</v>
      </c>
      <c r="I5501" s="1" t="n">
        <v>4424</v>
      </c>
      <c r="J5501" s="1" t="n">
        <v>110455</v>
      </c>
      <c r="K5501" s="1" t="n">
        <v>53212</v>
      </c>
      <c r="L5501" s="1" t="s">
        <v>2450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5" t="n">
        <v>46228</v>
      </c>
      <c r="C5502" s="1" t="n">
        <v>39</v>
      </c>
      <c r="D5502" s="1" t="s">
        <v>2515</v>
      </c>
      <c r="E5502" s="1" t="n">
        <v>1713</v>
      </c>
      <c r="F5502" s="1" t="s">
        <v>1707</v>
      </c>
      <c r="I5502" s="1" t="n">
        <v>13720</v>
      </c>
      <c r="J5502" s="1" t="n">
        <v>81857</v>
      </c>
      <c r="K5502" s="1" t="n">
        <v>7898639684592</v>
      </c>
      <c r="L5502" s="1" t="s">
        <v>4277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5" t="n">
        <v>46228</v>
      </c>
      <c r="C5503" s="1" t="n">
        <v>39</v>
      </c>
      <c r="D5503" s="1" t="s">
        <v>2515</v>
      </c>
      <c r="E5503" s="1" t="n">
        <v>848</v>
      </c>
      <c r="F5503" s="1" t="s">
        <v>1254</v>
      </c>
      <c r="I5503" s="1" t="n">
        <v>30019</v>
      </c>
      <c r="J5503" s="1" t="n">
        <v>81858</v>
      </c>
      <c r="K5503" s="1" t="n">
        <v>7908038200276</v>
      </c>
      <c r="L5503" s="1" t="s">
        <v>4278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5" t="n">
        <v>46228</v>
      </c>
      <c r="C5504" s="1" t="n">
        <v>100</v>
      </c>
      <c r="D5504" s="1" t="s">
        <v>2457</v>
      </c>
      <c r="E5504" s="1" t="n">
        <v>42</v>
      </c>
      <c r="F5504" s="1" t="s">
        <v>80</v>
      </c>
      <c r="I5504" s="1" t="n">
        <v>1448868</v>
      </c>
      <c r="J5504" s="1" t="n">
        <v>100000</v>
      </c>
      <c r="K5504" s="1" t="n">
        <v>1</v>
      </c>
      <c r="L5504" s="1" t="s">
        <v>2451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5" t="n">
        <v>46228</v>
      </c>
      <c r="C5505" s="1" t="n">
        <v>100</v>
      </c>
      <c r="D5505" s="1" t="s">
        <v>2457</v>
      </c>
      <c r="E5505" s="1" t="n">
        <v>42</v>
      </c>
      <c r="F5505" s="1" t="s">
        <v>80</v>
      </c>
      <c r="I5505" s="1" t="n">
        <v>1448868</v>
      </c>
      <c r="J5505" s="1" t="n">
        <v>100001</v>
      </c>
      <c r="K5505" s="1" t="n">
        <v>2</v>
      </c>
      <c r="L5505" s="1" t="s">
        <v>2452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5" t="n">
        <v>46228</v>
      </c>
      <c r="C5506" s="1" t="n">
        <v>100</v>
      </c>
      <c r="D5506" s="1" t="s">
        <v>2457</v>
      </c>
      <c r="E5506" s="1" t="n">
        <v>42</v>
      </c>
      <c r="F5506" s="1" t="s">
        <v>80</v>
      </c>
      <c r="I5506" s="1" t="n">
        <v>1448868</v>
      </c>
      <c r="J5506" s="1" t="n">
        <v>100002</v>
      </c>
      <c r="K5506" s="1" t="n">
        <v>3</v>
      </c>
      <c r="L5506" s="1" t="s">
        <v>2453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5" t="n">
        <v>46228</v>
      </c>
      <c r="C5507" s="1" t="n">
        <v>100</v>
      </c>
      <c r="D5507" s="1" t="s">
        <v>2457</v>
      </c>
      <c r="E5507" s="1" t="n">
        <v>42</v>
      </c>
      <c r="F5507" s="1" t="s">
        <v>80</v>
      </c>
      <c r="I5507" s="1" t="n">
        <v>1448868</v>
      </c>
      <c r="J5507" s="1" t="n">
        <v>100003</v>
      </c>
      <c r="K5507" s="1" t="n">
        <v>4</v>
      </c>
      <c r="L5507" s="1" t="s">
        <v>2454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5" t="n">
        <v>46228</v>
      </c>
      <c r="C5508" s="1" t="n">
        <v>100</v>
      </c>
      <c r="D5508" s="1" t="s">
        <v>2457</v>
      </c>
      <c r="E5508" s="1" t="n">
        <v>42</v>
      </c>
      <c r="F5508" s="1" t="s">
        <v>80</v>
      </c>
      <c r="I5508" s="1" t="n">
        <v>1448868</v>
      </c>
      <c r="J5508" s="1" t="n">
        <v>100007</v>
      </c>
      <c r="K5508" s="1" t="n">
        <v>8</v>
      </c>
      <c r="L5508" s="1" t="s">
        <v>2455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5" t="n">
        <v>46228</v>
      </c>
      <c r="C5509" s="1" t="n">
        <v>100</v>
      </c>
      <c r="D5509" s="1" t="s">
        <v>2457</v>
      </c>
      <c r="E5509" s="1" t="n">
        <v>42</v>
      </c>
      <c r="F5509" s="1" t="s">
        <v>80</v>
      </c>
      <c r="I5509" s="1" t="n">
        <v>1448868</v>
      </c>
      <c r="J5509" s="1" t="n">
        <v>100638</v>
      </c>
      <c r="K5509" s="1" t="n">
        <v>508</v>
      </c>
      <c r="L5509" s="1" t="s">
        <v>2448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5" t="n">
        <v>46228</v>
      </c>
      <c r="C5510" s="1" t="n">
        <v>100</v>
      </c>
      <c r="D5510" s="1" t="s">
        <v>2457</v>
      </c>
      <c r="E5510" s="1" t="n">
        <v>42</v>
      </c>
      <c r="F5510" s="1" t="s">
        <v>80</v>
      </c>
      <c r="I5510" s="1" t="n">
        <v>1448868</v>
      </c>
      <c r="J5510" s="1" t="n">
        <v>100520</v>
      </c>
      <c r="K5510" s="1" t="n">
        <v>507</v>
      </c>
      <c r="L5510" s="1" t="s">
        <v>2449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5" t="n">
        <v>46228</v>
      </c>
      <c r="C5511" s="1" t="n">
        <v>100</v>
      </c>
      <c r="D5511" s="1" t="s">
        <v>2457</v>
      </c>
      <c r="E5511" s="1" t="n">
        <v>42</v>
      </c>
      <c r="F5511" s="1" t="s">
        <v>80</v>
      </c>
      <c r="I5511" s="1" t="n">
        <v>1448868</v>
      </c>
      <c r="J5511" s="1" t="n">
        <v>110455</v>
      </c>
      <c r="K5511" s="1" t="n">
        <v>53212</v>
      </c>
      <c r="L5511" s="1" t="s">
        <v>2450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5" t="n">
        <v>46228</v>
      </c>
      <c r="C5512" s="1" t="n">
        <v>100</v>
      </c>
      <c r="D5512" s="1" t="s">
        <v>2457</v>
      </c>
      <c r="E5512" s="1" t="n">
        <v>42</v>
      </c>
      <c r="F5512" s="1" t="s">
        <v>80</v>
      </c>
      <c r="I5512" s="1" t="n">
        <v>1448876</v>
      </c>
      <c r="J5512" s="1" t="n">
        <v>100000</v>
      </c>
      <c r="K5512" s="1" t="n">
        <v>1</v>
      </c>
      <c r="L5512" s="1" t="s">
        <v>2451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5" t="n">
        <v>46228</v>
      </c>
      <c r="C5513" s="1" t="n">
        <v>100</v>
      </c>
      <c r="D5513" s="1" t="s">
        <v>2457</v>
      </c>
      <c r="E5513" s="1" t="n">
        <v>42</v>
      </c>
      <c r="F5513" s="1" t="s">
        <v>80</v>
      </c>
      <c r="I5513" s="1" t="n">
        <v>1448876</v>
      </c>
      <c r="J5513" s="1" t="n">
        <v>100006</v>
      </c>
      <c r="K5513" s="1" t="n">
        <v>7</v>
      </c>
      <c r="L5513" s="1" t="s">
        <v>2437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5" t="n">
        <v>46228</v>
      </c>
      <c r="C5514" s="1" t="n">
        <v>100</v>
      </c>
      <c r="D5514" s="1" t="s">
        <v>2457</v>
      </c>
      <c r="E5514" s="1" t="n">
        <v>42</v>
      </c>
      <c r="F5514" s="1" t="s">
        <v>80</v>
      </c>
      <c r="I5514" s="1" t="n">
        <v>1448876</v>
      </c>
      <c r="J5514" s="1" t="n">
        <v>100008</v>
      </c>
      <c r="K5514" s="1" t="n">
        <v>9</v>
      </c>
      <c r="L5514" s="1" t="s">
        <v>2438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5" t="n">
        <v>46228</v>
      </c>
      <c r="C5515" s="1" t="n">
        <v>100</v>
      </c>
      <c r="D5515" s="1" t="s">
        <v>2457</v>
      </c>
      <c r="E5515" s="1" t="n">
        <v>42</v>
      </c>
      <c r="F5515" s="1" t="s">
        <v>80</v>
      </c>
      <c r="I5515" s="1" t="n">
        <v>1448876</v>
      </c>
      <c r="J5515" s="1" t="n">
        <v>100010</v>
      </c>
      <c r="K5515" s="1" t="n">
        <v>11</v>
      </c>
      <c r="L5515" s="1" t="s">
        <v>2439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5" t="n">
        <v>46228</v>
      </c>
      <c r="C5516" s="1" t="n">
        <v>100</v>
      </c>
      <c r="D5516" s="1" t="s">
        <v>2457</v>
      </c>
      <c r="E5516" s="1" t="n">
        <v>42</v>
      </c>
      <c r="F5516" s="1" t="s">
        <v>80</v>
      </c>
      <c r="I5516" s="1" t="n">
        <v>1448876</v>
      </c>
      <c r="J5516" s="1" t="n">
        <v>100011</v>
      </c>
      <c r="K5516" s="1" t="n">
        <v>12</v>
      </c>
      <c r="L5516" s="1" t="s">
        <v>2440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5" t="n">
        <v>46228</v>
      </c>
      <c r="C5517" s="1" t="n">
        <v>100</v>
      </c>
      <c r="D5517" s="1" t="s">
        <v>2457</v>
      </c>
      <c r="E5517" s="1" t="n">
        <v>42</v>
      </c>
      <c r="F5517" s="1" t="s">
        <v>80</v>
      </c>
      <c r="I5517" s="1" t="n">
        <v>1448876</v>
      </c>
      <c r="J5517" s="1" t="n">
        <v>100012</v>
      </c>
      <c r="K5517" s="1" t="n">
        <v>13</v>
      </c>
      <c r="L5517" s="1" t="s">
        <v>2441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5" t="n">
        <v>46228</v>
      </c>
      <c r="C5518" s="1" t="n">
        <v>100</v>
      </c>
      <c r="D5518" s="1" t="s">
        <v>2457</v>
      </c>
      <c r="E5518" s="1" t="n">
        <v>42</v>
      </c>
      <c r="F5518" s="1" t="s">
        <v>80</v>
      </c>
      <c r="I5518" s="1" t="n">
        <v>1448876</v>
      </c>
      <c r="J5518" s="1" t="n">
        <v>100013</v>
      </c>
      <c r="K5518" s="1" t="n">
        <v>14</v>
      </c>
      <c r="L5518" s="1" t="s">
        <v>2442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5" t="n">
        <v>46228</v>
      </c>
      <c r="C5519" s="1" t="n">
        <v>100</v>
      </c>
      <c r="D5519" s="1" t="s">
        <v>2457</v>
      </c>
      <c r="E5519" s="1" t="n">
        <v>42</v>
      </c>
      <c r="F5519" s="1" t="s">
        <v>80</v>
      </c>
      <c r="I5519" s="1" t="n">
        <v>1448876</v>
      </c>
      <c r="J5519" s="1" t="n">
        <v>100014</v>
      </c>
      <c r="K5519" s="1" t="n">
        <v>15</v>
      </c>
      <c r="L5519" s="1" t="s">
        <v>2443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5" t="n">
        <v>46228</v>
      </c>
      <c r="C5520" s="1" t="n">
        <v>100</v>
      </c>
      <c r="D5520" s="1" t="s">
        <v>2457</v>
      </c>
      <c r="E5520" s="1" t="n">
        <v>42</v>
      </c>
      <c r="F5520" s="1" t="s">
        <v>80</v>
      </c>
      <c r="I5520" s="1" t="n">
        <v>1448876</v>
      </c>
      <c r="J5520" s="1" t="n">
        <v>100015</v>
      </c>
      <c r="K5520" s="1" t="n">
        <v>16</v>
      </c>
      <c r="L5520" s="1" t="s">
        <v>2444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5" t="n">
        <v>46228</v>
      </c>
      <c r="C5521" s="1" t="n">
        <v>100</v>
      </c>
      <c r="D5521" s="1" t="s">
        <v>2457</v>
      </c>
      <c r="E5521" s="1" t="n">
        <v>42</v>
      </c>
      <c r="F5521" s="1" t="s">
        <v>80</v>
      </c>
      <c r="I5521" s="1" t="n">
        <v>1448876</v>
      </c>
      <c r="J5521" s="1" t="n">
        <v>100016</v>
      </c>
      <c r="K5521" s="1" t="n">
        <v>17</v>
      </c>
      <c r="L5521" s="1" t="s">
        <v>2445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5" t="n">
        <v>46228</v>
      </c>
      <c r="C5522" s="1" t="n">
        <v>100</v>
      </c>
      <c r="D5522" s="1" t="s">
        <v>2457</v>
      </c>
      <c r="E5522" s="1" t="n">
        <v>42</v>
      </c>
      <c r="F5522" s="1" t="s">
        <v>80</v>
      </c>
      <c r="I5522" s="1" t="n">
        <v>1448876</v>
      </c>
      <c r="J5522" s="1" t="n">
        <v>100017</v>
      </c>
      <c r="K5522" s="1" t="n">
        <v>18</v>
      </c>
      <c r="L5522" s="1" t="s">
        <v>2446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5" t="n">
        <v>46228</v>
      </c>
      <c r="C5523" s="1" t="n">
        <v>100</v>
      </c>
      <c r="D5523" s="1" t="s">
        <v>2457</v>
      </c>
      <c r="E5523" s="1" t="n">
        <v>42</v>
      </c>
      <c r="F5523" s="1" t="s">
        <v>80</v>
      </c>
      <c r="I5523" s="1" t="n">
        <v>1448876</v>
      </c>
      <c r="J5523" s="1" t="n">
        <v>100053</v>
      </c>
      <c r="K5523" s="1" t="n">
        <v>54</v>
      </c>
      <c r="L5523" s="1" t="s">
        <v>2447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5" t="n">
        <v>46228</v>
      </c>
      <c r="C5524" s="1" t="n">
        <v>100</v>
      </c>
      <c r="D5524" s="1" t="s">
        <v>2457</v>
      </c>
      <c r="E5524" s="1" t="n">
        <v>42</v>
      </c>
      <c r="F5524" s="1" t="s">
        <v>80</v>
      </c>
      <c r="I5524" s="1" t="n">
        <v>1448876</v>
      </c>
      <c r="J5524" s="1" t="n">
        <v>100638</v>
      </c>
      <c r="K5524" s="1" t="n">
        <v>508</v>
      </c>
      <c r="L5524" s="1" t="s">
        <v>2448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5" t="n">
        <v>46228</v>
      </c>
      <c r="C5525" s="1" t="n">
        <v>100</v>
      </c>
      <c r="D5525" s="1" t="s">
        <v>2457</v>
      </c>
      <c r="E5525" s="1" t="n">
        <v>42</v>
      </c>
      <c r="F5525" s="1" t="s">
        <v>80</v>
      </c>
      <c r="I5525" s="1" t="n">
        <v>1448876</v>
      </c>
      <c r="J5525" s="1" t="n">
        <v>100520</v>
      </c>
      <c r="K5525" s="1" t="n">
        <v>507</v>
      </c>
      <c r="L5525" s="1" t="s">
        <v>2449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5" t="n">
        <v>46228</v>
      </c>
      <c r="C5526" s="1" t="n">
        <v>100</v>
      </c>
      <c r="D5526" s="1" t="s">
        <v>2457</v>
      </c>
      <c r="E5526" s="1" t="n">
        <v>42</v>
      </c>
      <c r="F5526" s="1" t="s">
        <v>80</v>
      </c>
      <c r="I5526" s="1" t="n">
        <v>1448876</v>
      </c>
      <c r="J5526" s="1" t="n">
        <v>110455</v>
      </c>
      <c r="K5526" s="1" t="n">
        <v>53212</v>
      </c>
      <c r="L5526" s="1" t="s">
        <v>2450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5" t="n">
        <v>46230</v>
      </c>
      <c r="C5527" s="1" t="n">
        <v>6</v>
      </c>
      <c r="D5527" s="1" t="s">
        <v>2289</v>
      </c>
      <c r="E5527" s="1" t="n">
        <v>42</v>
      </c>
      <c r="F5527" s="1" t="s">
        <v>80</v>
      </c>
      <c r="I5527" s="1" t="n">
        <v>4425</v>
      </c>
      <c r="J5527" s="1" t="n">
        <v>100103</v>
      </c>
      <c r="K5527" s="1" t="n">
        <v>104</v>
      </c>
      <c r="L5527" s="1" t="s">
        <v>2287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5" t="n">
        <v>46230</v>
      </c>
      <c r="C5528" s="1" t="n">
        <v>11</v>
      </c>
      <c r="D5528" s="1" t="s">
        <v>2290</v>
      </c>
      <c r="E5528" s="1" t="n">
        <v>1625</v>
      </c>
      <c r="F5528" s="1" t="s">
        <v>320</v>
      </c>
      <c r="I5528" s="1" t="n">
        <v>14819</v>
      </c>
      <c r="J5528" s="1" t="n">
        <v>29079</v>
      </c>
      <c r="K5528" s="1" t="n">
        <v>55515</v>
      </c>
      <c r="L5528" s="1" t="s">
        <v>2360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5" t="n">
        <v>46230</v>
      </c>
      <c r="C5529" s="1" t="n">
        <v>11</v>
      </c>
      <c r="D5529" s="1" t="s">
        <v>2290</v>
      </c>
      <c r="E5529" s="1" t="n">
        <v>1625</v>
      </c>
      <c r="F5529" s="1" t="s">
        <v>320</v>
      </c>
      <c r="I5529" s="1" t="n">
        <v>14819</v>
      </c>
      <c r="J5529" s="1" t="n">
        <v>29079</v>
      </c>
      <c r="K5529" s="1" t="n">
        <v>55515</v>
      </c>
      <c r="L5529" s="1" t="s">
        <v>2360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5" t="n">
        <v>46230</v>
      </c>
      <c r="C5530" s="1" t="n">
        <v>11</v>
      </c>
      <c r="D5530" s="1" t="s">
        <v>2290</v>
      </c>
      <c r="E5530" s="1" t="n">
        <v>1955</v>
      </c>
      <c r="F5530" s="1" t="s">
        <v>2216</v>
      </c>
      <c r="I5530" s="1" t="n">
        <v>47553</v>
      </c>
      <c r="J5530" s="1" t="n">
        <v>45153</v>
      </c>
      <c r="K5530" s="1" t="n">
        <v>7899403713715</v>
      </c>
      <c r="L5530" s="1" t="s">
        <v>3504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5" t="n">
        <v>46230</v>
      </c>
      <c r="C5531" s="1" t="n">
        <v>11</v>
      </c>
      <c r="D5531" s="1" t="s">
        <v>2290</v>
      </c>
      <c r="E5531" s="1" t="n">
        <v>1955</v>
      </c>
      <c r="F5531" s="1" t="s">
        <v>2216</v>
      </c>
      <c r="I5531" s="1" t="n">
        <v>47553</v>
      </c>
      <c r="J5531" s="1" t="n">
        <v>45154</v>
      </c>
      <c r="K5531" s="1" t="n">
        <v>2246390</v>
      </c>
      <c r="L5531" s="1" t="s">
        <v>3505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5" t="n">
        <v>46230</v>
      </c>
      <c r="C5532" s="1" t="n">
        <v>11</v>
      </c>
      <c r="D5532" s="1" t="s">
        <v>2290</v>
      </c>
      <c r="E5532" s="1" t="n">
        <v>1955</v>
      </c>
      <c r="F5532" s="1" t="s">
        <v>2216</v>
      </c>
      <c r="I5532" s="1" t="n">
        <v>47553</v>
      </c>
      <c r="J5532" s="1" t="n">
        <v>45155</v>
      </c>
      <c r="K5532" s="1" t="n">
        <v>2246406</v>
      </c>
      <c r="L5532" s="1" t="s">
        <v>3506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5" t="n">
        <v>46230</v>
      </c>
      <c r="C5533" s="1" t="n">
        <v>100</v>
      </c>
      <c r="D5533" s="1" t="s">
        <v>2457</v>
      </c>
      <c r="E5533" s="1" t="n">
        <v>42</v>
      </c>
      <c r="F5533" s="1" t="s">
        <v>80</v>
      </c>
      <c r="I5533" s="1" t="n">
        <v>1463467</v>
      </c>
      <c r="J5533" s="1" t="n">
        <v>100006</v>
      </c>
      <c r="K5533" s="1" t="n">
        <v>7</v>
      </c>
      <c r="L5533" s="1" t="s">
        <v>2437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5" t="n">
        <v>46230</v>
      </c>
      <c r="C5534" s="1" t="n">
        <v>100</v>
      </c>
      <c r="D5534" s="1" t="s">
        <v>2457</v>
      </c>
      <c r="E5534" s="1" t="n">
        <v>42</v>
      </c>
      <c r="F5534" s="1" t="s">
        <v>80</v>
      </c>
      <c r="I5534" s="1" t="n">
        <v>1463467</v>
      </c>
      <c r="J5534" s="1" t="n">
        <v>100008</v>
      </c>
      <c r="K5534" s="1" t="n">
        <v>9</v>
      </c>
      <c r="L5534" s="1" t="s">
        <v>2438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5" t="n">
        <v>46230</v>
      </c>
      <c r="C5535" s="1" t="n">
        <v>100</v>
      </c>
      <c r="D5535" s="1" t="s">
        <v>2457</v>
      </c>
      <c r="E5535" s="1" t="n">
        <v>42</v>
      </c>
      <c r="F5535" s="1" t="s">
        <v>80</v>
      </c>
      <c r="I5535" s="1" t="n">
        <v>1463467</v>
      </c>
      <c r="J5535" s="1" t="n">
        <v>100010</v>
      </c>
      <c r="K5535" s="1" t="n">
        <v>11</v>
      </c>
      <c r="L5535" s="1" t="s">
        <v>2439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5" t="n">
        <v>46230</v>
      </c>
      <c r="C5536" s="1" t="n">
        <v>100</v>
      </c>
      <c r="D5536" s="1" t="s">
        <v>2457</v>
      </c>
      <c r="E5536" s="1" t="n">
        <v>42</v>
      </c>
      <c r="F5536" s="1" t="s">
        <v>80</v>
      </c>
      <c r="I5536" s="1" t="n">
        <v>1463467</v>
      </c>
      <c r="J5536" s="1" t="n">
        <v>100011</v>
      </c>
      <c r="K5536" s="1" t="n">
        <v>12</v>
      </c>
      <c r="L5536" s="1" t="s">
        <v>2440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5" t="n">
        <v>46230</v>
      </c>
      <c r="C5537" s="1" t="n">
        <v>100</v>
      </c>
      <c r="D5537" s="1" t="s">
        <v>2457</v>
      </c>
      <c r="E5537" s="1" t="n">
        <v>42</v>
      </c>
      <c r="F5537" s="1" t="s">
        <v>80</v>
      </c>
      <c r="I5537" s="1" t="n">
        <v>1463467</v>
      </c>
      <c r="J5537" s="1" t="n">
        <v>100012</v>
      </c>
      <c r="K5537" s="1" t="n">
        <v>13</v>
      </c>
      <c r="L5537" s="1" t="s">
        <v>2441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5" t="n">
        <v>46230</v>
      </c>
      <c r="C5538" s="1" t="n">
        <v>100</v>
      </c>
      <c r="D5538" s="1" t="s">
        <v>2457</v>
      </c>
      <c r="E5538" s="1" t="n">
        <v>42</v>
      </c>
      <c r="F5538" s="1" t="s">
        <v>80</v>
      </c>
      <c r="I5538" s="1" t="n">
        <v>1463467</v>
      </c>
      <c r="J5538" s="1" t="n">
        <v>100013</v>
      </c>
      <c r="K5538" s="1" t="n">
        <v>14</v>
      </c>
      <c r="L5538" s="1" t="s">
        <v>2442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5" t="n">
        <v>46230</v>
      </c>
      <c r="C5539" s="1" t="n">
        <v>100</v>
      </c>
      <c r="D5539" s="1" t="s">
        <v>2457</v>
      </c>
      <c r="E5539" s="1" t="n">
        <v>42</v>
      </c>
      <c r="F5539" s="1" t="s">
        <v>80</v>
      </c>
      <c r="I5539" s="1" t="n">
        <v>1463467</v>
      </c>
      <c r="J5539" s="1" t="n">
        <v>100014</v>
      </c>
      <c r="K5539" s="1" t="n">
        <v>15</v>
      </c>
      <c r="L5539" s="1" t="s">
        <v>2443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5" t="n">
        <v>46230</v>
      </c>
      <c r="C5540" s="1" t="n">
        <v>100</v>
      </c>
      <c r="D5540" s="1" t="s">
        <v>2457</v>
      </c>
      <c r="E5540" s="1" t="n">
        <v>42</v>
      </c>
      <c r="F5540" s="1" t="s">
        <v>80</v>
      </c>
      <c r="I5540" s="1" t="n">
        <v>1463467</v>
      </c>
      <c r="J5540" s="1" t="n">
        <v>100015</v>
      </c>
      <c r="K5540" s="1" t="n">
        <v>16</v>
      </c>
      <c r="L5540" s="1" t="s">
        <v>2444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5" t="n">
        <v>46230</v>
      </c>
      <c r="C5541" s="1" t="n">
        <v>100</v>
      </c>
      <c r="D5541" s="1" t="s">
        <v>2457</v>
      </c>
      <c r="E5541" s="1" t="n">
        <v>42</v>
      </c>
      <c r="F5541" s="1" t="s">
        <v>80</v>
      </c>
      <c r="I5541" s="1" t="n">
        <v>1463467</v>
      </c>
      <c r="J5541" s="1" t="n">
        <v>100016</v>
      </c>
      <c r="K5541" s="1" t="n">
        <v>17</v>
      </c>
      <c r="L5541" s="1" t="s">
        <v>2445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5" t="n">
        <v>46230</v>
      </c>
      <c r="C5542" s="1" t="n">
        <v>100</v>
      </c>
      <c r="D5542" s="1" t="s">
        <v>2457</v>
      </c>
      <c r="E5542" s="1" t="n">
        <v>42</v>
      </c>
      <c r="F5542" s="1" t="s">
        <v>80</v>
      </c>
      <c r="I5542" s="1" t="n">
        <v>1463467</v>
      </c>
      <c r="J5542" s="1" t="n">
        <v>100017</v>
      </c>
      <c r="K5542" s="1" t="n">
        <v>18</v>
      </c>
      <c r="L5542" s="1" t="s">
        <v>2446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5" t="n">
        <v>46230</v>
      </c>
      <c r="C5543" s="1" t="n">
        <v>100</v>
      </c>
      <c r="D5543" s="1" t="s">
        <v>2457</v>
      </c>
      <c r="E5543" s="1" t="n">
        <v>42</v>
      </c>
      <c r="F5543" s="1" t="s">
        <v>80</v>
      </c>
      <c r="I5543" s="1" t="n">
        <v>1463467</v>
      </c>
      <c r="J5543" s="1" t="n">
        <v>100053</v>
      </c>
      <c r="K5543" s="1" t="n">
        <v>54</v>
      </c>
      <c r="L5543" s="1" t="s">
        <v>2447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5" t="n">
        <v>46230</v>
      </c>
      <c r="C5544" s="1" t="n">
        <v>100</v>
      </c>
      <c r="D5544" s="1" t="s">
        <v>2457</v>
      </c>
      <c r="E5544" s="1" t="n">
        <v>42</v>
      </c>
      <c r="F5544" s="1" t="s">
        <v>80</v>
      </c>
      <c r="I5544" s="1" t="n">
        <v>1463467</v>
      </c>
      <c r="J5544" s="1" t="n">
        <v>100638</v>
      </c>
      <c r="K5544" s="1" t="n">
        <v>508</v>
      </c>
      <c r="L5544" s="1" t="s">
        <v>2448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5" t="n">
        <v>46230</v>
      </c>
      <c r="C5545" s="1" t="n">
        <v>100</v>
      </c>
      <c r="D5545" s="1" t="s">
        <v>2457</v>
      </c>
      <c r="E5545" s="1" t="n">
        <v>42</v>
      </c>
      <c r="F5545" s="1" t="s">
        <v>80</v>
      </c>
      <c r="I5545" s="1" t="n">
        <v>1463467</v>
      </c>
      <c r="J5545" s="1" t="n">
        <v>100520</v>
      </c>
      <c r="K5545" s="1" t="n">
        <v>507</v>
      </c>
      <c r="L5545" s="1" t="s">
        <v>2449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5" t="n">
        <v>46230</v>
      </c>
      <c r="C5546" s="1" t="n">
        <v>100</v>
      </c>
      <c r="D5546" s="1" t="s">
        <v>2457</v>
      </c>
      <c r="E5546" s="1" t="n">
        <v>42</v>
      </c>
      <c r="F5546" s="1" t="s">
        <v>80</v>
      </c>
      <c r="I5546" s="1" t="n">
        <v>1463467</v>
      </c>
      <c r="J5546" s="1" t="n">
        <v>110455</v>
      </c>
      <c r="K5546" s="1" t="n">
        <v>53212</v>
      </c>
      <c r="L5546" s="1" t="s">
        <v>2450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5" t="n">
        <v>46230</v>
      </c>
      <c r="C5547" s="1" t="n">
        <v>100</v>
      </c>
      <c r="D5547" s="1" t="s">
        <v>2457</v>
      </c>
      <c r="E5547" s="1" t="n">
        <v>42</v>
      </c>
      <c r="F5547" s="1" t="s">
        <v>80</v>
      </c>
      <c r="I5547" s="1" t="n">
        <v>1463472</v>
      </c>
      <c r="J5547" s="1" t="n">
        <v>100006</v>
      </c>
      <c r="K5547" s="1" t="n">
        <v>7</v>
      </c>
      <c r="L5547" s="1" t="s">
        <v>2437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5" t="n">
        <v>46230</v>
      </c>
      <c r="C5548" s="1" t="n">
        <v>100</v>
      </c>
      <c r="D5548" s="1" t="s">
        <v>2457</v>
      </c>
      <c r="E5548" s="1" t="n">
        <v>42</v>
      </c>
      <c r="F5548" s="1" t="s">
        <v>80</v>
      </c>
      <c r="I5548" s="1" t="n">
        <v>1463472</v>
      </c>
      <c r="J5548" s="1" t="n">
        <v>100008</v>
      </c>
      <c r="K5548" s="1" t="n">
        <v>9</v>
      </c>
      <c r="L5548" s="1" t="s">
        <v>2438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5" t="n">
        <v>46230</v>
      </c>
      <c r="C5549" s="1" t="n">
        <v>100</v>
      </c>
      <c r="D5549" s="1" t="s">
        <v>2457</v>
      </c>
      <c r="E5549" s="1" t="n">
        <v>42</v>
      </c>
      <c r="F5549" s="1" t="s">
        <v>80</v>
      </c>
      <c r="I5549" s="1" t="n">
        <v>1463472</v>
      </c>
      <c r="J5549" s="1" t="n">
        <v>100010</v>
      </c>
      <c r="K5549" s="1" t="n">
        <v>11</v>
      </c>
      <c r="L5549" s="1" t="s">
        <v>2439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5" t="n">
        <v>46230</v>
      </c>
      <c r="C5550" s="1" t="n">
        <v>100</v>
      </c>
      <c r="D5550" s="1" t="s">
        <v>2457</v>
      </c>
      <c r="E5550" s="1" t="n">
        <v>42</v>
      </c>
      <c r="F5550" s="1" t="s">
        <v>80</v>
      </c>
      <c r="I5550" s="1" t="n">
        <v>1463472</v>
      </c>
      <c r="J5550" s="1" t="n">
        <v>100011</v>
      </c>
      <c r="K5550" s="1" t="n">
        <v>12</v>
      </c>
      <c r="L5550" s="1" t="s">
        <v>2440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5" t="n">
        <v>46230</v>
      </c>
      <c r="C5551" s="1" t="n">
        <v>100</v>
      </c>
      <c r="D5551" s="1" t="s">
        <v>2457</v>
      </c>
      <c r="E5551" s="1" t="n">
        <v>42</v>
      </c>
      <c r="F5551" s="1" t="s">
        <v>80</v>
      </c>
      <c r="I5551" s="1" t="n">
        <v>1463472</v>
      </c>
      <c r="J5551" s="1" t="n">
        <v>100012</v>
      </c>
      <c r="K5551" s="1" t="n">
        <v>13</v>
      </c>
      <c r="L5551" s="1" t="s">
        <v>2441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5" t="n">
        <v>46230</v>
      </c>
      <c r="C5552" s="1" t="n">
        <v>100</v>
      </c>
      <c r="D5552" s="1" t="s">
        <v>2457</v>
      </c>
      <c r="E5552" s="1" t="n">
        <v>42</v>
      </c>
      <c r="F5552" s="1" t="s">
        <v>80</v>
      </c>
      <c r="I5552" s="1" t="n">
        <v>1463472</v>
      </c>
      <c r="J5552" s="1" t="n">
        <v>100013</v>
      </c>
      <c r="K5552" s="1" t="n">
        <v>14</v>
      </c>
      <c r="L5552" s="1" t="s">
        <v>2442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5" t="n">
        <v>46230</v>
      </c>
      <c r="C5553" s="1" t="n">
        <v>100</v>
      </c>
      <c r="D5553" s="1" t="s">
        <v>2457</v>
      </c>
      <c r="E5553" s="1" t="n">
        <v>42</v>
      </c>
      <c r="F5553" s="1" t="s">
        <v>80</v>
      </c>
      <c r="I5553" s="1" t="n">
        <v>1463472</v>
      </c>
      <c r="J5553" s="1" t="n">
        <v>100014</v>
      </c>
      <c r="K5553" s="1" t="n">
        <v>15</v>
      </c>
      <c r="L5553" s="1" t="s">
        <v>2443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5" t="n">
        <v>46230</v>
      </c>
      <c r="C5554" s="1" t="n">
        <v>100</v>
      </c>
      <c r="D5554" s="1" t="s">
        <v>2457</v>
      </c>
      <c r="E5554" s="1" t="n">
        <v>42</v>
      </c>
      <c r="F5554" s="1" t="s">
        <v>80</v>
      </c>
      <c r="I5554" s="1" t="n">
        <v>1463472</v>
      </c>
      <c r="J5554" s="1" t="n">
        <v>100015</v>
      </c>
      <c r="K5554" s="1" t="n">
        <v>16</v>
      </c>
      <c r="L5554" s="1" t="s">
        <v>2444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5" t="n">
        <v>46230</v>
      </c>
      <c r="C5555" s="1" t="n">
        <v>100</v>
      </c>
      <c r="D5555" s="1" t="s">
        <v>2457</v>
      </c>
      <c r="E5555" s="1" t="n">
        <v>42</v>
      </c>
      <c r="F5555" s="1" t="s">
        <v>80</v>
      </c>
      <c r="I5555" s="1" t="n">
        <v>1463472</v>
      </c>
      <c r="J5555" s="1" t="n">
        <v>100016</v>
      </c>
      <c r="K5555" s="1" t="n">
        <v>17</v>
      </c>
      <c r="L5555" s="1" t="s">
        <v>2445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5" t="n">
        <v>46230</v>
      </c>
      <c r="C5556" s="1" t="n">
        <v>100</v>
      </c>
      <c r="D5556" s="1" t="s">
        <v>2457</v>
      </c>
      <c r="E5556" s="1" t="n">
        <v>42</v>
      </c>
      <c r="F5556" s="1" t="s">
        <v>80</v>
      </c>
      <c r="I5556" s="1" t="n">
        <v>1463472</v>
      </c>
      <c r="J5556" s="1" t="n">
        <v>100017</v>
      </c>
      <c r="K5556" s="1" t="n">
        <v>18</v>
      </c>
      <c r="L5556" s="1" t="s">
        <v>2446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5" t="n">
        <v>46230</v>
      </c>
      <c r="C5557" s="1" t="n">
        <v>100</v>
      </c>
      <c r="D5557" s="1" t="s">
        <v>2457</v>
      </c>
      <c r="E5557" s="1" t="n">
        <v>42</v>
      </c>
      <c r="F5557" s="1" t="s">
        <v>80</v>
      </c>
      <c r="I5557" s="1" t="n">
        <v>1463472</v>
      </c>
      <c r="J5557" s="1" t="n">
        <v>100053</v>
      </c>
      <c r="K5557" s="1" t="n">
        <v>54</v>
      </c>
      <c r="L5557" s="1" t="s">
        <v>2447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5" t="n">
        <v>46230</v>
      </c>
      <c r="C5558" s="1" t="n">
        <v>100</v>
      </c>
      <c r="D5558" s="1" t="s">
        <v>2457</v>
      </c>
      <c r="E5558" s="1" t="n">
        <v>42</v>
      </c>
      <c r="F5558" s="1" t="s">
        <v>80</v>
      </c>
      <c r="I5558" s="1" t="n">
        <v>1463472</v>
      </c>
      <c r="J5558" s="1" t="n">
        <v>100638</v>
      </c>
      <c r="K5558" s="1" t="n">
        <v>508</v>
      </c>
      <c r="L5558" s="1" t="s">
        <v>2448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5" t="n">
        <v>46230</v>
      </c>
      <c r="C5559" s="1" t="n">
        <v>100</v>
      </c>
      <c r="D5559" s="1" t="s">
        <v>2457</v>
      </c>
      <c r="E5559" s="1" t="n">
        <v>42</v>
      </c>
      <c r="F5559" s="1" t="s">
        <v>80</v>
      </c>
      <c r="I5559" s="1" t="n">
        <v>1463472</v>
      </c>
      <c r="J5559" s="1" t="n">
        <v>100520</v>
      </c>
      <c r="K5559" s="1" t="n">
        <v>507</v>
      </c>
      <c r="L5559" s="1" t="s">
        <v>2449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5" t="n">
        <v>46230</v>
      </c>
      <c r="C5560" s="1" t="n">
        <v>100</v>
      </c>
      <c r="D5560" s="1" t="s">
        <v>2457</v>
      </c>
      <c r="E5560" s="1" t="n">
        <v>42</v>
      </c>
      <c r="F5560" s="1" t="s">
        <v>80</v>
      </c>
      <c r="I5560" s="1" t="n">
        <v>1463472</v>
      </c>
      <c r="J5560" s="1" t="n">
        <v>110455</v>
      </c>
      <c r="K5560" s="1" t="n">
        <v>53212</v>
      </c>
      <c r="L5560" s="1" t="s">
        <v>2450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5" t="n">
        <v>46231</v>
      </c>
      <c r="C5561" s="1" t="n">
        <v>6</v>
      </c>
      <c r="D5561" s="1" t="s">
        <v>2289</v>
      </c>
      <c r="E5561" s="1" t="n">
        <v>42</v>
      </c>
      <c r="F5561" s="1" t="s">
        <v>80</v>
      </c>
      <c r="I5561" s="1" t="n">
        <v>4434</v>
      </c>
      <c r="J5561" s="1" t="n">
        <v>100062</v>
      </c>
      <c r="K5561" s="1" t="n">
        <v>63</v>
      </c>
      <c r="L5561" s="1" t="s">
        <v>2320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5" t="n">
        <v>46231</v>
      </c>
      <c r="C5562" s="1" t="n">
        <v>6</v>
      </c>
      <c r="D5562" s="1" t="s">
        <v>2289</v>
      </c>
      <c r="E5562" s="1" t="n">
        <v>42</v>
      </c>
      <c r="F5562" s="1" t="s">
        <v>80</v>
      </c>
      <c r="I5562" s="1" t="n">
        <v>4434</v>
      </c>
      <c r="J5562" s="1" t="n">
        <v>100104</v>
      </c>
      <c r="K5562" s="1" t="n">
        <v>105</v>
      </c>
      <c r="L5562" s="1" t="s">
        <v>2321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5" t="n">
        <v>46231</v>
      </c>
      <c r="C5563" s="1" t="n">
        <v>6</v>
      </c>
      <c r="D5563" s="1" t="s">
        <v>2289</v>
      </c>
      <c r="E5563" s="1" t="n">
        <v>42</v>
      </c>
      <c r="F5563" s="1" t="s">
        <v>80</v>
      </c>
      <c r="I5563" s="1" t="n">
        <v>4434</v>
      </c>
      <c r="J5563" s="1" t="n">
        <v>100105</v>
      </c>
      <c r="K5563" s="1" t="n">
        <v>106</v>
      </c>
      <c r="L5563" s="1" t="s">
        <v>2322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5" t="n">
        <v>46231</v>
      </c>
      <c r="C5564" s="1" t="n">
        <v>6</v>
      </c>
      <c r="D5564" s="1" t="s">
        <v>2289</v>
      </c>
      <c r="E5564" s="1" t="n">
        <v>42</v>
      </c>
      <c r="F5564" s="1" t="s">
        <v>80</v>
      </c>
      <c r="I5564" s="1" t="n">
        <v>4434</v>
      </c>
      <c r="J5564" s="1" t="n">
        <v>100107</v>
      </c>
      <c r="K5564" s="1" t="n">
        <v>108</v>
      </c>
      <c r="L5564" s="1" t="s">
        <v>2323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5" t="n">
        <v>46231</v>
      </c>
      <c r="C5565" s="1" t="n">
        <v>6</v>
      </c>
      <c r="D5565" s="1" t="s">
        <v>2289</v>
      </c>
      <c r="E5565" s="1" t="n">
        <v>42</v>
      </c>
      <c r="F5565" s="1" t="s">
        <v>80</v>
      </c>
      <c r="I5565" s="1" t="n">
        <v>4434</v>
      </c>
      <c r="J5565" s="1" t="n">
        <v>100109</v>
      </c>
      <c r="K5565" s="1" t="n">
        <v>110</v>
      </c>
      <c r="L5565" s="1" t="s">
        <v>2324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5" t="n">
        <v>46231</v>
      </c>
      <c r="C5566" s="1" t="n">
        <v>6</v>
      </c>
      <c r="D5566" s="1" t="s">
        <v>2289</v>
      </c>
      <c r="E5566" s="1" t="n">
        <v>42</v>
      </c>
      <c r="F5566" s="1" t="s">
        <v>80</v>
      </c>
      <c r="I5566" s="1" t="n">
        <v>4434</v>
      </c>
      <c r="J5566" s="1" t="n">
        <v>100110</v>
      </c>
      <c r="K5566" s="1" t="n">
        <v>111</v>
      </c>
      <c r="L5566" s="1" t="s">
        <v>2473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5" t="n">
        <v>46231</v>
      </c>
      <c r="C5567" s="1" t="n">
        <v>6</v>
      </c>
      <c r="D5567" s="1" t="s">
        <v>2289</v>
      </c>
      <c r="E5567" s="1" t="n">
        <v>42</v>
      </c>
      <c r="F5567" s="1" t="s">
        <v>80</v>
      </c>
      <c r="I5567" s="1" t="n">
        <v>4434</v>
      </c>
      <c r="J5567" s="1" t="n">
        <v>100113</v>
      </c>
      <c r="K5567" s="1" t="n">
        <v>114</v>
      </c>
      <c r="L5567" s="1" t="s">
        <v>2326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5" t="n">
        <v>46231</v>
      </c>
      <c r="C5568" s="1" t="n">
        <v>6</v>
      </c>
      <c r="D5568" s="1" t="s">
        <v>2289</v>
      </c>
      <c r="E5568" s="1" t="n">
        <v>42</v>
      </c>
      <c r="F5568" s="1" t="s">
        <v>80</v>
      </c>
      <c r="I5568" s="1" t="n">
        <v>4434</v>
      </c>
      <c r="J5568" s="1" t="n">
        <v>100115</v>
      </c>
      <c r="K5568" s="1" t="n">
        <v>116</v>
      </c>
      <c r="L5568" s="1" t="s">
        <v>2474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5" t="n">
        <v>46231</v>
      </c>
      <c r="C5569" s="1" t="n">
        <v>6</v>
      </c>
      <c r="D5569" s="1" t="s">
        <v>2289</v>
      </c>
      <c r="E5569" s="1" t="n">
        <v>42</v>
      </c>
      <c r="F5569" s="1" t="s">
        <v>80</v>
      </c>
      <c r="I5569" s="1" t="n">
        <v>4434</v>
      </c>
      <c r="J5569" s="1" t="n">
        <v>100116</v>
      </c>
      <c r="K5569" s="1" t="n">
        <v>117</v>
      </c>
      <c r="L5569" s="1" t="s">
        <v>2327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5" t="n">
        <v>46231</v>
      </c>
      <c r="C5570" s="1" t="n">
        <v>6</v>
      </c>
      <c r="D5570" s="1" t="s">
        <v>2289</v>
      </c>
      <c r="E5570" s="1" t="n">
        <v>42</v>
      </c>
      <c r="F5570" s="1" t="s">
        <v>80</v>
      </c>
      <c r="I5570" s="1" t="n">
        <v>4434</v>
      </c>
      <c r="J5570" s="1" t="n">
        <v>100118</v>
      </c>
      <c r="K5570" s="1" t="n">
        <v>119</v>
      </c>
      <c r="L5570" s="1" t="s">
        <v>2328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5" t="n">
        <v>46231</v>
      </c>
      <c r="C5571" s="1" t="n">
        <v>6</v>
      </c>
      <c r="D5571" s="1" t="s">
        <v>2289</v>
      </c>
      <c r="E5571" s="1" t="n">
        <v>42</v>
      </c>
      <c r="F5571" s="1" t="s">
        <v>80</v>
      </c>
      <c r="I5571" s="1" t="n">
        <v>4434</v>
      </c>
      <c r="J5571" s="1" t="n">
        <v>100121</v>
      </c>
      <c r="K5571" s="1" t="n">
        <v>122</v>
      </c>
      <c r="L5571" s="1" t="s">
        <v>2329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5" t="n">
        <v>46231</v>
      </c>
      <c r="C5572" s="1" t="n">
        <v>6</v>
      </c>
      <c r="D5572" s="1" t="s">
        <v>2289</v>
      </c>
      <c r="E5572" s="1" t="n">
        <v>42</v>
      </c>
      <c r="F5572" s="1" t="s">
        <v>80</v>
      </c>
      <c r="I5572" s="1" t="n">
        <v>4434</v>
      </c>
      <c r="J5572" s="1" t="n">
        <v>100124</v>
      </c>
      <c r="K5572" s="1" t="n">
        <v>125</v>
      </c>
      <c r="L5572" s="1" t="s">
        <v>2476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5" t="n">
        <v>46231</v>
      </c>
      <c r="C5573" s="1" t="n">
        <v>6</v>
      </c>
      <c r="D5573" s="1" t="s">
        <v>2289</v>
      </c>
      <c r="E5573" s="1" t="n">
        <v>42</v>
      </c>
      <c r="F5573" s="1" t="s">
        <v>80</v>
      </c>
      <c r="I5573" s="1" t="n">
        <v>4434</v>
      </c>
      <c r="J5573" s="1" t="n">
        <v>100125</v>
      </c>
      <c r="K5573" s="1" t="n">
        <v>126</v>
      </c>
      <c r="L5573" s="1" t="s">
        <v>2477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5" t="n">
        <v>46231</v>
      </c>
      <c r="C5574" s="1" t="n">
        <v>6</v>
      </c>
      <c r="D5574" s="1" t="s">
        <v>2289</v>
      </c>
      <c r="E5574" s="1" t="n">
        <v>42</v>
      </c>
      <c r="F5574" s="1" t="s">
        <v>80</v>
      </c>
      <c r="I5574" s="1" t="n">
        <v>4434</v>
      </c>
      <c r="J5574" s="1" t="n">
        <v>100130</v>
      </c>
      <c r="K5574" s="1" t="n">
        <v>131</v>
      </c>
      <c r="L5574" s="1" t="s">
        <v>2331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5" t="n">
        <v>46231</v>
      </c>
      <c r="C5575" s="1" t="n">
        <v>6</v>
      </c>
      <c r="D5575" s="1" t="s">
        <v>2289</v>
      </c>
      <c r="E5575" s="1" t="n">
        <v>42</v>
      </c>
      <c r="F5575" s="1" t="s">
        <v>80</v>
      </c>
      <c r="I5575" s="1" t="n">
        <v>4434</v>
      </c>
      <c r="J5575" s="1" t="n">
        <v>100131</v>
      </c>
      <c r="K5575" s="1" t="n">
        <v>132</v>
      </c>
      <c r="L5575" s="1" t="s">
        <v>3103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5" t="n">
        <v>46231</v>
      </c>
      <c r="C5576" s="1" t="n">
        <v>6</v>
      </c>
      <c r="D5576" s="1" t="s">
        <v>2289</v>
      </c>
      <c r="E5576" s="1" t="n">
        <v>42</v>
      </c>
      <c r="F5576" s="1" t="s">
        <v>80</v>
      </c>
      <c r="I5576" s="1" t="n">
        <v>4434</v>
      </c>
      <c r="J5576" s="1" t="n">
        <v>100132</v>
      </c>
      <c r="K5576" s="1" t="n">
        <v>133</v>
      </c>
      <c r="L5576" s="1" t="s">
        <v>3104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5" t="n">
        <v>46231</v>
      </c>
      <c r="C5577" s="1" t="n">
        <v>6</v>
      </c>
      <c r="D5577" s="1" t="s">
        <v>2289</v>
      </c>
      <c r="E5577" s="1" t="n">
        <v>42</v>
      </c>
      <c r="F5577" s="1" t="s">
        <v>80</v>
      </c>
      <c r="I5577" s="1" t="n">
        <v>4434</v>
      </c>
      <c r="J5577" s="1" t="n">
        <v>100133</v>
      </c>
      <c r="K5577" s="1" t="n">
        <v>134</v>
      </c>
      <c r="L5577" s="1" t="s">
        <v>2332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5" t="n">
        <v>46231</v>
      </c>
      <c r="C5578" s="1" t="n">
        <v>6</v>
      </c>
      <c r="D5578" s="1" t="s">
        <v>2289</v>
      </c>
      <c r="E5578" s="1" t="n">
        <v>42</v>
      </c>
      <c r="F5578" s="1" t="s">
        <v>80</v>
      </c>
      <c r="I5578" s="1" t="n">
        <v>4434</v>
      </c>
      <c r="J5578" s="1" t="n">
        <v>100148</v>
      </c>
      <c r="K5578" s="1" t="n">
        <v>149</v>
      </c>
      <c r="L5578" s="1" t="s">
        <v>2676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5" t="n">
        <v>46231</v>
      </c>
      <c r="C5579" s="1" t="n">
        <v>6</v>
      </c>
      <c r="D5579" s="1" t="s">
        <v>2289</v>
      </c>
      <c r="E5579" s="1" t="n">
        <v>42</v>
      </c>
      <c r="F5579" s="1" t="s">
        <v>80</v>
      </c>
      <c r="I5579" s="1" t="n">
        <v>4434</v>
      </c>
      <c r="J5579" s="1" t="n">
        <v>110142</v>
      </c>
      <c r="K5579" s="1" t="n">
        <v>16699</v>
      </c>
      <c r="L5579" s="1" t="s">
        <v>2334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5" t="n">
        <v>46231</v>
      </c>
      <c r="C5580" s="1" t="n">
        <v>6</v>
      </c>
      <c r="D5580" s="1" t="s">
        <v>2289</v>
      </c>
      <c r="E5580" s="1" t="n">
        <v>42</v>
      </c>
      <c r="F5580" s="1" t="s">
        <v>80</v>
      </c>
      <c r="I5580" s="1" t="n">
        <v>4434</v>
      </c>
      <c r="J5580" s="1" t="n">
        <v>37363</v>
      </c>
      <c r="K5580" s="1" t="n">
        <v>55528</v>
      </c>
      <c r="L5580" s="1" t="s">
        <v>4279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5" t="n">
        <v>46231</v>
      </c>
      <c r="C5581" s="1" t="n">
        <v>6</v>
      </c>
      <c r="D5581" s="1" t="s">
        <v>2289</v>
      </c>
      <c r="E5581" s="1" t="n">
        <v>42</v>
      </c>
      <c r="F5581" s="1" t="s">
        <v>80</v>
      </c>
      <c r="I5581" s="1" t="n">
        <v>4434</v>
      </c>
      <c r="J5581" s="1" t="n">
        <v>110265</v>
      </c>
      <c r="K5581" s="1" t="n">
        <v>41346</v>
      </c>
      <c r="L5581" s="1" t="s">
        <v>2478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5" t="n">
        <v>46231</v>
      </c>
      <c r="C5582" s="1" t="n">
        <v>6</v>
      </c>
      <c r="D5582" s="1" t="s">
        <v>2289</v>
      </c>
      <c r="E5582" s="1" t="n">
        <v>42</v>
      </c>
      <c r="F5582" s="1" t="s">
        <v>80</v>
      </c>
      <c r="I5582" s="1" t="n">
        <v>4435</v>
      </c>
      <c r="J5582" s="1" t="n">
        <v>109791</v>
      </c>
      <c r="K5582" s="1" t="n">
        <v>9667</v>
      </c>
      <c r="L5582" s="1" t="s">
        <v>2284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5" t="n">
        <v>46231</v>
      </c>
      <c r="C5583" s="1" t="n">
        <v>6</v>
      </c>
      <c r="D5583" s="1" t="s">
        <v>2289</v>
      </c>
      <c r="E5583" s="1" t="n">
        <v>42</v>
      </c>
      <c r="F5583" s="1" t="s">
        <v>80</v>
      </c>
      <c r="I5583" s="1" t="n">
        <v>4435</v>
      </c>
      <c r="J5583" s="1" t="n">
        <v>37359</v>
      </c>
      <c r="K5583" s="1" t="n">
        <v>55526</v>
      </c>
      <c r="L5583" s="1" t="s">
        <v>2285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5" t="n">
        <v>46231</v>
      </c>
      <c r="C5584" s="1" t="n">
        <v>6</v>
      </c>
      <c r="D5584" s="1" t="s">
        <v>2289</v>
      </c>
      <c r="E5584" s="1" t="n">
        <v>42</v>
      </c>
      <c r="F5584" s="1" t="s">
        <v>80</v>
      </c>
      <c r="I5584" s="1" t="n">
        <v>4436</v>
      </c>
      <c r="J5584" s="1" t="n">
        <v>100103</v>
      </c>
      <c r="K5584" s="1" t="n">
        <v>104</v>
      </c>
      <c r="L5584" s="1" t="s">
        <v>2287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5" t="n">
        <v>46231</v>
      </c>
      <c r="C5585" s="1" t="n">
        <v>11</v>
      </c>
      <c r="D5585" s="1" t="s">
        <v>2290</v>
      </c>
      <c r="E5585" s="1" t="n">
        <v>10096</v>
      </c>
      <c r="F5585" s="1" t="s">
        <v>1232</v>
      </c>
      <c r="I5585" s="1" t="n">
        <v>88</v>
      </c>
      <c r="J5585" s="1" t="n">
        <v>61580</v>
      </c>
      <c r="K5585" s="1" t="n">
        <v>2258157</v>
      </c>
      <c r="L5585" s="1" t="s">
        <v>2339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5" t="n">
        <v>46231</v>
      </c>
      <c r="C5586" s="1" t="n">
        <v>11</v>
      </c>
      <c r="D5586" s="1" t="s">
        <v>2290</v>
      </c>
      <c r="E5586" s="1" t="n">
        <v>642</v>
      </c>
      <c r="F5586" s="1" t="s">
        <v>135</v>
      </c>
      <c r="I5586" s="1" t="n">
        <v>545</v>
      </c>
      <c r="J5586" s="1" t="n">
        <v>71766</v>
      </c>
      <c r="K5586" s="1" t="n">
        <v>779180</v>
      </c>
      <c r="L5586" s="1" t="s">
        <v>2566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5" t="n">
        <v>46231</v>
      </c>
      <c r="C5587" s="1" t="n">
        <v>11</v>
      </c>
      <c r="D5587" s="1" t="s">
        <v>2290</v>
      </c>
      <c r="E5587" s="1" t="n">
        <v>642</v>
      </c>
      <c r="F5587" s="1" t="s">
        <v>135</v>
      </c>
      <c r="I5587" s="1" t="n">
        <v>551</v>
      </c>
      <c r="J5587" s="1" t="n">
        <v>71766</v>
      </c>
      <c r="K5587" s="1" t="n">
        <v>779180</v>
      </c>
      <c r="L5587" s="1" t="s">
        <v>2566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5" t="n">
        <v>46231</v>
      </c>
      <c r="C5588" s="1" t="n">
        <v>11</v>
      </c>
      <c r="D5588" s="1" t="s">
        <v>2290</v>
      </c>
      <c r="E5588" s="1" t="n">
        <v>1723</v>
      </c>
      <c r="F5588" s="1" t="s">
        <v>76</v>
      </c>
      <c r="I5588" s="1" t="n">
        <v>173835</v>
      </c>
      <c r="J5588" s="1" t="n">
        <v>29079</v>
      </c>
      <c r="K5588" s="1" t="n">
        <v>55515</v>
      </c>
      <c r="L5588" s="1" t="s">
        <v>2360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5" t="n">
        <v>46231</v>
      </c>
      <c r="C5589" s="1" t="n">
        <v>11</v>
      </c>
      <c r="D5589" s="1" t="s">
        <v>2290</v>
      </c>
      <c r="E5589" s="1" t="n">
        <v>1715</v>
      </c>
      <c r="F5589" s="1" t="s">
        <v>497</v>
      </c>
      <c r="I5589" s="1" t="n">
        <v>193402</v>
      </c>
      <c r="J5589" s="1" t="n">
        <v>79712</v>
      </c>
      <c r="K5589" s="1" t="n">
        <v>797139</v>
      </c>
      <c r="L5589" s="1" t="s">
        <v>4280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5" t="n">
        <v>46231</v>
      </c>
      <c r="C5590" s="1" t="n">
        <v>11</v>
      </c>
      <c r="D5590" s="1" t="s">
        <v>2290</v>
      </c>
      <c r="E5590" s="1" t="n">
        <v>1715</v>
      </c>
      <c r="F5590" s="1" t="s">
        <v>497</v>
      </c>
      <c r="I5590" s="1" t="n">
        <v>193402</v>
      </c>
      <c r="J5590" s="1" t="n">
        <v>79714</v>
      </c>
      <c r="K5590" s="1" t="n">
        <v>797153</v>
      </c>
      <c r="L5590" s="1" t="s">
        <v>4281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5" t="n">
        <v>46231</v>
      </c>
      <c r="C5591" s="1" t="n">
        <v>11</v>
      </c>
      <c r="D5591" s="1" t="s">
        <v>2290</v>
      </c>
      <c r="E5591" s="1" t="n">
        <v>1608</v>
      </c>
      <c r="F5591" s="1" t="s">
        <v>41</v>
      </c>
      <c r="I5591" s="1" t="n">
        <v>1699593</v>
      </c>
      <c r="J5591" s="1" t="n">
        <v>102213</v>
      </c>
      <c r="K5591" s="1" t="n">
        <v>7894321711171</v>
      </c>
      <c r="L5591" s="1" t="s">
        <v>4282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5" t="n">
        <v>46231</v>
      </c>
      <c r="C5592" s="1" t="n">
        <v>11</v>
      </c>
      <c r="D5592" s="1" t="s">
        <v>2290</v>
      </c>
      <c r="E5592" s="1" t="n">
        <v>1608</v>
      </c>
      <c r="F5592" s="1" t="s">
        <v>41</v>
      </c>
      <c r="I5592" s="1" t="n">
        <v>1699593</v>
      </c>
      <c r="J5592" s="1" t="n">
        <v>104454</v>
      </c>
      <c r="K5592" s="1" t="n">
        <v>7892840142124</v>
      </c>
      <c r="L5592" s="1" t="s">
        <v>2494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5" t="n">
        <v>46231</v>
      </c>
      <c r="C5593" s="1" t="n">
        <v>11</v>
      </c>
      <c r="D5593" s="1" t="s">
        <v>2290</v>
      </c>
      <c r="E5593" s="1" t="n">
        <v>1608</v>
      </c>
      <c r="F5593" s="1" t="s">
        <v>41</v>
      </c>
      <c r="I5593" s="1" t="n">
        <v>1699593</v>
      </c>
      <c r="J5593" s="1" t="n">
        <v>29659</v>
      </c>
      <c r="K5593" s="1" t="n">
        <v>7896071024839</v>
      </c>
      <c r="L5593" s="1" t="s">
        <v>4283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5" t="n">
        <v>46231</v>
      </c>
      <c r="C5594" s="1" t="n">
        <v>11</v>
      </c>
      <c r="D5594" s="1" t="s">
        <v>2290</v>
      </c>
      <c r="E5594" s="1" t="n">
        <v>1608</v>
      </c>
      <c r="F5594" s="1" t="s">
        <v>41</v>
      </c>
      <c r="I5594" s="1" t="n">
        <v>1699593</v>
      </c>
      <c r="J5594" s="1" t="n">
        <v>29660</v>
      </c>
      <c r="K5594" s="1" t="n">
        <v>7896071024433</v>
      </c>
      <c r="L5594" s="1" t="s">
        <v>4284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5" t="n">
        <v>46231</v>
      </c>
      <c r="C5595" s="1" t="n">
        <v>11</v>
      </c>
      <c r="D5595" s="1" t="s">
        <v>2290</v>
      </c>
      <c r="E5595" s="1" t="n">
        <v>1608</v>
      </c>
      <c r="F5595" s="1" t="s">
        <v>41</v>
      </c>
      <c r="I5595" s="1" t="n">
        <v>1699593</v>
      </c>
      <c r="J5595" s="1" t="n">
        <v>29661</v>
      </c>
      <c r="K5595" s="1" t="n">
        <v>7896071024822</v>
      </c>
      <c r="L5595" s="1" t="s">
        <v>4285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5" t="n">
        <v>46231</v>
      </c>
      <c r="C5596" s="1" t="n">
        <v>11</v>
      </c>
      <c r="D5596" s="1" t="s">
        <v>2290</v>
      </c>
      <c r="E5596" s="1" t="n">
        <v>1608</v>
      </c>
      <c r="F5596" s="1" t="s">
        <v>41</v>
      </c>
      <c r="I5596" s="1" t="n">
        <v>1699593</v>
      </c>
      <c r="J5596" s="1" t="n">
        <v>36474</v>
      </c>
      <c r="K5596" s="1" t="n">
        <v>7892840815745</v>
      </c>
      <c r="L5596" s="1" t="s">
        <v>2497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5" t="n">
        <v>46231</v>
      </c>
      <c r="C5597" s="1" t="n">
        <v>11</v>
      </c>
      <c r="D5597" s="1" t="s">
        <v>2290</v>
      </c>
      <c r="E5597" s="1" t="n">
        <v>1608</v>
      </c>
      <c r="F5597" s="1" t="s">
        <v>41</v>
      </c>
      <c r="I5597" s="1" t="n">
        <v>1699593</v>
      </c>
      <c r="J5597" s="1" t="n">
        <v>65341</v>
      </c>
      <c r="K5597" s="1" t="n">
        <v>7892840822309</v>
      </c>
      <c r="L5597" s="1" t="s">
        <v>2498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15" t="n">
        <v>46231</v>
      </c>
      <c r="C5598" s="1" t="n">
        <v>11</v>
      </c>
      <c r="D5598" s="1" t="s">
        <v>2290</v>
      </c>
      <c r="E5598" s="1" t="n">
        <v>1608</v>
      </c>
      <c r="F5598" s="1" t="s">
        <v>41</v>
      </c>
      <c r="I5598" s="1" t="n">
        <v>1699593</v>
      </c>
      <c r="J5598" s="1" t="n">
        <v>65342</v>
      </c>
      <c r="K5598" s="1" t="n">
        <v>7892840822446</v>
      </c>
      <c r="L5598" s="1" t="s">
        <v>2499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15" t="n">
        <v>46231</v>
      </c>
      <c r="C5599" s="1" t="n">
        <v>11</v>
      </c>
      <c r="D5599" s="1" t="s">
        <v>2290</v>
      </c>
      <c r="E5599" s="1" t="n">
        <v>1608</v>
      </c>
      <c r="F5599" s="1" t="s">
        <v>41</v>
      </c>
      <c r="I5599" s="1" t="n">
        <v>1699593</v>
      </c>
      <c r="J5599" s="1" t="n">
        <v>65383</v>
      </c>
      <c r="K5599" s="1" t="n">
        <v>7892840822859</v>
      </c>
      <c r="L5599" s="1" t="s">
        <v>2500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15" t="n">
        <v>46231</v>
      </c>
      <c r="C5600" s="1" t="n">
        <v>11</v>
      </c>
      <c r="D5600" s="1" t="s">
        <v>2290</v>
      </c>
      <c r="E5600" s="1" t="n">
        <v>1608</v>
      </c>
      <c r="F5600" s="1" t="s">
        <v>41</v>
      </c>
      <c r="I5600" s="1" t="n">
        <v>1699593</v>
      </c>
      <c r="J5600" s="1" t="n">
        <v>65592</v>
      </c>
      <c r="K5600" s="1" t="n">
        <v>7892840822286</v>
      </c>
      <c r="L5600" s="1" t="s">
        <v>4286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5" t="n">
        <v>46231</v>
      </c>
      <c r="C5601" s="1" t="n">
        <v>11</v>
      </c>
      <c r="D5601" s="1" t="s">
        <v>2290</v>
      </c>
      <c r="E5601" s="1" t="n">
        <v>1608</v>
      </c>
      <c r="F5601" s="1" t="s">
        <v>41</v>
      </c>
      <c r="I5601" s="1" t="n">
        <v>1699593</v>
      </c>
      <c r="J5601" s="1" t="n">
        <v>65597</v>
      </c>
      <c r="K5601" s="1" t="n">
        <v>7892840822736</v>
      </c>
      <c r="L5601" s="1" t="s">
        <v>2501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5" t="n">
        <v>46231</v>
      </c>
      <c r="C5602" s="1" t="n">
        <v>11</v>
      </c>
      <c r="D5602" s="1" t="s">
        <v>2290</v>
      </c>
      <c r="E5602" s="1" t="n">
        <v>1608</v>
      </c>
      <c r="F5602" s="1" t="s">
        <v>41</v>
      </c>
      <c r="I5602" s="1" t="n">
        <v>1699593</v>
      </c>
      <c r="J5602" s="1" t="n">
        <v>65598</v>
      </c>
      <c r="K5602" s="1" t="n">
        <v>7892840822361</v>
      </c>
      <c r="L5602" s="1" t="s">
        <v>2502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5" t="n">
        <v>46231</v>
      </c>
      <c r="C5603" s="1" t="n">
        <v>11</v>
      </c>
      <c r="D5603" s="1" t="s">
        <v>2290</v>
      </c>
      <c r="E5603" s="1" t="n">
        <v>1608</v>
      </c>
      <c r="F5603" s="1" t="s">
        <v>41</v>
      </c>
      <c r="I5603" s="1" t="n">
        <v>1699593</v>
      </c>
      <c r="J5603" s="1" t="n">
        <v>65725</v>
      </c>
      <c r="K5603" s="1" t="n">
        <v>7892840822866</v>
      </c>
      <c r="L5603" s="1" t="s">
        <v>4287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5" t="n">
        <v>46231</v>
      </c>
      <c r="C5604" s="1" t="n">
        <v>11</v>
      </c>
      <c r="D5604" s="1" t="s">
        <v>2290</v>
      </c>
      <c r="E5604" s="1" t="n">
        <v>1608</v>
      </c>
      <c r="F5604" s="1" t="s">
        <v>41</v>
      </c>
      <c r="I5604" s="1" t="n">
        <v>1699593</v>
      </c>
      <c r="J5604" s="1" t="n">
        <v>65734</v>
      </c>
      <c r="K5604" s="1" t="n">
        <v>7892840823047</v>
      </c>
      <c r="L5604" s="1" t="s">
        <v>2503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5" t="n">
        <v>46231</v>
      </c>
      <c r="C5605" s="1" t="n">
        <v>11</v>
      </c>
      <c r="D5605" s="1" t="s">
        <v>2290</v>
      </c>
      <c r="E5605" s="1" t="n">
        <v>1608</v>
      </c>
      <c r="F5605" s="1" t="s">
        <v>41</v>
      </c>
      <c r="I5605" s="1" t="n">
        <v>1699593</v>
      </c>
      <c r="J5605" s="1" t="n">
        <v>65736</v>
      </c>
      <c r="K5605" s="1" t="n">
        <v>7892840823054</v>
      </c>
      <c r="L5605" s="1" t="s">
        <v>2504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5" t="n">
        <v>46231</v>
      </c>
      <c r="C5606" s="1" t="n">
        <v>11</v>
      </c>
      <c r="D5606" s="1" t="s">
        <v>2290</v>
      </c>
      <c r="E5606" s="1" t="n">
        <v>1608</v>
      </c>
      <c r="F5606" s="1" t="s">
        <v>41</v>
      </c>
      <c r="I5606" s="1" t="n">
        <v>1699593</v>
      </c>
      <c r="J5606" s="1" t="n">
        <v>65799</v>
      </c>
      <c r="K5606" s="1" t="n">
        <v>7892840822385</v>
      </c>
      <c r="L5606" s="1" t="s">
        <v>2505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5" t="n">
        <v>46231</v>
      </c>
      <c r="C5607" s="1" t="n">
        <v>11</v>
      </c>
      <c r="D5607" s="1" t="s">
        <v>2290</v>
      </c>
      <c r="E5607" s="1" t="n">
        <v>1608</v>
      </c>
      <c r="F5607" s="1" t="s">
        <v>41</v>
      </c>
      <c r="I5607" s="1" t="n">
        <v>1699593</v>
      </c>
      <c r="J5607" s="1" t="n">
        <v>65965</v>
      </c>
      <c r="K5607" s="1" t="n">
        <v>7892840822507</v>
      </c>
      <c r="L5607" s="1" t="s">
        <v>4288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5" t="n">
        <v>46231</v>
      </c>
      <c r="C5608" s="1" t="n">
        <v>11</v>
      </c>
      <c r="D5608" s="1" t="s">
        <v>2290</v>
      </c>
      <c r="E5608" s="1" t="n">
        <v>1608</v>
      </c>
      <c r="F5608" s="1" t="s">
        <v>41</v>
      </c>
      <c r="I5608" s="1" t="n">
        <v>1699593</v>
      </c>
      <c r="J5608" s="1" t="n">
        <v>65966</v>
      </c>
      <c r="K5608" s="1" t="n">
        <v>7892840822521</v>
      </c>
      <c r="L5608" s="1" t="s">
        <v>4289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5" t="n">
        <v>46231</v>
      </c>
      <c r="C5609" s="1" t="n">
        <v>11</v>
      </c>
      <c r="D5609" s="1" t="s">
        <v>2290</v>
      </c>
      <c r="E5609" s="1" t="n">
        <v>1608</v>
      </c>
      <c r="F5609" s="1" t="s">
        <v>41</v>
      </c>
      <c r="I5609" s="1" t="n">
        <v>1699593</v>
      </c>
      <c r="J5609" s="1" t="n">
        <v>66002</v>
      </c>
      <c r="K5609" s="1" t="n">
        <v>7892840823481</v>
      </c>
      <c r="L5609" s="1" t="s">
        <v>2507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5" t="n">
        <v>46231</v>
      </c>
      <c r="C5610" s="1" t="n">
        <v>11</v>
      </c>
      <c r="D5610" s="1" t="s">
        <v>2290</v>
      </c>
      <c r="E5610" s="1" t="n">
        <v>1608</v>
      </c>
      <c r="F5610" s="1" t="s">
        <v>41</v>
      </c>
      <c r="I5610" s="1" t="n">
        <v>1699593</v>
      </c>
      <c r="J5610" s="1" t="n">
        <v>66089</v>
      </c>
      <c r="K5610" s="1" t="n">
        <v>7892840822323</v>
      </c>
      <c r="L5610" s="1" t="s">
        <v>2508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5" t="n">
        <v>46231</v>
      </c>
      <c r="C5611" s="1" t="n">
        <v>11</v>
      </c>
      <c r="D5611" s="1" t="s">
        <v>2290</v>
      </c>
      <c r="E5611" s="1" t="n">
        <v>1608</v>
      </c>
      <c r="F5611" s="1" t="s">
        <v>41</v>
      </c>
      <c r="I5611" s="1" t="n">
        <v>1699593</v>
      </c>
      <c r="J5611" s="1" t="n">
        <v>66252</v>
      </c>
      <c r="K5611" s="1" t="n">
        <v>7892840822392</v>
      </c>
      <c r="L5611" s="1" t="s">
        <v>4290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5" t="n">
        <v>46231</v>
      </c>
      <c r="C5612" s="1" t="n">
        <v>11</v>
      </c>
      <c r="D5612" s="1" t="s">
        <v>2290</v>
      </c>
      <c r="E5612" s="1" t="n">
        <v>1608</v>
      </c>
      <c r="F5612" s="1" t="s">
        <v>41</v>
      </c>
      <c r="I5612" s="1" t="n">
        <v>1699593</v>
      </c>
      <c r="J5612" s="1" t="n">
        <v>66366</v>
      </c>
      <c r="K5612" s="1" t="n">
        <v>7892840822378</v>
      </c>
      <c r="L5612" s="1" t="s">
        <v>2509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5" t="n">
        <v>46231</v>
      </c>
      <c r="C5613" s="1" t="n">
        <v>11</v>
      </c>
      <c r="D5613" s="1" t="s">
        <v>2290</v>
      </c>
      <c r="E5613" s="1" t="n">
        <v>1608</v>
      </c>
      <c r="F5613" s="1" t="s">
        <v>41</v>
      </c>
      <c r="I5613" s="1" t="n">
        <v>1699593</v>
      </c>
      <c r="J5613" s="1" t="n">
        <v>66764</v>
      </c>
      <c r="K5613" s="1" t="n">
        <v>7892840822293</v>
      </c>
      <c r="L5613" s="1" t="s">
        <v>2510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5" t="n">
        <v>46231</v>
      </c>
      <c r="C5614" s="1" t="n">
        <v>11</v>
      </c>
      <c r="D5614" s="1" t="s">
        <v>2290</v>
      </c>
      <c r="E5614" s="1" t="n">
        <v>1608</v>
      </c>
      <c r="F5614" s="1" t="s">
        <v>41</v>
      </c>
      <c r="I5614" s="1" t="n">
        <v>1699593</v>
      </c>
      <c r="J5614" s="1" t="n">
        <v>66993</v>
      </c>
      <c r="K5614" s="1" t="n">
        <v>7892840822347</v>
      </c>
      <c r="L5614" s="1" t="s">
        <v>2499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5" t="n">
        <v>46231</v>
      </c>
      <c r="C5615" s="1" t="n">
        <v>11</v>
      </c>
      <c r="D5615" s="1" t="s">
        <v>2290</v>
      </c>
      <c r="E5615" s="1" t="n">
        <v>1608</v>
      </c>
      <c r="F5615" s="1" t="s">
        <v>41</v>
      </c>
      <c r="I5615" s="1" t="n">
        <v>1699593</v>
      </c>
      <c r="J5615" s="1" t="n">
        <v>68927</v>
      </c>
      <c r="K5615" s="1" t="n">
        <v>7892840823030</v>
      </c>
      <c r="L5615" s="1" t="s">
        <v>2511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5" t="n">
        <v>46231</v>
      </c>
      <c r="C5616" s="1" t="n">
        <v>11</v>
      </c>
      <c r="D5616" s="1" t="s">
        <v>2290</v>
      </c>
      <c r="E5616" s="1" t="n">
        <v>1608</v>
      </c>
      <c r="F5616" s="1" t="s">
        <v>41</v>
      </c>
      <c r="I5616" s="1" t="n">
        <v>1699593</v>
      </c>
      <c r="J5616" s="1" t="n">
        <v>69425</v>
      </c>
      <c r="K5616" s="1" t="n">
        <v>7892840823610</v>
      </c>
      <c r="L5616" s="1" t="s">
        <v>4291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5" t="n">
        <v>46231</v>
      </c>
      <c r="C5617" s="1" t="n">
        <v>11</v>
      </c>
      <c r="D5617" s="1" t="s">
        <v>2290</v>
      </c>
      <c r="E5617" s="1" t="n">
        <v>1608</v>
      </c>
      <c r="F5617" s="1" t="s">
        <v>41</v>
      </c>
      <c r="I5617" s="1" t="n">
        <v>1699593</v>
      </c>
      <c r="J5617" s="1" t="n">
        <v>80040</v>
      </c>
      <c r="K5617" s="1" t="n">
        <v>7892840824891</v>
      </c>
      <c r="L5617" s="1" t="s">
        <v>4292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5" t="n">
        <v>46231</v>
      </c>
      <c r="C5618" s="1" t="n">
        <v>11</v>
      </c>
      <c r="D5618" s="1" t="s">
        <v>2290</v>
      </c>
      <c r="E5618" s="1" t="n">
        <v>1608</v>
      </c>
      <c r="F5618" s="1" t="s">
        <v>41</v>
      </c>
      <c r="I5618" s="1" t="n">
        <v>1699593</v>
      </c>
      <c r="J5618" s="1" t="n">
        <v>80196</v>
      </c>
      <c r="K5618" s="1" t="n">
        <v>7892840824662</v>
      </c>
      <c r="L5618" s="1" t="s">
        <v>4293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5" t="n">
        <v>46231</v>
      </c>
      <c r="C5619" s="1" t="n">
        <v>11</v>
      </c>
      <c r="D5619" s="1" t="s">
        <v>2290</v>
      </c>
      <c r="E5619" s="1" t="n">
        <v>1608</v>
      </c>
      <c r="F5619" s="1" t="s">
        <v>41</v>
      </c>
      <c r="I5619" s="1" t="n">
        <v>1699593</v>
      </c>
      <c r="J5619" s="1" t="n">
        <v>80197</v>
      </c>
      <c r="K5619" s="1" t="n">
        <v>7892840824648</v>
      </c>
      <c r="L5619" s="1" t="s">
        <v>4294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5" t="n">
        <v>46231</v>
      </c>
      <c r="C5620" s="1" t="n">
        <v>11</v>
      </c>
      <c r="D5620" s="1" t="s">
        <v>2290</v>
      </c>
      <c r="E5620" s="1" t="n">
        <v>1608</v>
      </c>
      <c r="F5620" s="1" t="s">
        <v>41</v>
      </c>
      <c r="I5620" s="1" t="n">
        <v>1699593</v>
      </c>
      <c r="J5620" s="1" t="n">
        <v>80198</v>
      </c>
      <c r="K5620" s="1" t="n">
        <v>7892840824693</v>
      </c>
      <c r="L5620" s="1" t="s">
        <v>2513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5" t="n">
        <v>46231</v>
      </c>
      <c r="C5621" s="1" t="n">
        <v>11</v>
      </c>
      <c r="D5621" s="1" t="s">
        <v>2290</v>
      </c>
      <c r="E5621" s="1" t="n">
        <v>1608</v>
      </c>
      <c r="F5621" s="1" t="s">
        <v>41</v>
      </c>
      <c r="I5621" s="1" t="n">
        <v>1699593</v>
      </c>
      <c r="J5621" s="1" t="n">
        <v>80207</v>
      </c>
      <c r="K5621" s="1" t="n">
        <v>7892840825317</v>
      </c>
      <c r="L5621" s="1" t="s">
        <v>2514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5" t="n">
        <v>46231</v>
      </c>
      <c r="C5622" s="1" t="n">
        <v>11</v>
      </c>
      <c r="D5622" s="1" t="s">
        <v>2290</v>
      </c>
      <c r="E5622" s="1" t="n">
        <v>1608</v>
      </c>
      <c r="F5622" s="1" t="s">
        <v>41</v>
      </c>
      <c r="I5622" s="1" t="n">
        <v>1699593</v>
      </c>
      <c r="J5622" s="1" t="n">
        <v>80275</v>
      </c>
      <c r="K5622" s="1" t="n">
        <v>7892840825133</v>
      </c>
      <c r="L5622" s="1" t="s">
        <v>4295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5" t="n">
        <v>46231</v>
      </c>
      <c r="C5623" s="1" t="n">
        <v>11</v>
      </c>
      <c r="D5623" s="1" t="s">
        <v>2290</v>
      </c>
      <c r="E5623" s="1" t="n">
        <v>1608</v>
      </c>
      <c r="F5623" s="1" t="s">
        <v>41</v>
      </c>
      <c r="I5623" s="1" t="n">
        <v>1699885</v>
      </c>
      <c r="J5623" s="1" t="n">
        <v>65597</v>
      </c>
      <c r="K5623" s="1" t="n">
        <v>7892840822736</v>
      </c>
      <c r="L5623" s="1" t="s">
        <v>2501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5" t="n">
        <v>46231</v>
      </c>
      <c r="C5624" s="1" t="n">
        <v>11</v>
      </c>
      <c r="D5624" s="1" t="s">
        <v>2290</v>
      </c>
      <c r="E5624" s="1" t="n">
        <v>1608</v>
      </c>
      <c r="F5624" s="1" t="s">
        <v>41</v>
      </c>
      <c r="I5624" s="1" t="n">
        <v>1699885</v>
      </c>
      <c r="J5624" s="1" t="n">
        <v>66089</v>
      </c>
      <c r="K5624" s="1" t="n">
        <v>7892840822323</v>
      </c>
      <c r="L5624" s="1" t="s">
        <v>2508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5" t="n">
        <v>46231</v>
      </c>
      <c r="C5625" s="1" t="n">
        <v>22</v>
      </c>
      <c r="D5625" s="1" t="s">
        <v>2436</v>
      </c>
      <c r="E5625" s="1" t="n">
        <v>42</v>
      </c>
      <c r="F5625" s="1" t="s">
        <v>80</v>
      </c>
      <c r="I5625" s="1" t="n">
        <v>4430</v>
      </c>
      <c r="J5625" s="1" t="n">
        <v>100006</v>
      </c>
      <c r="K5625" s="1" t="n">
        <v>7</v>
      </c>
      <c r="L5625" s="1" t="s">
        <v>2437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5" t="n">
        <v>46231</v>
      </c>
      <c r="C5626" s="1" t="n">
        <v>22</v>
      </c>
      <c r="D5626" s="1" t="s">
        <v>2436</v>
      </c>
      <c r="E5626" s="1" t="n">
        <v>42</v>
      </c>
      <c r="F5626" s="1" t="s">
        <v>80</v>
      </c>
      <c r="I5626" s="1" t="n">
        <v>4430</v>
      </c>
      <c r="J5626" s="1" t="n">
        <v>100008</v>
      </c>
      <c r="K5626" s="1" t="n">
        <v>9</v>
      </c>
      <c r="L5626" s="1" t="s">
        <v>2438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5" t="n">
        <v>46231</v>
      </c>
      <c r="C5627" s="1" t="n">
        <v>22</v>
      </c>
      <c r="D5627" s="1" t="s">
        <v>2436</v>
      </c>
      <c r="E5627" s="1" t="n">
        <v>42</v>
      </c>
      <c r="F5627" s="1" t="s">
        <v>80</v>
      </c>
      <c r="I5627" s="1" t="n">
        <v>4430</v>
      </c>
      <c r="J5627" s="1" t="n">
        <v>100010</v>
      </c>
      <c r="K5627" s="1" t="n">
        <v>11</v>
      </c>
      <c r="L5627" s="1" t="s">
        <v>2439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5" t="n">
        <v>46231</v>
      </c>
      <c r="C5628" s="1" t="n">
        <v>22</v>
      </c>
      <c r="D5628" s="1" t="s">
        <v>2436</v>
      </c>
      <c r="E5628" s="1" t="n">
        <v>42</v>
      </c>
      <c r="F5628" s="1" t="s">
        <v>80</v>
      </c>
      <c r="I5628" s="1" t="n">
        <v>4430</v>
      </c>
      <c r="J5628" s="1" t="n">
        <v>100011</v>
      </c>
      <c r="K5628" s="1" t="n">
        <v>12</v>
      </c>
      <c r="L5628" s="1" t="s">
        <v>2440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5" t="n">
        <v>46231</v>
      </c>
      <c r="C5629" s="1" t="n">
        <v>22</v>
      </c>
      <c r="D5629" s="1" t="s">
        <v>2436</v>
      </c>
      <c r="E5629" s="1" t="n">
        <v>42</v>
      </c>
      <c r="F5629" s="1" t="s">
        <v>80</v>
      </c>
      <c r="I5629" s="1" t="n">
        <v>4430</v>
      </c>
      <c r="J5629" s="1" t="n">
        <v>100012</v>
      </c>
      <c r="K5629" s="1" t="n">
        <v>13</v>
      </c>
      <c r="L5629" s="1" t="s">
        <v>2441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5" t="n">
        <v>46231</v>
      </c>
      <c r="C5630" s="1" t="n">
        <v>22</v>
      </c>
      <c r="D5630" s="1" t="s">
        <v>2436</v>
      </c>
      <c r="E5630" s="1" t="n">
        <v>42</v>
      </c>
      <c r="F5630" s="1" t="s">
        <v>80</v>
      </c>
      <c r="I5630" s="1" t="n">
        <v>4430</v>
      </c>
      <c r="J5630" s="1" t="n">
        <v>100013</v>
      </c>
      <c r="K5630" s="1" t="n">
        <v>14</v>
      </c>
      <c r="L5630" s="1" t="s">
        <v>2442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5" t="n">
        <v>46231</v>
      </c>
      <c r="C5631" s="1" t="n">
        <v>22</v>
      </c>
      <c r="D5631" s="1" t="s">
        <v>2436</v>
      </c>
      <c r="E5631" s="1" t="n">
        <v>42</v>
      </c>
      <c r="F5631" s="1" t="s">
        <v>80</v>
      </c>
      <c r="I5631" s="1" t="n">
        <v>4430</v>
      </c>
      <c r="J5631" s="1" t="n">
        <v>100014</v>
      </c>
      <c r="K5631" s="1" t="n">
        <v>15</v>
      </c>
      <c r="L5631" s="1" t="s">
        <v>2443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5" t="n">
        <v>46231</v>
      </c>
      <c r="C5632" s="1" t="n">
        <v>22</v>
      </c>
      <c r="D5632" s="1" t="s">
        <v>2436</v>
      </c>
      <c r="E5632" s="1" t="n">
        <v>42</v>
      </c>
      <c r="F5632" s="1" t="s">
        <v>80</v>
      </c>
      <c r="I5632" s="1" t="n">
        <v>4430</v>
      </c>
      <c r="J5632" s="1" t="n">
        <v>100015</v>
      </c>
      <c r="K5632" s="1" t="n">
        <v>16</v>
      </c>
      <c r="L5632" s="1" t="s">
        <v>2444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5" t="n">
        <v>46231</v>
      </c>
      <c r="C5633" s="1" t="n">
        <v>22</v>
      </c>
      <c r="D5633" s="1" t="s">
        <v>2436</v>
      </c>
      <c r="E5633" s="1" t="n">
        <v>42</v>
      </c>
      <c r="F5633" s="1" t="s">
        <v>80</v>
      </c>
      <c r="I5633" s="1" t="n">
        <v>4430</v>
      </c>
      <c r="J5633" s="1" t="n">
        <v>100016</v>
      </c>
      <c r="K5633" s="1" t="n">
        <v>17</v>
      </c>
      <c r="L5633" s="1" t="s">
        <v>2445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5" t="n">
        <v>46231</v>
      </c>
      <c r="C5634" s="1" t="n">
        <v>22</v>
      </c>
      <c r="D5634" s="1" t="s">
        <v>2436</v>
      </c>
      <c r="E5634" s="1" t="n">
        <v>42</v>
      </c>
      <c r="F5634" s="1" t="s">
        <v>80</v>
      </c>
      <c r="I5634" s="1" t="n">
        <v>4430</v>
      </c>
      <c r="J5634" s="1" t="n">
        <v>100017</v>
      </c>
      <c r="K5634" s="1" t="n">
        <v>18</v>
      </c>
      <c r="L5634" s="1" t="s">
        <v>2446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5" t="n">
        <v>46231</v>
      </c>
      <c r="C5635" s="1" t="n">
        <v>22</v>
      </c>
      <c r="D5635" s="1" t="s">
        <v>2436</v>
      </c>
      <c r="E5635" s="1" t="n">
        <v>42</v>
      </c>
      <c r="F5635" s="1" t="s">
        <v>80</v>
      </c>
      <c r="I5635" s="1" t="n">
        <v>4430</v>
      </c>
      <c r="J5635" s="1" t="n">
        <v>100053</v>
      </c>
      <c r="K5635" s="1" t="n">
        <v>54</v>
      </c>
      <c r="L5635" s="1" t="s">
        <v>2447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5" t="n">
        <v>46231</v>
      </c>
      <c r="C5636" s="1" t="n">
        <v>22</v>
      </c>
      <c r="D5636" s="1" t="s">
        <v>2436</v>
      </c>
      <c r="E5636" s="1" t="n">
        <v>42</v>
      </c>
      <c r="F5636" s="1" t="s">
        <v>80</v>
      </c>
      <c r="I5636" s="1" t="n">
        <v>4430</v>
      </c>
      <c r="J5636" s="1" t="n">
        <v>100638</v>
      </c>
      <c r="K5636" s="1" t="n">
        <v>508</v>
      </c>
      <c r="L5636" s="1" t="s">
        <v>2448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5" t="n">
        <v>46231</v>
      </c>
      <c r="C5637" s="1" t="n">
        <v>22</v>
      </c>
      <c r="D5637" s="1" t="s">
        <v>2436</v>
      </c>
      <c r="E5637" s="1" t="n">
        <v>42</v>
      </c>
      <c r="F5637" s="1" t="s">
        <v>80</v>
      </c>
      <c r="I5637" s="1" t="n">
        <v>4430</v>
      </c>
      <c r="J5637" s="1" t="n">
        <v>100520</v>
      </c>
      <c r="K5637" s="1" t="n">
        <v>507</v>
      </c>
      <c r="L5637" s="1" t="s">
        <v>2449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5" t="n">
        <v>46231</v>
      </c>
      <c r="C5638" s="1" t="n">
        <v>22</v>
      </c>
      <c r="D5638" s="1" t="s">
        <v>2436</v>
      </c>
      <c r="E5638" s="1" t="n">
        <v>42</v>
      </c>
      <c r="F5638" s="1" t="s">
        <v>80</v>
      </c>
      <c r="I5638" s="1" t="n">
        <v>4430</v>
      </c>
      <c r="J5638" s="1" t="n">
        <v>110455</v>
      </c>
      <c r="K5638" s="1" t="n">
        <v>53212</v>
      </c>
      <c r="L5638" s="1" t="s">
        <v>2450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5" t="n">
        <v>46231</v>
      </c>
      <c r="C5639" s="1" t="n">
        <v>22</v>
      </c>
      <c r="D5639" s="1" t="s">
        <v>2436</v>
      </c>
      <c r="E5639" s="1" t="n">
        <v>42</v>
      </c>
      <c r="F5639" s="1" t="s">
        <v>80</v>
      </c>
      <c r="I5639" s="1" t="n">
        <v>4432</v>
      </c>
      <c r="J5639" s="1" t="n">
        <v>100006</v>
      </c>
      <c r="K5639" s="1" t="n">
        <v>7</v>
      </c>
      <c r="L5639" s="1" t="s">
        <v>2437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5" t="n">
        <v>46231</v>
      </c>
      <c r="C5640" s="1" t="n">
        <v>22</v>
      </c>
      <c r="D5640" s="1" t="s">
        <v>2436</v>
      </c>
      <c r="E5640" s="1" t="n">
        <v>42</v>
      </c>
      <c r="F5640" s="1" t="s">
        <v>80</v>
      </c>
      <c r="I5640" s="1" t="n">
        <v>4432</v>
      </c>
      <c r="J5640" s="1" t="n">
        <v>100008</v>
      </c>
      <c r="K5640" s="1" t="n">
        <v>9</v>
      </c>
      <c r="L5640" s="1" t="s">
        <v>2438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5" t="n">
        <v>46231</v>
      </c>
      <c r="C5641" s="1" t="n">
        <v>22</v>
      </c>
      <c r="D5641" s="1" t="s">
        <v>2436</v>
      </c>
      <c r="E5641" s="1" t="n">
        <v>42</v>
      </c>
      <c r="F5641" s="1" t="s">
        <v>80</v>
      </c>
      <c r="I5641" s="1" t="n">
        <v>4432</v>
      </c>
      <c r="J5641" s="1" t="n">
        <v>100010</v>
      </c>
      <c r="K5641" s="1" t="n">
        <v>11</v>
      </c>
      <c r="L5641" s="1" t="s">
        <v>2439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5" t="n">
        <v>46231</v>
      </c>
      <c r="C5642" s="1" t="n">
        <v>22</v>
      </c>
      <c r="D5642" s="1" t="s">
        <v>2436</v>
      </c>
      <c r="E5642" s="1" t="n">
        <v>42</v>
      </c>
      <c r="F5642" s="1" t="s">
        <v>80</v>
      </c>
      <c r="I5642" s="1" t="n">
        <v>4432</v>
      </c>
      <c r="J5642" s="1" t="n">
        <v>100011</v>
      </c>
      <c r="K5642" s="1" t="n">
        <v>12</v>
      </c>
      <c r="L5642" s="1" t="s">
        <v>2440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5" t="n">
        <v>46231</v>
      </c>
      <c r="C5643" s="1" t="n">
        <v>22</v>
      </c>
      <c r="D5643" s="1" t="s">
        <v>2436</v>
      </c>
      <c r="E5643" s="1" t="n">
        <v>42</v>
      </c>
      <c r="F5643" s="1" t="s">
        <v>80</v>
      </c>
      <c r="I5643" s="1" t="n">
        <v>4432</v>
      </c>
      <c r="J5643" s="1" t="n">
        <v>100012</v>
      </c>
      <c r="K5643" s="1" t="n">
        <v>13</v>
      </c>
      <c r="L5643" s="1" t="s">
        <v>2441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5" t="n">
        <v>46231</v>
      </c>
      <c r="C5644" s="1" t="n">
        <v>22</v>
      </c>
      <c r="D5644" s="1" t="s">
        <v>2436</v>
      </c>
      <c r="E5644" s="1" t="n">
        <v>42</v>
      </c>
      <c r="F5644" s="1" t="s">
        <v>80</v>
      </c>
      <c r="I5644" s="1" t="n">
        <v>4432</v>
      </c>
      <c r="J5644" s="1" t="n">
        <v>100013</v>
      </c>
      <c r="K5644" s="1" t="n">
        <v>14</v>
      </c>
      <c r="L5644" s="1" t="s">
        <v>2442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5" t="n">
        <v>46231</v>
      </c>
      <c r="C5645" s="1" t="n">
        <v>22</v>
      </c>
      <c r="D5645" s="1" t="s">
        <v>2436</v>
      </c>
      <c r="E5645" s="1" t="n">
        <v>42</v>
      </c>
      <c r="F5645" s="1" t="s">
        <v>80</v>
      </c>
      <c r="I5645" s="1" t="n">
        <v>4432</v>
      </c>
      <c r="J5645" s="1" t="n">
        <v>100014</v>
      </c>
      <c r="K5645" s="1" t="n">
        <v>15</v>
      </c>
      <c r="L5645" s="1" t="s">
        <v>2443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5" t="n">
        <v>46231</v>
      </c>
      <c r="C5646" s="1" t="n">
        <v>22</v>
      </c>
      <c r="D5646" s="1" t="s">
        <v>2436</v>
      </c>
      <c r="E5646" s="1" t="n">
        <v>42</v>
      </c>
      <c r="F5646" s="1" t="s">
        <v>80</v>
      </c>
      <c r="I5646" s="1" t="n">
        <v>4432</v>
      </c>
      <c r="J5646" s="1" t="n">
        <v>100015</v>
      </c>
      <c r="K5646" s="1" t="n">
        <v>16</v>
      </c>
      <c r="L5646" s="1" t="s">
        <v>2444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5" t="n">
        <v>46231</v>
      </c>
      <c r="C5647" s="1" t="n">
        <v>22</v>
      </c>
      <c r="D5647" s="1" t="s">
        <v>2436</v>
      </c>
      <c r="E5647" s="1" t="n">
        <v>42</v>
      </c>
      <c r="F5647" s="1" t="s">
        <v>80</v>
      </c>
      <c r="I5647" s="1" t="n">
        <v>4432</v>
      </c>
      <c r="J5647" s="1" t="n">
        <v>100016</v>
      </c>
      <c r="K5647" s="1" t="n">
        <v>17</v>
      </c>
      <c r="L5647" s="1" t="s">
        <v>2445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5" t="n">
        <v>46231</v>
      </c>
      <c r="C5648" s="1" t="n">
        <v>22</v>
      </c>
      <c r="D5648" s="1" t="s">
        <v>2436</v>
      </c>
      <c r="E5648" s="1" t="n">
        <v>42</v>
      </c>
      <c r="F5648" s="1" t="s">
        <v>80</v>
      </c>
      <c r="I5648" s="1" t="n">
        <v>4432</v>
      </c>
      <c r="J5648" s="1" t="n">
        <v>100017</v>
      </c>
      <c r="K5648" s="1" t="n">
        <v>18</v>
      </c>
      <c r="L5648" s="1" t="s">
        <v>2446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5" t="n">
        <v>46231</v>
      </c>
      <c r="C5649" s="1" t="n">
        <v>22</v>
      </c>
      <c r="D5649" s="1" t="s">
        <v>2436</v>
      </c>
      <c r="E5649" s="1" t="n">
        <v>42</v>
      </c>
      <c r="F5649" s="1" t="s">
        <v>80</v>
      </c>
      <c r="I5649" s="1" t="n">
        <v>4432</v>
      </c>
      <c r="J5649" s="1" t="n">
        <v>100020</v>
      </c>
      <c r="K5649" s="1" t="n">
        <v>21</v>
      </c>
      <c r="L5649" s="1" t="s">
        <v>2456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5" t="n">
        <v>46231</v>
      </c>
      <c r="C5650" s="1" t="n">
        <v>22</v>
      </c>
      <c r="D5650" s="1" t="s">
        <v>2436</v>
      </c>
      <c r="E5650" s="1" t="n">
        <v>42</v>
      </c>
      <c r="F5650" s="1" t="s">
        <v>80</v>
      </c>
      <c r="I5650" s="1" t="n">
        <v>4432</v>
      </c>
      <c r="J5650" s="1" t="n">
        <v>100053</v>
      </c>
      <c r="K5650" s="1" t="n">
        <v>54</v>
      </c>
      <c r="L5650" s="1" t="s">
        <v>2447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5" t="n">
        <v>46231</v>
      </c>
      <c r="C5651" s="1" t="n">
        <v>22</v>
      </c>
      <c r="D5651" s="1" t="s">
        <v>2436</v>
      </c>
      <c r="E5651" s="1" t="n">
        <v>42</v>
      </c>
      <c r="F5651" s="1" t="s">
        <v>80</v>
      </c>
      <c r="I5651" s="1" t="n">
        <v>4432</v>
      </c>
      <c r="J5651" s="1" t="n">
        <v>100638</v>
      </c>
      <c r="K5651" s="1" t="n">
        <v>508</v>
      </c>
      <c r="L5651" s="1" t="s">
        <v>2448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5" t="n">
        <v>46231</v>
      </c>
      <c r="C5652" s="1" t="n">
        <v>22</v>
      </c>
      <c r="D5652" s="1" t="s">
        <v>2436</v>
      </c>
      <c r="E5652" s="1" t="n">
        <v>42</v>
      </c>
      <c r="F5652" s="1" t="s">
        <v>80</v>
      </c>
      <c r="I5652" s="1" t="n">
        <v>4432</v>
      </c>
      <c r="J5652" s="1" t="n">
        <v>100520</v>
      </c>
      <c r="K5652" s="1" t="n">
        <v>507</v>
      </c>
      <c r="L5652" s="1" t="s">
        <v>2449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5" t="n">
        <v>46231</v>
      </c>
      <c r="C5653" s="1" t="n">
        <v>22</v>
      </c>
      <c r="D5653" s="1" t="s">
        <v>2436</v>
      </c>
      <c r="E5653" s="1" t="n">
        <v>42</v>
      </c>
      <c r="F5653" s="1" t="s">
        <v>80</v>
      </c>
      <c r="I5653" s="1" t="n">
        <v>4432</v>
      </c>
      <c r="J5653" s="1" t="n">
        <v>110455</v>
      </c>
      <c r="K5653" s="1" t="n">
        <v>53212</v>
      </c>
      <c r="L5653" s="1" t="s">
        <v>2450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5" t="n">
        <v>46231</v>
      </c>
      <c r="C5654" s="1" t="n">
        <v>100</v>
      </c>
      <c r="D5654" s="1" t="s">
        <v>2457</v>
      </c>
      <c r="E5654" s="1" t="n">
        <v>42</v>
      </c>
      <c r="F5654" s="1" t="s">
        <v>80</v>
      </c>
      <c r="I5654" s="1" t="n">
        <v>1463535</v>
      </c>
      <c r="J5654" s="1" t="n">
        <v>100006</v>
      </c>
      <c r="K5654" s="1" t="n">
        <v>7</v>
      </c>
      <c r="L5654" s="1" t="s">
        <v>2437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5" t="n">
        <v>46231</v>
      </c>
      <c r="C5655" s="1" t="n">
        <v>100</v>
      </c>
      <c r="D5655" s="1" t="s">
        <v>2457</v>
      </c>
      <c r="E5655" s="1" t="n">
        <v>42</v>
      </c>
      <c r="F5655" s="1" t="s">
        <v>80</v>
      </c>
      <c r="I5655" s="1" t="n">
        <v>1463535</v>
      </c>
      <c r="J5655" s="1" t="n">
        <v>100008</v>
      </c>
      <c r="K5655" s="1" t="n">
        <v>9</v>
      </c>
      <c r="L5655" s="1" t="s">
        <v>2438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5" t="n">
        <v>46231</v>
      </c>
      <c r="C5656" s="1" t="n">
        <v>100</v>
      </c>
      <c r="D5656" s="1" t="s">
        <v>2457</v>
      </c>
      <c r="E5656" s="1" t="n">
        <v>42</v>
      </c>
      <c r="F5656" s="1" t="s">
        <v>80</v>
      </c>
      <c r="I5656" s="1" t="n">
        <v>1463535</v>
      </c>
      <c r="J5656" s="1" t="n">
        <v>100010</v>
      </c>
      <c r="K5656" s="1" t="n">
        <v>11</v>
      </c>
      <c r="L5656" s="1" t="s">
        <v>2439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5" t="n">
        <v>46231</v>
      </c>
      <c r="C5657" s="1" t="n">
        <v>100</v>
      </c>
      <c r="D5657" s="1" t="s">
        <v>2457</v>
      </c>
      <c r="E5657" s="1" t="n">
        <v>42</v>
      </c>
      <c r="F5657" s="1" t="s">
        <v>80</v>
      </c>
      <c r="I5657" s="1" t="n">
        <v>1463535</v>
      </c>
      <c r="J5657" s="1" t="n">
        <v>100011</v>
      </c>
      <c r="K5657" s="1" t="n">
        <v>12</v>
      </c>
      <c r="L5657" s="1" t="s">
        <v>2440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5" t="n">
        <v>46231</v>
      </c>
      <c r="C5658" s="1" t="n">
        <v>100</v>
      </c>
      <c r="D5658" s="1" t="s">
        <v>2457</v>
      </c>
      <c r="E5658" s="1" t="n">
        <v>42</v>
      </c>
      <c r="F5658" s="1" t="s">
        <v>80</v>
      </c>
      <c r="I5658" s="1" t="n">
        <v>1463535</v>
      </c>
      <c r="J5658" s="1" t="n">
        <v>100012</v>
      </c>
      <c r="K5658" s="1" t="n">
        <v>13</v>
      </c>
      <c r="L5658" s="1" t="s">
        <v>2441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5" t="n">
        <v>46231</v>
      </c>
      <c r="C5659" s="1" t="n">
        <v>100</v>
      </c>
      <c r="D5659" s="1" t="s">
        <v>2457</v>
      </c>
      <c r="E5659" s="1" t="n">
        <v>42</v>
      </c>
      <c r="F5659" s="1" t="s">
        <v>80</v>
      </c>
      <c r="I5659" s="1" t="n">
        <v>1463535</v>
      </c>
      <c r="J5659" s="1" t="n">
        <v>100013</v>
      </c>
      <c r="K5659" s="1" t="n">
        <v>14</v>
      </c>
      <c r="L5659" s="1" t="s">
        <v>2442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5" t="n">
        <v>46231</v>
      </c>
      <c r="C5660" s="1" t="n">
        <v>100</v>
      </c>
      <c r="D5660" s="1" t="s">
        <v>2457</v>
      </c>
      <c r="E5660" s="1" t="n">
        <v>42</v>
      </c>
      <c r="F5660" s="1" t="s">
        <v>80</v>
      </c>
      <c r="I5660" s="1" t="n">
        <v>1463535</v>
      </c>
      <c r="J5660" s="1" t="n">
        <v>100014</v>
      </c>
      <c r="K5660" s="1" t="n">
        <v>15</v>
      </c>
      <c r="L5660" s="1" t="s">
        <v>2443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5" t="n">
        <v>46231</v>
      </c>
      <c r="C5661" s="1" t="n">
        <v>100</v>
      </c>
      <c r="D5661" s="1" t="s">
        <v>2457</v>
      </c>
      <c r="E5661" s="1" t="n">
        <v>42</v>
      </c>
      <c r="F5661" s="1" t="s">
        <v>80</v>
      </c>
      <c r="I5661" s="1" t="n">
        <v>1463535</v>
      </c>
      <c r="J5661" s="1" t="n">
        <v>100015</v>
      </c>
      <c r="K5661" s="1" t="n">
        <v>16</v>
      </c>
      <c r="L5661" s="1" t="s">
        <v>2444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5" t="n">
        <v>46231</v>
      </c>
      <c r="C5662" s="1" t="n">
        <v>100</v>
      </c>
      <c r="D5662" s="1" t="s">
        <v>2457</v>
      </c>
      <c r="E5662" s="1" t="n">
        <v>42</v>
      </c>
      <c r="F5662" s="1" t="s">
        <v>80</v>
      </c>
      <c r="I5662" s="1" t="n">
        <v>1463535</v>
      </c>
      <c r="J5662" s="1" t="n">
        <v>100016</v>
      </c>
      <c r="K5662" s="1" t="n">
        <v>17</v>
      </c>
      <c r="L5662" s="1" t="s">
        <v>2445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5" t="n">
        <v>46231</v>
      </c>
      <c r="C5663" s="1" t="n">
        <v>100</v>
      </c>
      <c r="D5663" s="1" t="s">
        <v>2457</v>
      </c>
      <c r="E5663" s="1" t="n">
        <v>42</v>
      </c>
      <c r="F5663" s="1" t="s">
        <v>80</v>
      </c>
      <c r="I5663" s="1" t="n">
        <v>1463535</v>
      </c>
      <c r="J5663" s="1" t="n">
        <v>100017</v>
      </c>
      <c r="K5663" s="1" t="n">
        <v>18</v>
      </c>
      <c r="L5663" s="1" t="s">
        <v>2446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5" t="n">
        <v>46231</v>
      </c>
      <c r="C5664" s="1" t="n">
        <v>100</v>
      </c>
      <c r="D5664" s="1" t="s">
        <v>2457</v>
      </c>
      <c r="E5664" s="1" t="n">
        <v>42</v>
      </c>
      <c r="F5664" s="1" t="s">
        <v>80</v>
      </c>
      <c r="I5664" s="1" t="n">
        <v>1463535</v>
      </c>
      <c r="J5664" s="1" t="n">
        <v>100020</v>
      </c>
      <c r="K5664" s="1" t="n">
        <v>21</v>
      </c>
      <c r="L5664" s="1" t="s">
        <v>2456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5" t="n">
        <v>46231</v>
      </c>
      <c r="C5665" s="1" t="n">
        <v>100</v>
      </c>
      <c r="D5665" s="1" t="s">
        <v>2457</v>
      </c>
      <c r="E5665" s="1" t="n">
        <v>42</v>
      </c>
      <c r="F5665" s="1" t="s">
        <v>80</v>
      </c>
      <c r="I5665" s="1" t="n">
        <v>1463535</v>
      </c>
      <c r="J5665" s="1" t="n">
        <v>100053</v>
      </c>
      <c r="K5665" s="1" t="n">
        <v>54</v>
      </c>
      <c r="L5665" s="1" t="s">
        <v>2447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5" t="n">
        <v>46231</v>
      </c>
      <c r="C5666" s="1" t="n">
        <v>100</v>
      </c>
      <c r="D5666" s="1" t="s">
        <v>2457</v>
      </c>
      <c r="E5666" s="1" t="n">
        <v>42</v>
      </c>
      <c r="F5666" s="1" t="s">
        <v>80</v>
      </c>
      <c r="I5666" s="1" t="n">
        <v>1463535</v>
      </c>
      <c r="J5666" s="1" t="n">
        <v>100638</v>
      </c>
      <c r="K5666" s="1" t="n">
        <v>508</v>
      </c>
      <c r="L5666" s="1" t="s">
        <v>2448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5" t="n">
        <v>46231</v>
      </c>
      <c r="C5667" s="1" t="n">
        <v>100</v>
      </c>
      <c r="D5667" s="1" t="s">
        <v>2457</v>
      </c>
      <c r="E5667" s="1" t="n">
        <v>42</v>
      </c>
      <c r="F5667" s="1" t="s">
        <v>80</v>
      </c>
      <c r="I5667" s="1" t="n">
        <v>1463535</v>
      </c>
      <c r="J5667" s="1" t="n">
        <v>100520</v>
      </c>
      <c r="K5667" s="1" t="n">
        <v>507</v>
      </c>
      <c r="L5667" s="1" t="s">
        <v>2449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5" t="n">
        <v>46231</v>
      </c>
      <c r="C5668" s="1" t="n">
        <v>100</v>
      </c>
      <c r="D5668" s="1" t="s">
        <v>2457</v>
      </c>
      <c r="E5668" s="1" t="n">
        <v>42</v>
      </c>
      <c r="F5668" s="1" t="s">
        <v>80</v>
      </c>
      <c r="I5668" s="1" t="n">
        <v>1463535</v>
      </c>
      <c r="J5668" s="1" t="n">
        <v>110455</v>
      </c>
      <c r="K5668" s="1" t="n">
        <v>53212</v>
      </c>
      <c r="L5668" s="1" t="s">
        <v>2450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5" t="n">
        <v>46232</v>
      </c>
      <c r="C5669" s="1" t="n">
        <v>6</v>
      </c>
      <c r="D5669" s="1" t="s">
        <v>2289</v>
      </c>
      <c r="E5669" s="1" t="n">
        <v>42</v>
      </c>
      <c r="F5669" s="1" t="s">
        <v>80</v>
      </c>
      <c r="I5669" s="1" t="n">
        <v>4437</v>
      </c>
      <c r="J5669" s="1" t="n">
        <v>37361</v>
      </c>
      <c r="K5669" s="1" t="n">
        <v>2240817</v>
      </c>
      <c r="L5669" s="1" t="s">
        <v>2286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5" t="n">
        <v>46232</v>
      </c>
      <c r="C5670" s="1" t="n">
        <v>11</v>
      </c>
      <c r="D5670" s="1" t="s">
        <v>2290</v>
      </c>
      <c r="E5670" s="1" t="n">
        <v>1269</v>
      </c>
      <c r="F5670" s="1" t="s">
        <v>1368</v>
      </c>
      <c r="I5670" s="1" t="n">
        <v>4</v>
      </c>
      <c r="J5670" s="1" t="n">
        <v>11890</v>
      </c>
      <c r="K5670" s="1" t="n">
        <v>7896359005734</v>
      </c>
      <c r="L5670" s="1" t="s">
        <v>4296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5" t="n">
        <v>46232</v>
      </c>
      <c r="C5671" s="1" t="n">
        <v>11</v>
      </c>
      <c r="D5671" s="1" t="s">
        <v>2290</v>
      </c>
      <c r="E5671" s="1" t="n">
        <v>1269</v>
      </c>
      <c r="F5671" s="1" t="s">
        <v>1368</v>
      </c>
      <c r="I5671" s="1" t="n">
        <v>4</v>
      </c>
      <c r="J5671" s="1" t="n">
        <v>11891</v>
      </c>
      <c r="K5671" s="1" t="n">
        <v>7896359005727</v>
      </c>
      <c r="L5671" s="1" t="s">
        <v>4297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5" t="n">
        <v>46232</v>
      </c>
      <c r="C5672" s="1" t="n">
        <v>11</v>
      </c>
      <c r="D5672" s="1" t="s">
        <v>2290</v>
      </c>
      <c r="E5672" s="1" t="n">
        <v>1269</v>
      </c>
      <c r="F5672" s="1" t="s">
        <v>1368</v>
      </c>
      <c r="I5672" s="1" t="n">
        <v>4</v>
      </c>
      <c r="J5672" s="1" t="n">
        <v>13532</v>
      </c>
      <c r="K5672" s="1" t="n">
        <v>7896359005710</v>
      </c>
      <c r="L5672" s="1" t="s">
        <v>4298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5" t="n">
        <v>46232</v>
      </c>
      <c r="C5673" s="1" t="n">
        <v>11</v>
      </c>
      <c r="D5673" s="1" t="s">
        <v>2290</v>
      </c>
      <c r="E5673" s="1" t="n">
        <v>1269</v>
      </c>
      <c r="F5673" s="1" t="s">
        <v>1368</v>
      </c>
      <c r="I5673" s="1" t="n">
        <v>4</v>
      </c>
      <c r="J5673" s="1" t="n">
        <v>17282</v>
      </c>
      <c r="K5673" s="1" t="n">
        <v>7896359005765</v>
      </c>
      <c r="L5673" s="1" t="s">
        <v>4299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5" t="n">
        <v>46232</v>
      </c>
      <c r="C5674" s="1" t="n">
        <v>11</v>
      </c>
      <c r="D5674" s="1" t="s">
        <v>2290</v>
      </c>
      <c r="E5674" s="1" t="n">
        <v>1269</v>
      </c>
      <c r="F5674" s="1" t="s">
        <v>1368</v>
      </c>
      <c r="I5674" s="1" t="n">
        <v>4</v>
      </c>
      <c r="J5674" s="1" t="n">
        <v>33792</v>
      </c>
      <c r="K5674" s="1" t="n">
        <v>7896359621330</v>
      </c>
      <c r="L5674" s="1" t="s">
        <v>4300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5" t="n">
        <v>46232</v>
      </c>
      <c r="C5675" s="1" t="n">
        <v>11</v>
      </c>
      <c r="D5675" s="1" t="s">
        <v>2290</v>
      </c>
      <c r="E5675" s="1" t="n">
        <v>1269</v>
      </c>
      <c r="F5675" s="1" t="s">
        <v>1368</v>
      </c>
      <c r="I5675" s="1" t="n">
        <v>4</v>
      </c>
      <c r="J5675" s="1" t="n">
        <v>33793</v>
      </c>
      <c r="K5675" s="1" t="n">
        <v>7896355621198</v>
      </c>
      <c r="L5675" s="1" t="s">
        <v>4301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5" t="n">
        <v>46232</v>
      </c>
      <c r="C5676" s="1" t="n">
        <v>11</v>
      </c>
      <c r="D5676" s="1" t="s">
        <v>2290</v>
      </c>
      <c r="E5676" s="1" t="n">
        <v>1269</v>
      </c>
      <c r="F5676" s="1" t="s">
        <v>1368</v>
      </c>
      <c r="I5676" s="1" t="n">
        <v>4</v>
      </c>
      <c r="J5676" s="1" t="n">
        <v>34428</v>
      </c>
      <c r="K5676" s="1" t="n">
        <v>7896359621507</v>
      </c>
      <c r="L5676" s="1" t="s">
        <v>4302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5" t="n">
        <v>46232</v>
      </c>
      <c r="C5677" s="1" t="n">
        <v>11</v>
      </c>
      <c r="D5677" s="1" t="s">
        <v>2290</v>
      </c>
      <c r="E5677" s="1" t="n">
        <v>1269</v>
      </c>
      <c r="F5677" s="1" t="s">
        <v>1368</v>
      </c>
      <c r="I5677" s="1" t="n">
        <v>4</v>
      </c>
      <c r="J5677" s="1" t="n">
        <v>40335</v>
      </c>
      <c r="K5677" s="1" t="n">
        <v>7896359621811</v>
      </c>
      <c r="L5677" s="1" t="s">
        <v>4303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5" t="n">
        <v>46232</v>
      </c>
      <c r="C5678" s="1" t="n">
        <v>11</v>
      </c>
      <c r="D5678" s="1" t="s">
        <v>2290</v>
      </c>
      <c r="E5678" s="1" t="n">
        <v>1269</v>
      </c>
      <c r="F5678" s="1" t="s">
        <v>1368</v>
      </c>
      <c r="I5678" s="1" t="n">
        <v>4</v>
      </c>
      <c r="J5678" s="1" t="n">
        <v>76793</v>
      </c>
      <c r="K5678" s="1" t="n">
        <v>7893695782350</v>
      </c>
      <c r="L5678" s="1" t="s">
        <v>4304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5" t="n">
        <v>46232</v>
      </c>
      <c r="C5679" s="1" t="n">
        <v>11</v>
      </c>
      <c r="D5679" s="1" t="s">
        <v>2290</v>
      </c>
      <c r="E5679" s="1" t="n">
        <v>1695</v>
      </c>
      <c r="F5679" s="1" t="s">
        <v>269</v>
      </c>
      <c r="I5679" s="1" t="n">
        <v>19509</v>
      </c>
      <c r="J5679" s="1" t="n">
        <v>28032</v>
      </c>
      <c r="K5679" s="1" t="n">
        <v>7891079013038</v>
      </c>
      <c r="L5679" s="1" t="s">
        <v>2646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5" t="n">
        <v>46232</v>
      </c>
      <c r="C5680" s="1" t="n">
        <v>11</v>
      </c>
      <c r="D5680" s="1" t="s">
        <v>2290</v>
      </c>
      <c r="E5680" s="1" t="n">
        <v>1695</v>
      </c>
      <c r="F5680" s="1" t="s">
        <v>269</v>
      </c>
      <c r="I5680" s="1" t="n">
        <v>19509</v>
      </c>
      <c r="J5680" s="1" t="n">
        <v>28035</v>
      </c>
      <c r="K5680" s="1" t="n">
        <v>7891079013052</v>
      </c>
      <c r="L5680" s="1" t="s">
        <v>2649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5" t="n">
        <v>46232</v>
      </c>
      <c r="C5681" s="1" t="n">
        <v>11</v>
      </c>
      <c r="D5681" s="1" t="s">
        <v>2290</v>
      </c>
      <c r="E5681" s="1" t="n">
        <v>1695</v>
      </c>
      <c r="F5681" s="1" t="s">
        <v>269</v>
      </c>
      <c r="I5681" s="1" t="n">
        <v>19509</v>
      </c>
      <c r="J5681" s="1" t="n">
        <v>34011</v>
      </c>
      <c r="K5681" s="1" t="n">
        <v>78939912</v>
      </c>
      <c r="L5681" s="1" t="s">
        <v>4305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5" t="n">
        <v>46232</v>
      </c>
      <c r="C5682" s="1" t="n">
        <v>11</v>
      </c>
      <c r="D5682" s="1" t="s">
        <v>2290</v>
      </c>
      <c r="E5682" s="1" t="n">
        <v>1695</v>
      </c>
      <c r="F5682" s="1" t="s">
        <v>269</v>
      </c>
      <c r="I5682" s="1" t="n">
        <v>19509</v>
      </c>
      <c r="J5682" s="1" t="n">
        <v>37040</v>
      </c>
      <c r="K5682" s="1" t="n">
        <v>7896264670577</v>
      </c>
      <c r="L5682" s="1" t="s">
        <v>3610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5" t="n">
        <v>46232</v>
      </c>
      <c r="C5683" s="1" t="n">
        <v>11</v>
      </c>
      <c r="D5683" s="1" t="s">
        <v>2290</v>
      </c>
      <c r="E5683" s="1" t="n">
        <v>1695</v>
      </c>
      <c r="F5683" s="1" t="s">
        <v>269</v>
      </c>
      <c r="I5683" s="1" t="n">
        <v>19509</v>
      </c>
      <c r="J5683" s="1" t="n">
        <v>40579</v>
      </c>
      <c r="K5683" s="1" t="n">
        <v>7896264670553</v>
      </c>
      <c r="L5683" s="1" t="s">
        <v>4306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5" t="n">
        <v>46232</v>
      </c>
      <c r="C5684" s="1" t="n">
        <v>11</v>
      </c>
      <c r="D5684" s="1" t="s">
        <v>2290</v>
      </c>
      <c r="E5684" s="1" t="n">
        <v>1695</v>
      </c>
      <c r="F5684" s="1" t="s">
        <v>269</v>
      </c>
      <c r="I5684" s="1" t="n">
        <v>19509</v>
      </c>
      <c r="J5684" s="1" t="n">
        <v>40750</v>
      </c>
      <c r="K5684" s="1" t="n">
        <v>78943032</v>
      </c>
      <c r="L5684" s="1" t="s">
        <v>2594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5" t="n">
        <v>46232</v>
      </c>
      <c r="C5685" s="1" t="n">
        <v>11</v>
      </c>
      <c r="D5685" s="1" t="s">
        <v>2290</v>
      </c>
      <c r="E5685" s="1" t="n">
        <v>1695</v>
      </c>
      <c r="F5685" s="1" t="s">
        <v>269</v>
      </c>
      <c r="I5685" s="1" t="n">
        <v>19509</v>
      </c>
      <c r="J5685" s="1" t="n">
        <v>48472</v>
      </c>
      <c r="K5685" s="1" t="n">
        <v>7891152801897</v>
      </c>
      <c r="L5685" s="1" t="s">
        <v>4307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5" t="n">
        <v>46232</v>
      </c>
      <c r="C5686" s="1" t="n">
        <v>11</v>
      </c>
      <c r="D5686" s="1" t="s">
        <v>2290</v>
      </c>
      <c r="E5686" s="1" t="n">
        <v>1695</v>
      </c>
      <c r="F5686" s="1" t="s">
        <v>269</v>
      </c>
      <c r="I5686" s="1" t="n">
        <v>19509</v>
      </c>
      <c r="J5686" s="1" t="n">
        <v>48473</v>
      </c>
      <c r="K5686" s="1" t="n">
        <v>7891152801910</v>
      </c>
      <c r="L5686" s="1" t="s">
        <v>4308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5" t="n">
        <v>46232</v>
      </c>
      <c r="C5687" s="1" t="n">
        <v>11</v>
      </c>
      <c r="D5687" s="1" t="s">
        <v>2290</v>
      </c>
      <c r="E5687" s="1" t="n">
        <v>1695</v>
      </c>
      <c r="F5687" s="1" t="s">
        <v>269</v>
      </c>
      <c r="I5687" s="1" t="n">
        <v>19509</v>
      </c>
      <c r="J5687" s="1" t="n">
        <v>48698</v>
      </c>
      <c r="K5687" s="1" t="n">
        <v>7891152801781</v>
      </c>
      <c r="L5687" s="1" t="s">
        <v>3320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5" t="n">
        <v>46232</v>
      </c>
      <c r="C5688" s="1" t="n">
        <v>11</v>
      </c>
      <c r="D5688" s="1" t="s">
        <v>2290</v>
      </c>
      <c r="E5688" s="1" t="n">
        <v>1695</v>
      </c>
      <c r="F5688" s="1" t="s">
        <v>269</v>
      </c>
      <c r="I5688" s="1" t="n">
        <v>19509</v>
      </c>
      <c r="J5688" s="1" t="n">
        <v>48699</v>
      </c>
      <c r="K5688" s="1" t="n">
        <v>7891152801842</v>
      </c>
      <c r="L5688" s="1" t="s">
        <v>3321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5" t="n">
        <v>46232</v>
      </c>
      <c r="C5689" s="1" t="n">
        <v>11</v>
      </c>
      <c r="D5689" s="1" t="s">
        <v>2290</v>
      </c>
      <c r="E5689" s="1" t="n">
        <v>1695</v>
      </c>
      <c r="F5689" s="1" t="s">
        <v>269</v>
      </c>
      <c r="I5689" s="1" t="n">
        <v>19509</v>
      </c>
      <c r="J5689" s="1" t="n">
        <v>48700</v>
      </c>
      <c r="K5689" s="1" t="n">
        <v>7891152801903</v>
      </c>
      <c r="L5689" s="1" t="s">
        <v>4309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5" t="n">
        <v>46232</v>
      </c>
      <c r="C5690" s="1" t="n">
        <v>11</v>
      </c>
      <c r="D5690" s="1" t="s">
        <v>2290</v>
      </c>
      <c r="E5690" s="1" t="n">
        <v>1695</v>
      </c>
      <c r="F5690" s="1" t="s">
        <v>269</v>
      </c>
      <c r="I5690" s="1" t="n">
        <v>19509</v>
      </c>
      <c r="J5690" s="1" t="n">
        <v>53207</v>
      </c>
      <c r="K5690" s="1" t="n">
        <v>78944480</v>
      </c>
      <c r="L5690" s="1" t="s">
        <v>2596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5" t="n">
        <v>46232</v>
      </c>
      <c r="C5691" s="1" t="n">
        <v>11</v>
      </c>
      <c r="D5691" s="1" t="s">
        <v>2290</v>
      </c>
      <c r="E5691" s="1" t="n">
        <v>1695</v>
      </c>
      <c r="F5691" s="1" t="s">
        <v>269</v>
      </c>
      <c r="I5691" s="1" t="n">
        <v>19509</v>
      </c>
      <c r="J5691" s="1" t="n">
        <v>62663</v>
      </c>
      <c r="K5691" s="1" t="n">
        <v>7896264671055</v>
      </c>
      <c r="L5691" s="1" t="s">
        <v>4310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5" t="n">
        <v>46232</v>
      </c>
      <c r="C5692" s="1" t="n">
        <v>11</v>
      </c>
      <c r="D5692" s="1" t="s">
        <v>2290</v>
      </c>
      <c r="E5692" s="1" t="n">
        <v>1628</v>
      </c>
      <c r="F5692" s="1" t="s">
        <v>809</v>
      </c>
      <c r="I5692" s="1" t="n">
        <v>90670</v>
      </c>
      <c r="J5692" s="1" t="n">
        <v>11153</v>
      </c>
      <c r="K5692" s="1" t="n">
        <v>7897412400152</v>
      </c>
      <c r="L5692" s="1" t="s">
        <v>3196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5" t="n">
        <v>46232</v>
      </c>
      <c r="C5693" s="1" t="n">
        <v>11</v>
      </c>
      <c r="D5693" s="1" t="s">
        <v>2290</v>
      </c>
      <c r="E5693" s="1" t="n">
        <v>1628</v>
      </c>
      <c r="F5693" s="1" t="s">
        <v>809</v>
      </c>
      <c r="I5693" s="1" t="n">
        <v>90670</v>
      </c>
      <c r="J5693" s="1" t="n">
        <v>11165</v>
      </c>
      <c r="K5693" s="1" t="n">
        <v>7897412400176</v>
      </c>
      <c r="L5693" s="1" t="s">
        <v>3197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5" t="n">
        <v>46232</v>
      </c>
      <c r="C5694" s="1" t="n">
        <v>11</v>
      </c>
      <c r="D5694" s="1" t="s">
        <v>2290</v>
      </c>
      <c r="E5694" s="1" t="n">
        <v>1628</v>
      </c>
      <c r="F5694" s="1" t="s">
        <v>809</v>
      </c>
      <c r="I5694" s="1" t="n">
        <v>90670</v>
      </c>
      <c r="J5694" s="1" t="n">
        <v>11285</v>
      </c>
      <c r="K5694" s="1" t="n">
        <v>7897412400169</v>
      </c>
      <c r="L5694" s="1" t="s">
        <v>3198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5" t="n">
        <v>46232</v>
      </c>
      <c r="C5695" s="1" t="n">
        <v>11</v>
      </c>
      <c r="D5695" s="1" t="s">
        <v>2290</v>
      </c>
      <c r="E5695" s="1" t="n">
        <v>1628</v>
      </c>
      <c r="F5695" s="1" t="s">
        <v>809</v>
      </c>
      <c r="I5695" s="1" t="n">
        <v>90670</v>
      </c>
      <c r="J5695" s="1" t="n">
        <v>35028</v>
      </c>
      <c r="K5695" s="1" t="n">
        <v>78939837</v>
      </c>
      <c r="L5695" s="1" t="s">
        <v>4311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5" t="n">
        <v>46232</v>
      </c>
      <c r="C5696" s="1" t="n">
        <v>11</v>
      </c>
      <c r="D5696" s="1" t="s">
        <v>2290</v>
      </c>
      <c r="E5696" s="1" t="n">
        <v>1628</v>
      </c>
      <c r="F5696" s="1" t="s">
        <v>809</v>
      </c>
      <c r="I5696" s="1" t="n">
        <v>90670</v>
      </c>
      <c r="J5696" s="1" t="n">
        <v>79430</v>
      </c>
      <c r="K5696" s="1" t="n">
        <v>7897412400558</v>
      </c>
      <c r="L5696" s="1" t="s">
        <v>3199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5" t="n">
        <v>46232</v>
      </c>
      <c r="C5697" s="1" t="n">
        <v>11</v>
      </c>
      <c r="D5697" s="1" t="s">
        <v>2290</v>
      </c>
      <c r="E5697" s="1" t="n">
        <v>1628</v>
      </c>
      <c r="F5697" s="1" t="s">
        <v>809</v>
      </c>
      <c r="I5697" s="1" t="n">
        <v>90670</v>
      </c>
      <c r="J5697" s="1" t="n">
        <v>80674</v>
      </c>
      <c r="K5697" s="1" t="n">
        <v>819244</v>
      </c>
      <c r="L5697" s="1" t="s">
        <v>4312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5" t="n">
        <v>46232</v>
      </c>
      <c r="C5698" s="1" t="n">
        <v>11</v>
      </c>
      <c r="D5698" s="1" t="s">
        <v>2290</v>
      </c>
      <c r="E5698" s="1" t="n">
        <v>1740</v>
      </c>
      <c r="F5698" s="1" t="s">
        <v>170</v>
      </c>
      <c r="I5698" s="1" t="n">
        <v>1252244</v>
      </c>
      <c r="J5698" s="1" t="n">
        <v>100036</v>
      </c>
      <c r="K5698" s="1" t="n">
        <v>37</v>
      </c>
      <c r="L5698" s="1" t="s">
        <v>2432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5" t="n">
        <v>46232</v>
      </c>
      <c r="C5699" s="1" t="n">
        <v>11</v>
      </c>
      <c r="D5699" s="1" t="s">
        <v>2290</v>
      </c>
      <c r="E5699" s="1" t="n">
        <v>1740</v>
      </c>
      <c r="F5699" s="1" t="s">
        <v>170</v>
      </c>
      <c r="I5699" s="1" t="n">
        <v>1252244</v>
      </c>
      <c r="J5699" s="1" t="n">
        <v>15459</v>
      </c>
      <c r="K5699" s="1" t="n">
        <v>7891164018214</v>
      </c>
      <c r="L5699" s="1" t="s">
        <v>4073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5" t="n">
        <v>46232</v>
      </c>
      <c r="C5700" s="1" t="n">
        <v>11</v>
      </c>
      <c r="D5700" s="1" t="s">
        <v>2290</v>
      </c>
      <c r="E5700" s="1" t="n">
        <v>1740</v>
      </c>
      <c r="F5700" s="1" t="s">
        <v>170</v>
      </c>
      <c r="I5700" s="1" t="n">
        <v>1252244</v>
      </c>
      <c r="J5700" s="1" t="n">
        <v>110530</v>
      </c>
      <c r="K5700" s="1" t="n">
        <v>57638</v>
      </c>
      <c r="L5700" s="1" t="s">
        <v>2433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5" t="n">
        <v>46232</v>
      </c>
      <c r="C5701" s="1" t="n">
        <v>11</v>
      </c>
      <c r="D5701" s="1" t="s">
        <v>2290</v>
      </c>
      <c r="E5701" s="1" t="n">
        <v>1740</v>
      </c>
      <c r="F5701" s="1" t="s">
        <v>170</v>
      </c>
      <c r="I5701" s="1" t="n">
        <v>1252244</v>
      </c>
      <c r="J5701" s="1" t="n">
        <v>63508</v>
      </c>
      <c r="K5701" s="1" t="n">
        <v>7891164110697</v>
      </c>
      <c r="L5701" s="1" t="s">
        <v>2850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5" t="n">
        <v>46232</v>
      </c>
      <c r="C5702" s="1" t="n">
        <v>11</v>
      </c>
      <c r="D5702" s="1" t="s">
        <v>2290</v>
      </c>
      <c r="E5702" s="1" t="n">
        <v>1740</v>
      </c>
      <c r="F5702" s="1" t="s">
        <v>170</v>
      </c>
      <c r="I5702" s="1" t="n">
        <v>1252896</v>
      </c>
      <c r="J5702" s="1" t="n">
        <v>106130</v>
      </c>
      <c r="K5702" s="1" t="n">
        <v>7891000340004</v>
      </c>
      <c r="L5702" s="1" t="s">
        <v>2484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5" t="n">
        <v>46232</v>
      </c>
      <c r="C5703" s="1" t="n">
        <v>11</v>
      </c>
      <c r="D5703" s="1" t="s">
        <v>2290</v>
      </c>
      <c r="E5703" s="1" t="n">
        <v>1740</v>
      </c>
      <c r="F5703" s="1" t="s">
        <v>170</v>
      </c>
      <c r="I5703" s="1" t="n">
        <v>1252896</v>
      </c>
      <c r="J5703" s="1" t="n">
        <v>14219</v>
      </c>
      <c r="K5703" s="1" t="n">
        <v>7891000072950</v>
      </c>
      <c r="L5703" s="1" t="s">
        <v>2485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5" t="n">
        <v>46232</v>
      </c>
      <c r="C5704" s="1" t="n">
        <v>11</v>
      </c>
      <c r="D5704" s="1" t="s">
        <v>2290</v>
      </c>
      <c r="E5704" s="1" t="n">
        <v>1740</v>
      </c>
      <c r="F5704" s="1" t="s">
        <v>170</v>
      </c>
      <c r="I5704" s="1" t="n">
        <v>1252896</v>
      </c>
      <c r="J5704" s="1" t="n">
        <v>16602</v>
      </c>
      <c r="K5704" s="1" t="n">
        <v>7891000084649</v>
      </c>
      <c r="L5704" s="1" t="s">
        <v>3088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5" t="n">
        <v>46232</v>
      </c>
      <c r="C5705" s="1" t="n">
        <v>11</v>
      </c>
      <c r="D5705" s="1" t="s">
        <v>2290</v>
      </c>
      <c r="E5705" s="1" t="n">
        <v>1740</v>
      </c>
      <c r="F5705" s="1" t="s">
        <v>170</v>
      </c>
      <c r="I5705" s="1" t="n">
        <v>1252896</v>
      </c>
      <c r="J5705" s="1" t="n">
        <v>16644</v>
      </c>
      <c r="K5705" s="1" t="n">
        <v>7891000084663</v>
      </c>
      <c r="L5705" s="1" t="s">
        <v>2518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5" t="n">
        <v>46232</v>
      </c>
      <c r="C5706" s="1" t="n">
        <v>11</v>
      </c>
      <c r="D5706" s="1" t="s">
        <v>2290</v>
      </c>
      <c r="E5706" s="1" t="n">
        <v>1740</v>
      </c>
      <c r="F5706" s="1" t="s">
        <v>170</v>
      </c>
      <c r="I5706" s="1" t="n">
        <v>1252896</v>
      </c>
      <c r="J5706" s="1" t="n">
        <v>20584</v>
      </c>
      <c r="K5706" s="1" t="n">
        <v>7891000103876</v>
      </c>
      <c r="L5706" s="1" t="s">
        <v>3089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5" t="n">
        <v>46232</v>
      </c>
      <c r="C5707" s="1" t="n">
        <v>11</v>
      </c>
      <c r="D5707" s="1" t="s">
        <v>2290</v>
      </c>
      <c r="E5707" s="1" t="n">
        <v>1740</v>
      </c>
      <c r="F5707" s="1" t="s">
        <v>170</v>
      </c>
      <c r="I5707" s="1" t="n">
        <v>1252896</v>
      </c>
      <c r="J5707" s="1" t="n">
        <v>25112</v>
      </c>
      <c r="K5707" s="1" t="n">
        <v>7891000244425</v>
      </c>
      <c r="L5707" s="1" t="s">
        <v>2487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5" t="n">
        <v>46232</v>
      </c>
      <c r="C5708" s="1" t="n">
        <v>11</v>
      </c>
      <c r="D5708" s="1" t="s">
        <v>2290</v>
      </c>
      <c r="E5708" s="1" t="n">
        <v>1740</v>
      </c>
      <c r="F5708" s="1" t="s">
        <v>170</v>
      </c>
      <c r="I5708" s="1" t="n">
        <v>1252896</v>
      </c>
      <c r="J5708" s="1" t="n">
        <v>25113</v>
      </c>
      <c r="K5708" s="1" t="n">
        <v>7891000244265</v>
      </c>
      <c r="L5708" s="1" t="s">
        <v>3090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5" t="n">
        <v>46232</v>
      </c>
      <c r="C5709" s="1" t="n">
        <v>11</v>
      </c>
      <c r="D5709" s="1" t="s">
        <v>2290</v>
      </c>
      <c r="E5709" s="1" t="n">
        <v>1740</v>
      </c>
      <c r="F5709" s="1" t="s">
        <v>170</v>
      </c>
      <c r="I5709" s="1" t="n">
        <v>1252896</v>
      </c>
      <c r="J5709" s="1" t="n">
        <v>25413</v>
      </c>
      <c r="K5709" s="1" t="n">
        <v>7891000241417</v>
      </c>
      <c r="L5709" s="1" t="s">
        <v>2488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5" t="n">
        <v>46232</v>
      </c>
      <c r="C5710" s="1" t="n">
        <v>11</v>
      </c>
      <c r="D5710" s="1" t="s">
        <v>2290</v>
      </c>
      <c r="E5710" s="1" t="n">
        <v>1740</v>
      </c>
      <c r="F5710" s="1" t="s">
        <v>170</v>
      </c>
      <c r="I5710" s="1" t="n">
        <v>1252896</v>
      </c>
      <c r="J5710" s="1" t="n">
        <v>27878</v>
      </c>
      <c r="K5710" s="1" t="n">
        <v>7891000261026</v>
      </c>
      <c r="L5710" s="1" t="s">
        <v>2489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5" t="n">
        <v>46232</v>
      </c>
      <c r="C5711" s="1" t="n">
        <v>11</v>
      </c>
      <c r="D5711" s="1" t="s">
        <v>2290</v>
      </c>
      <c r="E5711" s="1" t="n">
        <v>1740</v>
      </c>
      <c r="F5711" s="1" t="s">
        <v>170</v>
      </c>
      <c r="I5711" s="1" t="n">
        <v>1252896</v>
      </c>
      <c r="J5711" s="1" t="n">
        <v>28388</v>
      </c>
      <c r="K5711" s="1" t="n">
        <v>7891000260166</v>
      </c>
      <c r="L5711" s="1" t="s">
        <v>3091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5" t="n">
        <v>46232</v>
      </c>
      <c r="C5712" s="1" t="n">
        <v>11</v>
      </c>
      <c r="D5712" s="1" t="s">
        <v>2290</v>
      </c>
      <c r="E5712" s="1" t="n">
        <v>1740</v>
      </c>
      <c r="F5712" s="1" t="s">
        <v>170</v>
      </c>
      <c r="I5712" s="1" t="n">
        <v>1252896</v>
      </c>
      <c r="J5712" s="1" t="n">
        <v>38519</v>
      </c>
      <c r="K5712" s="1" t="n">
        <v>7891000261002</v>
      </c>
      <c r="L5712" s="1" t="s">
        <v>2490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5" t="n">
        <v>46232</v>
      </c>
      <c r="C5713" s="1" t="n">
        <v>11</v>
      </c>
      <c r="D5713" s="1" t="s">
        <v>2290</v>
      </c>
      <c r="E5713" s="1" t="n">
        <v>1740</v>
      </c>
      <c r="F5713" s="1" t="s">
        <v>170</v>
      </c>
      <c r="I5713" s="1" t="n">
        <v>1252896</v>
      </c>
      <c r="J5713" s="1" t="n">
        <v>47788</v>
      </c>
      <c r="K5713" s="1" t="n">
        <v>7891000363256</v>
      </c>
      <c r="L5713" s="1" t="s">
        <v>3839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5" t="n">
        <v>46232</v>
      </c>
      <c r="C5714" s="1" t="n">
        <v>11</v>
      </c>
      <c r="D5714" s="1" t="s">
        <v>2290</v>
      </c>
      <c r="E5714" s="1" t="n">
        <v>1740</v>
      </c>
      <c r="F5714" s="1" t="s">
        <v>170</v>
      </c>
      <c r="I5714" s="1" t="n">
        <v>1252896</v>
      </c>
      <c r="J5714" s="1" t="n">
        <v>50422</v>
      </c>
      <c r="K5714" s="1" t="n">
        <v>7898953148220</v>
      </c>
      <c r="L5714" s="1" t="s">
        <v>3093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5" t="n">
        <v>46232</v>
      </c>
      <c r="C5715" s="1" t="n">
        <v>11</v>
      </c>
      <c r="D5715" s="1" t="s">
        <v>2290</v>
      </c>
      <c r="E5715" s="1" t="n">
        <v>1740</v>
      </c>
      <c r="F5715" s="1" t="s">
        <v>170</v>
      </c>
      <c r="I5715" s="1" t="n">
        <v>1252896</v>
      </c>
      <c r="J5715" s="1" t="n">
        <v>50424</v>
      </c>
      <c r="K5715" s="1" t="n">
        <v>7898953148169</v>
      </c>
      <c r="L5715" s="1" t="s">
        <v>2492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5" t="n">
        <v>46232</v>
      </c>
      <c r="C5716" s="1" t="n">
        <v>11</v>
      </c>
      <c r="D5716" s="1" t="s">
        <v>2290</v>
      </c>
      <c r="E5716" s="1" t="n">
        <v>1740</v>
      </c>
      <c r="F5716" s="1" t="s">
        <v>170</v>
      </c>
      <c r="I5716" s="1" t="n">
        <v>1252896</v>
      </c>
      <c r="J5716" s="1" t="n">
        <v>52026</v>
      </c>
      <c r="K5716" s="1" t="n">
        <v>7898953148435</v>
      </c>
      <c r="L5716" s="1" t="s">
        <v>3094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5" t="n">
        <v>46232</v>
      </c>
      <c r="C5717" s="1" t="n">
        <v>11</v>
      </c>
      <c r="D5717" s="1" t="s">
        <v>2290</v>
      </c>
      <c r="E5717" s="1" t="n">
        <v>1740</v>
      </c>
      <c r="F5717" s="1" t="s">
        <v>170</v>
      </c>
      <c r="I5717" s="1" t="n">
        <v>1252896</v>
      </c>
      <c r="J5717" s="1" t="n">
        <v>69214</v>
      </c>
      <c r="K5717" s="1" t="n">
        <v>7898755200041</v>
      </c>
      <c r="L5717" s="1" t="s">
        <v>3095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5" t="n">
        <v>46232</v>
      </c>
      <c r="C5718" s="1" t="n">
        <v>171</v>
      </c>
      <c r="D5718" s="1" t="s">
        <v>2517</v>
      </c>
      <c r="E5718" s="1" t="n">
        <v>1740</v>
      </c>
      <c r="F5718" s="1" t="s">
        <v>170</v>
      </c>
      <c r="I5718" s="1" t="n">
        <v>1252895</v>
      </c>
      <c r="J5718" s="1" t="n">
        <v>38519</v>
      </c>
      <c r="K5718" s="1" t="n">
        <v>7891000261002</v>
      </c>
      <c r="L5718" s="1" t="s">
        <v>2490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5" t="n">
        <v>46232</v>
      </c>
      <c r="C5719" s="1" t="n">
        <v>171</v>
      </c>
      <c r="D5719" s="1" t="s">
        <v>2517</v>
      </c>
      <c r="E5719" s="1" t="n">
        <v>1740</v>
      </c>
      <c r="F5719" s="1" t="s">
        <v>170</v>
      </c>
      <c r="I5719" s="1" t="n">
        <v>1252895</v>
      </c>
      <c r="J5719" s="1" t="n">
        <v>50424</v>
      </c>
      <c r="K5719" s="1" t="n">
        <v>7898953148169</v>
      </c>
      <c r="L5719" s="1" t="s">
        <v>2492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5" t="n">
        <v>46232</v>
      </c>
      <c r="C5720" s="1" t="n">
        <v>171</v>
      </c>
      <c r="D5720" s="1" t="s">
        <v>2517</v>
      </c>
      <c r="E5720" s="1" t="n">
        <v>1740</v>
      </c>
      <c r="F5720" s="1" t="s">
        <v>170</v>
      </c>
      <c r="I5720" s="1" t="n">
        <v>1252895</v>
      </c>
      <c r="J5720" s="1" t="n">
        <v>79560</v>
      </c>
      <c r="K5720" s="1" t="n">
        <v>7898755200461</v>
      </c>
      <c r="L5720" s="1" t="s">
        <v>3194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5" t="n">
        <v>46233</v>
      </c>
      <c r="C5721" s="1" t="n">
        <v>6</v>
      </c>
      <c r="D5721" s="1" t="s">
        <v>2289</v>
      </c>
      <c r="E5721" s="1" t="n">
        <v>42</v>
      </c>
      <c r="F5721" s="1" t="s">
        <v>80</v>
      </c>
      <c r="I5721" s="1" t="n">
        <v>4438</v>
      </c>
      <c r="J5721" s="1" t="n">
        <v>72679</v>
      </c>
      <c r="K5721" s="1" t="n">
        <v>246</v>
      </c>
      <c r="L5721" s="1" t="s">
        <v>2288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5" t="n">
        <v>46233</v>
      </c>
      <c r="C5722" s="1" t="n">
        <v>6</v>
      </c>
      <c r="D5722" s="1" t="s">
        <v>2289</v>
      </c>
      <c r="E5722" s="1" t="n">
        <v>42</v>
      </c>
      <c r="F5722" s="1" t="s">
        <v>80</v>
      </c>
      <c r="I5722" s="1" t="n">
        <v>4439</v>
      </c>
      <c r="J5722" s="1" t="n">
        <v>109791</v>
      </c>
      <c r="K5722" s="1" t="n">
        <v>9667</v>
      </c>
      <c r="L5722" s="1" t="s">
        <v>2284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5" t="n">
        <v>46233</v>
      </c>
      <c r="C5723" s="1" t="n">
        <v>6</v>
      </c>
      <c r="D5723" s="1" t="s">
        <v>2289</v>
      </c>
      <c r="E5723" s="1" t="n">
        <v>42</v>
      </c>
      <c r="F5723" s="1" t="s">
        <v>80</v>
      </c>
      <c r="I5723" s="1" t="n">
        <v>4439</v>
      </c>
      <c r="J5723" s="1" t="n">
        <v>37359</v>
      </c>
      <c r="K5723" s="1" t="n">
        <v>55526</v>
      </c>
      <c r="L5723" s="1" t="s">
        <v>2285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5" t="n">
        <v>46233</v>
      </c>
      <c r="C5724" s="1" t="n">
        <v>6</v>
      </c>
      <c r="D5724" s="1" t="s">
        <v>2289</v>
      </c>
      <c r="E5724" s="1" t="n">
        <v>42</v>
      </c>
      <c r="F5724" s="1" t="s">
        <v>80</v>
      </c>
      <c r="I5724" s="1" t="n">
        <v>4439</v>
      </c>
      <c r="J5724" s="1" t="n">
        <v>37361</v>
      </c>
      <c r="K5724" s="1" t="n">
        <v>2240817</v>
      </c>
      <c r="L5724" s="1" t="s">
        <v>2286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5" t="n">
        <v>46233</v>
      </c>
      <c r="C5725" s="1" t="n">
        <v>6</v>
      </c>
      <c r="D5725" s="1" t="s">
        <v>2289</v>
      </c>
      <c r="E5725" s="1" t="n">
        <v>42</v>
      </c>
      <c r="F5725" s="1" t="s">
        <v>80</v>
      </c>
      <c r="I5725" s="1" t="n">
        <v>4440</v>
      </c>
      <c r="J5725" s="1" t="n">
        <v>100103</v>
      </c>
      <c r="K5725" s="1" t="n">
        <v>104</v>
      </c>
      <c r="L5725" s="1" t="s">
        <v>2287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5" t="n">
        <v>46233</v>
      </c>
      <c r="C5726" s="1" t="n">
        <v>11</v>
      </c>
      <c r="D5726" s="1" t="s">
        <v>2290</v>
      </c>
      <c r="E5726" s="1" t="n">
        <v>10018</v>
      </c>
      <c r="F5726" s="1" t="s">
        <v>654</v>
      </c>
      <c r="I5726" s="1" t="n">
        <v>348</v>
      </c>
      <c r="J5726" s="1" t="n">
        <v>100827</v>
      </c>
      <c r="K5726" s="1" t="n">
        <v>7897312400078</v>
      </c>
      <c r="L5726" s="1" t="s">
        <v>4313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5" t="n">
        <v>46233</v>
      </c>
      <c r="C5727" s="1" t="n">
        <v>11</v>
      </c>
      <c r="D5727" s="1" t="s">
        <v>2290</v>
      </c>
      <c r="E5727" s="1" t="n">
        <v>10018</v>
      </c>
      <c r="F5727" s="1" t="s">
        <v>654</v>
      </c>
      <c r="I5727" s="1" t="n">
        <v>348</v>
      </c>
      <c r="J5727" s="1" t="n">
        <v>101974</v>
      </c>
      <c r="K5727" s="1" t="n">
        <v>7897272900120</v>
      </c>
      <c r="L5727" s="1" t="s">
        <v>4314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5" t="n">
        <v>46233</v>
      </c>
      <c r="C5728" s="1" t="n">
        <v>11</v>
      </c>
      <c r="D5728" s="1" t="s">
        <v>2290</v>
      </c>
      <c r="E5728" s="1" t="n">
        <v>10018</v>
      </c>
      <c r="F5728" s="1" t="s">
        <v>654</v>
      </c>
      <c r="I5728" s="1" t="n">
        <v>348</v>
      </c>
      <c r="J5728" s="1" t="n">
        <v>101975</v>
      </c>
      <c r="K5728" s="1" t="n">
        <v>7897272900113</v>
      </c>
      <c r="L5728" s="1" t="s">
        <v>4315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5" t="n">
        <v>46233</v>
      </c>
      <c r="C5729" s="1" t="n">
        <v>11</v>
      </c>
      <c r="D5729" s="1" t="s">
        <v>2290</v>
      </c>
      <c r="E5729" s="1" t="n">
        <v>10018</v>
      </c>
      <c r="F5729" s="1" t="s">
        <v>654</v>
      </c>
      <c r="I5729" s="1" t="n">
        <v>348</v>
      </c>
      <c r="J5729" s="1" t="n">
        <v>101977</v>
      </c>
      <c r="K5729" s="1" t="n">
        <v>7897272900151</v>
      </c>
      <c r="L5729" s="1" t="s">
        <v>4316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5" t="n">
        <v>46233</v>
      </c>
      <c r="C5730" s="1" t="n">
        <v>11</v>
      </c>
      <c r="D5730" s="1" t="s">
        <v>2290</v>
      </c>
      <c r="E5730" s="1" t="n">
        <v>10018</v>
      </c>
      <c r="F5730" s="1" t="s">
        <v>654</v>
      </c>
      <c r="I5730" s="1" t="n">
        <v>348</v>
      </c>
      <c r="J5730" s="1" t="n">
        <v>101979</v>
      </c>
      <c r="K5730" s="1" t="n">
        <v>7897272900106</v>
      </c>
      <c r="L5730" s="1" t="s">
        <v>4317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5" t="n">
        <v>46233</v>
      </c>
      <c r="C5731" s="1" t="n">
        <v>11</v>
      </c>
      <c r="D5731" s="1" t="s">
        <v>2290</v>
      </c>
      <c r="E5731" s="1" t="n">
        <v>10018</v>
      </c>
      <c r="F5731" s="1" t="s">
        <v>654</v>
      </c>
      <c r="I5731" s="1" t="n">
        <v>348</v>
      </c>
      <c r="J5731" s="1" t="n">
        <v>28989</v>
      </c>
      <c r="K5731" s="1" t="n">
        <v>7896003738629</v>
      </c>
      <c r="L5731" s="1" t="s">
        <v>4318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5" t="n">
        <v>46233</v>
      </c>
      <c r="C5732" s="1" t="n">
        <v>11</v>
      </c>
      <c r="D5732" s="1" t="s">
        <v>2290</v>
      </c>
      <c r="E5732" s="1" t="n">
        <v>10018</v>
      </c>
      <c r="F5732" s="1" t="s">
        <v>654</v>
      </c>
      <c r="I5732" s="1" t="n">
        <v>348</v>
      </c>
      <c r="J5732" s="1" t="n">
        <v>29368</v>
      </c>
      <c r="K5732" s="1" t="n">
        <v>78932609</v>
      </c>
      <c r="L5732" s="1" t="s">
        <v>4319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5" t="n">
        <v>46233</v>
      </c>
      <c r="C5733" s="1" t="n">
        <v>11</v>
      </c>
      <c r="D5733" s="1" t="s">
        <v>2290</v>
      </c>
      <c r="E5733" s="1" t="n">
        <v>10018</v>
      </c>
      <c r="F5733" s="1" t="s">
        <v>654</v>
      </c>
      <c r="I5733" s="1" t="n">
        <v>348</v>
      </c>
      <c r="J5733" s="1" t="n">
        <v>36473</v>
      </c>
      <c r="K5733" s="1" t="n">
        <v>7896383073495</v>
      </c>
      <c r="L5733" s="1" t="s">
        <v>3129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5" t="n">
        <v>46233</v>
      </c>
      <c r="C5734" s="1" t="n">
        <v>11</v>
      </c>
      <c r="D5734" s="1" t="s">
        <v>2290</v>
      </c>
      <c r="E5734" s="1" t="n">
        <v>10018</v>
      </c>
      <c r="F5734" s="1" t="s">
        <v>654</v>
      </c>
      <c r="I5734" s="1" t="n">
        <v>348</v>
      </c>
      <c r="J5734" s="1" t="n">
        <v>43782</v>
      </c>
      <c r="K5734" s="1" t="n">
        <v>2245492</v>
      </c>
      <c r="L5734" s="1" t="s">
        <v>4320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5" t="n">
        <v>46233</v>
      </c>
      <c r="C5735" s="1" t="n">
        <v>11</v>
      </c>
      <c r="D5735" s="1" t="s">
        <v>2290</v>
      </c>
      <c r="E5735" s="1" t="n">
        <v>10018</v>
      </c>
      <c r="F5735" s="1" t="s">
        <v>654</v>
      </c>
      <c r="I5735" s="1" t="n">
        <v>348</v>
      </c>
      <c r="J5735" s="1" t="n">
        <v>71983</v>
      </c>
      <c r="K5735" s="1" t="n">
        <v>793643</v>
      </c>
      <c r="L5735" s="1" t="s">
        <v>4321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5" t="n">
        <v>46233</v>
      </c>
      <c r="C5736" s="1" t="n">
        <v>11</v>
      </c>
      <c r="D5736" s="1" t="s">
        <v>2290</v>
      </c>
      <c r="E5736" s="1" t="n">
        <v>10018</v>
      </c>
      <c r="F5736" s="1" t="s">
        <v>654</v>
      </c>
      <c r="I5736" s="1" t="n">
        <v>348</v>
      </c>
      <c r="J5736" s="1" t="n">
        <v>81933</v>
      </c>
      <c r="K5736" s="1" t="n">
        <v>7898922012323</v>
      </c>
      <c r="L5736" s="1" t="s">
        <v>4322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5" t="n">
        <v>46233</v>
      </c>
      <c r="C5737" s="1" t="n">
        <v>11</v>
      </c>
      <c r="D5737" s="1" t="s">
        <v>2290</v>
      </c>
      <c r="E5737" s="1" t="n">
        <v>1916</v>
      </c>
      <c r="F5737" s="1" t="s">
        <v>351</v>
      </c>
      <c r="I5737" s="1" t="n">
        <v>2604</v>
      </c>
      <c r="J5737" s="1" t="n">
        <v>62034</v>
      </c>
      <c r="K5737" s="1" t="n">
        <v>7898592350367</v>
      </c>
      <c r="L5737" s="1" t="s">
        <v>3087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5" t="n">
        <v>46233</v>
      </c>
      <c r="C5738" s="1" t="n">
        <v>11</v>
      </c>
      <c r="D5738" s="1" t="s">
        <v>2290</v>
      </c>
      <c r="E5738" s="1" t="n">
        <v>1749</v>
      </c>
      <c r="F5738" s="1" t="s">
        <v>266</v>
      </c>
      <c r="I5738" s="1" t="n">
        <v>2956</v>
      </c>
      <c r="J5738" s="1" t="n">
        <v>100814</v>
      </c>
      <c r="K5738" s="1" t="n">
        <v>7897312400054</v>
      </c>
      <c r="L5738" s="1" t="s">
        <v>3841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5" t="n">
        <v>46233</v>
      </c>
      <c r="C5739" s="1" t="n">
        <v>11</v>
      </c>
      <c r="D5739" s="1" t="s">
        <v>2290</v>
      </c>
      <c r="E5739" s="1" t="n">
        <v>1749</v>
      </c>
      <c r="F5739" s="1" t="s">
        <v>266</v>
      </c>
      <c r="I5739" s="1" t="n">
        <v>2956</v>
      </c>
      <c r="J5739" s="1" t="n">
        <v>102300</v>
      </c>
      <c r="K5739" s="1" t="n">
        <v>7898062920014</v>
      </c>
      <c r="L5739" s="1" t="s">
        <v>3842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5" t="n">
        <v>46233</v>
      </c>
      <c r="C5740" s="1" t="n">
        <v>11</v>
      </c>
      <c r="D5740" s="1" t="s">
        <v>2290</v>
      </c>
      <c r="E5740" s="1" t="n">
        <v>1749</v>
      </c>
      <c r="F5740" s="1" t="s">
        <v>266</v>
      </c>
      <c r="I5740" s="1" t="n">
        <v>2956</v>
      </c>
      <c r="J5740" s="1" t="n">
        <v>104073</v>
      </c>
      <c r="K5740" s="1" t="n">
        <v>7891107101621</v>
      </c>
      <c r="L5740" s="1" t="s">
        <v>4112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5" t="n">
        <v>46233</v>
      </c>
      <c r="C5741" s="1" t="n">
        <v>11</v>
      </c>
      <c r="D5741" s="1" t="s">
        <v>2290</v>
      </c>
      <c r="E5741" s="1" t="n">
        <v>1749</v>
      </c>
      <c r="F5741" s="1" t="s">
        <v>266</v>
      </c>
      <c r="I5741" s="1" t="n">
        <v>2956</v>
      </c>
      <c r="J5741" s="1" t="n">
        <v>104678</v>
      </c>
      <c r="K5741" s="1" t="n">
        <v>7898247780075</v>
      </c>
      <c r="L5741" s="1" t="s">
        <v>3107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5" t="n">
        <v>46233</v>
      </c>
      <c r="C5742" s="1" t="n">
        <v>11</v>
      </c>
      <c r="D5742" s="1" t="s">
        <v>2290</v>
      </c>
      <c r="E5742" s="1" t="n">
        <v>1749</v>
      </c>
      <c r="F5742" s="1" t="s">
        <v>266</v>
      </c>
      <c r="I5742" s="1" t="n">
        <v>2956</v>
      </c>
      <c r="J5742" s="1" t="n">
        <v>12434</v>
      </c>
      <c r="K5742" s="1" t="n">
        <v>7896800777661</v>
      </c>
      <c r="L5742" s="1" t="s">
        <v>4323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5" t="n">
        <v>46233</v>
      </c>
      <c r="C5743" s="1" t="n">
        <v>11</v>
      </c>
      <c r="D5743" s="1" t="s">
        <v>2290</v>
      </c>
      <c r="E5743" s="1" t="n">
        <v>1749</v>
      </c>
      <c r="F5743" s="1" t="s">
        <v>266</v>
      </c>
      <c r="I5743" s="1" t="n">
        <v>2956</v>
      </c>
      <c r="J5743" s="1" t="n">
        <v>13188</v>
      </c>
      <c r="K5743" s="1" t="n">
        <v>7896393601046</v>
      </c>
      <c r="L5743" s="1" t="s">
        <v>3293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5" t="n">
        <v>46233</v>
      </c>
      <c r="C5744" s="1" t="n">
        <v>11</v>
      </c>
      <c r="D5744" s="1" t="s">
        <v>2290</v>
      </c>
      <c r="E5744" s="1" t="n">
        <v>1749</v>
      </c>
      <c r="F5744" s="1" t="s">
        <v>266</v>
      </c>
      <c r="I5744" s="1" t="n">
        <v>2956</v>
      </c>
      <c r="J5744" s="1" t="n">
        <v>13677</v>
      </c>
      <c r="K5744" s="1" t="n">
        <v>7896393601039</v>
      </c>
      <c r="L5744" s="1" t="s">
        <v>2800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5" t="n">
        <v>46233</v>
      </c>
      <c r="C5745" s="1" t="n">
        <v>11</v>
      </c>
      <c r="D5745" s="1" t="s">
        <v>2290</v>
      </c>
      <c r="E5745" s="1" t="n">
        <v>1749</v>
      </c>
      <c r="F5745" s="1" t="s">
        <v>266</v>
      </c>
      <c r="I5745" s="1" t="n">
        <v>2956</v>
      </c>
      <c r="J5745" s="1" t="n">
        <v>29846</v>
      </c>
      <c r="K5745" s="1" t="n">
        <v>7891097102059</v>
      </c>
      <c r="L5745" s="1" t="s">
        <v>3843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5" t="n">
        <v>46233</v>
      </c>
      <c r="C5746" s="1" t="n">
        <v>11</v>
      </c>
      <c r="D5746" s="1" t="s">
        <v>2290</v>
      </c>
      <c r="E5746" s="1" t="n">
        <v>1749</v>
      </c>
      <c r="F5746" s="1" t="s">
        <v>266</v>
      </c>
      <c r="I5746" s="1" t="n">
        <v>2956</v>
      </c>
      <c r="J5746" s="1" t="n">
        <v>52561</v>
      </c>
      <c r="K5746" s="1" t="n">
        <v>7897312404120</v>
      </c>
      <c r="L5746" s="1" t="s">
        <v>3845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5" t="n">
        <v>46233</v>
      </c>
      <c r="C5747" s="1" t="n">
        <v>11</v>
      </c>
      <c r="D5747" s="1" t="s">
        <v>2290</v>
      </c>
      <c r="E5747" s="1" t="n">
        <v>1749</v>
      </c>
      <c r="F5747" s="1" t="s">
        <v>266</v>
      </c>
      <c r="I5747" s="1" t="n">
        <v>2956</v>
      </c>
      <c r="J5747" s="1" t="n">
        <v>54424</v>
      </c>
      <c r="K5747" s="1" t="n">
        <v>7897312404144</v>
      </c>
      <c r="L5747" s="1" t="s">
        <v>4324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5" t="n">
        <v>46233</v>
      </c>
      <c r="C5748" s="1" t="n">
        <v>11</v>
      </c>
      <c r="D5748" s="1" t="s">
        <v>2290</v>
      </c>
      <c r="E5748" s="1" t="n">
        <v>1749</v>
      </c>
      <c r="F5748" s="1" t="s">
        <v>266</v>
      </c>
      <c r="I5748" s="1" t="n">
        <v>2956</v>
      </c>
      <c r="J5748" s="1" t="n">
        <v>71834</v>
      </c>
      <c r="K5748" s="1" t="n">
        <v>7898361830069</v>
      </c>
      <c r="L5748" s="1" t="s">
        <v>3110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5" t="n">
        <v>46233</v>
      </c>
      <c r="C5749" s="1" t="n">
        <v>11</v>
      </c>
      <c r="D5749" s="1" t="s">
        <v>2290</v>
      </c>
      <c r="E5749" s="1" t="n">
        <v>1749</v>
      </c>
      <c r="F5749" s="1" t="s">
        <v>266</v>
      </c>
      <c r="I5749" s="1" t="n">
        <v>2956</v>
      </c>
      <c r="J5749" s="1" t="n">
        <v>72943</v>
      </c>
      <c r="K5749" s="1" t="n">
        <v>7898361830076</v>
      </c>
      <c r="L5749" s="1" t="s">
        <v>3111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5" t="n">
        <v>46233</v>
      </c>
      <c r="C5750" s="1" t="n">
        <v>11</v>
      </c>
      <c r="D5750" s="1" t="s">
        <v>2290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2737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5" t="n">
        <v>46233</v>
      </c>
      <c r="C5751" s="1" t="n">
        <v>11</v>
      </c>
      <c r="D5751" s="1" t="s">
        <v>2290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2738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5" t="n">
        <v>46233</v>
      </c>
      <c r="C5752" s="1" t="n">
        <v>11</v>
      </c>
      <c r="D5752" s="1" t="s">
        <v>2290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4325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5" t="n">
        <v>46233</v>
      </c>
      <c r="C5753" s="1" t="n">
        <v>11</v>
      </c>
      <c r="D5753" s="1" t="s">
        <v>2290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3833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5" t="n">
        <v>46233</v>
      </c>
      <c r="C5754" s="1" t="n">
        <v>11</v>
      </c>
      <c r="D5754" s="1" t="s">
        <v>2290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2481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5" t="n">
        <v>46233</v>
      </c>
      <c r="C5755" s="1" t="n">
        <v>11</v>
      </c>
      <c r="D5755" s="1" t="s">
        <v>2290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2482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5" t="n">
        <v>46233</v>
      </c>
      <c r="C5756" s="1" t="n">
        <v>11</v>
      </c>
      <c r="D5756" s="1" t="s">
        <v>2290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4326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5" t="n">
        <v>46233</v>
      </c>
      <c r="C5757" s="1" t="n">
        <v>11</v>
      </c>
      <c r="D5757" s="1" t="s">
        <v>2290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4326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5" t="n">
        <v>46233</v>
      </c>
      <c r="C5758" s="1" t="n">
        <v>11</v>
      </c>
      <c r="D5758" s="1" t="s">
        <v>2290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3605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5" t="n">
        <v>46233</v>
      </c>
      <c r="C5759" s="1" t="n">
        <v>11</v>
      </c>
      <c r="D5759" s="1" t="s">
        <v>2290</v>
      </c>
      <c r="E5759" s="1" t="n">
        <v>1625</v>
      </c>
      <c r="F5759" s="1" t="s">
        <v>320</v>
      </c>
      <c r="I5759" s="1" t="n">
        <v>14880</v>
      </c>
      <c r="J5759" s="1" t="n">
        <v>29079</v>
      </c>
      <c r="K5759" s="1" t="n">
        <v>55515</v>
      </c>
      <c r="L5759" s="1" t="s">
        <v>2360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5" t="n">
        <v>46233</v>
      </c>
      <c r="C5760" s="1" t="n">
        <v>11</v>
      </c>
      <c r="D5760" s="1" t="s">
        <v>2290</v>
      </c>
      <c r="E5760" s="1" t="n">
        <v>1625</v>
      </c>
      <c r="F5760" s="1" t="s">
        <v>320</v>
      </c>
      <c r="I5760" s="1" t="n">
        <v>14880</v>
      </c>
      <c r="J5760" s="1" t="n">
        <v>29080</v>
      </c>
      <c r="K5760" s="1" t="n">
        <v>55516</v>
      </c>
      <c r="L5760" s="1" t="s">
        <v>2362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5" t="n">
        <v>46233</v>
      </c>
      <c r="C5761" s="1" t="n">
        <v>11</v>
      </c>
      <c r="D5761" s="1" t="s">
        <v>2290</v>
      </c>
      <c r="E5761" s="1" t="n">
        <v>1625</v>
      </c>
      <c r="F5761" s="1" t="s">
        <v>320</v>
      </c>
      <c r="I5761" s="1" t="n">
        <v>14880</v>
      </c>
      <c r="J5761" s="1" t="n">
        <v>78040</v>
      </c>
      <c r="K5761" s="1" t="n">
        <v>780414</v>
      </c>
      <c r="L5761" s="1" t="s">
        <v>2585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5" t="n">
        <v>46233</v>
      </c>
      <c r="C5762" s="1" t="n">
        <v>11</v>
      </c>
      <c r="D5762" s="1" t="s">
        <v>2290</v>
      </c>
      <c r="E5762" s="1" t="n">
        <v>1625</v>
      </c>
      <c r="F5762" s="1" t="s">
        <v>320</v>
      </c>
      <c r="I5762" s="1" t="n">
        <v>14880</v>
      </c>
      <c r="J5762" s="1" t="n">
        <v>78040</v>
      </c>
      <c r="K5762" s="1" t="n">
        <v>780414</v>
      </c>
      <c r="L5762" s="1" t="s">
        <v>2585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5" t="n">
        <v>46233</v>
      </c>
      <c r="C5763" s="1" t="n">
        <v>11</v>
      </c>
      <c r="D5763" s="1" t="s">
        <v>2290</v>
      </c>
      <c r="E5763" s="1" t="n">
        <v>1378</v>
      </c>
      <c r="F5763" s="1" t="s">
        <v>120</v>
      </c>
      <c r="I5763" s="1" t="n">
        <v>18423</v>
      </c>
      <c r="J5763" s="1" t="n">
        <v>74063</v>
      </c>
      <c r="K5763" s="1" t="n">
        <v>42882264262</v>
      </c>
      <c r="L5763" s="1" t="s">
        <v>2341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5" t="n">
        <v>46233</v>
      </c>
      <c r="C5764" s="1" t="n">
        <v>11</v>
      </c>
      <c r="D5764" s="1" t="s">
        <v>2290</v>
      </c>
      <c r="E5764" s="1" t="n">
        <v>1378</v>
      </c>
      <c r="F5764" s="1" t="s">
        <v>120</v>
      </c>
      <c r="I5764" s="1" t="n">
        <v>18423</v>
      </c>
      <c r="J5764" s="1" t="n">
        <v>74064</v>
      </c>
      <c r="K5764" s="1" t="n">
        <v>42882264279</v>
      </c>
      <c r="L5764" s="1" t="s">
        <v>2342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5" t="n">
        <v>46233</v>
      </c>
      <c r="C5765" s="1" t="n">
        <v>11</v>
      </c>
      <c r="D5765" s="1" t="s">
        <v>2290</v>
      </c>
      <c r="E5765" s="1" t="n">
        <v>1378</v>
      </c>
      <c r="F5765" s="1" t="s">
        <v>120</v>
      </c>
      <c r="I5765" s="1" t="n">
        <v>18423</v>
      </c>
      <c r="J5765" s="1" t="n">
        <v>74065</v>
      </c>
      <c r="K5765" s="1" t="n">
        <v>602883558090</v>
      </c>
      <c r="L5765" s="1" t="s">
        <v>2343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5" t="n">
        <v>46233</v>
      </c>
      <c r="C5766" s="1" t="n">
        <v>11</v>
      </c>
      <c r="D5766" s="1" t="s">
        <v>2290</v>
      </c>
      <c r="E5766" s="1" t="n">
        <v>1378</v>
      </c>
      <c r="F5766" s="1" t="s">
        <v>120</v>
      </c>
      <c r="I5766" s="1" t="n">
        <v>18423</v>
      </c>
      <c r="J5766" s="1" t="n">
        <v>77994</v>
      </c>
      <c r="K5766" s="1" t="n">
        <v>780117</v>
      </c>
      <c r="L5766" s="1" t="s">
        <v>2344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5" t="n">
        <v>46233</v>
      </c>
      <c r="C5767" s="1" t="n">
        <v>11</v>
      </c>
      <c r="D5767" s="1" t="s">
        <v>2290</v>
      </c>
      <c r="E5767" s="1" t="n">
        <v>1916</v>
      </c>
      <c r="F5767" s="1" t="s">
        <v>351</v>
      </c>
      <c r="I5767" s="1" t="n">
        <v>40074</v>
      </c>
      <c r="J5767" s="1" t="n">
        <v>43965</v>
      </c>
      <c r="K5767" s="1" t="n">
        <v>7898567710226</v>
      </c>
      <c r="L5767" s="1" t="s">
        <v>2571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5" t="n">
        <v>46233</v>
      </c>
      <c r="C5768" s="1" t="n">
        <v>11</v>
      </c>
      <c r="D5768" s="1" t="s">
        <v>2290</v>
      </c>
      <c r="E5768" s="1" t="n">
        <v>1916</v>
      </c>
      <c r="F5768" s="1" t="s">
        <v>351</v>
      </c>
      <c r="I5768" s="1" t="n">
        <v>40074</v>
      </c>
      <c r="J5768" s="1" t="n">
        <v>48436</v>
      </c>
      <c r="K5768" s="1" t="n">
        <v>7898592350251</v>
      </c>
      <c r="L5768" s="1" t="s">
        <v>3450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5" t="n">
        <v>46233</v>
      </c>
      <c r="C5769" s="1" t="n">
        <v>11</v>
      </c>
      <c r="D5769" s="1" t="s">
        <v>2290</v>
      </c>
      <c r="E5769" s="1" t="n">
        <v>1665</v>
      </c>
      <c r="F5769" s="1" t="s">
        <v>937</v>
      </c>
      <c r="I5769" s="1" t="n">
        <v>135484</v>
      </c>
      <c r="J5769" s="1" t="n">
        <v>25716</v>
      </c>
      <c r="K5769" s="1" t="n">
        <v>7896353301184</v>
      </c>
      <c r="L5769" s="1" t="s">
        <v>3451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5" t="n">
        <v>46233</v>
      </c>
      <c r="C5770" s="1" t="n">
        <v>11</v>
      </c>
      <c r="D5770" s="1" t="s">
        <v>2290</v>
      </c>
      <c r="E5770" s="1" t="n">
        <v>1665</v>
      </c>
      <c r="F5770" s="1" t="s">
        <v>937</v>
      </c>
      <c r="I5770" s="1" t="n">
        <v>135484</v>
      </c>
      <c r="J5770" s="1" t="n">
        <v>25717</v>
      </c>
      <c r="K5770" s="1" t="n">
        <v>7896353301191</v>
      </c>
      <c r="L5770" s="1" t="s">
        <v>3452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5" t="n">
        <v>46233</v>
      </c>
      <c r="C5771" s="1" t="n">
        <v>11</v>
      </c>
      <c r="D5771" s="1" t="s">
        <v>2290</v>
      </c>
      <c r="E5771" s="1" t="n">
        <v>1723</v>
      </c>
      <c r="F5771" s="1" t="s">
        <v>76</v>
      </c>
      <c r="I5771" s="1" t="n">
        <v>173903</v>
      </c>
      <c r="J5771" s="1" t="n">
        <v>29079</v>
      </c>
      <c r="K5771" s="1" t="n">
        <v>55515</v>
      </c>
      <c r="L5771" s="1" t="s">
        <v>2360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5" t="n">
        <v>46233</v>
      </c>
      <c r="C5772" s="1" t="n">
        <v>11</v>
      </c>
      <c r="D5772" s="1" t="s">
        <v>2290</v>
      </c>
      <c r="E5772" s="1" t="n">
        <v>1723</v>
      </c>
      <c r="F5772" s="1" t="s">
        <v>76</v>
      </c>
      <c r="I5772" s="1" t="n">
        <v>173903</v>
      </c>
      <c r="J5772" s="1" t="n">
        <v>29080</v>
      </c>
      <c r="K5772" s="1" t="n">
        <v>55516</v>
      </c>
      <c r="L5772" s="1" t="s">
        <v>2362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5" t="n">
        <v>46233</v>
      </c>
      <c r="C5773" s="1" t="n">
        <v>11</v>
      </c>
      <c r="D5773" s="1" t="s">
        <v>2290</v>
      </c>
      <c r="E5773" s="1" t="n">
        <v>1734</v>
      </c>
      <c r="F5773" s="1" t="s">
        <v>125</v>
      </c>
      <c r="I5773" s="1" t="n">
        <v>256208</v>
      </c>
      <c r="J5773" s="1" t="n">
        <v>38208</v>
      </c>
      <c r="K5773" s="1" t="n">
        <v>7898055452126</v>
      </c>
      <c r="L5773" s="1" t="s">
        <v>2699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5" t="n">
        <v>46233</v>
      </c>
      <c r="C5774" s="1" t="n">
        <v>11</v>
      </c>
      <c r="D5774" s="1" t="s">
        <v>2290</v>
      </c>
      <c r="E5774" s="1" t="n">
        <v>1734</v>
      </c>
      <c r="F5774" s="1" t="s">
        <v>125</v>
      </c>
      <c r="I5774" s="1" t="n">
        <v>256208</v>
      </c>
      <c r="J5774" s="1" t="n">
        <v>38209</v>
      </c>
      <c r="K5774" s="1" t="n">
        <v>7898055451761</v>
      </c>
      <c r="L5774" s="1" t="s">
        <v>2381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5" t="n">
        <v>46233</v>
      </c>
      <c r="C5775" s="1" t="n">
        <v>11</v>
      </c>
      <c r="D5775" s="1" t="s">
        <v>2290</v>
      </c>
      <c r="E5775" s="1" t="n">
        <v>1734</v>
      </c>
      <c r="F5775" s="1" t="s">
        <v>125</v>
      </c>
      <c r="I5775" s="1" t="n">
        <v>256208</v>
      </c>
      <c r="J5775" s="1" t="n">
        <v>38210</v>
      </c>
      <c r="K5775" s="1" t="n">
        <v>7898055452119</v>
      </c>
      <c r="L5775" s="1" t="s">
        <v>2700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5" t="n">
        <v>46233</v>
      </c>
      <c r="C5776" s="1" t="n">
        <v>11</v>
      </c>
      <c r="D5776" s="1" t="s">
        <v>2290</v>
      </c>
      <c r="E5776" s="1" t="n">
        <v>1734</v>
      </c>
      <c r="F5776" s="1" t="s">
        <v>125</v>
      </c>
      <c r="I5776" s="1" t="n">
        <v>256208</v>
      </c>
      <c r="J5776" s="1" t="n">
        <v>38213</v>
      </c>
      <c r="K5776" s="1" t="n">
        <v>7898055450023</v>
      </c>
      <c r="L5776" s="1" t="s">
        <v>2382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5" t="n">
        <v>46233</v>
      </c>
      <c r="C5777" s="1" t="n">
        <v>11</v>
      </c>
      <c r="D5777" s="1" t="s">
        <v>2290</v>
      </c>
      <c r="E5777" s="1" t="n">
        <v>1734</v>
      </c>
      <c r="F5777" s="1" t="s">
        <v>125</v>
      </c>
      <c r="I5777" s="1" t="n">
        <v>256208</v>
      </c>
      <c r="J5777" s="1" t="n">
        <v>38214</v>
      </c>
      <c r="K5777" s="1" t="n">
        <v>7898055452249</v>
      </c>
      <c r="L5777" s="1" t="s">
        <v>2702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5" t="n">
        <v>46233</v>
      </c>
      <c r="C5778" s="1" t="n">
        <v>11</v>
      </c>
      <c r="D5778" s="1" t="s">
        <v>2290</v>
      </c>
      <c r="E5778" s="1" t="n">
        <v>1734</v>
      </c>
      <c r="F5778" s="1" t="s">
        <v>125</v>
      </c>
      <c r="I5778" s="1" t="n">
        <v>256208</v>
      </c>
      <c r="J5778" s="1" t="n">
        <v>38216</v>
      </c>
      <c r="K5778" s="1" t="n">
        <v>7898055454281</v>
      </c>
      <c r="L5778" s="1" t="s">
        <v>2703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5" t="n">
        <v>46233</v>
      </c>
      <c r="C5779" s="1" t="n">
        <v>11</v>
      </c>
      <c r="D5779" s="1" t="s">
        <v>2290</v>
      </c>
      <c r="E5779" s="1" t="n">
        <v>1734</v>
      </c>
      <c r="F5779" s="1" t="s">
        <v>125</v>
      </c>
      <c r="I5779" s="1" t="n">
        <v>256208</v>
      </c>
      <c r="J5779" s="1" t="n">
        <v>38218</v>
      </c>
      <c r="K5779" s="1" t="n">
        <v>7898055454298</v>
      </c>
      <c r="L5779" s="1" t="s">
        <v>4002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5" t="n">
        <v>46233</v>
      </c>
      <c r="C5780" s="1" t="n">
        <v>11</v>
      </c>
      <c r="D5780" s="1" t="s">
        <v>2290</v>
      </c>
      <c r="E5780" s="1" t="n">
        <v>1734</v>
      </c>
      <c r="F5780" s="1" t="s">
        <v>125</v>
      </c>
      <c r="I5780" s="1" t="n">
        <v>256208</v>
      </c>
      <c r="J5780" s="1" t="n">
        <v>38220</v>
      </c>
      <c r="K5780" s="1" t="n">
        <v>7898055452355</v>
      </c>
      <c r="L5780" s="1" t="s">
        <v>2382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5" t="n">
        <v>46233</v>
      </c>
      <c r="C5781" s="1" t="n">
        <v>11</v>
      </c>
      <c r="D5781" s="1" t="s">
        <v>2290</v>
      </c>
      <c r="E5781" s="1" t="n">
        <v>1734</v>
      </c>
      <c r="F5781" s="1" t="s">
        <v>125</v>
      </c>
      <c r="I5781" s="1" t="n">
        <v>256208</v>
      </c>
      <c r="J5781" s="1" t="n">
        <v>38221</v>
      </c>
      <c r="K5781" s="1" t="n">
        <v>7898055452102</v>
      </c>
      <c r="L5781" s="1" t="s">
        <v>2704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5" t="n">
        <v>46233</v>
      </c>
      <c r="C5782" s="1" t="n">
        <v>11</v>
      </c>
      <c r="D5782" s="1" t="s">
        <v>2290</v>
      </c>
      <c r="E5782" s="1" t="n">
        <v>1734</v>
      </c>
      <c r="F5782" s="1" t="s">
        <v>125</v>
      </c>
      <c r="I5782" s="1" t="n">
        <v>256208</v>
      </c>
      <c r="J5782" s="1" t="n">
        <v>39252</v>
      </c>
      <c r="K5782" s="1" t="n">
        <v>7898055450993</v>
      </c>
      <c r="L5782" s="1" t="s">
        <v>2705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5" t="n">
        <v>46233</v>
      </c>
      <c r="C5783" s="1" t="n">
        <v>11</v>
      </c>
      <c r="D5783" s="1" t="s">
        <v>2290</v>
      </c>
      <c r="E5783" s="1" t="n">
        <v>1734</v>
      </c>
      <c r="F5783" s="1" t="s">
        <v>125</v>
      </c>
      <c r="I5783" s="1" t="n">
        <v>256208</v>
      </c>
      <c r="J5783" s="1" t="n">
        <v>39443</v>
      </c>
      <c r="K5783" s="1" t="n">
        <v>7898055451648</v>
      </c>
      <c r="L5783" s="1" t="s">
        <v>3233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5" t="n">
        <v>46233</v>
      </c>
      <c r="C5784" s="1" t="n">
        <v>11</v>
      </c>
      <c r="D5784" s="1" t="s">
        <v>2290</v>
      </c>
      <c r="E5784" s="1" t="n">
        <v>1734</v>
      </c>
      <c r="F5784" s="1" t="s">
        <v>125</v>
      </c>
      <c r="I5784" s="1" t="n">
        <v>256208</v>
      </c>
      <c r="J5784" s="1" t="n">
        <v>39450</v>
      </c>
      <c r="K5784" s="1" t="n">
        <v>7898055450030</v>
      </c>
      <c r="L5784" s="1" t="s">
        <v>2707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5" t="n">
        <v>46233</v>
      </c>
      <c r="C5785" s="1" t="n">
        <v>11</v>
      </c>
      <c r="D5785" s="1" t="s">
        <v>2290</v>
      </c>
      <c r="E5785" s="1" t="n">
        <v>1734</v>
      </c>
      <c r="F5785" s="1" t="s">
        <v>125</v>
      </c>
      <c r="I5785" s="1" t="n">
        <v>256208</v>
      </c>
      <c r="J5785" s="1" t="n">
        <v>40840</v>
      </c>
      <c r="K5785" s="1" t="n">
        <v>7898055451655</v>
      </c>
      <c r="L5785" s="1" t="s">
        <v>3235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5" t="n">
        <v>46233</v>
      </c>
      <c r="C5786" s="1" t="n">
        <v>11</v>
      </c>
      <c r="D5786" s="1" t="s">
        <v>2290</v>
      </c>
      <c r="E5786" s="1" t="n">
        <v>1734</v>
      </c>
      <c r="F5786" s="1" t="s">
        <v>125</v>
      </c>
      <c r="I5786" s="1" t="n">
        <v>256208</v>
      </c>
      <c r="J5786" s="1" t="n">
        <v>56815</v>
      </c>
      <c r="K5786" s="1" t="n">
        <v>7898055455165</v>
      </c>
      <c r="L5786" s="1" t="s">
        <v>2387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5" t="n">
        <v>46233</v>
      </c>
      <c r="C5787" s="1" t="n">
        <v>11</v>
      </c>
      <c r="D5787" s="1" t="s">
        <v>2290</v>
      </c>
      <c r="E5787" s="1" t="n">
        <v>1734</v>
      </c>
      <c r="F5787" s="1" t="s">
        <v>125</v>
      </c>
      <c r="I5787" s="1" t="n">
        <v>256208</v>
      </c>
      <c r="J5787" s="1" t="n">
        <v>57021</v>
      </c>
      <c r="K5787" s="1" t="n">
        <v>7898055455189</v>
      </c>
      <c r="L5787" s="1" t="s">
        <v>2388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5" t="n">
        <v>46233</v>
      </c>
      <c r="C5788" s="1" t="n">
        <v>11</v>
      </c>
      <c r="D5788" s="1" t="s">
        <v>2290</v>
      </c>
      <c r="E5788" s="1" t="n">
        <v>1734</v>
      </c>
      <c r="F5788" s="1" t="s">
        <v>125</v>
      </c>
      <c r="I5788" s="1" t="n">
        <v>256208</v>
      </c>
      <c r="J5788" s="1" t="n">
        <v>78071</v>
      </c>
      <c r="K5788" s="1" t="n">
        <v>7898055455622</v>
      </c>
      <c r="L5788" s="1" t="s">
        <v>2389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5" t="n">
        <v>46233</v>
      </c>
      <c r="C5789" s="1" t="n">
        <v>11</v>
      </c>
      <c r="D5789" s="1" t="s">
        <v>2290</v>
      </c>
      <c r="E5789" s="1" t="n">
        <v>1718</v>
      </c>
      <c r="F5789" s="1" t="s">
        <v>408</v>
      </c>
      <c r="I5789" s="1" t="n">
        <v>685877</v>
      </c>
      <c r="J5789" s="1" t="n">
        <v>102980</v>
      </c>
      <c r="K5789" s="1" t="n">
        <v>7895800201503</v>
      </c>
      <c r="L5789" s="1" t="s">
        <v>4327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5" t="n">
        <v>46233</v>
      </c>
      <c r="C5790" s="1" t="n">
        <v>11</v>
      </c>
      <c r="D5790" s="1" t="s">
        <v>2290</v>
      </c>
      <c r="E5790" s="1" t="n">
        <v>1718</v>
      </c>
      <c r="F5790" s="1" t="s">
        <v>408</v>
      </c>
      <c r="I5790" s="1" t="n">
        <v>685877</v>
      </c>
      <c r="J5790" s="1" t="n">
        <v>26009</v>
      </c>
      <c r="K5790" s="1" t="n">
        <v>7622210661661</v>
      </c>
      <c r="L5790" s="1" t="s">
        <v>2399</v>
      </c>
      <c r="N5790" s="1" t="n">
        <v>12</v>
      </c>
      <c r="O5790" s="1" t="n">
        <v>60.24</v>
      </c>
    </row>
    <row r="5791" customFormat="false" ht="15" hidden="false" customHeight="true" outlineLevel="0" collapsed="false">
      <c r="A5791" s="1" t="n">
        <v>3</v>
      </c>
      <c r="B5791" s="15" t="n">
        <v>46233</v>
      </c>
      <c r="C5791" s="1" t="n">
        <v>11</v>
      </c>
      <c r="D5791" s="1" t="s">
        <v>2290</v>
      </c>
      <c r="E5791" s="1" t="n">
        <v>1718</v>
      </c>
      <c r="F5791" s="1" t="s">
        <v>408</v>
      </c>
      <c r="I5791" s="1" t="n">
        <v>685877</v>
      </c>
      <c r="J5791" s="1" t="n">
        <v>16772</v>
      </c>
      <c r="K5791" s="1" t="n">
        <v>7895800309780</v>
      </c>
      <c r="L5791" s="1" t="s">
        <v>4328</v>
      </c>
      <c r="N5791" s="1" t="n">
        <v>21</v>
      </c>
      <c r="O5791" s="1" t="n">
        <v>37.99</v>
      </c>
    </row>
    <row r="5792" customFormat="false" ht="15" hidden="false" customHeight="true" outlineLevel="0" collapsed="false">
      <c r="A5792" s="1" t="n">
        <v>3</v>
      </c>
      <c r="B5792" s="15" t="n">
        <v>46233</v>
      </c>
      <c r="C5792" s="1" t="n">
        <v>11</v>
      </c>
      <c r="D5792" s="1" t="s">
        <v>2290</v>
      </c>
      <c r="E5792" s="1" t="n">
        <v>1718</v>
      </c>
      <c r="F5792" s="1" t="s">
        <v>408</v>
      </c>
      <c r="I5792" s="1" t="n">
        <v>685877</v>
      </c>
      <c r="J5792" s="1" t="n">
        <v>16778</v>
      </c>
      <c r="K5792" s="1" t="n">
        <v>7895800304228</v>
      </c>
      <c r="L5792" s="1" t="s">
        <v>4329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5" t="n">
        <v>46233</v>
      </c>
      <c r="C5793" s="1" t="n">
        <v>11</v>
      </c>
      <c r="D5793" s="1" t="s">
        <v>2290</v>
      </c>
      <c r="E5793" s="1" t="n">
        <v>1718</v>
      </c>
      <c r="F5793" s="1" t="s">
        <v>408</v>
      </c>
      <c r="I5793" s="1" t="n">
        <v>685877</v>
      </c>
      <c r="J5793" s="1" t="n">
        <v>16776</v>
      </c>
      <c r="K5793" s="1" t="n">
        <v>7895800304211</v>
      </c>
      <c r="L5793" s="1" t="s">
        <v>4330</v>
      </c>
      <c r="N5793" s="1" t="n">
        <v>42</v>
      </c>
      <c r="O5793" s="1" t="n">
        <v>75.98</v>
      </c>
    </row>
    <row r="5794" customFormat="false" ht="15" hidden="false" customHeight="true" outlineLevel="0" collapsed="false">
      <c r="A5794" s="1" t="n">
        <v>3</v>
      </c>
      <c r="B5794" s="15" t="n">
        <v>46233</v>
      </c>
      <c r="C5794" s="1" t="n">
        <v>11</v>
      </c>
      <c r="D5794" s="1" t="s">
        <v>2290</v>
      </c>
      <c r="E5794" s="1" t="n">
        <v>1718</v>
      </c>
      <c r="F5794" s="1" t="s">
        <v>408</v>
      </c>
      <c r="I5794" s="1" t="n">
        <v>685877</v>
      </c>
      <c r="J5794" s="1" t="n">
        <v>21274</v>
      </c>
      <c r="K5794" s="1" t="n">
        <v>7622300830083</v>
      </c>
      <c r="L5794" s="1" t="s">
        <v>4331</v>
      </c>
      <c r="N5794" s="1" t="n">
        <v>16</v>
      </c>
      <c r="O5794" s="1" t="n">
        <v>27.54</v>
      </c>
    </row>
    <row r="5795" customFormat="false" ht="15" hidden="false" customHeight="true" outlineLevel="0" collapsed="false">
      <c r="A5795" s="1" t="n">
        <v>3</v>
      </c>
      <c r="B5795" s="15" t="n">
        <v>46233</v>
      </c>
      <c r="C5795" s="1" t="n">
        <v>11</v>
      </c>
      <c r="D5795" s="1" t="s">
        <v>2290</v>
      </c>
      <c r="E5795" s="1" t="n">
        <v>1718</v>
      </c>
      <c r="F5795" s="1" t="s">
        <v>408</v>
      </c>
      <c r="I5795" s="1" t="n">
        <v>685877</v>
      </c>
      <c r="J5795" s="1" t="n">
        <v>21275</v>
      </c>
      <c r="K5795" s="1" t="n">
        <v>7622300830151</v>
      </c>
      <c r="L5795" s="1" t="s">
        <v>2400</v>
      </c>
      <c r="N5795" s="1" t="n">
        <v>48</v>
      </c>
      <c r="O5795" s="1" t="n">
        <v>168.96</v>
      </c>
    </row>
    <row r="5796" customFormat="false" ht="15" hidden="false" customHeight="true" outlineLevel="0" collapsed="false">
      <c r="A5796" s="1" t="n">
        <v>3</v>
      </c>
      <c r="B5796" s="15" t="n">
        <v>46233</v>
      </c>
      <c r="C5796" s="1" t="n">
        <v>11</v>
      </c>
      <c r="D5796" s="1" t="s">
        <v>2290</v>
      </c>
      <c r="E5796" s="1" t="n">
        <v>1718</v>
      </c>
      <c r="F5796" s="1" t="s">
        <v>408</v>
      </c>
      <c r="I5796" s="1" t="n">
        <v>685877</v>
      </c>
      <c r="J5796" s="1" t="n">
        <v>22427</v>
      </c>
      <c r="K5796" s="1" t="n">
        <v>7622300873455</v>
      </c>
      <c r="L5796" s="1" t="s">
        <v>4332</v>
      </c>
      <c r="N5796" s="1" t="n">
        <v>16</v>
      </c>
      <c r="O5796" s="1" t="n">
        <v>27.54</v>
      </c>
    </row>
    <row r="5797" customFormat="false" ht="15" hidden="false" customHeight="true" outlineLevel="0" collapsed="false">
      <c r="A5797" s="1" t="n">
        <v>3</v>
      </c>
      <c r="B5797" s="15" t="n">
        <v>46233</v>
      </c>
      <c r="C5797" s="1" t="n">
        <v>11</v>
      </c>
      <c r="D5797" s="1" t="s">
        <v>2290</v>
      </c>
      <c r="E5797" s="1" t="n">
        <v>1718</v>
      </c>
      <c r="F5797" s="1" t="s">
        <v>408</v>
      </c>
      <c r="I5797" s="1" t="n">
        <v>685877</v>
      </c>
      <c r="J5797" s="1" t="n">
        <v>22869</v>
      </c>
      <c r="K5797" s="1" t="n">
        <v>7622300873554</v>
      </c>
      <c r="L5797" s="1" t="s">
        <v>2401</v>
      </c>
      <c r="N5797" s="1" t="n">
        <v>24</v>
      </c>
      <c r="O5797" s="1" t="n">
        <v>84.48</v>
      </c>
    </row>
    <row r="5798" customFormat="false" ht="15" hidden="false" customHeight="true" outlineLevel="0" collapsed="false">
      <c r="A5798" s="1" t="n">
        <v>3</v>
      </c>
      <c r="B5798" s="15" t="n">
        <v>46233</v>
      </c>
      <c r="C5798" s="1" t="n">
        <v>11</v>
      </c>
      <c r="D5798" s="1" t="s">
        <v>2290</v>
      </c>
      <c r="E5798" s="1" t="n">
        <v>1718</v>
      </c>
      <c r="F5798" s="1" t="s">
        <v>408</v>
      </c>
      <c r="I5798" s="1" t="n">
        <v>685877</v>
      </c>
      <c r="J5798" s="1" t="n">
        <v>23714</v>
      </c>
      <c r="K5798" s="1" t="n">
        <v>7622300988470</v>
      </c>
      <c r="L5798" s="1" t="s">
        <v>2402</v>
      </c>
      <c r="N5798" s="1" t="n">
        <v>24</v>
      </c>
      <c r="O5798" s="1" t="n">
        <v>93</v>
      </c>
    </row>
    <row r="5799" customFormat="false" ht="15" hidden="false" customHeight="true" outlineLevel="0" collapsed="false">
      <c r="A5799" s="1" t="n">
        <v>3</v>
      </c>
      <c r="B5799" s="15" t="n">
        <v>46233</v>
      </c>
      <c r="C5799" s="1" t="n">
        <v>11</v>
      </c>
      <c r="D5799" s="1" t="s">
        <v>2290</v>
      </c>
      <c r="E5799" s="1" t="n">
        <v>1718</v>
      </c>
      <c r="F5799" s="1" t="s">
        <v>408</v>
      </c>
      <c r="I5799" s="1" t="n">
        <v>685877</v>
      </c>
      <c r="J5799" s="1" t="n">
        <v>24049</v>
      </c>
      <c r="K5799" s="1" t="n">
        <v>7622300990701</v>
      </c>
      <c r="L5799" s="1" t="s">
        <v>2403</v>
      </c>
      <c r="N5799" s="1" t="n">
        <v>24</v>
      </c>
      <c r="O5799" s="1" t="n">
        <v>120.48</v>
      </c>
    </row>
    <row r="5800" customFormat="false" ht="15" hidden="false" customHeight="true" outlineLevel="0" collapsed="false">
      <c r="A5800" s="1" t="n">
        <v>3</v>
      </c>
      <c r="B5800" s="15" t="n">
        <v>46233</v>
      </c>
      <c r="C5800" s="1" t="n">
        <v>11</v>
      </c>
      <c r="D5800" s="1" t="s">
        <v>2290</v>
      </c>
      <c r="E5800" s="1" t="n">
        <v>1718</v>
      </c>
      <c r="F5800" s="1" t="s">
        <v>408</v>
      </c>
      <c r="I5800" s="1" t="n">
        <v>685877</v>
      </c>
      <c r="J5800" s="1" t="n">
        <v>24066</v>
      </c>
      <c r="K5800" s="1" t="n">
        <v>7622300989408</v>
      </c>
      <c r="L5800" s="1" t="s">
        <v>2404</v>
      </c>
      <c r="N5800" s="1" t="n">
        <v>24</v>
      </c>
      <c r="O5800" s="1" t="n">
        <v>84.48</v>
      </c>
    </row>
    <row r="5801" customFormat="false" ht="15" hidden="false" customHeight="true" outlineLevel="0" collapsed="false">
      <c r="A5801" s="1" t="n">
        <v>3</v>
      </c>
      <c r="B5801" s="15" t="n">
        <v>46233</v>
      </c>
      <c r="C5801" s="1" t="n">
        <v>11</v>
      </c>
      <c r="D5801" s="1" t="s">
        <v>2290</v>
      </c>
      <c r="E5801" s="1" t="n">
        <v>1718</v>
      </c>
      <c r="F5801" s="1" t="s">
        <v>408</v>
      </c>
      <c r="I5801" s="1" t="n">
        <v>685877</v>
      </c>
      <c r="J5801" s="1" t="n">
        <v>24226</v>
      </c>
      <c r="K5801" s="1" t="n">
        <v>7622210641632</v>
      </c>
      <c r="L5801" s="1" t="s">
        <v>2403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5" t="n">
        <v>46233</v>
      </c>
      <c r="C5802" s="1" t="n">
        <v>11</v>
      </c>
      <c r="D5802" s="1" t="s">
        <v>2290</v>
      </c>
      <c r="E5802" s="1" t="n">
        <v>1718</v>
      </c>
      <c r="F5802" s="1" t="s">
        <v>408</v>
      </c>
      <c r="I5802" s="1" t="n">
        <v>685877</v>
      </c>
      <c r="J5802" s="1" t="n">
        <v>24231</v>
      </c>
      <c r="K5802" s="1" t="n">
        <v>7622210641151</v>
      </c>
      <c r="L5802" s="1" t="s">
        <v>4333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5" t="n">
        <v>46233</v>
      </c>
      <c r="C5803" s="1" t="n">
        <v>11</v>
      </c>
      <c r="D5803" s="1" t="s">
        <v>2290</v>
      </c>
      <c r="E5803" s="1" t="n">
        <v>1718</v>
      </c>
      <c r="F5803" s="1" t="s">
        <v>408</v>
      </c>
      <c r="I5803" s="1" t="n">
        <v>685877</v>
      </c>
      <c r="J5803" s="1" t="n">
        <v>24526</v>
      </c>
      <c r="K5803" s="1" t="n">
        <v>7622210644534</v>
      </c>
      <c r="L5803" s="1" t="s">
        <v>2405</v>
      </c>
      <c r="N5803" s="1" t="n">
        <v>10</v>
      </c>
      <c r="O5803" s="1" t="n">
        <v>50.2</v>
      </c>
    </row>
    <row r="5804" customFormat="false" ht="15" hidden="false" customHeight="true" outlineLevel="0" collapsed="false">
      <c r="A5804" s="1" t="n">
        <v>3</v>
      </c>
      <c r="B5804" s="15" t="n">
        <v>46233</v>
      </c>
      <c r="C5804" s="1" t="n">
        <v>11</v>
      </c>
      <c r="D5804" s="1" t="s">
        <v>2290</v>
      </c>
      <c r="E5804" s="1" t="n">
        <v>1718</v>
      </c>
      <c r="F5804" s="1" t="s">
        <v>408</v>
      </c>
      <c r="I5804" s="1" t="n">
        <v>685877</v>
      </c>
      <c r="J5804" s="1" t="n">
        <v>25387</v>
      </c>
      <c r="K5804" s="1" t="n">
        <v>7622210411501</v>
      </c>
      <c r="L5804" s="1" t="s">
        <v>2406</v>
      </c>
      <c r="N5804" s="1" t="n">
        <v>18</v>
      </c>
      <c r="O5804" s="1" t="n">
        <v>63.5</v>
      </c>
    </row>
    <row r="5805" customFormat="false" ht="15" hidden="false" customHeight="true" outlineLevel="0" collapsed="false">
      <c r="A5805" s="1" t="n">
        <v>3</v>
      </c>
      <c r="B5805" s="15" t="n">
        <v>46233</v>
      </c>
      <c r="C5805" s="1" t="n">
        <v>11</v>
      </c>
      <c r="D5805" s="1" t="s">
        <v>2290</v>
      </c>
      <c r="E5805" s="1" t="n">
        <v>1718</v>
      </c>
      <c r="F5805" s="1" t="s">
        <v>408</v>
      </c>
      <c r="I5805" s="1" t="n">
        <v>685877</v>
      </c>
      <c r="J5805" s="1" t="n">
        <v>25460</v>
      </c>
      <c r="K5805" s="1" t="n">
        <v>7622210661609</v>
      </c>
      <c r="L5805" s="1" t="s">
        <v>2407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5" t="n">
        <v>46233</v>
      </c>
      <c r="C5806" s="1" t="n">
        <v>11</v>
      </c>
      <c r="D5806" s="1" t="s">
        <v>2290</v>
      </c>
      <c r="E5806" s="1" t="n">
        <v>1718</v>
      </c>
      <c r="F5806" s="1" t="s">
        <v>408</v>
      </c>
      <c r="I5806" s="1" t="n">
        <v>685877</v>
      </c>
      <c r="J5806" s="1" t="n">
        <v>28595</v>
      </c>
      <c r="K5806" s="1" t="n">
        <v>78939318</v>
      </c>
      <c r="L5806" s="1" t="s">
        <v>2408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5" t="n">
        <v>46233</v>
      </c>
      <c r="C5807" s="1" t="n">
        <v>11</v>
      </c>
      <c r="D5807" s="1" t="s">
        <v>2290</v>
      </c>
      <c r="E5807" s="1" t="n">
        <v>1718</v>
      </c>
      <c r="F5807" s="1" t="s">
        <v>408</v>
      </c>
      <c r="I5807" s="1" t="n">
        <v>685877</v>
      </c>
      <c r="J5807" s="1" t="n">
        <v>29150</v>
      </c>
      <c r="K5807" s="1" t="n">
        <v>78938816</v>
      </c>
      <c r="L5807" s="1" t="s">
        <v>2546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5" t="n">
        <v>46233</v>
      </c>
      <c r="C5808" s="1" t="n">
        <v>11</v>
      </c>
      <c r="D5808" s="1" t="s">
        <v>2290</v>
      </c>
      <c r="E5808" s="1" t="n">
        <v>1718</v>
      </c>
      <c r="F5808" s="1" t="s">
        <v>408</v>
      </c>
      <c r="I5808" s="1" t="n">
        <v>685877</v>
      </c>
      <c r="J5808" s="1" t="n">
        <v>29151</v>
      </c>
      <c r="K5808" s="1" t="n">
        <v>78938823</v>
      </c>
      <c r="L5808" s="1" t="s">
        <v>4334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5" t="n">
        <v>46233</v>
      </c>
      <c r="C5809" s="1" t="n">
        <v>11</v>
      </c>
      <c r="D5809" s="1" t="s">
        <v>2290</v>
      </c>
      <c r="E5809" s="1" t="n">
        <v>1718</v>
      </c>
      <c r="F5809" s="1" t="s">
        <v>408</v>
      </c>
      <c r="I5809" s="1" t="n">
        <v>685877</v>
      </c>
      <c r="J5809" s="1" t="n">
        <v>29152</v>
      </c>
      <c r="K5809" s="1" t="n">
        <v>78938847</v>
      </c>
      <c r="L5809" s="1" t="s">
        <v>4335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5" t="n">
        <v>46233</v>
      </c>
      <c r="C5810" s="1" t="n">
        <v>11</v>
      </c>
      <c r="D5810" s="1" t="s">
        <v>2290</v>
      </c>
      <c r="E5810" s="1" t="n">
        <v>1718</v>
      </c>
      <c r="F5810" s="1" t="s">
        <v>408</v>
      </c>
      <c r="I5810" s="1" t="n">
        <v>685877</v>
      </c>
      <c r="J5810" s="1" t="n">
        <v>36309</v>
      </c>
      <c r="K5810" s="1" t="n">
        <v>78938830</v>
      </c>
      <c r="L5810" s="1" t="s">
        <v>4336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5" t="n">
        <v>46233</v>
      </c>
      <c r="C5811" s="1" t="n">
        <v>11</v>
      </c>
      <c r="D5811" s="1" t="s">
        <v>2290</v>
      </c>
      <c r="E5811" s="1" t="n">
        <v>1718</v>
      </c>
      <c r="F5811" s="1" t="s">
        <v>408</v>
      </c>
      <c r="I5811" s="1" t="n">
        <v>685877</v>
      </c>
      <c r="J5811" s="1" t="n">
        <v>37772</v>
      </c>
      <c r="K5811" s="1" t="n">
        <v>78939301</v>
      </c>
      <c r="L5811" s="1" t="s">
        <v>2409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5" t="n">
        <v>46233</v>
      </c>
      <c r="C5812" s="1" t="n">
        <v>11</v>
      </c>
      <c r="D5812" s="1" t="s">
        <v>2290</v>
      </c>
      <c r="E5812" s="1" t="n">
        <v>1718</v>
      </c>
      <c r="F5812" s="1" t="s">
        <v>408</v>
      </c>
      <c r="I5812" s="1" t="n">
        <v>685877</v>
      </c>
      <c r="J5812" s="1" t="n">
        <v>38441</v>
      </c>
      <c r="K5812" s="1" t="n">
        <v>7622210566409</v>
      </c>
      <c r="L5812" s="1" t="s">
        <v>2410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5" t="n">
        <v>46233</v>
      </c>
      <c r="C5813" s="1" t="n">
        <v>11</v>
      </c>
      <c r="D5813" s="1" t="s">
        <v>2290</v>
      </c>
      <c r="E5813" s="1" t="n">
        <v>1718</v>
      </c>
      <c r="F5813" s="1" t="s">
        <v>408</v>
      </c>
      <c r="I5813" s="1" t="n">
        <v>685877</v>
      </c>
      <c r="J5813" s="1" t="n">
        <v>38564</v>
      </c>
      <c r="K5813" s="1" t="n">
        <v>7622210564290</v>
      </c>
      <c r="L5813" s="1" t="s">
        <v>4337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5" t="n">
        <v>46233</v>
      </c>
      <c r="C5814" s="1" t="n">
        <v>11</v>
      </c>
      <c r="D5814" s="1" t="s">
        <v>2290</v>
      </c>
      <c r="E5814" s="1" t="n">
        <v>1718</v>
      </c>
      <c r="F5814" s="1" t="s">
        <v>408</v>
      </c>
      <c r="I5814" s="1" t="n">
        <v>685877</v>
      </c>
      <c r="J5814" s="1" t="n">
        <v>39155</v>
      </c>
      <c r="K5814" s="1" t="n">
        <v>7622210933454</v>
      </c>
      <c r="L5814" s="1" t="s">
        <v>2411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5" t="n">
        <v>46233</v>
      </c>
      <c r="C5815" s="1" t="n">
        <v>11</v>
      </c>
      <c r="D5815" s="1" t="s">
        <v>2290</v>
      </c>
      <c r="E5815" s="1" t="n">
        <v>1718</v>
      </c>
      <c r="F5815" s="1" t="s">
        <v>408</v>
      </c>
      <c r="I5815" s="1" t="n">
        <v>685877</v>
      </c>
      <c r="J5815" s="1" t="n">
        <v>45647</v>
      </c>
      <c r="K5815" s="1" t="n">
        <v>7622210566331</v>
      </c>
      <c r="L5815" s="1" t="s">
        <v>2412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5" t="n">
        <v>46233</v>
      </c>
      <c r="C5816" s="1" t="n">
        <v>11</v>
      </c>
      <c r="D5816" s="1" t="s">
        <v>2290</v>
      </c>
      <c r="E5816" s="1" t="n">
        <v>1718</v>
      </c>
      <c r="F5816" s="1" t="s">
        <v>408</v>
      </c>
      <c r="I5816" s="1" t="n">
        <v>685877</v>
      </c>
      <c r="J5816" s="1" t="n">
        <v>52731</v>
      </c>
      <c r="K5816" s="1" t="n">
        <v>7622210674050</v>
      </c>
      <c r="L5816" s="1" t="s">
        <v>2413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5" t="n">
        <v>46233</v>
      </c>
      <c r="C5817" s="1" t="n">
        <v>11</v>
      </c>
      <c r="D5817" s="1" t="s">
        <v>2290</v>
      </c>
      <c r="E5817" s="1" t="n">
        <v>1718</v>
      </c>
      <c r="F5817" s="1" t="s">
        <v>408</v>
      </c>
      <c r="I5817" s="1" t="n">
        <v>685877</v>
      </c>
      <c r="J5817" s="1" t="n">
        <v>52732</v>
      </c>
      <c r="K5817" s="1" t="n">
        <v>7622210673831</v>
      </c>
      <c r="L5817" s="1" t="s">
        <v>2414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5" t="n">
        <v>46233</v>
      </c>
      <c r="C5818" s="1" t="n">
        <v>11</v>
      </c>
      <c r="D5818" s="1" t="s">
        <v>2290</v>
      </c>
      <c r="E5818" s="1" t="n">
        <v>1718</v>
      </c>
      <c r="F5818" s="1" t="s">
        <v>408</v>
      </c>
      <c r="I5818" s="1" t="n">
        <v>685877</v>
      </c>
      <c r="J5818" s="1" t="n">
        <v>53290</v>
      </c>
      <c r="K5818" s="1" t="n">
        <v>7622210674319</v>
      </c>
      <c r="L5818" s="1" t="s">
        <v>2416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5" t="n">
        <v>46233</v>
      </c>
      <c r="C5819" s="1" t="n">
        <v>11</v>
      </c>
      <c r="D5819" s="1" t="s">
        <v>2290</v>
      </c>
      <c r="E5819" s="1" t="n">
        <v>1718</v>
      </c>
      <c r="F5819" s="1" t="s">
        <v>408</v>
      </c>
      <c r="I5819" s="1" t="n">
        <v>685877</v>
      </c>
      <c r="J5819" s="1" t="n">
        <v>54107</v>
      </c>
      <c r="K5819" s="1" t="n">
        <v>7622210674432</v>
      </c>
      <c r="L5819" s="1" t="s">
        <v>4338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5" t="n">
        <v>46233</v>
      </c>
      <c r="C5820" s="1" t="n">
        <v>11</v>
      </c>
      <c r="D5820" s="1" t="s">
        <v>2290</v>
      </c>
      <c r="E5820" s="1" t="n">
        <v>1718</v>
      </c>
      <c r="F5820" s="1" t="s">
        <v>408</v>
      </c>
      <c r="I5820" s="1" t="n">
        <v>685877</v>
      </c>
      <c r="J5820" s="1" t="n">
        <v>71600</v>
      </c>
      <c r="K5820" s="1" t="n">
        <v>7622210534576</v>
      </c>
      <c r="L5820" s="1" t="s">
        <v>2417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5" t="n">
        <v>46233</v>
      </c>
      <c r="C5821" s="1" t="n">
        <v>11</v>
      </c>
      <c r="D5821" s="1" t="s">
        <v>2290</v>
      </c>
      <c r="E5821" s="1" t="n">
        <v>1718</v>
      </c>
      <c r="F5821" s="1" t="s">
        <v>408</v>
      </c>
      <c r="I5821" s="1" t="n">
        <v>685877</v>
      </c>
      <c r="J5821" s="1" t="n">
        <v>72980</v>
      </c>
      <c r="K5821" s="1" t="n">
        <v>7622202280665</v>
      </c>
      <c r="L5821" s="1" t="s">
        <v>4339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5" t="n">
        <v>46233</v>
      </c>
      <c r="C5822" s="1" t="n">
        <v>11</v>
      </c>
      <c r="D5822" s="1" t="s">
        <v>2290</v>
      </c>
      <c r="E5822" s="1" t="n">
        <v>1718</v>
      </c>
      <c r="F5822" s="1" t="s">
        <v>408</v>
      </c>
      <c r="I5822" s="1" t="n">
        <v>685877</v>
      </c>
      <c r="J5822" s="1" t="n">
        <v>72983</v>
      </c>
      <c r="K5822" s="1" t="n">
        <v>7622202280689</v>
      </c>
      <c r="L5822" s="1" t="s">
        <v>4340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5" t="n">
        <v>46233</v>
      </c>
      <c r="C5823" s="1" t="n">
        <v>11</v>
      </c>
      <c r="D5823" s="1" t="s">
        <v>2290</v>
      </c>
      <c r="E5823" s="1" t="n">
        <v>1718</v>
      </c>
      <c r="F5823" s="1" t="s">
        <v>408</v>
      </c>
      <c r="I5823" s="1" t="n">
        <v>685877</v>
      </c>
      <c r="J5823" s="1" t="n">
        <v>75083</v>
      </c>
      <c r="K5823" s="1" t="n">
        <v>7622202256691</v>
      </c>
      <c r="L5823" s="1" t="s">
        <v>2418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5" t="n">
        <v>46233</v>
      </c>
      <c r="C5824" s="1" t="n">
        <v>11</v>
      </c>
      <c r="D5824" s="1" t="s">
        <v>2290</v>
      </c>
      <c r="E5824" s="1" t="n">
        <v>1718</v>
      </c>
      <c r="F5824" s="1" t="s">
        <v>408</v>
      </c>
      <c r="I5824" s="1" t="n">
        <v>685877</v>
      </c>
      <c r="J5824" s="1" t="n">
        <v>75086</v>
      </c>
      <c r="K5824" s="1" t="n">
        <v>7622202256721</v>
      </c>
      <c r="L5824" s="1" t="s">
        <v>2419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5" t="n">
        <v>46233</v>
      </c>
      <c r="C5825" s="1" t="n">
        <v>11</v>
      </c>
      <c r="D5825" s="1" t="s">
        <v>2290</v>
      </c>
      <c r="E5825" s="1" t="n">
        <v>1718</v>
      </c>
      <c r="F5825" s="1" t="s">
        <v>408</v>
      </c>
      <c r="I5825" s="1" t="n">
        <v>685877</v>
      </c>
      <c r="J5825" s="1" t="n">
        <v>75087</v>
      </c>
      <c r="K5825" s="1" t="n">
        <v>7622202258459</v>
      </c>
      <c r="L5825" s="1" t="s">
        <v>2420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5" t="n">
        <v>46233</v>
      </c>
      <c r="C5826" s="1" t="n">
        <v>11</v>
      </c>
      <c r="D5826" s="1" t="s">
        <v>2290</v>
      </c>
      <c r="E5826" s="1" t="n">
        <v>1642</v>
      </c>
      <c r="F5826" s="1" t="s">
        <v>274</v>
      </c>
      <c r="I5826" s="1" t="n">
        <v>1034336</v>
      </c>
      <c r="J5826" s="1" t="n">
        <v>105780</v>
      </c>
      <c r="K5826" s="1" t="n">
        <v>7896289210017</v>
      </c>
      <c r="L5826" s="1" t="s">
        <v>2467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5" t="n">
        <v>46233</v>
      </c>
      <c r="C5827" s="1" t="n">
        <v>11</v>
      </c>
      <c r="D5827" s="1" t="s">
        <v>2290</v>
      </c>
      <c r="E5827" s="1" t="n">
        <v>1642</v>
      </c>
      <c r="F5827" s="1" t="s">
        <v>274</v>
      </c>
      <c r="I5827" s="1" t="n">
        <v>1034336</v>
      </c>
      <c r="J5827" s="1" t="n">
        <v>105782</v>
      </c>
      <c r="K5827" s="1" t="n">
        <v>7896289210352</v>
      </c>
      <c r="L5827" s="1" t="s">
        <v>2468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5" t="n">
        <v>46233</v>
      </c>
      <c r="C5828" s="1" t="n">
        <v>11</v>
      </c>
      <c r="D5828" s="1" t="s">
        <v>2290</v>
      </c>
      <c r="E5828" s="1" t="n">
        <v>1642</v>
      </c>
      <c r="F5828" s="1" t="s">
        <v>274</v>
      </c>
      <c r="I5828" s="1" t="n">
        <v>1034336</v>
      </c>
      <c r="J5828" s="1" t="n">
        <v>106079</v>
      </c>
      <c r="K5828" s="1" t="n">
        <v>7896289210130</v>
      </c>
      <c r="L5828" s="1" t="s">
        <v>2469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5" t="n">
        <v>46233</v>
      </c>
      <c r="C5829" s="1" t="n">
        <v>11</v>
      </c>
      <c r="D5829" s="1" t="s">
        <v>2290</v>
      </c>
      <c r="E5829" s="1" t="n">
        <v>1642</v>
      </c>
      <c r="F5829" s="1" t="s">
        <v>274</v>
      </c>
      <c r="I5829" s="1" t="n">
        <v>1034336</v>
      </c>
      <c r="J5829" s="1" t="n">
        <v>106274</v>
      </c>
      <c r="K5829" s="1" t="n">
        <v>7896289210086</v>
      </c>
      <c r="L5829" s="1" t="s">
        <v>2470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5" t="n">
        <v>46233</v>
      </c>
      <c r="C5830" s="1" t="n">
        <v>11</v>
      </c>
      <c r="D5830" s="1" t="s">
        <v>2290</v>
      </c>
      <c r="E5830" s="1" t="n">
        <v>1642</v>
      </c>
      <c r="F5830" s="1" t="s">
        <v>274</v>
      </c>
      <c r="I5830" s="1" t="n">
        <v>1034336</v>
      </c>
      <c r="J5830" s="1" t="n">
        <v>106280</v>
      </c>
      <c r="K5830" s="1" t="n">
        <v>7896289210062</v>
      </c>
      <c r="L5830" s="1" t="s">
        <v>2471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5" t="n">
        <v>46233</v>
      </c>
      <c r="C5831" s="1" t="n">
        <v>11</v>
      </c>
      <c r="D5831" s="1" t="s">
        <v>2290</v>
      </c>
      <c r="E5831" s="1" t="n">
        <v>1642</v>
      </c>
      <c r="F5831" s="1" t="s">
        <v>274</v>
      </c>
      <c r="I5831" s="1" t="n">
        <v>1034336</v>
      </c>
      <c r="J5831" s="1" t="n">
        <v>106407</v>
      </c>
      <c r="K5831" s="1" t="n">
        <v>7896289210031</v>
      </c>
      <c r="L5831" s="1" t="s">
        <v>2472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5" t="n">
        <v>46233</v>
      </c>
      <c r="C5832" s="1" t="n">
        <v>11</v>
      </c>
      <c r="D5832" s="1" t="s">
        <v>2290</v>
      </c>
      <c r="E5832" s="1" t="n">
        <v>1672</v>
      </c>
      <c r="F5832" s="1" t="s">
        <v>67</v>
      </c>
      <c r="I5832" s="1" t="n">
        <v>1407139</v>
      </c>
      <c r="J5832" s="1" t="n">
        <v>101308</v>
      </c>
      <c r="K5832" s="1" t="n">
        <v>7896579330098</v>
      </c>
      <c r="L5832" s="1" t="s">
        <v>2434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5" t="n">
        <v>46233</v>
      </c>
      <c r="C5833" s="1" t="n">
        <v>11</v>
      </c>
      <c r="D5833" s="1" t="s">
        <v>2290</v>
      </c>
      <c r="E5833" s="1" t="n">
        <v>1672</v>
      </c>
      <c r="F5833" s="1" t="s">
        <v>67</v>
      </c>
      <c r="I5833" s="1" t="n">
        <v>1407139</v>
      </c>
      <c r="J5833" s="1" t="n">
        <v>37507</v>
      </c>
      <c r="K5833" s="1" t="n">
        <v>7896579310854</v>
      </c>
      <c r="L5833" s="1" t="s">
        <v>2435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5" t="n">
        <v>46233</v>
      </c>
      <c r="C5834" s="1" t="n">
        <v>22</v>
      </c>
      <c r="D5834" s="1" t="s">
        <v>2436</v>
      </c>
      <c r="E5834" s="1" t="n">
        <v>42</v>
      </c>
      <c r="F5834" s="1" t="s">
        <v>80</v>
      </c>
      <c r="I5834" s="1" t="n">
        <v>4442</v>
      </c>
      <c r="J5834" s="1" t="n">
        <v>100000</v>
      </c>
      <c r="K5834" s="1" t="n">
        <v>1</v>
      </c>
      <c r="L5834" s="1" t="s">
        <v>2451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5" t="n">
        <v>46233</v>
      </c>
      <c r="C5835" s="1" t="n">
        <v>22</v>
      </c>
      <c r="D5835" s="1" t="s">
        <v>2436</v>
      </c>
      <c r="E5835" s="1" t="n">
        <v>42</v>
      </c>
      <c r="F5835" s="1" t="s">
        <v>80</v>
      </c>
      <c r="I5835" s="1" t="n">
        <v>4442</v>
      </c>
      <c r="J5835" s="1" t="n">
        <v>100001</v>
      </c>
      <c r="K5835" s="1" t="n">
        <v>2</v>
      </c>
      <c r="L5835" s="1" t="s">
        <v>2452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5" t="n">
        <v>46233</v>
      </c>
      <c r="C5836" s="1" t="n">
        <v>22</v>
      </c>
      <c r="D5836" s="1" t="s">
        <v>2436</v>
      </c>
      <c r="E5836" s="1" t="n">
        <v>42</v>
      </c>
      <c r="F5836" s="1" t="s">
        <v>80</v>
      </c>
      <c r="I5836" s="1" t="n">
        <v>4442</v>
      </c>
      <c r="J5836" s="1" t="n">
        <v>100002</v>
      </c>
      <c r="K5836" s="1" t="n">
        <v>3</v>
      </c>
      <c r="L5836" s="1" t="s">
        <v>2453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5" t="n">
        <v>46233</v>
      </c>
      <c r="C5837" s="1" t="n">
        <v>22</v>
      </c>
      <c r="D5837" s="1" t="s">
        <v>2436</v>
      </c>
      <c r="E5837" s="1" t="n">
        <v>42</v>
      </c>
      <c r="F5837" s="1" t="s">
        <v>80</v>
      </c>
      <c r="I5837" s="1" t="n">
        <v>4442</v>
      </c>
      <c r="J5837" s="1" t="n">
        <v>100003</v>
      </c>
      <c r="K5837" s="1" t="n">
        <v>4</v>
      </c>
      <c r="L5837" s="1" t="s">
        <v>2454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5" t="n">
        <v>46233</v>
      </c>
      <c r="C5838" s="1" t="n">
        <v>22</v>
      </c>
      <c r="D5838" s="1" t="s">
        <v>2436</v>
      </c>
      <c r="E5838" s="1" t="n">
        <v>42</v>
      </c>
      <c r="F5838" s="1" t="s">
        <v>80</v>
      </c>
      <c r="I5838" s="1" t="n">
        <v>4442</v>
      </c>
      <c r="J5838" s="1" t="n">
        <v>100006</v>
      </c>
      <c r="K5838" s="1" t="n">
        <v>7</v>
      </c>
      <c r="L5838" s="1" t="s">
        <v>2437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5" t="n">
        <v>46233</v>
      </c>
      <c r="C5839" s="1" t="n">
        <v>22</v>
      </c>
      <c r="D5839" s="1" t="s">
        <v>2436</v>
      </c>
      <c r="E5839" s="1" t="n">
        <v>42</v>
      </c>
      <c r="F5839" s="1" t="s">
        <v>80</v>
      </c>
      <c r="I5839" s="1" t="n">
        <v>4442</v>
      </c>
      <c r="J5839" s="1" t="n">
        <v>100007</v>
      </c>
      <c r="K5839" s="1" t="n">
        <v>8</v>
      </c>
      <c r="L5839" s="1" t="s">
        <v>2455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5" t="n">
        <v>46233</v>
      </c>
      <c r="C5840" s="1" t="n">
        <v>22</v>
      </c>
      <c r="D5840" s="1" t="s">
        <v>2436</v>
      </c>
      <c r="E5840" s="1" t="n">
        <v>42</v>
      </c>
      <c r="F5840" s="1" t="s">
        <v>80</v>
      </c>
      <c r="I5840" s="1" t="n">
        <v>4442</v>
      </c>
      <c r="J5840" s="1" t="n">
        <v>100008</v>
      </c>
      <c r="K5840" s="1" t="n">
        <v>9</v>
      </c>
      <c r="L5840" s="1" t="s">
        <v>2438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5" t="n">
        <v>46233</v>
      </c>
      <c r="C5841" s="1" t="n">
        <v>22</v>
      </c>
      <c r="D5841" s="1" t="s">
        <v>2436</v>
      </c>
      <c r="E5841" s="1" t="n">
        <v>42</v>
      </c>
      <c r="F5841" s="1" t="s">
        <v>80</v>
      </c>
      <c r="I5841" s="1" t="n">
        <v>4442</v>
      </c>
      <c r="J5841" s="1" t="n">
        <v>100010</v>
      </c>
      <c r="K5841" s="1" t="n">
        <v>11</v>
      </c>
      <c r="L5841" s="1" t="s">
        <v>2439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5" t="n">
        <v>46233</v>
      </c>
      <c r="C5842" s="1" t="n">
        <v>22</v>
      </c>
      <c r="D5842" s="1" t="s">
        <v>2436</v>
      </c>
      <c r="E5842" s="1" t="n">
        <v>42</v>
      </c>
      <c r="F5842" s="1" t="s">
        <v>80</v>
      </c>
      <c r="I5842" s="1" t="n">
        <v>4442</v>
      </c>
      <c r="J5842" s="1" t="n">
        <v>100011</v>
      </c>
      <c r="K5842" s="1" t="n">
        <v>12</v>
      </c>
      <c r="L5842" s="1" t="s">
        <v>2440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5" t="n">
        <v>46233</v>
      </c>
      <c r="C5843" s="1" t="n">
        <v>22</v>
      </c>
      <c r="D5843" s="1" t="s">
        <v>2436</v>
      </c>
      <c r="E5843" s="1" t="n">
        <v>42</v>
      </c>
      <c r="F5843" s="1" t="s">
        <v>80</v>
      </c>
      <c r="I5843" s="1" t="n">
        <v>4442</v>
      </c>
      <c r="J5843" s="1" t="n">
        <v>100012</v>
      </c>
      <c r="K5843" s="1" t="n">
        <v>13</v>
      </c>
      <c r="L5843" s="1" t="s">
        <v>2441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5" t="n">
        <v>46233</v>
      </c>
      <c r="C5844" s="1" t="n">
        <v>22</v>
      </c>
      <c r="D5844" s="1" t="s">
        <v>2436</v>
      </c>
      <c r="E5844" s="1" t="n">
        <v>42</v>
      </c>
      <c r="F5844" s="1" t="s">
        <v>80</v>
      </c>
      <c r="I5844" s="1" t="n">
        <v>4442</v>
      </c>
      <c r="J5844" s="1" t="n">
        <v>100013</v>
      </c>
      <c r="K5844" s="1" t="n">
        <v>14</v>
      </c>
      <c r="L5844" s="1" t="s">
        <v>2442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5" t="n">
        <v>46233</v>
      </c>
      <c r="C5845" s="1" t="n">
        <v>22</v>
      </c>
      <c r="D5845" s="1" t="s">
        <v>2436</v>
      </c>
      <c r="E5845" s="1" t="n">
        <v>42</v>
      </c>
      <c r="F5845" s="1" t="s">
        <v>80</v>
      </c>
      <c r="I5845" s="1" t="n">
        <v>4442</v>
      </c>
      <c r="J5845" s="1" t="n">
        <v>100014</v>
      </c>
      <c r="K5845" s="1" t="n">
        <v>15</v>
      </c>
      <c r="L5845" s="1" t="s">
        <v>2443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5" t="n">
        <v>46233</v>
      </c>
      <c r="C5846" s="1" t="n">
        <v>22</v>
      </c>
      <c r="D5846" s="1" t="s">
        <v>2436</v>
      </c>
      <c r="E5846" s="1" t="n">
        <v>42</v>
      </c>
      <c r="F5846" s="1" t="s">
        <v>80</v>
      </c>
      <c r="I5846" s="1" t="n">
        <v>4442</v>
      </c>
      <c r="J5846" s="1" t="n">
        <v>100015</v>
      </c>
      <c r="K5846" s="1" t="n">
        <v>16</v>
      </c>
      <c r="L5846" s="1" t="s">
        <v>2444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5" t="n">
        <v>46233</v>
      </c>
      <c r="C5847" s="1" t="n">
        <v>22</v>
      </c>
      <c r="D5847" s="1" t="s">
        <v>2436</v>
      </c>
      <c r="E5847" s="1" t="n">
        <v>42</v>
      </c>
      <c r="F5847" s="1" t="s">
        <v>80</v>
      </c>
      <c r="I5847" s="1" t="n">
        <v>4442</v>
      </c>
      <c r="J5847" s="1" t="n">
        <v>100016</v>
      </c>
      <c r="K5847" s="1" t="n">
        <v>17</v>
      </c>
      <c r="L5847" s="1" t="s">
        <v>2445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5" t="n">
        <v>46233</v>
      </c>
      <c r="C5848" s="1" t="n">
        <v>22</v>
      </c>
      <c r="D5848" s="1" t="s">
        <v>2436</v>
      </c>
      <c r="E5848" s="1" t="n">
        <v>42</v>
      </c>
      <c r="F5848" s="1" t="s">
        <v>80</v>
      </c>
      <c r="I5848" s="1" t="n">
        <v>4442</v>
      </c>
      <c r="J5848" s="1" t="n">
        <v>100017</v>
      </c>
      <c r="K5848" s="1" t="n">
        <v>18</v>
      </c>
      <c r="L5848" s="1" t="s">
        <v>2446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5" t="n">
        <v>46233</v>
      </c>
      <c r="C5849" s="1" t="n">
        <v>22</v>
      </c>
      <c r="D5849" s="1" t="s">
        <v>2436</v>
      </c>
      <c r="E5849" s="1" t="n">
        <v>42</v>
      </c>
      <c r="F5849" s="1" t="s">
        <v>80</v>
      </c>
      <c r="I5849" s="1" t="n">
        <v>4442</v>
      </c>
      <c r="J5849" s="1" t="n">
        <v>100053</v>
      </c>
      <c r="K5849" s="1" t="n">
        <v>54</v>
      </c>
      <c r="L5849" s="1" t="s">
        <v>2447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5" t="n">
        <v>46233</v>
      </c>
      <c r="C5850" s="1" t="n">
        <v>22</v>
      </c>
      <c r="D5850" s="1" t="s">
        <v>2436</v>
      </c>
      <c r="E5850" s="1" t="n">
        <v>42</v>
      </c>
      <c r="F5850" s="1" t="s">
        <v>80</v>
      </c>
      <c r="I5850" s="1" t="n">
        <v>4442</v>
      </c>
      <c r="J5850" s="1" t="n">
        <v>100638</v>
      </c>
      <c r="K5850" s="1" t="n">
        <v>508</v>
      </c>
      <c r="L5850" s="1" t="s">
        <v>2448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5" t="n">
        <v>46233</v>
      </c>
      <c r="C5851" s="1" t="n">
        <v>22</v>
      </c>
      <c r="D5851" s="1" t="s">
        <v>2436</v>
      </c>
      <c r="E5851" s="1" t="n">
        <v>42</v>
      </c>
      <c r="F5851" s="1" t="s">
        <v>80</v>
      </c>
      <c r="I5851" s="1" t="n">
        <v>4442</v>
      </c>
      <c r="J5851" s="1" t="n">
        <v>100638</v>
      </c>
      <c r="K5851" s="1" t="n">
        <v>508</v>
      </c>
      <c r="L5851" s="1" t="s">
        <v>2448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5" t="n">
        <v>46233</v>
      </c>
      <c r="C5852" s="1" t="n">
        <v>22</v>
      </c>
      <c r="D5852" s="1" t="s">
        <v>2436</v>
      </c>
      <c r="E5852" s="1" t="n">
        <v>42</v>
      </c>
      <c r="F5852" s="1" t="s">
        <v>80</v>
      </c>
      <c r="I5852" s="1" t="n">
        <v>4442</v>
      </c>
      <c r="J5852" s="1" t="n">
        <v>100520</v>
      </c>
      <c r="K5852" s="1" t="n">
        <v>507</v>
      </c>
      <c r="L5852" s="1" t="s">
        <v>2449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5" t="n">
        <v>46233</v>
      </c>
      <c r="C5853" s="1" t="n">
        <v>22</v>
      </c>
      <c r="D5853" s="1" t="s">
        <v>2436</v>
      </c>
      <c r="E5853" s="1" t="n">
        <v>42</v>
      </c>
      <c r="F5853" s="1" t="s">
        <v>80</v>
      </c>
      <c r="I5853" s="1" t="n">
        <v>4442</v>
      </c>
      <c r="J5853" s="1" t="n">
        <v>100520</v>
      </c>
      <c r="K5853" s="1" t="n">
        <v>507</v>
      </c>
      <c r="L5853" s="1" t="s">
        <v>2449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5" t="n">
        <v>46233</v>
      </c>
      <c r="C5854" s="1" t="n">
        <v>22</v>
      </c>
      <c r="D5854" s="1" t="s">
        <v>2436</v>
      </c>
      <c r="E5854" s="1" t="n">
        <v>42</v>
      </c>
      <c r="F5854" s="1" t="s">
        <v>80</v>
      </c>
      <c r="I5854" s="1" t="n">
        <v>4442</v>
      </c>
      <c r="J5854" s="1" t="n">
        <v>110455</v>
      </c>
      <c r="K5854" s="1" t="n">
        <v>53212</v>
      </c>
      <c r="L5854" s="1" t="s">
        <v>2450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5" t="n">
        <v>46233</v>
      </c>
      <c r="C5855" s="1" t="n">
        <v>22</v>
      </c>
      <c r="D5855" s="1" t="s">
        <v>2436</v>
      </c>
      <c r="E5855" s="1" t="n">
        <v>42</v>
      </c>
      <c r="F5855" s="1" t="s">
        <v>80</v>
      </c>
      <c r="I5855" s="1" t="n">
        <v>4442</v>
      </c>
      <c r="J5855" s="1" t="n">
        <v>110455</v>
      </c>
      <c r="K5855" s="1" t="n">
        <v>53212</v>
      </c>
      <c r="L5855" s="1" t="s">
        <v>2450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5" t="n">
        <v>46233</v>
      </c>
      <c r="C5856" s="1" t="n">
        <v>22</v>
      </c>
      <c r="D5856" s="1" t="s">
        <v>2436</v>
      </c>
      <c r="E5856" s="1" t="n">
        <v>42</v>
      </c>
      <c r="F5856" s="1" t="s">
        <v>80</v>
      </c>
      <c r="I5856" s="1" t="n">
        <v>4444</v>
      </c>
      <c r="J5856" s="1" t="n">
        <v>100000</v>
      </c>
      <c r="K5856" s="1" t="n">
        <v>1</v>
      </c>
      <c r="L5856" s="1" t="s">
        <v>2451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5" t="n">
        <v>46233</v>
      </c>
      <c r="C5857" s="1" t="n">
        <v>22</v>
      </c>
      <c r="D5857" s="1" t="s">
        <v>2436</v>
      </c>
      <c r="E5857" s="1" t="n">
        <v>42</v>
      </c>
      <c r="F5857" s="1" t="s">
        <v>80</v>
      </c>
      <c r="I5857" s="1" t="n">
        <v>4444</v>
      </c>
      <c r="J5857" s="1" t="n">
        <v>100000</v>
      </c>
      <c r="K5857" s="1" t="n">
        <v>1</v>
      </c>
      <c r="L5857" s="1" t="s">
        <v>2451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5" t="n">
        <v>46233</v>
      </c>
      <c r="C5858" s="1" t="n">
        <v>22</v>
      </c>
      <c r="D5858" s="1" t="s">
        <v>2436</v>
      </c>
      <c r="E5858" s="1" t="n">
        <v>42</v>
      </c>
      <c r="F5858" s="1" t="s">
        <v>80</v>
      </c>
      <c r="I5858" s="1" t="n">
        <v>4444</v>
      </c>
      <c r="J5858" s="1" t="n">
        <v>100001</v>
      </c>
      <c r="K5858" s="1" t="n">
        <v>2</v>
      </c>
      <c r="L5858" s="1" t="s">
        <v>2452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5" t="n">
        <v>46233</v>
      </c>
      <c r="C5859" s="1" t="n">
        <v>22</v>
      </c>
      <c r="D5859" s="1" t="s">
        <v>2436</v>
      </c>
      <c r="E5859" s="1" t="n">
        <v>42</v>
      </c>
      <c r="F5859" s="1" t="s">
        <v>80</v>
      </c>
      <c r="I5859" s="1" t="n">
        <v>4444</v>
      </c>
      <c r="J5859" s="1" t="n">
        <v>100002</v>
      </c>
      <c r="K5859" s="1" t="n">
        <v>3</v>
      </c>
      <c r="L5859" s="1" t="s">
        <v>2453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5" t="n">
        <v>46233</v>
      </c>
      <c r="C5860" s="1" t="n">
        <v>22</v>
      </c>
      <c r="D5860" s="1" t="s">
        <v>2436</v>
      </c>
      <c r="E5860" s="1" t="n">
        <v>42</v>
      </c>
      <c r="F5860" s="1" t="s">
        <v>80</v>
      </c>
      <c r="I5860" s="1" t="n">
        <v>4444</v>
      </c>
      <c r="J5860" s="1" t="n">
        <v>100003</v>
      </c>
      <c r="K5860" s="1" t="n">
        <v>4</v>
      </c>
      <c r="L5860" s="1" t="s">
        <v>2454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5" t="n">
        <v>46233</v>
      </c>
      <c r="C5861" s="1" t="n">
        <v>22</v>
      </c>
      <c r="D5861" s="1" t="s">
        <v>2436</v>
      </c>
      <c r="E5861" s="1" t="n">
        <v>42</v>
      </c>
      <c r="F5861" s="1" t="s">
        <v>80</v>
      </c>
      <c r="I5861" s="1" t="n">
        <v>4444</v>
      </c>
      <c r="J5861" s="1" t="n">
        <v>100004</v>
      </c>
      <c r="K5861" s="1" t="n">
        <v>5</v>
      </c>
      <c r="L5861" s="1" t="s">
        <v>2667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5" t="n">
        <v>46233</v>
      </c>
      <c r="C5862" s="1" t="n">
        <v>22</v>
      </c>
      <c r="D5862" s="1" t="s">
        <v>2436</v>
      </c>
      <c r="E5862" s="1" t="n">
        <v>42</v>
      </c>
      <c r="F5862" s="1" t="s">
        <v>80</v>
      </c>
      <c r="I5862" s="1" t="n">
        <v>4444</v>
      </c>
      <c r="J5862" s="1" t="n">
        <v>100006</v>
      </c>
      <c r="K5862" s="1" t="n">
        <v>7</v>
      </c>
      <c r="L5862" s="1" t="s">
        <v>2437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5" t="n">
        <v>46233</v>
      </c>
      <c r="C5863" s="1" t="n">
        <v>22</v>
      </c>
      <c r="D5863" s="1" t="s">
        <v>2436</v>
      </c>
      <c r="E5863" s="1" t="n">
        <v>42</v>
      </c>
      <c r="F5863" s="1" t="s">
        <v>80</v>
      </c>
      <c r="I5863" s="1" t="n">
        <v>4444</v>
      </c>
      <c r="J5863" s="1" t="n">
        <v>100007</v>
      </c>
      <c r="K5863" s="1" t="n">
        <v>8</v>
      </c>
      <c r="L5863" s="1" t="s">
        <v>2455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5" t="n">
        <v>46233</v>
      </c>
      <c r="C5864" s="1" t="n">
        <v>22</v>
      </c>
      <c r="D5864" s="1" t="s">
        <v>2436</v>
      </c>
      <c r="E5864" s="1" t="n">
        <v>42</v>
      </c>
      <c r="F5864" s="1" t="s">
        <v>80</v>
      </c>
      <c r="I5864" s="1" t="n">
        <v>4444</v>
      </c>
      <c r="J5864" s="1" t="n">
        <v>100008</v>
      </c>
      <c r="K5864" s="1" t="n">
        <v>9</v>
      </c>
      <c r="L5864" s="1" t="s">
        <v>2438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5" t="n">
        <v>46233</v>
      </c>
      <c r="C5865" s="1" t="n">
        <v>22</v>
      </c>
      <c r="D5865" s="1" t="s">
        <v>2436</v>
      </c>
      <c r="E5865" s="1" t="n">
        <v>42</v>
      </c>
      <c r="F5865" s="1" t="s">
        <v>80</v>
      </c>
      <c r="I5865" s="1" t="n">
        <v>4444</v>
      </c>
      <c r="J5865" s="1" t="n">
        <v>100010</v>
      </c>
      <c r="K5865" s="1" t="n">
        <v>11</v>
      </c>
      <c r="L5865" s="1" t="s">
        <v>2439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5" t="n">
        <v>46233</v>
      </c>
      <c r="C5866" s="1" t="n">
        <v>22</v>
      </c>
      <c r="D5866" s="1" t="s">
        <v>2436</v>
      </c>
      <c r="E5866" s="1" t="n">
        <v>42</v>
      </c>
      <c r="F5866" s="1" t="s">
        <v>80</v>
      </c>
      <c r="I5866" s="1" t="n">
        <v>4444</v>
      </c>
      <c r="J5866" s="1" t="n">
        <v>100011</v>
      </c>
      <c r="K5866" s="1" t="n">
        <v>12</v>
      </c>
      <c r="L5866" s="1" t="s">
        <v>2440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5" t="n">
        <v>46233</v>
      </c>
      <c r="C5867" s="1" t="n">
        <v>22</v>
      </c>
      <c r="D5867" s="1" t="s">
        <v>2436</v>
      </c>
      <c r="E5867" s="1" t="n">
        <v>42</v>
      </c>
      <c r="F5867" s="1" t="s">
        <v>80</v>
      </c>
      <c r="I5867" s="1" t="n">
        <v>4444</v>
      </c>
      <c r="J5867" s="1" t="n">
        <v>100012</v>
      </c>
      <c r="K5867" s="1" t="n">
        <v>13</v>
      </c>
      <c r="L5867" s="1" t="s">
        <v>2441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5" t="n">
        <v>46233</v>
      </c>
      <c r="C5868" s="1" t="n">
        <v>22</v>
      </c>
      <c r="D5868" s="1" t="s">
        <v>2436</v>
      </c>
      <c r="E5868" s="1" t="n">
        <v>42</v>
      </c>
      <c r="F5868" s="1" t="s">
        <v>80</v>
      </c>
      <c r="I5868" s="1" t="n">
        <v>4444</v>
      </c>
      <c r="J5868" s="1" t="n">
        <v>100013</v>
      </c>
      <c r="K5868" s="1" t="n">
        <v>14</v>
      </c>
      <c r="L5868" s="1" t="s">
        <v>2442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5" t="n">
        <v>46233</v>
      </c>
      <c r="C5869" s="1" t="n">
        <v>22</v>
      </c>
      <c r="D5869" s="1" t="s">
        <v>2436</v>
      </c>
      <c r="E5869" s="1" t="n">
        <v>42</v>
      </c>
      <c r="F5869" s="1" t="s">
        <v>80</v>
      </c>
      <c r="I5869" s="1" t="n">
        <v>4444</v>
      </c>
      <c r="J5869" s="1" t="n">
        <v>100014</v>
      </c>
      <c r="K5869" s="1" t="n">
        <v>15</v>
      </c>
      <c r="L5869" s="1" t="s">
        <v>2443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5" t="n">
        <v>46233</v>
      </c>
      <c r="C5870" s="1" t="n">
        <v>22</v>
      </c>
      <c r="D5870" s="1" t="s">
        <v>2436</v>
      </c>
      <c r="E5870" s="1" t="n">
        <v>42</v>
      </c>
      <c r="F5870" s="1" t="s">
        <v>80</v>
      </c>
      <c r="I5870" s="1" t="n">
        <v>4444</v>
      </c>
      <c r="J5870" s="1" t="n">
        <v>100015</v>
      </c>
      <c r="K5870" s="1" t="n">
        <v>16</v>
      </c>
      <c r="L5870" s="1" t="s">
        <v>2444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5" t="n">
        <v>46233</v>
      </c>
      <c r="C5871" s="1" t="n">
        <v>22</v>
      </c>
      <c r="D5871" s="1" t="s">
        <v>2436</v>
      </c>
      <c r="E5871" s="1" t="n">
        <v>42</v>
      </c>
      <c r="F5871" s="1" t="s">
        <v>80</v>
      </c>
      <c r="I5871" s="1" t="n">
        <v>4444</v>
      </c>
      <c r="J5871" s="1" t="n">
        <v>100016</v>
      </c>
      <c r="K5871" s="1" t="n">
        <v>17</v>
      </c>
      <c r="L5871" s="1" t="s">
        <v>2445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5" t="n">
        <v>46233</v>
      </c>
      <c r="C5872" s="1" t="n">
        <v>22</v>
      </c>
      <c r="D5872" s="1" t="s">
        <v>2436</v>
      </c>
      <c r="E5872" s="1" t="n">
        <v>42</v>
      </c>
      <c r="F5872" s="1" t="s">
        <v>80</v>
      </c>
      <c r="I5872" s="1" t="n">
        <v>4444</v>
      </c>
      <c r="J5872" s="1" t="n">
        <v>100017</v>
      </c>
      <c r="K5872" s="1" t="n">
        <v>18</v>
      </c>
      <c r="L5872" s="1" t="s">
        <v>2446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5" t="n">
        <v>46233</v>
      </c>
      <c r="C5873" s="1" t="n">
        <v>22</v>
      </c>
      <c r="D5873" s="1" t="s">
        <v>2436</v>
      </c>
      <c r="E5873" s="1" t="n">
        <v>42</v>
      </c>
      <c r="F5873" s="1" t="s">
        <v>80</v>
      </c>
      <c r="I5873" s="1" t="n">
        <v>4444</v>
      </c>
      <c r="J5873" s="1" t="n">
        <v>100019</v>
      </c>
      <c r="K5873" s="1" t="n">
        <v>20</v>
      </c>
      <c r="L5873" s="1" t="s">
        <v>4136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5" t="n">
        <v>46233</v>
      </c>
      <c r="C5874" s="1" t="n">
        <v>22</v>
      </c>
      <c r="D5874" s="1" t="s">
        <v>2436</v>
      </c>
      <c r="E5874" s="1" t="n">
        <v>42</v>
      </c>
      <c r="F5874" s="1" t="s">
        <v>80</v>
      </c>
      <c r="I5874" s="1" t="n">
        <v>4444</v>
      </c>
      <c r="J5874" s="1" t="n">
        <v>100020</v>
      </c>
      <c r="K5874" s="1" t="n">
        <v>21</v>
      </c>
      <c r="L5874" s="1" t="s">
        <v>2456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5" t="n">
        <v>46233</v>
      </c>
      <c r="C5875" s="1" t="n">
        <v>22</v>
      </c>
      <c r="D5875" s="1" t="s">
        <v>2436</v>
      </c>
      <c r="E5875" s="1" t="n">
        <v>42</v>
      </c>
      <c r="F5875" s="1" t="s">
        <v>80</v>
      </c>
      <c r="I5875" s="1" t="n">
        <v>4444</v>
      </c>
      <c r="J5875" s="1" t="n">
        <v>100053</v>
      </c>
      <c r="K5875" s="1" t="n">
        <v>54</v>
      </c>
      <c r="L5875" s="1" t="s">
        <v>2447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5" t="n">
        <v>46233</v>
      </c>
      <c r="C5876" s="1" t="n">
        <v>22</v>
      </c>
      <c r="D5876" s="1" t="s">
        <v>2436</v>
      </c>
      <c r="E5876" s="1" t="n">
        <v>42</v>
      </c>
      <c r="F5876" s="1" t="s">
        <v>80</v>
      </c>
      <c r="I5876" s="1" t="n">
        <v>4444</v>
      </c>
      <c r="J5876" s="1" t="n">
        <v>100638</v>
      </c>
      <c r="K5876" s="1" t="n">
        <v>508</v>
      </c>
      <c r="L5876" s="1" t="s">
        <v>2448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5" t="n">
        <v>46233</v>
      </c>
      <c r="C5877" s="1" t="n">
        <v>22</v>
      </c>
      <c r="D5877" s="1" t="s">
        <v>2436</v>
      </c>
      <c r="E5877" s="1" t="n">
        <v>42</v>
      </c>
      <c r="F5877" s="1" t="s">
        <v>80</v>
      </c>
      <c r="I5877" s="1" t="n">
        <v>4444</v>
      </c>
      <c r="J5877" s="1" t="n">
        <v>100638</v>
      </c>
      <c r="K5877" s="1" t="n">
        <v>508</v>
      </c>
      <c r="L5877" s="1" t="s">
        <v>2448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5" t="n">
        <v>46233</v>
      </c>
      <c r="C5878" s="1" t="n">
        <v>22</v>
      </c>
      <c r="D5878" s="1" t="s">
        <v>2436</v>
      </c>
      <c r="E5878" s="1" t="n">
        <v>42</v>
      </c>
      <c r="F5878" s="1" t="s">
        <v>80</v>
      </c>
      <c r="I5878" s="1" t="n">
        <v>4444</v>
      </c>
      <c r="J5878" s="1" t="n">
        <v>100638</v>
      </c>
      <c r="K5878" s="1" t="n">
        <v>508</v>
      </c>
      <c r="L5878" s="1" t="s">
        <v>2448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5" t="n">
        <v>46233</v>
      </c>
      <c r="C5879" s="1" t="n">
        <v>22</v>
      </c>
      <c r="D5879" s="1" t="s">
        <v>2436</v>
      </c>
      <c r="E5879" s="1" t="n">
        <v>42</v>
      </c>
      <c r="F5879" s="1" t="s">
        <v>80</v>
      </c>
      <c r="I5879" s="1" t="n">
        <v>4444</v>
      </c>
      <c r="J5879" s="1" t="n">
        <v>100520</v>
      </c>
      <c r="K5879" s="1" t="n">
        <v>507</v>
      </c>
      <c r="L5879" s="1" t="s">
        <v>2449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5" t="n">
        <v>46233</v>
      </c>
      <c r="C5880" s="1" t="n">
        <v>22</v>
      </c>
      <c r="D5880" s="1" t="s">
        <v>2436</v>
      </c>
      <c r="E5880" s="1" t="n">
        <v>42</v>
      </c>
      <c r="F5880" s="1" t="s">
        <v>80</v>
      </c>
      <c r="I5880" s="1" t="n">
        <v>4444</v>
      </c>
      <c r="J5880" s="1" t="n">
        <v>100520</v>
      </c>
      <c r="K5880" s="1" t="n">
        <v>507</v>
      </c>
      <c r="L5880" s="1" t="s">
        <v>2449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5" t="n">
        <v>46233</v>
      </c>
      <c r="C5881" s="1" t="n">
        <v>22</v>
      </c>
      <c r="D5881" s="1" t="s">
        <v>2436</v>
      </c>
      <c r="E5881" s="1" t="n">
        <v>42</v>
      </c>
      <c r="F5881" s="1" t="s">
        <v>80</v>
      </c>
      <c r="I5881" s="1" t="n">
        <v>4444</v>
      </c>
      <c r="J5881" s="1" t="n">
        <v>110455</v>
      </c>
      <c r="K5881" s="1" t="n">
        <v>53212</v>
      </c>
      <c r="L5881" s="1" t="s">
        <v>2450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5" t="n">
        <v>46233</v>
      </c>
      <c r="C5882" s="1" t="n">
        <v>22</v>
      </c>
      <c r="D5882" s="1" t="s">
        <v>2436</v>
      </c>
      <c r="E5882" s="1" t="n">
        <v>42</v>
      </c>
      <c r="F5882" s="1" t="s">
        <v>80</v>
      </c>
      <c r="I5882" s="1" t="n">
        <v>4444</v>
      </c>
      <c r="J5882" s="1" t="n">
        <v>110455</v>
      </c>
      <c r="K5882" s="1" t="n">
        <v>53212</v>
      </c>
      <c r="L5882" s="1" t="s">
        <v>2450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5" t="n">
        <v>46233</v>
      </c>
      <c r="C5883" s="1" t="n">
        <v>22</v>
      </c>
      <c r="D5883" s="1" t="s">
        <v>2436</v>
      </c>
      <c r="E5883" s="1" t="n">
        <v>42</v>
      </c>
      <c r="F5883" s="1" t="s">
        <v>80</v>
      </c>
      <c r="I5883" s="1" t="n">
        <v>4444</v>
      </c>
      <c r="J5883" s="1" t="n">
        <v>110455</v>
      </c>
      <c r="K5883" s="1" t="n">
        <v>53212</v>
      </c>
      <c r="L5883" s="1" t="s">
        <v>2450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5" t="n">
        <v>46233</v>
      </c>
      <c r="C5884" s="1" t="n">
        <v>39</v>
      </c>
      <c r="D5884" s="1" t="s">
        <v>2515</v>
      </c>
      <c r="E5884" s="1" t="n">
        <v>1354</v>
      </c>
      <c r="F5884" s="1" t="s">
        <v>1563</v>
      </c>
      <c r="I5884" s="1" t="n">
        <v>1339</v>
      </c>
      <c r="J5884" s="1" t="n">
        <v>81926</v>
      </c>
      <c r="K5884" s="1" t="n">
        <v>819275</v>
      </c>
      <c r="L5884" s="1" t="s">
        <v>4341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5" t="n">
        <v>46233</v>
      </c>
      <c r="C5885" s="1" t="n">
        <v>39</v>
      </c>
      <c r="D5885" s="1" t="s">
        <v>2515</v>
      </c>
      <c r="E5885" s="1" t="n">
        <v>1354</v>
      </c>
      <c r="F5885" s="1" t="s">
        <v>1563</v>
      </c>
      <c r="I5885" s="1" t="n">
        <v>1339</v>
      </c>
      <c r="J5885" s="1" t="n">
        <v>81928</v>
      </c>
      <c r="K5885" s="1" t="n">
        <v>7893858404679</v>
      </c>
      <c r="L5885" s="1" t="s">
        <v>4342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5" t="n">
        <v>46233</v>
      </c>
      <c r="C5886" s="1" t="n">
        <v>39</v>
      </c>
      <c r="D5886" s="1" t="s">
        <v>2515</v>
      </c>
      <c r="E5886" s="1" t="n">
        <v>1354</v>
      </c>
      <c r="F5886" s="1" t="s">
        <v>1563</v>
      </c>
      <c r="I5886" s="1" t="n">
        <v>1339</v>
      </c>
      <c r="J5886" s="1" t="n">
        <v>81929</v>
      </c>
      <c r="K5886" s="1" t="n">
        <v>7896155827707</v>
      </c>
      <c r="L5886" s="1" t="s">
        <v>4343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5" t="n">
        <v>46233</v>
      </c>
      <c r="C5887" s="1" t="n">
        <v>39</v>
      </c>
      <c r="D5887" s="1" t="s">
        <v>2515</v>
      </c>
      <c r="E5887" s="1" t="n">
        <v>1354</v>
      </c>
      <c r="F5887" s="1" t="s">
        <v>1563</v>
      </c>
      <c r="I5887" s="1" t="n">
        <v>1339</v>
      </c>
      <c r="J5887" s="1" t="n">
        <v>81930</v>
      </c>
      <c r="K5887" s="1" t="n">
        <v>7898472253993</v>
      </c>
      <c r="L5887" s="1" t="s">
        <v>4344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5" t="n">
        <v>46233</v>
      </c>
      <c r="C5888" s="1" t="n">
        <v>39</v>
      </c>
      <c r="D5888" s="1" t="s">
        <v>2515</v>
      </c>
      <c r="E5888" s="1" t="n">
        <v>1354</v>
      </c>
      <c r="F5888" s="1" t="s">
        <v>1563</v>
      </c>
      <c r="I5888" s="1" t="n">
        <v>1339</v>
      </c>
      <c r="J5888" s="1" t="n">
        <v>81931</v>
      </c>
      <c r="K5888" s="1" t="n">
        <v>819329</v>
      </c>
      <c r="L5888" s="1" t="s">
        <v>4345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5" t="n">
        <v>46233</v>
      </c>
      <c r="C5889" s="1" t="n">
        <v>39</v>
      </c>
      <c r="D5889" s="1" t="s">
        <v>2515</v>
      </c>
      <c r="E5889" s="1" t="n">
        <v>794</v>
      </c>
      <c r="F5889" s="1" t="s">
        <v>152</v>
      </c>
      <c r="I5889" s="1" t="n">
        <v>8514</v>
      </c>
      <c r="J5889" s="1" t="n">
        <v>107452</v>
      </c>
      <c r="K5889" s="1" t="n">
        <v>7898560800221</v>
      </c>
      <c r="L5889" s="1" t="s">
        <v>3861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5" t="n">
        <v>46233</v>
      </c>
      <c r="C5890" s="1" t="n">
        <v>39</v>
      </c>
      <c r="D5890" s="1" t="s">
        <v>2515</v>
      </c>
      <c r="E5890" s="1" t="n">
        <v>794</v>
      </c>
      <c r="F5890" s="1" t="s">
        <v>152</v>
      </c>
      <c r="I5890" s="1" t="n">
        <v>8514</v>
      </c>
      <c r="J5890" s="1" t="n">
        <v>67465</v>
      </c>
      <c r="K5890" s="1" t="n">
        <v>7898560800184</v>
      </c>
      <c r="L5890" s="1" t="s">
        <v>3863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5" t="n">
        <v>46233</v>
      </c>
      <c r="C5891" s="1" t="n">
        <v>39</v>
      </c>
      <c r="D5891" s="1" t="s">
        <v>2515</v>
      </c>
      <c r="E5891" s="1" t="n">
        <v>794</v>
      </c>
      <c r="F5891" s="1" t="s">
        <v>152</v>
      </c>
      <c r="I5891" s="1" t="n">
        <v>8514</v>
      </c>
      <c r="J5891" s="1" t="n">
        <v>67471</v>
      </c>
      <c r="K5891" s="1" t="n">
        <v>7898560800177</v>
      </c>
      <c r="L5891" s="1" t="s">
        <v>2759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5" t="n">
        <v>46233</v>
      </c>
      <c r="C5892" s="1" t="n">
        <v>100</v>
      </c>
      <c r="D5892" s="1" t="s">
        <v>2457</v>
      </c>
      <c r="E5892" s="1" t="n">
        <v>42</v>
      </c>
      <c r="F5892" s="1" t="s">
        <v>80</v>
      </c>
      <c r="I5892" s="1" t="n">
        <v>1473949</v>
      </c>
      <c r="J5892" s="1" t="n">
        <v>100000</v>
      </c>
      <c r="K5892" s="1" t="n">
        <v>1</v>
      </c>
      <c r="L5892" s="1" t="s">
        <v>2451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5" t="n">
        <v>46233</v>
      </c>
      <c r="C5893" s="1" t="n">
        <v>100</v>
      </c>
      <c r="D5893" s="1" t="s">
        <v>2457</v>
      </c>
      <c r="E5893" s="1" t="n">
        <v>42</v>
      </c>
      <c r="F5893" s="1" t="s">
        <v>80</v>
      </c>
      <c r="I5893" s="1" t="n">
        <v>1473949</v>
      </c>
      <c r="J5893" s="1" t="n">
        <v>100001</v>
      </c>
      <c r="K5893" s="1" t="n">
        <v>2</v>
      </c>
      <c r="L5893" s="1" t="s">
        <v>2452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5" t="n">
        <v>46233</v>
      </c>
      <c r="C5894" s="1" t="n">
        <v>100</v>
      </c>
      <c r="D5894" s="1" t="s">
        <v>2457</v>
      </c>
      <c r="E5894" s="1" t="n">
        <v>42</v>
      </c>
      <c r="F5894" s="1" t="s">
        <v>80</v>
      </c>
      <c r="I5894" s="1" t="n">
        <v>1473949</v>
      </c>
      <c r="J5894" s="1" t="n">
        <v>100002</v>
      </c>
      <c r="K5894" s="1" t="n">
        <v>3</v>
      </c>
      <c r="L5894" s="1" t="s">
        <v>2453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5" t="n">
        <v>46233</v>
      </c>
      <c r="C5895" s="1" t="n">
        <v>100</v>
      </c>
      <c r="D5895" s="1" t="s">
        <v>2457</v>
      </c>
      <c r="E5895" s="1" t="n">
        <v>42</v>
      </c>
      <c r="F5895" s="1" t="s">
        <v>80</v>
      </c>
      <c r="I5895" s="1" t="n">
        <v>1473949</v>
      </c>
      <c r="J5895" s="1" t="n">
        <v>100003</v>
      </c>
      <c r="K5895" s="1" t="n">
        <v>4</v>
      </c>
      <c r="L5895" s="1" t="s">
        <v>2454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5" t="n">
        <v>46233</v>
      </c>
      <c r="C5896" s="1" t="n">
        <v>100</v>
      </c>
      <c r="D5896" s="1" t="s">
        <v>2457</v>
      </c>
      <c r="E5896" s="1" t="n">
        <v>42</v>
      </c>
      <c r="F5896" s="1" t="s">
        <v>80</v>
      </c>
      <c r="I5896" s="1" t="n">
        <v>1473949</v>
      </c>
      <c r="J5896" s="1" t="n">
        <v>100007</v>
      </c>
      <c r="K5896" s="1" t="n">
        <v>8</v>
      </c>
      <c r="L5896" s="1" t="s">
        <v>2455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5" t="n">
        <v>46233</v>
      </c>
      <c r="C5897" s="1" t="n">
        <v>100</v>
      </c>
      <c r="D5897" s="1" t="s">
        <v>2457</v>
      </c>
      <c r="E5897" s="1" t="n">
        <v>42</v>
      </c>
      <c r="F5897" s="1" t="s">
        <v>80</v>
      </c>
      <c r="I5897" s="1" t="n">
        <v>1473949</v>
      </c>
      <c r="J5897" s="1" t="n">
        <v>100638</v>
      </c>
      <c r="K5897" s="1" t="n">
        <v>508</v>
      </c>
      <c r="L5897" s="1" t="s">
        <v>2448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5" t="n">
        <v>46233</v>
      </c>
      <c r="C5898" s="1" t="n">
        <v>100</v>
      </c>
      <c r="D5898" s="1" t="s">
        <v>2457</v>
      </c>
      <c r="E5898" s="1" t="n">
        <v>42</v>
      </c>
      <c r="F5898" s="1" t="s">
        <v>80</v>
      </c>
      <c r="I5898" s="1" t="n">
        <v>1473949</v>
      </c>
      <c r="J5898" s="1" t="n">
        <v>100520</v>
      </c>
      <c r="K5898" s="1" t="n">
        <v>507</v>
      </c>
      <c r="L5898" s="1" t="s">
        <v>2449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5" t="n">
        <v>46233</v>
      </c>
      <c r="C5899" s="1" t="n">
        <v>100</v>
      </c>
      <c r="D5899" s="1" t="s">
        <v>2457</v>
      </c>
      <c r="E5899" s="1" t="n">
        <v>42</v>
      </c>
      <c r="F5899" s="1" t="s">
        <v>80</v>
      </c>
      <c r="I5899" s="1" t="n">
        <v>1473949</v>
      </c>
      <c r="J5899" s="1" t="n">
        <v>110455</v>
      </c>
      <c r="K5899" s="1" t="n">
        <v>53212</v>
      </c>
      <c r="L5899" s="1" t="s">
        <v>2450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5" t="n">
        <v>46233</v>
      </c>
      <c r="C5900" s="1" t="n">
        <v>100</v>
      </c>
      <c r="D5900" s="1" t="s">
        <v>2457</v>
      </c>
      <c r="E5900" s="1" t="n">
        <v>42</v>
      </c>
      <c r="F5900" s="1" t="s">
        <v>80</v>
      </c>
      <c r="I5900" s="1" t="n">
        <v>1473953</v>
      </c>
      <c r="J5900" s="1" t="n">
        <v>100006</v>
      </c>
      <c r="K5900" s="1" t="n">
        <v>7</v>
      </c>
      <c r="L5900" s="1" t="s">
        <v>2437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5" t="n">
        <v>46233</v>
      </c>
      <c r="C5901" s="1" t="n">
        <v>100</v>
      </c>
      <c r="D5901" s="1" t="s">
        <v>2457</v>
      </c>
      <c r="E5901" s="1" t="n">
        <v>42</v>
      </c>
      <c r="F5901" s="1" t="s">
        <v>80</v>
      </c>
      <c r="I5901" s="1" t="n">
        <v>1473953</v>
      </c>
      <c r="J5901" s="1" t="n">
        <v>100008</v>
      </c>
      <c r="K5901" s="1" t="n">
        <v>9</v>
      </c>
      <c r="L5901" s="1" t="s">
        <v>2438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5" t="n">
        <v>46233</v>
      </c>
      <c r="C5902" s="1" t="n">
        <v>100</v>
      </c>
      <c r="D5902" s="1" t="s">
        <v>2457</v>
      </c>
      <c r="E5902" s="1" t="n">
        <v>42</v>
      </c>
      <c r="F5902" s="1" t="s">
        <v>80</v>
      </c>
      <c r="I5902" s="1" t="n">
        <v>1473953</v>
      </c>
      <c r="J5902" s="1" t="n">
        <v>100010</v>
      </c>
      <c r="K5902" s="1" t="n">
        <v>11</v>
      </c>
      <c r="L5902" s="1" t="s">
        <v>2439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5" t="n">
        <v>46233</v>
      </c>
      <c r="C5903" s="1" t="n">
        <v>100</v>
      </c>
      <c r="D5903" s="1" t="s">
        <v>2457</v>
      </c>
      <c r="E5903" s="1" t="n">
        <v>42</v>
      </c>
      <c r="F5903" s="1" t="s">
        <v>80</v>
      </c>
      <c r="I5903" s="1" t="n">
        <v>1473953</v>
      </c>
      <c r="J5903" s="1" t="n">
        <v>100011</v>
      </c>
      <c r="K5903" s="1" t="n">
        <v>12</v>
      </c>
      <c r="L5903" s="1" t="s">
        <v>2440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5" t="n">
        <v>46233</v>
      </c>
      <c r="C5904" s="1" t="n">
        <v>100</v>
      </c>
      <c r="D5904" s="1" t="s">
        <v>2457</v>
      </c>
      <c r="E5904" s="1" t="n">
        <v>42</v>
      </c>
      <c r="F5904" s="1" t="s">
        <v>80</v>
      </c>
      <c r="I5904" s="1" t="n">
        <v>1473953</v>
      </c>
      <c r="J5904" s="1" t="n">
        <v>100012</v>
      </c>
      <c r="K5904" s="1" t="n">
        <v>13</v>
      </c>
      <c r="L5904" s="1" t="s">
        <v>2441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5" t="n">
        <v>46233</v>
      </c>
      <c r="C5905" s="1" t="n">
        <v>100</v>
      </c>
      <c r="D5905" s="1" t="s">
        <v>2457</v>
      </c>
      <c r="E5905" s="1" t="n">
        <v>42</v>
      </c>
      <c r="F5905" s="1" t="s">
        <v>80</v>
      </c>
      <c r="I5905" s="1" t="n">
        <v>1473953</v>
      </c>
      <c r="J5905" s="1" t="n">
        <v>100013</v>
      </c>
      <c r="K5905" s="1" t="n">
        <v>14</v>
      </c>
      <c r="L5905" s="1" t="s">
        <v>2442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5" t="n">
        <v>46233</v>
      </c>
      <c r="C5906" s="1" t="n">
        <v>100</v>
      </c>
      <c r="D5906" s="1" t="s">
        <v>2457</v>
      </c>
      <c r="E5906" s="1" t="n">
        <v>42</v>
      </c>
      <c r="F5906" s="1" t="s">
        <v>80</v>
      </c>
      <c r="I5906" s="1" t="n">
        <v>1473953</v>
      </c>
      <c r="J5906" s="1" t="n">
        <v>100014</v>
      </c>
      <c r="K5906" s="1" t="n">
        <v>15</v>
      </c>
      <c r="L5906" s="1" t="s">
        <v>2443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5" t="n">
        <v>46233</v>
      </c>
      <c r="C5907" s="1" t="n">
        <v>100</v>
      </c>
      <c r="D5907" s="1" t="s">
        <v>2457</v>
      </c>
      <c r="E5907" s="1" t="n">
        <v>42</v>
      </c>
      <c r="F5907" s="1" t="s">
        <v>80</v>
      </c>
      <c r="I5907" s="1" t="n">
        <v>1473953</v>
      </c>
      <c r="J5907" s="1" t="n">
        <v>100015</v>
      </c>
      <c r="K5907" s="1" t="n">
        <v>16</v>
      </c>
      <c r="L5907" s="1" t="s">
        <v>2444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5" t="n">
        <v>46233</v>
      </c>
      <c r="C5908" s="1" t="n">
        <v>100</v>
      </c>
      <c r="D5908" s="1" t="s">
        <v>2457</v>
      </c>
      <c r="E5908" s="1" t="n">
        <v>42</v>
      </c>
      <c r="F5908" s="1" t="s">
        <v>80</v>
      </c>
      <c r="I5908" s="1" t="n">
        <v>1473953</v>
      </c>
      <c r="J5908" s="1" t="n">
        <v>100016</v>
      </c>
      <c r="K5908" s="1" t="n">
        <v>17</v>
      </c>
      <c r="L5908" s="1" t="s">
        <v>2445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5" t="n">
        <v>46233</v>
      </c>
      <c r="C5909" s="1" t="n">
        <v>100</v>
      </c>
      <c r="D5909" s="1" t="s">
        <v>2457</v>
      </c>
      <c r="E5909" s="1" t="n">
        <v>42</v>
      </c>
      <c r="F5909" s="1" t="s">
        <v>80</v>
      </c>
      <c r="I5909" s="1" t="n">
        <v>1473953</v>
      </c>
      <c r="J5909" s="1" t="n">
        <v>100017</v>
      </c>
      <c r="K5909" s="1" t="n">
        <v>18</v>
      </c>
      <c r="L5909" s="1" t="s">
        <v>2446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5" t="n">
        <v>46233</v>
      </c>
      <c r="C5910" s="1" t="n">
        <v>100</v>
      </c>
      <c r="D5910" s="1" t="s">
        <v>2457</v>
      </c>
      <c r="E5910" s="1" t="n">
        <v>42</v>
      </c>
      <c r="F5910" s="1" t="s">
        <v>80</v>
      </c>
      <c r="I5910" s="1" t="n">
        <v>1473953</v>
      </c>
      <c r="J5910" s="1" t="n">
        <v>100053</v>
      </c>
      <c r="K5910" s="1" t="n">
        <v>54</v>
      </c>
      <c r="L5910" s="1" t="s">
        <v>2447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5" t="n">
        <v>46233</v>
      </c>
      <c r="C5911" s="1" t="n">
        <v>100</v>
      </c>
      <c r="D5911" s="1" t="s">
        <v>2457</v>
      </c>
      <c r="E5911" s="1" t="n">
        <v>42</v>
      </c>
      <c r="F5911" s="1" t="s">
        <v>80</v>
      </c>
      <c r="I5911" s="1" t="n">
        <v>1473953</v>
      </c>
      <c r="J5911" s="1" t="n">
        <v>100638</v>
      </c>
      <c r="K5911" s="1" t="n">
        <v>508</v>
      </c>
      <c r="L5911" s="1" t="s">
        <v>2448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5" t="n">
        <v>46233</v>
      </c>
      <c r="C5912" s="1" t="n">
        <v>100</v>
      </c>
      <c r="D5912" s="1" t="s">
        <v>2457</v>
      </c>
      <c r="E5912" s="1" t="n">
        <v>42</v>
      </c>
      <c r="F5912" s="1" t="s">
        <v>80</v>
      </c>
      <c r="I5912" s="1" t="n">
        <v>1473953</v>
      </c>
      <c r="J5912" s="1" t="n">
        <v>100520</v>
      </c>
      <c r="K5912" s="1" t="n">
        <v>507</v>
      </c>
      <c r="L5912" s="1" t="s">
        <v>2449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5" t="n">
        <v>46233</v>
      </c>
      <c r="C5913" s="1" t="n">
        <v>100</v>
      </c>
      <c r="D5913" s="1" t="s">
        <v>2457</v>
      </c>
      <c r="E5913" s="1" t="n">
        <v>42</v>
      </c>
      <c r="F5913" s="1" t="s">
        <v>80</v>
      </c>
      <c r="I5913" s="1" t="n">
        <v>1473953</v>
      </c>
      <c r="J5913" s="1" t="n">
        <v>110455</v>
      </c>
      <c r="K5913" s="1" t="n">
        <v>53212</v>
      </c>
      <c r="L5913" s="1" t="s">
        <v>2450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5" t="n">
        <v>46233</v>
      </c>
      <c r="C5914" s="1" t="n">
        <v>100</v>
      </c>
      <c r="D5914" s="1" t="s">
        <v>2457</v>
      </c>
      <c r="E5914" s="1" t="n">
        <v>42</v>
      </c>
      <c r="F5914" s="1" t="s">
        <v>80</v>
      </c>
      <c r="I5914" s="1" t="n">
        <v>1474018</v>
      </c>
      <c r="J5914" s="1" t="n">
        <v>100000</v>
      </c>
      <c r="K5914" s="1" t="n">
        <v>1</v>
      </c>
      <c r="L5914" s="1" t="s">
        <v>2451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5" t="n">
        <v>46233</v>
      </c>
      <c r="C5915" s="1" t="n">
        <v>100</v>
      </c>
      <c r="D5915" s="1" t="s">
        <v>2457</v>
      </c>
      <c r="E5915" s="1" t="n">
        <v>42</v>
      </c>
      <c r="F5915" s="1" t="s">
        <v>80</v>
      </c>
      <c r="I5915" s="1" t="n">
        <v>1474018</v>
      </c>
      <c r="J5915" s="1" t="n">
        <v>100006</v>
      </c>
      <c r="K5915" s="1" t="n">
        <v>7</v>
      </c>
      <c r="L5915" s="1" t="s">
        <v>2437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5" t="n">
        <v>46233</v>
      </c>
      <c r="C5916" s="1" t="n">
        <v>100</v>
      </c>
      <c r="D5916" s="1" t="s">
        <v>2457</v>
      </c>
      <c r="E5916" s="1" t="n">
        <v>42</v>
      </c>
      <c r="F5916" s="1" t="s">
        <v>80</v>
      </c>
      <c r="I5916" s="1" t="n">
        <v>1474018</v>
      </c>
      <c r="J5916" s="1" t="n">
        <v>100008</v>
      </c>
      <c r="K5916" s="1" t="n">
        <v>9</v>
      </c>
      <c r="L5916" s="1" t="s">
        <v>2438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5" t="n">
        <v>46233</v>
      </c>
      <c r="C5917" s="1" t="n">
        <v>100</v>
      </c>
      <c r="D5917" s="1" t="s">
        <v>2457</v>
      </c>
      <c r="E5917" s="1" t="n">
        <v>42</v>
      </c>
      <c r="F5917" s="1" t="s">
        <v>80</v>
      </c>
      <c r="I5917" s="1" t="n">
        <v>1474018</v>
      </c>
      <c r="J5917" s="1" t="n">
        <v>100010</v>
      </c>
      <c r="K5917" s="1" t="n">
        <v>11</v>
      </c>
      <c r="L5917" s="1" t="s">
        <v>2439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5" t="n">
        <v>46233</v>
      </c>
      <c r="C5918" s="1" t="n">
        <v>100</v>
      </c>
      <c r="D5918" s="1" t="s">
        <v>2457</v>
      </c>
      <c r="E5918" s="1" t="n">
        <v>42</v>
      </c>
      <c r="F5918" s="1" t="s">
        <v>80</v>
      </c>
      <c r="I5918" s="1" t="n">
        <v>1474018</v>
      </c>
      <c r="J5918" s="1" t="n">
        <v>100011</v>
      </c>
      <c r="K5918" s="1" t="n">
        <v>12</v>
      </c>
      <c r="L5918" s="1" t="s">
        <v>2440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5" t="n">
        <v>46233</v>
      </c>
      <c r="C5919" s="1" t="n">
        <v>100</v>
      </c>
      <c r="D5919" s="1" t="s">
        <v>2457</v>
      </c>
      <c r="E5919" s="1" t="n">
        <v>42</v>
      </c>
      <c r="F5919" s="1" t="s">
        <v>80</v>
      </c>
      <c r="I5919" s="1" t="n">
        <v>1474018</v>
      </c>
      <c r="J5919" s="1" t="n">
        <v>100012</v>
      </c>
      <c r="K5919" s="1" t="n">
        <v>13</v>
      </c>
      <c r="L5919" s="1" t="s">
        <v>2441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5" t="n">
        <v>46233</v>
      </c>
      <c r="C5920" s="1" t="n">
        <v>100</v>
      </c>
      <c r="D5920" s="1" t="s">
        <v>2457</v>
      </c>
      <c r="E5920" s="1" t="n">
        <v>42</v>
      </c>
      <c r="F5920" s="1" t="s">
        <v>80</v>
      </c>
      <c r="I5920" s="1" t="n">
        <v>1474018</v>
      </c>
      <c r="J5920" s="1" t="n">
        <v>100013</v>
      </c>
      <c r="K5920" s="1" t="n">
        <v>14</v>
      </c>
      <c r="L5920" s="1" t="s">
        <v>2442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5" t="n">
        <v>46233</v>
      </c>
      <c r="C5921" s="1" t="n">
        <v>100</v>
      </c>
      <c r="D5921" s="1" t="s">
        <v>2457</v>
      </c>
      <c r="E5921" s="1" t="n">
        <v>42</v>
      </c>
      <c r="F5921" s="1" t="s">
        <v>80</v>
      </c>
      <c r="I5921" s="1" t="n">
        <v>1474018</v>
      </c>
      <c r="J5921" s="1" t="n">
        <v>100014</v>
      </c>
      <c r="K5921" s="1" t="n">
        <v>15</v>
      </c>
      <c r="L5921" s="1" t="s">
        <v>2443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5" t="n">
        <v>46233</v>
      </c>
      <c r="C5922" s="1" t="n">
        <v>100</v>
      </c>
      <c r="D5922" s="1" t="s">
        <v>2457</v>
      </c>
      <c r="E5922" s="1" t="n">
        <v>42</v>
      </c>
      <c r="F5922" s="1" t="s">
        <v>80</v>
      </c>
      <c r="I5922" s="1" t="n">
        <v>1474018</v>
      </c>
      <c r="J5922" s="1" t="n">
        <v>100015</v>
      </c>
      <c r="K5922" s="1" t="n">
        <v>16</v>
      </c>
      <c r="L5922" s="1" t="s">
        <v>2444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5" t="n">
        <v>46233</v>
      </c>
      <c r="C5923" s="1" t="n">
        <v>100</v>
      </c>
      <c r="D5923" s="1" t="s">
        <v>2457</v>
      </c>
      <c r="E5923" s="1" t="n">
        <v>42</v>
      </c>
      <c r="F5923" s="1" t="s">
        <v>80</v>
      </c>
      <c r="I5923" s="1" t="n">
        <v>1474018</v>
      </c>
      <c r="J5923" s="1" t="n">
        <v>100016</v>
      </c>
      <c r="K5923" s="1" t="n">
        <v>17</v>
      </c>
      <c r="L5923" s="1" t="s">
        <v>2445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5" t="n">
        <v>46233</v>
      </c>
      <c r="C5924" s="1" t="n">
        <v>100</v>
      </c>
      <c r="D5924" s="1" t="s">
        <v>2457</v>
      </c>
      <c r="E5924" s="1" t="n">
        <v>42</v>
      </c>
      <c r="F5924" s="1" t="s">
        <v>80</v>
      </c>
      <c r="I5924" s="1" t="n">
        <v>1474018</v>
      </c>
      <c r="J5924" s="1" t="n">
        <v>100017</v>
      </c>
      <c r="K5924" s="1" t="n">
        <v>18</v>
      </c>
      <c r="L5924" s="1" t="s">
        <v>2446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5" t="n">
        <v>46233</v>
      </c>
      <c r="C5925" s="1" t="n">
        <v>100</v>
      </c>
      <c r="D5925" s="1" t="s">
        <v>2457</v>
      </c>
      <c r="E5925" s="1" t="n">
        <v>42</v>
      </c>
      <c r="F5925" s="1" t="s">
        <v>80</v>
      </c>
      <c r="I5925" s="1" t="n">
        <v>1474018</v>
      </c>
      <c r="J5925" s="1" t="n">
        <v>100019</v>
      </c>
      <c r="K5925" s="1" t="n">
        <v>20</v>
      </c>
      <c r="L5925" s="1" t="s">
        <v>4136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5" t="n">
        <v>46233</v>
      </c>
      <c r="C5926" s="1" t="n">
        <v>100</v>
      </c>
      <c r="D5926" s="1" t="s">
        <v>2457</v>
      </c>
      <c r="E5926" s="1" t="n">
        <v>42</v>
      </c>
      <c r="F5926" s="1" t="s">
        <v>80</v>
      </c>
      <c r="I5926" s="1" t="n">
        <v>1474018</v>
      </c>
      <c r="J5926" s="1" t="n">
        <v>100053</v>
      </c>
      <c r="K5926" s="1" t="n">
        <v>54</v>
      </c>
      <c r="L5926" s="1" t="s">
        <v>2447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5" t="n">
        <v>46233</v>
      </c>
      <c r="C5927" s="1" t="n">
        <v>100</v>
      </c>
      <c r="D5927" s="1" t="s">
        <v>2457</v>
      </c>
      <c r="E5927" s="1" t="n">
        <v>42</v>
      </c>
      <c r="F5927" s="1" t="s">
        <v>80</v>
      </c>
      <c r="I5927" s="1" t="n">
        <v>1474018</v>
      </c>
      <c r="J5927" s="1" t="n">
        <v>100638</v>
      </c>
      <c r="K5927" s="1" t="n">
        <v>508</v>
      </c>
      <c r="L5927" s="1" t="s">
        <v>2448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5" t="n">
        <v>46233</v>
      </c>
      <c r="C5928" s="1" t="n">
        <v>100</v>
      </c>
      <c r="D5928" s="1" t="s">
        <v>2457</v>
      </c>
      <c r="E5928" s="1" t="n">
        <v>42</v>
      </c>
      <c r="F5928" s="1" t="s">
        <v>80</v>
      </c>
      <c r="I5928" s="1" t="n">
        <v>1474018</v>
      </c>
      <c r="J5928" s="1" t="n">
        <v>100520</v>
      </c>
      <c r="K5928" s="1" t="n">
        <v>507</v>
      </c>
      <c r="L5928" s="1" t="s">
        <v>2449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5" t="n">
        <v>46233</v>
      </c>
      <c r="C5929" s="1" t="n">
        <v>100</v>
      </c>
      <c r="D5929" s="1" t="s">
        <v>2457</v>
      </c>
      <c r="E5929" s="1" t="n">
        <v>42</v>
      </c>
      <c r="F5929" s="1" t="s">
        <v>80</v>
      </c>
      <c r="I5929" s="1" t="n">
        <v>1474018</v>
      </c>
      <c r="J5929" s="1" t="n">
        <v>110455</v>
      </c>
      <c r="K5929" s="1" t="n">
        <v>53212</v>
      </c>
      <c r="L5929" s="1" t="s">
        <v>2450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5" t="n">
        <v>46233</v>
      </c>
      <c r="C5930" s="1" t="n">
        <v>100</v>
      </c>
      <c r="D5930" s="1" t="s">
        <v>2457</v>
      </c>
      <c r="E5930" s="1" t="n">
        <v>42</v>
      </c>
      <c r="F5930" s="1" t="s">
        <v>80</v>
      </c>
      <c r="I5930" s="1" t="n">
        <v>1474021</v>
      </c>
      <c r="J5930" s="1" t="n">
        <v>100000</v>
      </c>
      <c r="K5930" s="1" t="n">
        <v>1</v>
      </c>
      <c r="L5930" s="1" t="s">
        <v>2451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5" t="n">
        <v>46233</v>
      </c>
      <c r="C5931" s="1" t="n">
        <v>100</v>
      </c>
      <c r="D5931" s="1" t="s">
        <v>2457</v>
      </c>
      <c r="E5931" s="1" t="n">
        <v>42</v>
      </c>
      <c r="F5931" s="1" t="s">
        <v>80</v>
      </c>
      <c r="I5931" s="1" t="n">
        <v>1474021</v>
      </c>
      <c r="J5931" s="1" t="n">
        <v>100001</v>
      </c>
      <c r="K5931" s="1" t="n">
        <v>2</v>
      </c>
      <c r="L5931" s="1" t="s">
        <v>2452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5" t="n">
        <v>46233</v>
      </c>
      <c r="C5932" s="1" t="n">
        <v>100</v>
      </c>
      <c r="D5932" s="1" t="s">
        <v>2457</v>
      </c>
      <c r="E5932" s="1" t="n">
        <v>42</v>
      </c>
      <c r="F5932" s="1" t="s">
        <v>80</v>
      </c>
      <c r="I5932" s="1" t="n">
        <v>1474021</v>
      </c>
      <c r="J5932" s="1" t="n">
        <v>100002</v>
      </c>
      <c r="K5932" s="1" t="n">
        <v>3</v>
      </c>
      <c r="L5932" s="1" t="s">
        <v>2453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5" t="n">
        <v>46233</v>
      </c>
      <c r="C5933" s="1" t="n">
        <v>100</v>
      </c>
      <c r="D5933" s="1" t="s">
        <v>2457</v>
      </c>
      <c r="E5933" s="1" t="n">
        <v>42</v>
      </c>
      <c r="F5933" s="1" t="s">
        <v>80</v>
      </c>
      <c r="I5933" s="1" t="n">
        <v>1474021</v>
      </c>
      <c r="J5933" s="1" t="n">
        <v>100003</v>
      </c>
      <c r="K5933" s="1" t="n">
        <v>4</v>
      </c>
      <c r="L5933" s="1" t="s">
        <v>2454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5" t="n">
        <v>46233</v>
      </c>
      <c r="C5934" s="1" t="n">
        <v>100</v>
      </c>
      <c r="D5934" s="1" t="s">
        <v>2457</v>
      </c>
      <c r="E5934" s="1" t="n">
        <v>42</v>
      </c>
      <c r="F5934" s="1" t="s">
        <v>80</v>
      </c>
      <c r="I5934" s="1" t="n">
        <v>1474021</v>
      </c>
      <c r="J5934" s="1" t="n">
        <v>100007</v>
      </c>
      <c r="K5934" s="1" t="n">
        <v>8</v>
      </c>
      <c r="L5934" s="1" t="s">
        <v>2455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5" t="n">
        <v>46233</v>
      </c>
      <c r="C5935" s="1" t="n">
        <v>100</v>
      </c>
      <c r="D5935" s="1" t="s">
        <v>2457</v>
      </c>
      <c r="E5935" s="1" t="n">
        <v>42</v>
      </c>
      <c r="F5935" s="1" t="s">
        <v>80</v>
      </c>
      <c r="I5935" s="1" t="n">
        <v>1474021</v>
      </c>
      <c r="J5935" s="1" t="n">
        <v>100638</v>
      </c>
      <c r="K5935" s="1" t="n">
        <v>508</v>
      </c>
      <c r="L5935" s="1" t="s">
        <v>2448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5" t="n">
        <v>46233</v>
      </c>
      <c r="C5936" s="1" t="n">
        <v>100</v>
      </c>
      <c r="D5936" s="1" t="s">
        <v>2457</v>
      </c>
      <c r="E5936" s="1" t="n">
        <v>42</v>
      </c>
      <c r="F5936" s="1" t="s">
        <v>80</v>
      </c>
      <c r="I5936" s="1" t="n">
        <v>1474021</v>
      </c>
      <c r="J5936" s="1" t="n">
        <v>100520</v>
      </c>
      <c r="K5936" s="1" t="n">
        <v>507</v>
      </c>
      <c r="L5936" s="1" t="s">
        <v>2449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5" t="n">
        <v>46233</v>
      </c>
      <c r="C5937" s="1" t="n">
        <v>100</v>
      </c>
      <c r="D5937" s="1" t="s">
        <v>2457</v>
      </c>
      <c r="E5937" s="1" t="n">
        <v>42</v>
      </c>
      <c r="F5937" s="1" t="s">
        <v>80</v>
      </c>
      <c r="I5937" s="1" t="n">
        <v>1474021</v>
      </c>
      <c r="J5937" s="1" t="n">
        <v>110455</v>
      </c>
      <c r="K5937" s="1" t="n">
        <v>53212</v>
      </c>
      <c r="L5937" s="1" t="s">
        <v>2450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5" t="n">
        <v>46233</v>
      </c>
      <c r="C5938" s="1" t="n">
        <v>100</v>
      </c>
      <c r="D5938" s="1" t="s">
        <v>2457</v>
      </c>
      <c r="E5938" s="1" t="n">
        <v>42</v>
      </c>
      <c r="F5938" s="1" t="s">
        <v>80</v>
      </c>
      <c r="I5938" s="1" t="n">
        <v>1474024</v>
      </c>
      <c r="J5938" s="1" t="n">
        <v>100004</v>
      </c>
      <c r="K5938" s="1" t="n">
        <v>5</v>
      </c>
      <c r="L5938" s="1" t="s">
        <v>2667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5" t="n">
        <v>46233</v>
      </c>
      <c r="C5939" s="1" t="n">
        <v>100</v>
      </c>
      <c r="D5939" s="1" t="s">
        <v>2457</v>
      </c>
      <c r="E5939" s="1" t="n">
        <v>42</v>
      </c>
      <c r="F5939" s="1" t="s">
        <v>80</v>
      </c>
      <c r="I5939" s="1" t="n">
        <v>1474024</v>
      </c>
      <c r="J5939" s="1" t="n">
        <v>100020</v>
      </c>
      <c r="K5939" s="1" t="n">
        <v>21</v>
      </c>
      <c r="L5939" s="1" t="s">
        <v>2456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5" t="n">
        <v>46233</v>
      </c>
      <c r="C5940" s="1" t="n">
        <v>100</v>
      </c>
      <c r="D5940" s="1" t="s">
        <v>2457</v>
      </c>
      <c r="E5940" s="1" t="n">
        <v>42</v>
      </c>
      <c r="F5940" s="1" t="s">
        <v>80</v>
      </c>
      <c r="I5940" s="1" t="n">
        <v>1474024</v>
      </c>
      <c r="J5940" s="1" t="n">
        <v>100638</v>
      </c>
      <c r="K5940" s="1" t="n">
        <v>508</v>
      </c>
      <c r="L5940" s="1" t="s">
        <v>2448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5" t="n">
        <v>46233</v>
      </c>
      <c r="C5941" s="1" t="n">
        <v>100</v>
      </c>
      <c r="D5941" s="1" t="s">
        <v>2457</v>
      </c>
      <c r="E5941" s="1" t="n">
        <v>42</v>
      </c>
      <c r="F5941" s="1" t="s">
        <v>80</v>
      </c>
      <c r="I5941" s="1" t="n">
        <v>1474024</v>
      </c>
      <c r="J5941" s="1" t="n">
        <v>110455</v>
      </c>
      <c r="K5941" s="1" t="n">
        <v>53212</v>
      </c>
      <c r="L5941" s="1" t="s">
        <v>2450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5" t="n">
        <v>46233</v>
      </c>
      <c r="C5942" s="1" t="n">
        <v>100</v>
      </c>
      <c r="D5942" s="1" t="s">
        <v>2457</v>
      </c>
      <c r="E5942" s="1" t="n">
        <v>42</v>
      </c>
      <c r="F5942" s="1" t="s">
        <v>80</v>
      </c>
      <c r="I5942" s="1" t="n">
        <v>1474027</v>
      </c>
      <c r="J5942" s="1" t="n">
        <v>100004</v>
      </c>
      <c r="K5942" s="1" t="n">
        <v>5</v>
      </c>
      <c r="L5942" s="1" t="s">
        <v>2667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5" t="n">
        <v>46233</v>
      </c>
      <c r="C5943" s="1" t="n">
        <v>100</v>
      </c>
      <c r="D5943" s="1" t="s">
        <v>2457</v>
      </c>
      <c r="E5943" s="1" t="n">
        <v>42</v>
      </c>
      <c r="F5943" s="1" t="s">
        <v>80</v>
      </c>
      <c r="I5943" s="1" t="n">
        <v>1474027</v>
      </c>
      <c r="J5943" s="1" t="n">
        <v>100020</v>
      </c>
      <c r="K5943" s="1" t="n">
        <v>21</v>
      </c>
      <c r="L5943" s="1" t="s">
        <v>2456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5" t="n">
        <v>46233</v>
      </c>
      <c r="C5944" s="1" t="n">
        <v>100</v>
      </c>
      <c r="D5944" s="1" t="s">
        <v>2457</v>
      </c>
      <c r="E5944" s="1" t="n">
        <v>42</v>
      </c>
      <c r="F5944" s="1" t="s">
        <v>80</v>
      </c>
      <c r="I5944" s="1" t="n">
        <v>1474027</v>
      </c>
      <c r="J5944" s="1" t="n">
        <v>100638</v>
      </c>
      <c r="K5944" s="1" t="n">
        <v>508</v>
      </c>
      <c r="L5944" s="1" t="s">
        <v>2448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5" t="n">
        <v>46233</v>
      </c>
      <c r="C5945" s="1" t="n">
        <v>100</v>
      </c>
      <c r="D5945" s="1" t="s">
        <v>2457</v>
      </c>
      <c r="E5945" s="1" t="n">
        <v>42</v>
      </c>
      <c r="F5945" s="1" t="s">
        <v>80</v>
      </c>
      <c r="I5945" s="1" t="n">
        <v>1474027</v>
      </c>
      <c r="J5945" s="1" t="n">
        <v>110455</v>
      </c>
      <c r="K5945" s="1" t="n">
        <v>53212</v>
      </c>
      <c r="L5945" s="1" t="s">
        <v>2450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5" t="n">
        <v>46234</v>
      </c>
      <c r="C5946" s="1" t="n">
        <v>1</v>
      </c>
      <c r="D5946" s="1" t="s">
        <v>2317</v>
      </c>
      <c r="E5946" s="1" t="n">
        <v>10035</v>
      </c>
      <c r="F5946" s="1" t="s">
        <v>227</v>
      </c>
      <c r="I5946" s="1" t="n">
        <v>388</v>
      </c>
      <c r="J5946" s="1" t="n">
        <v>38652</v>
      </c>
      <c r="K5946" s="1" t="n">
        <v>7898994684220</v>
      </c>
      <c r="L5946" s="1" t="s">
        <v>2458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5" t="n">
        <v>46234</v>
      </c>
      <c r="C5947" s="1" t="n">
        <v>1</v>
      </c>
      <c r="D5947" s="1" t="s">
        <v>2317</v>
      </c>
      <c r="E5947" s="1" t="n">
        <v>10035</v>
      </c>
      <c r="F5947" s="1" t="s">
        <v>227</v>
      </c>
      <c r="I5947" s="1" t="n">
        <v>388</v>
      </c>
      <c r="J5947" s="1" t="n">
        <v>38653</v>
      </c>
      <c r="K5947" s="1" t="n">
        <v>7898994684275</v>
      </c>
      <c r="L5947" s="1" t="s">
        <v>2459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5" t="n">
        <v>46234</v>
      </c>
      <c r="C5948" s="1" t="n">
        <v>1</v>
      </c>
      <c r="D5948" s="1" t="s">
        <v>2317</v>
      </c>
      <c r="E5948" s="1" t="n">
        <v>10035</v>
      </c>
      <c r="F5948" s="1" t="s">
        <v>227</v>
      </c>
      <c r="I5948" s="1" t="n">
        <v>388</v>
      </c>
      <c r="J5948" s="1" t="n">
        <v>43726</v>
      </c>
      <c r="K5948" s="1" t="n">
        <v>2245461</v>
      </c>
      <c r="L5948" s="1" t="s">
        <v>2460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5" t="n">
        <v>46234</v>
      </c>
      <c r="C5949" s="1" t="n">
        <v>6</v>
      </c>
      <c r="D5949" s="1" t="s">
        <v>2289</v>
      </c>
      <c r="E5949" s="1" t="n">
        <v>42</v>
      </c>
      <c r="F5949" s="1" t="s">
        <v>80</v>
      </c>
      <c r="I5949" s="1" t="n">
        <v>4445</v>
      </c>
      <c r="J5949" s="1" t="n">
        <v>74674</v>
      </c>
      <c r="K5949" s="1" t="n">
        <v>741</v>
      </c>
      <c r="L5949" s="1" t="s">
        <v>2919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5" t="n">
        <v>46234</v>
      </c>
      <c r="C5950" s="1" t="n">
        <v>6</v>
      </c>
      <c r="D5950" s="1" t="s">
        <v>2289</v>
      </c>
      <c r="E5950" s="1" t="n">
        <v>42</v>
      </c>
      <c r="F5950" s="1" t="s">
        <v>80</v>
      </c>
      <c r="I5950" s="1" t="n">
        <v>4446</v>
      </c>
      <c r="J5950" s="1" t="n">
        <v>109791</v>
      </c>
      <c r="K5950" s="1" t="n">
        <v>9667</v>
      </c>
      <c r="L5950" s="1" t="s">
        <v>2284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5" t="n">
        <v>46234</v>
      </c>
      <c r="C5951" s="1" t="n">
        <v>6</v>
      </c>
      <c r="D5951" s="1" t="s">
        <v>2289</v>
      </c>
      <c r="E5951" s="1" t="n">
        <v>42</v>
      </c>
      <c r="F5951" s="1" t="s">
        <v>80</v>
      </c>
      <c r="I5951" s="1" t="n">
        <v>4446</v>
      </c>
      <c r="J5951" s="1" t="n">
        <v>37359</v>
      </c>
      <c r="K5951" s="1" t="n">
        <v>55526</v>
      </c>
      <c r="L5951" s="1" t="s">
        <v>2285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5" t="n">
        <v>46234</v>
      </c>
      <c r="C5952" s="1" t="n">
        <v>6</v>
      </c>
      <c r="D5952" s="1" t="s">
        <v>2289</v>
      </c>
      <c r="E5952" s="1" t="n">
        <v>42</v>
      </c>
      <c r="F5952" s="1" t="s">
        <v>80</v>
      </c>
      <c r="I5952" s="1" t="n">
        <v>4446</v>
      </c>
      <c r="J5952" s="1" t="n">
        <v>37361</v>
      </c>
      <c r="K5952" s="1" t="n">
        <v>2240817</v>
      </c>
      <c r="L5952" s="1" t="s">
        <v>2286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5" t="n">
        <v>46234</v>
      </c>
      <c r="C5953" s="1" t="n">
        <v>6</v>
      </c>
      <c r="D5953" s="1" t="s">
        <v>2289</v>
      </c>
      <c r="E5953" s="1" t="n">
        <v>42</v>
      </c>
      <c r="F5953" s="1" t="s">
        <v>80</v>
      </c>
      <c r="I5953" s="1" t="n">
        <v>4447</v>
      </c>
      <c r="J5953" s="1" t="n">
        <v>100062</v>
      </c>
      <c r="K5953" s="1" t="n">
        <v>63</v>
      </c>
      <c r="L5953" s="1" t="s">
        <v>2320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5" t="n">
        <v>46234</v>
      </c>
      <c r="C5954" s="1" t="n">
        <v>6</v>
      </c>
      <c r="D5954" s="1" t="s">
        <v>2289</v>
      </c>
      <c r="E5954" s="1" t="n">
        <v>42</v>
      </c>
      <c r="F5954" s="1" t="s">
        <v>80</v>
      </c>
      <c r="I5954" s="1" t="n">
        <v>4447</v>
      </c>
      <c r="J5954" s="1" t="n">
        <v>100104</v>
      </c>
      <c r="K5954" s="1" t="n">
        <v>105</v>
      </c>
      <c r="L5954" s="1" t="s">
        <v>2321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5" t="n">
        <v>46234</v>
      </c>
      <c r="C5955" s="1" t="n">
        <v>6</v>
      </c>
      <c r="D5955" s="1" t="s">
        <v>2289</v>
      </c>
      <c r="E5955" s="1" t="n">
        <v>42</v>
      </c>
      <c r="F5955" s="1" t="s">
        <v>80</v>
      </c>
      <c r="I5955" s="1" t="n">
        <v>4447</v>
      </c>
      <c r="J5955" s="1" t="n">
        <v>100109</v>
      </c>
      <c r="K5955" s="1" t="n">
        <v>110</v>
      </c>
      <c r="L5955" s="1" t="s">
        <v>2324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5" t="n">
        <v>46234</v>
      </c>
      <c r="C5956" s="1" t="n">
        <v>6</v>
      </c>
      <c r="D5956" s="1" t="s">
        <v>2289</v>
      </c>
      <c r="E5956" s="1" t="n">
        <v>42</v>
      </c>
      <c r="F5956" s="1" t="s">
        <v>80</v>
      </c>
      <c r="I5956" s="1" t="n">
        <v>4447</v>
      </c>
      <c r="J5956" s="1" t="n">
        <v>100113</v>
      </c>
      <c r="K5956" s="1" t="n">
        <v>114</v>
      </c>
      <c r="L5956" s="1" t="s">
        <v>2326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5" t="n">
        <v>46234</v>
      </c>
      <c r="C5957" s="1" t="n">
        <v>6</v>
      </c>
      <c r="D5957" s="1" t="s">
        <v>2289</v>
      </c>
      <c r="E5957" s="1" t="n">
        <v>42</v>
      </c>
      <c r="F5957" s="1" t="s">
        <v>80</v>
      </c>
      <c r="I5957" s="1" t="n">
        <v>4447</v>
      </c>
      <c r="J5957" s="1" t="n">
        <v>100115</v>
      </c>
      <c r="K5957" s="1" t="n">
        <v>116</v>
      </c>
      <c r="L5957" s="1" t="s">
        <v>2474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5" t="n">
        <v>46234</v>
      </c>
      <c r="C5958" s="1" t="n">
        <v>6</v>
      </c>
      <c r="D5958" s="1" t="s">
        <v>2289</v>
      </c>
      <c r="E5958" s="1" t="n">
        <v>42</v>
      </c>
      <c r="F5958" s="1" t="s">
        <v>80</v>
      </c>
      <c r="I5958" s="1" t="n">
        <v>4447</v>
      </c>
      <c r="J5958" s="1" t="n">
        <v>100116</v>
      </c>
      <c r="K5958" s="1" t="n">
        <v>117</v>
      </c>
      <c r="L5958" s="1" t="s">
        <v>2327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5" t="n">
        <v>46234</v>
      </c>
      <c r="C5959" s="1" t="n">
        <v>6</v>
      </c>
      <c r="D5959" s="1" t="s">
        <v>2289</v>
      </c>
      <c r="E5959" s="1" t="n">
        <v>42</v>
      </c>
      <c r="F5959" s="1" t="s">
        <v>80</v>
      </c>
      <c r="I5959" s="1" t="n">
        <v>4447</v>
      </c>
      <c r="J5959" s="1" t="n">
        <v>100118</v>
      </c>
      <c r="K5959" s="1" t="n">
        <v>119</v>
      </c>
      <c r="L5959" s="1" t="s">
        <v>2328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5" t="n">
        <v>46234</v>
      </c>
      <c r="C5960" s="1" t="n">
        <v>6</v>
      </c>
      <c r="D5960" s="1" t="s">
        <v>2289</v>
      </c>
      <c r="E5960" s="1" t="n">
        <v>42</v>
      </c>
      <c r="F5960" s="1" t="s">
        <v>80</v>
      </c>
      <c r="I5960" s="1" t="n">
        <v>4447</v>
      </c>
      <c r="J5960" s="1" t="n">
        <v>100121</v>
      </c>
      <c r="K5960" s="1" t="n">
        <v>122</v>
      </c>
      <c r="L5960" s="1" t="s">
        <v>2329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5" t="n">
        <v>46234</v>
      </c>
      <c r="C5961" s="1" t="n">
        <v>6</v>
      </c>
      <c r="D5961" s="1" t="s">
        <v>2289</v>
      </c>
      <c r="E5961" s="1" t="n">
        <v>42</v>
      </c>
      <c r="F5961" s="1" t="s">
        <v>80</v>
      </c>
      <c r="I5961" s="1" t="n">
        <v>4447</v>
      </c>
      <c r="J5961" s="1" t="n">
        <v>100122</v>
      </c>
      <c r="K5961" s="1" t="n">
        <v>123</v>
      </c>
      <c r="L5961" s="1" t="s">
        <v>2330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5" t="n">
        <v>46234</v>
      </c>
      <c r="C5962" s="1" t="n">
        <v>6</v>
      </c>
      <c r="D5962" s="1" t="s">
        <v>2289</v>
      </c>
      <c r="E5962" s="1" t="n">
        <v>42</v>
      </c>
      <c r="F5962" s="1" t="s">
        <v>80</v>
      </c>
      <c r="I5962" s="1" t="n">
        <v>4447</v>
      </c>
      <c r="J5962" s="1" t="n">
        <v>100123</v>
      </c>
      <c r="K5962" s="1" t="n">
        <v>124</v>
      </c>
      <c r="L5962" s="1" t="s">
        <v>2475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5" t="n">
        <v>46234</v>
      </c>
      <c r="C5963" s="1" t="n">
        <v>6</v>
      </c>
      <c r="D5963" s="1" t="s">
        <v>2289</v>
      </c>
      <c r="E5963" s="1" t="n">
        <v>42</v>
      </c>
      <c r="F5963" s="1" t="s">
        <v>80</v>
      </c>
      <c r="I5963" s="1" t="n">
        <v>4447</v>
      </c>
      <c r="J5963" s="1" t="n">
        <v>100124</v>
      </c>
      <c r="K5963" s="1" t="n">
        <v>125</v>
      </c>
      <c r="L5963" s="1" t="s">
        <v>2476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5" t="n">
        <v>46234</v>
      </c>
      <c r="C5964" s="1" t="n">
        <v>6</v>
      </c>
      <c r="D5964" s="1" t="s">
        <v>2289</v>
      </c>
      <c r="E5964" s="1" t="n">
        <v>42</v>
      </c>
      <c r="F5964" s="1" t="s">
        <v>80</v>
      </c>
      <c r="I5964" s="1" t="n">
        <v>4447</v>
      </c>
      <c r="J5964" s="1" t="n">
        <v>100125</v>
      </c>
      <c r="K5964" s="1" t="n">
        <v>126</v>
      </c>
      <c r="L5964" s="1" t="s">
        <v>2477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5" t="n">
        <v>46234</v>
      </c>
      <c r="C5965" s="1" t="n">
        <v>6</v>
      </c>
      <c r="D5965" s="1" t="s">
        <v>2289</v>
      </c>
      <c r="E5965" s="1" t="n">
        <v>42</v>
      </c>
      <c r="F5965" s="1" t="s">
        <v>80</v>
      </c>
      <c r="I5965" s="1" t="n">
        <v>4447</v>
      </c>
      <c r="J5965" s="1" t="n">
        <v>100132</v>
      </c>
      <c r="K5965" s="1" t="n">
        <v>133</v>
      </c>
      <c r="L5965" s="1" t="s">
        <v>3104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5" t="n">
        <v>46234</v>
      </c>
      <c r="C5966" s="1" t="n">
        <v>6</v>
      </c>
      <c r="D5966" s="1" t="s">
        <v>2289</v>
      </c>
      <c r="E5966" s="1" t="n">
        <v>42</v>
      </c>
      <c r="F5966" s="1" t="s">
        <v>80</v>
      </c>
      <c r="I5966" s="1" t="n">
        <v>4447</v>
      </c>
      <c r="J5966" s="1" t="n">
        <v>100133</v>
      </c>
      <c r="K5966" s="1" t="n">
        <v>134</v>
      </c>
      <c r="L5966" s="1" t="s">
        <v>2332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5" t="n">
        <v>46234</v>
      </c>
      <c r="C5967" s="1" t="n">
        <v>6</v>
      </c>
      <c r="D5967" s="1" t="s">
        <v>2289</v>
      </c>
      <c r="E5967" s="1" t="n">
        <v>42</v>
      </c>
      <c r="F5967" s="1" t="s">
        <v>80</v>
      </c>
      <c r="I5967" s="1" t="n">
        <v>4447</v>
      </c>
      <c r="J5967" s="1" t="n">
        <v>100148</v>
      </c>
      <c r="K5967" s="1" t="n">
        <v>149</v>
      </c>
      <c r="L5967" s="1" t="s">
        <v>2676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5" t="n">
        <v>46234</v>
      </c>
      <c r="C5968" s="1" t="n">
        <v>6</v>
      </c>
      <c r="D5968" s="1" t="s">
        <v>2289</v>
      </c>
      <c r="E5968" s="1" t="n">
        <v>42</v>
      </c>
      <c r="F5968" s="1" t="s">
        <v>80</v>
      </c>
      <c r="I5968" s="1" t="n">
        <v>4447</v>
      </c>
      <c r="J5968" s="1" t="n">
        <v>110142</v>
      </c>
      <c r="K5968" s="1" t="n">
        <v>16699</v>
      </c>
      <c r="L5968" s="1" t="s">
        <v>2334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5" t="n">
        <v>46234</v>
      </c>
      <c r="C5969" s="1" t="n">
        <v>6</v>
      </c>
      <c r="D5969" s="1" t="s">
        <v>2289</v>
      </c>
      <c r="E5969" s="1" t="n">
        <v>42</v>
      </c>
      <c r="F5969" s="1" t="s">
        <v>80</v>
      </c>
      <c r="I5969" s="1" t="n">
        <v>4447</v>
      </c>
      <c r="J5969" s="1" t="n">
        <v>110265</v>
      </c>
      <c r="K5969" s="1" t="n">
        <v>41346</v>
      </c>
      <c r="L5969" s="1" t="s">
        <v>2478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5" t="n">
        <v>46234</v>
      </c>
      <c r="C5970" s="1" t="n">
        <v>11</v>
      </c>
      <c r="D5970" s="1" t="s">
        <v>2290</v>
      </c>
      <c r="E5970" s="1" t="n">
        <v>875</v>
      </c>
      <c r="F5970" s="1" t="s">
        <v>630</v>
      </c>
      <c r="I5970" s="1" t="n">
        <v>1887</v>
      </c>
      <c r="J5970" s="1" t="n">
        <v>59227</v>
      </c>
      <c r="K5970" s="1" t="n">
        <v>7908124297876</v>
      </c>
      <c r="L5970" s="1" t="s">
        <v>4346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5" t="n">
        <v>46234</v>
      </c>
      <c r="C5971" s="1" t="n">
        <v>11</v>
      </c>
      <c r="D5971" s="1" t="s">
        <v>2290</v>
      </c>
      <c r="E5971" s="1" t="n">
        <v>875</v>
      </c>
      <c r="F5971" s="1" t="s">
        <v>630</v>
      </c>
      <c r="I5971" s="1" t="n">
        <v>1887</v>
      </c>
      <c r="J5971" s="1" t="n">
        <v>59622</v>
      </c>
      <c r="K5971" s="1" t="n">
        <v>819725</v>
      </c>
      <c r="L5971" s="1" t="s">
        <v>4347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5" t="n">
        <v>46234</v>
      </c>
      <c r="C5972" s="1" t="n">
        <v>11</v>
      </c>
      <c r="D5972" s="1" t="s">
        <v>2290</v>
      </c>
      <c r="E5972" s="1" t="n">
        <v>875</v>
      </c>
      <c r="F5972" s="1" t="s">
        <v>630</v>
      </c>
      <c r="I5972" s="1" t="n">
        <v>1887</v>
      </c>
      <c r="J5972" s="1" t="n">
        <v>59625</v>
      </c>
      <c r="K5972" s="1" t="n">
        <v>7899612200334</v>
      </c>
      <c r="L5972" s="1" t="s">
        <v>4348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5" t="n">
        <v>46234</v>
      </c>
      <c r="C5973" s="1" t="n">
        <v>11</v>
      </c>
      <c r="D5973" s="1" t="s">
        <v>2290</v>
      </c>
      <c r="E5973" s="1" t="n">
        <v>875</v>
      </c>
      <c r="F5973" s="1" t="s">
        <v>630</v>
      </c>
      <c r="I5973" s="1" t="n">
        <v>1887</v>
      </c>
      <c r="J5973" s="1" t="n">
        <v>60427</v>
      </c>
      <c r="K5973" s="1" t="n">
        <v>7899085126087</v>
      </c>
      <c r="L5973" s="1" t="s">
        <v>4349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5" t="n">
        <v>46234</v>
      </c>
      <c r="C5974" s="1" t="n">
        <v>11</v>
      </c>
      <c r="D5974" s="1" t="s">
        <v>2290</v>
      </c>
      <c r="E5974" s="1" t="n">
        <v>875</v>
      </c>
      <c r="F5974" s="1" t="s">
        <v>630</v>
      </c>
      <c r="I5974" s="1" t="n">
        <v>1887</v>
      </c>
      <c r="J5974" s="1" t="n">
        <v>63003</v>
      </c>
      <c r="K5974" s="1" t="n">
        <v>7899454402521</v>
      </c>
      <c r="L5974" s="1" t="s">
        <v>4350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5" t="n">
        <v>46234</v>
      </c>
      <c r="C5975" s="1" t="n">
        <v>11</v>
      </c>
      <c r="D5975" s="1" t="s">
        <v>2290</v>
      </c>
      <c r="E5975" s="1" t="n">
        <v>875</v>
      </c>
      <c r="F5975" s="1" t="s">
        <v>630</v>
      </c>
      <c r="I5975" s="1" t="n">
        <v>1887</v>
      </c>
      <c r="J5975" s="1" t="n">
        <v>65505</v>
      </c>
      <c r="K5975" s="1" t="n">
        <v>7899085714109</v>
      </c>
      <c r="L5975" s="1" t="s">
        <v>4351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5" t="n">
        <v>46234</v>
      </c>
      <c r="C5976" s="1" t="n">
        <v>11</v>
      </c>
      <c r="D5976" s="1" t="s">
        <v>2290</v>
      </c>
      <c r="E5976" s="1" t="n">
        <v>875</v>
      </c>
      <c r="F5976" s="1" t="s">
        <v>630</v>
      </c>
      <c r="I5976" s="1" t="n">
        <v>1887</v>
      </c>
      <c r="J5976" s="1" t="n">
        <v>66039</v>
      </c>
      <c r="K5976" s="1" t="n">
        <v>7898729411619</v>
      </c>
      <c r="L5976" s="1" t="s">
        <v>4352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5" t="n">
        <v>46234</v>
      </c>
      <c r="C5977" s="1" t="n">
        <v>11</v>
      </c>
      <c r="D5977" s="1" t="s">
        <v>2290</v>
      </c>
      <c r="E5977" s="1" t="n">
        <v>875</v>
      </c>
      <c r="F5977" s="1" t="s">
        <v>630</v>
      </c>
      <c r="I5977" s="1" t="n">
        <v>1887</v>
      </c>
      <c r="J5977" s="1" t="n">
        <v>78644</v>
      </c>
      <c r="K5977" s="1" t="n">
        <v>7908782208795</v>
      </c>
      <c r="L5977" s="1" t="s">
        <v>4353</v>
      </c>
      <c r="N5977" s="1" t="n">
        <v>6</v>
      </c>
      <c r="O5977" s="1" t="n">
        <v>102</v>
      </c>
    </row>
    <row r="5978" customFormat="false" ht="15" hidden="false" customHeight="true" outlineLevel="0" collapsed="false">
      <c r="A5978" s="1" t="n">
        <v>3</v>
      </c>
      <c r="B5978" s="15" t="n">
        <v>46234</v>
      </c>
      <c r="C5978" s="1" t="n">
        <v>11</v>
      </c>
      <c r="D5978" s="1" t="s">
        <v>2290</v>
      </c>
      <c r="E5978" s="1" t="n">
        <v>875</v>
      </c>
      <c r="F5978" s="1" t="s">
        <v>630</v>
      </c>
      <c r="I5978" s="1" t="n">
        <v>1887</v>
      </c>
      <c r="J5978" s="1" t="n">
        <v>68282</v>
      </c>
      <c r="K5978" s="1" t="n">
        <v>7908044608264</v>
      </c>
      <c r="L5978" s="1" t="s">
        <v>4354</v>
      </c>
      <c r="N5978" s="1" t="n">
        <v>3</v>
      </c>
      <c r="O5978" s="1" t="n">
        <v>51</v>
      </c>
    </row>
    <row r="5979" customFormat="false" ht="15" hidden="false" customHeight="true" outlineLevel="0" collapsed="false">
      <c r="A5979" s="1" t="n">
        <v>3</v>
      </c>
      <c r="B5979" s="15" t="n">
        <v>46234</v>
      </c>
      <c r="C5979" s="1" t="n">
        <v>11</v>
      </c>
      <c r="D5979" s="1" t="s">
        <v>2290</v>
      </c>
      <c r="E5979" s="1" t="n">
        <v>875</v>
      </c>
      <c r="F5979" s="1" t="s">
        <v>630</v>
      </c>
      <c r="I5979" s="1" t="n">
        <v>1887</v>
      </c>
      <c r="J5979" s="1" t="n">
        <v>70641</v>
      </c>
      <c r="K5979" s="1" t="n">
        <v>7865566612134</v>
      </c>
      <c r="L5979" s="1" t="s">
        <v>4355</v>
      </c>
      <c r="N5979" s="1" t="n">
        <v>6</v>
      </c>
      <c r="O5979" s="1" t="n">
        <v>102</v>
      </c>
    </row>
    <row r="5980" customFormat="false" ht="15" hidden="false" customHeight="true" outlineLevel="0" collapsed="false">
      <c r="A5980" s="1" t="n">
        <v>3</v>
      </c>
      <c r="B5980" s="15" t="n">
        <v>46234</v>
      </c>
      <c r="C5980" s="1" t="n">
        <v>11</v>
      </c>
      <c r="D5980" s="1" t="s">
        <v>2290</v>
      </c>
      <c r="E5980" s="1" t="n">
        <v>875</v>
      </c>
      <c r="F5980" s="1" t="s">
        <v>630</v>
      </c>
      <c r="I5980" s="1" t="n">
        <v>1887</v>
      </c>
      <c r="J5980" s="1" t="n">
        <v>71229</v>
      </c>
      <c r="K5980" s="1" t="n">
        <v>7893095588637</v>
      </c>
      <c r="L5980" s="1" t="s">
        <v>4356</v>
      </c>
      <c r="N5980" s="1" t="n">
        <v>2</v>
      </c>
      <c r="O5980" s="1" t="n">
        <v>64</v>
      </c>
    </row>
    <row r="5981" customFormat="false" ht="15" hidden="false" customHeight="true" outlineLevel="0" collapsed="false">
      <c r="A5981" s="1" t="n">
        <v>3</v>
      </c>
      <c r="B5981" s="15" t="n">
        <v>46234</v>
      </c>
      <c r="C5981" s="1" t="n">
        <v>11</v>
      </c>
      <c r="D5981" s="1" t="s">
        <v>2290</v>
      </c>
      <c r="E5981" s="1" t="n">
        <v>875</v>
      </c>
      <c r="F5981" s="1" t="s">
        <v>630</v>
      </c>
      <c r="I5981" s="1" t="n">
        <v>1887</v>
      </c>
      <c r="J5981" s="1" t="n">
        <v>72713</v>
      </c>
      <c r="K5981" s="1" t="n">
        <v>7908044605171</v>
      </c>
      <c r="L5981" s="1" t="s">
        <v>4357</v>
      </c>
      <c r="N5981" s="1" t="n">
        <v>6</v>
      </c>
      <c r="O5981" s="1" t="n">
        <v>66</v>
      </c>
    </row>
    <row r="5982" customFormat="false" ht="15" hidden="false" customHeight="true" outlineLevel="0" collapsed="false">
      <c r="A5982" s="1" t="n">
        <v>3</v>
      </c>
      <c r="B5982" s="15" t="n">
        <v>46234</v>
      </c>
      <c r="C5982" s="1" t="n">
        <v>11</v>
      </c>
      <c r="D5982" s="1" t="s">
        <v>2290</v>
      </c>
      <c r="E5982" s="1" t="n">
        <v>875</v>
      </c>
      <c r="F5982" s="1" t="s">
        <v>630</v>
      </c>
      <c r="I5982" s="1" t="n">
        <v>1887</v>
      </c>
      <c r="J5982" s="1" t="n">
        <v>74012</v>
      </c>
      <c r="K5982" s="1" t="n">
        <v>7908782200836</v>
      </c>
      <c r="L5982" s="1" t="s">
        <v>4358</v>
      </c>
      <c r="N5982" s="1" t="n">
        <v>6</v>
      </c>
      <c r="O5982" s="1" t="n">
        <v>72</v>
      </c>
    </row>
    <row r="5983" customFormat="false" ht="15" hidden="false" customHeight="true" outlineLevel="0" collapsed="false">
      <c r="A5983" s="1" t="n">
        <v>3</v>
      </c>
      <c r="B5983" s="15" t="n">
        <v>46234</v>
      </c>
      <c r="C5983" s="1" t="n">
        <v>11</v>
      </c>
      <c r="D5983" s="1" t="s">
        <v>2290</v>
      </c>
      <c r="E5983" s="1" t="n">
        <v>875</v>
      </c>
      <c r="F5983" s="1" t="s">
        <v>630</v>
      </c>
      <c r="I5983" s="1" t="n">
        <v>1887</v>
      </c>
      <c r="J5983" s="1" t="n">
        <v>74015</v>
      </c>
      <c r="K5983" s="1" t="n">
        <v>7893095164305</v>
      </c>
      <c r="L5983" s="1" t="s">
        <v>4359</v>
      </c>
      <c r="N5983" s="1" t="n">
        <v>10</v>
      </c>
      <c r="O5983" s="1" t="n">
        <v>110</v>
      </c>
    </row>
    <row r="5984" customFormat="false" ht="15" hidden="false" customHeight="true" outlineLevel="0" collapsed="false">
      <c r="A5984" s="1" t="n">
        <v>3</v>
      </c>
      <c r="B5984" s="15" t="n">
        <v>46234</v>
      </c>
      <c r="C5984" s="1" t="n">
        <v>11</v>
      </c>
      <c r="D5984" s="1" t="s">
        <v>2290</v>
      </c>
      <c r="E5984" s="1" t="n">
        <v>875</v>
      </c>
      <c r="F5984" s="1" t="s">
        <v>630</v>
      </c>
      <c r="I5984" s="1" t="n">
        <v>1887</v>
      </c>
      <c r="J5984" s="1" t="n">
        <v>76142</v>
      </c>
      <c r="K5984" s="1" t="n">
        <v>7908782200270</v>
      </c>
      <c r="L5984" s="1" t="s">
        <v>4360</v>
      </c>
      <c r="N5984" s="1" t="n">
        <v>6</v>
      </c>
      <c r="O5984" s="1" t="n">
        <v>66</v>
      </c>
    </row>
    <row r="5985" customFormat="false" ht="15" hidden="false" customHeight="true" outlineLevel="0" collapsed="false">
      <c r="A5985" s="1" t="n">
        <v>3</v>
      </c>
      <c r="B5985" s="15" t="n">
        <v>46234</v>
      </c>
      <c r="C5985" s="1" t="n">
        <v>11</v>
      </c>
      <c r="D5985" s="1" t="s">
        <v>2290</v>
      </c>
      <c r="E5985" s="1" t="n">
        <v>875</v>
      </c>
      <c r="F5985" s="1" t="s">
        <v>630</v>
      </c>
      <c r="I5985" s="1" t="n">
        <v>1887</v>
      </c>
      <c r="J5985" s="1" t="n">
        <v>78362</v>
      </c>
      <c r="K5985" s="1" t="n">
        <v>7899085713539</v>
      </c>
      <c r="L5985" s="1" t="s">
        <v>4361</v>
      </c>
      <c r="N5985" s="1" t="n">
        <v>20</v>
      </c>
      <c r="O5985" s="1" t="n">
        <v>110</v>
      </c>
    </row>
    <row r="5986" customFormat="false" ht="15" hidden="false" customHeight="true" outlineLevel="0" collapsed="false">
      <c r="A5986" s="1" t="n">
        <v>3</v>
      </c>
      <c r="B5986" s="15" t="n">
        <v>46234</v>
      </c>
      <c r="C5986" s="1" t="n">
        <v>11</v>
      </c>
      <c r="D5986" s="1" t="s">
        <v>2290</v>
      </c>
      <c r="E5986" s="1" t="n">
        <v>875</v>
      </c>
      <c r="F5986" s="1" t="s">
        <v>630</v>
      </c>
      <c r="I5986" s="1" t="n">
        <v>1887</v>
      </c>
      <c r="J5986" s="1" t="n">
        <v>78638</v>
      </c>
      <c r="K5986" s="1" t="n">
        <v>7908338408563</v>
      </c>
      <c r="L5986" s="1" t="s">
        <v>4362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5" t="n">
        <v>46234</v>
      </c>
      <c r="C5987" s="1" t="n">
        <v>11</v>
      </c>
      <c r="D5987" s="1" t="s">
        <v>2290</v>
      </c>
      <c r="E5987" s="1" t="n">
        <v>875</v>
      </c>
      <c r="F5987" s="1" t="s">
        <v>630</v>
      </c>
      <c r="I5987" s="1" t="n">
        <v>1887</v>
      </c>
      <c r="J5987" s="1" t="n">
        <v>78639</v>
      </c>
      <c r="K5987" s="1" t="n">
        <v>7908338408556</v>
      </c>
      <c r="L5987" s="1" t="s">
        <v>4363</v>
      </c>
      <c r="N5987" s="1" t="n">
        <v>3</v>
      </c>
      <c r="O5987" s="1" t="n">
        <v>22.5</v>
      </c>
    </row>
    <row r="5988" customFormat="false" ht="15" hidden="false" customHeight="true" outlineLevel="0" collapsed="false">
      <c r="A5988" s="1" t="n">
        <v>3</v>
      </c>
      <c r="B5988" s="15" t="n">
        <v>46234</v>
      </c>
      <c r="C5988" s="1" t="n">
        <v>11</v>
      </c>
      <c r="D5988" s="1" t="s">
        <v>2290</v>
      </c>
      <c r="E5988" s="1" t="n">
        <v>875</v>
      </c>
      <c r="F5988" s="1" t="s">
        <v>630</v>
      </c>
      <c r="I5988" s="1" t="n">
        <v>1887</v>
      </c>
      <c r="J5988" s="1" t="n">
        <v>78642</v>
      </c>
      <c r="K5988" s="1" t="n">
        <v>7908338408570</v>
      </c>
      <c r="L5988" s="1" t="s">
        <v>4364</v>
      </c>
      <c r="N5988" s="1" t="n">
        <v>3</v>
      </c>
      <c r="O5988" s="1" t="n">
        <v>27</v>
      </c>
    </row>
    <row r="5989" customFormat="false" ht="15" hidden="false" customHeight="true" outlineLevel="0" collapsed="false">
      <c r="A5989" s="1" t="n">
        <v>3</v>
      </c>
      <c r="B5989" s="15" t="n">
        <v>46234</v>
      </c>
      <c r="C5989" s="1" t="n">
        <v>11</v>
      </c>
      <c r="D5989" s="1" t="s">
        <v>2290</v>
      </c>
      <c r="E5989" s="1" t="n">
        <v>875</v>
      </c>
      <c r="F5989" s="1" t="s">
        <v>630</v>
      </c>
      <c r="I5989" s="1" t="n">
        <v>1887</v>
      </c>
      <c r="J5989" s="1" t="n">
        <v>78643</v>
      </c>
      <c r="K5989" s="1" t="n">
        <v>7908782200454</v>
      </c>
      <c r="L5989" s="1" t="s">
        <v>4365</v>
      </c>
      <c r="N5989" s="1" t="n">
        <v>5</v>
      </c>
      <c r="O5989" s="1" t="n">
        <v>85</v>
      </c>
    </row>
    <row r="5990" customFormat="false" ht="15" hidden="false" customHeight="true" outlineLevel="0" collapsed="false">
      <c r="A5990" s="1" t="n">
        <v>3</v>
      </c>
      <c r="B5990" s="15" t="n">
        <v>46234</v>
      </c>
      <c r="C5990" s="1" t="n">
        <v>11</v>
      </c>
      <c r="D5990" s="1" t="s">
        <v>2290</v>
      </c>
      <c r="E5990" s="1" t="n">
        <v>875</v>
      </c>
      <c r="F5990" s="1" t="s">
        <v>630</v>
      </c>
      <c r="I5990" s="1" t="n">
        <v>1887</v>
      </c>
      <c r="J5990" s="1" t="n">
        <v>81952</v>
      </c>
      <c r="K5990" s="1" t="n">
        <v>7448070403025</v>
      </c>
      <c r="L5990" s="1" t="s">
        <v>4366</v>
      </c>
      <c r="N5990" s="1" t="n">
        <v>3</v>
      </c>
      <c r="O5990" s="1" t="n">
        <v>216</v>
      </c>
    </row>
    <row r="5991" customFormat="false" ht="15" hidden="false" customHeight="true" outlineLevel="0" collapsed="false">
      <c r="A5991" s="1" t="n">
        <v>3</v>
      </c>
      <c r="B5991" s="15" t="n">
        <v>46234</v>
      </c>
      <c r="C5991" s="1" t="n">
        <v>11</v>
      </c>
      <c r="D5991" s="1" t="s">
        <v>2290</v>
      </c>
      <c r="E5991" s="1" t="n">
        <v>875</v>
      </c>
      <c r="F5991" s="1" t="s">
        <v>630</v>
      </c>
      <c r="I5991" s="1" t="n">
        <v>1887</v>
      </c>
      <c r="J5991" s="1" t="n">
        <v>78822</v>
      </c>
      <c r="K5991" s="1" t="n">
        <v>6982708231099</v>
      </c>
      <c r="L5991" s="1" t="s">
        <v>4367</v>
      </c>
      <c r="N5991" s="1" t="n">
        <v>10</v>
      </c>
      <c r="O5991" s="1" t="n">
        <v>100</v>
      </c>
    </row>
    <row r="5992" customFormat="false" ht="15" hidden="false" customHeight="true" outlineLevel="0" collapsed="false">
      <c r="A5992" s="1" t="n">
        <v>3</v>
      </c>
      <c r="B5992" s="15" t="n">
        <v>46234</v>
      </c>
      <c r="C5992" s="1" t="n">
        <v>11</v>
      </c>
      <c r="D5992" s="1" t="s">
        <v>2290</v>
      </c>
      <c r="E5992" s="1" t="n">
        <v>875</v>
      </c>
      <c r="F5992" s="1" t="s">
        <v>630</v>
      </c>
      <c r="I5992" s="1" t="n">
        <v>1887</v>
      </c>
      <c r="J5992" s="1" t="n">
        <v>78836</v>
      </c>
      <c r="K5992" s="1" t="n">
        <v>7899085589820</v>
      </c>
      <c r="L5992" s="1" t="s">
        <v>4368</v>
      </c>
      <c r="N5992" s="1" t="n">
        <v>20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5" t="n">
        <v>46234</v>
      </c>
      <c r="C5993" s="1" t="n">
        <v>11</v>
      </c>
      <c r="D5993" s="1" t="s">
        <v>2290</v>
      </c>
      <c r="E5993" s="1" t="n">
        <v>875</v>
      </c>
      <c r="F5993" s="1" t="s">
        <v>630</v>
      </c>
      <c r="I5993" s="1" t="n">
        <v>1887</v>
      </c>
      <c r="J5993" s="1" t="n">
        <v>79763</v>
      </c>
      <c r="K5993" s="1" t="n">
        <v>7893095592368</v>
      </c>
      <c r="L5993" s="1" t="s">
        <v>4369</v>
      </c>
      <c r="N5993" s="1" t="n">
        <v>3</v>
      </c>
      <c r="O5993" s="1" t="n">
        <v>90</v>
      </c>
    </row>
    <row r="5994" customFormat="false" ht="15" hidden="false" customHeight="true" outlineLevel="0" collapsed="false">
      <c r="A5994" s="1" t="n">
        <v>3</v>
      </c>
      <c r="B5994" s="15" t="n">
        <v>46234</v>
      </c>
      <c r="C5994" s="1" t="n">
        <v>11</v>
      </c>
      <c r="D5994" s="1" t="s">
        <v>2290</v>
      </c>
      <c r="E5994" s="1" t="n">
        <v>875</v>
      </c>
      <c r="F5994" s="1" t="s">
        <v>630</v>
      </c>
      <c r="I5994" s="1" t="n">
        <v>1887</v>
      </c>
      <c r="J5994" s="1" t="n">
        <v>80131</v>
      </c>
      <c r="K5994" s="1" t="n">
        <v>6934177708800</v>
      </c>
      <c r="L5994" s="1" t="s">
        <v>4370</v>
      </c>
      <c r="N5994" s="1" t="n">
        <v>10</v>
      </c>
      <c r="O5994" s="1" t="n">
        <v>170</v>
      </c>
    </row>
    <row r="5995" customFormat="false" ht="15" hidden="false" customHeight="true" outlineLevel="0" collapsed="false">
      <c r="A5995" s="1" t="n">
        <v>3</v>
      </c>
      <c r="B5995" s="15" t="n">
        <v>46234</v>
      </c>
      <c r="C5995" s="1" t="n">
        <v>11</v>
      </c>
      <c r="D5995" s="1" t="s">
        <v>2290</v>
      </c>
      <c r="E5995" s="1" t="n">
        <v>875</v>
      </c>
      <c r="F5995" s="1" t="s">
        <v>630</v>
      </c>
      <c r="I5995" s="1" t="n">
        <v>1887</v>
      </c>
      <c r="J5995" s="1" t="n">
        <v>81048</v>
      </c>
      <c r="K5995" s="1" t="n">
        <v>7448070403551</v>
      </c>
      <c r="L5995" s="1" t="s">
        <v>4371</v>
      </c>
      <c r="N5995" s="1" t="n">
        <v>10</v>
      </c>
      <c r="O5995" s="1" t="n">
        <v>120</v>
      </c>
    </row>
    <row r="5996" customFormat="false" ht="15" hidden="false" customHeight="true" outlineLevel="0" collapsed="false">
      <c r="A5996" s="1" t="n">
        <v>3</v>
      </c>
      <c r="B5996" s="15" t="n">
        <v>46234</v>
      </c>
      <c r="C5996" s="1" t="n">
        <v>11</v>
      </c>
      <c r="D5996" s="1" t="s">
        <v>2290</v>
      </c>
      <c r="E5996" s="1" t="n">
        <v>875</v>
      </c>
      <c r="F5996" s="1" t="s">
        <v>630</v>
      </c>
      <c r="I5996" s="1" t="n">
        <v>1887</v>
      </c>
      <c r="J5996" s="1" t="n">
        <v>81070</v>
      </c>
      <c r="K5996" s="1" t="n">
        <v>7908782201185</v>
      </c>
      <c r="L5996" s="1" t="s">
        <v>4372</v>
      </c>
      <c r="N5996" s="1" t="n">
        <v>6</v>
      </c>
      <c r="O5996" s="1" t="n">
        <v>96</v>
      </c>
    </row>
    <row r="5997" customFormat="false" ht="15" hidden="false" customHeight="true" outlineLevel="0" collapsed="false">
      <c r="A5997" s="1" t="n">
        <v>3</v>
      </c>
      <c r="B5997" s="15" t="n">
        <v>46234</v>
      </c>
      <c r="C5997" s="1" t="n">
        <v>11</v>
      </c>
      <c r="D5997" s="1" t="s">
        <v>2290</v>
      </c>
      <c r="E5997" s="1" t="n">
        <v>875</v>
      </c>
      <c r="F5997" s="1" t="s">
        <v>630</v>
      </c>
      <c r="I5997" s="1" t="n">
        <v>1887</v>
      </c>
      <c r="J5997" s="1" t="n">
        <v>81258</v>
      </c>
      <c r="K5997" s="1" t="n">
        <v>812597</v>
      </c>
      <c r="L5997" s="1" t="s">
        <v>4373</v>
      </c>
      <c r="N5997" s="1" t="n">
        <v>10</v>
      </c>
      <c r="O5997" s="1" t="n">
        <v>210</v>
      </c>
    </row>
    <row r="5998" customFormat="false" ht="15" hidden="false" customHeight="true" outlineLevel="0" collapsed="false">
      <c r="A5998" s="1" t="n">
        <v>3</v>
      </c>
      <c r="B5998" s="15" t="n">
        <v>46234</v>
      </c>
      <c r="C5998" s="1" t="n">
        <v>11</v>
      </c>
      <c r="D5998" s="1" t="s">
        <v>2290</v>
      </c>
      <c r="E5998" s="1" t="n">
        <v>875</v>
      </c>
      <c r="F5998" s="1" t="s">
        <v>630</v>
      </c>
      <c r="I5998" s="1" t="n">
        <v>1887</v>
      </c>
      <c r="J5998" s="1" t="n">
        <v>81267</v>
      </c>
      <c r="K5998" s="1" t="n">
        <v>7893095806328</v>
      </c>
      <c r="L5998" s="1" t="s">
        <v>4374</v>
      </c>
      <c r="N5998" s="1" t="n">
        <v>2</v>
      </c>
      <c r="O5998" s="1" t="n">
        <v>168</v>
      </c>
    </row>
    <row r="5999" customFormat="false" ht="15" hidden="false" customHeight="true" outlineLevel="0" collapsed="false">
      <c r="A5999" s="1" t="n">
        <v>3</v>
      </c>
      <c r="B5999" s="15" t="n">
        <v>46234</v>
      </c>
      <c r="C5999" s="1" t="n">
        <v>11</v>
      </c>
      <c r="D5999" s="1" t="s">
        <v>2290</v>
      </c>
      <c r="E5999" s="1" t="n">
        <v>875</v>
      </c>
      <c r="F5999" s="1" t="s">
        <v>630</v>
      </c>
      <c r="I5999" s="1" t="n">
        <v>1887</v>
      </c>
      <c r="J5999" s="1" t="n">
        <v>81728</v>
      </c>
      <c r="K5999" s="1" t="n">
        <v>7908782212358</v>
      </c>
      <c r="L5999" s="1" t="s">
        <v>4375</v>
      </c>
      <c r="N5999" s="1" t="n">
        <v>3</v>
      </c>
      <c r="O5999" s="1" t="n">
        <v>33</v>
      </c>
    </row>
    <row r="6000" customFormat="false" ht="15" hidden="false" customHeight="true" outlineLevel="0" collapsed="false">
      <c r="A6000" s="1" t="n">
        <v>3</v>
      </c>
      <c r="B6000" s="15" t="n">
        <v>46234</v>
      </c>
      <c r="C6000" s="1" t="n">
        <v>11</v>
      </c>
      <c r="D6000" s="1" t="s">
        <v>2290</v>
      </c>
      <c r="E6000" s="1" t="n">
        <v>875</v>
      </c>
      <c r="F6000" s="1" t="s">
        <v>630</v>
      </c>
      <c r="I6000" s="1" t="n">
        <v>1887</v>
      </c>
      <c r="J6000" s="1" t="n">
        <v>81945</v>
      </c>
      <c r="K6000" s="1" t="n">
        <v>7899085586898</v>
      </c>
      <c r="L6000" s="1" t="s">
        <v>4376</v>
      </c>
      <c r="N6000" s="1" t="n">
        <v>3</v>
      </c>
      <c r="O6000" s="1" t="n">
        <v>42</v>
      </c>
    </row>
    <row r="6001" customFormat="false" ht="15" hidden="false" customHeight="true" outlineLevel="0" collapsed="false">
      <c r="A6001" s="1" t="n">
        <v>3</v>
      </c>
      <c r="B6001" s="15" t="n">
        <v>46234</v>
      </c>
      <c r="C6001" s="1" t="n">
        <v>11</v>
      </c>
      <c r="D6001" s="1" t="s">
        <v>2290</v>
      </c>
      <c r="E6001" s="1" t="n">
        <v>875</v>
      </c>
      <c r="F6001" s="1" t="s">
        <v>630</v>
      </c>
      <c r="I6001" s="1" t="n">
        <v>1887</v>
      </c>
      <c r="J6001" s="1" t="n">
        <v>81946</v>
      </c>
      <c r="K6001" s="1" t="n">
        <v>7893595555702</v>
      </c>
      <c r="L6001" s="1" t="s">
        <v>4377</v>
      </c>
      <c r="N6001" s="1" t="n">
        <v>3</v>
      </c>
      <c r="O6001" s="1" t="n">
        <v>34.5</v>
      </c>
    </row>
    <row r="6002" customFormat="false" ht="15" hidden="false" customHeight="true" outlineLevel="0" collapsed="false">
      <c r="A6002" s="1" t="n">
        <v>3</v>
      </c>
      <c r="B6002" s="15" t="n">
        <v>46234</v>
      </c>
      <c r="C6002" s="1" t="n">
        <v>11</v>
      </c>
      <c r="D6002" s="1" t="s">
        <v>2290</v>
      </c>
      <c r="E6002" s="1" t="n">
        <v>875</v>
      </c>
      <c r="F6002" s="1" t="s">
        <v>630</v>
      </c>
      <c r="I6002" s="1" t="n">
        <v>1887</v>
      </c>
      <c r="J6002" s="1" t="n">
        <v>81948</v>
      </c>
      <c r="K6002" s="1" t="n">
        <v>7893095422948</v>
      </c>
      <c r="L6002" s="1" t="s">
        <v>4378</v>
      </c>
      <c r="N6002" s="1" t="n">
        <v>10</v>
      </c>
      <c r="O6002" s="1" t="n">
        <v>90</v>
      </c>
    </row>
    <row r="6003" customFormat="false" ht="15" hidden="false" customHeight="true" outlineLevel="0" collapsed="false">
      <c r="A6003" s="1" t="n">
        <v>3</v>
      </c>
      <c r="B6003" s="15" t="n">
        <v>46234</v>
      </c>
      <c r="C6003" s="1" t="n">
        <v>11</v>
      </c>
      <c r="D6003" s="1" t="s">
        <v>2290</v>
      </c>
      <c r="E6003" s="1" t="n">
        <v>875</v>
      </c>
      <c r="F6003" s="1" t="s">
        <v>630</v>
      </c>
      <c r="I6003" s="1" t="n">
        <v>1887</v>
      </c>
      <c r="J6003" s="1" t="n">
        <v>81949</v>
      </c>
      <c r="K6003" s="1" t="n">
        <v>7908338405586</v>
      </c>
      <c r="L6003" s="1" t="s">
        <v>4379</v>
      </c>
      <c r="N6003" s="1" t="n">
        <v>3</v>
      </c>
      <c r="O6003" s="1" t="n">
        <v>42</v>
      </c>
    </row>
    <row r="6004" customFormat="false" ht="15" hidden="false" customHeight="true" outlineLevel="0" collapsed="false">
      <c r="A6004" s="1" t="n">
        <v>3</v>
      </c>
      <c r="B6004" s="15" t="n">
        <v>46234</v>
      </c>
      <c r="C6004" s="1" t="n">
        <v>11</v>
      </c>
      <c r="D6004" s="1" t="s">
        <v>2290</v>
      </c>
      <c r="E6004" s="1" t="n">
        <v>875</v>
      </c>
      <c r="F6004" s="1" t="s">
        <v>630</v>
      </c>
      <c r="I6004" s="1" t="n">
        <v>1887</v>
      </c>
      <c r="J6004" s="1" t="n">
        <v>81950</v>
      </c>
      <c r="K6004" s="1" t="n">
        <v>7898729419226</v>
      </c>
      <c r="L6004" s="1" t="s">
        <v>4380</v>
      </c>
      <c r="N6004" s="1" t="n">
        <v>2</v>
      </c>
      <c r="O6004" s="1" t="n">
        <v>50</v>
      </c>
    </row>
    <row r="6005" customFormat="false" ht="15" hidden="false" customHeight="true" outlineLevel="0" collapsed="false">
      <c r="A6005" s="1" t="n">
        <v>3</v>
      </c>
      <c r="B6005" s="15" t="n">
        <v>46234</v>
      </c>
      <c r="C6005" s="1" t="n">
        <v>11</v>
      </c>
      <c r="D6005" s="1" t="s">
        <v>2290</v>
      </c>
      <c r="E6005" s="1" t="n">
        <v>875</v>
      </c>
      <c r="F6005" s="1" t="s">
        <v>630</v>
      </c>
      <c r="I6005" s="1" t="n">
        <v>1887</v>
      </c>
      <c r="J6005" s="1" t="n">
        <v>81951</v>
      </c>
      <c r="K6005" s="1" t="n">
        <v>7908611103338</v>
      </c>
      <c r="L6005" s="1" t="s">
        <v>4381</v>
      </c>
      <c r="N6005" s="1" t="n">
        <v>6</v>
      </c>
      <c r="O6005" s="1" t="n">
        <v>90</v>
      </c>
    </row>
    <row r="6006" customFormat="false" ht="15" hidden="false" customHeight="true" outlineLevel="0" collapsed="false">
      <c r="A6006" s="1" t="n">
        <v>3</v>
      </c>
      <c r="B6006" s="15" t="n">
        <v>46234</v>
      </c>
      <c r="C6006" s="1" t="n">
        <v>11</v>
      </c>
      <c r="D6006" s="1" t="s">
        <v>2290</v>
      </c>
      <c r="E6006" s="1" t="n">
        <v>875</v>
      </c>
      <c r="F6006" s="1" t="s">
        <v>630</v>
      </c>
      <c r="I6006" s="1" t="n">
        <v>1887</v>
      </c>
      <c r="J6006" s="1" t="n">
        <v>81953</v>
      </c>
      <c r="K6006" s="1" t="n">
        <v>7908657615109</v>
      </c>
      <c r="L6006" s="1" t="s">
        <v>4382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5" t="n">
        <v>46234</v>
      </c>
      <c r="C6007" s="1" t="n">
        <v>11</v>
      </c>
      <c r="D6007" s="1" t="s">
        <v>2290</v>
      </c>
      <c r="E6007" s="1" t="n">
        <v>875</v>
      </c>
      <c r="F6007" s="1" t="s">
        <v>630</v>
      </c>
      <c r="I6007" s="1" t="n">
        <v>1887</v>
      </c>
      <c r="J6007" s="1" t="n">
        <v>81954</v>
      </c>
      <c r="K6007" s="1" t="n">
        <v>7908782223255</v>
      </c>
      <c r="L6007" s="1" t="s">
        <v>4383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5" t="n">
        <v>46234</v>
      </c>
      <c r="C6008" s="1" t="n">
        <v>11</v>
      </c>
      <c r="D6008" s="1" t="s">
        <v>2290</v>
      </c>
      <c r="E6008" s="1" t="n">
        <v>875</v>
      </c>
      <c r="F6008" s="1" t="s">
        <v>630</v>
      </c>
      <c r="I6008" s="1" t="n">
        <v>1887</v>
      </c>
      <c r="J6008" s="1" t="n">
        <v>81955</v>
      </c>
      <c r="K6008" s="1" t="n">
        <v>7908782200737</v>
      </c>
      <c r="L6008" s="1" t="s">
        <v>4384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5" t="n">
        <v>46234</v>
      </c>
      <c r="C6009" s="1" t="n">
        <v>11</v>
      </c>
      <c r="D6009" s="1" t="s">
        <v>2290</v>
      </c>
      <c r="E6009" s="1" t="n">
        <v>875</v>
      </c>
      <c r="F6009" s="1" t="s">
        <v>630</v>
      </c>
      <c r="I6009" s="1" t="n">
        <v>1887</v>
      </c>
      <c r="J6009" s="1" t="n">
        <v>81956</v>
      </c>
      <c r="K6009" s="1" t="n">
        <v>6920240521063</v>
      </c>
      <c r="L6009" s="1" t="s">
        <v>4385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5" t="n">
        <v>46234</v>
      </c>
      <c r="C6010" s="1" t="n">
        <v>11</v>
      </c>
      <c r="D6010" s="1" t="s">
        <v>2290</v>
      </c>
      <c r="E6010" s="1" t="n">
        <v>875</v>
      </c>
      <c r="F6010" s="1" t="s">
        <v>630</v>
      </c>
      <c r="I6010" s="1" t="n">
        <v>1887</v>
      </c>
      <c r="J6010" s="1" t="n">
        <v>81957</v>
      </c>
      <c r="K6010" s="1" t="n">
        <v>7448070403568</v>
      </c>
      <c r="L6010" s="1" t="s">
        <v>4386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5" t="n">
        <v>46234</v>
      </c>
      <c r="C6011" s="1" t="n">
        <v>11</v>
      </c>
      <c r="D6011" s="1" t="s">
        <v>2290</v>
      </c>
      <c r="E6011" s="1" t="n">
        <v>875</v>
      </c>
      <c r="F6011" s="1" t="s">
        <v>630</v>
      </c>
      <c r="I6011" s="1" t="n">
        <v>1887</v>
      </c>
      <c r="J6011" s="1" t="n">
        <v>81958</v>
      </c>
      <c r="K6011" s="1" t="n">
        <v>6920231127359</v>
      </c>
      <c r="L6011" s="1" t="s">
        <v>4387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5" t="n">
        <v>46234</v>
      </c>
      <c r="C6012" s="1" t="n">
        <v>11</v>
      </c>
      <c r="D6012" s="1" t="s">
        <v>2290</v>
      </c>
      <c r="E6012" s="1" t="n">
        <v>875</v>
      </c>
      <c r="F6012" s="1" t="s">
        <v>630</v>
      </c>
      <c r="I6012" s="1" t="n">
        <v>1887</v>
      </c>
      <c r="J6012" s="1" t="n">
        <v>81959</v>
      </c>
      <c r="K6012" s="1" t="n">
        <v>7012965697099</v>
      </c>
      <c r="L6012" s="1" t="s">
        <v>4388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5" t="n">
        <v>46234</v>
      </c>
      <c r="C6013" s="1" t="n">
        <v>11</v>
      </c>
      <c r="D6013" s="1" t="s">
        <v>2290</v>
      </c>
      <c r="E6013" s="1" t="n">
        <v>875</v>
      </c>
      <c r="F6013" s="1" t="s">
        <v>630</v>
      </c>
      <c r="I6013" s="1" t="n">
        <v>1887</v>
      </c>
      <c r="J6013" s="1" t="n">
        <v>81960</v>
      </c>
      <c r="K6013" s="1" t="n">
        <v>7908782220667</v>
      </c>
      <c r="L6013" s="1" t="s">
        <v>4389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5" t="n">
        <v>46234</v>
      </c>
      <c r="C6014" s="1" t="n">
        <v>11</v>
      </c>
      <c r="D6014" s="1" t="s">
        <v>2290</v>
      </c>
      <c r="E6014" s="1" t="n">
        <v>875</v>
      </c>
      <c r="F6014" s="1" t="s">
        <v>630</v>
      </c>
      <c r="I6014" s="1" t="n">
        <v>1887</v>
      </c>
      <c r="J6014" s="1" t="n">
        <v>81961</v>
      </c>
      <c r="K6014" s="1" t="n">
        <v>6991786616803</v>
      </c>
      <c r="L6014" s="1" t="s">
        <v>4390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5" t="n">
        <v>46234</v>
      </c>
      <c r="C6015" s="1" t="n">
        <v>11</v>
      </c>
      <c r="D6015" s="1" t="s">
        <v>2290</v>
      </c>
      <c r="E6015" s="1" t="n">
        <v>875</v>
      </c>
      <c r="F6015" s="1" t="s">
        <v>630</v>
      </c>
      <c r="I6015" s="1" t="n">
        <v>1887</v>
      </c>
      <c r="J6015" s="1" t="n">
        <v>81962</v>
      </c>
      <c r="K6015" s="1" t="n">
        <v>7908125217552</v>
      </c>
      <c r="L6015" s="1" t="s">
        <v>4391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5" t="n">
        <v>46234</v>
      </c>
      <c r="C6016" s="1" t="n">
        <v>11</v>
      </c>
      <c r="D6016" s="1" t="s">
        <v>2290</v>
      </c>
      <c r="E6016" s="1" t="n">
        <v>875</v>
      </c>
      <c r="F6016" s="1" t="s">
        <v>630</v>
      </c>
      <c r="I6016" s="1" t="n">
        <v>1887</v>
      </c>
      <c r="J6016" s="1" t="n">
        <v>81963</v>
      </c>
      <c r="K6016" s="1" t="n">
        <v>7893095794557</v>
      </c>
      <c r="L6016" s="1" t="s">
        <v>4392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5" t="n">
        <v>46234</v>
      </c>
      <c r="C6017" s="1" t="n">
        <v>11</v>
      </c>
      <c r="D6017" s="1" t="s">
        <v>2290</v>
      </c>
      <c r="E6017" s="1" t="n">
        <v>875</v>
      </c>
      <c r="F6017" s="1" t="s">
        <v>630</v>
      </c>
      <c r="I6017" s="1" t="n">
        <v>1887</v>
      </c>
      <c r="J6017" s="1" t="n">
        <v>81964</v>
      </c>
      <c r="K6017" s="1" t="n">
        <v>6920231127366</v>
      </c>
      <c r="L6017" s="1" t="s">
        <v>4393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5" t="n">
        <v>46234</v>
      </c>
      <c r="C6018" s="1" t="n">
        <v>11</v>
      </c>
      <c r="D6018" s="1" t="s">
        <v>2290</v>
      </c>
      <c r="E6018" s="1" t="n">
        <v>875</v>
      </c>
      <c r="F6018" s="1" t="s">
        <v>630</v>
      </c>
      <c r="I6018" s="1" t="n">
        <v>1887</v>
      </c>
      <c r="J6018" s="1" t="n">
        <v>81965</v>
      </c>
      <c r="K6018" s="1" t="n">
        <v>819664</v>
      </c>
      <c r="L6018" s="1" t="s">
        <v>4394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5" t="n">
        <v>46234</v>
      </c>
      <c r="C6019" s="1" t="n">
        <v>11</v>
      </c>
      <c r="D6019" s="1" t="s">
        <v>2290</v>
      </c>
      <c r="E6019" s="1" t="n">
        <v>875</v>
      </c>
      <c r="F6019" s="1" t="s">
        <v>630</v>
      </c>
      <c r="I6019" s="1" t="n">
        <v>1887</v>
      </c>
      <c r="J6019" s="1" t="n">
        <v>81967</v>
      </c>
      <c r="K6019" s="1" t="n">
        <v>819688</v>
      </c>
      <c r="L6019" s="1" t="s">
        <v>4395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5" t="n">
        <v>46234</v>
      </c>
      <c r="C6020" s="1" t="n">
        <v>11</v>
      </c>
      <c r="D6020" s="1" t="s">
        <v>2290</v>
      </c>
      <c r="E6020" s="1" t="n">
        <v>10063</v>
      </c>
      <c r="F6020" s="1" t="s">
        <v>218</v>
      </c>
      <c r="I6020" s="1" t="n">
        <v>2628</v>
      </c>
      <c r="J6020" s="1" t="n">
        <v>100174</v>
      </c>
      <c r="K6020" s="1" t="n">
        <v>7898141930286</v>
      </c>
      <c r="L6020" s="1" t="s">
        <v>2519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5" t="n">
        <v>46234</v>
      </c>
      <c r="C6021" s="1" t="n">
        <v>11</v>
      </c>
      <c r="D6021" s="1" t="s">
        <v>2290</v>
      </c>
      <c r="E6021" s="1" t="n">
        <v>10063</v>
      </c>
      <c r="F6021" s="1" t="s">
        <v>218</v>
      </c>
      <c r="I6021" s="1" t="n">
        <v>2628</v>
      </c>
      <c r="J6021" s="1" t="n">
        <v>100933</v>
      </c>
      <c r="K6021" s="1" t="n">
        <v>7896982100059</v>
      </c>
      <c r="L6021" s="1" t="s">
        <v>2520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5" t="n">
        <v>46234</v>
      </c>
      <c r="C6022" s="1" t="n">
        <v>11</v>
      </c>
      <c r="D6022" s="1" t="s">
        <v>2290</v>
      </c>
      <c r="E6022" s="1" t="n">
        <v>1609</v>
      </c>
      <c r="F6022" s="1" t="s">
        <v>410</v>
      </c>
      <c r="I6022" s="1" t="n">
        <v>5900</v>
      </c>
      <c r="J6022" s="1" t="n">
        <v>13225</v>
      </c>
      <c r="K6022" s="1" t="n">
        <v>7896981601151</v>
      </c>
      <c r="L6022" s="1" t="s">
        <v>2522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5" t="n">
        <v>46234</v>
      </c>
      <c r="C6023" s="1" t="n">
        <v>11</v>
      </c>
      <c r="D6023" s="1" t="s">
        <v>2290</v>
      </c>
      <c r="E6023" s="1" t="n">
        <v>1609</v>
      </c>
      <c r="F6023" s="1" t="s">
        <v>410</v>
      </c>
      <c r="I6023" s="1" t="n">
        <v>5900</v>
      </c>
      <c r="J6023" s="1" t="n">
        <v>13720</v>
      </c>
      <c r="K6023" s="1" t="n">
        <v>7896981600307</v>
      </c>
      <c r="L6023" s="1" t="s">
        <v>2523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5" t="n">
        <v>46234</v>
      </c>
      <c r="C6024" s="1" t="n">
        <v>11</v>
      </c>
      <c r="D6024" s="1" t="s">
        <v>2290</v>
      </c>
      <c r="E6024" s="1" t="n">
        <v>1609</v>
      </c>
      <c r="F6024" s="1" t="s">
        <v>410</v>
      </c>
      <c r="I6024" s="1" t="n">
        <v>5900</v>
      </c>
      <c r="J6024" s="1" t="n">
        <v>18383</v>
      </c>
      <c r="K6024" s="1" t="n">
        <v>7896878801138</v>
      </c>
      <c r="L6024" s="1" t="s">
        <v>4201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5" t="n">
        <v>46234</v>
      </c>
      <c r="C6025" s="1" t="n">
        <v>11</v>
      </c>
      <c r="D6025" s="1" t="s">
        <v>2290</v>
      </c>
      <c r="E6025" s="1" t="n">
        <v>1609</v>
      </c>
      <c r="F6025" s="1" t="s">
        <v>410</v>
      </c>
      <c r="I6025" s="1" t="n">
        <v>5900</v>
      </c>
      <c r="J6025" s="1" t="n">
        <v>18384</v>
      </c>
      <c r="K6025" s="1" t="n">
        <v>7896878801206</v>
      </c>
      <c r="L6025" s="1" t="s">
        <v>2526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5" t="n">
        <v>46234</v>
      </c>
      <c r="C6026" s="1" t="n">
        <v>11</v>
      </c>
      <c r="D6026" s="1" t="s">
        <v>2290</v>
      </c>
      <c r="E6026" s="1" t="n">
        <v>1609</v>
      </c>
      <c r="F6026" s="1" t="s">
        <v>410</v>
      </c>
      <c r="I6026" s="1" t="n">
        <v>5900</v>
      </c>
      <c r="J6026" s="1" t="n">
        <v>18385</v>
      </c>
      <c r="K6026" s="1" t="n">
        <v>7896878801220</v>
      </c>
      <c r="L6026" s="1" t="s">
        <v>2527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5" t="n">
        <v>46234</v>
      </c>
      <c r="C6027" s="1" t="n">
        <v>11</v>
      </c>
      <c r="D6027" s="1" t="s">
        <v>2290</v>
      </c>
      <c r="E6027" s="1" t="n">
        <v>1609</v>
      </c>
      <c r="F6027" s="1" t="s">
        <v>410</v>
      </c>
      <c r="I6027" s="1" t="n">
        <v>5900</v>
      </c>
      <c r="J6027" s="1" t="n">
        <v>18775</v>
      </c>
      <c r="K6027" s="1" t="n">
        <v>7896878801237</v>
      </c>
      <c r="L6027" s="1" t="s">
        <v>2528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5" t="n">
        <v>46234</v>
      </c>
      <c r="C6028" s="1" t="n">
        <v>11</v>
      </c>
      <c r="D6028" s="1" t="s">
        <v>2290</v>
      </c>
      <c r="E6028" s="1" t="n">
        <v>1609</v>
      </c>
      <c r="F6028" s="1" t="s">
        <v>410</v>
      </c>
      <c r="I6028" s="1" t="n">
        <v>5900</v>
      </c>
      <c r="J6028" s="1" t="n">
        <v>18910</v>
      </c>
      <c r="K6028" s="1" t="n">
        <v>7896878801176</v>
      </c>
      <c r="L6028" s="1" t="s">
        <v>4202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5" t="n">
        <v>46234</v>
      </c>
      <c r="C6029" s="1" t="n">
        <v>11</v>
      </c>
      <c r="D6029" s="1" t="s">
        <v>2290</v>
      </c>
      <c r="E6029" s="1" t="n">
        <v>1609</v>
      </c>
      <c r="F6029" s="1" t="s">
        <v>410</v>
      </c>
      <c r="I6029" s="1" t="n">
        <v>5900</v>
      </c>
      <c r="J6029" s="1" t="n">
        <v>18968</v>
      </c>
      <c r="K6029" s="1" t="n">
        <v>7896878801244</v>
      </c>
      <c r="L6029" s="1" t="s">
        <v>2529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5" t="n">
        <v>46234</v>
      </c>
      <c r="C6030" s="1" t="n">
        <v>11</v>
      </c>
      <c r="D6030" s="1" t="s">
        <v>2290</v>
      </c>
      <c r="E6030" s="1" t="n">
        <v>1609</v>
      </c>
      <c r="F6030" s="1" t="s">
        <v>410</v>
      </c>
      <c r="I6030" s="1" t="n">
        <v>5900</v>
      </c>
      <c r="J6030" s="1" t="n">
        <v>20027</v>
      </c>
      <c r="K6030" s="1" t="n">
        <v>7896878801053</v>
      </c>
      <c r="L6030" s="1" t="s">
        <v>4203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5" t="n">
        <v>46234</v>
      </c>
      <c r="C6031" s="1" t="n">
        <v>11</v>
      </c>
      <c r="D6031" s="1" t="s">
        <v>2290</v>
      </c>
      <c r="E6031" s="1" t="n">
        <v>1609</v>
      </c>
      <c r="F6031" s="1" t="s">
        <v>410</v>
      </c>
      <c r="I6031" s="1" t="n">
        <v>5900</v>
      </c>
      <c r="J6031" s="1" t="n">
        <v>24963</v>
      </c>
      <c r="K6031" s="1" t="n">
        <v>7896878801060</v>
      </c>
      <c r="L6031" s="1" t="s">
        <v>4204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5" t="n">
        <v>46234</v>
      </c>
      <c r="C6032" s="1" t="n">
        <v>11</v>
      </c>
      <c r="D6032" s="1" t="s">
        <v>2290</v>
      </c>
      <c r="E6032" s="1" t="n">
        <v>1609</v>
      </c>
      <c r="F6032" s="1" t="s">
        <v>410</v>
      </c>
      <c r="I6032" s="1" t="n">
        <v>5900</v>
      </c>
      <c r="J6032" s="1" t="n">
        <v>24964</v>
      </c>
      <c r="K6032" s="1" t="n">
        <v>7896878801183</v>
      </c>
      <c r="L6032" s="1" t="s">
        <v>4205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5" t="n">
        <v>46234</v>
      </c>
      <c r="C6033" s="1" t="n">
        <v>11</v>
      </c>
      <c r="D6033" s="1" t="s">
        <v>2290</v>
      </c>
      <c r="E6033" s="1" t="n">
        <v>1609</v>
      </c>
      <c r="F6033" s="1" t="s">
        <v>410</v>
      </c>
      <c r="I6033" s="1" t="n">
        <v>5900</v>
      </c>
      <c r="J6033" s="1" t="n">
        <v>24965</v>
      </c>
      <c r="K6033" s="1" t="n">
        <v>7896878801107</v>
      </c>
      <c r="L6033" s="1" t="s">
        <v>4206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5" t="n">
        <v>46234</v>
      </c>
      <c r="C6034" s="1" t="n">
        <v>11</v>
      </c>
      <c r="D6034" s="1" t="s">
        <v>2290</v>
      </c>
      <c r="E6034" s="1" t="n">
        <v>1609</v>
      </c>
      <c r="F6034" s="1" t="s">
        <v>410</v>
      </c>
      <c r="I6034" s="1" t="n">
        <v>5900</v>
      </c>
      <c r="J6034" s="1" t="n">
        <v>32861</v>
      </c>
      <c r="K6034" s="1" t="n">
        <v>7896878801145</v>
      </c>
      <c r="L6034" s="1" t="s">
        <v>4207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15" t="n">
        <v>46234</v>
      </c>
      <c r="C6035" s="1" t="n">
        <v>11</v>
      </c>
      <c r="D6035" s="1" t="s">
        <v>2290</v>
      </c>
      <c r="E6035" s="1" t="n">
        <v>1609</v>
      </c>
      <c r="F6035" s="1" t="s">
        <v>410</v>
      </c>
      <c r="I6035" s="1" t="n">
        <v>5900</v>
      </c>
      <c r="J6035" s="1" t="n">
        <v>41614</v>
      </c>
      <c r="K6035" s="1" t="n">
        <v>7896878801213</v>
      </c>
      <c r="L6035" s="1" t="s">
        <v>2530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15" t="n">
        <v>46234</v>
      </c>
      <c r="C6036" s="1" t="n">
        <v>11</v>
      </c>
      <c r="D6036" s="1" t="s">
        <v>2290</v>
      </c>
      <c r="E6036" s="1" t="n">
        <v>1609</v>
      </c>
      <c r="F6036" s="1" t="s">
        <v>410</v>
      </c>
      <c r="I6036" s="1" t="n">
        <v>5900</v>
      </c>
      <c r="J6036" s="1" t="n">
        <v>80962</v>
      </c>
      <c r="K6036" s="1" t="n">
        <v>7890678801091</v>
      </c>
      <c r="L6036" s="1" t="s">
        <v>4209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5" t="n">
        <v>46234</v>
      </c>
      <c r="C6037" s="1" t="n">
        <v>11</v>
      </c>
      <c r="D6037" s="1" t="s">
        <v>2290</v>
      </c>
      <c r="E6037" s="1" t="n">
        <v>1196</v>
      </c>
      <c r="F6037" s="1" t="s">
        <v>174</v>
      </c>
      <c r="I6037" s="1" t="n">
        <v>12548</v>
      </c>
      <c r="J6037" s="1" t="n">
        <v>105626</v>
      </c>
      <c r="K6037" s="1" t="n">
        <v>7898215152347</v>
      </c>
      <c r="L6037" s="1" t="s">
        <v>3244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5" t="n">
        <v>46234</v>
      </c>
      <c r="C6038" s="1" t="n">
        <v>11</v>
      </c>
      <c r="D6038" s="1" t="s">
        <v>2290</v>
      </c>
      <c r="E6038" s="1" t="n">
        <v>1196</v>
      </c>
      <c r="F6038" s="1" t="s">
        <v>174</v>
      </c>
      <c r="I6038" s="1" t="n">
        <v>12548</v>
      </c>
      <c r="J6038" s="1" t="n">
        <v>32805</v>
      </c>
      <c r="K6038" s="1" t="n">
        <v>7896433800378</v>
      </c>
      <c r="L6038" s="1" t="s">
        <v>3296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5" t="n">
        <v>46234</v>
      </c>
      <c r="C6039" s="1" t="n">
        <v>11</v>
      </c>
      <c r="D6039" s="1" t="s">
        <v>2290</v>
      </c>
      <c r="E6039" s="1" t="n">
        <v>1196</v>
      </c>
      <c r="F6039" s="1" t="s">
        <v>174</v>
      </c>
      <c r="I6039" s="1" t="n">
        <v>12548</v>
      </c>
      <c r="J6039" s="1" t="n">
        <v>34923</v>
      </c>
      <c r="K6039" s="1" t="n">
        <v>7896253401465</v>
      </c>
      <c r="L6039" s="1" t="s">
        <v>3673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5" t="n">
        <v>46234</v>
      </c>
      <c r="C6040" s="1" t="n">
        <v>11</v>
      </c>
      <c r="D6040" s="1" t="s">
        <v>2290</v>
      </c>
      <c r="E6040" s="1" t="n">
        <v>1196</v>
      </c>
      <c r="F6040" s="1" t="s">
        <v>174</v>
      </c>
      <c r="I6040" s="1" t="n">
        <v>12548</v>
      </c>
      <c r="J6040" s="1" t="n">
        <v>53324</v>
      </c>
      <c r="K6040" s="1" t="n">
        <v>7896253401472</v>
      </c>
      <c r="L6040" s="1" t="s">
        <v>3675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5" t="n">
        <v>46234</v>
      </c>
      <c r="C6041" s="1" t="n">
        <v>11</v>
      </c>
      <c r="D6041" s="1" t="s">
        <v>2290</v>
      </c>
      <c r="E6041" s="1" t="n">
        <v>1196</v>
      </c>
      <c r="F6041" s="1" t="s">
        <v>174</v>
      </c>
      <c r="I6041" s="1" t="n">
        <v>12548</v>
      </c>
      <c r="J6041" s="1" t="n">
        <v>56692</v>
      </c>
      <c r="K6041" s="1" t="n">
        <v>7896253401892</v>
      </c>
      <c r="L6041" s="1" t="s">
        <v>4396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5" t="n">
        <v>46234</v>
      </c>
      <c r="C6042" s="1" t="n">
        <v>11</v>
      </c>
      <c r="D6042" s="1" t="s">
        <v>2290</v>
      </c>
      <c r="E6042" s="1" t="n">
        <v>1196</v>
      </c>
      <c r="F6042" s="1" t="s">
        <v>174</v>
      </c>
      <c r="I6042" s="1" t="n">
        <v>12548</v>
      </c>
      <c r="J6042" s="1" t="n">
        <v>80083</v>
      </c>
      <c r="K6042" s="1" t="n">
        <v>7896253401663</v>
      </c>
      <c r="L6042" s="1" t="s">
        <v>4397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5" t="n">
        <v>46234</v>
      </c>
      <c r="C6043" s="1" t="n">
        <v>11</v>
      </c>
      <c r="D6043" s="1" t="s">
        <v>2290</v>
      </c>
      <c r="E6043" s="1" t="n">
        <v>1615</v>
      </c>
      <c r="F6043" s="1" t="s">
        <v>130</v>
      </c>
      <c r="I6043" s="1" t="n">
        <v>14997</v>
      </c>
      <c r="J6043" s="1" t="n">
        <v>100101</v>
      </c>
      <c r="K6043" s="1" t="n">
        <v>102</v>
      </c>
      <c r="L6043" s="1" t="s">
        <v>2671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5" t="n">
        <v>46234</v>
      </c>
      <c r="C6044" s="1" t="n">
        <v>11</v>
      </c>
      <c r="D6044" s="1" t="s">
        <v>2290</v>
      </c>
      <c r="E6044" s="1" t="n">
        <v>1615</v>
      </c>
      <c r="F6044" s="1" t="s">
        <v>130</v>
      </c>
      <c r="I6044" s="1" t="n">
        <v>14997</v>
      </c>
      <c r="J6044" s="1" t="n">
        <v>100114</v>
      </c>
      <c r="K6044" s="1" t="n">
        <v>115</v>
      </c>
      <c r="L6044" s="1" t="s">
        <v>2568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5" t="n">
        <v>46234</v>
      </c>
      <c r="C6045" s="1" t="n">
        <v>11</v>
      </c>
      <c r="D6045" s="1" t="s">
        <v>2290</v>
      </c>
      <c r="E6045" s="1" t="n">
        <v>1378</v>
      </c>
      <c r="F6045" s="1" t="s">
        <v>120</v>
      </c>
      <c r="I6045" s="1" t="n">
        <v>18475</v>
      </c>
      <c r="J6045" s="1" t="n">
        <v>74061</v>
      </c>
      <c r="K6045" s="1" t="n">
        <v>42882264255</v>
      </c>
      <c r="L6045" s="1" t="s">
        <v>2340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5" t="n">
        <v>46234</v>
      </c>
      <c r="C6046" s="1" t="n">
        <v>11</v>
      </c>
      <c r="D6046" s="1" t="s">
        <v>2290</v>
      </c>
      <c r="E6046" s="1" t="n">
        <v>1378</v>
      </c>
      <c r="F6046" s="1" t="s">
        <v>120</v>
      </c>
      <c r="I6046" s="1" t="n">
        <v>18475</v>
      </c>
      <c r="J6046" s="1" t="n">
        <v>74063</v>
      </c>
      <c r="K6046" s="1" t="n">
        <v>42882264262</v>
      </c>
      <c r="L6046" s="1" t="s">
        <v>2341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5" t="n">
        <v>46234</v>
      </c>
      <c r="C6047" s="1" t="n">
        <v>11</v>
      </c>
      <c r="D6047" s="1" t="s">
        <v>2290</v>
      </c>
      <c r="E6047" s="1" t="n">
        <v>1378</v>
      </c>
      <c r="F6047" s="1" t="s">
        <v>120</v>
      </c>
      <c r="I6047" s="1" t="n">
        <v>18475</v>
      </c>
      <c r="J6047" s="1" t="n">
        <v>74064</v>
      </c>
      <c r="K6047" s="1" t="n">
        <v>42882264279</v>
      </c>
      <c r="L6047" s="1" t="s">
        <v>2342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5" t="n">
        <v>46234</v>
      </c>
      <c r="C6048" s="1" t="n">
        <v>11</v>
      </c>
      <c r="D6048" s="1" t="s">
        <v>2290</v>
      </c>
      <c r="E6048" s="1" t="n">
        <v>1378</v>
      </c>
      <c r="F6048" s="1" t="s">
        <v>120</v>
      </c>
      <c r="I6048" s="1" t="n">
        <v>18475</v>
      </c>
      <c r="J6048" s="1" t="n">
        <v>77994</v>
      </c>
      <c r="K6048" s="1" t="n">
        <v>780117</v>
      </c>
      <c r="L6048" s="1" t="s">
        <v>2344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5" t="n">
        <v>46234</v>
      </c>
      <c r="C6049" s="1" t="n">
        <v>11</v>
      </c>
      <c r="D6049" s="1" t="s">
        <v>2290</v>
      </c>
      <c r="E6049" s="1" t="n">
        <v>1814</v>
      </c>
      <c r="F6049" s="1" t="s">
        <v>339</v>
      </c>
      <c r="I6049" s="1" t="n">
        <v>27976</v>
      </c>
      <c r="J6049" s="1" t="n">
        <v>25090</v>
      </c>
      <c r="K6049" s="1" t="n">
        <v>7898951519152</v>
      </c>
      <c r="L6049" s="1" t="s">
        <v>2345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5" t="n">
        <v>46234</v>
      </c>
      <c r="C6050" s="1" t="n">
        <v>11</v>
      </c>
      <c r="D6050" s="1" t="s">
        <v>2290</v>
      </c>
      <c r="E6050" s="1" t="n">
        <v>1814</v>
      </c>
      <c r="F6050" s="1" t="s">
        <v>339</v>
      </c>
      <c r="I6050" s="1" t="n">
        <v>27976</v>
      </c>
      <c r="J6050" s="1" t="n">
        <v>25091</v>
      </c>
      <c r="K6050" s="1" t="n">
        <v>7898951519176</v>
      </c>
      <c r="L6050" s="1" t="s">
        <v>2346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5" t="n">
        <v>46234</v>
      </c>
      <c r="C6051" s="1" t="n">
        <v>11</v>
      </c>
      <c r="D6051" s="1" t="s">
        <v>2290</v>
      </c>
      <c r="E6051" s="1" t="n">
        <v>1814</v>
      </c>
      <c r="F6051" s="1" t="s">
        <v>339</v>
      </c>
      <c r="I6051" s="1" t="n">
        <v>27976</v>
      </c>
      <c r="J6051" s="1" t="n">
        <v>25092</v>
      </c>
      <c r="K6051" s="1" t="n">
        <v>7896883601105</v>
      </c>
      <c r="L6051" s="1" t="s">
        <v>3230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5" t="n">
        <v>46234</v>
      </c>
      <c r="C6052" s="1" t="n">
        <v>11</v>
      </c>
      <c r="D6052" s="1" t="s">
        <v>2290</v>
      </c>
      <c r="E6052" s="1" t="n">
        <v>1814</v>
      </c>
      <c r="F6052" s="1" t="s">
        <v>339</v>
      </c>
      <c r="I6052" s="1" t="n">
        <v>27976</v>
      </c>
      <c r="J6052" s="1" t="n">
        <v>25093</v>
      </c>
      <c r="K6052" s="1" t="n">
        <v>7898951519169</v>
      </c>
      <c r="L6052" s="1" t="s">
        <v>2347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5" t="n">
        <v>46234</v>
      </c>
      <c r="C6053" s="1" t="n">
        <v>11</v>
      </c>
      <c r="D6053" s="1" t="s">
        <v>2290</v>
      </c>
      <c r="E6053" s="1" t="n">
        <v>1814</v>
      </c>
      <c r="F6053" s="1" t="s">
        <v>339</v>
      </c>
      <c r="I6053" s="1" t="n">
        <v>27976</v>
      </c>
      <c r="J6053" s="1" t="n">
        <v>25095</v>
      </c>
      <c r="K6053" s="1" t="n">
        <v>7898951519145</v>
      </c>
      <c r="L6053" s="1" t="s">
        <v>2348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5" t="n">
        <v>46234</v>
      </c>
      <c r="C6054" s="1" t="n">
        <v>11</v>
      </c>
      <c r="D6054" s="1" t="s">
        <v>2290</v>
      </c>
      <c r="E6054" s="1" t="n">
        <v>1814</v>
      </c>
      <c r="F6054" s="1" t="s">
        <v>339</v>
      </c>
      <c r="I6054" s="1" t="n">
        <v>27976</v>
      </c>
      <c r="J6054" s="1" t="n">
        <v>25096</v>
      </c>
      <c r="K6054" s="1" t="n">
        <v>7898951519138</v>
      </c>
      <c r="L6054" s="1" t="s">
        <v>3231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5" t="n">
        <v>46234</v>
      </c>
      <c r="C6055" s="1" t="n">
        <v>11</v>
      </c>
      <c r="D6055" s="1" t="s">
        <v>2290</v>
      </c>
      <c r="E6055" s="1" t="n">
        <v>1814</v>
      </c>
      <c r="F6055" s="1" t="s">
        <v>339</v>
      </c>
      <c r="I6055" s="1" t="n">
        <v>27976</v>
      </c>
      <c r="J6055" s="1" t="n">
        <v>25097</v>
      </c>
      <c r="K6055" s="1" t="n">
        <v>7898951519121</v>
      </c>
      <c r="L6055" s="1" t="s">
        <v>2349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5" t="n">
        <v>46234</v>
      </c>
      <c r="C6056" s="1" t="n">
        <v>11</v>
      </c>
      <c r="D6056" s="1" t="s">
        <v>2290</v>
      </c>
      <c r="E6056" s="1" t="n">
        <v>1814</v>
      </c>
      <c r="F6056" s="1" t="s">
        <v>339</v>
      </c>
      <c r="I6056" s="1" t="n">
        <v>27976</v>
      </c>
      <c r="J6056" s="1" t="n">
        <v>25134</v>
      </c>
      <c r="K6056" s="1" t="n">
        <v>7898951519114</v>
      </c>
      <c r="L6056" s="1" t="s">
        <v>2350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5" t="n">
        <v>46234</v>
      </c>
      <c r="C6057" s="1" t="n">
        <v>11</v>
      </c>
      <c r="D6057" s="1" t="s">
        <v>2290</v>
      </c>
      <c r="E6057" s="1" t="n">
        <v>1814</v>
      </c>
      <c r="F6057" s="1" t="s">
        <v>339</v>
      </c>
      <c r="I6057" s="1" t="n">
        <v>27976</v>
      </c>
      <c r="J6057" s="1" t="n">
        <v>25757</v>
      </c>
      <c r="K6057" s="1" t="n">
        <v>7898951519107</v>
      </c>
      <c r="L6057" s="1" t="s">
        <v>2351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5" t="n">
        <v>46234</v>
      </c>
      <c r="C6058" s="1" t="n">
        <v>11</v>
      </c>
      <c r="D6058" s="1" t="s">
        <v>2290</v>
      </c>
      <c r="E6058" s="1" t="n">
        <v>1814</v>
      </c>
      <c r="F6058" s="1" t="s">
        <v>339</v>
      </c>
      <c r="I6058" s="1" t="n">
        <v>27976</v>
      </c>
      <c r="J6058" s="1" t="n">
        <v>25815</v>
      </c>
      <c r="K6058" s="1" t="n">
        <v>7898951519206</v>
      </c>
      <c r="L6058" s="1" t="s">
        <v>4118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5" t="n">
        <v>46234</v>
      </c>
      <c r="C6059" s="1" t="n">
        <v>11</v>
      </c>
      <c r="D6059" s="1" t="s">
        <v>2290</v>
      </c>
      <c r="E6059" s="1" t="n">
        <v>1814</v>
      </c>
      <c r="F6059" s="1" t="s">
        <v>339</v>
      </c>
      <c r="I6059" s="1" t="n">
        <v>27976</v>
      </c>
      <c r="J6059" s="1" t="n">
        <v>39927</v>
      </c>
      <c r="K6059" s="1" t="n">
        <v>7898951519077</v>
      </c>
      <c r="L6059" s="1" t="s">
        <v>2352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5" t="n">
        <v>46234</v>
      </c>
      <c r="C6060" s="1" t="n">
        <v>11</v>
      </c>
      <c r="D6060" s="1" t="s">
        <v>2290</v>
      </c>
      <c r="E6060" s="1" t="n">
        <v>1814</v>
      </c>
      <c r="F6060" s="1" t="s">
        <v>339</v>
      </c>
      <c r="I6060" s="1" t="n">
        <v>27976</v>
      </c>
      <c r="J6060" s="1" t="n">
        <v>39928</v>
      </c>
      <c r="K6060" s="1" t="n">
        <v>7898951519015</v>
      </c>
      <c r="L6060" s="1" t="s">
        <v>2353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5" t="n">
        <v>46234</v>
      </c>
      <c r="C6061" s="1" t="n">
        <v>11</v>
      </c>
      <c r="D6061" s="1" t="s">
        <v>2290</v>
      </c>
      <c r="E6061" s="1" t="n">
        <v>1814</v>
      </c>
      <c r="F6061" s="1" t="s">
        <v>339</v>
      </c>
      <c r="I6061" s="1" t="n">
        <v>27976</v>
      </c>
      <c r="J6061" s="1" t="n">
        <v>39929</v>
      </c>
      <c r="K6061" s="1" t="n">
        <v>7898951519039</v>
      </c>
      <c r="L6061" s="1" t="s">
        <v>2354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5" t="n">
        <v>46234</v>
      </c>
      <c r="C6062" s="1" t="n">
        <v>11</v>
      </c>
      <c r="D6062" s="1" t="s">
        <v>2290</v>
      </c>
      <c r="E6062" s="1" t="n">
        <v>1814</v>
      </c>
      <c r="F6062" s="1" t="s">
        <v>339</v>
      </c>
      <c r="I6062" s="1" t="n">
        <v>27976</v>
      </c>
      <c r="J6062" s="1" t="n">
        <v>39930</v>
      </c>
      <c r="K6062" s="1" t="n">
        <v>7898951519060</v>
      </c>
      <c r="L6062" s="1" t="s">
        <v>2355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5" t="n">
        <v>46234</v>
      </c>
      <c r="C6063" s="1" t="n">
        <v>11</v>
      </c>
      <c r="D6063" s="1" t="s">
        <v>2290</v>
      </c>
      <c r="E6063" s="1" t="n">
        <v>1814</v>
      </c>
      <c r="F6063" s="1" t="s">
        <v>339</v>
      </c>
      <c r="I6063" s="1" t="n">
        <v>27976</v>
      </c>
      <c r="J6063" s="1" t="n">
        <v>39931</v>
      </c>
      <c r="K6063" s="1" t="n">
        <v>7898951519220</v>
      </c>
      <c r="L6063" s="1" t="s">
        <v>4398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5" t="n">
        <v>46234</v>
      </c>
      <c r="C6064" s="1" t="n">
        <v>11</v>
      </c>
      <c r="D6064" s="1" t="s">
        <v>2290</v>
      </c>
      <c r="E6064" s="1" t="n">
        <v>1814</v>
      </c>
      <c r="F6064" s="1" t="s">
        <v>339</v>
      </c>
      <c r="I6064" s="1" t="n">
        <v>27976</v>
      </c>
      <c r="J6064" s="1" t="n">
        <v>39932</v>
      </c>
      <c r="K6064" s="1" t="n">
        <v>7898951519091</v>
      </c>
      <c r="L6064" s="1" t="s">
        <v>2356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5" t="n">
        <v>46234</v>
      </c>
      <c r="C6065" s="1" t="n">
        <v>11</v>
      </c>
      <c r="D6065" s="1" t="s">
        <v>2290</v>
      </c>
      <c r="E6065" s="1" t="n">
        <v>1814</v>
      </c>
      <c r="F6065" s="1" t="s">
        <v>339</v>
      </c>
      <c r="I6065" s="1" t="n">
        <v>27976</v>
      </c>
      <c r="J6065" s="1" t="n">
        <v>39935</v>
      </c>
      <c r="K6065" s="1" t="n">
        <v>7898951519053</v>
      </c>
      <c r="L6065" s="1" t="s">
        <v>2357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5" t="n">
        <v>46234</v>
      </c>
      <c r="C6066" s="1" t="n">
        <v>11</v>
      </c>
      <c r="D6066" s="1" t="s">
        <v>2290</v>
      </c>
      <c r="E6066" s="1" t="n">
        <v>1814</v>
      </c>
      <c r="F6066" s="1" t="s">
        <v>339</v>
      </c>
      <c r="I6066" s="1" t="n">
        <v>27976</v>
      </c>
      <c r="J6066" s="1" t="n">
        <v>39936</v>
      </c>
      <c r="K6066" s="1" t="n">
        <v>7898951519084</v>
      </c>
      <c r="L6066" s="1" t="s">
        <v>2358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5" t="n">
        <v>46234</v>
      </c>
      <c r="C6067" s="1" t="n">
        <v>11</v>
      </c>
      <c r="D6067" s="1" t="s">
        <v>2290</v>
      </c>
      <c r="E6067" s="1" t="n">
        <v>1814</v>
      </c>
      <c r="F6067" s="1" t="s">
        <v>339</v>
      </c>
      <c r="I6067" s="1" t="n">
        <v>27976</v>
      </c>
      <c r="J6067" s="1" t="n">
        <v>39937</v>
      </c>
      <c r="K6067" s="1" t="n">
        <v>7898951519022</v>
      </c>
      <c r="L6067" s="1" t="s">
        <v>2359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5" t="n">
        <v>46234</v>
      </c>
      <c r="C6068" s="1" t="n">
        <v>11</v>
      </c>
      <c r="D6068" s="1" t="s">
        <v>2290</v>
      </c>
      <c r="E6068" s="1" t="n">
        <v>1814</v>
      </c>
      <c r="F6068" s="1" t="s">
        <v>339</v>
      </c>
      <c r="I6068" s="1" t="n">
        <v>27976</v>
      </c>
      <c r="J6068" s="1" t="n">
        <v>81422</v>
      </c>
      <c r="K6068" s="1" t="n">
        <v>7898951519336</v>
      </c>
      <c r="L6068" s="1" t="s">
        <v>3232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5" t="n">
        <v>46234</v>
      </c>
      <c r="C6069" s="1" t="n">
        <v>11</v>
      </c>
      <c r="D6069" s="1" t="s">
        <v>2290</v>
      </c>
      <c r="E6069" s="1" t="n">
        <v>10017</v>
      </c>
      <c r="F6069" s="1" t="s">
        <v>335</v>
      </c>
      <c r="I6069" s="1" t="n">
        <v>195089</v>
      </c>
      <c r="J6069" s="1" t="n">
        <v>102208</v>
      </c>
      <c r="K6069" s="1" t="n">
        <v>7896004400075</v>
      </c>
      <c r="L6069" s="1" t="s">
        <v>4399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5" t="n">
        <v>46234</v>
      </c>
      <c r="C6070" s="1" t="n">
        <v>11</v>
      </c>
      <c r="D6070" s="1" t="s">
        <v>2290</v>
      </c>
      <c r="E6070" s="1" t="n">
        <v>10017</v>
      </c>
      <c r="F6070" s="1" t="s">
        <v>335</v>
      </c>
      <c r="I6070" s="1" t="n">
        <v>195089</v>
      </c>
      <c r="J6070" s="1" t="n">
        <v>102496</v>
      </c>
      <c r="K6070" s="1" t="n">
        <v>7891032012658</v>
      </c>
      <c r="L6070" s="1" t="s">
        <v>3570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5" t="n">
        <v>46234</v>
      </c>
      <c r="C6071" s="1" t="n">
        <v>11</v>
      </c>
      <c r="D6071" s="1" t="s">
        <v>2290</v>
      </c>
      <c r="E6071" s="1" t="n">
        <v>10017</v>
      </c>
      <c r="F6071" s="1" t="s">
        <v>335</v>
      </c>
      <c r="I6071" s="1" t="n">
        <v>195089</v>
      </c>
      <c r="J6071" s="1" t="n">
        <v>102577</v>
      </c>
      <c r="K6071" s="1" t="n">
        <v>7898080640222</v>
      </c>
      <c r="L6071" s="1" t="s">
        <v>2368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5" t="n">
        <v>46234</v>
      </c>
      <c r="C6072" s="1" t="n">
        <v>11</v>
      </c>
      <c r="D6072" s="1" t="s">
        <v>2290</v>
      </c>
      <c r="E6072" s="1" t="n">
        <v>10017</v>
      </c>
      <c r="F6072" s="1" t="s">
        <v>335</v>
      </c>
      <c r="I6072" s="1" t="n">
        <v>195089</v>
      </c>
      <c r="J6072" s="1" t="n">
        <v>106017</v>
      </c>
      <c r="K6072" s="1" t="n">
        <v>7891032012351</v>
      </c>
      <c r="L6072" s="1" t="s">
        <v>3575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5" t="n">
        <v>46234</v>
      </c>
      <c r="C6073" s="1" t="n">
        <v>11</v>
      </c>
      <c r="D6073" s="1" t="s">
        <v>2290</v>
      </c>
      <c r="E6073" s="1" t="n">
        <v>10017</v>
      </c>
      <c r="F6073" s="1" t="s">
        <v>335</v>
      </c>
      <c r="I6073" s="1" t="n">
        <v>195089</v>
      </c>
      <c r="J6073" s="1" t="n">
        <v>109306</v>
      </c>
      <c r="K6073" s="1" t="n">
        <v>7891167023024</v>
      </c>
      <c r="L6073" s="1" t="s">
        <v>4400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5" t="n">
        <v>46234</v>
      </c>
      <c r="C6074" s="1" t="n">
        <v>11</v>
      </c>
      <c r="D6074" s="1" t="s">
        <v>2290</v>
      </c>
      <c r="E6074" s="1" t="n">
        <v>10017</v>
      </c>
      <c r="F6074" s="1" t="s">
        <v>335</v>
      </c>
      <c r="I6074" s="1" t="n">
        <v>195089</v>
      </c>
      <c r="J6074" s="1" t="n">
        <v>109948</v>
      </c>
      <c r="K6074" s="1" t="n">
        <v>7891032013402</v>
      </c>
      <c r="L6074" s="1" t="s">
        <v>4401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5" t="n">
        <v>46234</v>
      </c>
      <c r="C6075" s="1" t="n">
        <v>11</v>
      </c>
      <c r="D6075" s="1" t="s">
        <v>2290</v>
      </c>
      <c r="E6075" s="1" t="n">
        <v>10017</v>
      </c>
      <c r="F6075" s="1" t="s">
        <v>335</v>
      </c>
      <c r="I6075" s="1" t="n">
        <v>195089</v>
      </c>
      <c r="J6075" s="1" t="n">
        <v>10280</v>
      </c>
      <c r="K6075" s="1" t="n">
        <v>7891249061777</v>
      </c>
      <c r="L6075" s="1" t="s">
        <v>4402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5" t="n">
        <v>46234</v>
      </c>
      <c r="C6076" s="1" t="n">
        <v>11</v>
      </c>
      <c r="D6076" s="1" t="s">
        <v>2290</v>
      </c>
      <c r="E6076" s="1" t="n">
        <v>10017</v>
      </c>
      <c r="F6076" s="1" t="s">
        <v>335</v>
      </c>
      <c r="I6076" s="1" t="n">
        <v>195089</v>
      </c>
      <c r="J6076" s="1" t="n">
        <v>10686</v>
      </c>
      <c r="K6076" s="1" t="n">
        <v>7891032013105</v>
      </c>
      <c r="L6076" s="1" t="s">
        <v>3996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5" t="n">
        <v>46234</v>
      </c>
      <c r="C6077" s="1" t="n">
        <v>11</v>
      </c>
      <c r="D6077" s="1" t="s">
        <v>2290</v>
      </c>
      <c r="E6077" s="1" t="n">
        <v>10017</v>
      </c>
      <c r="F6077" s="1" t="s">
        <v>335</v>
      </c>
      <c r="I6077" s="1" t="n">
        <v>195089</v>
      </c>
      <c r="J6077" s="1" t="n">
        <v>13053</v>
      </c>
      <c r="K6077" s="1" t="n">
        <v>7898041310775</v>
      </c>
      <c r="L6077" s="1" t="s">
        <v>3925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5" t="n">
        <v>46234</v>
      </c>
      <c r="C6078" s="1" t="n">
        <v>11</v>
      </c>
      <c r="D6078" s="1" t="s">
        <v>2290</v>
      </c>
      <c r="E6078" s="1" t="n">
        <v>10017</v>
      </c>
      <c r="F6078" s="1" t="s">
        <v>335</v>
      </c>
      <c r="I6078" s="1" t="n">
        <v>195089</v>
      </c>
      <c r="J6078" s="1" t="n">
        <v>15420</v>
      </c>
      <c r="K6078" s="1" t="n">
        <v>7891249061166</v>
      </c>
      <c r="L6078" s="1" t="s">
        <v>4403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5" t="n">
        <v>46234</v>
      </c>
      <c r="C6079" s="1" t="n">
        <v>11</v>
      </c>
      <c r="D6079" s="1" t="s">
        <v>2290</v>
      </c>
      <c r="E6079" s="1" t="n">
        <v>10017</v>
      </c>
      <c r="F6079" s="1" t="s">
        <v>335</v>
      </c>
      <c r="I6079" s="1" t="n">
        <v>195089</v>
      </c>
      <c r="J6079" s="1" t="n">
        <v>25713</v>
      </c>
      <c r="K6079" s="1" t="n">
        <v>7898556010047</v>
      </c>
      <c r="L6079" s="1" t="s">
        <v>4404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5" t="n">
        <v>46234</v>
      </c>
      <c r="C6080" s="1" t="n">
        <v>11</v>
      </c>
      <c r="D6080" s="1" t="s">
        <v>2290</v>
      </c>
      <c r="E6080" s="1" t="n">
        <v>10017</v>
      </c>
      <c r="F6080" s="1" t="s">
        <v>335</v>
      </c>
      <c r="I6080" s="1" t="n">
        <v>195089</v>
      </c>
      <c r="J6080" s="1" t="n">
        <v>25964</v>
      </c>
      <c r="K6080" s="1" t="n">
        <v>7896763621858</v>
      </c>
      <c r="L6080" s="1" t="s">
        <v>3295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5" t="n">
        <v>46234</v>
      </c>
      <c r="C6081" s="1" t="n">
        <v>11</v>
      </c>
      <c r="D6081" s="1" t="s">
        <v>2290</v>
      </c>
      <c r="E6081" s="1" t="n">
        <v>10017</v>
      </c>
      <c r="F6081" s="1" t="s">
        <v>335</v>
      </c>
      <c r="I6081" s="1" t="n">
        <v>195089</v>
      </c>
      <c r="J6081" s="1" t="n">
        <v>26868</v>
      </c>
      <c r="K6081" s="1" t="n">
        <v>7892300002845</v>
      </c>
      <c r="L6081" s="1" t="s">
        <v>4405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5" t="n">
        <v>46234</v>
      </c>
      <c r="C6082" s="1" t="n">
        <v>11</v>
      </c>
      <c r="D6082" s="1" t="s">
        <v>2290</v>
      </c>
      <c r="E6082" s="1" t="n">
        <v>10017</v>
      </c>
      <c r="F6082" s="1" t="s">
        <v>335</v>
      </c>
      <c r="I6082" s="1" t="n">
        <v>195089</v>
      </c>
      <c r="J6082" s="1" t="n">
        <v>26869</v>
      </c>
      <c r="K6082" s="1" t="n">
        <v>7892300002838</v>
      </c>
      <c r="L6082" s="1" t="s">
        <v>4406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5" t="n">
        <v>46234</v>
      </c>
      <c r="C6083" s="1" t="n">
        <v>11</v>
      </c>
      <c r="D6083" s="1" t="s">
        <v>2290</v>
      </c>
      <c r="E6083" s="1" t="n">
        <v>10017</v>
      </c>
      <c r="F6083" s="1" t="s">
        <v>335</v>
      </c>
      <c r="I6083" s="1" t="n">
        <v>195089</v>
      </c>
      <c r="J6083" s="1" t="n">
        <v>34623</v>
      </c>
      <c r="K6083" s="1" t="n">
        <v>7633337200114</v>
      </c>
      <c r="L6083" s="1" t="s">
        <v>4407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5" t="n">
        <v>46234</v>
      </c>
      <c r="C6084" s="1" t="n">
        <v>11</v>
      </c>
      <c r="D6084" s="1" t="s">
        <v>2290</v>
      </c>
      <c r="E6084" s="1" t="n">
        <v>10017</v>
      </c>
      <c r="F6084" s="1" t="s">
        <v>335</v>
      </c>
      <c r="I6084" s="1" t="n">
        <v>195089</v>
      </c>
      <c r="J6084" s="1" t="n">
        <v>35059</v>
      </c>
      <c r="K6084" s="1" t="n">
        <v>7898556010023</v>
      </c>
      <c r="L6084" s="1" t="s">
        <v>4408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5" t="n">
        <v>46234</v>
      </c>
      <c r="C6085" s="1" t="n">
        <v>11</v>
      </c>
      <c r="D6085" s="1" t="s">
        <v>2290</v>
      </c>
      <c r="E6085" s="1" t="n">
        <v>10017</v>
      </c>
      <c r="F6085" s="1" t="s">
        <v>335</v>
      </c>
      <c r="I6085" s="1" t="n">
        <v>195089</v>
      </c>
      <c r="J6085" s="1" t="n">
        <v>38545</v>
      </c>
      <c r="K6085" s="1" t="n">
        <v>7898556010030</v>
      </c>
      <c r="L6085" s="1" t="s">
        <v>4409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5" t="n">
        <v>46234</v>
      </c>
      <c r="C6086" s="1" t="n">
        <v>11</v>
      </c>
      <c r="D6086" s="1" t="s">
        <v>2290</v>
      </c>
      <c r="E6086" s="1" t="n">
        <v>10017</v>
      </c>
      <c r="F6086" s="1" t="s">
        <v>335</v>
      </c>
      <c r="I6086" s="1" t="n">
        <v>195089</v>
      </c>
      <c r="J6086" s="1" t="n">
        <v>46640</v>
      </c>
      <c r="K6086" s="1" t="n">
        <v>7898916462110</v>
      </c>
      <c r="L6086" s="1" t="s">
        <v>2775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5" t="n">
        <v>46234</v>
      </c>
      <c r="C6087" s="1" t="n">
        <v>11</v>
      </c>
      <c r="D6087" s="1" t="s">
        <v>2290</v>
      </c>
      <c r="E6087" s="1" t="n">
        <v>10017</v>
      </c>
      <c r="F6087" s="1" t="s">
        <v>335</v>
      </c>
      <c r="I6087" s="1" t="n">
        <v>195089</v>
      </c>
      <c r="J6087" s="1" t="n">
        <v>48225</v>
      </c>
      <c r="K6087" s="1" t="n">
        <v>7897013586255</v>
      </c>
      <c r="L6087" s="1" t="s">
        <v>3518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5" t="n">
        <v>46234</v>
      </c>
      <c r="C6088" s="1" t="n">
        <v>11</v>
      </c>
      <c r="D6088" s="1" t="s">
        <v>2290</v>
      </c>
      <c r="E6088" s="1" t="n">
        <v>10017</v>
      </c>
      <c r="F6088" s="1" t="s">
        <v>335</v>
      </c>
      <c r="I6088" s="1" t="n">
        <v>195089</v>
      </c>
      <c r="J6088" s="1" t="n">
        <v>48887</v>
      </c>
      <c r="K6088" s="1" t="n">
        <v>7897013585678</v>
      </c>
      <c r="L6088" s="1" t="s">
        <v>3520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5" t="n">
        <v>46234</v>
      </c>
      <c r="C6089" s="1" t="n">
        <v>11</v>
      </c>
      <c r="D6089" s="1" t="s">
        <v>2290</v>
      </c>
      <c r="E6089" s="1" t="n">
        <v>10017</v>
      </c>
      <c r="F6089" s="1" t="s">
        <v>335</v>
      </c>
      <c r="I6089" s="1" t="n">
        <v>195089</v>
      </c>
      <c r="J6089" s="1" t="n">
        <v>48895</v>
      </c>
      <c r="K6089" s="1" t="n">
        <v>7897013585654</v>
      </c>
      <c r="L6089" s="1" t="s">
        <v>3521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5" t="n">
        <v>46234</v>
      </c>
      <c r="C6090" s="1" t="n">
        <v>11</v>
      </c>
      <c r="D6090" s="1" t="s">
        <v>2290</v>
      </c>
      <c r="E6090" s="1" t="n">
        <v>10017</v>
      </c>
      <c r="F6090" s="1" t="s">
        <v>335</v>
      </c>
      <c r="I6090" s="1" t="n">
        <v>195089</v>
      </c>
      <c r="J6090" s="1" t="n">
        <v>53839</v>
      </c>
      <c r="K6090" s="1" t="n">
        <v>7897013586279</v>
      </c>
      <c r="L6090" s="1" t="s">
        <v>4410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5" t="n">
        <v>46234</v>
      </c>
      <c r="C6091" s="1" t="n">
        <v>11</v>
      </c>
      <c r="D6091" s="1" t="s">
        <v>2290</v>
      </c>
      <c r="E6091" s="1" t="n">
        <v>10017</v>
      </c>
      <c r="F6091" s="1" t="s">
        <v>335</v>
      </c>
      <c r="I6091" s="1" t="n">
        <v>195089</v>
      </c>
      <c r="J6091" s="1" t="n">
        <v>53840</v>
      </c>
      <c r="K6091" s="1" t="n">
        <v>7897013585661</v>
      </c>
      <c r="L6091" s="1" t="s">
        <v>3524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5" t="n">
        <v>46234</v>
      </c>
      <c r="C6092" s="1" t="n">
        <v>11</v>
      </c>
      <c r="D6092" s="1" t="s">
        <v>2290</v>
      </c>
      <c r="E6092" s="1" t="n">
        <v>10017</v>
      </c>
      <c r="F6092" s="1" t="s">
        <v>335</v>
      </c>
      <c r="I6092" s="1" t="n">
        <v>195089</v>
      </c>
      <c r="J6092" s="1" t="n">
        <v>57381</v>
      </c>
      <c r="K6092" s="1" t="n">
        <v>7896016441417</v>
      </c>
      <c r="L6092" s="1" t="s">
        <v>4411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5" t="n">
        <v>46234</v>
      </c>
      <c r="C6093" s="1" t="n">
        <v>11</v>
      </c>
      <c r="D6093" s="1" t="s">
        <v>2290</v>
      </c>
      <c r="E6093" s="1" t="n">
        <v>10017</v>
      </c>
      <c r="F6093" s="1" t="s">
        <v>335</v>
      </c>
      <c r="I6093" s="1" t="n">
        <v>195089</v>
      </c>
      <c r="J6093" s="1" t="n">
        <v>59714</v>
      </c>
      <c r="K6093" s="1" t="n">
        <v>7896005210192</v>
      </c>
      <c r="L6093" s="1" t="s">
        <v>2796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5" t="n">
        <v>46234</v>
      </c>
      <c r="C6094" s="1" t="n">
        <v>11</v>
      </c>
      <c r="D6094" s="1" t="s">
        <v>2290</v>
      </c>
      <c r="E6094" s="1" t="n">
        <v>10017</v>
      </c>
      <c r="F6094" s="1" t="s">
        <v>335</v>
      </c>
      <c r="I6094" s="1" t="n">
        <v>195089</v>
      </c>
      <c r="J6094" s="1" t="n">
        <v>63251</v>
      </c>
      <c r="K6094" s="1" t="n">
        <v>7897013585685</v>
      </c>
      <c r="L6094" s="1" t="s">
        <v>3526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5" t="n">
        <v>46234</v>
      </c>
      <c r="C6095" s="1" t="n">
        <v>11</v>
      </c>
      <c r="D6095" s="1" t="s">
        <v>2290</v>
      </c>
      <c r="E6095" s="1" t="n">
        <v>10017</v>
      </c>
      <c r="F6095" s="1" t="s">
        <v>335</v>
      </c>
      <c r="I6095" s="1" t="n">
        <v>195089</v>
      </c>
      <c r="J6095" s="1" t="n">
        <v>64788</v>
      </c>
      <c r="K6095" s="1" t="n">
        <v>7898029650022</v>
      </c>
      <c r="L6095" s="1" t="s">
        <v>4412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5" t="n">
        <v>46234</v>
      </c>
      <c r="C6096" s="1" t="n">
        <v>11</v>
      </c>
      <c r="D6096" s="1" t="s">
        <v>2290</v>
      </c>
      <c r="E6096" s="1" t="n">
        <v>10017</v>
      </c>
      <c r="F6096" s="1" t="s">
        <v>335</v>
      </c>
      <c r="I6096" s="1" t="n">
        <v>195089</v>
      </c>
      <c r="J6096" s="1" t="n">
        <v>69570</v>
      </c>
      <c r="K6096" s="1" t="n">
        <v>7896051167457</v>
      </c>
      <c r="L6096" s="1" t="s">
        <v>4413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5" t="n">
        <v>46234</v>
      </c>
      <c r="C6097" s="1" t="n">
        <v>11</v>
      </c>
      <c r="D6097" s="1" t="s">
        <v>2290</v>
      </c>
      <c r="E6097" s="1" t="n">
        <v>10017</v>
      </c>
      <c r="F6097" s="1" t="s">
        <v>335</v>
      </c>
      <c r="I6097" s="1" t="n">
        <v>195089</v>
      </c>
      <c r="J6097" s="1" t="n">
        <v>81818</v>
      </c>
      <c r="K6097" s="1" t="n">
        <v>7896031230362</v>
      </c>
      <c r="L6097" s="1" t="s">
        <v>4414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5" t="n">
        <v>46234</v>
      </c>
      <c r="C6098" s="1" t="n">
        <v>11</v>
      </c>
      <c r="D6098" s="1" t="s">
        <v>2290</v>
      </c>
      <c r="E6098" s="1" t="n">
        <v>10017</v>
      </c>
      <c r="F6098" s="1" t="s">
        <v>335</v>
      </c>
      <c r="I6098" s="1" t="n">
        <v>195089</v>
      </c>
      <c r="J6098" s="1" t="n">
        <v>81939</v>
      </c>
      <c r="K6098" s="1" t="n">
        <v>7890264800170</v>
      </c>
      <c r="L6098" s="1" t="s">
        <v>4415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5" t="n">
        <v>46234</v>
      </c>
      <c r="C6099" s="1" t="n">
        <v>11</v>
      </c>
      <c r="D6099" s="1" t="s">
        <v>2290</v>
      </c>
      <c r="E6099" s="1" t="n">
        <v>10017</v>
      </c>
      <c r="F6099" s="1" t="s">
        <v>335</v>
      </c>
      <c r="I6099" s="1" t="n">
        <v>195089</v>
      </c>
      <c r="J6099" s="1" t="n">
        <v>81940</v>
      </c>
      <c r="K6099" s="1" t="n">
        <v>703387018469</v>
      </c>
      <c r="L6099" s="1" t="s">
        <v>4416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5" t="n">
        <v>46234</v>
      </c>
      <c r="C6100" s="1" t="n">
        <v>11</v>
      </c>
      <c r="D6100" s="1" t="s">
        <v>2290</v>
      </c>
      <c r="E6100" s="1" t="n">
        <v>1699</v>
      </c>
      <c r="F6100" s="1" t="s">
        <v>60</v>
      </c>
      <c r="I6100" s="1" t="n">
        <v>309542</v>
      </c>
      <c r="J6100" s="1" t="n">
        <v>102314</v>
      </c>
      <c r="K6100" s="1" t="n">
        <v>7896547500089</v>
      </c>
      <c r="L6100" s="1" t="s">
        <v>4417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5" t="n">
        <v>46234</v>
      </c>
      <c r="C6101" s="1" t="n">
        <v>11</v>
      </c>
      <c r="D6101" s="1" t="s">
        <v>2290</v>
      </c>
      <c r="E6101" s="1" t="n">
        <v>1699</v>
      </c>
      <c r="F6101" s="1" t="s">
        <v>60</v>
      </c>
      <c r="I6101" s="1" t="n">
        <v>309542</v>
      </c>
      <c r="J6101" s="1" t="n">
        <v>102325</v>
      </c>
      <c r="K6101" s="1" t="n">
        <v>7896002100014</v>
      </c>
      <c r="L6101" s="1" t="s">
        <v>4418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5" t="n">
        <v>46234</v>
      </c>
      <c r="C6102" s="1" t="n">
        <v>11</v>
      </c>
      <c r="D6102" s="1" t="s">
        <v>2290</v>
      </c>
      <c r="E6102" s="1" t="n">
        <v>1699</v>
      </c>
      <c r="F6102" s="1" t="s">
        <v>60</v>
      </c>
      <c r="I6102" s="1" t="n">
        <v>309542</v>
      </c>
      <c r="J6102" s="1" t="n">
        <v>102328</v>
      </c>
      <c r="K6102" s="1" t="n">
        <v>7896022610005</v>
      </c>
      <c r="L6102" s="1" t="s">
        <v>4419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5" t="n">
        <v>46234</v>
      </c>
      <c r="C6103" s="1" t="n">
        <v>11</v>
      </c>
      <c r="D6103" s="1" t="s">
        <v>2290</v>
      </c>
      <c r="E6103" s="1" t="n">
        <v>1699</v>
      </c>
      <c r="F6103" s="1" t="s">
        <v>60</v>
      </c>
      <c r="I6103" s="1" t="n">
        <v>309542</v>
      </c>
      <c r="J6103" s="1" t="n">
        <v>102330</v>
      </c>
      <c r="K6103" s="1" t="n">
        <v>7896547500263</v>
      </c>
      <c r="L6103" s="1" t="s">
        <v>4420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5" t="n">
        <v>46234</v>
      </c>
      <c r="C6104" s="1" t="n">
        <v>11</v>
      </c>
      <c r="D6104" s="1" t="s">
        <v>2290</v>
      </c>
      <c r="E6104" s="1" t="n">
        <v>1699</v>
      </c>
      <c r="F6104" s="1" t="s">
        <v>60</v>
      </c>
      <c r="I6104" s="1" t="n">
        <v>309542</v>
      </c>
      <c r="J6104" s="1" t="n">
        <v>102457</v>
      </c>
      <c r="K6104" s="1" t="n">
        <v>7896031253347</v>
      </c>
      <c r="L6104" s="1" t="s">
        <v>2797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5" t="n">
        <v>46234</v>
      </c>
      <c r="C6105" s="1" t="n">
        <v>11</v>
      </c>
      <c r="D6105" s="1" t="s">
        <v>2290</v>
      </c>
      <c r="E6105" s="1" t="n">
        <v>1699</v>
      </c>
      <c r="F6105" s="1" t="s">
        <v>60</v>
      </c>
      <c r="I6105" s="1" t="n">
        <v>309542</v>
      </c>
      <c r="J6105" s="1" t="n">
        <v>105668</v>
      </c>
      <c r="K6105" s="1" t="n">
        <v>7896547500126</v>
      </c>
      <c r="L6105" s="1" t="s">
        <v>2798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5" t="n">
        <v>46234</v>
      </c>
      <c r="C6106" s="1" t="n">
        <v>11</v>
      </c>
      <c r="D6106" s="1" t="s">
        <v>2290</v>
      </c>
      <c r="E6106" s="1" t="n">
        <v>1699</v>
      </c>
      <c r="F6106" s="1" t="s">
        <v>60</v>
      </c>
      <c r="I6106" s="1" t="n">
        <v>309542</v>
      </c>
      <c r="J6106" s="1" t="n">
        <v>20485</v>
      </c>
      <c r="K6106" s="1" t="n">
        <v>7898342050240</v>
      </c>
      <c r="L6106" s="1" t="s">
        <v>3294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5" t="n">
        <v>46234</v>
      </c>
      <c r="C6107" s="1" t="n">
        <v>11</v>
      </c>
      <c r="D6107" s="1" t="s">
        <v>2290</v>
      </c>
      <c r="E6107" s="1" t="n">
        <v>1699</v>
      </c>
      <c r="F6107" s="1" t="s">
        <v>60</v>
      </c>
      <c r="I6107" s="1" t="n">
        <v>309542</v>
      </c>
      <c r="J6107" s="1" t="n">
        <v>21105</v>
      </c>
      <c r="K6107" s="1" t="n">
        <v>7898172660725</v>
      </c>
      <c r="L6107" s="1" t="s">
        <v>2802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5" t="n">
        <v>46234</v>
      </c>
      <c r="C6108" s="1" t="n">
        <v>11</v>
      </c>
      <c r="D6108" s="1" t="s">
        <v>2290</v>
      </c>
      <c r="E6108" s="1" t="n">
        <v>1699</v>
      </c>
      <c r="F6108" s="1" t="s">
        <v>60</v>
      </c>
      <c r="I6108" s="1" t="n">
        <v>309542</v>
      </c>
      <c r="J6108" s="1" t="n">
        <v>22589</v>
      </c>
      <c r="K6108" s="1" t="n">
        <v>7896547501178</v>
      </c>
      <c r="L6108" s="1" t="s">
        <v>4421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5" t="n">
        <v>46234</v>
      </c>
      <c r="C6109" s="1" t="n">
        <v>11</v>
      </c>
      <c r="D6109" s="1" t="s">
        <v>2290</v>
      </c>
      <c r="E6109" s="1" t="n">
        <v>1699</v>
      </c>
      <c r="F6109" s="1" t="s">
        <v>60</v>
      </c>
      <c r="I6109" s="1" t="n">
        <v>309542</v>
      </c>
      <c r="J6109" s="1" t="n">
        <v>23413</v>
      </c>
      <c r="K6109" s="1" t="n">
        <v>7898542022900</v>
      </c>
      <c r="L6109" s="1" t="s">
        <v>2586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5" t="n">
        <v>46234</v>
      </c>
      <c r="C6110" s="1" t="n">
        <v>11</v>
      </c>
      <c r="D6110" s="1" t="s">
        <v>2290</v>
      </c>
      <c r="E6110" s="1" t="n">
        <v>1699</v>
      </c>
      <c r="F6110" s="1" t="s">
        <v>60</v>
      </c>
      <c r="I6110" s="1" t="n">
        <v>309542</v>
      </c>
      <c r="J6110" s="1" t="n">
        <v>24516</v>
      </c>
      <c r="K6110" s="1" t="n">
        <v>7791293032443</v>
      </c>
      <c r="L6110" s="1" t="s">
        <v>4422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5" t="n">
        <v>46234</v>
      </c>
      <c r="C6111" s="1" t="n">
        <v>11</v>
      </c>
      <c r="D6111" s="1" t="s">
        <v>2290</v>
      </c>
      <c r="E6111" s="1" t="n">
        <v>1699</v>
      </c>
      <c r="F6111" s="1" t="s">
        <v>60</v>
      </c>
      <c r="I6111" s="1" t="n">
        <v>309542</v>
      </c>
      <c r="J6111" s="1" t="n">
        <v>25579</v>
      </c>
      <c r="K6111" s="1" t="n">
        <v>7506306241183</v>
      </c>
      <c r="L6111" s="1" t="s">
        <v>2806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5" t="n">
        <v>46234</v>
      </c>
      <c r="C6112" s="1" t="n">
        <v>11</v>
      </c>
      <c r="D6112" s="1" t="s">
        <v>2290</v>
      </c>
      <c r="E6112" s="1" t="n">
        <v>1699</v>
      </c>
      <c r="F6112" s="1" t="s">
        <v>60</v>
      </c>
      <c r="I6112" s="1" t="n">
        <v>309542</v>
      </c>
      <c r="J6112" s="1" t="n">
        <v>37982</v>
      </c>
      <c r="K6112" s="1" t="n">
        <v>7896219183107</v>
      </c>
      <c r="L6112" s="1" t="s">
        <v>3297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5" t="n">
        <v>46234</v>
      </c>
      <c r="C6113" s="1" t="n">
        <v>11</v>
      </c>
      <c r="D6113" s="1" t="s">
        <v>2290</v>
      </c>
      <c r="E6113" s="1" t="n">
        <v>1699</v>
      </c>
      <c r="F6113" s="1" t="s">
        <v>60</v>
      </c>
      <c r="I6113" s="1" t="n">
        <v>309542</v>
      </c>
      <c r="J6113" s="1" t="n">
        <v>39711</v>
      </c>
      <c r="K6113" s="1" t="n">
        <v>7896037915157</v>
      </c>
      <c r="L6113" s="1" t="s">
        <v>4423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5" t="n">
        <v>46234</v>
      </c>
      <c r="C6114" s="1" t="n">
        <v>11</v>
      </c>
      <c r="D6114" s="1" t="s">
        <v>2290</v>
      </c>
      <c r="E6114" s="1" t="n">
        <v>1699</v>
      </c>
      <c r="F6114" s="1" t="s">
        <v>60</v>
      </c>
      <c r="I6114" s="1" t="n">
        <v>309542</v>
      </c>
      <c r="J6114" s="1" t="n">
        <v>69324</v>
      </c>
      <c r="K6114" s="1" t="n">
        <v>7896037918899</v>
      </c>
      <c r="L6114" s="1" t="s">
        <v>4424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5" t="n">
        <v>46234</v>
      </c>
      <c r="C6115" s="1" t="n">
        <v>11</v>
      </c>
      <c r="D6115" s="1" t="s">
        <v>2290</v>
      </c>
      <c r="E6115" s="1" t="n">
        <v>1699</v>
      </c>
      <c r="F6115" s="1" t="s">
        <v>60</v>
      </c>
      <c r="I6115" s="1" t="n">
        <v>309542</v>
      </c>
      <c r="J6115" s="1" t="n">
        <v>75111</v>
      </c>
      <c r="K6115" s="1" t="n">
        <v>7896219184265</v>
      </c>
      <c r="L6115" s="1" t="s">
        <v>4425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5" t="n">
        <v>46234</v>
      </c>
      <c r="C6116" s="1" t="n">
        <v>11</v>
      </c>
      <c r="D6116" s="1" t="s">
        <v>2290</v>
      </c>
      <c r="E6116" s="1" t="n">
        <v>1699</v>
      </c>
      <c r="F6116" s="1" t="s">
        <v>60</v>
      </c>
      <c r="I6116" s="1" t="n">
        <v>309542</v>
      </c>
      <c r="J6116" s="1" t="n">
        <v>75114</v>
      </c>
      <c r="K6116" s="1" t="n">
        <v>7896219184340</v>
      </c>
      <c r="L6116" s="1" t="s">
        <v>4426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5" t="n">
        <v>46234</v>
      </c>
      <c r="C6117" s="1" t="n">
        <v>11</v>
      </c>
      <c r="D6117" s="1" t="s">
        <v>2290</v>
      </c>
      <c r="E6117" s="1" t="n">
        <v>1699</v>
      </c>
      <c r="F6117" s="1" t="s">
        <v>60</v>
      </c>
      <c r="I6117" s="1" t="n">
        <v>309542</v>
      </c>
      <c r="J6117" s="1" t="n">
        <v>77429</v>
      </c>
      <c r="K6117" s="1" t="n">
        <v>7896219184258</v>
      </c>
      <c r="L6117" s="1" t="s">
        <v>4427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5" t="n">
        <v>46234</v>
      </c>
      <c r="C6118" s="1" t="n">
        <v>11</v>
      </c>
      <c r="D6118" s="1" t="s">
        <v>2290</v>
      </c>
      <c r="E6118" s="1" t="n">
        <v>1699</v>
      </c>
      <c r="F6118" s="1" t="s">
        <v>60</v>
      </c>
      <c r="I6118" s="1" t="n">
        <v>309542</v>
      </c>
      <c r="J6118" s="1" t="n">
        <v>78365</v>
      </c>
      <c r="K6118" s="1" t="n">
        <v>7896037918912</v>
      </c>
      <c r="L6118" s="1" t="s">
        <v>4428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5" t="n">
        <v>46234</v>
      </c>
      <c r="C6119" s="1" t="n">
        <v>11</v>
      </c>
      <c r="D6119" s="1" t="s">
        <v>2290</v>
      </c>
      <c r="E6119" s="1" t="n">
        <v>1699</v>
      </c>
      <c r="F6119" s="1" t="s">
        <v>60</v>
      </c>
      <c r="I6119" s="1" t="n">
        <v>309542</v>
      </c>
      <c r="J6119" s="1" t="n">
        <v>80434</v>
      </c>
      <c r="K6119" s="1" t="n">
        <v>17896219183326</v>
      </c>
      <c r="L6119" s="1" t="s">
        <v>4429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5" t="n">
        <v>46234</v>
      </c>
      <c r="C6120" s="1" t="n">
        <v>11</v>
      </c>
      <c r="D6120" s="1" t="s">
        <v>2290</v>
      </c>
      <c r="E6120" s="1" t="n">
        <v>1699</v>
      </c>
      <c r="F6120" s="1" t="s">
        <v>60</v>
      </c>
      <c r="I6120" s="1" t="n">
        <v>309542</v>
      </c>
      <c r="J6120" s="1" t="n">
        <v>81941</v>
      </c>
      <c r="K6120" s="1" t="n">
        <v>7896219184333</v>
      </c>
      <c r="L6120" s="1" t="s">
        <v>4430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5" t="n">
        <v>46234</v>
      </c>
      <c r="C6121" s="1" t="n">
        <v>11</v>
      </c>
      <c r="D6121" s="1" t="s">
        <v>2290</v>
      </c>
      <c r="E6121" s="1" t="n">
        <v>1666</v>
      </c>
      <c r="F6121" s="1" t="s">
        <v>212</v>
      </c>
      <c r="I6121" s="1" t="n">
        <v>568665</v>
      </c>
      <c r="J6121" s="1" t="n">
        <v>24990</v>
      </c>
      <c r="K6121" s="1" t="n">
        <v>78935761</v>
      </c>
      <c r="L6121" s="1" t="s">
        <v>2589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5" t="n">
        <v>46234</v>
      </c>
      <c r="C6122" s="1" t="n">
        <v>11</v>
      </c>
      <c r="D6122" s="1" t="s">
        <v>2290</v>
      </c>
      <c r="E6122" s="1" t="n">
        <v>1666</v>
      </c>
      <c r="F6122" s="1" t="s">
        <v>212</v>
      </c>
      <c r="I6122" s="1" t="n">
        <v>568665</v>
      </c>
      <c r="J6122" s="1" t="n">
        <v>37535</v>
      </c>
      <c r="K6122" s="1" t="n">
        <v>78942073</v>
      </c>
      <c r="L6122" s="1" t="s">
        <v>2592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5" t="n">
        <v>46234</v>
      </c>
      <c r="C6123" s="1" t="n">
        <v>11</v>
      </c>
      <c r="D6123" s="1" t="s">
        <v>2290</v>
      </c>
      <c r="E6123" s="1" t="n">
        <v>1666</v>
      </c>
      <c r="F6123" s="1" t="s">
        <v>212</v>
      </c>
      <c r="I6123" s="1" t="n">
        <v>568665</v>
      </c>
      <c r="J6123" s="1" t="n">
        <v>37536</v>
      </c>
      <c r="K6123" s="1" t="n">
        <v>78942066</v>
      </c>
      <c r="L6123" s="1" t="s">
        <v>2593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5" t="n">
        <v>46234</v>
      </c>
      <c r="C6124" s="1" t="n">
        <v>11</v>
      </c>
      <c r="D6124" s="1" t="s">
        <v>2290</v>
      </c>
      <c r="E6124" s="1" t="n">
        <v>1666</v>
      </c>
      <c r="F6124" s="1" t="s">
        <v>212</v>
      </c>
      <c r="I6124" s="1" t="n">
        <v>568665</v>
      </c>
      <c r="J6124" s="1" t="n">
        <v>40750</v>
      </c>
      <c r="K6124" s="1" t="n">
        <v>78943032</v>
      </c>
      <c r="L6124" s="1" t="s">
        <v>2594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5" t="n">
        <v>46234</v>
      </c>
      <c r="C6125" s="1" t="n">
        <v>11</v>
      </c>
      <c r="D6125" s="1" t="s">
        <v>2290</v>
      </c>
      <c r="E6125" s="1" t="n">
        <v>1666</v>
      </c>
      <c r="F6125" s="1" t="s">
        <v>212</v>
      </c>
      <c r="I6125" s="1" t="n">
        <v>568665</v>
      </c>
      <c r="J6125" s="1" t="n">
        <v>50760</v>
      </c>
      <c r="K6125" s="1" t="n">
        <v>78943087</v>
      </c>
      <c r="L6125" s="1" t="s">
        <v>2595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5" t="n">
        <v>46234</v>
      </c>
      <c r="C6126" s="1" t="n">
        <v>11</v>
      </c>
      <c r="D6126" s="1" t="s">
        <v>2290</v>
      </c>
      <c r="E6126" s="1" t="n">
        <v>1666</v>
      </c>
      <c r="F6126" s="1" t="s">
        <v>212</v>
      </c>
      <c r="I6126" s="1" t="n">
        <v>568665</v>
      </c>
      <c r="J6126" s="1" t="n">
        <v>67177</v>
      </c>
      <c r="K6126" s="1" t="n">
        <v>78944466</v>
      </c>
      <c r="L6126" s="1" t="s">
        <v>2598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5" t="n">
        <v>46234</v>
      </c>
      <c r="C6127" s="1" t="n">
        <v>11</v>
      </c>
      <c r="D6127" s="1" t="s">
        <v>2290</v>
      </c>
      <c r="E6127" s="1" t="n">
        <v>1666</v>
      </c>
      <c r="F6127" s="1" t="s">
        <v>212</v>
      </c>
      <c r="I6127" s="1" t="n">
        <v>568665</v>
      </c>
      <c r="J6127" s="1" t="n">
        <v>68068</v>
      </c>
      <c r="K6127" s="1" t="n">
        <v>78946354</v>
      </c>
      <c r="L6127" s="1" t="s">
        <v>3299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5" t="n">
        <v>46234</v>
      </c>
      <c r="C6128" s="1" t="n">
        <v>11</v>
      </c>
      <c r="D6128" s="1" t="s">
        <v>2290</v>
      </c>
      <c r="E6128" s="1" t="n">
        <v>1666</v>
      </c>
      <c r="F6128" s="1" t="s">
        <v>212</v>
      </c>
      <c r="I6128" s="1" t="n">
        <v>568665</v>
      </c>
      <c r="J6128" s="1" t="n">
        <v>77084</v>
      </c>
      <c r="K6128" s="1" t="n">
        <v>78947535</v>
      </c>
      <c r="L6128" s="1" t="s">
        <v>2599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5" t="n">
        <v>46234</v>
      </c>
      <c r="C6129" s="1" t="n">
        <v>11</v>
      </c>
      <c r="D6129" s="1" t="s">
        <v>2290</v>
      </c>
      <c r="E6129" s="1" t="n">
        <v>1666</v>
      </c>
      <c r="F6129" s="1" t="s">
        <v>212</v>
      </c>
      <c r="I6129" s="1" t="n">
        <v>568665</v>
      </c>
      <c r="J6129" s="1" t="n">
        <v>78026</v>
      </c>
      <c r="K6129" s="1" t="n">
        <v>78947504</v>
      </c>
      <c r="L6129" s="1" t="s">
        <v>3300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5" t="n">
        <v>46234</v>
      </c>
      <c r="C6130" s="1" t="n">
        <v>11</v>
      </c>
      <c r="D6130" s="1" t="s">
        <v>2290</v>
      </c>
      <c r="E6130" s="1" t="n">
        <v>1666</v>
      </c>
      <c r="F6130" s="1" t="s">
        <v>212</v>
      </c>
      <c r="I6130" s="1" t="n">
        <v>568665</v>
      </c>
      <c r="J6130" s="1" t="n">
        <v>81691</v>
      </c>
      <c r="K6130" s="1" t="n">
        <v>78947610</v>
      </c>
      <c r="L6130" s="1" t="s">
        <v>4040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5" t="n">
        <v>46234</v>
      </c>
      <c r="C6131" s="1" t="n">
        <v>11</v>
      </c>
      <c r="D6131" s="1" t="s">
        <v>2290</v>
      </c>
      <c r="E6131" s="1" t="n">
        <v>1705</v>
      </c>
      <c r="F6131" s="1" t="s">
        <v>122</v>
      </c>
      <c r="I6131" s="1" t="n">
        <v>1227650</v>
      </c>
      <c r="J6131" s="1" t="n">
        <v>103139</v>
      </c>
      <c r="K6131" s="1" t="n">
        <v>7894900051759</v>
      </c>
      <c r="L6131" s="1" t="s">
        <v>2303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5" t="n">
        <v>46234</v>
      </c>
      <c r="C6132" s="1" t="n">
        <v>11</v>
      </c>
      <c r="D6132" s="1" t="s">
        <v>2290</v>
      </c>
      <c r="E6132" s="1" t="n">
        <v>1705</v>
      </c>
      <c r="F6132" s="1" t="s">
        <v>122</v>
      </c>
      <c r="I6132" s="1" t="n">
        <v>1227650</v>
      </c>
      <c r="J6132" s="1" t="n">
        <v>103140</v>
      </c>
      <c r="K6132" s="1" t="n">
        <v>7894900031751</v>
      </c>
      <c r="L6132" s="1" t="s">
        <v>2304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5" t="n">
        <v>46234</v>
      </c>
      <c r="C6133" s="1" t="n">
        <v>11</v>
      </c>
      <c r="D6133" s="1" t="s">
        <v>2290</v>
      </c>
      <c r="E6133" s="1" t="n">
        <v>1705</v>
      </c>
      <c r="F6133" s="1" t="s">
        <v>122</v>
      </c>
      <c r="I6133" s="1" t="n">
        <v>1227650</v>
      </c>
      <c r="J6133" s="1" t="n">
        <v>24324</v>
      </c>
      <c r="K6133" s="1" t="n">
        <v>70847022015</v>
      </c>
      <c r="L6133" s="1" t="s">
        <v>2292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5" t="n">
        <v>46234</v>
      </c>
      <c r="C6134" s="1" t="n">
        <v>11</v>
      </c>
      <c r="D6134" s="1" t="s">
        <v>2290</v>
      </c>
      <c r="E6134" s="1" t="n">
        <v>1705</v>
      </c>
      <c r="F6134" s="1" t="s">
        <v>122</v>
      </c>
      <c r="I6134" s="1" t="n">
        <v>1227650</v>
      </c>
      <c r="J6134" s="1" t="n">
        <v>24651</v>
      </c>
      <c r="K6134" s="1" t="n">
        <v>78936683</v>
      </c>
      <c r="L6134" s="1" t="s">
        <v>2573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5" t="n">
        <v>46234</v>
      </c>
      <c r="C6135" s="1" t="n">
        <v>11</v>
      </c>
      <c r="D6135" s="1" t="s">
        <v>2290</v>
      </c>
      <c r="E6135" s="1" t="n">
        <v>1705</v>
      </c>
      <c r="F6135" s="1" t="s">
        <v>122</v>
      </c>
      <c r="I6135" s="1" t="n">
        <v>1227650</v>
      </c>
      <c r="J6135" s="1" t="n">
        <v>41322</v>
      </c>
      <c r="K6135" s="1" t="n">
        <v>7897105200076</v>
      </c>
      <c r="L6135" s="1" t="s">
        <v>3639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5" t="n">
        <v>46234</v>
      </c>
      <c r="C6136" s="1" t="n">
        <v>11</v>
      </c>
      <c r="D6136" s="1" t="s">
        <v>2290</v>
      </c>
      <c r="E6136" s="1" t="n">
        <v>1705</v>
      </c>
      <c r="F6136" s="1" t="s">
        <v>122</v>
      </c>
      <c r="I6136" s="1" t="n">
        <v>1227650</v>
      </c>
      <c r="J6136" s="1" t="n">
        <v>66038</v>
      </c>
      <c r="K6136" s="1" t="n">
        <v>7898938890076</v>
      </c>
      <c r="L6136" s="1" t="s">
        <v>3612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5" t="n">
        <v>46234</v>
      </c>
      <c r="C6137" s="1" t="n">
        <v>11</v>
      </c>
      <c r="D6137" s="1" t="s">
        <v>2290</v>
      </c>
      <c r="E6137" s="1" t="n">
        <v>10009</v>
      </c>
      <c r="F6137" s="1" t="s">
        <v>373</v>
      </c>
      <c r="I6137" s="1" t="n">
        <v>1431918</v>
      </c>
      <c r="J6137" s="1" t="n">
        <v>100211</v>
      </c>
      <c r="K6137" s="1" t="n">
        <v>212</v>
      </c>
      <c r="L6137" s="1" t="s">
        <v>4270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5" t="n">
        <v>46234</v>
      </c>
      <c r="C6138" s="1" t="n">
        <v>11</v>
      </c>
      <c r="D6138" s="1" t="s">
        <v>2290</v>
      </c>
      <c r="E6138" s="1" t="n">
        <v>10009</v>
      </c>
      <c r="F6138" s="1" t="s">
        <v>373</v>
      </c>
      <c r="I6138" s="1" t="n">
        <v>1431918</v>
      </c>
      <c r="J6138" s="1" t="n">
        <v>100436</v>
      </c>
      <c r="K6138" s="1" t="n">
        <v>307</v>
      </c>
      <c r="L6138" s="1" t="s">
        <v>2915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5" t="n">
        <v>46234</v>
      </c>
      <c r="C6139" s="1" t="n">
        <v>11</v>
      </c>
      <c r="D6139" s="1" t="s">
        <v>2290</v>
      </c>
      <c r="E6139" s="1" t="n">
        <v>10009</v>
      </c>
      <c r="F6139" s="1" t="s">
        <v>373</v>
      </c>
      <c r="I6139" s="1" t="n">
        <v>1431918</v>
      </c>
      <c r="J6139" s="1" t="n">
        <v>107341</v>
      </c>
      <c r="K6139" s="1" t="n">
        <v>7896015605193</v>
      </c>
      <c r="L6139" s="1" t="s">
        <v>2916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5" t="n">
        <v>46234</v>
      </c>
      <c r="C6140" s="1" t="n">
        <v>11</v>
      </c>
      <c r="D6140" s="1" t="s">
        <v>2290</v>
      </c>
      <c r="E6140" s="1" t="n">
        <v>10009</v>
      </c>
      <c r="F6140" s="1" t="s">
        <v>373</v>
      </c>
      <c r="I6140" s="1" t="n">
        <v>1431918</v>
      </c>
      <c r="J6140" s="1" t="n">
        <v>43040</v>
      </c>
      <c r="K6140" s="1" t="n">
        <v>7891000069455</v>
      </c>
      <c r="L6140" s="1" t="s">
        <v>4271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5" t="n">
        <v>46234</v>
      </c>
      <c r="C6141" s="1" t="n">
        <v>11</v>
      </c>
      <c r="D6141" s="1" t="s">
        <v>2290</v>
      </c>
      <c r="E6141" s="1" t="n">
        <v>10009</v>
      </c>
      <c r="F6141" s="1" t="s">
        <v>373</v>
      </c>
      <c r="I6141" s="1" t="n">
        <v>1432680</v>
      </c>
      <c r="J6141" s="1" t="n">
        <v>20346</v>
      </c>
      <c r="K6141" s="1" t="n">
        <v>7891000102626</v>
      </c>
      <c r="L6141" s="1" t="s">
        <v>4431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5" t="n">
        <v>46234</v>
      </c>
      <c r="C6142" s="1" t="n">
        <v>11</v>
      </c>
      <c r="D6142" s="1" t="s">
        <v>2290</v>
      </c>
      <c r="E6142" s="1" t="n">
        <v>10009</v>
      </c>
      <c r="F6142" s="1" t="s">
        <v>373</v>
      </c>
      <c r="I6142" s="1" t="n">
        <v>1432680</v>
      </c>
      <c r="J6142" s="1" t="n">
        <v>102162</v>
      </c>
      <c r="K6142" s="1" t="n">
        <v>7891000001080</v>
      </c>
      <c r="L6142" s="1" t="s">
        <v>4432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5" t="n">
        <v>46234</v>
      </c>
      <c r="C6143" s="1" t="n">
        <v>11</v>
      </c>
      <c r="D6143" s="1" t="s">
        <v>2290</v>
      </c>
      <c r="E6143" s="1" t="n">
        <v>10009</v>
      </c>
      <c r="F6143" s="1" t="s">
        <v>373</v>
      </c>
      <c r="I6143" s="1" t="n">
        <v>1432680</v>
      </c>
      <c r="J6143" s="1" t="n">
        <v>103473</v>
      </c>
      <c r="K6143" s="1" t="n">
        <v>7891000367506</v>
      </c>
      <c r="L6143" s="1" t="s">
        <v>3891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5" t="n">
        <v>46234</v>
      </c>
      <c r="C6144" s="1" t="n">
        <v>11</v>
      </c>
      <c r="D6144" s="1" t="s">
        <v>2290</v>
      </c>
      <c r="E6144" s="1" t="n">
        <v>10009</v>
      </c>
      <c r="F6144" s="1" t="s">
        <v>373</v>
      </c>
      <c r="I6144" s="1" t="n">
        <v>1432680</v>
      </c>
      <c r="J6144" s="1" t="n">
        <v>12588</v>
      </c>
      <c r="K6144" s="1" t="n">
        <v>7891000067048</v>
      </c>
      <c r="L6144" s="1" t="s">
        <v>2627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15" t="n">
        <v>46234</v>
      </c>
      <c r="C6145" s="1" t="n">
        <v>11</v>
      </c>
      <c r="D6145" s="1" t="s">
        <v>2290</v>
      </c>
      <c r="E6145" s="1" t="n">
        <v>10009</v>
      </c>
      <c r="F6145" s="1" t="s">
        <v>373</v>
      </c>
      <c r="I6145" s="1" t="n">
        <v>1432680</v>
      </c>
      <c r="J6145" s="1" t="n">
        <v>13038</v>
      </c>
      <c r="K6145" s="1" t="n">
        <v>7891000077962</v>
      </c>
      <c r="L6145" s="1" t="s">
        <v>2612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15" t="n">
        <v>46234</v>
      </c>
      <c r="C6146" s="1" t="n">
        <v>11</v>
      </c>
      <c r="D6146" s="1" t="s">
        <v>2290</v>
      </c>
      <c r="E6146" s="1" t="n">
        <v>10009</v>
      </c>
      <c r="F6146" s="1" t="s">
        <v>373</v>
      </c>
      <c r="I6146" s="1" t="n">
        <v>1432680</v>
      </c>
      <c r="J6146" s="1" t="n">
        <v>13105</v>
      </c>
      <c r="K6146" s="1" t="n">
        <v>7891000077924</v>
      </c>
      <c r="L6146" s="1" t="s">
        <v>2603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5" t="n">
        <v>46234</v>
      </c>
      <c r="C6147" s="1" t="n">
        <v>11</v>
      </c>
      <c r="D6147" s="1" t="s">
        <v>2290</v>
      </c>
      <c r="E6147" s="1" t="n">
        <v>10009</v>
      </c>
      <c r="F6147" s="1" t="s">
        <v>373</v>
      </c>
      <c r="I6147" s="1" t="n">
        <v>1432680</v>
      </c>
      <c r="J6147" s="1" t="n">
        <v>13212</v>
      </c>
      <c r="K6147" s="1" t="n">
        <v>7891000077948</v>
      </c>
      <c r="L6147" s="1" t="s">
        <v>4433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5" t="n">
        <v>46234</v>
      </c>
      <c r="C6148" s="1" t="n">
        <v>11</v>
      </c>
      <c r="D6148" s="1" t="s">
        <v>2290</v>
      </c>
      <c r="E6148" s="1" t="n">
        <v>10009</v>
      </c>
      <c r="F6148" s="1" t="s">
        <v>373</v>
      </c>
      <c r="I6148" s="1" t="n">
        <v>1432680</v>
      </c>
      <c r="J6148" s="1" t="n">
        <v>14234</v>
      </c>
      <c r="K6148" s="1" t="n">
        <v>7891000081501</v>
      </c>
      <c r="L6148" s="1" t="s">
        <v>2628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15" t="n">
        <v>46234</v>
      </c>
      <c r="C6149" s="1" t="n">
        <v>11</v>
      </c>
      <c r="D6149" s="1" t="s">
        <v>2290</v>
      </c>
      <c r="E6149" s="1" t="n">
        <v>10009</v>
      </c>
      <c r="F6149" s="1" t="s">
        <v>373</v>
      </c>
      <c r="I6149" s="1" t="n">
        <v>1432680</v>
      </c>
      <c r="J6149" s="1" t="n">
        <v>15717</v>
      </c>
      <c r="K6149" s="1" t="n">
        <v>7891000089255</v>
      </c>
      <c r="L6149" s="1" t="s">
        <v>2604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15" t="n">
        <v>46234</v>
      </c>
      <c r="C6150" s="1" t="n">
        <v>11</v>
      </c>
      <c r="D6150" s="1" t="s">
        <v>2290</v>
      </c>
      <c r="E6150" s="1" t="n">
        <v>10009</v>
      </c>
      <c r="F6150" s="1" t="s">
        <v>373</v>
      </c>
      <c r="I6150" s="1" t="n">
        <v>1432680</v>
      </c>
      <c r="J6150" s="1" t="n">
        <v>19987</v>
      </c>
      <c r="K6150" s="1" t="n">
        <v>7891000101926</v>
      </c>
      <c r="L6150" s="1" t="s">
        <v>2618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5" t="n">
        <v>46234</v>
      </c>
      <c r="C6151" s="1" t="n">
        <v>11</v>
      </c>
      <c r="D6151" s="1" t="s">
        <v>2290</v>
      </c>
      <c r="E6151" s="1" t="n">
        <v>10009</v>
      </c>
      <c r="F6151" s="1" t="s">
        <v>373</v>
      </c>
      <c r="I6151" s="1" t="n">
        <v>1432680</v>
      </c>
      <c r="J6151" s="1" t="n">
        <v>28349</v>
      </c>
      <c r="K6151" s="1" t="n">
        <v>7891000258613</v>
      </c>
      <c r="L6151" s="1" t="s">
        <v>3897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5" t="n">
        <v>46234</v>
      </c>
      <c r="C6152" s="1" t="n">
        <v>11</v>
      </c>
      <c r="D6152" s="1" t="s">
        <v>2290</v>
      </c>
      <c r="E6152" s="1" t="n">
        <v>10009</v>
      </c>
      <c r="F6152" s="1" t="s">
        <v>373</v>
      </c>
      <c r="I6152" s="1" t="n">
        <v>1432680</v>
      </c>
      <c r="J6152" s="1" t="n">
        <v>43621</v>
      </c>
      <c r="K6152" s="1" t="n">
        <v>7891000357460</v>
      </c>
      <c r="L6152" s="1" t="s">
        <v>3899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5" t="n">
        <v>46234</v>
      </c>
      <c r="C6153" s="1" t="n">
        <v>11</v>
      </c>
      <c r="D6153" s="1" t="s">
        <v>2290</v>
      </c>
      <c r="E6153" s="1" t="n">
        <v>10009</v>
      </c>
      <c r="F6153" s="1" t="s">
        <v>373</v>
      </c>
      <c r="I6153" s="1" t="n">
        <v>1432680</v>
      </c>
      <c r="J6153" s="1" t="n">
        <v>51852</v>
      </c>
      <c r="K6153" s="1" t="n">
        <v>7891000372586</v>
      </c>
      <c r="L6153" s="1" t="s">
        <v>2622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5" t="n">
        <v>46234</v>
      </c>
      <c r="C6154" s="1" t="n">
        <v>11</v>
      </c>
      <c r="D6154" s="1" t="s">
        <v>2290</v>
      </c>
      <c r="E6154" s="1" t="n">
        <v>10009</v>
      </c>
      <c r="F6154" s="1" t="s">
        <v>373</v>
      </c>
      <c r="I6154" s="1" t="n">
        <v>1432680</v>
      </c>
      <c r="J6154" s="1" t="n">
        <v>52108</v>
      </c>
      <c r="K6154" s="1" t="n">
        <v>7891000364253</v>
      </c>
      <c r="L6154" s="1" t="s">
        <v>2607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5" t="n">
        <v>46234</v>
      </c>
      <c r="C6155" s="1" t="n">
        <v>11</v>
      </c>
      <c r="D6155" s="1" t="s">
        <v>2290</v>
      </c>
      <c r="E6155" s="1" t="n">
        <v>10009</v>
      </c>
      <c r="F6155" s="1" t="s">
        <v>373</v>
      </c>
      <c r="I6155" s="1" t="n">
        <v>1432680</v>
      </c>
      <c r="J6155" s="1" t="n">
        <v>55393</v>
      </c>
      <c r="K6155" s="1" t="n">
        <v>7891000307083</v>
      </c>
      <c r="L6155" s="1" t="s">
        <v>4434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5" t="n">
        <v>46234</v>
      </c>
      <c r="C6156" s="1" t="n">
        <v>11</v>
      </c>
      <c r="D6156" s="1" t="s">
        <v>2290</v>
      </c>
      <c r="E6156" s="1" t="n">
        <v>10009</v>
      </c>
      <c r="F6156" s="1" t="s">
        <v>373</v>
      </c>
      <c r="I6156" s="1" t="n">
        <v>1432680</v>
      </c>
      <c r="J6156" s="1" t="n">
        <v>55824</v>
      </c>
      <c r="K6156" s="1" t="n">
        <v>7891000373262</v>
      </c>
      <c r="L6156" s="1" t="s">
        <v>4435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5" t="n">
        <v>46234</v>
      </c>
      <c r="C6157" s="1" t="n">
        <v>11</v>
      </c>
      <c r="D6157" s="1" t="s">
        <v>2290</v>
      </c>
      <c r="E6157" s="1" t="n">
        <v>10009</v>
      </c>
      <c r="F6157" s="1" t="s">
        <v>373</v>
      </c>
      <c r="I6157" s="1" t="n">
        <v>1432680</v>
      </c>
      <c r="J6157" s="1" t="n">
        <v>64063</v>
      </c>
      <c r="K6157" s="1" t="n">
        <v>7891000389171</v>
      </c>
      <c r="L6157" s="1" t="s">
        <v>2633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5" t="n">
        <v>46234</v>
      </c>
      <c r="C6158" s="1" t="n">
        <v>11</v>
      </c>
      <c r="D6158" s="1" t="s">
        <v>2290</v>
      </c>
      <c r="E6158" s="1" t="n">
        <v>10009</v>
      </c>
      <c r="F6158" s="1" t="s">
        <v>373</v>
      </c>
      <c r="I6158" s="1" t="n">
        <v>1432680</v>
      </c>
      <c r="J6158" s="1" t="n">
        <v>69723</v>
      </c>
      <c r="K6158" s="1" t="n">
        <v>7891000402931</v>
      </c>
      <c r="L6158" s="1" t="s">
        <v>4436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5" t="n">
        <v>46234</v>
      </c>
      <c r="C6159" s="1" t="n">
        <v>11</v>
      </c>
      <c r="D6159" s="1" t="s">
        <v>2290</v>
      </c>
      <c r="E6159" s="1" t="n">
        <v>10009</v>
      </c>
      <c r="F6159" s="1" t="s">
        <v>373</v>
      </c>
      <c r="I6159" s="1" t="n">
        <v>1432680</v>
      </c>
      <c r="J6159" s="1" t="n">
        <v>81969</v>
      </c>
      <c r="K6159" s="1" t="n">
        <v>7891000243688</v>
      </c>
      <c r="L6159" s="1" t="s">
        <v>4437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5" t="n">
        <v>46234</v>
      </c>
      <c r="C6160" s="1" t="n">
        <v>11</v>
      </c>
      <c r="D6160" s="1" t="s">
        <v>2290</v>
      </c>
      <c r="E6160" s="1" t="n">
        <v>10009</v>
      </c>
      <c r="F6160" s="1" t="s">
        <v>373</v>
      </c>
      <c r="I6160" s="1" t="n">
        <v>1433260</v>
      </c>
      <c r="J6160" s="1" t="n">
        <v>102412</v>
      </c>
      <c r="K6160" s="1" t="n">
        <v>78912359</v>
      </c>
      <c r="L6160" s="1" t="s">
        <v>3114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5" t="n">
        <v>46234</v>
      </c>
      <c r="C6161" s="1" t="n">
        <v>11</v>
      </c>
      <c r="D6161" s="1" t="s">
        <v>2290</v>
      </c>
      <c r="E6161" s="1" t="n">
        <v>10009</v>
      </c>
      <c r="F6161" s="1" t="s">
        <v>373</v>
      </c>
      <c r="I6161" s="1" t="n">
        <v>1433260</v>
      </c>
      <c r="J6161" s="1" t="n">
        <v>103585</v>
      </c>
      <c r="K6161" s="1" t="n">
        <v>78907485</v>
      </c>
      <c r="L6161" s="1" t="s">
        <v>4438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5" t="n">
        <v>46234</v>
      </c>
      <c r="C6162" s="1" t="n">
        <v>11</v>
      </c>
      <c r="D6162" s="1" t="s">
        <v>2290</v>
      </c>
      <c r="E6162" s="1" t="n">
        <v>10009</v>
      </c>
      <c r="F6162" s="1" t="s">
        <v>373</v>
      </c>
      <c r="I6162" s="1" t="n">
        <v>1433260</v>
      </c>
      <c r="J6162" s="1" t="n">
        <v>103586</v>
      </c>
      <c r="K6162" s="1" t="n">
        <v>78907461</v>
      </c>
      <c r="L6162" s="1" t="s">
        <v>4077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5" t="n">
        <v>46234</v>
      </c>
      <c r="C6163" s="1" t="n">
        <v>11</v>
      </c>
      <c r="D6163" s="1" t="s">
        <v>2290</v>
      </c>
      <c r="E6163" s="1" t="n">
        <v>10009</v>
      </c>
      <c r="F6163" s="1" t="s">
        <v>373</v>
      </c>
      <c r="I6163" s="1" t="n">
        <v>1433260</v>
      </c>
      <c r="J6163" s="1" t="n">
        <v>103587</v>
      </c>
      <c r="K6163" s="1" t="n">
        <v>78907492</v>
      </c>
      <c r="L6163" s="1" t="s">
        <v>4078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5" t="n">
        <v>46234</v>
      </c>
      <c r="C6164" s="1" t="n">
        <v>11</v>
      </c>
      <c r="D6164" s="1" t="s">
        <v>2290</v>
      </c>
      <c r="E6164" s="1" t="n">
        <v>10009</v>
      </c>
      <c r="F6164" s="1" t="s">
        <v>373</v>
      </c>
      <c r="I6164" s="1" t="n">
        <v>1433260</v>
      </c>
      <c r="J6164" s="1" t="n">
        <v>104691</v>
      </c>
      <c r="K6164" s="1" t="n">
        <v>78907478</v>
      </c>
      <c r="L6164" s="1" t="s">
        <v>4079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5" t="n">
        <v>46234</v>
      </c>
      <c r="C6165" s="1" t="n">
        <v>11</v>
      </c>
      <c r="D6165" s="1" t="s">
        <v>2290</v>
      </c>
      <c r="E6165" s="1" t="n">
        <v>10009</v>
      </c>
      <c r="F6165" s="1" t="s">
        <v>373</v>
      </c>
      <c r="I6165" s="1" t="n">
        <v>1433260</v>
      </c>
      <c r="J6165" s="1" t="n">
        <v>11844</v>
      </c>
      <c r="K6165" s="1" t="n">
        <v>7891000070673</v>
      </c>
      <c r="L6165" s="1" t="s">
        <v>4439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5" t="n">
        <v>46234</v>
      </c>
      <c r="C6166" s="1" t="n">
        <v>11</v>
      </c>
      <c r="D6166" s="1" t="s">
        <v>2290</v>
      </c>
      <c r="E6166" s="1" t="n">
        <v>10009</v>
      </c>
      <c r="F6166" s="1" t="s">
        <v>373</v>
      </c>
      <c r="I6166" s="1" t="n">
        <v>1433260</v>
      </c>
      <c r="J6166" s="1" t="n">
        <v>22040</v>
      </c>
      <c r="K6166" s="1" t="n">
        <v>78907355</v>
      </c>
      <c r="L6166" s="1" t="s">
        <v>4440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5" t="n">
        <v>46234</v>
      </c>
      <c r="C6167" s="1" t="n">
        <v>11</v>
      </c>
      <c r="D6167" s="1" t="s">
        <v>2290</v>
      </c>
      <c r="E6167" s="1" t="n">
        <v>10009</v>
      </c>
      <c r="F6167" s="1" t="s">
        <v>373</v>
      </c>
      <c r="I6167" s="1" t="n">
        <v>1433260</v>
      </c>
      <c r="J6167" s="1" t="n">
        <v>24776</v>
      </c>
      <c r="K6167" s="1" t="n">
        <v>78930230</v>
      </c>
      <c r="L6167" s="1" t="s">
        <v>4081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5" t="n">
        <v>46234</v>
      </c>
      <c r="C6168" s="1" t="n">
        <v>11</v>
      </c>
      <c r="D6168" s="1" t="s">
        <v>2290</v>
      </c>
      <c r="E6168" s="1" t="n">
        <v>10009</v>
      </c>
      <c r="F6168" s="1" t="s">
        <v>373</v>
      </c>
      <c r="I6168" s="1" t="n">
        <v>1433260</v>
      </c>
      <c r="J6168" s="1" t="n">
        <v>27690</v>
      </c>
      <c r="K6168" s="1" t="n">
        <v>7891000111161</v>
      </c>
      <c r="L6168" s="1" t="s">
        <v>3896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5" t="n">
        <v>46234</v>
      </c>
      <c r="C6169" s="1" t="n">
        <v>11</v>
      </c>
      <c r="D6169" s="1" t="s">
        <v>2290</v>
      </c>
      <c r="E6169" s="1" t="n">
        <v>10009</v>
      </c>
      <c r="F6169" s="1" t="s">
        <v>373</v>
      </c>
      <c r="I6169" s="1" t="n">
        <v>1433260</v>
      </c>
      <c r="J6169" s="1" t="n">
        <v>48868</v>
      </c>
      <c r="K6169" s="1" t="n">
        <v>7891000359822</v>
      </c>
      <c r="L6169" s="1" t="s">
        <v>2621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5" t="n">
        <v>46234</v>
      </c>
      <c r="C6170" s="1" t="n">
        <v>11</v>
      </c>
      <c r="D6170" s="1" t="s">
        <v>2290</v>
      </c>
      <c r="E6170" s="1" t="n">
        <v>10009</v>
      </c>
      <c r="F6170" s="1" t="s">
        <v>373</v>
      </c>
      <c r="I6170" s="1" t="n">
        <v>1433260</v>
      </c>
      <c r="J6170" s="1" t="n">
        <v>51145</v>
      </c>
      <c r="K6170" s="1" t="n">
        <v>7891008124828</v>
      </c>
      <c r="L6170" s="1" t="s">
        <v>4086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5" t="n">
        <v>46234</v>
      </c>
      <c r="C6171" s="1" t="n">
        <v>11</v>
      </c>
      <c r="D6171" s="1" t="s">
        <v>2290</v>
      </c>
      <c r="E6171" s="1" t="n">
        <v>10009</v>
      </c>
      <c r="F6171" s="1" t="s">
        <v>373</v>
      </c>
      <c r="I6171" s="1" t="n">
        <v>1433260</v>
      </c>
      <c r="J6171" s="1" t="n">
        <v>51146</v>
      </c>
      <c r="K6171" s="1" t="n">
        <v>7891008123975</v>
      </c>
      <c r="L6171" s="1" t="s">
        <v>4087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5" t="n">
        <v>46234</v>
      </c>
      <c r="C6172" s="1" t="n">
        <v>11</v>
      </c>
      <c r="D6172" s="1" t="s">
        <v>2290</v>
      </c>
      <c r="E6172" s="1" t="n">
        <v>10009</v>
      </c>
      <c r="F6172" s="1" t="s">
        <v>373</v>
      </c>
      <c r="I6172" s="1" t="n">
        <v>1433260</v>
      </c>
      <c r="J6172" s="1" t="n">
        <v>51705</v>
      </c>
      <c r="K6172" s="1" t="n">
        <v>7891008124026</v>
      </c>
      <c r="L6172" s="1" t="s">
        <v>4088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5" t="n">
        <v>46234</v>
      </c>
      <c r="C6173" s="1" t="n">
        <v>11</v>
      </c>
      <c r="D6173" s="1" t="s">
        <v>2290</v>
      </c>
      <c r="E6173" s="1" t="n">
        <v>10009</v>
      </c>
      <c r="F6173" s="1" t="s">
        <v>373</v>
      </c>
      <c r="I6173" s="1" t="n">
        <v>1433260</v>
      </c>
      <c r="J6173" s="1" t="n">
        <v>53486</v>
      </c>
      <c r="K6173" s="1" t="n">
        <v>7891008125214</v>
      </c>
      <c r="L6173" s="1" t="s">
        <v>4089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5" t="n">
        <v>46234</v>
      </c>
      <c r="C6174" s="1" t="n">
        <v>11</v>
      </c>
      <c r="D6174" s="1" t="s">
        <v>2290</v>
      </c>
      <c r="E6174" s="1" t="n">
        <v>10009</v>
      </c>
      <c r="F6174" s="1" t="s">
        <v>373</v>
      </c>
      <c r="I6174" s="1" t="n">
        <v>1433260</v>
      </c>
      <c r="J6174" s="1" t="n">
        <v>54907</v>
      </c>
      <c r="K6174" s="1" t="n">
        <v>7891000376768</v>
      </c>
      <c r="L6174" s="1" t="s">
        <v>2608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5" t="n">
        <v>46234</v>
      </c>
      <c r="C6175" s="1" t="n">
        <v>11</v>
      </c>
      <c r="D6175" s="1" t="s">
        <v>2290</v>
      </c>
      <c r="E6175" s="1" t="n">
        <v>10009</v>
      </c>
      <c r="F6175" s="1" t="s">
        <v>373</v>
      </c>
      <c r="I6175" s="1" t="n">
        <v>1433260</v>
      </c>
      <c r="J6175" s="1" t="n">
        <v>58706</v>
      </c>
      <c r="K6175" s="1" t="n">
        <v>7891000376843</v>
      </c>
      <c r="L6175" s="1" t="s">
        <v>2624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5" t="n">
        <v>46234</v>
      </c>
      <c r="C6176" s="1" t="n">
        <v>11</v>
      </c>
      <c r="D6176" s="1" t="s">
        <v>2290</v>
      </c>
      <c r="E6176" s="1" t="n">
        <v>10009</v>
      </c>
      <c r="F6176" s="1" t="s">
        <v>373</v>
      </c>
      <c r="I6176" s="1" t="n">
        <v>1433260</v>
      </c>
      <c r="J6176" s="1" t="n">
        <v>61564</v>
      </c>
      <c r="K6176" s="1" t="n">
        <v>7891000366141</v>
      </c>
      <c r="L6176" s="1" t="s">
        <v>4441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5" t="n">
        <v>46234</v>
      </c>
      <c r="C6177" s="1" t="n">
        <v>11</v>
      </c>
      <c r="D6177" s="1" t="s">
        <v>2290</v>
      </c>
      <c r="E6177" s="1" t="n">
        <v>10009</v>
      </c>
      <c r="F6177" s="1" t="s">
        <v>373</v>
      </c>
      <c r="I6177" s="1" t="n">
        <v>1433260</v>
      </c>
      <c r="J6177" s="1" t="n">
        <v>63187</v>
      </c>
      <c r="K6177" s="1" t="n">
        <v>7891000397107</v>
      </c>
      <c r="L6177" s="1" t="s">
        <v>4091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5" t="n">
        <v>46234</v>
      </c>
      <c r="C6178" s="1" t="n">
        <v>11</v>
      </c>
      <c r="D6178" s="1" t="s">
        <v>2290</v>
      </c>
      <c r="E6178" s="1" t="n">
        <v>1613</v>
      </c>
      <c r="F6178" s="1" t="s">
        <v>177</v>
      </c>
      <c r="I6178" s="1" t="n">
        <v>1613517</v>
      </c>
      <c r="J6178" s="1" t="n">
        <v>100034</v>
      </c>
      <c r="K6178" s="1" t="n">
        <v>35</v>
      </c>
      <c r="L6178" s="1" t="s">
        <v>3266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5" t="n">
        <v>46234</v>
      </c>
      <c r="C6179" s="1" t="n">
        <v>11</v>
      </c>
      <c r="D6179" s="1" t="s">
        <v>2290</v>
      </c>
      <c r="E6179" s="1" t="n">
        <v>1613</v>
      </c>
      <c r="F6179" s="1" t="s">
        <v>177</v>
      </c>
      <c r="I6179" s="1" t="n">
        <v>1613517</v>
      </c>
      <c r="J6179" s="1" t="n">
        <v>100042</v>
      </c>
      <c r="K6179" s="1" t="n">
        <v>43</v>
      </c>
      <c r="L6179" s="1" t="s">
        <v>2986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5" t="n">
        <v>46234</v>
      </c>
      <c r="C6180" s="1" t="n">
        <v>11</v>
      </c>
      <c r="D6180" s="1" t="s">
        <v>2290</v>
      </c>
      <c r="E6180" s="1" t="n">
        <v>1613</v>
      </c>
      <c r="F6180" s="1" t="s">
        <v>177</v>
      </c>
      <c r="I6180" s="1" t="n">
        <v>1613517</v>
      </c>
      <c r="J6180" s="1" t="n">
        <v>100055</v>
      </c>
      <c r="K6180" s="1" t="n">
        <v>56</v>
      </c>
      <c r="L6180" s="1" t="s">
        <v>4442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5" t="n">
        <v>46234</v>
      </c>
      <c r="C6181" s="1" t="n">
        <v>11</v>
      </c>
      <c r="D6181" s="1" t="s">
        <v>2290</v>
      </c>
      <c r="E6181" s="1" t="n">
        <v>1613</v>
      </c>
      <c r="F6181" s="1" t="s">
        <v>177</v>
      </c>
      <c r="I6181" s="1" t="n">
        <v>1613517</v>
      </c>
      <c r="J6181" s="1" t="n">
        <v>100073</v>
      </c>
      <c r="K6181" s="1" t="n">
        <v>74</v>
      </c>
      <c r="L6181" s="1" t="s">
        <v>2793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5" t="n">
        <v>46234</v>
      </c>
      <c r="C6182" s="1" t="n">
        <v>11</v>
      </c>
      <c r="D6182" s="1" t="s">
        <v>2290</v>
      </c>
      <c r="E6182" s="1" t="n">
        <v>1613</v>
      </c>
      <c r="F6182" s="1" t="s">
        <v>177</v>
      </c>
      <c r="I6182" s="1" t="n">
        <v>1613517</v>
      </c>
      <c r="J6182" s="1" t="n">
        <v>102407</v>
      </c>
      <c r="K6182" s="1" t="n">
        <v>7893000394117</v>
      </c>
      <c r="L6182" s="1" t="s">
        <v>2987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5" t="n">
        <v>46234</v>
      </c>
      <c r="C6183" s="1" t="n">
        <v>11</v>
      </c>
      <c r="D6183" s="1" t="s">
        <v>2290</v>
      </c>
      <c r="E6183" s="1" t="n">
        <v>1613</v>
      </c>
      <c r="F6183" s="1" t="s">
        <v>177</v>
      </c>
      <c r="I6183" s="1" t="n">
        <v>1613517</v>
      </c>
      <c r="J6183" s="1" t="n">
        <v>105663</v>
      </c>
      <c r="K6183" s="1" t="n">
        <v>7893000980006</v>
      </c>
      <c r="L6183" s="1" t="s">
        <v>2992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5" t="n">
        <v>46234</v>
      </c>
      <c r="C6184" s="1" t="n">
        <v>11</v>
      </c>
      <c r="D6184" s="1" t="s">
        <v>2290</v>
      </c>
      <c r="E6184" s="1" t="n">
        <v>1613</v>
      </c>
      <c r="F6184" s="1" t="s">
        <v>177</v>
      </c>
      <c r="I6184" s="1" t="n">
        <v>1613517</v>
      </c>
      <c r="J6184" s="1" t="n">
        <v>23695</v>
      </c>
      <c r="K6184" s="1" t="n">
        <v>7891515474126</v>
      </c>
      <c r="L6184" s="1" t="s">
        <v>2995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5" t="n">
        <v>46234</v>
      </c>
      <c r="C6185" s="1" t="n">
        <v>11</v>
      </c>
      <c r="D6185" s="1" t="s">
        <v>2290</v>
      </c>
      <c r="E6185" s="1" t="n">
        <v>1613</v>
      </c>
      <c r="F6185" s="1" t="s">
        <v>177</v>
      </c>
      <c r="I6185" s="1" t="n">
        <v>1613517</v>
      </c>
      <c r="J6185" s="1" t="n">
        <v>110181</v>
      </c>
      <c r="K6185" s="1" t="n">
        <v>37389</v>
      </c>
      <c r="L6185" s="1" t="s">
        <v>3270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5" t="n">
        <v>46234</v>
      </c>
      <c r="C6186" s="1" t="n">
        <v>11</v>
      </c>
      <c r="D6186" s="1" t="s">
        <v>2290</v>
      </c>
      <c r="E6186" s="1" t="n">
        <v>1613</v>
      </c>
      <c r="F6186" s="1" t="s">
        <v>177</v>
      </c>
      <c r="I6186" s="1" t="n">
        <v>1613517</v>
      </c>
      <c r="J6186" s="1" t="n">
        <v>59205</v>
      </c>
      <c r="K6186" s="1" t="n">
        <v>7891515606824</v>
      </c>
      <c r="L6186" s="1" t="s">
        <v>2999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5" t="n">
        <v>46234</v>
      </c>
      <c r="C6187" s="1" t="n">
        <v>11</v>
      </c>
      <c r="D6187" s="1" t="s">
        <v>2290</v>
      </c>
      <c r="E6187" s="1" t="n">
        <v>1608</v>
      </c>
      <c r="F6187" s="1" t="s">
        <v>41</v>
      </c>
      <c r="I6187" s="1" t="n">
        <v>1703152</v>
      </c>
      <c r="J6187" s="1" t="n">
        <v>101947</v>
      </c>
      <c r="K6187" s="1" t="n">
        <v>7891079001028</v>
      </c>
      <c r="L6187" s="1" t="s">
        <v>2634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5" t="n">
        <v>46234</v>
      </c>
      <c r="C6188" s="1" t="n">
        <v>11</v>
      </c>
      <c r="D6188" s="1" t="s">
        <v>2290</v>
      </c>
      <c r="E6188" s="1" t="n">
        <v>1608</v>
      </c>
      <c r="F6188" s="1" t="s">
        <v>41</v>
      </c>
      <c r="I6188" s="1" t="n">
        <v>1703152</v>
      </c>
      <c r="J6188" s="1" t="n">
        <v>101948</v>
      </c>
      <c r="K6188" s="1" t="n">
        <v>7891079001011</v>
      </c>
      <c r="L6188" s="1" t="s">
        <v>2635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5" t="n">
        <v>46234</v>
      </c>
      <c r="C6189" s="1" t="n">
        <v>11</v>
      </c>
      <c r="D6189" s="1" t="s">
        <v>2290</v>
      </c>
      <c r="E6189" s="1" t="n">
        <v>1608</v>
      </c>
      <c r="F6189" s="1" t="s">
        <v>41</v>
      </c>
      <c r="I6189" s="1" t="n">
        <v>1703152</v>
      </c>
      <c r="J6189" s="1" t="n">
        <v>101953</v>
      </c>
      <c r="K6189" s="1" t="n">
        <v>7891079000229</v>
      </c>
      <c r="L6189" s="1" t="s">
        <v>2637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5" t="n">
        <v>46234</v>
      </c>
      <c r="C6190" s="1" t="n">
        <v>11</v>
      </c>
      <c r="D6190" s="1" t="s">
        <v>2290</v>
      </c>
      <c r="E6190" s="1" t="n">
        <v>1608</v>
      </c>
      <c r="F6190" s="1" t="s">
        <v>41</v>
      </c>
      <c r="I6190" s="1" t="n">
        <v>1703152</v>
      </c>
      <c r="J6190" s="1" t="n">
        <v>101954</v>
      </c>
      <c r="K6190" s="1" t="n">
        <v>7891079000212</v>
      </c>
      <c r="L6190" s="1" t="s">
        <v>2638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5" t="n">
        <v>46234</v>
      </c>
      <c r="C6191" s="1" t="n">
        <v>11</v>
      </c>
      <c r="D6191" s="1" t="s">
        <v>2290</v>
      </c>
      <c r="E6191" s="1" t="n">
        <v>1608</v>
      </c>
      <c r="F6191" s="1" t="s">
        <v>41</v>
      </c>
      <c r="I6191" s="1" t="n">
        <v>1703152</v>
      </c>
      <c r="J6191" s="1" t="n">
        <v>104192</v>
      </c>
      <c r="K6191" s="1" t="n">
        <v>7891079011515</v>
      </c>
      <c r="L6191" s="1" t="s">
        <v>4443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5" t="n">
        <v>46234</v>
      </c>
      <c r="C6192" s="1" t="n">
        <v>11</v>
      </c>
      <c r="D6192" s="1" t="s">
        <v>2290</v>
      </c>
      <c r="E6192" s="1" t="n">
        <v>1608</v>
      </c>
      <c r="F6192" s="1" t="s">
        <v>41</v>
      </c>
      <c r="I6192" s="1" t="n">
        <v>1703152</v>
      </c>
      <c r="J6192" s="1" t="n">
        <v>107858</v>
      </c>
      <c r="K6192" s="1" t="n">
        <v>7896707341590</v>
      </c>
      <c r="L6192" s="1" t="s">
        <v>4444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5" t="n">
        <v>46234</v>
      </c>
      <c r="C6193" s="1" t="n">
        <v>11</v>
      </c>
      <c r="D6193" s="1" t="s">
        <v>2290</v>
      </c>
      <c r="E6193" s="1" t="n">
        <v>1608</v>
      </c>
      <c r="F6193" s="1" t="s">
        <v>41</v>
      </c>
      <c r="I6193" s="1" t="n">
        <v>1703152</v>
      </c>
      <c r="J6193" s="1" t="n">
        <v>27996</v>
      </c>
      <c r="K6193" s="1" t="n">
        <v>7891079013083</v>
      </c>
      <c r="L6193" s="1" t="s">
        <v>2643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5" t="n">
        <v>46234</v>
      </c>
      <c r="C6194" s="1" t="n">
        <v>11</v>
      </c>
      <c r="D6194" s="1" t="s">
        <v>2290</v>
      </c>
      <c r="E6194" s="1" t="n">
        <v>1608</v>
      </c>
      <c r="F6194" s="1" t="s">
        <v>41</v>
      </c>
      <c r="I6194" s="1" t="n">
        <v>1703152</v>
      </c>
      <c r="J6194" s="1" t="n">
        <v>27997</v>
      </c>
      <c r="K6194" s="1" t="n">
        <v>7891079013106</v>
      </c>
      <c r="L6194" s="1" t="s">
        <v>2644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5" t="n">
        <v>46234</v>
      </c>
      <c r="C6195" s="1" t="n">
        <v>11</v>
      </c>
      <c r="D6195" s="1" t="s">
        <v>2290</v>
      </c>
      <c r="E6195" s="1" t="n">
        <v>1608</v>
      </c>
      <c r="F6195" s="1" t="s">
        <v>41</v>
      </c>
      <c r="I6195" s="1" t="n">
        <v>1703152</v>
      </c>
      <c r="J6195" s="1" t="n">
        <v>28034</v>
      </c>
      <c r="K6195" s="1" t="n">
        <v>7891079013069</v>
      </c>
      <c r="L6195" s="1" t="s">
        <v>2648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5" t="n">
        <v>46234</v>
      </c>
      <c r="C6196" s="1" t="n">
        <v>11</v>
      </c>
      <c r="D6196" s="1" t="s">
        <v>2290</v>
      </c>
      <c r="E6196" s="1" t="n">
        <v>1608</v>
      </c>
      <c r="F6196" s="1" t="s">
        <v>41</v>
      </c>
      <c r="I6196" s="1" t="n">
        <v>1703152</v>
      </c>
      <c r="J6196" s="1" t="n">
        <v>59756</v>
      </c>
      <c r="K6196" s="1" t="n">
        <v>7896707305189</v>
      </c>
      <c r="L6196" s="1" t="s">
        <v>4445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5" t="n">
        <v>46234</v>
      </c>
      <c r="C6197" s="1" t="n">
        <v>11</v>
      </c>
      <c r="D6197" s="1" t="s">
        <v>2290</v>
      </c>
      <c r="E6197" s="1" t="n">
        <v>1608</v>
      </c>
      <c r="F6197" s="1" t="s">
        <v>41</v>
      </c>
      <c r="I6197" s="1" t="n">
        <v>1703152</v>
      </c>
      <c r="J6197" s="1" t="n">
        <v>80052</v>
      </c>
      <c r="K6197" s="1" t="n">
        <v>7891079006016</v>
      </c>
      <c r="L6197" s="1" t="s">
        <v>4446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5" t="n">
        <v>46234</v>
      </c>
      <c r="C6198" s="1" t="n">
        <v>11</v>
      </c>
      <c r="D6198" s="1" t="s">
        <v>2290</v>
      </c>
      <c r="E6198" s="1" t="n">
        <v>1705</v>
      </c>
      <c r="F6198" s="1" t="s">
        <v>122</v>
      </c>
      <c r="I6198" s="1" t="n">
        <v>1962474</v>
      </c>
      <c r="J6198" s="1" t="n">
        <v>30188</v>
      </c>
      <c r="K6198" s="1" t="n">
        <v>78908901</v>
      </c>
      <c r="L6198" s="1" t="s">
        <v>4272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5" t="n">
        <v>46234</v>
      </c>
      <c r="C6199" s="1" t="n">
        <v>11</v>
      </c>
      <c r="D6199" s="1" t="s">
        <v>2290</v>
      </c>
      <c r="E6199" s="1" t="n">
        <v>1705</v>
      </c>
      <c r="F6199" s="1" t="s">
        <v>122</v>
      </c>
      <c r="I6199" s="1" t="n">
        <v>1962474</v>
      </c>
      <c r="J6199" s="1" t="n">
        <v>103142</v>
      </c>
      <c r="K6199" s="1" t="n">
        <v>7894900011753</v>
      </c>
      <c r="L6199" s="1" t="s">
        <v>2305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5" t="n">
        <v>46234</v>
      </c>
      <c r="C6200" s="1" t="n">
        <v>11</v>
      </c>
      <c r="D6200" s="1" t="s">
        <v>2290</v>
      </c>
      <c r="E6200" s="1" t="n">
        <v>1705</v>
      </c>
      <c r="F6200" s="1" t="s">
        <v>122</v>
      </c>
      <c r="I6200" s="1" t="n">
        <v>1962474</v>
      </c>
      <c r="J6200" s="1" t="n">
        <v>103146</v>
      </c>
      <c r="K6200" s="1" t="n">
        <v>7894900031515</v>
      </c>
      <c r="L6200" s="1" t="s">
        <v>2876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5" t="n">
        <v>46234</v>
      </c>
      <c r="C6201" s="1" t="n">
        <v>11</v>
      </c>
      <c r="D6201" s="1" t="s">
        <v>2290</v>
      </c>
      <c r="E6201" s="1" t="n">
        <v>1705</v>
      </c>
      <c r="F6201" s="1" t="s">
        <v>122</v>
      </c>
      <c r="I6201" s="1" t="n">
        <v>1962474</v>
      </c>
      <c r="J6201" s="1" t="n">
        <v>103159</v>
      </c>
      <c r="K6201" s="1" t="n">
        <v>7894900050011</v>
      </c>
      <c r="L6201" s="1" t="s">
        <v>4126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5" t="n">
        <v>46234</v>
      </c>
      <c r="C6202" s="1" t="n">
        <v>11</v>
      </c>
      <c r="D6202" s="1" t="s">
        <v>2290</v>
      </c>
      <c r="E6202" s="1" t="n">
        <v>1705</v>
      </c>
      <c r="F6202" s="1" t="s">
        <v>122</v>
      </c>
      <c r="I6202" s="1" t="n">
        <v>1962474</v>
      </c>
      <c r="J6202" s="1" t="n">
        <v>103160</v>
      </c>
      <c r="K6202" s="1" t="n">
        <v>7894900030013</v>
      </c>
      <c r="L6202" s="1" t="s">
        <v>3632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5" t="n">
        <v>46234</v>
      </c>
      <c r="C6203" s="1" t="n">
        <v>11</v>
      </c>
      <c r="D6203" s="1" t="s">
        <v>2290</v>
      </c>
      <c r="E6203" s="1" t="n">
        <v>1705</v>
      </c>
      <c r="F6203" s="1" t="s">
        <v>122</v>
      </c>
      <c r="I6203" s="1" t="n">
        <v>1962474</v>
      </c>
      <c r="J6203" s="1" t="n">
        <v>103161</v>
      </c>
      <c r="K6203" s="1" t="n">
        <v>7894900010015</v>
      </c>
      <c r="L6203" s="1" t="s">
        <v>3192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5" t="n">
        <v>46234</v>
      </c>
      <c r="C6204" s="1" t="n">
        <v>11</v>
      </c>
      <c r="D6204" s="1" t="s">
        <v>2290</v>
      </c>
      <c r="E6204" s="1" t="n">
        <v>1705</v>
      </c>
      <c r="F6204" s="1" t="s">
        <v>122</v>
      </c>
      <c r="I6204" s="1" t="n">
        <v>1962474</v>
      </c>
      <c r="J6204" s="1" t="n">
        <v>104472</v>
      </c>
      <c r="K6204" s="1" t="n">
        <v>7897105200038</v>
      </c>
      <c r="L6204" s="1" t="s">
        <v>3257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5" t="n">
        <v>46234</v>
      </c>
      <c r="C6205" s="1" t="n">
        <v>11</v>
      </c>
      <c r="D6205" s="1" t="s">
        <v>2290</v>
      </c>
      <c r="E6205" s="1" t="n">
        <v>1705</v>
      </c>
      <c r="F6205" s="1" t="s">
        <v>122</v>
      </c>
      <c r="I6205" s="1" t="n">
        <v>1962474</v>
      </c>
      <c r="J6205" s="1" t="n">
        <v>105323</v>
      </c>
      <c r="K6205" s="1" t="n">
        <v>7894900701753</v>
      </c>
      <c r="L6205" s="1" t="s">
        <v>2307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5" t="n">
        <v>46234</v>
      </c>
      <c r="C6206" s="1" t="n">
        <v>11</v>
      </c>
      <c r="D6206" s="1" t="s">
        <v>2290</v>
      </c>
      <c r="E6206" s="1" t="n">
        <v>1705</v>
      </c>
      <c r="F6206" s="1" t="s">
        <v>122</v>
      </c>
      <c r="I6206" s="1" t="n">
        <v>1962474</v>
      </c>
      <c r="J6206" s="1" t="n">
        <v>10830</v>
      </c>
      <c r="K6206" s="1" t="n">
        <v>7894900701517</v>
      </c>
      <c r="L6206" s="1" t="s">
        <v>2879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5" t="n">
        <v>46234</v>
      </c>
      <c r="C6207" s="1" t="n">
        <v>11</v>
      </c>
      <c r="D6207" s="1" t="s">
        <v>2290</v>
      </c>
      <c r="E6207" s="1" t="n">
        <v>1705</v>
      </c>
      <c r="F6207" s="1" t="s">
        <v>122</v>
      </c>
      <c r="I6207" s="1" t="n">
        <v>1962474</v>
      </c>
      <c r="J6207" s="1" t="n">
        <v>22346</v>
      </c>
      <c r="K6207" s="1" t="n">
        <v>7894900150018</v>
      </c>
      <c r="L6207" s="1" t="s">
        <v>3635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5" t="n">
        <v>46234</v>
      </c>
      <c r="C6208" s="1" t="n">
        <v>11</v>
      </c>
      <c r="D6208" s="1" t="s">
        <v>2290</v>
      </c>
      <c r="E6208" s="1" t="n">
        <v>1705</v>
      </c>
      <c r="F6208" s="1" t="s">
        <v>122</v>
      </c>
      <c r="I6208" s="1" t="n">
        <v>1962474</v>
      </c>
      <c r="J6208" s="1" t="n">
        <v>29509</v>
      </c>
      <c r="K6208" s="1" t="n">
        <v>78933873</v>
      </c>
      <c r="L6208" s="1" t="s">
        <v>2310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5" t="n">
        <v>46234</v>
      </c>
      <c r="C6209" s="1" t="n">
        <v>11</v>
      </c>
      <c r="D6209" s="1" t="s">
        <v>2290</v>
      </c>
      <c r="E6209" s="1" t="n">
        <v>1705</v>
      </c>
      <c r="F6209" s="1" t="s">
        <v>122</v>
      </c>
      <c r="I6209" s="1" t="n">
        <v>1962474</v>
      </c>
      <c r="J6209" s="1" t="n">
        <v>29614</v>
      </c>
      <c r="K6209" s="1" t="n">
        <v>7894900550030</v>
      </c>
      <c r="L6209" s="1" t="s">
        <v>3258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5" t="n">
        <v>46234</v>
      </c>
      <c r="C6210" s="1" t="n">
        <v>11</v>
      </c>
      <c r="D6210" s="1" t="s">
        <v>2290</v>
      </c>
      <c r="E6210" s="1" t="n">
        <v>1705</v>
      </c>
      <c r="F6210" s="1" t="s">
        <v>122</v>
      </c>
      <c r="I6210" s="1" t="n">
        <v>1962474</v>
      </c>
      <c r="J6210" s="1" t="n">
        <v>30017</v>
      </c>
      <c r="K6210" s="1" t="n">
        <v>7894900680508</v>
      </c>
      <c r="L6210" s="1" t="s">
        <v>3824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5" t="n">
        <v>46234</v>
      </c>
      <c r="C6211" s="1" t="n">
        <v>11</v>
      </c>
      <c r="D6211" s="1" t="s">
        <v>2290</v>
      </c>
      <c r="E6211" s="1" t="n">
        <v>1705</v>
      </c>
      <c r="F6211" s="1" t="s">
        <v>122</v>
      </c>
      <c r="I6211" s="1" t="n">
        <v>1962474</v>
      </c>
      <c r="J6211" s="1" t="n">
        <v>34629</v>
      </c>
      <c r="K6211" s="1" t="n">
        <v>7894900027020</v>
      </c>
      <c r="L6211" s="1" t="s">
        <v>2313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5" t="n">
        <v>46234</v>
      </c>
      <c r="C6212" s="1" t="n">
        <v>11</v>
      </c>
      <c r="D6212" s="1" t="s">
        <v>2290</v>
      </c>
      <c r="E6212" s="1" t="n">
        <v>1705</v>
      </c>
      <c r="F6212" s="1" t="s">
        <v>122</v>
      </c>
      <c r="I6212" s="1" t="n">
        <v>1962474</v>
      </c>
      <c r="J6212" s="1" t="n">
        <v>37279</v>
      </c>
      <c r="K6212" s="1" t="n">
        <v>7894900027013</v>
      </c>
      <c r="L6212" s="1" t="s">
        <v>2305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5" t="n">
        <v>46234</v>
      </c>
      <c r="C6213" s="1" t="n">
        <v>39</v>
      </c>
      <c r="D6213" s="1" t="s">
        <v>2515</v>
      </c>
      <c r="E6213" s="1" t="n">
        <v>1911</v>
      </c>
      <c r="F6213" s="1" t="s">
        <v>541</v>
      </c>
      <c r="I6213" s="1" t="n">
        <v>3861</v>
      </c>
      <c r="J6213" s="1" t="n">
        <v>75868</v>
      </c>
      <c r="K6213" s="1" t="n">
        <v>2269238</v>
      </c>
      <c r="L6213" s="1" t="s">
        <v>2565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5" t="n">
        <v>46234</v>
      </c>
      <c r="C6214" s="1" t="n">
        <v>39</v>
      </c>
      <c r="D6214" s="1" t="s">
        <v>2515</v>
      </c>
      <c r="E6214" s="1" t="n">
        <v>1895</v>
      </c>
      <c r="F6214" s="1" t="s">
        <v>159</v>
      </c>
      <c r="I6214" s="1" t="n">
        <v>45473</v>
      </c>
      <c r="J6214" s="1" t="n">
        <v>43686</v>
      </c>
      <c r="K6214" s="1" t="n">
        <v>7896030899249</v>
      </c>
      <c r="L6214" s="1" t="s">
        <v>3827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5" t="n">
        <v>46234</v>
      </c>
      <c r="C6215" s="1" t="n">
        <v>39</v>
      </c>
      <c r="D6215" s="1" t="s">
        <v>2515</v>
      </c>
      <c r="E6215" s="1" t="n">
        <v>1895</v>
      </c>
      <c r="F6215" s="1" t="s">
        <v>159</v>
      </c>
      <c r="I6215" s="1" t="n">
        <v>45473</v>
      </c>
      <c r="J6215" s="1" t="n">
        <v>45825</v>
      </c>
      <c r="K6215" s="1" t="n">
        <v>7898948000038</v>
      </c>
      <c r="L6215" s="1" t="s">
        <v>4447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5" t="n">
        <v>46234</v>
      </c>
      <c r="C6216" s="1" t="n">
        <v>171</v>
      </c>
      <c r="D6216" s="1" t="s">
        <v>2517</v>
      </c>
      <c r="E6216" s="1" t="n">
        <v>1718</v>
      </c>
      <c r="F6216" s="1" t="s">
        <v>408</v>
      </c>
      <c r="I6216" s="1" t="n">
        <v>685878</v>
      </c>
      <c r="J6216" s="1" t="n">
        <v>50323</v>
      </c>
      <c r="K6216" s="1" t="n">
        <v>7622210571786</v>
      </c>
      <c r="L6216" s="1" t="s">
        <v>4448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5" t="n">
        <v>46235</v>
      </c>
      <c r="C6217" s="1" t="n">
        <v>1</v>
      </c>
      <c r="D6217" s="1" t="s">
        <v>2317</v>
      </c>
      <c r="E6217" s="1" t="n">
        <v>10043</v>
      </c>
      <c r="F6217" s="1" t="s">
        <v>112</v>
      </c>
      <c r="I6217" s="1" t="n">
        <v>821</v>
      </c>
      <c r="J6217" s="1" t="n">
        <v>52096</v>
      </c>
      <c r="K6217" s="1" t="n">
        <v>144315</v>
      </c>
      <c r="L6217" s="1" t="s">
        <v>2318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5" t="n">
        <v>46235</v>
      </c>
      <c r="C6218" s="1" t="n">
        <v>6</v>
      </c>
      <c r="D6218" s="1" t="s">
        <v>2289</v>
      </c>
      <c r="E6218" s="1" t="n">
        <v>42</v>
      </c>
      <c r="F6218" s="1" t="s">
        <v>80</v>
      </c>
      <c r="I6218" s="1" t="n">
        <v>4448</v>
      </c>
      <c r="J6218" s="1" t="n">
        <v>109791</v>
      </c>
      <c r="K6218" s="1" t="n">
        <v>9667</v>
      </c>
      <c r="L6218" s="1" t="s">
        <v>2284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5" t="n">
        <v>46235</v>
      </c>
      <c r="C6219" s="1" t="n">
        <v>6</v>
      </c>
      <c r="D6219" s="1" t="s">
        <v>2289</v>
      </c>
      <c r="E6219" s="1" t="n">
        <v>42</v>
      </c>
      <c r="F6219" s="1" t="s">
        <v>80</v>
      </c>
      <c r="I6219" s="1" t="n">
        <v>4448</v>
      </c>
      <c r="J6219" s="1" t="n">
        <v>37359</v>
      </c>
      <c r="K6219" s="1" t="n">
        <v>55526</v>
      </c>
      <c r="L6219" s="1" t="s">
        <v>2285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5" t="n">
        <v>46235</v>
      </c>
      <c r="C6220" s="1" t="n">
        <v>6</v>
      </c>
      <c r="D6220" s="1" t="s">
        <v>2289</v>
      </c>
      <c r="E6220" s="1" t="n">
        <v>42</v>
      </c>
      <c r="F6220" s="1" t="s">
        <v>80</v>
      </c>
      <c r="I6220" s="1" t="n">
        <v>4448</v>
      </c>
      <c r="J6220" s="1" t="n">
        <v>37361</v>
      </c>
      <c r="K6220" s="1" t="n">
        <v>2240817</v>
      </c>
      <c r="L6220" s="1" t="s">
        <v>2286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5" t="n">
        <v>46235</v>
      </c>
      <c r="C6221" s="1" t="n">
        <v>6</v>
      </c>
      <c r="D6221" s="1" t="s">
        <v>2289</v>
      </c>
      <c r="E6221" s="1" t="n">
        <v>42</v>
      </c>
      <c r="F6221" s="1" t="s">
        <v>80</v>
      </c>
      <c r="I6221" s="1" t="n">
        <v>4449</v>
      </c>
      <c r="J6221" s="1" t="n">
        <v>100103</v>
      </c>
      <c r="K6221" s="1" t="n">
        <v>104</v>
      </c>
      <c r="L6221" s="1" t="s">
        <v>2287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5" t="n">
        <v>46235</v>
      </c>
      <c r="C6222" s="1" t="n">
        <v>6</v>
      </c>
      <c r="D6222" s="1" t="s">
        <v>2289</v>
      </c>
      <c r="E6222" s="1" t="n">
        <v>42</v>
      </c>
      <c r="F6222" s="1" t="s">
        <v>80</v>
      </c>
      <c r="I6222" s="1" t="n">
        <v>4450</v>
      </c>
      <c r="J6222" s="1" t="n">
        <v>100112</v>
      </c>
      <c r="K6222" s="1" t="n">
        <v>113</v>
      </c>
      <c r="L6222" s="1" t="s">
        <v>2325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5" t="n">
        <v>46235</v>
      </c>
      <c r="C6223" s="1" t="n">
        <v>6</v>
      </c>
      <c r="D6223" s="1" t="s">
        <v>2289</v>
      </c>
      <c r="E6223" s="1" t="n">
        <v>42</v>
      </c>
      <c r="F6223" s="1" t="s">
        <v>80</v>
      </c>
      <c r="I6223" s="1" t="n">
        <v>4450</v>
      </c>
      <c r="J6223" s="1" t="n">
        <v>100140</v>
      </c>
      <c r="K6223" s="1" t="n">
        <v>141</v>
      </c>
      <c r="L6223" s="1" t="s">
        <v>3840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5" t="n">
        <v>46236</v>
      </c>
      <c r="C6224" s="1" t="n">
        <v>1</v>
      </c>
      <c r="D6224" s="1" t="s">
        <v>2317</v>
      </c>
      <c r="E6224" s="1" t="n">
        <v>978</v>
      </c>
      <c r="F6224" s="1" t="s">
        <v>183</v>
      </c>
      <c r="I6224" s="1" t="n">
        <v>407</v>
      </c>
      <c r="J6224" s="1" t="n">
        <v>61368</v>
      </c>
      <c r="K6224" s="1" t="n">
        <v>2257907</v>
      </c>
      <c r="L6224" s="1" t="s">
        <v>2335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5" t="n">
        <v>46236</v>
      </c>
      <c r="C6225" s="1" t="n">
        <v>1</v>
      </c>
      <c r="D6225" s="1" t="s">
        <v>2317</v>
      </c>
      <c r="E6225" s="1" t="n">
        <v>978</v>
      </c>
      <c r="F6225" s="1" t="s">
        <v>183</v>
      </c>
      <c r="I6225" s="1" t="n">
        <v>407</v>
      </c>
      <c r="J6225" s="1" t="n">
        <v>61378</v>
      </c>
      <c r="K6225" s="1" t="n">
        <v>2257914</v>
      </c>
      <c r="L6225" s="1" t="s">
        <v>2336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5" t="n">
        <v>46236</v>
      </c>
      <c r="C6226" s="1" t="n">
        <v>1</v>
      </c>
      <c r="D6226" s="1" t="s">
        <v>2317</v>
      </c>
      <c r="E6226" s="1" t="n">
        <v>978</v>
      </c>
      <c r="F6226" s="1" t="s">
        <v>183</v>
      </c>
      <c r="I6226" s="1" t="n">
        <v>407</v>
      </c>
      <c r="J6226" s="1" t="n">
        <v>61379</v>
      </c>
      <c r="K6226" s="1" t="n">
        <v>2257921</v>
      </c>
      <c r="L6226" s="1" t="s">
        <v>2337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5" t="n">
        <v>46236</v>
      </c>
      <c r="C6227" s="1" t="n">
        <v>1</v>
      </c>
      <c r="D6227" s="1" t="s">
        <v>2317</v>
      </c>
      <c r="E6227" s="1" t="n">
        <v>978</v>
      </c>
      <c r="F6227" s="1" t="s">
        <v>183</v>
      </c>
      <c r="I6227" s="1" t="n">
        <v>407</v>
      </c>
      <c r="J6227" s="1" t="n">
        <v>62178</v>
      </c>
      <c r="K6227" s="1" t="n">
        <v>144599</v>
      </c>
      <c r="L6227" s="1" t="s">
        <v>2338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5" t="n">
        <v>46237</v>
      </c>
      <c r="C6228" s="1" t="n">
        <v>6</v>
      </c>
      <c r="D6228" s="1" t="s">
        <v>2289</v>
      </c>
      <c r="E6228" s="1" t="n">
        <v>42</v>
      </c>
      <c r="F6228" s="1" t="s">
        <v>80</v>
      </c>
      <c r="I6228" s="1" t="n">
        <v>4451</v>
      </c>
      <c r="J6228" s="1" t="n">
        <v>72679</v>
      </c>
      <c r="K6228" s="1" t="n">
        <v>246</v>
      </c>
      <c r="L6228" s="1" t="s">
        <v>2288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5" t="n">
        <v>46237</v>
      </c>
      <c r="C6229" s="1" t="n">
        <v>6</v>
      </c>
      <c r="D6229" s="1" t="s">
        <v>2289</v>
      </c>
      <c r="E6229" s="1" t="n">
        <v>42</v>
      </c>
      <c r="F6229" s="1" t="s">
        <v>80</v>
      </c>
      <c r="I6229" s="1" t="n">
        <v>4452</v>
      </c>
      <c r="J6229" s="1" t="n">
        <v>37361</v>
      </c>
      <c r="K6229" s="1" t="n">
        <v>2240817</v>
      </c>
      <c r="L6229" s="1" t="s">
        <v>2286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5" t="n">
        <v>46237</v>
      </c>
      <c r="C6230" s="1" t="n">
        <v>6</v>
      </c>
      <c r="D6230" s="1" t="s">
        <v>2289</v>
      </c>
      <c r="E6230" s="1" t="n">
        <v>42</v>
      </c>
      <c r="F6230" s="1" t="s">
        <v>80</v>
      </c>
      <c r="I6230" s="1" t="n">
        <v>4453</v>
      </c>
      <c r="J6230" s="1" t="n">
        <v>100103</v>
      </c>
      <c r="K6230" s="1" t="n">
        <v>104</v>
      </c>
      <c r="L6230" s="1" t="s">
        <v>2287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5" t="n">
        <v>46237</v>
      </c>
      <c r="C6231" s="1" t="n">
        <v>11</v>
      </c>
      <c r="D6231" s="1" t="s">
        <v>2290</v>
      </c>
      <c r="E6231" s="1" t="n">
        <v>10096</v>
      </c>
      <c r="F6231" s="1" t="s">
        <v>1232</v>
      </c>
      <c r="I6231" s="1" t="n">
        <v>110</v>
      </c>
      <c r="J6231" s="1" t="n">
        <v>61580</v>
      </c>
      <c r="K6231" s="1" t="n">
        <v>2258157</v>
      </c>
      <c r="L6231" s="1" t="s">
        <v>2339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5" t="n">
        <v>46237</v>
      </c>
      <c r="C6232" s="1" t="n">
        <v>11</v>
      </c>
      <c r="D6232" s="1" t="s">
        <v>2290</v>
      </c>
      <c r="E6232" s="1" t="n">
        <v>1828</v>
      </c>
      <c r="F6232" s="1" t="s">
        <v>278</v>
      </c>
      <c r="I6232" s="1" t="n">
        <v>1411</v>
      </c>
      <c r="J6232" s="1" t="n">
        <v>40034</v>
      </c>
      <c r="K6232" s="1" t="n">
        <v>742832367370</v>
      </c>
      <c r="L6232" s="1" t="s">
        <v>2746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5" t="n">
        <v>46237</v>
      </c>
      <c r="C6233" s="1" t="n">
        <v>11</v>
      </c>
      <c r="D6233" s="1" t="s">
        <v>2290</v>
      </c>
      <c r="E6233" s="1" t="n">
        <v>1828</v>
      </c>
      <c r="F6233" s="1" t="s">
        <v>278</v>
      </c>
      <c r="I6233" s="1" t="n">
        <v>1411</v>
      </c>
      <c r="J6233" s="1" t="n">
        <v>14247</v>
      </c>
      <c r="K6233" s="1" t="n">
        <v>2229416</v>
      </c>
      <c r="L6233" s="1" t="s">
        <v>2747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5" t="n">
        <v>46237</v>
      </c>
      <c r="C6234" s="1" t="n">
        <v>11</v>
      </c>
      <c r="D6234" s="1" t="s">
        <v>2290</v>
      </c>
      <c r="E6234" s="1" t="n">
        <v>1828</v>
      </c>
      <c r="F6234" s="1" t="s">
        <v>278</v>
      </c>
      <c r="I6234" s="1" t="n">
        <v>1411</v>
      </c>
      <c r="J6234" s="1" t="n">
        <v>14248</v>
      </c>
      <c r="K6234" s="1" t="n">
        <v>2229423</v>
      </c>
      <c r="L6234" s="1" t="s">
        <v>2748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5" t="n">
        <v>46237</v>
      </c>
      <c r="C6235" s="1" t="n">
        <v>11</v>
      </c>
      <c r="D6235" s="1" t="s">
        <v>2290</v>
      </c>
      <c r="E6235" s="1" t="n">
        <v>1828</v>
      </c>
      <c r="F6235" s="1" t="s">
        <v>278</v>
      </c>
      <c r="I6235" s="1" t="n">
        <v>1411</v>
      </c>
      <c r="J6235" s="1" t="n">
        <v>20541</v>
      </c>
      <c r="K6235" s="1" t="n">
        <v>2232829</v>
      </c>
      <c r="L6235" s="1" t="s">
        <v>2749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5" t="n">
        <v>46237</v>
      </c>
      <c r="C6236" s="1" t="n">
        <v>11</v>
      </c>
      <c r="D6236" s="1" t="s">
        <v>2290</v>
      </c>
      <c r="E6236" s="1" t="n">
        <v>1828</v>
      </c>
      <c r="F6236" s="1" t="s">
        <v>278</v>
      </c>
      <c r="I6236" s="1" t="n">
        <v>1411</v>
      </c>
      <c r="J6236" s="1" t="n">
        <v>81207</v>
      </c>
      <c r="K6236" s="1" t="n">
        <v>812085</v>
      </c>
      <c r="L6236" s="1" t="s">
        <v>2750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5" t="n">
        <v>46237</v>
      </c>
      <c r="C6237" s="1" t="n">
        <v>11</v>
      </c>
      <c r="D6237" s="1" t="s">
        <v>2290</v>
      </c>
      <c r="E6237" s="1" t="n">
        <v>1625</v>
      </c>
      <c r="F6237" s="1" t="s">
        <v>320</v>
      </c>
      <c r="I6237" s="1" t="n">
        <v>14912</v>
      </c>
      <c r="J6237" s="1" t="n">
        <v>29079</v>
      </c>
      <c r="K6237" s="1" t="n">
        <v>55515</v>
      </c>
      <c r="L6237" s="1" t="s">
        <v>2360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5" t="n">
        <v>46237</v>
      </c>
      <c r="C6238" s="1" t="n">
        <v>11</v>
      </c>
      <c r="D6238" s="1" t="s">
        <v>2290</v>
      </c>
      <c r="E6238" s="1" t="n">
        <v>1625</v>
      </c>
      <c r="F6238" s="1" t="s">
        <v>320</v>
      </c>
      <c r="I6238" s="1" t="n">
        <v>14912</v>
      </c>
      <c r="J6238" s="1" t="n">
        <v>29079</v>
      </c>
      <c r="K6238" s="1" t="n">
        <v>55515</v>
      </c>
      <c r="L6238" s="1" t="s">
        <v>2360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5" t="n">
        <v>46237</v>
      </c>
      <c r="C6239" s="1" t="n">
        <v>11</v>
      </c>
      <c r="D6239" s="1" t="s">
        <v>2290</v>
      </c>
      <c r="E6239" s="1" t="n">
        <v>1625</v>
      </c>
      <c r="F6239" s="1" t="s">
        <v>320</v>
      </c>
      <c r="I6239" s="1" t="n">
        <v>14912</v>
      </c>
      <c r="J6239" s="1" t="n">
        <v>29079</v>
      </c>
      <c r="K6239" s="1" t="n">
        <v>55515</v>
      </c>
      <c r="L6239" s="1" t="s">
        <v>2360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5" t="n">
        <v>46237</v>
      </c>
      <c r="C6240" s="1" t="n">
        <v>11</v>
      </c>
      <c r="D6240" s="1" t="s">
        <v>2290</v>
      </c>
      <c r="E6240" s="1" t="n">
        <v>1625</v>
      </c>
      <c r="F6240" s="1" t="s">
        <v>320</v>
      </c>
      <c r="I6240" s="1" t="n">
        <v>14912</v>
      </c>
      <c r="J6240" s="1" t="n">
        <v>29080</v>
      </c>
      <c r="K6240" s="1" t="n">
        <v>55516</v>
      </c>
      <c r="L6240" s="1" t="s">
        <v>2362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5" t="n">
        <v>46237</v>
      </c>
      <c r="C6241" s="1" t="n">
        <v>11</v>
      </c>
      <c r="D6241" s="1" t="s">
        <v>2290</v>
      </c>
      <c r="E6241" s="1" t="n">
        <v>1723</v>
      </c>
      <c r="F6241" s="1" t="s">
        <v>76</v>
      </c>
      <c r="I6241" s="1" t="n">
        <v>174238</v>
      </c>
      <c r="J6241" s="1" t="n">
        <v>29079</v>
      </c>
      <c r="K6241" s="1" t="n">
        <v>55515</v>
      </c>
      <c r="L6241" s="1" t="s">
        <v>2360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5" t="n">
        <v>46237</v>
      </c>
      <c r="C6242" s="1" t="n">
        <v>11</v>
      </c>
      <c r="D6242" s="1" t="s">
        <v>2290</v>
      </c>
      <c r="E6242" s="1" t="n">
        <v>1723</v>
      </c>
      <c r="F6242" s="1" t="s">
        <v>76</v>
      </c>
      <c r="I6242" s="1" t="n">
        <v>174238</v>
      </c>
      <c r="J6242" s="1" t="n">
        <v>29080</v>
      </c>
      <c r="K6242" s="1" t="n">
        <v>55516</v>
      </c>
      <c r="L6242" s="1" t="s">
        <v>2362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5" t="n">
        <v>46237</v>
      </c>
      <c r="C6243" s="1" t="n">
        <v>11</v>
      </c>
      <c r="D6243" s="1" t="s">
        <v>2290</v>
      </c>
      <c r="E6243" s="1" t="n">
        <v>1621</v>
      </c>
      <c r="F6243" s="1" t="s">
        <v>306</v>
      </c>
      <c r="I6243" s="1" t="n">
        <v>935472</v>
      </c>
      <c r="J6243" s="1" t="n">
        <v>103792</v>
      </c>
      <c r="K6243" s="1" t="n">
        <v>7891149010509</v>
      </c>
      <c r="L6243" s="1" t="s">
        <v>2898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5" t="n">
        <v>46237</v>
      </c>
      <c r="C6244" s="1" t="n">
        <v>11</v>
      </c>
      <c r="D6244" s="1" t="s">
        <v>2290</v>
      </c>
      <c r="E6244" s="1" t="n">
        <v>1621</v>
      </c>
      <c r="F6244" s="1" t="s">
        <v>306</v>
      </c>
      <c r="I6244" s="1" t="n">
        <v>935472</v>
      </c>
      <c r="J6244" s="1" t="n">
        <v>104358</v>
      </c>
      <c r="K6244" s="1" t="n">
        <v>7891149440603</v>
      </c>
      <c r="L6244" s="1" t="s">
        <v>2538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5" t="n">
        <v>46237</v>
      </c>
      <c r="C6245" s="1" t="n">
        <v>11</v>
      </c>
      <c r="D6245" s="1" t="s">
        <v>2290</v>
      </c>
      <c r="E6245" s="1" t="n">
        <v>1621</v>
      </c>
      <c r="F6245" s="1" t="s">
        <v>306</v>
      </c>
      <c r="I6245" s="1" t="n">
        <v>935472</v>
      </c>
      <c r="J6245" s="1" t="n">
        <v>16185</v>
      </c>
      <c r="K6245" s="1" t="n">
        <v>7891149103102</v>
      </c>
      <c r="L6245" s="1" t="s">
        <v>2542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5" t="n">
        <v>46237</v>
      </c>
      <c r="C6246" s="1" t="n">
        <v>11</v>
      </c>
      <c r="D6246" s="1" t="s">
        <v>2290</v>
      </c>
      <c r="E6246" s="1" t="n">
        <v>1621</v>
      </c>
      <c r="F6246" s="1" t="s">
        <v>306</v>
      </c>
      <c r="I6246" s="1" t="n">
        <v>935472</v>
      </c>
      <c r="J6246" s="1" t="n">
        <v>31032</v>
      </c>
      <c r="K6246" s="1" t="n">
        <v>7891991002561</v>
      </c>
      <c r="L6246" s="1" t="s">
        <v>2547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5" t="n">
        <v>46237</v>
      </c>
      <c r="C6247" s="1" t="n">
        <v>11</v>
      </c>
      <c r="D6247" s="1" t="s">
        <v>2290</v>
      </c>
      <c r="E6247" s="1" t="n">
        <v>1621</v>
      </c>
      <c r="F6247" s="1" t="s">
        <v>306</v>
      </c>
      <c r="I6247" s="1" t="n">
        <v>935472</v>
      </c>
      <c r="J6247" s="1" t="n">
        <v>33355</v>
      </c>
      <c r="K6247" s="1" t="n">
        <v>7891991010177</v>
      </c>
      <c r="L6247" s="1" t="s">
        <v>2906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5" t="n">
        <v>46237</v>
      </c>
      <c r="C6248" s="1" t="n">
        <v>11</v>
      </c>
      <c r="D6248" s="1" t="s">
        <v>2290</v>
      </c>
      <c r="E6248" s="1" t="n">
        <v>1621</v>
      </c>
      <c r="F6248" s="1" t="s">
        <v>306</v>
      </c>
      <c r="I6248" s="1" t="n">
        <v>935472</v>
      </c>
      <c r="J6248" s="1" t="n">
        <v>40755</v>
      </c>
      <c r="K6248" s="1" t="n">
        <v>7892840813505</v>
      </c>
      <c r="L6248" s="1" t="s">
        <v>4449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5" t="n">
        <v>46237</v>
      </c>
      <c r="C6249" s="1" t="n">
        <v>11</v>
      </c>
      <c r="D6249" s="1" t="s">
        <v>2290</v>
      </c>
      <c r="E6249" s="1" t="n">
        <v>1621</v>
      </c>
      <c r="F6249" s="1" t="s">
        <v>306</v>
      </c>
      <c r="I6249" s="1" t="n">
        <v>935472</v>
      </c>
      <c r="J6249" s="1" t="n">
        <v>44674</v>
      </c>
      <c r="K6249" s="1" t="n">
        <v>7891991297424</v>
      </c>
      <c r="L6249" s="1" t="s">
        <v>3456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5" t="n">
        <v>46237</v>
      </c>
      <c r="C6250" s="1" t="n">
        <v>11</v>
      </c>
      <c r="D6250" s="1" t="s">
        <v>2290</v>
      </c>
      <c r="E6250" s="1" t="n">
        <v>1621</v>
      </c>
      <c r="F6250" s="1" t="s">
        <v>306</v>
      </c>
      <c r="I6250" s="1" t="n">
        <v>935472</v>
      </c>
      <c r="J6250" s="1" t="n">
        <v>55510</v>
      </c>
      <c r="K6250" s="1" t="n">
        <v>7891991303347</v>
      </c>
      <c r="L6250" s="1" t="s">
        <v>2911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5" t="n">
        <v>46237</v>
      </c>
      <c r="C6251" s="1" t="n">
        <v>11</v>
      </c>
      <c r="D6251" s="1" t="s">
        <v>2290</v>
      </c>
      <c r="E6251" s="1" t="n">
        <v>1621</v>
      </c>
      <c r="F6251" s="1" t="s">
        <v>306</v>
      </c>
      <c r="I6251" s="1" t="n">
        <v>935472</v>
      </c>
      <c r="J6251" s="1" t="n">
        <v>57246</v>
      </c>
      <c r="K6251" s="1" t="n">
        <v>7892840800406</v>
      </c>
      <c r="L6251" s="1" t="s">
        <v>2912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5" t="n">
        <v>46237</v>
      </c>
      <c r="C6252" s="1" t="n">
        <v>11</v>
      </c>
      <c r="D6252" s="1" t="s">
        <v>2290</v>
      </c>
      <c r="E6252" s="1" t="n">
        <v>1621</v>
      </c>
      <c r="F6252" s="1" t="s">
        <v>306</v>
      </c>
      <c r="I6252" s="1" t="n">
        <v>935472</v>
      </c>
      <c r="J6252" s="1" t="n">
        <v>66375</v>
      </c>
      <c r="K6252" s="1" t="n">
        <v>7891991306324</v>
      </c>
      <c r="L6252" s="1" t="s">
        <v>4450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5" t="n">
        <v>46237</v>
      </c>
      <c r="C6253" s="1" t="n">
        <v>11</v>
      </c>
      <c r="D6253" s="1" t="s">
        <v>2290</v>
      </c>
      <c r="E6253" s="1" t="n">
        <v>1621</v>
      </c>
      <c r="F6253" s="1" t="s">
        <v>306</v>
      </c>
      <c r="I6253" s="1" t="n">
        <v>935472</v>
      </c>
      <c r="J6253" s="1" t="n">
        <v>78063</v>
      </c>
      <c r="K6253" s="1" t="n">
        <v>7891149108718</v>
      </c>
      <c r="L6253" s="1" t="s">
        <v>2914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5" t="n">
        <v>46237</v>
      </c>
      <c r="C6254" s="1" t="n">
        <v>11</v>
      </c>
      <c r="D6254" s="1" t="s">
        <v>2290</v>
      </c>
      <c r="E6254" s="1" t="n">
        <v>1621</v>
      </c>
      <c r="F6254" s="1" t="s">
        <v>306</v>
      </c>
      <c r="I6254" s="1" t="n">
        <v>935472</v>
      </c>
      <c r="J6254" s="1" t="n">
        <v>78502</v>
      </c>
      <c r="K6254" s="1" t="n">
        <v>7891991306461</v>
      </c>
      <c r="L6254" s="1" t="s">
        <v>4451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5" t="n">
        <v>46237</v>
      </c>
      <c r="C6255" s="1" t="n">
        <v>11</v>
      </c>
      <c r="D6255" s="1" t="s">
        <v>2290</v>
      </c>
      <c r="E6255" s="1" t="n">
        <v>1608</v>
      </c>
      <c r="F6255" s="1" t="s">
        <v>41</v>
      </c>
      <c r="I6255" s="1" t="n">
        <v>1704243</v>
      </c>
      <c r="J6255" s="1" t="n">
        <v>65341</v>
      </c>
      <c r="K6255" s="1" t="n">
        <v>7892840822309</v>
      </c>
      <c r="L6255" s="1" t="s">
        <v>2498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5" t="n">
        <v>46237</v>
      </c>
      <c r="C6256" s="1" t="n">
        <v>11</v>
      </c>
      <c r="D6256" s="1" t="s">
        <v>2290</v>
      </c>
      <c r="E6256" s="1" t="n">
        <v>1636</v>
      </c>
      <c r="F6256" s="1" t="s">
        <v>49</v>
      </c>
      <c r="I6256" s="1" t="n">
        <v>3229254</v>
      </c>
      <c r="J6256" s="1" t="n">
        <v>104602</v>
      </c>
      <c r="K6256" s="1" t="n">
        <v>7891104393104</v>
      </c>
      <c r="L6256" s="1" t="s">
        <v>4452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5" t="n">
        <v>46237</v>
      </c>
      <c r="C6257" s="1" t="n">
        <v>11</v>
      </c>
      <c r="D6257" s="1" t="s">
        <v>2290</v>
      </c>
      <c r="E6257" s="1" t="n">
        <v>1636</v>
      </c>
      <c r="F6257" s="1" t="s">
        <v>49</v>
      </c>
      <c r="I6257" s="1" t="n">
        <v>3229254</v>
      </c>
      <c r="J6257" s="1" t="n">
        <v>19094</v>
      </c>
      <c r="K6257" s="1" t="n">
        <v>7891152342017</v>
      </c>
      <c r="L6257" s="1" t="s">
        <v>4453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5" t="n">
        <v>46237</v>
      </c>
      <c r="C6258" s="1" t="n">
        <v>11</v>
      </c>
      <c r="D6258" s="1" t="s">
        <v>2290</v>
      </c>
      <c r="E6258" s="1" t="n">
        <v>1636</v>
      </c>
      <c r="F6258" s="1" t="s">
        <v>49</v>
      </c>
      <c r="I6258" s="1" t="n">
        <v>3229254</v>
      </c>
      <c r="J6258" s="1" t="n">
        <v>21158</v>
      </c>
      <c r="K6258" s="1" t="n">
        <v>7891152342123</v>
      </c>
      <c r="L6258" s="1" t="s">
        <v>4454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5" t="n">
        <v>46237</v>
      </c>
      <c r="C6259" s="1" t="n">
        <v>11</v>
      </c>
      <c r="D6259" s="1" t="s">
        <v>2290</v>
      </c>
      <c r="E6259" s="1" t="n">
        <v>1636</v>
      </c>
      <c r="F6259" s="1" t="s">
        <v>49</v>
      </c>
      <c r="I6259" s="1" t="n">
        <v>3229254</v>
      </c>
      <c r="J6259" s="1" t="n">
        <v>21159</v>
      </c>
      <c r="K6259" s="1" t="n">
        <v>7891152342116</v>
      </c>
      <c r="L6259" s="1" t="s">
        <v>4455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5" t="n">
        <v>46237</v>
      </c>
      <c r="C6260" s="1" t="n">
        <v>11</v>
      </c>
      <c r="D6260" s="1" t="s">
        <v>2290</v>
      </c>
      <c r="E6260" s="1" t="n">
        <v>1636</v>
      </c>
      <c r="F6260" s="1" t="s">
        <v>49</v>
      </c>
      <c r="I6260" s="1" t="n">
        <v>3229254</v>
      </c>
      <c r="J6260" s="1" t="n">
        <v>21160</v>
      </c>
      <c r="K6260" s="1" t="n">
        <v>7891152342031</v>
      </c>
      <c r="L6260" s="1" t="s">
        <v>4456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5" t="n">
        <v>46237</v>
      </c>
      <c r="C6261" s="1" t="n">
        <v>11</v>
      </c>
      <c r="D6261" s="1" t="s">
        <v>2290</v>
      </c>
      <c r="E6261" s="1" t="n">
        <v>1636</v>
      </c>
      <c r="F6261" s="1" t="s">
        <v>49</v>
      </c>
      <c r="I6261" s="1" t="n">
        <v>3229254</v>
      </c>
      <c r="J6261" s="1" t="n">
        <v>24761</v>
      </c>
      <c r="K6261" s="1" t="n">
        <v>7891152340419</v>
      </c>
      <c r="L6261" s="1" t="s">
        <v>4457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5" t="n">
        <v>46237</v>
      </c>
      <c r="C6262" s="1" t="n">
        <v>11</v>
      </c>
      <c r="D6262" s="1" t="s">
        <v>2290</v>
      </c>
      <c r="E6262" s="1" t="n">
        <v>1636</v>
      </c>
      <c r="F6262" s="1" t="s">
        <v>49</v>
      </c>
      <c r="I6262" s="1" t="n">
        <v>3229254</v>
      </c>
      <c r="J6262" s="1" t="n">
        <v>24762</v>
      </c>
      <c r="K6262" s="1" t="n">
        <v>7891152340433</v>
      </c>
      <c r="L6262" s="1" t="s">
        <v>3302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5" t="n">
        <v>46237</v>
      </c>
      <c r="C6263" s="1" t="n">
        <v>11</v>
      </c>
      <c r="D6263" s="1" t="s">
        <v>2290</v>
      </c>
      <c r="E6263" s="1" t="n">
        <v>1636</v>
      </c>
      <c r="F6263" s="1" t="s">
        <v>49</v>
      </c>
      <c r="I6263" s="1" t="n">
        <v>3229254</v>
      </c>
      <c r="J6263" s="1" t="n">
        <v>29112</v>
      </c>
      <c r="K6263" s="1" t="n">
        <v>7891152800517</v>
      </c>
      <c r="L6263" s="1" t="s">
        <v>3303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5" t="n">
        <v>46237</v>
      </c>
      <c r="C6264" s="1" t="n">
        <v>11</v>
      </c>
      <c r="D6264" s="1" t="s">
        <v>2290</v>
      </c>
      <c r="E6264" s="1" t="n">
        <v>1636</v>
      </c>
      <c r="F6264" s="1" t="s">
        <v>49</v>
      </c>
      <c r="I6264" s="1" t="n">
        <v>3229254</v>
      </c>
      <c r="J6264" s="1" t="n">
        <v>36033</v>
      </c>
      <c r="K6264" s="1" t="n">
        <v>7891152800951</v>
      </c>
      <c r="L6264" s="1" t="s">
        <v>3305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5" t="n">
        <v>46237</v>
      </c>
      <c r="C6265" s="1" t="n">
        <v>11</v>
      </c>
      <c r="D6265" s="1" t="s">
        <v>2290</v>
      </c>
      <c r="E6265" s="1" t="n">
        <v>1636</v>
      </c>
      <c r="F6265" s="1" t="s">
        <v>49</v>
      </c>
      <c r="I6265" s="1" t="n">
        <v>3229254</v>
      </c>
      <c r="J6265" s="1" t="n">
        <v>36034</v>
      </c>
      <c r="K6265" s="1" t="n">
        <v>7891152800937</v>
      </c>
      <c r="L6265" s="1" t="s">
        <v>3306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5" t="n">
        <v>46237</v>
      </c>
      <c r="C6266" s="1" t="n">
        <v>11</v>
      </c>
      <c r="D6266" s="1" t="s">
        <v>2290</v>
      </c>
      <c r="E6266" s="1" t="n">
        <v>1636</v>
      </c>
      <c r="F6266" s="1" t="s">
        <v>49</v>
      </c>
      <c r="I6266" s="1" t="n">
        <v>3229254</v>
      </c>
      <c r="J6266" s="1" t="n">
        <v>36225</v>
      </c>
      <c r="K6266" s="1" t="n">
        <v>7891152800968</v>
      </c>
      <c r="L6266" s="1" t="s">
        <v>3307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5" t="n">
        <v>46237</v>
      </c>
      <c r="C6267" s="1" t="n">
        <v>11</v>
      </c>
      <c r="D6267" s="1" t="s">
        <v>2290</v>
      </c>
      <c r="E6267" s="1" t="n">
        <v>1636</v>
      </c>
      <c r="F6267" s="1" t="s">
        <v>49</v>
      </c>
      <c r="I6267" s="1" t="n">
        <v>3229254</v>
      </c>
      <c r="J6267" s="1" t="n">
        <v>39867</v>
      </c>
      <c r="K6267" s="1" t="n">
        <v>7891152800746</v>
      </c>
      <c r="L6267" s="1" t="s">
        <v>3308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5" t="n">
        <v>46237</v>
      </c>
      <c r="C6268" s="1" t="n">
        <v>11</v>
      </c>
      <c r="D6268" s="1" t="s">
        <v>2290</v>
      </c>
      <c r="E6268" s="1" t="n">
        <v>1636</v>
      </c>
      <c r="F6268" s="1" t="s">
        <v>49</v>
      </c>
      <c r="I6268" s="1" t="n">
        <v>3229254</v>
      </c>
      <c r="J6268" s="1" t="n">
        <v>41566</v>
      </c>
      <c r="K6268" s="1" t="n">
        <v>7891152800753</v>
      </c>
      <c r="L6268" s="1" t="s">
        <v>3309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5" t="n">
        <v>46237</v>
      </c>
      <c r="C6269" s="1" t="n">
        <v>11</v>
      </c>
      <c r="D6269" s="1" t="s">
        <v>2290</v>
      </c>
      <c r="E6269" s="1" t="n">
        <v>1636</v>
      </c>
      <c r="F6269" s="1" t="s">
        <v>49</v>
      </c>
      <c r="I6269" s="1" t="n">
        <v>3229254</v>
      </c>
      <c r="J6269" s="1" t="n">
        <v>41919</v>
      </c>
      <c r="K6269" s="1" t="n">
        <v>7891152801354</v>
      </c>
      <c r="L6269" s="1" t="s">
        <v>3310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5" t="n">
        <v>46237</v>
      </c>
      <c r="C6270" s="1" t="n">
        <v>11</v>
      </c>
      <c r="D6270" s="1" t="s">
        <v>2290</v>
      </c>
      <c r="E6270" s="1" t="n">
        <v>1636</v>
      </c>
      <c r="F6270" s="1" t="s">
        <v>49</v>
      </c>
      <c r="I6270" s="1" t="n">
        <v>3229254</v>
      </c>
      <c r="J6270" s="1" t="n">
        <v>41944</v>
      </c>
      <c r="K6270" s="1" t="n">
        <v>7891152801286</v>
      </c>
      <c r="L6270" s="1" t="s">
        <v>3311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5" t="n">
        <v>46237</v>
      </c>
      <c r="C6271" s="1" t="n">
        <v>11</v>
      </c>
      <c r="D6271" s="1" t="s">
        <v>2290</v>
      </c>
      <c r="E6271" s="1" t="n">
        <v>1636</v>
      </c>
      <c r="F6271" s="1" t="s">
        <v>49</v>
      </c>
      <c r="I6271" s="1" t="n">
        <v>3229254</v>
      </c>
      <c r="J6271" s="1" t="n">
        <v>41945</v>
      </c>
      <c r="K6271" s="1" t="n">
        <v>7891152801323</v>
      </c>
      <c r="L6271" s="1" t="s">
        <v>3312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5" t="n">
        <v>46237</v>
      </c>
      <c r="C6272" s="1" t="n">
        <v>11</v>
      </c>
      <c r="D6272" s="1" t="s">
        <v>2290</v>
      </c>
      <c r="E6272" s="1" t="n">
        <v>1636</v>
      </c>
      <c r="F6272" s="1" t="s">
        <v>49</v>
      </c>
      <c r="I6272" s="1" t="n">
        <v>3229254</v>
      </c>
      <c r="J6272" s="1" t="n">
        <v>41947</v>
      </c>
      <c r="K6272" s="1" t="n">
        <v>7891152801330</v>
      </c>
      <c r="L6272" s="1" t="s">
        <v>3313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5" t="n">
        <v>46237</v>
      </c>
      <c r="C6273" s="1" t="n">
        <v>11</v>
      </c>
      <c r="D6273" s="1" t="s">
        <v>2290</v>
      </c>
      <c r="E6273" s="1" t="n">
        <v>1636</v>
      </c>
      <c r="F6273" s="1" t="s">
        <v>49</v>
      </c>
      <c r="I6273" s="1" t="n">
        <v>3229254</v>
      </c>
      <c r="J6273" s="1" t="n">
        <v>44049</v>
      </c>
      <c r="K6273" s="1" t="n">
        <v>7891152801378</v>
      </c>
      <c r="L6273" s="1" t="s">
        <v>3314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5" t="n">
        <v>46237</v>
      </c>
      <c r="C6274" s="1" t="n">
        <v>11</v>
      </c>
      <c r="D6274" s="1" t="s">
        <v>2290</v>
      </c>
      <c r="E6274" s="1" t="n">
        <v>1636</v>
      </c>
      <c r="F6274" s="1" t="s">
        <v>49</v>
      </c>
      <c r="I6274" s="1" t="n">
        <v>3229254</v>
      </c>
      <c r="J6274" s="1" t="n">
        <v>46075</v>
      </c>
      <c r="K6274" s="1" t="n">
        <v>7891152801255</v>
      </c>
      <c r="L6274" s="1" t="s">
        <v>4458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5" t="n">
        <v>46237</v>
      </c>
      <c r="C6275" s="1" t="n">
        <v>11</v>
      </c>
      <c r="D6275" s="1" t="s">
        <v>2290</v>
      </c>
      <c r="E6275" s="1" t="n">
        <v>1636</v>
      </c>
      <c r="F6275" s="1" t="s">
        <v>49</v>
      </c>
      <c r="I6275" s="1" t="n">
        <v>3229254</v>
      </c>
      <c r="J6275" s="1" t="n">
        <v>47894</v>
      </c>
      <c r="K6275" s="1" t="n">
        <v>7891152801866</v>
      </c>
      <c r="L6275" s="1" t="s">
        <v>3315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5" t="n">
        <v>46237</v>
      </c>
      <c r="C6276" s="1" t="n">
        <v>11</v>
      </c>
      <c r="D6276" s="1" t="s">
        <v>2290</v>
      </c>
      <c r="E6276" s="1" t="n">
        <v>1636</v>
      </c>
      <c r="F6276" s="1" t="s">
        <v>49</v>
      </c>
      <c r="I6276" s="1" t="n">
        <v>3229254</v>
      </c>
      <c r="J6276" s="1" t="n">
        <v>48470</v>
      </c>
      <c r="K6276" s="1" t="n">
        <v>7891152801279</v>
      </c>
      <c r="L6276" s="1" t="s">
        <v>3316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5" t="n">
        <v>46237</v>
      </c>
      <c r="C6277" s="1" t="n">
        <v>11</v>
      </c>
      <c r="D6277" s="1" t="s">
        <v>2290</v>
      </c>
      <c r="E6277" s="1" t="n">
        <v>1636</v>
      </c>
      <c r="F6277" s="1" t="s">
        <v>49</v>
      </c>
      <c r="I6277" s="1" t="n">
        <v>3229254</v>
      </c>
      <c r="J6277" s="1" t="n">
        <v>48472</v>
      </c>
      <c r="K6277" s="1" t="n">
        <v>7891152801897</v>
      </c>
      <c r="L6277" s="1" t="s">
        <v>4307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5" t="n">
        <v>46237</v>
      </c>
      <c r="C6278" s="1" t="n">
        <v>11</v>
      </c>
      <c r="D6278" s="1" t="s">
        <v>2290</v>
      </c>
      <c r="E6278" s="1" t="n">
        <v>1636</v>
      </c>
      <c r="F6278" s="1" t="s">
        <v>49</v>
      </c>
      <c r="I6278" s="1" t="n">
        <v>3229254</v>
      </c>
      <c r="J6278" s="1" t="n">
        <v>48476</v>
      </c>
      <c r="K6278" s="1" t="n">
        <v>7891152801880</v>
      </c>
      <c r="L6278" s="1" t="s">
        <v>3317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5" t="n">
        <v>46237</v>
      </c>
      <c r="C6279" s="1" t="n">
        <v>11</v>
      </c>
      <c r="D6279" s="1" t="s">
        <v>2290</v>
      </c>
      <c r="E6279" s="1" t="n">
        <v>1636</v>
      </c>
      <c r="F6279" s="1" t="s">
        <v>49</v>
      </c>
      <c r="I6279" s="1" t="n">
        <v>3229254</v>
      </c>
      <c r="J6279" s="1" t="n">
        <v>48477</v>
      </c>
      <c r="K6279" s="1" t="n">
        <v>7891152801828</v>
      </c>
      <c r="L6279" s="1" t="s">
        <v>3318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5" t="n">
        <v>46237</v>
      </c>
      <c r="C6280" s="1" t="n">
        <v>11</v>
      </c>
      <c r="D6280" s="1" t="s">
        <v>2290</v>
      </c>
      <c r="E6280" s="1" t="n">
        <v>1636</v>
      </c>
      <c r="F6280" s="1" t="s">
        <v>49</v>
      </c>
      <c r="I6280" s="1" t="n">
        <v>3229254</v>
      </c>
      <c r="J6280" s="1" t="n">
        <v>48478</v>
      </c>
      <c r="K6280" s="1" t="n">
        <v>7891152801811</v>
      </c>
      <c r="L6280" s="1" t="s">
        <v>4459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5" t="n">
        <v>46237</v>
      </c>
      <c r="C6281" s="1" t="n">
        <v>11</v>
      </c>
      <c r="D6281" s="1" t="s">
        <v>2290</v>
      </c>
      <c r="E6281" s="1" t="n">
        <v>1636</v>
      </c>
      <c r="F6281" s="1" t="s">
        <v>49</v>
      </c>
      <c r="I6281" s="1" t="n">
        <v>3229254</v>
      </c>
      <c r="J6281" s="1" t="n">
        <v>48697</v>
      </c>
      <c r="K6281" s="1" t="n">
        <v>7891152801804</v>
      </c>
      <c r="L6281" s="1" t="s">
        <v>3319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5" t="n">
        <v>46237</v>
      </c>
      <c r="C6282" s="1" t="n">
        <v>11</v>
      </c>
      <c r="D6282" s="1" t="s">
        <v>2290</v>
      </c>
      <c r="E6282" s="1" t="n">
        <v>1636</v>
      </c>
      <c r="F6282" s="1" t="s">
        <v>49</v>
      </c>
      <c r="I6282" s="1" t="n">
        <v>3229254</v>
      </c>
      <c r="J6282" s="1" t="n">
        <v>48698</v>
      </c>
      <c r="K6282" s="1" t="n">
        <v>7891152801781</v>
      </c>
      <c r="L6282" s="1" t="s">
        <v>3320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5" t="n">
        <v>46237</v>
      </c>
      <c r="C6283" s="1" t="n">
        <v>11</v>
      </c>
      <c r="D6283" s="1" t="s">
        <v>2290</v>
      </c>
      <c r="E6283" s="1" t="n">
        <v>1636</v>
      </c>
      <c r="F6283" s="1" t="s">
        <v>49</v>
      </c>
      <c r="I6283" s="1" t="n">
        <v>3229254</v>
      </c>
      <c r="J6283" s="1" t="n">
        <v>48699</v>
      </c>
      <c r="K6283" s="1" t="n">
        <v>7891152801842</v>
      </c>
      <c r="L6283" s="1" t="s">
        <v>3321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5" t="n">
        <v>46237</v>
      </c>
      <c r="C6284" s="1" t="n">
        <v>11</v>
      </c>
      <c r="D6284" s="1" t="s">
        <v>2290</v>
      </c>
      <c r="E6284" s="1" t="n">
        <v>1636</v>
      </c>
      <c r="F6284" s="1" t="s">
        <v>49</v>
      </c>
      <c r="I6284" s="1" t="n">
        <v>3229254</v>
      </c>
      <c r="J6284" s="1" t="n">
        <v>48700</v>
      </c>
      <c r="K6284" s="1" t="n">
        <v>7891152801903</v>
      </c>
      <c r="L6284" s="1" t="s">
        <v>4309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5" t="n">
        <v>46237</v>
      </c>
      <c r="C6285" s="1" t="n">
        <v>11</v>
      </c>
      <c r="D6285" s="1" t="s">
        <v>2290</v>
      </c>
      <c r="E6285" s="1" t="n">
        <v>1636</v>
      </c>
      <c r="F6285" s="1" t="s">
        <v>49</v>
      </c>
      <c r="I6285" s="1" t="n">
        <v>3229254</v>
      </c>
      <c r="J6285" s="1" t="n">
        <v>48867</v>
      </c>
      <c r="K6285" s="1" t="n">
        <v>7891152801798</v>
      </c>
      <c r="L6285" s="1" t="s">
        <v>3322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5" t="n">
        <v>46237</v>
      </c>
      <c r="C6286" s="1" t="n">
        <v>11</v>
      </c>
      <c r="D6286" s="1" t="s">
        <v>2290</v>
      </c>
      <c r="E6286" s="1" t="n">
        <v>1636</v>
      </c>
      <c r="F6286" s="1" t="s">
        <v>49</v>
      </c>
      <c r="I6286" s="1" t="n">
        <v>3229254</v>
      </c>
      <c r="J6286" s="1" t="n">
        <v>48919</v>
      </c>
      <c r="K6286" s="1" t="n">
        <v>7891152801873</v>
      </c>
      <c r="L6286" s="1" t="s">
        <v>3323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5" t="n">
        <v>46237</v>
      </c>
      <c r="C6287" s="1" t="n">
        <v>11</v>
      </c>
      <c r="D6287" s="1" t="s">
        <v>2290</v>
      </c>
      <c r="E6287" s="1" t="n">
        <v>1636</v>
      </c>
      <c r="F6287" s="1" t="s">
        <v>49</v>
      </c>
      <c r="I6287" s="1" t="n">
        <v>3229254</v>
      </c>
      <c r="J6287" s="1" t="n">
        <v>49326</v>
      </c>
      <c r="K6287" s="1" t="n">
        <v>7891152801835</v>
      </c>
      <c r="L6287" s="1" t="s">
        <v>4460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5" t="n">
        <v>46237</v>
      </c>
      <c r="C6288" s="1" t="n">
        <v>11</v>
      </c>
      <c r="D6288" s="1" t="s">
        <v>2290</v>
      </c>
      <c r="E6288" s="1" t="n">
        <v>1636</v>
      </c>
      <c r="F6288" s="1" t="s">
        <v>49</v>
      </c>
      <c r="I6288" s="1" t="n">
        <v>3229254</v>
      </c>
      <c r="J6288" s="1" t="n">
        <v>52431</v>
      </c>
      <c r="K6288" s="1" t="n">
        <v>7891152801262</v>
      </c>
      <c r="L6288" s="1" t="s">
        <v>4461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5" t="n">
        <v>46237</v>
      </c>
      <c r="C6289" s="1" t="n">
        <v>11</v>
      </c>
      <c r="D6289" s="1" t="s">
        <v>2290</v>
      </c>
      <c r="E6289" s="1" t="n">
        <v>1636</v>
      </c>
      <c r="F6289" s="1" t="s">
        <v>49</v>
      </c>
      <c r="I6289" s="1" t="n">
        <v>3229254</v>
      </c>
      <c r="J6289" s="1" t="n">
        <v>52434</v>
      </c>
      <c r="K6289" s="1" t="n">
        <v>7891152801965</v>
      </c>
      <c r="L6289" s="1" t="s">
        <v>3324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5" t="n">
        <v>46237</v>
      </c>
      <c r="C6290" s="1" t="n">
        <v>11</v>
      </c>
      <c r="D6290" s="1" t="s">
        <v>2290</v>
      </c>
      <c r="E6290" s="1" t="n">
        <v>1636</v>
      </c>
      <c r="F6290" s="1" t="s">
        <v>49</v>
      </c>
      <c r="I6290" s="1" t="n">
        <v>3229254</v>
      </c>
      <c r="J6290" s="1" t="n">
        <v>53055</v>
      </c>
      <c r="K6290" s="1" t="n">
        <v>7891152801972</v>
      </c>
      <c r="L6290" s="1" t="s">
        <v>3325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5" t="n">
        <v>46237</v>
      </c>
      <c r="C6291" s="1" t="n">
        <v>11</v>
      </c>
      <c r="D6291" s="1" t="s">
        <v>2290</v>
      </c>
      <c r="E6291" s="1" t="n">
        <v>1636</v>
      </c>
      <c r="F6291" s="1" t="s">
        <v>49</v>
      </c>
      <c r="I6291" s="1" t="n">
        <v>3229254</v>
      </c>
      <c r="J6291" s="1" t="n">
        <v>78370</v>
      </c>
      <c r="K6291" s="1" t="n">
        <v>7891152802597</v>
      </c>
      <c r="L6291" s="1" t="s">
        <v>3331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5" t="n">
        <v>46237</v>
      </c>
      <c r="C6292" s="1" t="n">
        <v>11</v>
      </c>
      <c r="D6292" s="1" t="s">
        <v>2290</v>
      </c>
      <c r="E6292" s="1" t="n">
        <v>1636</v>
      </c>
      <c r="F6292" s="1" t="s">
        <v>49</v>
      </c>
      <c r="I6292" s="1" t="n">
        <v>3229254</v>
      </c>
      <c r="J6292" s="1" t="n">
        <v>78371</v>
      </c>
      <c r="K6292" s="1" t="n">
        <v>7891152802641</v>
      </c>
      <c r="L6292" s="1" t="s">
        <v>3332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5" t="n">
        <v>46237</v>
      </c>
      <c r="C6293" s="1" t="n">
        <v>22</v>
      </c>
      <c r="D6293" s="1" t="s">
        <v>2436</v>
      </c>
      <c r="E6293" s="1" t="n">
        <v>42</v>
      </c>
      <c r="F6293" s="1" t="s">
        <v>80</v>
      </c>
      <c r="I6293" s="1" t="n">
        <v>4455</v>
      </c>
      <c r="J6293" s="1" t="n">
        <v>100000</v>
      </c>
      <c r="K6293" s="1" t="n">
        <v>1</v>
      </c>
      <c r="L6293" s="1" t="s">
        <v>2451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5" t="n">
        <v>46237</v>
      </c>
      <c r="C6294" s="1" t="n">
        <v>22</v>
      </c>
      <c r="D6294" s="1" t="s">
        <v>2436</v>
      </c>
      <c r="E6294" s="1" t="n">
        <v>42</v>
      </c>
      <c r="F6294" s="1" t="s">
        <v>80</v>
      </c>
      <c r="I6294" s="1" t="n">
        <v>4455</v>
      </c>
      <c r="J6294" s="1" t="n">
        <v>100000</v>
      </c>
      <c r="K6294" s="1" t="n">
        <v>1</v>
      </c>
      <c r="L6294" s="1" t="s">
        <v>2451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5" t="n">
        <v>46237</v>
      </c>
      <c r="C6295" s="1" t="n">
        <v>22</v>
      </c>
      <c r="D6295" s="1" t="s">
        <v>2436</v>
      </c>
      <c r="E6295" s="1" t="n">
        <v>42</v>
      </c>
      <c r="F6295" s="1" t="s">
        <v>80</v>
      </c>
      <c r="I6295" s="1" t="n">
        <v>4455</v>
      </c>
      <c r="J6295" s="1" t="n">
        <v>100001</v>
      </c>
      <c r="K6295" s="1" t="n">
        <v>2</v>
      </c>
      <c r="L6295" s="1" t="s">
        <v>2452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5" t="n">
        <v>46237</v>
      </c>
      <c r="C6296" s="1" t="n">
        <v>22</v>
      </c>
      <c r="D6296" s="1" t="s">
        <v>2436</v>
      </c>
      <c r="E6296" s="1" t="n">
        <v>42</v>
      </c>
      <c r="F6296" s="1" t="s">
        <v>80</v>
      </c>
      <c r="I6296" s="1" t="n">
        <v>4455</v>
      </c>
      <c r="J6296" s="1" t="n">
        <v>100002</v>
      </c>
      <c r="K6296" s="1" t="n">
        <v>3</v>
      </c>
      <c r="L6296" s="1" t="s">
        <v>2453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5" t="n">
        <v>46237</v>
      </c>
      <c r="C6297" s="1" t="n">
        <v>22</v>
      </c>
      <c r="D6297" s="1" t="s">
        <v>2436</v>
      </c>
      <c r="E6297" s="1" t="n">
        <v>42</v>
      </c>
      <c r="F6297" s="1" t="s">
        <v>80</v>
      </c>
      <c r="I6297" s="1" t="n">
        <v>4455</v>
      </c>
      <c r="J6297" s="1" t="n">
        <v>100003</v>
      </c>
      <c r="K6297" s="1" t="n">
        <v>4</v>
      </c>
      <c r="L6297" s="1" t="s">
        <v>2454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5" t="n">
        <v>46237</v>
      </c>
      <c r="C6298" s="1" t="n">
        <v>22</v>
      </c>
      <c r="D6298" s="1" t="s">
        <v>2436</v>
      </c>
      <c r="E6298" s="1" t="n">
        <v>42</v>
      </c>
      <c r="F6298" s="1" t="s">
        <v>80</v>
      </c>
      <c r="I6298" s="1" t="n">
        <v>4455</v>
      </c>
      <c r="J6298" s="1" t="n">
        <v>100006</v>
      </c>
      <c r="K6298" s="1" t="n">
        <v>7</v>
      </c>
      <c r="L6298" s="1" t="s">
        <v>2437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5" t="n">
        <v>46237</v>
      </c>
      <c r="C6299" s="1" t="n">
        <v>22</v>
      </c>
      <c r="D6299" s="1" t="s">
        <v>2436</v>
      </c>
      <c r="E6299" s="1" t="n">
        <v>42</v>
      </c>
      <c r="F6299" s="1" t="s">
        <v>80</v>
      </c>
      <c r="I6299" s="1" t="n">
        <v>4455</v>
      </c>
      <c r="J6299" s="1" t="n">
        <v>100007</v>
      </c>
      <c r="K6299" s="1" t="n">
        <v>8</v>
      </c>
      <c r="L6299" s="1" t="s">
        <v>2455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5" t="n">
        <v>46237</v>
      </c>
      <c r="C6300" s="1" t="n">
        <v>22</v>
      </c>
      <c r="D6300" s="1" t="s">
        <v>2436</v>
      </c>
      <c r="E6300" s="1" t="n">
        <v>42</v>
      </c>
      <c r="F6300" s="1" t="s">
        <v>80</v>
      </c>
      <c r="I6300" s="1" t="n">
        <v>4455</v>
      </c>
      <c r="J6300" s="1" t="n">
        <v>100008</v>
      </c>
      <c r="K6300" s="1" t="n">
        <v>9</v>
      </c>
      <c r="L6300" s="1" t="s">
        <v>2438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5" t="n">
        <v>46237</v>
      </c>
      <c r="C6301" s="1" t="n">
        <v>22</v>
      </c>
      <c r="D6301" s="1" t="s">
        <v>2436</v>
      </c>
      <c r="E6301" s="1" t="n">
        <v>42</v>
      </c>
      <c r="F6301" s="1" t="s">
        <v>80</v>
      </c>
      <c r="I6301" s="1" t="n">
        <v>4455</v>
      </c>
      <c r="J6301" s="1" t="n">
        <v>100010</v>
      </c>
      <c r="K6301" s="1" t="n">
        <v>11</v>
      </c>
      <c r="L6301" s="1" t="s">
        <v>2439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5" t="n">
        <v>46237</v>
      </c>
      <c r="C6302" s="1" t="n">
        <v>22</v>
      </c>
      <c r="D6302" s="1" t="s">
        <v>2436</v>
      </c>
      <c r="E6302" s="1" t="n">
        <v>42</v>
      </c>
      <c r="F6302" s="1" t="s">
        <v>80</v>
      </c>
      <c r="I6302" s="1" t="n">
        <v>4455</v>
      </c>
      <c r="J6302" s="1" t="n">
        <v>100011</v>
      </c>
      <c r="K6302" s="1" t="n">
        <v>12</v>
      </c>
      <c r="L6302" s="1" t="s">
        <v>2440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5" t="n">
        <v>46237</v>
      </c>
      <c r="C6303" s="1" t="n">
        <v>22</v>
      </c>
      <c r="D6303" s="1" t="s">
        <v>2436</v>
      </c>
      <c r="E6303" s="1" t="n">
        <v>42</v>
      </c>
      <c r="F6303" s="1" t="s">
        <v>80</v>
      </c>
      <c r="I6303" s="1" t="n">
        <v>4455</v>
      </c>
      <c r="J6303" s="1" t="n">
        <v>100012</v>
      </c>
      <c r="K6303" s="1" t="n">
        <v>13</v>
      </c>
      <c r="L6303" s="1" t="s">
        <v>2441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5" t="n">
        <v>46237</v>
      </c>
      <c r="C6304" s="1" t="n">
        <v>22</v>
      </c>
      <c r="D6304" s="1" t="s">
        <v>2436</v>
      </c>
      <c r="E6304" s="1" t="n">
        <v>42</v>
      </c>
      <c r="F6304" s="1" t="s">
        <v>80</v>
      </c>
      <c r="I6304" s="1" t="n">
        <v>4455</v>
      </c>
      <c r="J6304" s="1" t="n">
        <v>100013</v>
      </c>
      <c r="K6304" s="1" t="n">
        <v>14</v>
      </c>
      <c r="L6304" s="1" t="s">
        <v>2442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5" t="n">
        <v>46237</v>
      </c>
      <c r="C6305" s="1" t="n">
        <v>22</v>
      </c>
      <c r="D6305" s="1" t="s">
        <v>2436</v>
      </c>
      <c r="E6305" s="1" t="n">
        <v>42</v>
      </c>
      <c r="F6305" s="1" t="s">
        <v>80</v>
      </c>
      <c r="I6305" s="1" t="n">
        <v>4455</v>
      </c>
      <c r="J6305" s="1" t="n">
        <v>100014</v>
      </c>
      <c r="K6305" s="1" t="n">
        <v>15</v>
      </c>
      <c r="L6305" s="1" t="s">
        <v>2443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5" t="n">
        <v>46237</v>
      </c>
      <c r="C6306" s="1" t="n">
        <v>22</v>
      </c>
      <c r="D6306" s="1" t="s">
        <v>2436</v>
      </c>
      <c r="E6306" s="1" t="n">
        <v>42</v>
      </c>
      <c r="F6306" s="1" t="s">
        <v>80</v>
      </c>
      <c r="I6306" s="1" t="n">
        <v>4455</v>
      </c>
      <c r="J6306" s="1" t="n">
        <v>100015</v>
      </c>
      <c r="K6306" s="1" t="n">
        <v>16</v>
      </c>
      <c r="L6306" s="1" t="s">
        <v>2444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5" t="n">
        <v>46237</v>
      </c>
      <c r="C6307" s="1" t="n">
        <v>22</v>
      </c>
      <c r="D6307" s="1" t="s">
        <v>2436</v>
      </c>
      <c r="E6307" s="1" t="n">
        <v>42</v>
      </c>
      <c r="F6307" s="1" t="s">
        <v>80</v>
      </c>
      <c r="I6307" s="1" t="n">
        <v>4455</v>
      </c>
      <c r="J6307" s="1" t="n">
        <v>100016</v>
      </c>
      <c r="K6307" s="1" t="n">
        <v>17</v>
      </c>
      <c r="L6307" s="1" t="s">
        <v>2445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5" t="n">
        <v>46237</v>
      </c>
      <c r="C6308" s="1" t="n">
        <v>22</v>
      </c>
      <c r="D6308" s="1" t="s">
        <v>2436</v>
      </c>
      <c r="E6308" s="1" t="n">
        <v>42</v>
      </c>
      <c r="F6308" s="1" t="s">
        <v>80</v>
      </c>
      <c r="I6308" s="1" t="n">
        <v>4455</v>
      </c>
      <c r="J6308" s="1" t="n">
        <v>100017</v>
      </c>
      <c r="K6308" s="1" t="n">
        <v>18</v>
      </c>
      <c r="L6308" s="1" t="s">
        <v>2446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5" t="n">
        <v>46237</v>
      </c>
      <c r="C6309" s="1" t="n">
        <v>22</v>
      </c>
      <c r="D6309" s="1" t="s">
        <v>2436</v>
      </c>
      <c r="E6309" s="1" t="n">
        <v>42</v>
      </c>
      <c r="F6309" s="1" t="s">
        <v>80</v>
      </c>
      <c r="I6309" s="1" t="n">
        <v>4455</v>
      </c>
      <c r="J6309" s="1" t="n">
        <v>100019</v>
      </c>
      <c r="K6309" s="1" t="n">
        <v>20</v>
      </c>
      <c r="L6309" s="1" t="s">
        <v>4136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5" t="n">
        <v>46237</v>
      </c>
      <c r="C6310" s="1" t="n">
        <v>22</v>
      </c>
      <c r="D6310" s="1" t="s">
        <v>2436</v>
      </c>
      <c r="E6310" s="1" t="n">
        <v>42</v>
      </c>
      <c r="F6310" s="1" t="s">
        <v>80</v>
      </c>
      <c r="I6310" s="1" t="n">
        <v>4455</v>
      </c>
      <c r="J6310" s="1" t="n">
        <v>100053</v>
      </c>
      <c r="K6310" s="1" t="n">
        <v>54</v>
      </c>
      <c r="L6310" s="1" t="s">
        <v>2447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5" t="n">
        <v>46237</v>
      </c>
      <c r="C6311" s="1" t="n">
        <v>22</v>
      </c>
      <c r="D6311" s="1" t="s">
        <v>2436</v>
      </c>
      <c r="E6311" s="1" t="n">
        <v>42</v>
      </c>
      <c r="F6311" s="1" t="s">
        <v>80</v>
      </c>
      <c r="I6311" s="1" t="n">
        <v>4455</v>
      </c>
      <c r="J6311" s="1" t="n">
        <v>100638</v>
      </c>
      <c r="K6311" s="1" t="n">
        <v>508</v>
      </c>
      <c r="L6311" s="1" t="s">
        <v>2448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5" t="n">
        <v>46237</v>
      </c>
      <c r="C6312" s="1" t="n">
        <v>22</v>
      </c>
      <c r="D6312" s="1" t="s">
        <v>2436</v>
      </c>
      <c r="E6312" s="1" t="n">
        <v>42</v>
      </c>
      <c r="F6312" s="1" t="s">
        <v>80</v>
      </c>
      <c r="I6312" s="1" t="n">
        <v>4455</v>
      </c>
      <c r="J6312" s="1" t="n">
        <v>100638</v>
      </c>
      <c r="K6312" s="1" t="n">
        <v>508</v>
      </c>
      <c r="L6312" s="1" t="s">
        <v>2448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5" t="n">
        <v>46237</v>
      </c>
      <c r="C6313" s="1" t="n">
        <v>22</v>
      </c>
      <c r="D6313" s="1" t="s">
        <v>2436</v>
      </c>
      <c r="E6313" s="1" t="n">
        <v>42</v>
      </c>
      <c r="F6313" s="1" t="s">
        <v>80</v>
      </c>
      <c r="I6313" s="1" t="n">
        <v>4455</v>
      </c>
      <c r="J6313" s="1" t="n">
        <v>100520</v>
      </c>
      <c r="K6313" s="1" t="n">
        <v>507</v>
      </c>
      <c r="L6313" s="1" t="s">
        <v>2449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5" t="n">
        <v>46237</v>
      </c>
      <c r="C6314" s="1" t="n">
        <v>22</v>
      </c>
      <c r="D6314" s="1" t="s">
        <v>2436</v>
      </c>
      <c r="E6314" s="1" t="n">
        <v>42</v>
      </c>
      <c r="F6314" s="1" t="s">
        <v>80</v>
      </c>
      <c r="I6314" s="1" t="n">
        <v>4455</v>
      </c>
      <c r="J6314" s="1" t="n">
        <v>100520</v>
      </c>
      <c r="K6314" s="1" t="n">
        <v>507</v>
      </c>
      <c r="L6314" s="1" t="s">
        <v>2449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5" t="n">
        <v>46237</v>
      </c>
      <c r="C6315" s="1" t="n">
        <v>22</v>
      </c>
      <c r="D6315" s="1" t="s">
        <v>2436</v>
      </c>
      <c r="E6315" s="1" t="n">
        <v>42</v>
      </c>
      <c r="F6315" s="1" t="s">
        <v>80</v>
      </c>
      <c r="I6315" s="1" t="n">
        <v>4455</v>
      </c>
      <c r="J6315" s="1" t="n">
        <v>110455</v>
      </c>
      <c r="K6315" s="1" t="n">
        <v>53212</v>
      </c>
      <c r="L6315" s="1" t="s">
        <v>2450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5" t="n">
        <v>46237</v>
      </c>
      <c r="C6316" s="1" t="n">
        <v>22</v>
      </c>
      <c r="D6316" s="1" t="s">
        <v>2436</v>
      </c>
      <c r="E6316" s="1" t="n">
        <v>42</v>
      </c>
      <c r="F6316" s="1" t="s">
        <v>80</v>
      </c>
      <c r="I6316" s="1" t="n">
        <v>4455</v>
      </c>
      <c r="J6316" s="1" t="n">
        <v>110455</v>
      </c>
      <c r="K6316" s="1" t="n">
        <v>53212</v>
      </c>
      <c r="L6316" s="1" t="s">
        <v>2450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5" t="n">
        <v>46237</v>
      </c>
      <c r="C6317" s="1" t="n">
        <v>22</v>
      </c>
      <c r="D6317" s="1" t="s">
        <v>2436</v>
      </c>
      <c r="E6317" s="1" t="n">
        <v>42</v>
      </c>
      <c r="F6317" s="1" t="s">
        <v>80</v>
      </c>
      <c r="I6317" s="1" t="n">
        <v>4457</v>
      </c>
      <c r="J6317" s="1" t="n">
        <v>100000</v>
      </c>
      <c r="K6317" s="1" t="n">
        <v>1</v>
      </c>
      <c r="L6317" s="1" t="s">
        <v>2451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5" t="n">
        <v>46237</v>
      </c>
      <c r="C6318" s="1" t="n">
        <v>22</v>
      </c>
      <c r="D6318" s="1" t="s">
        <v>2436</v>
      </c>
      <c r="E6318" s="1" t="n">
        <v>42</v>
      </c>
      <c r="F6318" s="1" t="s">
        <v>80</v>
      </c>
      <c r="I6318" s="1" t="n">
        <v>4457</v>
      </c>
      <c r="J6318" s="1" t="n">
        <v>100001</v>
      </c>
      <c r="K6318" s="1" t="n">
        <v>2</v>
      </c>
      <c r="L6318" s="1" t="s">
        <v>2452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5" t="n">
        <v>46237</v>
      </c>
      <c r="C6319" s="1" t="n">
        <v>22</v>
      </c>
      <c r="D6319" s="1" t="s">
        <v>2436</v>
      </c>
      <c r="E6319" s="1" t="n">
        <v>42</v>
      </c>
      <c r="F6319" s="1" t="s">
        <v>80</v>
      </c>
      <c r="I6319" s="1" t="n">
        <v>4457</v>
      </c>
      <c r="J6319" s="1" t="n">
        <v>100002</v>
      </c>
      <c r="K6319" s="1" t="n">
        <v>3</v>
      </c>
      <c r="L6319" s="1" t="s">
        <v>2453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5" t="n">
        <v>46237</v>
      </c>
      <c r="C6320" s="1" t="n">
        <v>22</v>
      </c>
      <c r="D6320" s="1" t="s">
        <v>2436</v>
      </c>
      <c r="E6320" s="1" t="n">
        <v>42</v>
      </c>
      <c r="F6320" s="1" t="s">
        <v>80</v>
      </c>
      <c r="I6320" s="1" t="n">
        <v>4457</v>
      </c>
      <c r="J6320" s="1" t="n">
        <v>100003</v>
      </c>
      <c r="K6320" s="1" t="n">
        <v>4</v>
      </c>
      <c r="L6320" s="1" t="s">
        <v>2454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5" t="n">
        <v>46237</v>
      </c>
      <c r="C6321" s="1" t="n">
        <v>22</v>
      </c>
      <c r="D6321" s="1" t="s">
        <v>2436</v>
      </c>
      <c r="E6321" s="1" t="n">
        <v>42</v>
      </c>
      <c r="F6321" s="1" t="s">
        <v>80</v>
      </c>
      <c r="I6321" s="1" t="n">
        <v>4457</v>
      </c>
      <c r="J6321" s="1" t="n">
        <v>100006</v>
      </c>
      <c r="K6321" s="1" t="n">
        <v>7</v>
      </c>
      <c r="L6321" s="1" t="s">
        <v>2437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5" t="n">
        <v>46237</v>
      </c>
      <c r="C6322" s="1" t="n">
        <v>22</v>
      </c>
      <c r="D6322" s="1" t="s">
        <v>2436</v>
      </c>
      <c r="E6322" s="1" t="n">
        <v>42</v>
      </c>
      <c r="F6322" s="1" t="s">
        <v>80</v>
      </c>
      <c r="I6322" s="1" t="n">
        <v>4457</v>
      </c>
      <c r="J6322" s="1" t="n">
        <v>100007</v>
      </c>
      <c r="K6322" s="1" t="n">
        <v>8</v>
      </c>
      <c r="L6322" s="1" t="s">
        <v>2455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5" t="n">
        <v>46237</v>
      </c>
      <c r="C6323" s="1" t="n">
        <v>22</v>
      </c>
      <c r="D6323" s="1" t="s">
        <v>2436</v>
      </c>
      <c r="E6323" s="1" t="n">
        <v>42</v>
      </c>
      <c r="F6323" s="1" t="s">
        <v>80</v>
      </c>
      <c r="I6323" s="1" t="n">
        <v>4457</v>
      </c>
      <c r="J6323" s="1" t="n">
        <v>100008</v>
      </c>
      <c r="K6323" s="1" t="n">
        <v>9</v>
      </c>
      <c r="L6323" s="1" t="s">
        <v>2438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5" t="n">
        <v>46237</v>
      </c>
      <c r="C6324" s="1" t="n">
        <v>22</v>
      </c>
      <c r="D6324" s="1" t="s">
        <v>2436</v>
      </c>
      <c r="E6324" s="1" t="n">
        <v>42</v>
      </c>
      <c r="F6324" s="1" t="s">
        <v>80</v>
      </c>
      <c r="I6324" s="1" t="n">
        <v>4457</v>
      </c>
      <c r="J6324" s="1" t="n">
        <v>100010</v>
      </c>
      <c r="K6324" s="1" t="n">
        <v>11</v>
      </c>
      <c r="L6324" s="1" t="s">
        <v>2439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5" t="n">
        <v>46237</v>
      </c>
      <c r="C6325" s="1" t="n">
        <v>22</v>
      </c>
      <c r="D6325" s="1" t="s">
        <v>2436</v>
      </c>
      <c r="E6325" s="1" t="n">
        <v>42</v>
      </c>
      <c r="F6325" s="1" t="s">
        <v>80</v>
      </c>
      <c r="I6325" s="1" t="n">
        <v>4457</v>
      </c>
      <c r="J6325" s="1" t="n">
        <v>100011</v>
      </c>
      <c r="K6325" s="1" t="n">
        <v>12</v>
      </c>
      <c r="L6325" s="1" t="s">
        <v>2440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5" t="n">
        <v>46237</v>
      </c>
      <c r="C6326" s="1" t="n">
        <v>22</v>
      </c>
      <c r="D6326" s="1" t="s">
        <v>2436</v>
      </c>
      <c r="E6326" s="1" t="n">
        <v>42</v>
      </c>
      <c r="F6326" s="1" t="s">
        <v>80</v>
      </c>
      <c r="I6326" s="1" t="n">
        <v>4457</v>
      </c>
      <c r="J6326" s="1" t="n">
        <v>100012</v>
      </c>
      <c r="K6326" s="1" t="n">
        <v>13</v>
      </c>
      <c r="L6326" s="1" t="s">
        <v>2441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5" t="n">
        <v>46237</v>
      </c>
      <c r="C6327" s="1" t="n">
        <v>22</v>
      </c>
      <c r="D6327" s="1" t="s">
        <v>2436</v>
      </c>
      <c r="E6327" s="1" t="n">
        <v>42</v>
      </c>
      <c r="F6327" s="1" t="s">
        <v>80</v>
      </c>
      <c r="I6327" s="1" t="n">
        <v>4457</v>
      </c>
      <c r="J6327" s="1" t="n">
        <v>100013</v>
      </c>
      <c r="K6327" s="1" t="n">
        <v>14</v>
      </c>
      <c r="L6327" s="1" t="s">
        <v>2442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5" t="n">
        <v>46237</v>
      </c>
      <c r="C6328" s="1" t="n">
        <v>22</v>
      </c>
      <c r="D6328" s="1" t="s">
        <v>2436</v>
      </c>
      <c r="E6328" s="1" t="n">
        <v>42</v>
      </c>
      <c r="F6328" s="1" t="s">
        <v>80</v>
      </c>
      <c r="I6328" s="1" t="n">
        <v>4457</v>
      </c>
      <c r="J6328" s="1" t="n">
        <v>100014</v>
      </c>
      <c r="K6328" s="1" t="n">
        <v>15</v>
      </c>
      <c r="L6328" s="1" t="s">
        <v>2443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5" t="n">
        <v>46237</v>
      </c>
      <c r="C6329" s="1" t="n">
        <v>22</v>
      </c>
      <c r="D6329" s="1" t="s">
        <v>2436</v>
      </c>
      <c r="E6329" s="1" t="n">
        <v>42</v>
      </c>
      <c r="F6329" s="1" t="s">
        <v>80</v>
      </c>
      <c r="I6329" s="1" t="n">
        <v>4457</v>
      </c>
      <c r="J6329" s="1" t="n">
        <v>100015</v>
      </c>
      <c r="K6329" s="1" t="n">
        <v>16</v>
      </c>
      <c r="L6329" s="1" t="s">
        <v>2444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5" t="n">
        <v>46237</v>
      </c>
      <c r="C6330" s="1" t="n">
        <v>22</v>
      </c>
      <c r="D6330" s="1" t="s">
        <v>2436</v>
      </c>
      <c r="E6330" s="1" t="n">
        <v>42</v>
      </c>
      <c r="F6330" s="1" t="s">
        <v>80</v>
      </c>
      <c r="I6330" s="1" t="n">
        <v>4457</v>
      </c>
      <c r="J6330" s="1" t="n">
        <v>100016</v>
      </c>
      <c r="K6330" s="1" t="n">
        <v>17</v>
      </c>
      <c r="L6330" s="1" t="s">
        <v>2445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5" t="n">
        <v>46237</v>
      </c>
      <c r="C6331" s="1" t="n">
        <v>22</v>
      </c>
      <c r="D6331" s="1" t="s">
        <v>2436</v>
      </c>
      <c r="E6331" s="1" t="n">
        <v>42</v>
      </c>
      <c r="F6331" s="1" t="s">
        <v>80</v>
      </c>
      <c r="I6331" s="1" t="n">
        <v>4457</v>
      </c>
      <c r="J6331" s="1" t="n">
        <v>100017</v>
      </c>
      <c r="K6331" s="1" t="n">
        <v>18</v>
      </c>
      <c r="L6331" s="1" t="s">
        <v>2446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5" t="n">
        <v>46237</v>
      </c>
      <c r="C6332" s="1" t="n">
        <v>22</v>
      </c>
      <c r="D6332" s="1" t="s">
        <v>2436</v>
      </c>
      <c r="E6332" s="1" t="n">
        <v>42</v>
      </c>
      <c r="F6332" s="1" t="s">
        <v>80</v>
      </c>
      <c r="I6332" s="1" t="n">
        <v>4457</v>
      </c>
      <c r="J6332" s="1" t="n">
        <v>100053</v>
      </c>
      <c r="K6332" s="1" t="n">
        <v>54</v>
      </c>
      <c r="L6332" s="1" t="s">
        <v>2447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5" t="n">
        <v>46237</v>
      </c>
      <c r="C6333" s="1" t="n">
        <v>22</v>
      </c>
      <c r="D6333" s="1" t="s">
        <v>2436</v>
      </c>
      <c r="E6333" s="1" t="n">
        <v>42</v>
      </c>
      <c r="F6333" s="1" t="s">
        <v>80</v>
      </c>
      <c r="I6333" s="1" t="n">
        <v>4457</v>
      </c>
      <c r="J6333" s="1" t="n">
        <v>100638</v>
      </c>
      <c r="K6333" s="1" t="n">
        <v>508</v>
      </c>
      <c r="L6333" s="1" t="s">
        <v>2448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5" t="n">
        <v>46237</v>
      </c>
      <c r="C6334" s="1" t="n">
        <v>22</v>
      </c>
      <c r="D6334" s="1" t="s">
        <v>2436</v>
      </c>
      <c r="E6334" s="1" t="n">
        <v>42</v>
      </c>
      <c r="F6334" s="1" t="s">
        <v>80</v>
      </c>
      <c r="I6334" s="1" t="n">
        <v>4457</v>
      </c>
      <c r="J6334" s="1" t="n">
        <v>100638</v>
      </c>
      <c r="K6334" s="1" t="n">
        <v>508</v>
      </c>
      <c r="L6334" s="1" t="s">
        <v>2448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5" t="n">
        <v>46237</v>
      </c>
      <c r="C6335" s="1" t="n">
        <v>22</v>
      </c>
      <c r="D6335" s="1" t="s">
        <v>2436</v>
      </c>
      <c r="E6335" s="1" t="n">
        <v>42</v>
      </c>
      <c r="F6335" s="1" t="s">
        <v>80</v>
      </c>
      <c r="I6335" s="1" t="n">
        <v>4457</v>
      </c>
      <c r="J6335" s="1" t="n">
        <v>100520</v>
      </c>
      <c r="K6335" s="1" t="n">
        <v>507</v>
      </c>
      <c r="L6335" s="1" t="s">
        <v>2449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5" t="n">
        <v>46237</v>
      </c>
      <c r="C6336" s="1" t="n">
        <v>22</v>
      </c>
      <c r="D6336" s="1" t="s">
        <v>2436</v>
      </c>
      <c r="E6336" s="1" t="n">
        <v>42</v>
      </c>
      <c r="F6336" s="1" t="s">
        <v>80</v>
      </c>
      <c r="I6336" s="1" t="n">
        <v>4457</v>
      </c>
      <c r="J6336" s="1" t="n">
        <v>100520</v>
      </c>
      <c r="K6336" s="1" t="n">
        <v>507</v>
      </c>
      <c r="L6336" s="1" t="s">
        <v>2449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5" t="n">
        <v>46237</v>
      </c>
      <c r="C6337" s="1" t="n">
        <v>22</v>
      </c>
      <c r="D6337" s="1" t="s">
        <v>2436</v>
      </c>
      <c r="E6337" s="1" t="n">
        <v>42</v>
      </c>
      <c r="F6337" s="1" t="s">
        <v>80</v>
      </c>
      <c r="I6337" s="1" t="n">
        <v>4457</v>
      </c>
      <c r="J6337" s="1" t="n">
        <v>110455</v>
      </c>
      <c r="K6337" s="1" t="n">
        <v>53212</v>
      </c>
      <c r="L6337" s="1" t="s">
        <v>2450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5" t="n">
        <v>46237</v>
      </c>
      <c r="C6338" s="1" t="n">
        <v>22</v>
      </c>
      <c r="D6338" s="1" t="s">
        <v>2436</v>
      </c>
      <c r="E6338" s="1" t="n">
        <v>42</v>
      </c>
      <c r="F6338" s="1" t="s">
        <v>80</v>
      </c>
      <c r="I6338" s="1" t="n">
        <v>4457</v>
      </c>
      <c r="J6338" s="1" t="n">
        <v>110455</v>
      </c>
      <c r="K6338" s="1" t="n">
        <v>53212</v>
      </c>
      <c r="L6338" s="1" t="s">
        <v>2450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5" t="n">
        <v>46237</v>
      </c>
      <c r="C6339" s="1" t="n">
        <v>100</v>
      </c>
      <c r="D6339" s="1" t="s">
        <v>2457</v>
      </c>
      <c r="E6339" s="1" t="n">
        <v>42</v>
      </c>
      <c r="F6339" s="1" t="s">
        <v>80</v>
      </c>
      <c r="I6339" s="1" t="n">
        <v>1493588</v>
      </c>
      <c r="J6339" s="1" t="n">
        <v>100006</v>
      </c>
      <c r="K6339" s="1" t="n">
        <v>7</v>
      </c>
      <c r="L6339" s="1" t="s">
        <v>2437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5" t="n">
        <v>46237</v>
      </c>
      <c r="C6340" s="1" t="n">
        <v>100</v>
      </c>
      <c r="D6340" s="1" t="s">
        <v>2457</v>
      </c>
      <c r="E6340" s="1" t="n">
        <v>42</v>
      </c>
      <c r="F6340" s="1" t="s">
        <v>80</v>
      </c>
      <c r="I6340" s="1" t="n">
        <v>1493588</v>
      </c>
      <c r="J6340" s="1" t="n">
        <v>100008</v>
      </c>
      <c r="K6340" s="1" t="n">
        <v>9</v>
      </c>
      <c r="L6340" s="1" t="s">
        <v>2438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5" t="n">
        <v>46237</v>
      </c>
      <c r="C6341" s="1" t="n">
        <v>100</v>
      </c>
      <c r="D6341" s="1" t="s">
        <v>2457</v>
      </c>
      <c r="E6341" s="1" t="n">
        <v>42</v>
      </c>
      <c r="F6341" s="1" t="s">
        <v>80</v>
      </c>
      <c r="I6341" s="1" t="n">
        <v>1493588</v>
      </c>
      <c r="J6341" s="1" t="n">
        <v>100010</v>
      </c>
      <c r="K6341" s="1" t="n">
        <v>11</v>
      </c>
      <c r="L6341" s="1" t="s">
        <v>2439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5" t="n">
        <v>46237</v>
      </c>
      <c r="C6342" s="1" t="n">
        <v>100</v>
      </c>
      <c r="D6342" s="1" t="s">
        <v>2457</v>
      </c>
      <c r="E6342" s="1" t="n">
        <v>42</v>
      </c>
      <c r="F6342" s="1" t="s">
        <v>80</v>
      </c>
      <c r="I6342" s="1" t="n">
        <v>1493588</v>
      </c>
      <c r="J6342" s="1" t="n">
        <v>100011</v>
      </c>
      <c r="K6342" s="1" t="n">
        <v>12</v>
      </c>
      <c r="L6342" s="1" t="s">
        <v>2440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5" t="n">
        <v>46237</v>
      </c>
      <c r="C6343" s="1" t="n">
        <v>100</v>
      </c>
      <c r="D6343" s="1" t="s">
        <v>2457</v>
      </c>
      <c r="E6343" s="1" t="n">
        <v>42</v>
      </c>
      <c r="F6343" s="1" t="s">
        <v>80</v>
      </c>
      <c r="I6343" s="1" t="n">
        <v>1493588</v>
      </c>
      <c r="J6343" s="1" t="n">
        <v>100012</v>
      </c>
      <c r="K6343" s="1" t="n">
        <v>13</v>
      </c>
      <c r="L6343" s="1" t="s">
        <v>2441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5" t="n">
        <v>46237</v>
      </c>
      <c r="C6344" s="1" t="n">
        <v>100</v>
      </c>
      <c r="D6344" s="1" t="s">
        <v>2457</v>
      </c>
      <c r="E6344" s="1" t="n">
        <v>42</v>
      </c>
      <c r="F6344" s="1" t="s">
        <v>80</v>
      </c>
      <c r="I6344" s="1" t="n">
        <v>1493588</v>
      </c>
      <c r="J6344" s="1" t="n">
        <v>100013</v>
      </c>
      <c r="K6344" s="1" t="n">
        <v>14</v>
      </c>
      <c r="L6344" s="1" t="s">
        <v>2442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5" t="n">
        <v>46237</v>
      </c>
      <c r="C6345" s="1" t="n">
        <v>100</v>
      </c>
      <c r="D6345" s="1" t="s">
        <v>2457</v>
      </c>
      <c r="E6345" s="1" t="n">
        <v>42</v>
      </c>
      <c r="F6345" s="1" t="s">
        <v>80</v>
      </c>
      <c r="I6345" s="1" t="n">
        <v>1493588</v>
      </c>
      <c r="J6345" s="1" t="n">
        <v>100014</v>
      </c>
      <c r="K6345" s="1" t="n">
        <v>15</v>
      </c>
      <c r="L6345" s="1" t="s">
        <v>2443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5" t="n">
        <v>46237</v>
      </c>
      <c r="C6346" s="1" t="n">
        <v>100</v>
      </c>
      <c r="D6346" s="1" t="s">
        <v>2457</v>
      </c>
      <c r="E6346" s="1" t="n">
        <v>42</v>
      </c>
      <c r="F6346" s="1" t="s">
        <v>80</v>
      </c>
      <c r="I6346" s="1" t="n">
        <v>1493588</v>
      </c>
      <c r="J6346" s="1" t="n">
        <v>100015</v>
      </c>
      <c r="K6346" s="1" t="n">
        <v>16</v>
      </c>
      <c r="L6346" s="1" t="s">
        <v>2444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5" t="n">
        <v>46237</v>
      </c>
      <c r="C6347" s="1" t="n">
        <v>100</v>
      </c>
      <c r="D6347" s="1" t="s">
        <v>2457</v>
      </c>
      <c r="E6347" s="1" t="n">
        <v>42</v>
      </c>
      <c r="F6347" s="1" t="s">
        <v>80</v>
      </c>
      <c r="I6347" s="1" t="n">
        <v>1493588</v>
      </c>
      <c r="J6347" s="1" t="n">
        <v>100016</v>
      </c>
      <c r="K6347" s="1" t="n">
        <v>17</v>
      </c>
      <c r="L6347" s="1" t="s">
        <v>2445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5" t="n">
        <v>46237</v>
      </c>
      <c r="C6348" s="1" t="n">
        <v>100</v>
      </c>
      <c r="D6348" s="1" t="s">
        <v>2457</v>
      </c>
      <c r="E6348" s="1" t="n">
        <v>42</v>
      </c>
      <c r="F6348" s="1" t="s">
        <v>80</v>
      </c>
      <c r="I6348" s="1" t="n">
        <v>1493588</v>
      </c>
      <c r="J6348" s="1" t="n">
        <v>100017</v>
      </c>
      <c r="K6348" s="1" t="n">
        <v>18</v>
      </c>
      <c r="L6348" s="1" t="s">
        <v>2446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5" t="n">
        <v>46237</v>
      </c>
      <c r="C6349" s="1" t="n">
        <v>100</v>
      </c>
      <c r="D6349" s="1" t="s">
        <v>2457</v>
      </c>
      <c r="E6349" s="1" t="n">
        <v>42</v>
      </c>
      <c r="F6349" s="1" t="s">
        <v>80</v>
      </c>
      <c r="I6349" s="1" t="n">
        <v>1493588</v>
      </c>
      <c r="J6349" s="1" t="n">
        <v>100053</v>
      </c>
      <c r="K6349" s="1" t="n">
        <v>54</v>
      </c>
      <c r="L6349" s="1" t="s">
        <v>2447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5" t="n">
        <v>46237</v>
      </c>
      <c r="C6350" s="1" t="n">
        <v>100</v>
      </c>
      <c r="D6350" s="1" t="s">
        <v>2457</v>
      </c>
      <c r="E6350" s="1" t="n">
        <v>42</v>
      </c>
      <c r="F6350" s="1" t="s">
        <v>80</v>
      </c>
      <c r="I6350" s="1" t="n">
        <v>1493588</v>
      </c>
      <c r="J6350" s="1" t="n">
        <v>100638</v>
      </c>
      <c r="K6350" s="1" t="n">
        <v>508</v>
      </c>
      <c r="L6350" s="1" t="s">
        <v>2448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5" t="n">
        <v>46237</v>
      </c>
      <c r="C6351" s="1" t="n">
        <v>100</v>
      </c>
      <c r="D6351" s="1" t="s">
        <v>2457</v>
      </c>
      <c r="E6351" s="1" t="n">
        <v>42</v>
      </c>
      <c r="F6351" s="1" t="s">
        <v>80</v>
      </c>
      <c r="I6351" s="1" t="n">
        <v>1493588</v>
      </c>
      <c r="J6351" s="1" t="n">
        <v>100520</v>
      </c>
      <c r="K6351" s="1" t="n">
        <v>507</v>
      </c>
      <c r="L6351" s="1" t="s">
        <v>2449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5" t="n">
        <v>46237</v>
      </c>
      <c r="C6352" s="1" t="n">
        <v>100</v>
      </c>
      <c r="D6352" s="1" t="s">
        <v>2457</v>
      </c>
      <c r="E6352" s="1" t="n">
        <v>42</v>
      </c>
      <c r="F6352" s="1" t="s">
        <v>80</v>
      </c>
      <c r="I6352" s="1" t="n">
        <v>1493588</v>
      </c>
      <c r="J6352" s="1" t="n">
        <v>110455</v>
      </c>
      <c r="K6352" s="1" t="n">
        <v>53212</v>
      </c>
      <c r="L6352" s="1" t="s">
        <v>2450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5" t="n">
        <v>46237</v>
      </c>
      <c r="C6353" s="1" t="n">
        <v>100</v>
      </c>
      <c r="D6353" s="1" t="s">
        <v>2457</v>
      </c>
      <c r="E6353" s="1" t="n">
        <v>42</v>
      </c>
      <c r="F6353" s="1" t="s">
        <v>80</v>
      </c>
      <c r="I6353" s="1" t="n">
        <v>1493592</v>
      </c>
      <c r="J6353" s="1" t="n">
        <v>100006</v>
      </c>
      <c r="K6353" s="1" t="n">
        <v>7</v>
      </c>
      <c r="L6353" s="1" t="s">
        <v>2437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5" t="n">
        <v>46237</v>
      </c>
      <c r="C6354" s="1" t="n">
        <v>100</v>
      </c>
      <c r="D6354" s="1" t="s">
        <v>2457</v>
      </c>
      <c r="E6354" s="1" t="n">
        <v>42</v>
      </c>
      <c r="F6354" s="1" t="s">
        <v>80</v>
      </c>
      <c r="I6354" s="1" t="n">
        <v>1493592</v>
      </c>
      <c r="J6354" s="1" t="n">
        <v>100008</v>
      </c>
      <c r="K6354" s="1" t="n">
        <v>9</v>
      </c>
      <c r="L6354" s="1" t="s">
        <v>2438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5" t="n">
        <v>46237</v>
      </c>
      <c r="C6355" s="1" t="n">
        <v>100</v>
      </c>
      <c r="D6355" s="1" t="s">
        <v>2457</v>
      </c>
      <c r="E6355" s="1" t="n">
        <v>42</v>
      </c>
      <c r="F6355" s="1" t="s">
        <v>80</v>
      </c>
      <c r="I6355" s="1" t="n">
        <v>1493592</v>
      </c>
      <c r="J6355" s="1" t="n">
        <v>100010</v>
      </c>
      <c r="K6355" s="1" t="n">
        <v>11</v>
      </c>
      <c r="L6355" s="1" t="s">
        <v>2439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5" t="n">
        <v>46237</v>
      </c>
      <c r="C6356" s="1" t="n">
        <v>100</v>
      </c>
      <c r="D6356" s="1" t="s">
        <v>2457</v>
      </c>
      <c r="E6356" s="1" t="n">
        <v>42</v>
      </c>
      <c r="F6356" s="1" t="s">
        <v>80</v>
      </c>
      <c r="I6356" s="1" t="n">
        <v>1493592</v>
      </c>
      <c r="J6356" s="1" t="n">
        <v>100011</v>
      </c>
      <c r="K6356" s="1" t="n">
        <v>12</v>
      </c>
      <c r="L6356" s="1" t="s">
        <v>2440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5" t="n">
        <v>46237</v>
      </c>
      <c r="C6357" s="1" t="n">
        <v>100</v>
      </c>
      <c r="D6357" s="1" t="s">
        <v>2457</v>
      </c>
      <c r="E6357" s="1" t="n">
        <v>42</v>
      </c>
      <c r="F6357" s="1" t="s">
        <v>80</v>
      </c>
      <c r="I6357" s="1" t="n">
        <v>1493592</v>
      </c>
      <c r="J6357" s="1" t="n">
        <v>100012</v>
      </c>
      <c r="K6357" s="1" t="n">
        <v>13</v>
      </c>
      <c r="L6357" s="1" t="s">
        <v>2441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5" t="n">
        <v>46237</v>
      </c>
      <c r="C6358" s="1" t="n">
        <v>100</v>
      </c>
      <c r="D6358" s="1" t="s">
        <v>2457</v>
      </c>
      <c r="E6358" s="1" t="n">
        <v>42</v>
      </c>
      <c r="F6358" s="1" t="s">
        <v>80</v>
      </c>
      <c r="I6358" s="1" t="n">
        <v>1493592</v>
      </c>
      <c r="J6358" s="1" t="n">
        <v>100013</v>
      </c>
      <c r="K6358" s="1" t="n">
        <v>14</v>
      </c>
      <c r="L6358" s="1" t="s">
        <v>2442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5" t="n">
        <v>46237</v>
      </c>
      <c r="C6359" s="1" t="n">
        <v>100</v>
      </c>
      <c r="D6359" s="1" t="s">
        <v>2457</v>
      </c>
      <c r="E6359" s="1" t="n">
        <v>42</v>
      </c>
      <c r="F6359" s="1" t="s">
        <v>80</v>
      </c>
      <c r="I6359" s="1" t="n">
        <v>1493592</v>
      </c>
      <c r="J6359" s="1" t="n">
        <v>100014</v>
      </c>
      <c r="K6359" s="1" t="n">
        <v>15</v>
      </c>
      <c r="L6359" s="1" t="s">
        <v>2443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5" t="n">
        <v>46237</v>
      </c>
      <c r="C6360" s="1" t="n">
        <v>100</v>
      </c>
      <c r="D6360" s="1" t="s">
        <v>2457</v>
      </c>
      <c r="E6360" s="1" t="n">
        <v>42</v>
      </c>
      <c r="F6360" s="1" t="s">
        <v>80</v>
      </c>
      <c r="I6360" s="1" t="n">
        <v>1493592</v>
      </c>
      <c r="J6360" s="1" t="n">
        <v>100015</v>
      </c>
      <c r="K6360" s="1" t="n">
        <v>16</v>
      </c>
      <c r="L6360" s="1" t="s">
        <v>2444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5" t="n">
        <v>46237</v>
      </c>
      <c r="C6361" s="1" t="n">
        <v>100</v>
      </c>
      <c r="D6361" s="1" t="s">
        <v>2457</v>
      </c>
      <c r="E6361" s="1" t="n">
        <v>42</v>
      </c>
      <c r="F6361" s="1" t="s">
        <v>80</v>
      </c>
      <c r="I6361" s="1" t="n">
        <v>1493592</v>
      </c>
      <c r="J6361" s="1" t="n">
        <v>100016</v>
      </c>
      <c r="K6361" s="1" t="n">
        <v>17</v>
      </c>
      <c r="L6361" s="1" t="s">
        <v>2445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5" t="n">
        <v>46237</v>
      </c>
      <c r="C6362" s="1" t="n">
        <v>100</v>
      </c>
      <c r="D6362" s="1" t="s">
        <v>2457</v>
      </c>
      <c r="E6362" s="1" t="n">
        <v>42</v>
      </c>
      <c r="F6362" s="1" t="s">
        <v>80</v>
      </c>
      <c r="I6362" s="1" t="n">
        <v>1493592</v>
      </c>
      <c r="J6362" s="1" t="n">
        <v>100017</v>
      </c>
      <c r="K6362" s="1" t="n">
        <v>18</v>
      </c>
      <c r="L6362" s="1" t="s">
        <v>2446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5" t="n">
        <v>46237</v>
      </c>
      <c r="C6363" s="1" t="n">
        <v>100</v>
      </c>
      <c r="D6363" s="1" t="s">
        <v>2457</v>
      </c>
      <c r="E6363" s="1" t="n">
        <v>42</v>
      </c>
      <c r="F6363" s="1" t="s">
        <v>80</v>
      </c>
      <c r="I6363" s="1" t="n">
        <v>1493592</v>
      </c>
      <c r="J6363" s="1" t="n">
        <v>100053</v>
      </c>
      <c r="K6363" s="1" t="n">
        <v>54</v>
      </c>
      <c r="L6363" s="1" t="s">
        <v>2447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5" t="n">
        <v>46237</v>
      </c>
      <c r="C6364" s="1" t="n">
        <v>100</v>
      </c>
      <c r="D6364" s="1" t="s">
        <v>2457</v>
      </c>
      <c r="E6364" s="1" t="n">
        <v>42</v>
      </c>
      <c r="F6364" s="1" t="s">
        <v>80</v>
      </c>
      <c r="I6364" s="1" t="n">
        <v>1493592</v>
      </c>
      <c r="J6364" s="1" t="n">
        <v>100638</v>
      </c>
      <c r="K6364" s="1" t="n">
        <v>508</v>
      </c>
      <c r="L6364" s="1" t="s">
        <v>2448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5" t="n">
        <v>46237</v>
      </c>
      <c r="C6365" s="1" t="n">
        <v>100</v>
      </c>
      <c r="D6365" s="1" t="s">
        <v>2457</v>
      </c>
      <c r="E6365" s="1" t="n">
        <v>42</v>
      </c>
      <c r="F6365" s="1" t="s">
        <v>80</v>
      </c>
      <c r="I6365" s="1" t="n">
        <v>1493592</v>
      </c>
      <c r="J6365" s="1" t="n">
        <v>100520</v>
      </c>
      <c r="K6365" s="1" t="n">
        <v>507</v>
      </c>
      <c r="L6365" s="1" t="s">
        <v>2449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5" t="n">
        <v>46237</v>
      </c>
      <c r="C6366" s="1" t="n">
        <v>100</v>
      </c>
      <c r="D6366" s="1" t="s">
        <v>2457</v>
      </c>
      <c r="E6366" s="1" t="n">
        <v>42</v>
      </c>
      <c r="F6366" s="1" t="s">
        <v>80</v>
      </c>
      <c r="I6366" s="1" t="n">
        <v>1493592</v>
      </c>
      <c r="J6366" s="1" t="n">
        <v>110455</v>
      </c>
      <c r="K6366" s="1" t="n">
        <v>53212</v>
      </c>
      <c r="L6366" s="1" t="s">
        <v>2450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5" t="n">
        <v>46237</v>
      </c>
      <c r="C6367" s="1" t="n">
        <v>100</v>
      </c>
      <c r="D6367" s="1" t="s">
        <v>2457</v>
      </c>
      <c r="E6367" s="1" t="n">
        <v>42</v>
      </c>
      <c r="F6367" s="1" t="s">
        <v>80</v>
      </c>
      <c r="I6367" s="1" t="n">
        <v>1493598</v>
      </c>
      <c r="J6367" s="1" t="n">
        <v>100000</v>
      </c>
      <c r="K6367" s="1" t="n">
        <v>1</v>
      </c>
      <c r="L6367" s="1" t="s">
        <v>2451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5" t="n">
        <v>46237</v>
      </c>
      <c r="C6368" s="1" t="n">
        <v>100</v>
      </c>
      <c r="D6368" s="1" t="s">
        <v>2457</v>
      </c>
      <c r="E6368" s="1" t="n">
        <v>42</v>
      </c>
      <c r="F6368" s="1" t="s">
        <v>80</v>
      </c>
      <c r="I6368" s="1" t="n">
        <v>1493598</v>
      </c>
      <c r="J6368" s="1" t="n">
        <v>100006</v>
      </c>
      <c r="K6368" s="1" t="n">
        <v>7</v>
      </c>
      <c r="L6368" s="1" t="s">
        <v>2437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5" t="n">
        <v>46237</v>
      </c>
      <c r="C6369" s="1" t="n">
        <v>100</v>
      </c>
      <c r="D6369" s="1" t="s">
        <v>2457</v>
      </c>
      <c r="E6369" s="1" t="n">
        <v>42</v>
      </c>
      <c r="F6369" s="1" t="s">
        <v>80</v>
      </c>
      <c r="I6369" s="1" t="n">
        <v>1493598</v>
      </c>
      <c r="J6369" s="1" t="n">
        <v>100008</v>
      </c>
      <c r="K6369" s="1" t="n">
        <v>9</v>
      </c>
      <c r="L6369" s="1" t="s">
        <v>2438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5" t="n">
        <v>46237</v>
      </c>
      <c r="C6370" s="1" t="n">
        <v>100</v>
      </c>
      <c r="D6370" s="1" t="s">
        <v>2457</v>
      </c>
      <c r="E6370" s="1" t="n">
        <v>42</v>
      </c>
      <c r="F6370" s="1" t="s">
        <v>80</v>
      </c>
      <c r="I6370" s="1" t="n">
        <v>1493598</v>
      </c>
      <c r="J6370" s="1" t="n">
        <v>100010</v>
      </c>
      <c r="K6370" s="1" t="n">
        <v>11</v>
      </c>
      <c r="L6370" s="1" t="s">
        <v>2439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5" t="n">
        <v>46237</v>
      </c>
      <c r="C6371" s="1" t="n">
        <v>100</v>
      </c>
      <c r="D6371" s="1" t="s">
        <v>2457</v>
      </c>
      <c r="E6371" s="1" t="n">
        <v>42</v>
      </c>
      <c r="F6371" s="1" t="s">
        <v>80</v>
      </c>
      <c r="I6371" s="1" t="n">
        <v>1493598</v>
      </c>
      <c r="J6371" s="1" t="n">
        <v>100011</v>
      </c>
      <c r="K6371" s="1" t="n">
        <v>12</v>
      </c>
      <c r="L6371" s="1" t="s">
        <v>2440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5" t="n">
        <v>46237</v>
      </c>
      <c r="C6372" s="1" t="n">
        <v>100</v>
      </c>
      <c r="D6372" s="1" t="s">
        <v>2457</v>
      </c>
      <c r="E6372" s="1" t="n">
        <v>42</v>
      </c>
      <c r="F6372" s="1" t="s">
        <v>80</v>
      </c>
      <c r="I6372" s="1" t="n">
        <v>1493598</v>
      </c>
      <c r="J6372" s="1" t="n">
        <v>100012</v>
      </c>
      <c r="K6372" s="1" t="n">
        <v>13</v>
      </c>
      <c r="L6372" s="1" t="s">
        <v>2441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5" t="n">
        <v>46237</v>
      </c>
      <c r="C6373" s="1" t="n">
        <v>100</v>
      </c>
      <c r="D6373" s="1" t="s">
        <v>2457</v>
      </c>
      <c r="E6373" s="1" t="n">
        <v>42</v>
      </c>
      <c r="F6373" s="1" t="s">
        <v>80</v>
      </c>
      <c r="I6373" s="1" t="n">
        <v>1493598</v>
      </c>
      <c r="J6373" s="1" t="n">
        <v>100013</v>
      </c>
      <c r="K6373" s="1" t="n">
        <v>14</v>
      </c>
      <c r="L6373" s="1" t="s">
        <v>2442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5" t="n">
        <v>46237</v>
      </c>
      <c r="C6374" s="1" t="n">
        <v>100</v>
      </c>
      <c r="D6374" s="1" t="s">
        <v>2457</v>
      </c>
      <c r="E6374" s="1" t="n">
        <v>42</v>
      </c>
      <c r="F6374" s="1" t="s">
        <v>80</v>
      </c>
      <c r="I6374" s="1" t="n">
        <v>1493598</v>
      </c>
      <c r="J6374" s="1" t="n">
        <v>100014</v>
      </c>
      <c r="K6374" s="1" t="n">
        <v>15</v>
      </c>
      <c r="L6374" s="1" t="s">
        <v>2443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5" t="n">
        <v>46237</v>
      </c>
      <c r="C6375" s="1" t="n">
        <v>100</v>
      </c>
      <c r="D6375" s="1" t="s">
        <v>2457</v>
      </c>
      <c r="E6375" s="1" t="n">
        <v>42</v>
      </c>
      <c r="F6375" s="1" t="s">
        <v>80</v>
      </c>
      <c r="I6375" s="1" t="n">
        <v>1493598</v>
      </c>
      <c r="J6375" s="1" t="n">
        <v>100015</v>
      </c>
      <c r="K6375" s="1" t="n">
        <v>16</v>
      </c>
      <c r="L6375" s="1" t="s">
        <v>2444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5" t="n">
        <v>46237</v>
      </c>
      <c r="C6376" s="1" t="n">
        <v>100</v>
      </c>
      <c r="D6376" s="1" t="s">
        <v>2457</v>
      </c>
      <c r="E6376" s="1" t="n">
        <v>42</v>
      </c>
      <c r="F6376" s="1" t="s">
        <v>80</v>
      </c>
      <c r="I6376" s="1" t="n">
        <v>1493598</v>
      </c>
      <c r="J6376" s="1" t="n">
        <v>100016</v>
      </c>
      <c r="K6376" s="1" t="n">
        <v>17</v>
      </c>
      <c r="L6376" s="1" t="s">
        <v>2445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5" t="n">
        <v>46237</v>
      </c>
      <c r="C6377" s="1" t="n">
        <v>100</v>
      </c>
      <c r="D6377" s="1" t="s">
        <v>2457</v>
      </c>
      <c r="E6377" s="1" t="n">
        <v>42</v>
      </c>
      <c r="F6377" s="1" t="s">
        <v>80</v>
      </c>
      <c r="I6377" s="1" t="n">
        <v>1493598</v>
      </c>
      <c r="J6377" s="1" t="n">
        <v>100017</v>
      </c>
      <c r="K6377" s="1" t="n">
        <v>18</v>
      </c>
      <c r="L6377" s="1" t="s">
        <v>2446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5" t="n">
        <v>46237</v>
      </c>
      <c r="C6378" s="1" t="n">
        <v>100</v>
      </c>
      <c r="D6378" s="1" t="s">
        <v>2457</v>
      </c>
      <c r="E6378" s="1" t="n">
        <v>42</v>
      </c>
      <c r="F6378" s="1" t="s">
        <v>80</v>
      </c>
      <c r="I6378" s="1" t="n">
        <v>1493598</v>
      </c>
      <c r="J6378" s="1" t="n">
        <v>100019</v>
      </c>
      <c r="K6378" s="1" t="n">
        <v>20</v>
      </c>
      <c r="L6378" s="1" t="s">
        <v>4136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5" t="n">
        <v>46237</v>
      </c>
      <c r="C6379" s="1" t="n">
        <v>100</v>
      </c>
      <c r="D6379" s="1" t="s">
        <v>2457</v>
      </c>
      <c r="E6379" s="1" t="n">
        <v>42</v>
      </c>
      <c r="F6379" s="1" t="s">
        <v>80</v>
      </c>
      <c r="I6379" s="1" t="n">
        <v>1493598</v>
      </c>
      <c r="J6379" s="1" t="n">
        <v>100053</v>
      </c>
      <c r="K6379" s="1" t="n">
        <v>54</v>
      </c>
      <c r="L6379" s="1" t="s">
        <v>2447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5" t="n">
        <v>46237</v>
      </c>
      <c r="C6380" s="1" t="n">
        <v>100</v>
      </c>
      <c r="D6380" s="1" t="s">
        <v>2457</v>
      </c>
      <c r="E6380" s="1" t="n">
        <v>42</v>
      </c>
      <c r="F6380" s="1" t="s">
        <v>80</v>
      </c>
      <c r="I6380" s="1" t="n">
        <v>1493598</v>
      </c>
      <c r="J6380" s="1" t="n">
        <v>100638</v>
      </c>
      <c r="K6380" s="1" t="n">
        <v>508</v>
      </c>
      <c r="L6380" s="1" t="s">
        <v>2448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5" t="n">
        <v>46237</v>
      </c>
      <c r="C6381" s="1" t="n">
        <v>100</v>
      </c>
      <c r="D6381" s="1" t="s">
        <v>2457</v>
      </c>
      <c r="E6381" s="1" t="n">
        <v>42</v>
      </c>
      <c r="F6381" s="1" t="s">
        <v>80</v>
      </c>
      <c r="I6381" s="1" t="n">
        <v>1493598</v>
      </c>
      <c r="J6381" s="1" t="n">
        <v>100520</v>
      </c>
      <c r="K6381" s="1" t="n">
        <v>507</v>
      </c>
      <c r="L6381" s="1" t="s">
        <v>2449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5" t="n">
        <v>46237</v>
      </c>
      <c r="C6382" s="1" t="n">
        <v>100</v>
      </c>
      <c r="D6382" s="1" t="s">
        <v>2457</v>
      </c>
      <c r="E6382" s="1" t="n">
        <v>42</v>
      </c>
      <c r="F6382" s="1" t="s">
        <v>80</v>
      </c>
      <c r="I6382" s="1" t="n">
        <v>1493598</v>
      </c>
      <c r="J6382" s="1" t="n">
        <v>110455</v>
      </c>
      <c r="K6382" s="1" t="n">
        <v>53212</v>
      </c>
      <c r="L6382" s="1" t="s">
        <v>2450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5" t="n">
        <v>46237</v>
      </c>
      <c r="C6383" s="1" t="n">
        <v>100</v>
      </c>
      <c r="D6383" s="1" t="s">
        <v>2457</v>
      </c>
      <c r="E6383" s="1" t="n">
        <v>42</v>
      </c>
      <c r="F6383" s="1" t="s">
        <v>80</v>
      </c>
      <c r="I6383" s="1" t="n">
        <v>1493603</v>
      </c>
      <c r="J6383" s="1" t="n">
        <v>100000</v>
      </c>
      <c r="K6383" s="1" t="n">
        <v>1</v>
      </c>
      <c r="L6383" s="1" t="s">
        <v>2451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5" t="n">
        <v>46237</v>
      </c>
      <c r="C6384" s="1" t="n">
        <v>100</v>
      </c>
      <c r="D6384" s="1" t="s">
        <v>2457</v>
      </c>
      <c r="E6384" s="1" t="n">
        <v>42</v>
      </c>
      <c r="F6384" s="1" t="s">
        <v>80</v>
      </c>
      <c r="I6384" s="1" t="n">
        <v>1493603</v>
      </c>
      <c r="J6384" s="1" t="n">
        <v>100001</v>
      </c>
      <c r="K6384" s="1" t="n">
        <v>2</v>
      </c>
      <c r="L6384" s="1" t="s">
        <v>2452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5" t="n">
        <v>46237</v>
      </c>
      <c r="C6385" s="1" t="n">
        <v>100</v>
      </c>
      <c r="D6385" s="1" t="s">
        <v>2457</v>
      </c>
      <c r="E6385" s="1" t="n">
        <v>42</v>
      </c>
      <c r="F6385" s="1" t="s">
        <v>80</v>
      </c>
      <c r="I6385" s="1" t="n">
        <v>1493603</v>
      </c>
      <c r="J6385" s="1" t="n">
        <v>100002</v>
      </c>
      <c r="K6385" s="1" t="n">
        <v>3</v>
      </c>
      <c r="L6385" s="1" t="s">
        <v>2453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5" t="n">
        <v>46237</v>
      </c>
      <c r="C6386" s="1" t="n">
        <v>100</v>
      </c>
      <c r="D6386" s="1" t="s">
        <v>2457</v>
      </c>
      <c r="E6386" s="1" t="n">
        <v>42</v>
      </c>
      <c r="F6386" s="1" t="s">
        <v>80</v>
      </c>
      <c r="I6386" s="1" t="n">
        <v>1493603</v>
      </c>
      <c r="J6386" s="1" t="n">
        <v>100003</v>
      </c>
      <c r="K6386" s="1" t="n">
        <v>4</v>
      </c>
      <c r="L6386" s="1" t="s">
        <v>2454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5" t="n">
        <v>46237</v>
      </c>
      <c r="C6387" s="1" t="n">
        <v>100</v>
      </c>
      <c r="D6387" s="1" t="s">
        <v>2457</v>
      </c>
      <c r="E6387" s="1" t="n">
        <v>42</v>
      </c>
      <c r="F6387" s="1" t="s">
        <v>80</v>
      </c>
      <c r="I6387" s="1" t="n">
        <v>1493603</v>
      </c>
      <c r="J6387" s="1" t="n">
        <v>100007</v>
      </c>
      <c r="K6387" s="1" t="n">
        <v>8</v>
      </c>
      <c r="L6387" s="1" t="s">
        <v>2455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5" t="n">
        <v>46237</v>
      </c>
      <c r="C6388" s="1" t="n">
        <v>100</v>
      </c>
      <c r="D6388" s="1" t="s">
        <v>2457</v>
      </c>
      <c r="E6388" s="1" t="n">
        <v>42</v>
      </c>
      <c r="F6388" s="1" t="s">
        <v>80</v>
      </c>
      <c r="I6388" s="1" t="n">
        <v>1493603</v>
      </c>
      <c r="J6388" s="1" t="n">
        <v>100638</v>
      </c>
      <c r="K6388" s="1" t="n">
        <v>508</v>
      </c>
      <c r="L6388" s="1" t="s">
        <v>2448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5" t="n">
        <v>46237</v>
      </c>
      <c r="C6389" s="1" t="n">
        <v>100</v>
      </c>
      <c r="D6389" s="1" t="s">
        <v>2457</v>
      </c>
      <c r="E6389" s="1" t="n">
        <v>42</v>
      </c>
      <c r="F6389" s="1" t="s">
        <v>80</v>
      </c>
      <c r="I6389" s="1" t="n">
        <v>1493603</v>
      </c>
      <c r="J6389" s="1" t="n">
        <v>100520</v>
      </c>
      <c r="K6389" s="1" t="n">
        <v>507</v>
      </c>
      <c r="L6389" s="1" t="s">
        <v>2449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5" t="n">
        <v>46237</v>
      </c>
      <c r="C6390" s="1" t="n">
        <v>100</v>
      </c>
      <c r="D6390" s="1" t="s">
        <v>2457</v>
      </c>
      <c r="E6390" s="1" t="n">
        <v>42</v>
      </c>
      <c r="F6390" s="1" t="s">
        <v>80</v>
      </c>
      <c r="I6390" s="1" t="n">
        <v>1493603</v>
      </c>
      <c r="J6390" s="1" t="n">
        <v>110455</v>
      </c>
      <c r="K6390" s="1" t="n">
        <v>53212</v>
      </c>
      <c r="L6390" s="1" t="s">
        <v>2450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5" t="n">
        <v>46237</v>
      </c>
      <c r="C6391" s="1" t="n">
        <v>100</v>
      </c>
      <c r="D6391" s="1" t="s">
        <v>2457</v>
      </c>
      <c r="E6391" s="1" t="n">
        <v>42</v>
      </c>
      <c r="F6391" s="1" t="s">
        <v>80</v>
      </c>
      <c r="I6391" s="1" t="n">
        <v>1493657</v>
      </c>
      <c r="J6391" s="1" t="n">
        <v>100000</v>
      </c>
      <c r="K6391" s="1" t="n">
        <v>1</v>
      </c>
      <c r="L6391" s="1" t="s">
        <v>2451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5" t="n">
        <v>46237</v>
      </c>
      <c r="C6392" s="1" t="n">
        <v>100</v>
      </c>
      <c r="D6392" s="1" t="s">
        <v>2457</v>
      </c>
      <c r="E6392" s="1" t="n">
        <v>42</v>
      </c>
      <c r="F6392" s="1" t="s">
        <v>80</v>
      </c>
      <c r="I6392" s="1" t="n">
        <v>1493657</v>
      </c>
      <c r="J6392" s="1" t="n">
        <v>100001</v>
      </c>
      <c r="K6392" s="1" t="n">
        <v>2</v>
      </c>
      <c r="L6392" s="1" t="s">
        <v>2452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5" t="n">
        <v>46237</v>
      </c>
      <c r="C6393" s="1" t="n">
        <v>100</v>
      </c>
      <c r="D6393" s="1" t="s">
        <v>2457</v>
      </c>
      <c r="E6393" s="1" t="n">
        <v>42</v>
      </c>
      <c r="F6393" s="1" t="s">
        <v>80</v>
      </c>
      <c r="I6393" s="1" t="n">
        <v>1493657</v>
      </c>
      <c r="J6393" s="1" t="n">
        <v>100002</v>
      </c>
      <c r="K6393" s="1" t="n">
        <v>3</v>
      </c>
      <c r="L6393" s="1" t="s">
        <v>2453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5" t="n">
        <v>46237</v>
      </c>
      <c r="C6394" s="1" t="n">
        <v>100</v>
      </c>
      <c r="D6394" s="1" t="s">
        <v>2457</v>
      </c>
      <c r="E6394" s="1" t="n">
        <v>42</v>
      </c>
      <c r="F6394" s="1" t="s">
        <v>80</v>
      </c>
      <c r="I6394" s="1" t="n">
        <v>1493657</v>
      </c>
      <c r="J6394" s="1" t="n">
        <v>100003</v>
      </c>
      <c r="K6394" s="1" t="n">
        <v>4</v>
      </c>
      <c r="L6394" s="1" t="s">
        <v>2454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5" t="n">
        <v>46237</v>
      </c>
      <c r="C6395" s="1" t="n">
        <v>100</v>
      </c>
      <c r="D6395" s="1" t="s">
        <v>2457</v>
      </c>
      <c r="E6395" s="1" t="n">
        <v>42</v>
      </c>
      <c r="F6395" s="1" t="s">
        <v>80</v>
      </c>
      <c r="I6395" s="1" t="n">
        <v>1493657</v>
      </c>
      <c r="J6395" s="1" t="n">
        <v>100007</v>
      </c>
      <c r="K6395" s="1" t="n">
        <v>8</v>
      </c>
      <c r="L6395" s="1" t="s">
        <v>2455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5" t="n">
        <v>46237</v>
      </c>
      <c r="C6396" s="1" t="n">
        <v>100</v>
      </c>
      <c r="D6396" s="1" t="s">
        <v>2457</v>
      </c>
      <c r="E6396" s="1" t="n">
        <v>42</v>
      </c>
      <c r="F6396" s="1" t="s">
        <v>80</v>
      </c>
      <c r="I6396" s="1" t="n">
        <v>1493657</v>
      </c>
      <c r="J6396" s="1" t="n">
        <v>100638</v>
      </c>
      <c r="K6396" s="1" t="n">
        <v>508</v>
      </c>
      <c r="L6396" s="1" t="s">
        <v>2448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5" t="n">
        <v>46237</v>
      </c>
      <c r="C6397" s="1" t="n">
        <v>100</v>
      </c>
      <c r="D6397" s="1" t="s">
        <v>2457</v>
      </c>
      <c r="E6397" s="1" t="n">
        <v>42</v>
      </c>
      <c r="F6397" s="1" t="s">
        <v>80</v>
      </c>
      <c r="I6397" s="1" t="n">
        <v>1493657</v>
      </c>
      <c r="J6397" s="1" t="n">
        <v>100520</v>
      </c>
      <c r="K6397" s="1" t="n">
        <v>507</v>
      </c>
      <c r="L6397" s="1" t="s">
        <v>2449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5" t="n">
        <v>46237</v>
      </c>
      <c r="C6398" s="1" t="n">
        <v>100</v>
      </c>
      <c r="D6398" s="1" t="s">
        <v>2457</v>
      </c>
      <c r="E6398" s="1" t="n">
        <v>42</v>
      </c>
      <c r="F6398" s="1" t="s">
        <v>80</v>
      </c>
      <c r="I6398" s="1" t="n">
        <v>1493657</v>
      </c>
      <c r="J6398" s="1" t="n">
        <v>110455</v>
      </c>
      <c r="K6398" s="1" t="n">
        <v>53212</v>
      </c>
      <c r="L6398" s="1" t="s">
        <v>2450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5" t="n">
        <v>46237</v>
      </c>
      <c r="C6399" s="1" t="n">
        <v>100</v>
      </c>
      <c r="D6399" s="1" t="s">
        <v>2457</v>
      </c>
      <c r="E6399" s="1" t="n">
        <v>42</v>
      </c>
      <c r="F6399" s="1" t="s">
        <v>80</v>
      </c>
      <c r="I6399" s="1" t="n">
        <v>1493660</v>
      </c>
      <c r="J6399" s="1" t="n">
        <v>100000</v>
      </c>
      <c r="K6399" s="1" t="n">
        <v>1</v>
      </c>
      <c r="L6399" s="1" t="s">
        <v>2451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5" t="n">
        <v>46237</v>
      </c>
      <c r="C6400" s="1" t="n">
        <v>100</v>
      </c>
      <c r="D6400" s="1" t="s">
        <v>2457</v>
      </c>
      <c r="E6400" s="1" t="n">
        <v>42</v>
      </c>
      <c r="F6400" s="1" t="s">
        <v>80</v>
      </c>
      <c r="I6400" s="1" t="n">
        <v>1493660</v>
      </c>
      <c r="J6400" s="1" t="n">
        <v>100001</v>
      </c>
      <c r="K6400" s="1" t="n">
        <v>2</v>
      </c>
      <c r="L6400" s="1" t="s">
        <v>2452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5" t="n">
        <v>46237</v>
      </c>
      <c r="C6401" s="1" t="n">
        <v>100</v>
      </c>
      <c r="D6401" s="1" t="s">
        <v>2457</v>
      </c>
      <c r="E6401" s="1" t="n">
        <v>42</v>
      </c>
      <c r="F6401" s="1" t="s">
        <v>80</v>
      </c>
      <c r="I6401" s="1" t="n">
        <v>1493660</v>
      </c>
      <c r="J6401" s="1" t="n">
        <v>100002</v>
      </c>
      <c r="K6401" s="1" t="n">
        <v>3</v>
      </c>
      <c r="L6401" s="1" t="s">
        <v>2453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5" t="n">
        <v>46237</v>
      </c>
      <c r="C6402" s="1" t="n">
        <v>100</v>
      </c>
      <c r="D6402" s="1" t="s">
        <v>2457</v>
      </c>
      <c r="E6402" s="1" t="n">
        <v>42</v>
      </c>
      <c r="F6402" s="1" t="s">
        <v>80</v>
      </c>
      <c r="I6402" s="1" t="n">
        <v>1493660</v>
      </c>
      <c r="J6402" s="1" t="n">
        <v>100003</v>
      </c>
      <c r="K6402" s="1" t="n">
        <v>4</v>
      </c>
      <c r="L6402" s="1" t="s">
        <v>2454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5" t="n">
        <v>46237</v>
      </c>
      <c r="C6403" s="1" t="n">
        <v>100</v>
      </c>
      <c r="D6403" s="1" t="s">
        <v>2457</v>
      </c>
      <c r="E6403" s="1" t="n">
        <v>42</v>
      </c>
      <c r="F6403" s="1" t="s">
        <v>80</v>
      </c>
      <c r="I6403" s="1" t="n">
        <v>1493660</v>
      </c>
      <c r="J6403" s="1" t="n">
        <v>100007</v>
      </c>
      <c r="K6403" s="1" t="n">
        <v>8</v>
      </c>
      <c r="L6403" s="1" t="s">
        <v>2455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5" t="n">
        <v>46237</v>
      </c>
      <c r="C6404" s="1" t="n">
        <v>100</v>
      </c>
      <c r="D6404" s="1" t="s">
        <v>2457</v>
      </c>
      <c r="E6404" s="1" t="n">
        <v>42</v>
      </c>
      <c r="F6404" s="1" t="s">
        <v>80</v>
      </c>
      <c r="I6404" s="1" t="n">
        <v>1493660</v>
      </c>
      <c r="J6404" s="1" t="n">
        <v>100638</v>
      </c>
      <c r="K6404" s="1" t="n">
        <v>508</v>
      </c>
      <c r="L6404" s="1" t="s">
        <v>2448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5" t="n">
        <v>46237</v>
      </c>
      <c r="C6405" s="1" t="n">
        <v>100</v>
      </c>
      <c r="D6405" s="1" t="s">
        <v>2457</v>
      </c>
      <c r="E6405" s="1" t="n">
        <v>42</v>
      </c>
      <c r="F6405" s="1" t="s">
        <v>80</v>
      </c>
      <c r="I6405" s="1" t="n">
        <v>1493660</v>
      </c>
      <c r="J6405" s="1" t="n">
        <v>100520</v>
      </c>
      <c r="K6405" s="1" t="n">
        <v>507</v>
      </c>
      <c r="L6405" s="1" t="s">
        <v>2449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5" t="n">
        <v>46237</v>
      </c>
      <c r="C6406" s="1" t="n">
        <v>100</v>
      </c>
      <c r="D6406" s="1" t="s">
        <v>2457</v>
      </c>
      <c r="E6406" s="1" t="n">
        <v>42</v>
      </c>
      <c r="F6406" s="1" t="s">
        <v>80</v>
      </c>
      <c r="I6406" s="1" t="n">
        <v>1493660</v>
      </c>
      <c r="J6406" s="1" t="n">
        <v>110455</v>
      </c>
      <c r="K6406" s="1" t="n">
        <v>53212</v>
      </c>
      <c r="L6406" s="1" t="s">
        <v>2450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5" t="n">
        <v>46237</v>
      </c>
      <c r="C6407" s="1" t="n">
        <v>100</v>
      </c>
      <c r="D6407" s="1" t="s">
        <v>2457</v>
      </c>
      <c r="E6407" s="1" t="n">
        <v>42</v>
      </c>
      <c r="F6407" s="1" t="s">
        <v>80</v>
      </c>
      <c r="I6407" s="1" t="n">
        <v>1493680</v>
      </c>
      <c r="J6407" s="1" t="n">
        <v>100006</v>
      </c>
      <c r="K6407" s="1" t="n">
        <v>7</v>
      </c>
      <c r="L6407" s="1" t="s">
        <v>2437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5" t="n">
        <v>46237</v>
      </c>
      <c r="C6408" s="1" t="n">
        <v>100</v>
      </c>
      <c r="D6408" s="1" t="s">
        <v>2457</v>
      </c>
      <c r="E6408" s="1" t="n">
        <v>42</v>
      </c>
      <c r="F6408" s="1" t="s">
        <v>80</v>
      </c>
      <c r="I6408" s="1" t="n">
        <v>1493680</v>
      </c>
      <c r="J6408" s="1" t="n">
        <v>100008</v>
      </c>
      <c r="K6408" s="1" t="n">
        <v>9</v>
      </c>
      <c r="L6408" s="1" t="s">
        <v>2438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5" t="n">
        <v>46237</v>
      </c>
      <c r="C6409" s="1" t="n">
        <v>100</v>
      </c>
      <c r="D6409" s="1" t="s">
        <v>2457</v>
      </c>
      <c r="E6409" s="1" t="n">
        <v>42</v>
      </c>
      <c r="F6409" s="1" t="s">
        <v>80</v>
      </c>
      <c r="I6409" s="1" t="n">
        <v>1493680</v>
      </c>
      <c r="J6409" s="1" t="n">
        <v>100010</v>
      </c>
      <c r="K6409" s="1" t="n">
        <v>11</v>
      </c>
      <c r="L6409" s="1" t="s">
        <v>2439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5" t="n">
        <v>46237</v>
      </c>
      <c r="C6410" s="1" t="n">
        <v>100</v>
      </c>
      <c r="D6410" s="1" t="s">
        <v>2457</v>
      </c>
      <c r="E6410" s="1" t="n">
        <v>42</v>
      </c>
      <c r="F6410" s="1" t="s">
        <v>80</v>
      </c>
      <c r="I6410" s="1" t="n">
        <v>1493680</v>
      </c>
      <c r="J6410" s="1" t="n">
        <v>100011</v>
      </c>
      <c r="K6410" s="1" t="n">
        <v>12</v>
      </c>
      <c r="L6410" s="1" t="s">
        <v>2440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5" t="n">
        <v>46237</v>
      </c>
      <c r="C6411" s="1" t="n">
        <v>100</v>
      </c>
      <c r="D6411" s="1" t="s">
        <v>2457</v>
      </c>
      <c r="E6411" s="1" t="n">
        <v>42</v>
      </c>
      <c r="F6411" s="1" t="s">
        <v>80</v>
      </c>
      <c r="I6411" s="1" t="n">
        <v>1493680</v>
      </c>
      <c r="J6411" s="1" t="n">
        <v>100012</v>
      </c>
      <c r="K6411" s="1" t="n">
        <v>13</v>
      </c>
      <c r="L6411" s="1" t="s">
        <v>2441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5" t="n">
        <v>46237</v>
      </c>
      <c r="C6412" s="1" t="n">
        <v>100</v>
      </c>
      <c r="D6412" s="1" t="s">
        <v>2457</v>
      </c>
      <c r="E6412" s="1" t="n">
        <v>42</v>
      </c>
      <c r="F6412" s="1" t="s">
        <v>80</v>
      </c>
      <c r="I6412" s="1" t="n">
        <v>1493680</v>
      </c>
      <c r="J6412" s="1" t="n">
        <v>100013</v>
      </c>
      <c r="K6412" s="1" t="n">
        <v>14</v>
      </c>
      <c r="L6412" s="1" t="s">
        <v>2442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5" t="n">
        <v>46237</v>
      </c>
      <c r="C6413" s="1" t="n">
        <v>100</v>
      </c>
      <c r="D6413" s="1" t="s">
        <v>2457</v>
      </c>
      <c r="E6413" s="1" t="n">
        <v>42</v>
      </c>
      <c r="F6413" s="1" t="s">
        <v>80</v>
      </c>
      <c r="I6413" s="1" t="n">
        <v>1493680</v>
      </c>
      <c r="J6413" s="1" t="n">
        <v>100014</v>
      </c>
      <c r="K6413" s="1" t="n">
        <v>15</v>
      </c>
      <c r="L6413" s="1" t="s">
        <v>2443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5" t="n">
        <v>46237</v>
      </c>
      <c r="C6414" s="1" t="n">
        <v>100</v>
      </c>
      <c r="D6414" s="1" t="s">
        <v>2457</v>
      </c>
      <c r="E6414" s="1" t="n">
        <v>42</v>
      </c>
      <c r="F6414" s="1" t="s">
        <v>80</v>
      </c>
      <c r="I6414" s="1" t="n">
        <v>1493680</v>
      </c>
      <c r="J6414" s="1" t="n">
        <v>100015</v>
      </c>
      <c r="K6414" s="1" t="n">
        <v>16</v>
      </c>
      <c r="L6414" s="1" t="s">
        <v>2444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5" t="n">
        <v>46237</v>
      </c>
      <c r="C6415" s="1" t="n">
        <v>100</v>
      </c>
      <c r="D6415" s="1" t="s">
        <v>2457</v>
      </c>
      <c r="E6415" s="1" t="n">
        <v>42</v>
      </c>
      <c r="F6415" s="1" t="s">
        <v>80</v>
      </c>
      <c r="I6415" s="1" t="n">
        <v>1493680</v>
      </c>
      <c r="J6415" s="1" t="n">
        <v>100016</v>
      </c>
      <c r="K6415" s="1" t="n">
        <v>17</v>
      </c>
      <c r="L6415" s="1" t="s">
        <v>2445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5" t="n">
        <v>46237</v>
      </c>
      <c r="C6416" s="1" t="n">
        <v>100</v>
      </c>
      <c r="D6416" s="1" t="s">
        <v>2457</v>
      </c>
      <c r="E6416" s="1" t="n">
        <v>42</v>
      </c>
      <c r="F6416" s="1" t="s">
        <v>80</v>
      </c>
      <c r="I6416" s="1" t="n">
        <v>1493680</v>
      </c>
      <c r="J6416" s="1" t="n">
        <v>100017</v>
      </c>
      <c r="K6416" s="1" t="n">
        <v>18</v>
      </c>
      <c r="L6416" s="1" t="s">
        <v>2446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5" t="n">
        <v>46237</v>
      </c>
      <c r="C6417" s="1" t="n">
        <v>100</v>
      </c>
      <c r="D6417" s="1" t="s">
        <v>2457</v>
      </c>
      <c r="E6417" s="1" t="n">
        <v>42</v>
      </c>
      <c r="F6417" s="1" t="s">
        <v>80</v>
      </c>
      <c r="I6417" s="1" t="n">
        <v>1493680</v>
      </c>
      <c r="J6417" s="1" t="n">
        <v>100053</v>
      </c>
      <c r="K6417" s="1" t="n">
        <v>54</v>
      </c>
      <c r="L6417" s="1" t="s">
        <v>2447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5" t="n">
        <v>46237</v>
      </c>
      <c r="C6418" s="1" t="n">
        <v>100</v>
      </c>
      <c r="D6418" s="1" t="s">
        <v>2457</v>
      </c>
      <c r="E6418" s="1" t="n">
        <v>42</v>
      </c>
      <c r="F6418" s="1" t="s">
        <v>80</v>
      </c>
      <c r="I6418" s="1" t="n">
        <v>1493680</v>
      </c>
      <c r="J6418" s="1" t="n">
        <v>100638</v>
      </c>
      <c r="K6418" s="1" t="n">
        <v>508</v>
      </c>
      <c r="L6418" s="1" t="s">
        <v>2448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5" t="n">
        <v>46237</v>
      </c>
      <c r="C6419" s="1" t="n">
        <v>100</v>
      </c>
      <c r="D6419" s="1" t="s">
        <v>2457</v>
      </c>
      <c r="E6419" s="1" t="n">
        <v>42</v>
      </c>
      <c r="F6419" s="1" t="s">
        <v>80</v>
      </c>
      <c r="I6419" s="1" t="n">
        <v>1493680</v>
      </c>
      <c r="J6419" s="1" t="n">
        <v>100520</v>
      </c>
      <c r="K6419" s="1" t="n">
        <v>507</v>
      </c>
      <c r="L6419" s="1" t="s">
        <v>2449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5" t="n">
        <v>46237</v>
      </c>
      <c r="C6420" s="1" t="n">
        <v>100</v>
      </c>
      <c r="D6420" s="1" t="s">
        <v>2457</v>
      </c>
      <c r="E6420" s="1" t="n">
        <v>42</v>
      </c>
      <c r="F6420" s="1" t="s">
        <v>80</v>
      </c>
      <c r="I6420" s="1" t="n">
        <v>1493680</v>
      </c>
      <c r="J6420" s="1" t="n">
        <v>110455</v>
      </c>
      <c r="K6420" s="1" t="n">
        <v>53212</v>
      </c>
      <c r="L6420" s="1" t="s">
        <v>2450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5" t="n">
        <v>46237</v>
      </c>
      <c r="C6421" s="1" t="n">
        <v>171</v>
      </c>
      <c r="D6421" s="1" t="s">
        <v>2517</v>
      </c>
      <c r="E6421" s="1" t="n">
        <v>1955</v>
      </c>
      <c r="F6421" s="1" t="s">
        <v>2216</v>
      </c>
      <c r="I6421" s="1" t="n">
        <v>47767</v>
      </c>
      <c r="J6421" s="1" t="n">
        <v>45153</v>
      </c>
      <c r="K6421" s="1" t="n">
        <v>7899403713715</v>
      </c>
      <c r="L6421" s="1" t="s">
        <v>3504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5" t="n">
        <v>46237</v>
      </c>
      <c r="C6422" s="1" t="n">
        <v>171</v>
      </c>
      <c r="D6422" s="1" t="s">
        <v>2517</v>
      </c>
      <c r="E6422" s="1" t="n">
        <v>1955</v>
      </c>
      <c r="F6422" s="1" t="s">
        <v>2216</v>
      </c>
      <c r="I6422" s="1" t="n">
        <v>47767</v>
      </c>
      <c r="J6422" s="1" t="n">
        <v>45154</v>
      </c>
      <c r="K6422" s="1" t="n">
        <v>2246390</v>
      </c>
      <c r="L6422" s="1" t="s">
        <v>3505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5" t="n">
        <v>46237</v>
      </c>
      <c r="C6423" s="1" t="n">
        <v>171</v>
      </c>
      <c r="D6423" s="1" t="s">
        <v>2517</v>
      </c>
      <c r="E6423" s="1" t="n">
        <v>1955</v>
      </c>
      <c r="F6423" s="1" t="s">
        <v>2216</v>
      </c>
      <c r="I6423" s="1" t="n">
        <v>47767</v>
      </c>
      <c r="J6423" s="1" t="n">
        <v>45155</v>
      </c>
      <c r="K6423" s="1" t="n">
        <v>2246406</v>
      </c>
      <c r="L6423" s="1" t="s">
        <v>3506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5" t="n">
        <v>46238</v>
      </c>
      <c r="C6424" s="1" t="n">
        <v>6</v>
      </c>
      <c r="D6424" s="1" t="s">
        <v>2289</v>
      </c>
      <c r="E6424" s="1" t="n">
        <v>42</v>
      </c>
      <c r="F6424" s="1" t="s">
        <v>80</v>
      </c>
      <c r="I6424" s="1" t="n">
        <v>4458</v>
      </c>
      <c r="J6424" s="1" t="n">
        <v>109791</v>
      </c>
      <c r="K6424" s="1" t="n">
        <v>9667</v>
      </c>
      <c r="L6424" s="1" t="s">
        <v>2284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5" t="n">
        <v>46238</v>
      </c>
      <c r="C6425" s="1" t="n">
        <v>6</v>
      </c>
      <c r="D6425" s="1" t="s">
        <v>2289</v>
      </c>
      <c r="E6425" s="1" t="n">
        <v>42</v>
      </c>
      <c r="F6425" s="1" t="s">
        <v>80</v>
      </c>
      <c r="I6425" s="1" t="n">
        <v>4458</v>
      </c>
      <c r="J6425" s="1" t="n">
        <v>37359</v>
      </c>
      <c r="K6425" s="1" t="n">
        <v>55526</v>
      </c>
      <c r="L6425" s="1" t="s">
        <v>2285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5" t="n">
        <v>46238</v>
      </c>
      <c r="C6426" s="1" t="n">
        <v>6</v>
      </c>
      <c r="D6426" s="1" t="s">
        <v>2289</v>
      </c>
      <c r="E6426" s="1" t="n">
        <v>42</v>
      </c>
      <c r="F6426" s="1" t="s">
        <v>80</v>
      </c>
      <c r="I6426" s="1" t="n">
        <v>4458</v>
      </c>
      <c r="J6426" s="1" t="n">
        <v>37361</v>
      </c>
      <c r="K6426" s="1" t="n">
        <v>2240817</v>
      </c>
      <c r="L6426" s="1" t="s">
        <v>2286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5" t="n">
        <v>46238</v>
      </c>
      <c r="C6427" s="1" t="n">
        <v>6</v>
      </c>
      <c r="D6427" s="1" t="s">
        <v>2289</v>
      </c>
      <c r="E6427" s="1" t="n">
        <v>42</v>
      </c>
      <c r="F6427" s="1" t="s">
        <v>80</v>
      </c>
      <c r="I6427" s="1" t="n">
        <v>4459</v>
      </c>
      <c r="J6427" s="1" t="n">
        <v>100062</v>
      </c>
      <c r="K6427" s="1" t="n">
        <v>63</v>
      </c>
      <c r="L6427" s="1" t="s">
        <v>2320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5" t="n">
        <v>46238</v>
      </c>
      <c r="C6428" s="1" t="n">
        <v>6</v>
      </c>
      <c r="D6428" s="1" t="s">
        <v>2289</v>
      </c>
      <c r="E6428" s="1" t="n">
        <v>42</v>
      </c>
      <c r="F6428" s="1" t="s">
        <v>80</v>
      </c>
      <c r="I6428" s="1" t="n">
        <v>4459</v>
      </c>
      <c r="J6428" s="1" t="n">
        <v>100104</v>
      </c>
      <c r="K6428" s="1" t="n">
        <v>105</v>
      </c>
      <c r="L6428" s="1" t="s">
        <v>2321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5" t="n">
        <v>46238</v>
      </c>
      <c r="C6429" s="1" t="n">
        <v>6</v>
      </c>
      <c r="D6429" s="1" t="s">
        <v>2289</v>
      </c>
      <c r="E6429" s="1" t="n">
        <v>42</v>
      </c>
      <c r="F6429" s="1" t="s">
        <v>80</v>
      </c>
      <c r="I6429" s="1" t="n">
        <v>4459</v>
      </c>
      <c r="J6429" s="1" t="n">
        <v>100109</v>
      </c>
      <c r="K6429" s="1" t="n">
        <v>110</v>
      </c>
      <c r="L6429" s="1" t="s">
        <v>2324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5" t="n">
        <v>46238</v>
      </c>
      <c r="C6430" s="1" t="n">
        <v>6</v>
      </c>
      <c r="D6430" s="1" t="s">
        <v>2289</v>
      </c>
      <c r="E6430" s="1" t="n">
        <v>42</v>
      </c>
      <c r="F6430" s="1" t="s">
        <v>80</v>
      </c>
      <c r="I6430" s="1" t="n">
        <v>4459</v>
      </c>
      <c r="J6430" s="1" t="n">
        <v>100113</v>
      </c>
      <c r="K6430" s="1" t="n">
        <v>114</v>
      </c>
      <c r="L6430" s="1" t="s">
        <v>2326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5" t="n">
        <v>46238</v>
      </c>
      <c r="C6431" s="1" t="n">
        <v>6</v>
      </c>
      <c r="D6431" s="1" t="s">
        <v>2289</v>
      </c>
      <c r="E6431" s="1" t="n">
        <v>42</v>
      </c>
      <c r="F6431" s="1" t="s">
        <v>80</v>
      </c>
      <c r="I6431" s="1" t="n">
        <v>4459</v>
      </c>
      <c r="J6431" s="1" t="n">
        <v>100115</v>
      </c>
      <c r="K6431" s="1" t="n">
        <v>116</v>
      </c>
      <c r="L6431" s="1" t="s">
        <v>2474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5" t="n">
        <v>46238</v>
      </c>
      <c r="C6432" s="1" t="n">
        <v>6</v>
      </c>
      <c r="D6432" s="1" t="s">
        <v>2289</v>
      </c>
      <c r="E6432" s="1" t="n">
        <v>42</v>
      </c>
      <c r="F6432" s="1" t="s">
        <v>80</v>
      </c>
      <c r="I6432" s="1" t="n">
        <v>4459</v>
      </c>
      <c r="J6432" s="1" t="n">
        <v>100116</v>
      </c>
      <c r="K6432" s="1" t="n">
        <v>117</v>
      </c>
      <c r="L6432" s="1" t="s">
        <v>2327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5" t="n">
        <v>46238</v>
      </c>
      <c r="C6433" s="1" t="n">
        <v>6</v>
      </c>
      <c r="D6433" s="1" t="s">
        <v>2289</v>
      </c>
      <c r="E6433" s="1" t="n">
        <v>42</v>
      </c>
      <c r="F6433" s="1" t="s">
        <v>80</v>
      </c>
      <c r="I6433" s="1" t="n">
        <v>4459</v>
      </c>
      <c r="J6433" s="1" t="n">
        <v>100118</v>
      </c>
      <c r="K6433" s="1" t="n">
        <v>119</v>
      </c>
      <c r="L6433" s="1" t="s">
        <v>2328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5" t="n">
        <v>46238</v>
      </c>
      <c r="C6434" s="1" t="n">
        <v>6</v>
      </c>
      <c r="D6434" s="1" t="s">
        <v>2289</v>
      </c>
      <c r="E6434" s="1" t="n">
        <v>42</v>
      </c>
      <c r="F6434" s="1" t="s">
        <v>80</v>
      </c>
      <c r="I6434" s="1" t="n">
        <v>4459</v>
      </c>
      <c r="J6434" s="1" t="n">
        <v>100121</v>
      </c>
      <c r="K6434" s="1" t="n">
        <v>122</v>
      </c>
      <c r="L6434" s="1" t="s">
        <v>2329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5" t="n">
        <v>46238</v>
      </c>
      <c r="C6435" s="1" t="n">
        <v>6</v>
      </c>
      <c r="D6435" s="1" t="s">
        <v>2289</v>
      </c>
      <c r="E6435" s="1" t="n">
        <v>42</v>
      </c>
      <c r="F6435" s="1" t="s">
        <v>80</v>
      </c>
      <c r="I6435" s="1" t="n">
        <v>4459</v>
      </c>
      <c r="J6435" s="1" t="n">
        <v>100122</v>
      </c>
      <c r="K6435" s="1" t="n">
        <v>123</v>
      </c>
      <c r="L6435" s="1" t="s">
        <v>2330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5" t="n">
        <v>46238</v>
      </c>
      <c r="C6436" s="1" t="n">
        <v>6</v>
      </c>
      <c r="D6436" s="1" t="s">
        <v>2289</v>
      </c>
      <c r="E6436" s="1" t="n">
        <v>42</v>
      </c>
      <c r="F6436" s="1" t="s">
        <v>80</v>
      </c>
      <c r="I6436" s="1" t="n">
        <v>4459</v>
      </c>
      <c r="J6436" s="1" t="n">
        <v>100124</v>
      </c>
      <c r="K6436" s="1" t="n">
        <v>125</v>
      </c>
      <c r="L6436" s="1" t="s">
        <v>2476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5" t="n">
        <v>46238</v>
      </c>
      <c r="C6437" s="1" t="n">
        <v>6</v>
      </c>
      <c r="D6437" s="1" t="s">
        <v>2289</v>
      </c>
      <c r="E6437" s="1" t="n">
        <v>42</v>
      </c>
      <c r="F6437" s="1" t="s">
        <v>80</v>
      </c>
      <c r="I6437" s="1" t="n">
        <v>4459</v>
      </c>
      <c r="J6437" s="1" t="n">
        <v>100125</v>
      </c>
      <c r="K6437" s="1" t="n">
        <v>126</v>
      </c>
      <c r="L6437" s="1" t="s">
        <v>2477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5" t="n">
        <v>46238</v>
      </c>
      <c r="C6438" s="1" t="n">
        <v>6</v>
      </c>
      <c r="D6438" s="1" t="s">
        <v>2289</v>
      </c>
      <c r="E6438" s="1" t="n">
        <v>42</v>
      </c>
      <c r="F6438" s="1" t="s">
        <v>80</v>
      </c>
      <c r="I6438" s="1" t="n">
        <v>4459</v>
      </c>
      <c r="J6438" s="1" t="n">
        <v>100130</v>
      </c>
      <c r="K6438" s="1" t="n">
        <v>131</v>
      </c>
      <c r="L6438" s="1" t="s">
        <v>2331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5" t="n">
        <v>46238</v>
      </c>
      <c r="C6439" s="1" t="n">
        <v>6</v>
      </c>
      <c r="D6439" s="1" t="s">
        <v>2289</v>
      </c>
      <c r="E6439" s="1" t="n">
        <v>42</v>
      </c>
      <c r="F6439" s="1" t="s">
        <v>80</v>
      </c>
      <c r="I6439" s="1" t="n">
        <v>4459</v>
      </c>
      <c r="J6439" s="1" t="n">
        <v>100133</v>
      </c>
      <c r="K6439" s="1" t="n">
        <v>134</v>
      </c>
      <c r="L6439" s="1" t="s">
        <v>2332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5" t="n">
        <v>46238</v>
      </c>
      <c r="C6440" s="1" t="n">
        <v>6</v>
      </c>
      <c r="D6440" s="1" t="s">
        <v>2289</v>
      </c>
      <c r="E6440" s="1" t="n">
        <v>42</v>
      </c>
      <c r="F6440" s="1" t="s">
        <v>80</v>
      </c>
      <c r="I6440" s="1" t="n">
        <v>4459</v>
      </c>
      <c r="J6440" s="1" t="n">
        <v>100148</v>
      </c>
      <c r="K6440" s="1" t="n">
        <v>149</v>
      </c>
      <c r="L6440" s="1" t="s">
        <v>2676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5" t="n">
        <v>46238</v>
      </c>
      <c r="C6441" s="1" t="n">
        <v>6</v>
      </c>
      <c r="D6441" s="1" t="s">
        <v>2289</v>
      </c>
      <c r="E6441" s="1" t="n">
        <v>42</v>
      </c>
      <c r="F6441" s="1" t="s">
        <v>80</v>
      </c>
      <c r="I6441" s="1" t="n">
        <v>4459</v>
      </c>
      <c r="J6441" s="1" t="n">
        <v>110265</v>
      </c>
      <c r="K6441" s="1" t="n">
        <v>41346</v>
      </c>
      <c r="L6441" s="1" t="s">
        <v>2478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5" t="n">
        <v>46238</v>
      </c>
      <c r="C6442" s="1" t="n">
        <v>6</v>
      </c>
      <c r="D6442" s="1" t="s">
        <v>2289</v>
      </c>
      <c r="E6442" s="1" t="n">
        <v>42</v>
      </c>
      <c r="F6442" s="1" t="s">
        <v>80</v>
      </c>
      <c r="I6442" s="1" t="n">
        <v>4460</v>
      </c>
      <c r="J6442" s="1" t="n">
        <v>100103</v>
      </c>
      <c r="K6442" s="1" t="n">
        <v>104</v>
      </c>
      <c r="L6442" s="1" t="s">
        <v>2287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5" t="n">
        <v>46238</v>
      </c>
      <c r="C6443" s="1" t="n">
        <v>11</v>
      </c>
      <c r="D6443" s="1" t="s">
        <v>2290</v>
      </c>
      <c r="E6443" s="1" t="n">
        <v>1615</v>
      </c>
      <c r="F6443" s="1" t="s">
        <v>130</v>
      </c>
      <c r="I6443" s="1" t="n">
        <v>15026</v>
      </c>
      <c r="J6443" s="1" t="n">
        <v>100101</v>
      </c>
      <c r="K6443" s="1" t="n">
        <v>102</v>
      </c>
      <c r="L6443" s="1" t="s">
        <v>2671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5" t="n">
        <v>46238</v>
      </c>
      <c r="C6444" s="1" t="n">
        <v>11</v>
      </c>
      <c r="D6444" s="1" t="s">
        <v>2290</v>
      </c>
      <c r="E6444" s="1" t="n">
        <v>1615</v>
      </c>
      <c r="F6444" s="1" t="s">
        <v>130</v>
      </c>
      <c r="I6444" s="1" t="n">
        <v>15026</v>
      </c>
      <c r="J6444" s="1" t="n">
        <v>100114</v>
      </c>
      <c r="K6444" s="1" t="n">
        <v>115</v>
      </c>
      <c r="L6444" s="1" t="s">
        <v>2568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5" t="n">
        <v>46238</v>
      </c>
      <c r="C6445" s="1" t="n">
        <v>11</v>
      </c>
      <c r="D6445" s="1" t="s">
        <v>2290</v>
      </c>
      <c r="E6445" s="1" t="n">
        <v>1605</v>
      </c>
      <c r="F6445" s="1" t="s">
        <v>113</v>
      </c>
      <c r="I6445" s="1" t="n">
        <v>221498</v>
      </c>
      <c r="J6445" s="1" t="n">
        <v>102577</v>
      </c>
      <c r="K6445" s="1" t="n">
        <v>7898080640222</v>
      </c>
      <c r="L6445" s="1" t="s">
        <v>2368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5" t="n">
        <v>46238</v>
      </c>
      <c r="C6446" s="1" t="n">
        <v>11</v>
      </c>
      <c r="D6446" s="1" t="s">
        <v>2290</v>
      </c>
      <c r="E6446" s="1" t="n">
        <v>1605</v>
      </c>
      <c r="F6446" s="1" t="s">
        <v>113</v>
      </c>
      <c r="I6446" s="1" t="n">
        <v>221498</v>
      </c>
      <c r="J6446" s="1" t="n">
        <v>103330</v>
      </c>
      <c r="K6446" s="1" t="n">
        <v>7898080640239</v>
      </c>
      <c r="L6446" s="1" t="s">
        <v>2369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5" t="n">
        <v>46238</v>
      </c>
      <c r="C6447" s="1" t="n">
        <v>11</v>
      </c>
      <c r="D6447" s="1" t="s">
        <v>2290</v>
      </c>
      <c r="E6447" s="1" t="n">
        <v>1605</v>
      </c>
      <c r="F6447" s="1" t="s">
        <v>113</v>
      </c>
      <c r="I6447" s="1" t="n">
        <v>221498</v>
      </c>
      <c r="J6447" s="1" t="n">
        <v>11951</v>
      </c>
      <c r="K6447" s="1" t="n">
        <v>7896096013962</v>
      </c>
      <c r="L6447" s="1" t="s">
        <v>4462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5" t="n">
        <v>46238</v>
      </c>
      <c r="C6448" s="1" t="n">
        <v>11</v>
      </c>
      <c r="D6448" s="1" t="s">
        <v>2290</v>
      </c>
      <c r="E6448" s="1" t="n">
        <v>1605</v>
      </c>
      <c r="F6448" s="1" t="s">
        <v>113</v>
      </c>
      <c r="I6448" s="1" t="n">
        <v>221498</v>
      </c>
      <c r="J6448" s="1" t="n">
        <v>14222</v>
      </c>
      <c r="K6448" s="1" t="n">
        <v>7898080640536</v>
      </c>
      <c r="L6448" s="1" t="s">
        <v>2885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5" t="n">
        <v>46238</v>
      </c>
      <c r="C6449" s="1" t="n">
        <v>11</v>
      </c>
      <c r="D6449" s="1" t="s">
        <v>2290</v>
      </c>
      <c r="E6449" s="1" t="n">
        <v>1605</v>
      </c>
      <c r="F6449" s="1" t="s">
        <v>113</v>
      </c>
      <c r="I6449" s="1" t="n">
        <v>221498</v>
      </c>
      <c r="J6449" s="1" t="n">
        <v>15645</v>
      </c>
      <c r="K6449" s="1" t="n">
        <v>7891999948908</v>
      </c>
      <c r="L6449" s="1" t="s">
        <v>2886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5" t="n">
        <v>46238</v>
      </c>
      <c r="C6450" s="1" t="n">
        <v>11</v>
      </c>
      <c r="D6450" s="1" t="s">
        <v>2290</v>
      </c>
      <c r="E6450" s="1" t="n">
        <v>1605</v>
      </c>
      <c r="F6450" s="1" t="s">
        <v>113</v>
      </c>
      <c r="I6450" s="1" t="n">
        <v>221498</v>
      </c>
      <c r="J6450" s="1" t="n">
        <v>18240</v>
      </c>
      <c r="K6450" s="1" t="n">
        <v>7898080640925</v>
      </c>
      <c r="L6450" s="1" t="s">
        <v>4463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5" t="n">
        <v>46238</v>
      </c>
      <c r="C6451" s="1" t="n">
        <v>11</v>
      </c>
      <c r="D6451" s="1" t="s">
        <v>2290</v>
      </c>
      <c r="E6451" s="1" t="n">
        <v>1605</v>
      </c>
      <c r="F6451" s="1" t="s">
        <v>113</v>
      </c>
      <c r="I6451" s="1" t="n">
        <v>221498</v>
      </c>
      <c r="J6451" s="1" t="n">
        <v>21709</v>
      </c>
      <c r="K6451" s="1" t="n">
        <v>7898080640765</v>
      </c>
      <c r="L6451" s="1" t="s">
        <v>4464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5" t="n">
        <v>46238</v>
      </c>
      <c r="C6452" s="1" t="n">
        <v>11</v>
      </c>
      <c r="D6452" s="1" t="s">
        <v>2290</v>
      </c>
      <c r="E6452" s="1" t="n">
        <v>1656</v>
      </c>
      <c r="F6452" s="1" t="s">
        <v>260</v>
      </c>
      <c r="I6452" s="1" t="n">
        <v>224551</v>
      </c>
      <c r="J6452" s="1" t="n">
        <v>73554</v>
      </c>
      <c r="K6452" s="1" t="n">
        <v>67891032014708</v>
      </c>
      <c r="L6452" s="1" t="s">
        <v>3994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5" t="n">
        <v>46238</v>
      </c>
      <c r="C6453" s="1" t="n">
        <v>11</v>
      </c>
      <c r="D6453" s="1" t="s">
        <v>2290</v>
      </c>
      <c r="E6453" s="1" t="n">
        <v>1656</v>
      </c>
      <c r="F6453" s="1" t="s">
        <v>260</v>
      </c>
      <c r="I6453" s="1" t="n">
        <v>224551</v>
      </c>
      <c r="J6453" s="1" t="n">
        <v>16851</v>
      </c>
      <c r="K6453" s="1" t="n">
        <v>7898901732105</v>
      </c>
      <c r="L6453" s="1" t="s">
        <v>3510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5" t="n">
        <v>46238</v>
      </c>
      <c r="C6454" s="1" t="n">
        <v>11</v>
      </c>
      <c r="D6454" s="1" t="s">
        <v>2290</v>
      </c>
      <c r="E6454" s="1" t="n">
        <v>1656</v>
      </c>
      <c r="F6454" s="1" t="s">
        <v>260</v>
      </c>
      <c r="I6454" s="1" t="n">
        <v>224551</v>
      </c>
      <c r="J6454" s="1" t="n">
        <v>20529</v>
      </c>
      <c r="K6454" s="1" t="n">
        <v>7897235000324</v>
      </c>
      <c r="L6454" s="1" t="s">
        <v>3511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5" t="n">
        <v>46238</v>
      </c>
      <c r="C6455" s="1" t="n">
        <v>11</v>
      </c>
      <c r="D6455" s="1" t="s">
        <v>2290</v>
      </c>
      <c r="E6455" s="1" t="n">
        <v>1656</v>
      </c>
      <c r="F6455" s="1" t="s">
        <v>260</v>
      </c>
      <c r="I6455" s="1" t="n">
        <v>224551</v>
      </c>
      <c r="J6455" s="1" t="n">
        <v>24763</v>
      </c>
      <c r="K6455" s="1" t="n">
        <v>7891091010558</v>
      </c>
      <c r="L6455" s="1" t="s">
        <v>4465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5" t="n">
        <v>46238</v>
      </c>
      <c r="C6456" s="1" t="n">
        <v>11</v>
      </c>
      <c r="D6456" s="1" t="s">
        <v>2290</v>
      </c>
      <c r="E6456" s="1" t="n">
        <v>1656</v>
      </c>
      <c r="F6456" s="1" t="s">
        <v>260</v>
      </c>
      <c r="I6456" s="1" t="n">
        <v>224551</v>
      </c>
      <c r="J6456" s="1" t="n">
        <v>25964</v>
      </c>
      <c r="K6456" s="1" t="n">
        <v>7896763621858</v>
      </c>
      <c r="L6456" s="1" t="s">
        <v>3295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5" t="n">
        <v>46238</v>
      </c>
      <c r="C6457" s="1" t="n">
        <v>11</v>
      </c>
      <c r="D6457" s="1" t="s">
        <v>2290</v>
      </c>
      <c r="E6457" s="1" t="n">
        <v>1656</v>
      </c>
      <c r="F6457" s="1" t="s">
        <v>260</v>
      </c>
      <c r="I6457" s="1" t="n">
        <v>224551</v>
      </c>
      <c r="J6457" s="1" t="n">
        <v>33178</v>
      </c>
      <c r="K6457" s="1" t="n">
        <v>7896327514312</v>
      </c>
      <c r="L6457" s="1" t="s">
        <v>2767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5" t="n">
        <v>46238</v>
      </c>
      <c r="C6458" s="1" t="n">
        <v>11</v>
      </c>
      <c r="D6458" s="1" t="s">
        <v>2290</v>
      </c>
      <c r="E6458" s="1" t="n">
        <v>1656</v>
      </c>
      <c r="F6458" s="1" t="s">
        <v>260</v>
      </c>
      <c r="I6458" s="1" t="n">
        <v>224551</v>
      </c>
      <c r="J6458" s="1" t="n">
        <v>38559</v>
      </c>
      <c r="K6458" s="1" t="n">
        <v>7896327510956</v>
      </c>
      <c r="L6458" s="1" t="s">
        <v>2770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5" t="n">
        <v>46238</v>
      </c>
      <c r="C6459" s="1" t="n">
        <v>11</v>
      </c>
      <c r="D6459" s="1" t="s">
        <v>2290</v>
      </c>
      <c r="E6459" s="1" t="n">
        <v>1656</v>
      </c>
      <c r="F6459" s="1" t="s">
        <v>260</v>
      </c>
      <c r="I6459" s="1" t="n">
        <v>224551</v>
      </c>
      <c r="J6459" s="1" t="n">
        <v>38678</v>
      </c>
      <c r="K6459" s="1" t="n">
        <v>7891091012026</v>
      </c>
      <c r="L6459" s="1" t="s">
        <v>4466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5" t="n">
        <v>46238</v>
      </c>
      <c r="C6460" s="1" t="n">
        <v>11</v>
      </c>
      <c r="D6460" s="1" t="s">
        <v>2290</v>
      </c>
      <c r="E6460" s="1" t="n">
        <v>1656</v>
      </c>
      <c r="F6460" s="1" t="s">
        <v>260</v>
      </c>
      <c r="I6460" s="1" t="n">
        <v>224551</v>
      </c>
      <c r="J6460" s="1" t="n">
        <v>46484</v>
      </c>
      <c r="K6460" s="1" t="n">
        <v>7898969376334</v>
      </c>
      <c r="L6460" s="1" t="s">
        <v>3515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5" t="n">
        <v>46238</v>
      </c>
      <c r="C6461" s="1" t="n">
        <v>11</v>
      </c>
      <c r="D6461" s="1" t="s">
        <v>2290</v>
      </c>
      <c r="E6461" s="1" t="n">
        <v>1656</v>
      </c>
      <c r="F6461" s="1" t="s">
        <v>260</v>
      </c>
      <c r="I6461" s="1" t="n">
        <v>224551</v>
      </c>
      <c r="J6461" s="1" t="n">
        <v>46486</v>
      </c>
      <c r="K6461" s="1" t="n">
        <v>7898969376433</v>
      </c>
      <c r="L6461" s="1" t="s">
        <v>3516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5" t="n">
        <v>46238</v>
      </c>
      <c r="C6462" s="1" t="n">
        <v>11</v>
      </c>
      <c r="D6462" s="1" t="s">
        <v>2290</v>
      </c>
      <c r="E6462" s="1" t="n">
        <v>1656</v>
      </c>
      <c r="F6462" s="1" t="s">
        <v>260</v>
      </c>
      <c r="I6462" s="1" t="n">
        <v>224551</v>
      </c>
      <c r="J6462" s="1" t="n">
        <v>72297</v>
      </c>
      <c r="K6462" s="1" t="n">
        <v>7897240302215</v>
      </c>
      <c r="L6462" s="1" t="s">
        <v>4467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5" t="n">
        <v>46238</v>
      </c>
      <c r="C6463" s="1" t="n">
        <v>11</v>
      </c>
      <c r="D6463" s="1" t="s">
        <v>2290</v>
      </c>
      <c r="E6463" s="1" t="n">
        <v>1656</v>
      </c>
      <c r="F6463" s="1" t="s">
        <v>260</v>
      </c>
      <c r="I6463" s="1" t="n">
        <v>224551</v>
      </c>
      <c r="J6463" s="1" t="n">
        <v>79293</v>
      </c>
      <c r="K6463" s="1" t="n">
        <v>7898962669716</v>
      </c>
      <c r="L6463" s="1" t="s">
        <v>4468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5" t="n">
        <v>46238</v>
      </c>
      <c r="C6464" s="1" t="n">
        <v>11</v>
      </c>
      <c r="D6464" s="1" t="s">
        <v>2290</v>
      </c>
      <c r="E6464" s="1" t="n">
        <v>1656</v>
      </c>
      <c r="F6464" s="1" t="s">
        <v>260</v>
      </c>
      <c r="I6464" s="1" t="n">
        <v>224551</v>
      </c>
      <c r="J6464" s="1" t="n">
        <v>80018</v>
      </c>
      <c r="K6464" s="1" t="n">
        <v>7891091010732</v>
      </c>
      <c r="L6464" s="1" t="s">
        <v>3541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5" t="n">
        <v>46238</v>
      </c>
      <c r="C6465" s="1" t="n">
        <v>11</v>
      </c>
      <c r="D6465" s="1" t="s">
        <v>2290</v>
      </c>
      <c r="E6465" s="1" t="n">
        <v>1708</v>
      </c>
      <c r="F6465" s="1" t="s">
        <v>1613</v>
      </c>
      <c r="I6465" s="1" t="n">
        <v>264696</v>
      </c>
      <c r="J6465" s="1" t="n">
        <v>23272</v>
      </c>
      <c r="K6465" s="1" t="n">
        <v>7898279790400</v>
      </c>
      <c r="L6465" s="1" t="s">
        <v>4469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5" t="n">
        <v>46238</v>
      </c>
      <c r="C6466" s="1" t="n">
        <v>11</v>
      </c>
      <c r="D6466" s="1" t="s">
        <v>2290</v>
      </c>
      <c r="E6466" s="1" t="n">
        <v>1708</v>
      </c>
      <c r="F6466" s="1" t="s">
        <v>1613</v>
      </c>
      <c r="I6466" s="1" t="n">
        <v>264696</v>
      </c>
      <c r="J6466" s="1" t="n">
        <v>23274</v>
      </c>
      <c r="K6466" s="1" t="n">
        <v>7898279790431</v>
      </c>
      <c r="L6466" s="1" t="s">
        <v>4470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5" t="n">
        <v>46238</v>
      </c>
      <c r="C6467" s="1" t="n">
        <v>11</v>
      </c>
      <c r="D6467" s="1" t="s">
        <v>2290</v>
      </c>
      <c r="E6467" s="1" t="n">
        <v>1708</v>
      </c>
      <c r="F6467" s="1" t="s">
        <v>1613</v>
      </c>
      <c r="I6467" s="1" t="n">
        <v>264696</v>
      </c>
      <c r="J6467" s="1" t="n">
        <v>23279</v>
      </c>
      <c r="K6467" s="1" t="n">
        <v>7898279790417</v>
      </c>
      <c r="L6467" s="1" t="s">
        <v>4471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5" t="n">
        <v>46238</v>
      </c>
      <c r="C6468" s="1" t="n">
        <v>11</v>
      </c>
      <c r="D6468" s="1" t="s">
        <v>2290</v>
      </c>
      <c r="E6468" s="1" t="n">
        <v>1708</v>
      </c>
      <c r="F6468" s="1" t="s">
        <v>1613</v>
      </c>
      <c r="I6468" s="1" t="n">
        <v>264696</v>
      </c>
      <c r="J6468" s="1" t="n">
        <v>24311</v>
      </c>
      <c r="K6468" s="1" t="n">
        <v>8410525159619</v>
      </c>
      <c r="L6468" s="1" t="s">
        <v>4472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5" t="n">
        <v>46238</v>
      </c>
      <c r="C6469" s="1" t="n">
        <v>11</v>
      </c>
      <c r="D6469" s="1" t="s">
        <v>2290</v>
      </c>
      <c r="E6469" s="1" t="n">
        <v>1708</v>
      </c>
      <c r="F6469" s="1" t="s">
        <v>1613</v>
      </c>
      <c r="I6469" s="1" t="n">
        <v>264696</v>
      </c>
      <c r="J6469" s="1" t="n">
        <v>25038</v>
      </c>
      <c r="K6469" s="1" t="n">
        <v>8410525146435</v>
      </c>
      <c r="L6469" s="1" t="s">
        <v>4473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5" t="n">
        <v>46238</v>
      </c>
      <c r="C6470" s="1" t="n">
        <v>11</v>
      </c>
      <c r="D6470" s="1" t="s">
        <v>2290</v>
      </c>
      <c r="E6470" s="1" t="n">
        <v>1708</v>
      </c>
      <c r="F6470" s="1" t="s">
        <v>1613</v>
      </c>
      <c r="I6470" s="1" t="n">
        <v>264696</v>
      </c>
      <c r="J6470" s="1" t="n">
        <v>25327</v>
      </c>
      <c r="K6470" s="1" t="n">
        <v>7898279798185</v>
      </c>
      <c r="L6470" s="1" t="s">
        <v>4474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5" t="n">
        <v>46238</v>
      </c>
      <c r="C6471" s="1" t="n">
        <v>11</v>
      </c>
      <c r="D6471" s="1" t="s">
        <v>2290</v>
      </c>
      <c r="E6471" s="1" t="n">
        <v>1708</v>
      </c>
      <c r="F6471" s="1" t="s">
        <v>1613</v>
      </c>
      <c r="I6471" s="1" t="n">
        <v>264696</v>
      </c>
      <c r="J6471" s="1" t="n">
        <v>25659</v>
      </c>
      <c r="K6471" s="1" t="n">
        <v>7898591450648</v>
      </c>
      <c r="L6471" s="1" t="s">
        <v>4475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5" t="n">
        <v>46238</v>
      </c>
      <c r="C6472" s="1" t="n">
        <v>11</v>
      </c>
      <c r="D6472" s="1" t="s">
        <v>2290</v>
      </c>
      <c r="E6472" s="1" t="n">
        <v>1708</v>
      </c>
      <c r="F6472" s="1" t="s">
        <v>1613</v>
      </c>
      <c r="I6472" s="1" t="n">
        <v>264696</v>
      </c>
      <c r="J6472" s="1" t="n">
        <v>25661</v>
      </c>
      <c r="K6472" s="1" t="n">
        <v>7898591450686</v>
      </c>
      <c r="L6472" s="1" t="s">
        <v>2590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5" t="n">
        <v>46238</v>
      </c>
      <c r="C6473" s="1" t="n">
        <v>11</v>
      </c>
      <c r="D6473" s="1" t="s">
        <v>2290</v>
      </c>
      <c r="E6473" s="1" t="n">
        <v>1708</v>
      </c>
      <c r="F6473" s="1" t="s">
        <v>1613</v>
      </c>
      <c r="I6473" s="1" t="n">
        <v>264696</v>
      </c>
      <c r="J6473" s="1" t="n">
        <v>25662</v>
      </c>
      <c r="K6473" s="1" t="n">
        <v>7898591450662</v>
      </c>
      <c r="L6473" s="1" t="s">
        <v>2591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5" t="n">
        <v>46238</v>
      </c>
      <c r="C6474" s="1" t="n">
        <v>11</v>
      </c>
      <c r="D6474" s="1" t="s">
        <v>2290</v>
      </c>
      <c r="E6474" s="1" t="n">
        <v>1708</v>
      </c>
      <c r="F6474" s="1" t="s">
        <v>1613</v>
      </c>
      <c r="I6474" s="1" t="n">
        <v>264696</v>
      </c>
      <c r="J6474" s="1" t="n">
        <v>26370</v>
      </c>
      <c r="K6474" s="1" t="n">
        <v>7898591453595</v>
      </c>
      <c r="L6474" s="1" t="s">
        <v>4476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5" t="n">
        <v>46238</v>
      </c>
      <c r="C6475" s="1" t="n">
        <v>11</v>
      </c>
      <c r="D6475" s="1" t="s">
        <v>2290</v>
      </c>
      <c r="E6475" s="1" t="n">
        <v>1708</v>
      </c>
      <c r="F6475" s="1" t="s">
        <v>1613</v>
      </c>
      <c r="I6475" s="1" t="n">
        <v>264696</v>
      </c>
      <c r="J6475" s="1" t="n">
        <v>36473</v>
      </c>
      <c r="K6475" s="1" t="n">
        <v>7896383073495</v>
      </c>
      <c r="L6475" s="1" t="s">
        <v>3129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5" t="n">
        <v>46238</v>
      </c>
      <c r="C6476" s="1" t="n">
        <v>11</v>
      </c>
      <c r="D6476" s="1" t="s">
        <v>2290</v>
      </c>
      <c r="E6476" s="1" t="n">
        <v>1708</v>
      </c>
      <c r="F6476" s="1" t="s">
        <v>1613</v>
      </c>
      <c r="I6476" s="1" t="n">
        <v>264696</v>
      </c>
      <c r="J6476" s="1" t="n">
        <v>39637</v>
      </c>
      <c r="K6476" s="1" t="n">
        <v>7896383074034</v>
      </c>
      <c r="L6476" s="1" t="s">
        <v>4477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5" t="n">
        <v>46238</v>
      </c>
      <c r="C6477" s="1" t="n">
        <v>11</v>
      </c>
      <c r="D6477" s="1" t="s">
        <v>2290</v>
      </c>
      <c r="E6477" s="1" t="n">
        <v>1708</v>
      </c>
      <c r="F6477" s="1" t="s">
        <v>1613</v>
      </c>
      <c r="I6477" s="1" t="n">
        <v>264696</v>
      </c>
      <c r="J6477" s="1" t="n">
        <v>43023</v>
      </c>
      <c r="K6477" s="1" t="n">
        <v>7896202891798</v>
      </c>
      <c r="L6477" s="1" t="s">
        <v>4478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5" t="n">
        <v>46238</v>
      </c>
      <c r="C6478" s="1" t="n">
        <v>11</v>
      </c>
      <c r="D6478" s="1" t="s">
        <v>2290</v>
      </c>
      <c r="E6478" s="1" t="n">
        <v>1708</v>
      </c>
      <c r="F6478" s="1" t="s">
        <v>1613</v>
      </c>
      <c r="I6478" s="1" t="n">
        <v>264696</v>
      </c>
      <c r="J6478" s="1" t="n">
        <v>45059</v>
      </c>
      <c r="K6478" s="1" t="n">
        <v>7896202891866</v>
      </c>
      <c r="L6478" s="1" t="s">
        <v>4479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5" t="n">
        <v>46238</v>
      </c>
      <c r="C6479" s="1" t="n">
        <v>11</v>
      </c>
      <c r="D6479" s="1" t="s">
        <v>2290</v>
      </c>
      <c r="E6479" s="1" t="n">
        <v>1708</v>
      </c>
      <c r="F6479" s="1" t="s">
        <v>1613</v>
      </c>
      <c r="I6479" s="1" t="n">
        <v>264696</v>
      </c>
      <c r="J6479" s="1" t="n">
        <v>45456</v>
      </c>
      <c r="K6479" s="1" t="n">
        <v>7896306609893</v>
      </c>
      <c r="L6479" s="1" t="s">
        <v>4480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5" t="n">
        <v>46238</v>
      </c>
      <c r="C6480" s="1" t="n">
        <v>11</v>
      </c>
      <c r="D6480" s="1" t="s">
        <v>2290</v>
      </c>
      <c r="E6480" s="1" t="n">
        <v>1708</v>
      </c>
      <c r="F6480" s="1" t="s">
        <v>1613</v>
      </c>
      <c r="I6480" s="1" t="n">
        <v>264696</v>
      </c>
      <c r="J6480" s="1" t="n">
        <v>45457</v>
      </c>
      <c r="K6480" s="1" t="n">
        <v>7896306617683</v>
      </c>
      <c r="L6480" s="1" t="s">
        <v>4481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5" t="n">
        <v>46238</v>
      </c>
      <c r="C6481" s="1" t="n">
        <v>11</v>
      </c>
      <c r="D6481" s="1" t="s">
        <v>2290</v>
      </c>
      <c r="E6481" s="1" t="n">
        <v>1708</v>
      </c>
      <c r="F6481" s="1" t="s">
        <v>1613</v>
      </c>
      <c r="I6481" s="1" t="n">
        <v>264696</v>
      </c>
      <c r="J6481" s="1" t="n">
        <v>45465</v>
      </c>
      <c r="K6481" s="1" t="n">
        <v>7898405064283</v>
      </c>
      <c r="L6481" s="1" t="s">
        <v>4482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5" t="n">
        <v>46238</v>
      </c>
      <c r="C6482" s="1" t="n">
        <v>11</v>
      </c>
      <c r="D6482" s="1" t="s">
        <v>2290</v>
      </c>
      <c r="E6482" s="1" t="n">
        <v>1708</v>
      </c>
      <c r="F6482" s="1" t="s">
        <v>1613</v>
      </c>
      <c r="I6482" s="1" t="n">
        <v>264696</v>
      </c>
      <c r="J6482" s="1" t="n">
        <v>47444</v>
      </c>
      <c r="K6482" s="1" t="n">
        <v>7896306617706</v>
      </c>
      <c r="L6482" s="1" t="s">
        <v>4483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5" t="n">
        <v>46238</v>
      </c>
      <c r="C6483" s="1" t="n">
        <v>11</v>
      </c>
      <c r="D6483" s="1" t="s">
        <v>2290</v>
      </c>
      <c r="E6483" s="1" t="n">
        <v>1708</v>
      </c>
      <c r="F6483" s="1" t="s">
        <v>1613</v>
      </c>
      <c r="I6483" s="1" t="n">
        <v>264696</v>
      </c>
      <c r="J6483" s="1" t="n">
        <v>58872</v>
      </c>
      <c r="K6483" s="1" t="n">
        <v>7898656685152</v>
      </c>
      <c r="L6483" s="1" t="s">
        <v>4484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5" t="n">
        <v>46238</v>
      </c>
      <c r="C6484" s="1" t="n">
        <v>11</v>
      </c>
      <c r="D6484" s="1" t="s">
        <v>2290</v>
      </c>
      <c r="E6484" s="1" t="n">
        <v>1708</v>
      </c>
      <c r="F6484" s="1" t="s">
        <v>1613</v>
      </c>
      <c r="I6484" s="1" t="n">
        <v>264696</v>
      </c>
      <c r="J6484" s="1" t="n">
        <v>60562</v>
      </c>
      <c r="K6484" s="1" t="n">
        <v>7898405063941</v>
      </c>
      <c r="L6484" s="1" t="s">
        <v>4485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5" t="n">
        <v>46238</v>
      </c>
      <c r="C6485" s="1" t="n">
        <v>11</v>
      </c>
      <c r="D6485" s="1" t="s">
        <v>2290</v>
      </c>
      <c r="E6485" s="1" t="n">
        <v>1708</v>
      </c>
      <c r="F6485" s="1" t="s">
        <v>1613</v>
      </c>
      <c r="I6485" s="1" t="n">
        <v>264696</v>
      </c>
      <c r="J6485" s="1" t="n">
        <v>62306</v>
      </c>
      <c r="K6485" s="1" t="n">
        <v>7898591453434</v>
      </c>
      <c r="L6485" s="1" t="s">
        <v>4486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5" t="n">
        <v>46238</v>
      </c>
      <c r="C6486" s="1" t="n">
        <v>11</v>
      </c>
      <c r="D6486" s="1" t="s">
        <v>2290</v>
      </c>
      <c r="E6486" s="1" t="n">
        <v>1708</v>
      </c>
      <c r="F6486" s="1" t="s">
        <v>1613</v>
      </c>
      <c r="I6486" s="1" t="n">
        <v>264696</v>
      </c>
      <c r="J6486" s="1" t="n">
        <v>65106</v>
      </c>
      <c r="K6486" s="1" t="n">
        <v>7896306624261</v>
      </c>
      <c r="L6486" s="1" t="s">
        <v>4487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5" t="n">
        <v>46238</v>
      </c>
      <c r="C6487" s="1" t="n">
        <v>11</v>
      </c>
      <c r="D6487" s="1" t="s">
        <v>2290</v>
      </c>
      <c r="E6487" s="1" t="n">
        <v>1708</v>
      </c>
      <c r="F6487" s="1" t="s">
        <v>1613</v>
      </c>
      <c r="I6487" s="1" t="n">
        <v>264696</v>
      </c>
      <c r="J6487" s="1" t="n">
        <v>67399</v>
      </c>
      <c r="K6487" s="1" t="n">
        <v>7908228805120</v>
      </c>
      <c r="L6487" s="1" t="s">
        <v>4488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5" t="n">
        <v>46238</v>
      </c>
      <c r="C6488" s="1" t="n">
        <v>11</v>
      </c>
      <c r="D6488" s="1" t="s">
        <v>2290</v>
      </c>
      <c r="E6488" s="1" t="n">
        <v>1708</v>
      </c>
      <c r="F6488" s="1" t="s">
        <v>1613</v>
      </c>
      <c r="I6488" s="1" t="n">
        <v>264696</v>
      </c>
      <c r="J6488" s="1" t="n">
        <v>81995</v>
      </c>
      <c r="K6488" s="1" t="n">
        <v>7898656685121</v>
      </c>
      <c r="L6488" s="1" t="s">
        <v>4489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5" t="n">
        <v>46238</v>
      </c>
      <c r="C6489" s="1" t="n">
        <v>11</v>
      </c>
      <c r="D6489" s="1" t="s">
        <v>2290</v>
      </c>
      <c r="E6489" s="1" t="n">
        <v>1708</v>
      </c>
      <c r="F6489" s="1" t="s">
        <v>1613</v>
      </c>
      <c r="I6489" s="1" t="n">
        <v>264696</v>
      </c>
      <c r="J6489" s="1" t="n">
        <v>81996</v>
      </c>
      <c r="K6489" s="1" t="n">
        <v>7898656685091</v>
      </c>
      <c r="L6489" s="1" t="s">
        <v>4490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5" t="n">
        <v>46238</v>
      </c>
      <c r="C6490" s="1" t="n">
        <v>11</v>
      </c>
      <c r="D6490" s="1" t="s">
        <v>2290</v>
      </c>
      <c r="E6490" s="1" t="n">
        <v>1708</v>
      </c>
      <c r="F6490" s="1" t="s">
        <v>1613</v>
      </c>
      <c r="I6490" s="1" t="n">
        <v>264696</v>
      </c>
      <c r="J6490" s="1" t="n">
        <v>81997</v>
      </c>
      <c r="K6490" s="1" t="n">
        <v>7898656685916</v>
      </c>
      <c r="L6490" s="1" t="s">
        <v>4491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5" t="n">
        <v>46238</v>
      </c>
      <c r="C6491" s="1" t="n">
        <v>11</v>
      </c>
      <c r="D6491" s="1" t="s">
        <v>2290</v>
      </c>
      <c r="E6491" s="1" t="n">
        <v>10009</v>
      </c>
      <c r="F6491" s="1" t="s">
        <v>373</v>
      </c>
      <c r="I6491" s="1" t="n">
        <v>1434035</v>
      </c>
      <c r="J6491" s="1" t="n">
        <v>81180</v>
      </c>
      <c r="K6491" s="1" t="n">
        <v>7891000457368</v>
      </c>
      <c r="L6491" s="1" t="s">
        <v>2616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5" t="n">
        <v>46238</v>
      </c>
      <c r="C6492" s="1" t="n">
        <v>11</v>
      </c>
      <c r="D6492" s="1" t="s">
        <v>2290</v>
      </c>
      <c r="E6492" s="1" t="n">
        <v>10009</v>
      </c>
      <c r="F6492" s="1" t="s">
        <v>373</v>
      </c>
      <c r="I6492" s="1" t="n">
        <v>1434035</v>
      </c>
      <c r="J6492" s="1" t="n">
        <v>81983</v>
      </c>
      <c r="K6492" s="1" t="n">
        <v>7891000452158</v>
      </c>
      <c r="L6492" s="1" t="s">
        <v>4492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5" t="n">
        <v>46238</v>
      </c>
      <c r="C6493" s="1" t="n">
        <v>11</v>
      </c>
      <c r="D6493" s="1" t="s">
        <v>2290</v>
      </c>
      <c r="E6493" s="1" t="n">
        <v>10009</v>
      </c>
      <c r="F6493" s="1" t="s">
        <v>373</v>
      </c>
      <c r="I6493" s="1" t="n">
        <v>1434035</v>
      </c>
      <c r="J6493" s="1" t="n">
        <v>81984</v>
      </c>
      <c r="K6493" s="1" t="n">
        <v>7891000452165</v>
      </c>
      <c r="L6493" s="1" t="s">
        <v>4493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5" t="n">
        <v>46238</v>
      </c>
      <c r="C6494" s="1" t="n">
        <v>11</v>
      </c>
      <c r="D6494" s="1" t="s">
        <v>2290</v>
      </c>
      <c r="E6494" s="1" t="n">
        <v>10009</v>
      </c>
      <c r="F6494" s="1" t="s">
        <v>373</v>
      </c>
      <c r="I6494" s="1" t="n">
        <v>1434035</v>
      </c>
      <c r="J6494" s="1" t="n">
        <v>81985</v>
      </c>
      <c r="K6494" s="1" t="n">
        <v>7891000477274</v>
      </c>
      <c r="L6494" s="1" t="s">
        <v>4494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5" t="n">
        <v>46238</v>
      </c>
      <c r="C6495" s="1" t="n">
        <v>11</v>
      </c>
      <c r="D6495" s="1" t="s">
        <v>2290</v>
      </c>
      <c r="E6495" s="1" t="n">
        <v>10009</v>
      </c>
      <c r="F6495" s="1" t="s">
        <v>373</v>
      </c>
      <c r="I6495" s="1" t="n">
        <v>1434035</v>
      </c>
      <c r="J6495" s="1" t="n">
        <v>81986</v>
      </c>
      <c r="K6495" s="1" t="n">
        <v>7891000477366</v>
      </c>
      <c r="L6495" s="1" t="s">
        <v>4495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5" t="n">
        <v>46238</v>
      </c>
      <c r="C6496" s="1" t="n">
        <v>39</v>
      </c>
      <c r="D6496" s="1" t="s">
        <v>2515</v>
      </c>
      <c r="E6496" s="1" t="n">
        <v>10101</v>
      </c>
      <c r="F6496" s="1" t="s">
        <v>1713</v>
      </c>
      <c r="I6496" s="1" t="n">
        <v>259616</v>
      </c>
      <c r="J6496" s="1" t="n">
        <v>81981</v>
      </c>
      <c r="K6496" s="1" t="n">
        <v>7892597355969</v>
      </c>
      <c r="L6496" s="1" t="s">
        <v>4496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5" t="n">
        <v>46238</v>
      </c>
      <c r="C6497" s="1" t="n">
        <v>39</v>
      </c>
      <c r="D6497" s="1" t="s">
        <v>2515</v>
      </c>
      <c r="E6497" s="1" t="n">
        <v>10101</v>
      </c>
      <c r="F6497" s="1" t="s">
        <v>1713</v>
      </c>
      <c r="I6497" s="1" t="n">
        <v>259616</v>
      </c>
      <c r="J6497" s="1" t="n">
        <v>81982</v>
      </c>
      <c r="K6497" s="1" t="n">
        <v>7898945166324</v>
      </c>
      <c r="L6497" s="1" t="s">
        <v>4497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5" t="n">
        <v>46238</v>
      </c>
      <c r="C6498" s="1" t="n">
        <v>171</v>
      </c>
      <c r="D6498" s="1" t="s">
        <v>2517</v>
      </c>
      <c r="E6498" s="1" t="n">
        <v>1656</v>
      </c>
      <c r="F6498" s="1" t="s">
        <v>260</v>
      </c>
      <c r="I6498" s="1" t="n">
        <v>224552</v>
      </c>
      <c r="J6498" s="1" t="n">
        <v>81994</v>
      </c>
      <c r="K6498" s="1" t="n">
        <v>7891091010664</v>
      </c>
      <c r="L6498" s="1" t="s">
        <v>4498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5" t="n">
        <v>46239</v>
      </c>
      <c r="C6499" s="1" t="n">
        <v>6</v>
      </c>
      <c r="D6499" s="1" t="s">
        <v>2289</v>
      </c>
      <c r="E6499" s="1" t="n">
        <v>42</v>
      </c>
      <c r="F6499" s="1" t="s">
        <v>80</v>
      </c>
      <c r="I6499" s="1" t="n">
        <v>4463</v>
      </c>
      <c r="J6499" s="1" t="n">
        <v>109791</v>
      </c>
      <c r="K6499" s="1" t="n">
        <v>9667</v>
      </c>
      <c r="L6499" s="1" t="s">
        <v>2284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5" t="n">
        <v>46239</v>
      </c>
      <c r="C6500" s="1" t="n">
        <v>6</v>
      </c>
      <c r="D6500" s="1" t="s">
        <v>2289</v>
      </c>
      <c r="E6500" s="1" t="n">
        <v>42</v>
      </c>
      <c r="F6500" s="1" t="s">
        <v>80</v>
      </c>
      <c r="I6500" s="1" t="n">
        <v>4463</v>
      </c>
      <c r="J6500" s="1" t="n">
        <v>37359</v>
      </c>
      <c r="K6500" s="1" t="n">
        <v>55526</v>
      </c>
      <c r="L6500" s="1" t="s">
        <v>2285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5" t="n">
        <v>46239</v>
      </c>
      <c r="C6501" s="1" t="n">
        <v>6</v>
      </c>
      <c r="D6501" s="1" t="s">
        <v>2289</v>
      </c>
      <c r="E6501" s="1" t="n">
        <v>42</v>
      </c>
      <c r="F6501" s="1" t="s">
        <v>80</v>
      </c>
      <c r="I6501" s="1" t="n">
        <v>4463</v>
      </c>
      <c r="J6501" s="1" t="n">
        <v>37361</v>
      </c>
      <c r="K6501" s="1" t="n">
        <v>2240817</v>
      </c>
      <c r="L6501" s="1" t="s">
        <v>2286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5" t="n">
        <v>46239</v>
      </c>
      <c r="C6502" s="1" t="n">
        <v>6</v>
      </c>
      <c r="D6502" s="1" t="s">
        <v>2289</v>
      </c>
      <c r="E6502" s="1" t="n">
        <v>42</v>
      </c>
      <c r="F6502" s="1" t="s">
        <v>80</v>
      </c>
      <c r="I6502" s="1" t="n">
        <v>4464</v>
      </c>
      <c r="J6502" s="1" t="n">
        <v>100103</v>
      </c>
      <c r="K6502" s="1" t="n">
        <v>104</v>
      </c>
      <c r="L6502" s="1" t="s">
        <v>2287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5" t="n">
        <v>46239</v>
      </c>
      <c r="C6503" s="1" t="n">
        <v>11</v>
      </c>
      <c r="D6503" s="1" t="s">
        <v>2290</v>
      </c>
      <c r="E6503" s="1" t="n">
        <v>10096</v>
      </c>
      <c r="F6503" s="1" t="s">
        <v>1232</v>
      </c>
      <c r="I6503" s="1" t="n">
        <v>118</v>
      </c>
      <c r="J6503" s="1" t="n">
        <v>61580</v>
      </c>
      <c r="K6503" s="1" t="n">
        <v>2258157</v>
      </c>
      <c r="L6503" s="1" t="s">
        <v>2339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5" t="n">
        <v>46239</v>
      </c>
      <c r="C6504" s="1" t="n">
        <v>11</v>
      </c>
      <c r="D6504" s="1" t="s">
        <v>2290</v>
      </c>
      <c r="E6504" s="1" t="n">
        <v>1185</v>
      </c>
      <c r="F6504" s="1" t="s">
        <v>167</v>
      </c>
      <c r="I6504" s="1" t="n">
        <v>393</v>
      </c>
      <c r="J6504" s="1" t="n">
        <v>105612</v>
      </c>
      <c r="K6504" s="1" t="n">
        <v>7896959500226</v>
      </c>
      <c r="L6504" s="1" t="s">
        <v>4499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5" t="n">
        <v>46239</v>
      </c>
      <c r="C6505" s="1" t="n">
        <v>11</v>
      </c>
      <c r="D6505" s="1" t="s">
        <v>2290</v>
      </c>
      <c r="E6505" s="1" t="n">
        <v>1185</v>
      </c>
      <c r="F6505" s="1" t="s">
        <v>167</v>
      </c>
      <c r="I6505" s="1" t="n">
        <v>393</v>
      </c>
      <c r="J6505" s="1" t="n">
        <v>106966</v>
      </c>
      <c r="K6505" s="1" t="n">
        <v>7896959500233</v>
      </c>
      <c r="L6505" s="1" t="s">
        <v>3649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5" t="n">
        <v>46239</v>
      </c>
      <c r="C6506" s="1" t="n">
        <v>11</v>
      </c>
      <c r="D6506" s="1" t="s">
        <v>2290</v>
      </c>
      <c r="E6506" s="1" t="n">
        <v>1185</v>
      </c>
      <c r="F6506" s="1" t="s">
        <v>167</v>
      </c>
      <c r="I6506" s="1" t="n">
        <v>393</v>
      </c>
      <c r="J6506" s="1" t="n">
        <v>107159</v>
      </c>
      <c r="K6506" s="1" t="n">
        <v>7896959500042</v>
      </c>
      <c r="L6506" s="1" t="s">
        <v>3651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5" t="n">
        <v>46239</v>
      </c>
      <c r="C6507" s="1" t="n">
        <v>11</v>
      </c>
      <c r="D6507" s="1" t="s">
        <v>2290</v>
      </c>
      <c r="E6507" s="1" t="n">
        <v>1185</v>
      </c>
      <c r="F6507" s="1" t="s">
        <v>167</v>
      </c>
      <c r="I6507" s="1" t="n">
        <v>393</v>
      </c>
      <c r="J6507" s="1" t="n">
        <v>107163</v>
      </c>
      <c r="K6507" s="1" t="n">
        <v>7896959500141</v>
      </c>
      <c r="L6507" s="1" t="s">
        <v>3652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5" t="n">
        <v>46239</v>
      </c>
      <c r="C6508" s="1" t="n">
        <v>11</v>
      </c>
      <c r="D6508" s="1" t="s">
        <v>2290</v>
      </c>
      <c r="E6508" s="1" t="n">
        <v>1185</v>
      </c>
      <c r="F6508" s="1" t="s">
        <v>167</v>
      </c>
      <c r="I6508" s="1" t="n">
        <v>393</v>
      </c>
      <c r="J6508" s="1" t="n">
        <v>107172</v>
      </c>
      <c r="K6508" s="1" t="n">
        <v>7896959500011</v>
      </c>
      <c r="L6508" s="1" t="s">
        <v>3653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5" t="n">
        <v>46239</v>
      </c>
      <c r="C6509" s="1" t="n">
        <v>11</v>
      </c>
      <c r="D6509" s="1" t="s">
        <v>2290</v>
      </c>
      <c r="E6509" s="1" t="n">
        <v>1185</v>
      </c>
      <c r="F6509" s="1" t="s">
        <v>167</v>
      </c>
      <c r="I6509" s="1" t="n">
        <v>393</v>
      </c>
      <c r="J6509" s="1" t="n">
        <v>107173</v>
      </c>
      <c r="K6509" s="1" t="n">
        <v>7896959500028</v>
      </c>
      <c r="L6509" s="1" t="s">
        <v>4500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5" t="n">
        <v>46239</v>
      </c>
      <c r="C6510" s="1" t="n">
        <v>11</v>
      </c>
      <c r="D6510" s="1" t="s">
        <v>2290</v>
      </c>
      <c r="E6510" s="1" t="n">
        <v>1185</v>
      </c>
      <c r="F6510" s="1" t="s">
        <v>167</v>
      </c>
      <c r="I6510" s="1" t="n">
        <v>393</v>
      </c>
      <c r="J6510" s="1" t="n">
        <v>107174</v>
      </c>
      <c r="K6510" s="1" t="n">
        <v>7896959500066</v>
      </c>
      <c r="L6510" s="1" t="s">
        <v>3654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5" t="n">
        <v>46239</v>
      </c>
      <c r="C6511" s="1" t="n">
        <v>11</v>
      </c>
      <c r="D6511" s="1" t="s">
        <v>2290</v>
      </c>
      <c r="E6511" s="1" t="n">
        <v>1185</v>
      </c>
      <c r="F6511" s="1" t="s">
        <v>167</v>
      </c>
      <c r="I6511" s="1" t="n">
        <v>393</v>
      </c>
      <c r="J6511" s="1" t="n">
        <v>107175</v>
      </c>
      <c r="K6511" s="1" t="n">
        <v>7896959500219</v>
      </c>
      <c r="L6511" s="1" t="s">
        <v>3655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5" t="n">
        <v>46239</v>
      </c>
      <c r="C6512" s="1" t="n">
        <v>11</v>
      </c>
      <c r="D6512" s="1" t="s">
        <v>2290</v>
      </c>
      <c r="E6512" s="1" t="n">
        <v>1185</v>
      </c>
      <c r="F6512" s="1" t="s">
        <v>167</v>
      </c>
      <c r="I6512" s="1" t="n">
        <v>393</v>
      </c>
      <c r="J6512" s="1" t="n">
        <v>107179</v>
      </c>
      <c r="K6512" s="1" t="n">
        <v>7896959500455</v>
      </c>
      <c r="L6512" s="1" t="s">
        <v>4501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5" t="n">
        <v>46239</v>
      </c>
      <c r="C6513" s="1" t="n">
        <v>11</v>
      </c>
      <c r="D6513" s="1" t="s">
        <v>2290</v>
      </c>
      <c r="E6513" s="1" t="n">
        <v>1185</v>
      </c>
      <c r="F6513" s="1" t="s">
        <v>167</v>
      </c>
      <c r="I6513" s="1" t="n">
        <v>393</v>
      </c>
      <c r="J6513" s="1" t="n">
        <v>107189</v>
      </c>
      <c r="K6513" s="1" t="n">
        <v>7896959500417</v>
      </c>
      <c r="L6513" s="1" t="s">
        <v>4502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5" t="n">
        <v>46239</v>
      </c>
      <c r="C6514" s="1" t="n">
        <v>11</v>
      </c>
      <c r="D6514" s="1" t="s">
        <v>2290</v>
      </c>
      <c r="E6514" s="1" t="n">
        <v>1185</v>
      </c>
      <c r="F6514" s="1" t="s">
        <v>167</v>
      </c>
      <c r="I6514" s="1" t="n">
        <v>393</v>
      </c>
      <c r="J6514" s="1" t="n">
        <v>65160</v>
      </c>
      <c r="K6514" s="1" t="n">
        <v>7896959500110</v>
      </c>
      <c r="L6514" s="1" t="s">
        <v>4503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5" t="n">
        <v>46239</v>
      </c>
      <c r="C6515" s="1" t="n">
        <v>11</v>
      </c>
      <c r="D6515" s="1" t="s">
        <v>2290</v>
      </c>
      <c r="E6515" s="1" t="n">
        <v>1185</v>
      </c>
      <c r="F6515" s="1" t="s">
        <v>167</v>
      </c>
      <c r="I6515" s="1" t="n">
        <v>393</v>
      </c>
      <c r="J6515" s="1" t="n">
        <v>65165</v>
      </c>
      <c r="K6515" s="1" t="n">
        <v>7896959500158</v>
      </c>
      <c r="L6515" s="1" t="s">
        <v>3658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5" t="n">
        <v>46239</v>
      </c>
      <c r="C6516" s="1" t="n">
        <v>11</v>
      </c>
      <c r="D6516" s="1" t="s">
        <v>2290</v>
      </c>
      <c r="E6516" s="1" t="n">
        <v>1185</v>
      </c>
      <c r="F6516" s="1" t="s">
        <v>167</v>
      </c>
      <c r="I6516" s="1" t="n">
        <v>393</v>
      </c>
      <c r="J6516" s="1" t="n">
        <v>65171</v>
      </c>
      <c r="K6516" s="1" t="n">
        <v>7896959500202</v>
      </c>
      <c r="L6516" s="1" t="s">
        <v>4504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5" t="n">
        <v>46239</v>
      </c>
      <c r="C6517" s="1" t="n">
        <v>11</v>
      </c>
      <c r="D6517" s="1" t="s">
        <v>2290</v>
      </c>
      <c r="E6517" s="1" t="n">
        <v>1185</v>
      </c>
      <c r="F6517" s="1" t="s">
        <v>167</v>
      </c>
      <c r="I6517" s="1" t="n">
        <v>393</v>
      </c>
      <c r="J6517" s="1" t="n">
        <v>66381</v>
      </c>
      <c r="K6517" s="1" t="n">
        <v>40141989710</v>
      </c>
      <c r="L6517" s="1" t="s">
        <v>3659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5" t="n">
        <v>46239</v>
      </c>
      <c r="C6518" s="1" t="n">
        <v>11</v>
      </c>
      <c r="D6518" s="1" t="s">
        <v>2290</v>
      </c>
      <c r="E6518" s="1" t="n">
        <v>1185</v>
      </c>
      <c r="F6518" s="1" t="s">
        <v>167</v>
      </c>
      <c r="I6518" s="1" t="n">
        <v>393</v>
      </c>
      <c r="J6518" s="1" t="n">
        <v>66384</v>
      </c>
      <c r="K6518" s="1" t="n">
        <v>40141989628</v>
      </c>
      <c r="L6518" s="1" t="s">
        <v>3660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5" t="n">
        <v>46239</v>
      </c>
      <c r="C6519" s="1" t="n">
        <v>11</v>
      </c>
      <c r="D6519" s="1" t="s">
        <v>2290</v>
      </c>
      <c r="E6519" s="1" t="n">
        <v>1185</v>
      </c>
      <c r="F6519" s="1" t="s">
        <v>167</v>
      </c>
      <c r="I6519" s="1" t="n">
        <v>393</v>
      </c>
      <c r="J6519" s="1" t="n">
        <v>66385</v>
      </c>
      <c r="K6519" s="1" t="n">
        <v>40141989666</v>
      </c>
      <c r="L6519" s="1" t="s">
        <v>3661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5" t="n">
        <v>46239</v>
      </c>
      <c r="C6520" s="1" t="n">
        <v>11</v>
      </c>
      <c r="D6520" s="1" t="s">
        <v>2290</v>
      </c>
      <c r="E6520" s="1" t="n">
        <v>1185</v>
      </c>
      <c r="F6520" s="1" t="s">
        <v>167</v>
      </c>
      <c r="I6520" s="1" t="n">
        <v>393</v>
      </c>
      <c r="J6520" s="1" t="n">
        <v>66391</v>
      </c>
      <c r="K6520" s="1" t="n">
        <v>7896959500424</v>
      </c>
      <c r="L6520" s="1" t="s">
        <v>4505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5" t="n">
        <v>46239</v>
      </c>
      <c r="C6521" s="1" t="n">
        <v>11</v>
      </c>
      <c r="D6521" s="1" t="s">
        <v>2290</v>
      </c>
      <c r="E6521" s="1" t="n">
        <v>1185</v>
      </c>
      <c r="F6521" s="1" t="s">
        <v>167</v>
      </c>
      <c r="I6521" s="1" t="n">
        <v>393</v>
      </c>
      <c r="J6521" s="1" t="n">
        <v>66397</v>
      </c>
      <c r="K6521" s="1" t="n">
        <v>7896959500370</v>
      </c>
      <c r="L6521" s="1" t="s">
        <v>3662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5" t="n">
        <v>46239</v>
      </c>
      <c r="C6522" s="1" t="n">
        <v>11</v>
      </c>
      <c r="D6522" s="1" t="s">
        <v>2290</v>
      </c>
      <c r="E6522" s="1" t="n">
        <v>1185</v>
      </c>
      <c r="F6522" s="1" t="s">
        <v>167</v>
      </c>
      <c r="I6522" s="1" t="n">
        <v>393</v>
      </c>
      <c r="J6522" s="1" t="n">
        <v>66757</v>
      </c>
      <c r="K6522" s="1" t="n">
        <v>40141989697</v>
      </c>
      <c r="L6522" s="1" t="s">
        <v>3663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5" t="n">
        <v>46239</v>
      </c>
      <c r="C6523" s="1" t="n">
        <v>11</v>
      </c>
      <c r="D6523" s="1" t="s">
        <v>2290</v>
      </c>
      <c r="E6523" s="1" t="n">
        <v>1185</v>
      </c>
      <c r="F6523" s="1" t="s">
        <v>167</v>
      </c>
      <c r="I6523" s="1" t="n">
        <v>393</v>
      </c>
      <c r="J6523" s="1" t="n">
        <v>66758</v>
      </c>
      <c r="K6523" s="1" t="n">
        <v>40141989642</v>
      </c>
      <c r="L6523" s="1" t="s">
        <v>4506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5" t="n">
        <v>46239</v>
      </c>
      <c r="C6524" s="1" t="n">
        <v>11</v>
      </c>
      <c r="D6524" s="1" t="s">
        <v>2290</v>
      </c>
      <c r="E6524" s="1" t="n">
        <v>1185</v>
      </c>
      <c r="F6524" s="1" t="s">
        <v>167</v>
      </c>
      <c r="I6524" s="1" t="n">
        <v>393</v>
      </c>
      <c r="J6524" s="1" t="n">
        <v>66760</v>
      </c>
      <c r="K6524" s="1" t="n">
        <v>40141989703</v>
      </c>
      <c r="L6524" s="1" t="s">
        <v>3664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5" t="n">
        <v>46239</v>
      </c>
      <c r="C6525" s="1" t="n">
        <v>11</v>
      </c>
      <c r="D6525" s="1" t="s">
        <v>2290</v>
      </c>
      <c r="E6525" s="1" t="n">
        <v>1185</v>
      </c>
      <c r="F6525" s="1" t="s">
        <v>167</v>
      </c>
      <c r="I6525" s="1" t="n">
        <v>393</v>
      </c>
      <c r="J6525" s="1" t="n">
        <v>66761</v>
      </c>
      <c r="K6525" s="1" t="n">
        <v>40141989680</v>
      </c>
      <c r="L6525" s="1" t="s">
        <v>3665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5" t="n">
        <v>46239</v>
      </c>
      <c r="C6526" s="1" t="n">
        <v>11</v>
      </c>
      <c r="D6526" s="1" t="s">
        <v>2290</v>
      </c>
      <c r="E6526" s="1" t="n">
        <v>1185</v>
      </c>
      <c r="F6526" s="1" t="s">
        <v>167</v>
      </c>
      <c r="I6526" s="1" t="n">
        <v>393</v>
      </c>
      <c r="J6526" s="1" t="n">
        <v>79652</v>
      </c>
      <c r="K6526" s="1" t="n">
        <v>631911126055</v>
      </c>
      <c r="L6526" s="1" t="s">
        <v>3666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5" t="n">
        <v>46239</v>
      </c>
      <c r="C6527" s="1" t="n">
        <v>11</v>
      </c>
      <c r="D6527" s="1" t="s">
        <v>2290</v>
      </c>
      <c r="E6527" s="1" t="n">
        <v>1185</v>
      </c>
      <c r="F6527" s="1" t="s">
        <v>167</v>
      </c>
      <c r="I6527" s="1" t="n">
        <v>393</v>
      </c>
      <c r="J6527" s="1" t="n">
        <v>80821</v>
      </c>
      <c r="K6527" s="1" t="n">
        <v>631911126031</v>
      </c>
      <c r="L6527" s="1" t="s">
        <v>4507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5" t="n">
        <v>46239</v>
      </c>
      <c r="C6528" s="1" t="n">
        <v>11</v>
      </c>
      <c r="D6528" s="1" t="s">
        <v>2290</v>
      </c>
      <c r="E6528" s="1" t="n">
        <v>1185</v>
      </c>
      <c r="F6528" s="1" t="s">
        <v>167</v>
      </c>
      <c r="I6528" s="1" t="n">
        <v>393</v>
      </c>
      <c r="J6528" s="1" t="n">
        <v>80822</v>
      </c>
      <c r="K6528" s="1" t="n">
        <v>631911126024</v>
      </c>
      <c r="L6528" s="1" t="s">
        <v>4508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5" t="n">
        <v>46239</v>
      </c>
      <c r="C6529" s="1" t="n">
        <v>11</v>
      </c>
      <c r="D6529" s="1" t="s">
        <v>2290</v>
      </c>
      <c r="E6529" s="1" t="n">
        <v>846</v>
      </c>
      <c r="F6529" s="1" t="s">
        <v>262</v>
      </c>
      <c r="I6529" s="1" t="n">
        <v>846</v>
      </c>
      <c r="J6529" s="1" t="n">
        <v>11810</v>
      </c>
      <c r="K6529" s="1" t="n">
        <v>7898927628222</v>
      </c>
      <c r="L6529" s="1" t="s">
        <v>4509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5" t="n">
        <v>46239</v>
      </c>
      <c r="C6530" s="1" t="n">
        <v>11</v>
      </c>
      <c r="D6530" s="1" t="s">
        <v>2290</v>
      </c>
      <c r="E6530" s="1" t="n">
        <v>846</v>
      </c>
      <c r="F6530" s="1" t="s">
        <v>262</v>
      </c>
      <c r="I6530" s="1" t="n">
        <v>846</v>
      </c>
      <c r="J6530" s="1" t="n">
        <v>15330</v>
      </c>
      <c r="K6530" s="1" t="n">
        <v>7898923148526</v>
      </c>
      <c r="L6530" s="1" t="s">
        <v>4510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5" t="n">
        <v>46239</v>
      </c>
      <c r="C6531" s="1" t="n">
        <v>11</v>
      </c>
      <c r="D6531" s="1" t="s">
        <v>2290</v>
      </c>
      <c r="E6531" s="1" t="n">
        <v>846</v>
      </c>
      <c r="F6531" s="1" t="s">
        <v>262</v>
      </c>
      <c r="I6531" s="1" t="n">
        <v>846</v>
      </c>
      <c r="J6531" s="1" t="n">
        <v>17612</v>
      </c>
      <c r="K6531" s="1" t="n">
        <v>7898927628277</v>
      </c>
      <c r="L6531" s="1" t="s">
        <v>4511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5" t="n">
        <v>46239</v>
      </c>
      <c r="C6532" s="1" t="n">
        <v>11</v>
      </c>
      <c r="D6532" s="1" t="s">
        <v>2290</v>
      </c>
      <c r="E6532" s="1" t="n">
        <v>846</v>
      </c>
      <c r="F6532" s="1" t="s">
        <v>262</v>
      </c>
      <c r="I6532" s="1" t="n">
        <v>846</v>
      </c>
      <c r="J6532" s="1" t="n">
        <v>27991</v>
      </c>
      <c r="K6532" s="1" t="n">
        <v>6956865000010</v>
      </c>
      <c r="L6532" s="1" t="s">
        <v>4512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5" t="n">
        <v>46239</v>
      </c>
      <c r="C6533" s="1" t="n">
        <v>11</v>
      </c>
      <c r="D6533" s="1" t="s">
        <v>2290</v>
      </c>
      <c r="E6533" s="1" t="n">
        <v>846</v>
      </c>
      <c r="F6533" s="1" t="s">
        <v>262</v>
      </c>
      <c r="I6533" s="1" t="n">
        <v>846</v>
      </c>
      <c r="J6533" s="1" t="n">
        <v>31688</v>
      </c>
      <c r="K6533" s="1" t="n">
        <v>7898932211099</v>
      </c>
      <c r="L6533" s="1" t="s">
        <v>4513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5" t="n">
        <v>46239</v>
      </c>
      <c r="C6534" s="1" t="n">
        <v>11</v>
      </c>
      <c r="D6534" s="1" t="s">
        <v>2290</v>
      </c>
      <c r="E6534" s="1" t="n">
        <v>846</v>
      </c>
      <c r="F6534" s="1" t="s">
        <v>262</v>
      </c>
      <c r="I6534" s="1" t="n">
        <v>846</v>
      </c>
      <c r="J6534" s="1" t="n">
        <v>31689</v>
      </c>
      <c r="K6534" s="1" t="n">
        <v>7898932211211</v>
      </c>
      <c r="L6534" s="1" t="s">
        <v>4514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5" t="n">
        <v>46239</v>
      </c>
      <c r="C6535" s="1" t="n">
        <v>11</v>
      </c>
      <c r="D6535" s="1" t="s">
        <v>2290</v>
      </c>
      <c r="E6535" s="1" t="n">
        <v>846</v>
      </c>
      <c r="F6535" s="1" t="s">
        <v>262</v>
      </c>
      <c r="I6535" s="1" t="n">
        <v>846</v>
      </c>
      <c r="J6535" s="1" t="n">
        <v>31690</v>
      </c>
      <c r="K6535" s="1" t="n">
        <v>7898932211686</v>
      </c>
      <c r="L6535" s="1" t="s">
        <v>4515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5" t="n">
        <v>46239</v>
      </c>
      <c r="C6536" s="1" t="n">
        <v>11</v>
      </c>
      <c r="D6536" s="1" t="s">
        <v>2290</v>
      </c>
      <c r="E6536" s="1" t="n">
        <v>846</v>
      </c>
      <c r="F6536" s="1" t="s">
        <v>262</v>
      </c>
      <c r="I6536" s="1" t="n">
        <v>846</v>
      </c>
      <c r="J6536" s="1" t="n">
        <v>32830</v>
      </c>
      <c r="K6536" s="1" t="n">
        <v>7898932211389</v>
      </c>
      <c r="L6536" s="1" t="s">
        <v>4516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5" t="n">
        <v>46239</v>
      </c>
      <c r="C6537" s="1" t="n">
        <v>11</v>
      </c>
      <c r="D6537" s="1" t="s">
        <v>2290</v>
      </c>
      <c r="E6537" s="1" t="n">
        <v>846</v>
      </c>
      <c r="F6537" s="1" t="s">
        <v>262</v>
      </c>
      <c r="I6537" s="1" t="n">
        <v>846</v>
      </c>
      <c r="J6537" s="1" t="n">
        <v>35669</v>
      </c>
      <c r="K6537" s="1" t="n">
        <v>7890000000017</v>
      </c>
      <c r="L6537" s="1" t="s">
        <v>4517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5" t="n">
        <v>46239</v>
      </c>
      <c r="C6538" s="1" t="n">
        <v>11</v>
      </c>
      <c r="D6538" s="1" t="s">
        <v>2290</v>
      </c>
      <c r="E6538" s="1" t="n">
        <v>846</v>
      </c>
      <c r="F6538" s="1" t="s">
        <v>262</v>
      </c>
      <c r="I6538" s="1" t="n">
        <v>846</v>
      </c>
      <c r="J6538" s="1" t="n">
        <v>47744</v>
      </c>
      <c r="K6538" s="1" t="n">
        <v>618231980543</v>
      </c>
      <c r="L6538" s="1" t="s">
        <v>4518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5" t="n">
        <v>46239</v>
      </c>
      <c r="C6539" s="1" t="n">
        <v>11</v>
      </c>
      <c r="D6539" s="1" t="s">
        <v>2290</v>
      </c>
      <c r="E6539" s="1" t="n">
        <v>846</v>
      </c>
      <c r="F6539" s="1" t="s">
        <v>262</v>
      </c>
      <c r="I6539" s="1" t="n">
        <v>846</v>
      </c>
      <c r="J6539" s="1" t="n">
        <v>47747</v>
      </c>
      <c r="K6539" s="1" t="n">
        <v>618231980550</v>
      </c>
      <c r="L6539" s="1" t="s">
        <v>4519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5" t="n">
        <v>46239</v>
      </c>
      <c r="C6540" s="1" t="n">
        <v>11</v>
      </c>
      <c r="D6540" s="1" t="s">
        <v>2290</v>
      </c>
      <c r="E6540" s="1" t="n">
        <v>846</v>
      </c>
      <c r="F6540" s="1" t="s">
        <v>262</v>
      </c>
      <c r="I6540" s="1" t="n">
        <v>846</v>
      </c>
      <c r="J6540" s="1" t="n">
        <v>47758</v>
      </c>
      <c r="K6540" s="1" t="n">
        <v>618231980574</v>
      </c>
      <c r="L6540" s="1" t="s">
        <v>4520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5" t="n">
        <v>46239</v>
      </c>
      <c r="C6541" s="1" t="n">
        <v>11</v>
      </c>
      <c r="D6541" s="1" t="s">
        <v>2290</v>
      </c>
      <c r="E6541" s="1" t="n">
        <v>846</v>
      </c>
      <c r="F6541" s="1" t="s">
        <v>262</v>
      </c>
      <c r="I6541" s="1" t="n">
        <v>846</v>
      </c>
      <c r="J6541" s="1" t="n">
        <v>48682</v>
      </c>
      <c r="K6541" s="1" t="n">
        <v>7898951048881</v>
      </c>
      <c r="L6541" s="1" t="s">
        <v>4521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5" t="n">
        <v>46239</v>
      </c>
      <c r="C6542" s="1" t="n">
        <v>11</v>
      </c>
      <c r="D6542" s="1" t="s">
        <v>2290</v>
      </c>
      <c r="E6542" s="1" t="n">
        <v>846</v>
      </c>
      <c r="F6542" s="1" t="s">
        <v>262</v>
      </c>
      <c r="I6542" s="1" t="n">
        <v>846</v>
      </c>
      <c r="J6542" s="1" t="n">
        <v>49955</v>
      </c>
      <c r="K6542" s="1" t="n">
        <v>618231980581</v>
      </c>
      <c r="L6542" s="1" t="s">
        <v>4522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5" t="n">
        <v>46239</v>
      </c>
      <c r="C6543" s="1" t="n">
        <v>11</v>
      </c>
      <c r="D6543" s="1" t="s">
        <v>2290</v>
      </c>
      <c r="E6543" s="1" t="n">
        <v>846</v>
      </c>
      <c r="F6543" s="1" t="s">
        <v>262</v>
      </c>
      <c r="I6543" s="1" t="n">
        <v>846</v>
      </c>
      <c r="J6543" s="1" t="n">
        <v>52804</v>
      </c>
      <c r="K6543" s="1" t="n">
        <v>618231980567</v>
      </c>
      <c r="L6543" s="1" t="s">
        <v>4523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5" t="n">
        <v>46239</v>
      </c>
      <c r="C6544" s="1" t="n">
        <v>11</v>
      </c>
      <c r="D6544" s="1" t="s">
        <v>2290</v>
      </c>
      <c r="E6544" s="1" t="n">
        <v>846</v>
      </c>
      <c r="F6544" s="1" t="s">
        <v>262</v>
      </c>
      <c r="I6544" s="1" t="n">
        <v>846</v>
      </c>
      <c r="J6544" s="1" t="n">
        <v>56239</v>
      </c>
      <c r="K6544" s="1" t="n">
        <v>7893020102785</v>
      </c>
      <c r="L6544" s="1" t="s">
        <v>4524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5" t="n">
        <v>46239</v>
      </c>
      <c r="C6545" s="1" t="n">
        <v>11</v>
      </c>
      <c r="D6545" s="1" t="s">
        <v>2290</v>
      </c>
      <c r="E6545" s="1" t="n">
        <v>846</v>
      </c>
      <c r="F6545" s="1" t="s">
        <v>262</v>
      </c>
      <c r="I6545" s="1" t="n">
        <v>846</v>
      </c>
      <c r="J6545" s="1" t="n">
        <v>56240</v>
      </c>
      <c r="K6545" s="1" t="n">
        <v>7893020102747</v>
      </c>
      <c r="L6545" s="1" t="s">
        <v>2779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5" t="n">
        <v>46239</v>
      </c>
      <c r="C6546" s="1" t="n">
        <v>11</v>
      </c>
      <c r="D6546" s="1" t="s">
        <v>2290</v>
      </c>
      <c r="E6546" s="1" t="n">
        <v>846</v>
      </c>
      <c r="F6546" s="1" t="s">
        <v>262</v>
      </c>
      <c r="I6546" s="1" t="n">
        <v>846</v>
      </c>
      <c r="J6546" s="1" t="n">
        <v>56241</v>
      </c>
      <c r="K6546" s="1" t="n">
        <v>7893020127009</v>
      </c>
      <c r="L6546" s="1" t="s">
        <v>2779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5" t="n">
        <v>46239</v>
      </c>
      <c r="C6547" s="1" t="n">
        <v>11</v>
      </c>
      <c r="D6547" s="1" t="s">
        <v>2290</v>
      </c>
      <c r="E6547" s="1" t="n">
        <v>846</v>
      </c>
      <c r="F6547" s="1" t="s">
        <v>262</v>
      </c>
      <c r="I6547" s="1" t="n">
        <v>846</v>
      </c>
      <c r="J6547" s="1" t="n">
        <v>56832</v>
      </c>
      <c r="K6547" s="1" t="n">
        <v>618341281585</v>
      </c>
      <c r="L6547" s="1" t="s">
        <v>4525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5" t="n">
        <v>46239</v>
      </c>
      <c r="C6548" s="1" t="n">
        <v>11</v>
      </c>
      <c r="D6548" s="1" t="s">
        <v>2290</v>
      </c>
      <c r="E6548" s="1" t="n">
        <v>846</v>
      </c>
      <c r="F6548" s="1" t="s">
        <v>262</v>
      </c>
      <c r="I6548" s="1" t="n">
        <v>846</v>
      </c>
      <c r="J6548" s="1" t="n">
        <v>56882</v>
      </c>
      <c r="K6548" s="1" t="n">
        <v>619205201879</v>
      </c>
      <c r="L6548" s="1" t="s">
        <v>4526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5" t="n">
        <v>46239</v>
      </c>
      <c r="C6549" s="1" t="n">
        <v>11</v>
      </c>
      <c r="D6549" s="1" t="s">
        <v>2290</v>
      </c>
      <c r="E6549" s="1" t="n">
        <v>846</v>
      </c>
      <c r="F6549" s="1" t="s">
        <v>262</v>
      </c>
      <c r="I6549" s="1" t="n">
        <v>846</v>
      </c>
      <c r="J6549" s="1" t="n">
        <v>59036</v>
      </c>
      <c r="K6549" s="1" t="n">
        <v>609963022168</v>
      </c>
      <c r="L6549" s="1" t="s">
        <v>4527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5" t="n">
        <v>46239</v>
      </c>
      <c r="C6550" s="1" t="n">
        <v>11</v>
      </c>
      <c r="D6550" s="1" t="s">
        <v>2290</v>
      </c>
      <c r="E6550" s="1" t="n">
        <v>846</v>
      </c>
      <c r="F6550" s="1" t="s">
        <v>262</v>
      </c>
      <c r="I6550" s="1" t="n">
        <v>846</v>
      </c>
      <c r="J6550" s="1" t="n">
        <v>59783</v>
      </c>
      <c r="K6550" s="1" t="n">
        <v>7898934643652</v>
      </c>
      <c r="L6550" s="1" t="s">
        <v>4528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5" t="n">
        <v>46239</v>
      </c>
      <c r="C6551" s="1" t="n">
        <v>11</v>
      </c>
      <c r="D6551" s="1" t="s">
        <v>2290</v>
      </c>
      <c r="E6551" s="1" t="n">
        <v>846</v>
      </c>
      <c r="F6551" s="1" t="s">
        <v>262</v>
      </c>
      <c r="I6551" s="1" t="n">
        <v>846</v>
      </c>
      <c r="J6551" s="1" t="n">
        <v>61859</v>
      </c>
      <c r="K6551" s="1" t="n">
        <v>7898932211457</v>
      </c>
      <c r="L6551" s="1" t="s">
        <v>4529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5" t="n">
        <v>46239</v>
      </c>
      <c r="C6552" s="1" t="n">
        <v>11</v>
      </c>
      <c r="D6552" s="1" t="s">
        <v>2290</v>
      </c>
      <c r="E6552" s="1" t="n">
        <v>846</v>
      </c>
      <c r="F6552" s="1" t="s">
        <v>262</v>
      </c>
      <c r="I6552" s="1" t="n">
        <v>846</v>
      </c>
      <c r="J6552" s="1" t="n">
        <v>62673</v>
      </c>
      <c r="K6552" s="1" t="n">
        <v>7898952461610</v>
      </c>
      <c r="L6552" s="1" t="s">
        <v>4530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5" t="n">
        <v>46239</v>
      </c>
      <c r="C6553" s="1" t="n">
        <v>11</v>
      </c>
      <c r="D6553" s="1" t="s">
        <v>2290</v>
      </c>
      <c r="E6553" s="1" t="n">
        <v>846</v>
      </c>
      <c r="F6553" s="1" t="s">
        <v>262</v>
      </c>
      <c r="I6553" s="1" t="n">
        <v>846</v>
      </c>
      <c r="J6553" s="1" t="n">
        <v>63362</v>
      </c>
      <c r="K6553" s="1" t="n">
        <v>609963022151</v>
      </c>
      <c r="L6553" s="1" t="s">
        <v>4531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5" t="n">
        <v>46239</v>
      </c>
      <c r="C6554" s="1" t="n">
        <v>11</v>
      </c>
      <c r="D6554" s="1" t="s">
        <v>2290</v>
      </c>
      <c r="E6554" s="1" t="n">
        <v>846</v>
      </c>
      <c r="F6554" s="1" t="s">
        <v>262</v>
      </c>
      <c r="I6554" s="1" t="n">
        <v>846</v>
      </c>
      <c r="J6554" s="1" t="n">
        <v>63363</v>
      </c>
      <c r="K6554" s="1" t="n">
        <v>618341872325</v>
      </c>
      <c r="L6554" s="1" t="s">
        <v>4532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5" t="n">
        <v>46239</v>
      </c>
      <c r="C6555" s="1" t="n">
        <v>11</v>
      </c>
      <c r="D6555" s="1" t="s">
        <v>2290</v>
      </c>
      <c r="E6555" s="1" t="n">
        <v>846</v>
      </c>
      <c r="F6555" s="1" t="s">
        <v>262</v>
      </c>
      <c r="I6555" s="1" t="n">
        <v>846</v>
      </c>
      <c r="J6555" s="1" t="n">
        <v>65122</v>
      </c>
      <c r="K6555" s="1" t="n">
        <v>7898093785750</v>
      </c>
      <c r="L6555" s="1" t="s">
        <v>4533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5" t="n">
        <v>46239</v>
      </c>
      <c r="C6556" s="1" t="n">
        <v>11</v>
      </c>
      <c r="D6556" s="1" t="s">
        <v>2290</v>
      </c>
      <c r="E6556" s="1" t="n">
        <v>846</v>
      </c>
      <c r="F6556" s="1" t="s">
        <v>262</v>
      </c>
      <c r="I6556" s="1" t="n">
        <v>846</v>
      </c>
      <c r="J6556" s="1" t="n">
        <v>68499</v>
      </c>
      <c r="K6556" s="1" t="n">
        <v>7898952461481</v>
      </c>
      <c r="L6556" s="1" t="s">
        <v>4534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5" t="n">
        <v>46239</v>
      </c>
      <c r="C6557" s="1" t="n">
        <v>11</v>
      </c>
      <c r="D6557" s="1" t="s">
        <v>2290</v>
      </c>
      <c r="E6557" s="1" t="n">
        <v>846</v>
      </c>
      <c r="F6557" s="1" t="s">
        <v>262</v>
      </c>
      <c r="I6557" s="1" t="n">
        <v>846</v>
      </c>
      <c r="J6557" s="1" t="n">
        <v>69387</v>
      </c>
      <c r="K6557" s="1" t="n">
        <v>609963022182</v>
      </c>
      <c r="L6557" s="1" t="s">
        <v>4535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5" t="n">
        <v>46239</v>
      </c>
      <c r="C6558" s="1" t="n">
        <v>11</v>
      </c>
      <c r="D6558" s="1" t="s">
        <v>2290</v>
      </c>
      <c r="E6558" s="1" t="n">
        <v>846</v>
      </c>
      <c r="F6558" s="1" t="s">
        <v>262</v>
      </c>
      <c r="I6558" s="1" t="n">
        <v>846</v>
      </c>
      <c r="J6558" s="1" t="n">
        <v>69953</v>
      </c>
      <c r="K6558" s="1" t="n">
        <v>7898963682172</v>
      </c>
      <c r="L6558" s="1" t="s">
        <v>4536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5" t="n">
        <v>46239</v>
      </c>
      <c r="C6559" s="1" t="n">
        <v>11</v>
      </c>
      <c r="D6559" s="1" t="s">
        <v>2290</v>
      </c>
      <c r="E6559" s="1" t="n">
        <v>846</v>
      </c>
      <c r="F6559" s="1" t="s">
        <v>262</v>
      </c>
      <c r="I6559" s="1" t="n">
        <v>846</v>
      </c>
      <c r="J6559" s="1" t="n">
        <v>70370</v>
      </c>
      <c r="K6559" s="1" t="n">
        <v>820219</v>
      </c>
      <c r="L6559" s="1" t="s">
        <v>4537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5" t="n">
        <v>46239</v>
      </c>
      <c r="C6560" s="1" t="n">
        <v>11</v>
      </c>
      <c r="D6560" s="1" t="s">
        <v>2290</v>
      </c>
      <c r="E6560" s="1" t="n">
        <v>846</v>
      </c>
      <c r="F6560" s="1" t="s">
        <v>262</v>
      </c>
      <c r="I6560" s="1" t="n">
        <v>846</v>
      </c>
      <c r="J6560" s="1" t="n">
        <v>80718</v>
      </c>
      <c r="K6560" s="1" t="n">
        <v>7896201526332</v>
      </c>
      <c r="L6560" s="1" t="s">
        <v>4538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5" t="n">
        <v>46239</v>
      </c>
      <c r="C6561" s="1" t="n">
        <v>11</v>
      </c>
      <c r="D6561" s="1" t="s">
        <v>2290</v>
      </c>
      <c r="E6561" s="1" t="n">
        <v>846</v>
      </c>
      <c r="F6561" s="1" t="s">
        <v>262</v>
      </c>
      <c r="I6561" s="1" t="n">
        <v>846</v>
      </c>
      <c r="J6561" s="1" t="n">
        <v>81988</v>
      </c>
      <c r="K6561" s="1" t="n">
        <v>7892587151007</v>
      </c>
      <c r="L6561" s="1" t="s">
        <v>4539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5" t="n">
        <v>46239</v>
      </c>
      <c r="C6562" s="1" t="n">
        <v>11</v>
      </c>
      <c r="D6562" s="1" t="s">
        <v>2290</v>
      </c>
      <c r="E6562" s="1" t="n">
        <v>846</v>
      </c>
      <c r="F6562" s="1" t="s">
        <v>262</v>
      </c>
      <c r="I6562" s="1" t="n">
        <v>846</v>
      </c>
      <c r="J6562" s="1" t="n">
        <v>81990</v>
      </c>
      <c r="K6562" s="1" t="n">
        <v>819916</v>
      </c>
      <c r="L6562" s="1" t="s">
        <v>4540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5" t="n">
        <v>46239</v>
      </c>
      <c r="C6563" s="1" t="n">
        <v>11</v>
      </c>
      <c r="D6563" s="1" t="s">
        <v>2290</v>
      </c>
      <c r="E6563" s="1" t="n">
        <v>10102</v>
      </c>
      <c r="F6563" s="1" t="s">
        <v>1506</v>
      </c>
      <c r="I6563" s="1" t="n">
        <v>1481</v>
      </c>
      <c r="J6563" s="1" t="n">
        <v>100012</v>
      </c>
      <c r="K6563" s="1" t="n">
        <v>13</v>
      </c>
      <c r="L6563" s="1" t="s">
        <v>2441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5" t="n">
        <v>46239</v>
      </c>
      <c r="C6564" s="1" t="n">
        <v>11</v>
      </c>
      <c r="D6564" s="1" t="s">
        <v>2290</v>
      </c>
      <c r="E6564" s="1" t="n">
        <v>10102</v>
      </c>
      <c r="F6564" s="1" t="s">
        <v>1506</v>
      </c>
      <c r="I6564" s="1" t="n">
        <v>1481</v>
      </c>
      <c r="J6564" s="1" t="n">
        <v>100013</v>
      </c>
      <c r="K6564" s="1" t="n">
        <v>14</v>
      </c>
      <c r="L6564" s="1" t="s">
        <v>2442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5" t="n">
        <v>46239</v>
      </c>
      <c r="C6565" s="1" t="n">
        <v>11</v>
      </c>
      <c r="D6565" s="1" t="s">
        <v>2290</v>
      </c>
      <c r="E6565" s="1" t="n">
        <v>10102</v>
      </c>
      <c r="F6565" s="1" t="s">
        <v>1506</v>
      </c>
      <c r="I6565" s="1" t="n">
        <v>1481</v>
      </c>
      <c r="J6565" s="1" t="n">
        <v>100024</v>
      </c>
      <c r="K6565" s="1" t="n">
        <v>25</v>
      </c>
      <c r="L6565" s="1" t="s">
        <v>2390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5" t="n">
        <v>46239</v>
      </c>
      <c r="C6566" s="1" t="n">
        <v>11</v>
      </c>
      <c r="D6566" s="1" t="s">
        <v>2290</v>
      </c>
      <c r="E6566" s="1" t="n">
        <v>10102</v>
      </c>
      <c r="F6566" s="1" t="s">
        <v>1506</v>
      </c>
      <c r="I6566" s="1" t="n">
        <v>1481</v>
      </c>
      <c r="J6566" s="1" t="n">
        <v>100035</v>
      </c>
      <c r="K6566" s="1" t="n">
        <v>36</v>
      </c>
      <c r="L6566" s="1" t="s">
        <v>2391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5" t="n">
        <v>46239</v>
      </c>
      <c r="C6567" s="1" t="n">
        <v>11</v>
      </c>
      <c r="D6567" s="1" t="s">
        <v>2290</v>
      </c>
      <c r="E6567" s="1" t="n">
        <v>10102</v>
      </c>
      <c r="F6567" s="1" t="s">
        <v>1506</v>
      </c>
      <c r="I6567" s="1" t="n">
        <v>1481</v>
      </c>
      <c r="J6567" s="1" t="n">
        <v>100054</v>
      </c>
      <c r="K6567" s="1" t="n">
        <v>55</v>
      </c>
      <c r="L6567" s="1" t="s">
        <v>2732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5" t="n">
        <v>46239</v>
      </c>
      <c r="C6568" s="1" t="n">
        <v>11</v>
      </c>
      <c r="D6568" s="1" t="s">
        <v>2290</v>
      </c>
      <c r="E6568" s="1" t="n">
        <v>10102</v>
      </c>
      <c r="F6568" s="1" t="s">
        <v>1506</v>
      </c>
      <c r="I6568" s="1" t="n">
        <v>1481</v>
      </c>
      <c r="J6568" s="1" t="n">
        <v>108591</v>
      </c>
      <c r="K6568" s="1" t="n">
        <v>8461</v>
      </c>
      <c r="L6568" s="1" t="s">
        <v>3269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5" t="n">
        <v>46239</v>
      </c>
      <c r="C6569" s="1" t="n">
        <v>11</v>
      </c>
      <c r="D6569" s="1" t="s">
        <v>2290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2737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5" t="n">
        <v>46239</v>
      </c>
      <c r="C6570" s="1" t="n">
        <v>11</v>
      </c>
      <c r="D6570" s="1" t="s">
        <v>2290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2739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5" t="n">
        <v>46239</v>
      </c>
      <c r="C6571" s="1" t="n">
        <v>11</v>
      </c>
      <c r="D6571" s="1" t="s">
        <v>2290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2740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5" t="n">
        <v>46239</v>
      </c>
      <c r="C6572" s="1" t="n">
        <v>11</v>
      </c>
      <c r="D6572" s="1" t="s">
        <v>2290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3597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5" t="n">
        <v>46239</v>
      </c>
      <c r="C6573" s="1" t="n">
        <v>11</v>
      </c>
      <c r="D6573" s="1" t="s">
        <v>2290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3599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5" t="n">
        <v>46239</v>
      </c>
      <c r="C6574" s="1" t="n">
        <v>11</v>
      </c>
      <c r="D6574" s="1" t="s">
        <v>2290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3600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5" t="n">
        <v>46239</v>
      </c>
      <c r="C6575" s="1" t="n">
        <v>11</v>
      </c>
      <c r="D6575" s="1" t="s">
        <v>2290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3598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5" t="n">
        <v>46239</v>
      </c>
      <c r="C6576" s="1" t="n">
        <v>11</v>
      </c>
      <c r="D6576" s="1" t="s">
        <v>2290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2481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5" t="n">
        <v>46239</v>
      </c>
      <c r="C6577" s="1" t="n">
        <v>11</v>
      </c>
      <c r="D6577" s="1" t="s">
        <v>2290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4541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5" t="n">
        <v>46239</v>
      </c>
      <c r="C6578" s="1" t="n">
        <v>11</v>
      </c>
      <c r="D6578" s="1" t="s">
        <v>2290</v>
      </c>
      <c r="E6578" s="1" t="n">
        <v>1378</v>
      </c>
      <c r="F6578" s="1" t="s">
        <v>120</v>
      </c>
      <c r="I6578" s="1" t="n">
        <v>18523</v>
      </c>
      <c r="J6578" s="1" t="n">
        <v>74061</v>
      </c>
      <c r="K6578" s="1" t="n">
        <v>42882264255</v>
      </c>
      <c r="L6578" s="1" t="s">
        <v>2340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5" t="n">
        <v>46239</v>
      </c>
      <c r="C6579" s="1" t="n">
        <v>11</v>
      </c>
      <c r="D6579" s="1" t="s">
        <v>2290</v>
      </c>
      <c r="E6579" s="1" t="n">
        <v>1378</v>
      </c>
      <c r="F6579" s="1" t="s">
        <v>120</v>
      </c>
      <c r="I6579" s="1" t="n">
        <v>18523</v>
      </c>
      <c r="J6579" s="1" t="n">
        <v>74063</v>
      </c>
      <c r="K6579" s="1" t="n">
        <v>42882264262</v>
      </c>
      <c r="L6579" s="1" t="s">
        <v>2341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5" t="n">
        <v>46239</v>
      </c>
      <c r="C6580" s="1" t="n">
        <v>11</v>
      </c>
      <c r="D6580" s="1" t="s">
        <v>2290</v>
      </c>
      <c r="E6580" s="1" t="n">
        <v>1378</v>
      </c>
      <c r="F6580" s="1" t="s">
        <v>120</v>
      </c>
      <c r="I6580" s="1" t="n">
        <v>18523</v>
      </c>
      <c r="J6580" s="1" t="n">
        <v>74064</v>
      </c>
      <c r="K6580" s="1" t="n">
        <v>42882264279</v>
      </c>
      <c r="L6580" s="1" t="s">
        <v>2342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5" t="n">
        <v>46239</v>
      </c>
      <c r="C6581" s="1" t="n">
        <v>11</v>
      </c>
      <c r="D6581" s="1" t="s">
        <v>2290</v>
      </c>
      <c r="E6581" s="1" t="n">
        <v>1378</v>
      </c>
      <c r="F6581" s="1" t="s">
        <v>120</v>
      </c>
      <c r="I6581" s="1" t="n">
        <v>18523</v>
      </c>
      <c r="J6581" s="1" t="n">
        <v>74065</v>
      </c>
      <c r="K6581" s="1" t="n">
        <v>602883558090</v>
      </c>
      <c r="L6581" s="1" t="s">
        <v>2343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5" t="n">
        <v>46239</v>
      </c>
      <c r="C6582" s="1" t="n">
        <v>11</v>
      </c>
      <c r="D6582" s="1" t="s">
        <v>2290</v>
      </c>
      <c r="E6582" s="1" t="n">
        <v>1378</v>
      </c>
      <c r="F6582" s="1" t="s">
        <v>120</v>
      </c>
      <c r="I6582" s="1" t="n">
        <v>18523</v>
      </c>
      <c r="J6582" s="1" t="n">
        <v>77994</v>
      </c>
      <c r="K6582" s="1" t="n">
        <v>780117</v>
      </c>
      <c r="L6582" s="1" t="s">
        <v>2344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5" t="n">
        <v>46239</v>
      </c>
      <c r="C6583" s="1" t="n">
        <v>11</v>
      </c>
      <c r="D6583" s="1" t="s">
        <v>2290</v>
      </c>
      <c r="E6583" s="1" t="n">
        <v>1723</v>
      </c>
      <c r="F6583" s="1" t="s">
        <v>76</v>
      </c>
      <c r="I6583" s="1" t="n">
        <v>174334</v>
      </c>
      <c r="J6583" s="1" t="n">
        <v>29079</v>
      </c>
      <c r="K6583" s="1" t="n">
        <v>55515</v>
      </c>
      <c r="L6583" s="1" t="s">
        <v>2360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5" t="n">
        <v>46239</v>
      </c>
      <c r="C6584" s="1" t="n">
        <v>11</v>
      </c>
      <c r="D6584" s="1" t="s">
        <v>2290</v>
      </c>
      <c r="E6584" s="1" t="n">
        <v>1723</v>
      </c>
      <c r="F6584" s="1" t="s">
        <v>76</v>
      </c>
      <c r="I6584" s="1" t="n">
        <v>174334</v>
      </c>
      <c r="J6584" s="1" t="n">
        <v>29080</v>
      </c>
      <c r="K6584" s="1" t="n">
        <v>55516</v>
      </c>
      <c r="L6584" s="1" t="s">
        <v>2362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5" t="n">
        <v>46239</v>
      </c>
      <c r="C6585" s="1" t="n">
        <v>11</v>
      </c>
      <c r="D6585" s="1" t="s">
        <v>2290</v>
      </c>
      <c r="E6585" s="1" t="n">
        <v>1734</v>
      </c>
      <c r="F6585" s="1" t="s">
        <v>125</v>
      </c>
      <c r="I6585" s="1" t="n">
        <v>257004</v>
      </c>
      <c r="J6585" s="1" t="n">
        <v>38215</v>
      </c>
      <c r="K6585" s="1" t="n">
        <v>7898055450474</v>
      </c>
      <c r="L6585" s="1" t="s">
        <v>2719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5" t="n">
        <v>46239</v>
      </c>
      <c r="C6586" s="1" t="n">
        <v>11</v>
      </c>
      <c r="D6586" s="1" t="s">
        <v>2290</v>
      </c>
      <c r="E6586" s="1" t="n">
        <v>1734</v>
      </c>
      <c r="F6586" s="1" t="s">
        <v>125</v>
      </c>
      <c r="I6586" s="1" t="n">
        <v>257004</v>
      </c>
      <c r="J6586" s="1" t="n">
        <v>38782</v>
      </c>
      <c r="K6586" s="1" t="n">
        <v>7898055450306</v>
      </c>
      <c r="L6586" s="1" t="s">
        <v>2720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5" t="n">
        <v>46239</v>
      </c>
      <c r="C6587" s="1" t="n">
        <v>11</v>
      </c>
      <c r="D6587" s="1" t="s">
        <v>2290</v>
      </c>
      <c r="E6587" s="1" t="n">
        <v>1734</v>
      </c>
      <c r="F6587" s="1" t="s">
        <v>125</v>
      </c>
      <c r="I6587" s="1" t="n">
        <v>257004</v>
      </c>
      <c r="J6587" s="1" t="n">
        <v>38784</v>
      </c>
      <c r="K6587" s="1" t="n">
        <v>7898055450320</v>
      </c>
      <c r="L6587" s="1" t="s">
        <v>2721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5" t="n">
        <v>46239</v>
      </c>
      <c r="C6588" s="1" t="n">
        <v>11</v>
      </c>
      <c r="D6588" s="1" t="s">
        <v>2290</v>
      </c>
      <c r="E6588" s="1" t="n">
        <v>1734</v>
      </c>
      <c r="F6588" s="1" t="s">
        <v>125</v>
      </c>
      <c r="I6588" s="1" t="n">
        <v>257004</v>
      </c>
      <c r="J6588" s="1" t="n">
        <v>38785</v>
      </c>
      <c r="K6588" s="1" t="n">
        <v>7898055450344</v>
      </c>
      <c r="L6588" s="1" t="s">
        <v>3683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5" t="n">
        <v>46239</v>
      </c>
      <c r="C6589" s="1" t="n">
        <v>11</v>
      </c>
      <c r="D6589" s="1" t="s">
        <v>2290</v>
      </c>
      <c r="E6589" s="1" t="n">
        <v>1734</v>
      </c>
      <c r="F6589" s="1" t="s">
        <v>125</v>
      </c>
      <c r="I6589" s="1" t="n">
        <v>257004</v>
      </c>
      <c r="J6589" s="1" t="n">
        <v>38791</v>
      </c>
      <c r="K6589" s="1" t="n">
        <v>7898055450931</v>
      </c>
      <c r="L6589" s="1" t="s">
        <v>2377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5" t="n">
        <v>46239</v>
      </c>
      <c r="C6590" s="1" t="n">
        <v>11</v>
      </c>
      <c r="D6590" s="1" t="s">
        <v>2290</v>
      </c>
      <c r="E6590" s="1" t="n">
        <v>1734</v>
      </c>
      <c r="F6590" s="1" t="s">
        <v>125</v>
      </c>
      <c r="I6590" s="1" t="n">
        <v>257004</v>
      </c>
      <c r="J6590" s="1" t="n">
        <v>38792</v>
      </c>
      <c r="K6590" s="1" t="n">
        <v>7898055450894</v>
      </c>
      <c r="L6590" s="1" t="s">
        <v>3201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5" t="n">
        <v>46239</v>
      </c>
      <c r="C6591" s="1" t="n">
        <v>11</v>
      </c>
      <c r="D6591" s="1" t="s">
        <v>2290</v>
      </c>
      <c r="E6591" s="1" t="n">
        <v>1734</v>
      </c>
      <c r="F6591" s="1" t="s">
        <v>125</v>
      </c>
      <c r="I6591" s="1" t="n">
        <v>257004</v>
      </c>
      <c r="J6591" s="1" t="n">
        <v>39028</v>
      </c>
      <c r="K6591" s="1" t="n">
        <v>7898055450368</v>
      </c>
      <c r="L6591" s="1" t="s">
        <v>2378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5" t="n">
        <v>46239</v>
      </c>
      <c r="C6592" s="1" t="n">
        <v>11</v>
      </c>
      <c r="D6592" s="1" t="s">
        <v>2290</v>
      </c>
      <c r="E6592" s="1" t="n">
        <v>1734</v>
      </c>
      <c r="F6592" s="1" t="s">
        <v>125</v>
      </c>
      <c r="I6592" s="1" t="n">
        <v>257004</v>
      </c>
      <c r="J6592" s="1" t="n">
        <v>40277</v>
      </c>
      <c r="K6592" s="1" t="n">
        <v>7898055450467</v>
      </c>
      <c r="L6592" s="1" t="s">
        <v>2723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5" t="n">
        <v>46239</v>
      </c>
      <c r="C6593" s="1" t="n">
        <v>11</v>
      </c>
      <c r="D6593" s="1" t="s">
        <v>2290</v>
      </c>
      <c r="E6593" s="1" t="n">
        <v>1734</v>
      </c>
      <c r="F6593" s="1" t="s">
        <v>125</v>
      </c>
      <c r="I6593" s="1" t="n">
        <v>257004</v>
      </c>
      <c r="J6593" s="1" t="n">
        <v>44940</v>
      </c>
      <c r="K6593" s="1" t="n">
        <v>7898055450382</v>
      </c>
      <c r="L6593" s="1" t="s">
        <v>3202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5" t="n">
        <v>46239</v>
      </c>
      <c r="C6594" s="1" t="n">
        <v>11</v>
      </c>
      <c r="D6594" s="1" t="s">
        <v>2290</v>
      </c>
      <c r="E6594" s="1" t="n">
        <v>1734</v>
      </c>
      <c r="F6594" s="1" t="s">
        <v>125</v>
      </c>
      <c r="I6594" s="1" t="n">
        <v>257004</v>
      </c>
      <c r="J6594" s="1" t="n">
        <v>45875</v>
      </c>
      <c r="K6594" s="1" t="n">
        <v>7898055450214</v>
      </c>
      <c r="L6594" s="1" t="s">
        <v>2724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5" t="n">
        <v>46239</v>
      </c>
      <c r="C6595" s="1" t="n">
        <v>11</v>
      </c>
      <c r="D6595" s="1" t="s">
        <v>2290</v>
      </c>
      <c r="E6595" s="1" t="n">
        <v>1734</v>
      </c>
      <c r="F6595" s="1" t="s">
        <v>125</v>
      </c>
      <c r="I6595" s="1" t="n">
        <v>257004</v>
      </c>
      <c r="J6595" s="1" t="n">
        <v>72253</v>
      </c>
      <c r="K6595" s="1" t="n">
        <v>7898055455554</v>
      </c>
      <c r="L6595" s="1" t="s">
        <v>3685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5" t="n">
        <v>46239</v>
      </c>
      <c r="C6596" s="1" t="n">
        <v>11</v>
      </c>
      <c r="D6596" s="1" t="s">
        <v>2290</v>
      </c>
      <c r="E6596" s="1" t="n">
        <v>1734</v>
      </c>
      <c r="F6596" s="1" t="s">
        <v>125</v>
      </c>
      <c r="I6596" s="1" t="n">
        <v>257004</v>
      </c>
      <c r="J6596" s="1" t="n">
        <v>81026</v>
      </c>
      <c r="K6596" s="1" t="n">
        <v>7898055455745</v>
      </c>
      <c r="L6596" s="1" t="s">
        <v>2726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5" t="n">
        <v>46239</v>
      </c>
      <c r="C6597" s="1" t="n">
        <v>11</v>
      </c>
      <c r="D6597" s="1" t="s">
        <v>2290</v>
      </c>
      <c r="E6597" s="1" t="n">
        <v>1734</v>
      </c>
      <c r="F6597" s="1" t="s">
        <v>125</v>
      </c>
      <c r="I6597" s="1" t="n">
        <v>257005</v>
      </c>
      <c r="J6597" s="1" t="n">
        <v>38212</v>
      </c>
      <c r="K6597" s="1" t="n">
        <v>7898055451624</v>
      </c>
      <c r="L6597" s="1" t="s">
        <v>2701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5" t="n">
        <v>46239</v>
      </c>
      <c r="C6598" s="1" t="n">
        <v>11</v>
      </c>
      <c r="D6598" s="1" t="s">
        <v>2290</v>
      </c>
      <c r="E6598" s="1" t="n">
        <v>1734</v>
      </c>
      <c r="F6598" s="1" t="s">
        <v>125</v>
      </c>
      <c r="I6598" s="1" t="n">
        <v>257005</v>
      </c>
      <c r="J6598" s="1" t="n">
        <v>38216</v>
      </c>
      <c r="K6598" s="1" t="n">
        <v>7898055454281</v>
      </c>
      <c r="L6598" s="1" t="s">
        <v>2703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5" t="n">
        <v>46239</v>
      </c>
      <c r="C6599" s="1" t="n">
        <v>11</v>
      </c>
      <c r="D6599" s="1" t="s">
        <v>2290</v>
      </c>
      <c r="E6599" s="1" t="n">
        <v>1734</v>
      </c>
      <c r="F6599" s="1" t="s">
        <v>125</v>
      </c>
      <c r="I6599" s="1" t="n">
        <v>257005</v>
      </c>
      <c r="J6599" s="1" t="n">
        <v>38221</v>
      </c>
      <c r="K6599" s="1" t="n">
        <v>7898055452102</v>
      </c>
      <c r="L6599" s="1" t="s">
        <v>2704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5" t="n">
        <v>46239</v>
      </c>
      <c r="C6600" s="1" t="n">
        <v>11</v>
      </c>
      <c r="D6600" s="1" t="s">
        <v>2290</v>
      </c>
      <c r="E6600" s="1" t="n">
        <v>1734</v>
      </c>
      <c r="F6600" s="1" t="s">
        <v>125</v>
      </c>
      <c r="I6600" s="1" t="n">
        <v>257005</v>
      </c>
      <c r="J6600" s="1" t="n">
        <v>38789</v>
      </c>
      <c r="K6600" s="1" t="n">
        <v>7898055451754</v>
      </c>
      <c r="L6600" s="1" t="s">
        <v>4003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5" t="n">
        <v>46239</v>
      </c>
      <c r="C6601" s="1" t="n">
        <v>11</v>
      </c>
      <c r="D6601" s="1" t="s">
        <v>2290</v>
      </c>
      <c r="E6601" s="1" t="n">
        <v>1734</v>
      </c>
      <c r="F6601" s="1" t="s">
        <v>125</v>
      </c>
      <c r="I6601" s="1" t="n">
        <v>257005</v>
      </c>
      <c r="J6601" s="1" t="n">
        <v>38790</v>
      </c>
      <c r="K6601" s="1" t="n">
        <v>7898055453659</v>
      </c>
      <c r="L6601" s="1" t="s">
        <v>3669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5" t="n">
        <v>46239</v>
      </c>
      <c r="C6602" s="1" t="n">
        <v>11</v>
      </c>
      <c r="D6602" s="1" t="s">
        <v>2290</v>
      </c>
      <c r="E6602" s="1" t="n">
        <v>1734</v>
      </c>
      <c r="F6602" s="1" t="s">
        <v>125</v>
      </c>
      <c r="I6602" s="1" t="n">
        <v>257005</v>
      </c>
      <c r="J6602" s="1" t="n">
        <v>39252</v>
      </c>
      <c r="K6602" s="1" t="n">
        <v>7898055450993</v>
      </c>
      <c r="L6602" s="1" t="s">
        <v>2705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5" t="n">
        <v>46239</v>
      </c>
      <c r="C6603" s="1" t="n">
        <v>11</v>
      </c>
      <c r="D6603" s="1" t="s">
        <v>2290</v>
      </c>
      <c r="E6603" s="1" t="n">
        <v>1734</v>
      </c>
      <c r="F6603" s="1" t="s">
        <v>125</v>
      </c>
      <c r="I6603" s="1" t="n">
        <v>257005</v>
      </c>
      <c r="J6603" s="1" t="n">
        <v>39440</v>
      </c>
      <c r="K6603" s="1" t="n">
        <v>7898055451662</v>
      </c>
      <c r="L6603" s="1" t="s">
        <v>2706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5" t="n">
        <v>46239</v>
      </c>
      <c r="C6604" s="1" t="n">
        <v>11</v>
      </c>
      <c r="D6604" s="1" t="s">
        <v>2290</v>
      </c>
      <c r="E6604" s="1" t="n">
        <v>1734</v>
      </c>
      <c r="F6604" s="1" t="s">
        <v>125</v>
      </c>
      <c r="I6604" s="1" t="n">
        <v>257005</v>
      </c>
      <c r="J6604" s="1" t="n">
        <v>41948</v>
      </c>
      <c r="K6604" s="1" t="n">
        <v>7898055451617</v>
      </c>
      <c r="L6604" s="1" t="s">
        <v>4542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5" t="n">
        <v>46239</v>
      </c>
      <c r="C6605" s="1" t="n">
        <v>11</v>
      </c>
      <c r="D6605" s="1" t="s">
        <v>2290</v>
      </c>
      <c r="E6605" s="1" t="n">
        <v>1734</v>
      </c>
      <c r="F6605" s="1" t="s">
        <v>125</v>
      </c>
      <c r="I6605" s="1" t="n">
        <v>257005</v>
      </c>
      <c r="J6605" s="1" t="n">
        <v>57024</v>
      </c>
      <c r="K6605" s="1" t="n">
        <v>7898055455172</v>
      </c>
      <c r="L6605" s="1" t="s">
        <v>3237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5" t="n">
        <v>46239</v>
      </c>
      <c r="C6606" s="1" t="n">
        <v>11</v>
      </c>
      <c r="D6606" s="1" t="s">
        <v>2290</v>
      </c>
      <c r="E6606" s="1" t="n">
        <v>1745</v>
      </c>
      <c r="F6606" s="1" t="s">
        <v>592</v>
      </c>
      <c r="I6606" s="1" t="n">
        <v>356005</v>
      </c>
      <c r="J6606" s="1" t="n">
        <v>101859</v>
      </c>
      <c r="K6606" s="1" t="n">
        <v>7896224807098</v>
      </c>
      <c r="L6606" s="1" t="s">
        <v>3498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5" t="n">
        <v>46239</v>
      </c>
      <c r="C6607" s="1" t="n">
        <v>11</v>
      </c>
      <c r="D6607" s="1" t="s">
        <v>2290</v>
      </c>
      <c r="E6607" s="1" t="n">
        <v>1745</v>
      </c>
      <c r="F6607" s="1" t="s">
        <v>592</v>
      </c>
      <c r="I6607" s="1" t="n">
        <v>356005</v>
      </c>
      <c r="J6607" s="1" t="n">
        <v>101877</v>
      </c>
      <c r="K6607" s="1" t="n">
        <v>7896224813082</v>
      </c>
      <c r="L6607" s="1" t="s">
        <v>2819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5" t="n">
        <v>46239</v>
      </c>
      <c r="C6608" s="1" t="n">
        <v>11</v>
      </c>
      <c r="D6608" s="1" t="s">
        <v>2290</v>
      </c>
      <c r="E6608" s="1" t="n">
        <v>1745</v>
      </c>
      <c r="F6608" s="1" t="s">
        <v>592</v>
      </c>
      <c r="I6608" s="1" t="n">
        <v>356005</v>
      </c>
      <c r="J6608" s="1" t="n">
        <v>102076</v>
      </c>
      <c r="K6608" s="1" t="n">
        <v>7896490288898</v>
      </c>
      <c r="L6608" s="1" t="s">
        <v>4543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5" t="n">
        <v>46239</v>
      </c>
      <c r="C6609" s="1" t="n">
        <v>11</v>
      </c>
      <c r="D6609" s="1" t="s">
        <v>2290</v>
      </c>
      <c r="E6609" s="1" t="n">
        <v>1745</v>
      </c>
      <c r="F6609" s="1" t="s">
        <v>592</v>
      </c>
      <c r="I6609" s="1" t="n">
        <v>356005</v>
      </c>
      <c r="J6609" s="1" t="n">
        <v>102086</v>
      </c>
      <c r="K6609" s="1" t="n">
        <v>7896490288836</v>
      </c>
      <c r="L6609" s="1" t="s">
        <v>4544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5" t="n">
        <v>46239</v>
      </c>
      <c r="C6610" s="1" t="n">
        <v>11</v>
      </c>
      <c r="D6610" s="1" t="s">
        <v>2290</v>
      </c>
      <c r="E6610" s="1" t="n">
        <v>1745</v>
      </c>
      <c r="F6610" s="1" t="s">
        <v>592</v>
      </c>
      <c r="I6610" s="1" t="n">
        <v>356005</v>
      </c>
      <c r="J6610" s="1" t="n">
        <v>102221</v>
      </c>
      <c r="K6610" s="1" t="n">
        <v>7896224803106</v>
      </c>
      <c r="L6610" s="1" t="s">
        <v>4545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5" t="n">
        <v>46239</v>
      </c>
      <c r="C6611" s="1" t="n">
        <v>11</v>
      </c>
      <c r="D6611" s="1" t="s">
        <v>2290</v>
      </c>
      <c r="E6611" s="1" t="n">
        <v>1745</v>
      </c>
      <c r="F6611" s="1" t="s">
        <v>592</v>
      </c>
      <c r="I6611" s="1" t="n">
        <v>356005</v>
      </c>
      <c r="J6611" s="1" t="n">
        <v>103344</v>
      </c>
      <c r="K6611" s="1" t="n">
        <v>7896490288775</v>
      </c>
      <c r="L6611" s="1" t="s">
        <v>4111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5" t="n">
        <v>46239</v>
      </c>
      <c r="C6612" s="1" t="n">
        <v>11</v>
      </c>
      <c r="D6612" s="1" t="s">
        <v>2290</v>
      </c>
      <c r="E6612" s="1" t="n">
        <v>1745</v>
      </c>
      <c r="F6612" s="1" t="s">
        <v>592</v>
      </c>
      <c r="I6612" s="1" t="n">
        <v>356005</v>
      </c>
      <c r="J6612" s="1" t="n">
        <v>104280</v>
      </c>
      <c r="K6612" s="1" t="n">
        <v>7896224800693</v>
      </c>
      <c r="L6612" s="1" t="s">
        <v>4546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5" t="n">
        <v>46239</v>
      </c>
      <c r="C6613" s="1" t="n">
        <v>11</v>
      </c>
      <c r="D6613" s="1" t="s">
        <v>2290</v>
      </c>
      <c r="E6613" s="1" t="n">
        <v>1745</v>
      </c>
      <c r="F6613" s="1" t="s">
        <v>592</v>
      </c>
      <c r="I6613" s="1" t="n">
        <v>356005</v>
      </c>
      <c r="J6613" s="1" t="n">
        <v>16098</v>
      </c>
      <c r="K6613" s="1" t="n">
        <v>7896005803714</v>
      </c>
      <c r="L6613" s="1" t="s">
        <v>4547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5" t="n">
        <v>46239</v>
      </c>
      <c r="C6614" s="1" t="n">
        <v>11</v>
      </c>
      <c r="D6614" s="1" t="s">
        <v>2290</v>
      </c>
      <c r="E6614" s="1" t="n">
        <v>1745</v>
      </c>
      <c r="F6614" s="1" t="s">
        <v>592</v>
      </c>
      <c r="I6614" s="1" t="n">
        <v>356005</v>
      </c>
      <c r="J6614" s="1" t="n">
        <v>17536</v>
      </c>
      <c r="K6614" s="1" t="n">
        <v>7896005800669</v>
      </c>
      <c r="L6614" s="1" t="s">
        <v>4548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5" t="n">
        <v>46239</v>
      </c>
      <c r="C6615" s="1" t="n">
        <v>11</v>
      </c>
      <c r="D6615" s="1" t="s">
        <v>2290</v>
      </c>
      <c r="E6615" s="1" t="n">
        <v>1745</v>
      </c>
      <c r="F6615" s="1" t="s">
        <v>592</v>
      </c>
      <c r="I6615" s="1" t="n">
        <v>356005</v>
      </c>
      <c r="J6615" s="1" t="n">
        <v>25314</v>
      </c>
      <c r="K6615" s="1" t="n">
        <v>7896045112104</v>
      </c>
      <c r="L6615" s="1" t="s">
        <v>2824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5" t="n">
        <v>46239</v>
      </c>
      <c r="C6616" s="1" t="n">
        <v>11</v>
      </c>
      <c r="D6616" s="1" t="s">
        <v>2290</v>
      </c>
      <c r="E6616" s="1" t="n">
        <v>1745</v>
      </c>
      <c r="F6616" s="1" t="s">
        <v>592</v>
      </c>
      <c r="I6616" s="1" t="n">
        <v>356005</v>
      </c>
      <c r="J6616" s="1" t="n">
        <v>27751</v>
      </c>
      <c r="K6616" s="1" t="n">
        <v>7896005801512</v>
      </c>
      <c r="L6616" s="1" t="s">
        <v>2825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5" t="n">
        <v>46239</v>
      </c>
      <c r="C6617" s="1" t="n">
        <v>11</v>
      </c>
      <c r="D6617" s="1" t="s">
        <v>2290</v>
      </c>
      <c r="E6617" s="1" t="n">
        <v>1745</v>
      </c>
      <c r="F6617" s="1" t="s">
        <v>592</v>
      </c>
      <c r="I6617" s="1" t="n">
        <v>356005</v>
      </c>
      <c r="J6617" s="1" t="n">
        <v>38570</v>
      </c>
      <c r="K6617" s="1" t="n">
        <v>7896005809501</v>
      </c>
      <c r="L6617" s="1" t="s">
        <v>4549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5" t="n">
        <v>46239</v>
      </c>
      <c r="C6618" s="1" t="n">
        <v>11</v>
      </c>
      <c r="D6618" s="1" t="s">
        <v>2290</v>
      </c>
      <c r="E6618" s="1" t="n">
        <v>1745</v>
      </c>
      <c r="F6618" s="1" t="s">
        <v>592</v>
      </c>
      <c r="I6618" s="1" t="n">
        <v>356005</v>
      </c>
      <c r="J6618" s="1" t="n">
        <v>38571</v>
      </c>
      <c r="K6618" s="1" t="n">
        <v>7896005809518</v>
      </c>
      <c r="L6618" s="1" t="s">
        <v>4550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5" t="n">
        <v>46239</v>
      </c>
      <c r="C6619" s="1" t="n">
        <v>11</v>
      </c>
      <c r="D6619" s="1" t="s">
        <v>2290</v>
      </c>
      <c r="E6619" s="1" t="n">
        <v>1745</v>
      </c>
      <c r="F6619" s="1" t="s">
        <v>592</v>
      </c>
      <c r="I6619" s="1" t="n">
        <v>356005</v>
      </c>
      <c r="J6619" s="1" t="n">
        <v>60541</v>
      </c>
      <c r="K6619" s="1" t="n">
        <v>7896045112081</v>
      </c>
      <c r="L6619" s="1" t="s">
        <v>2829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5" t="n">
        <v>46239</v>
      </c>
      <c r="C6620" s="1" t="n">
        <v>11</v>
      </c>
      <c r="D6620" s="1" t="s">
        <v>2290</v>
      </c>
      <c r="E6620" s="1" t="n">
        <v>1745</v>
      </c>
      <c r="F6620" s="1" t="s">
        <v>592</v>
      </c>
      <c r="I6620" s="1" t="n">
        <v>356005</v>
      </c>
      <c r="J6620" s="1" t="n">
        <v>60544</v>
      </c>
      <c r="K6620" s="1" t="n">
        <v>7896045112135</v>
      </c>
      <c r="L6620" s="1" t="s">
        <v>2831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5" t="n">
        <v>46239</v>
      </c>
      <c r="C6621" s="1" t="n">
        <v>11</v>
      </c>
      <c r="D6621" s="1" t="s">
        <v>2290</v>
      </c>
      <c r="E6621" s="1" t="n">
        <v>1745</v>
      </c>
      <c r="F6621" s="1" t="s">
        <v>592</v>
      </c>
      <c r="I6621" s="1" t="n">
        <v>356005</v>
      </c>
      <c r="J6621" s="1" t="n">
        <v>76461</v>
      </c>
      <c r="K6621" s="1" t="n">
        <v>7896045115365</v>
      </c>
      <c r="L6621" s="1" t="s">
        <v>2839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5" t="n">
        <v>46239</v>
      </c>
      <c r="C6622" s="1" t="n">
        <v>11</v>
      </c>
      <c r="D6622" s="1" t="s">
        <v>2290</v>
      </c>
      <c r="E6622" s="1" t="n">
        <v>1024</v>
      </c>
      <c r="F6622" s="1" t="s">
        <v>161</v>
      </c>
      <c r="I6622" s="1" t="n">
        <v>615608</v>
      </c>
      <c r="J6622" s="1" t="n">
        <v>60866</v>
      </c>
      <c r="K6622" s="1" t="n">
        <v>7898654710474</v>
      </c>
      <c r="L6622" s="1" t="s">
        <v>3159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5" t="n">
        <v>46239</v>
      </c>
      <c r="C6623" s="1" t="n">
        <v>11</v>
      </c>
      <c r="D6623" s="1" t="s">
        <v>2290</v>
      </c>
      <c r="E6623" s="1" t="n">
        <v>1740</v>
      </c>
      <c r="F6623" s="1" t="s">
        <v>170</v>
      </c>
      <c r="I6623" s="1" t="n">
        <v>1255606</v>
      </c>
      <c r="J6623" s="1" t="n">
        <v>100034</v>
      </c>
      <c r="K6623" s="1" t="n">
        <v>35</v>
      </c>
      <c r="L6623" s="1" t="s">
        <v>3266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5" t="n">
        <v>46239</v>
      </c>
      <c r="C6624" s="1" t="n">
        <v>11</v>
      </c>
      <c r="D6624" s="1" t="s">
        <v>2290</v>
      </c>
      <c r="E6624" s="1" t="n">
        <v>1740</v>
      </c>
      <c r="F6624" s="1" t="s">
        <v>170</v>
      </c>
      <c r="I6624" s="1" t="n">
        <v>1255606</v>
      </c>
      <c r="J6624" s="1" t="n">
        <v>100036</v>
      </c>
      <c r="K6624" s="1" t="n">
        <v>37</v>
      </c>
      <c r="L6624" s="1" t="s">
        <v>2432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5" t="n">
        <v>46239</v>
      </c>
      <c r="C6625" s="1" t="n">
        <v>11</v>
      </c>
      <c r="D6625" s="1" t="s">
        <v>2290</v>
      </c>
      <c r="E6625" s="1" t="n">
        <v>1740</v>
      </c>
      <c r="F6625" s="1" t="s">
        <v>170</v>
      </c>
      <c r="I6625" s="1" t="n">
        <v>1255606</v>
      </c>
      <c r="J6625" s="1" t="n">
        <v>41242</v>
      </c>
      <c r="K6625" s="1" t="n">
        <v>7891164138370</v>
      </c>
      <c r="L6625" s="1" t="s">
        <v>4028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5" t="n">
        <v>46239</v>
      </c>
      <c r="C6626" s="1" t="n">
        <v>11</v>
      </c>
      <c r="D6626" s="1" t="s">
        <v>2290</v>
      </c>
      <c r="E6626" s="1" t="n">
        <v>1740</v>
      </c>
      <c r="F6626" s="1" t="s">
        <v>170</v>
      </c>
      <c r="I6626" s="1" t="n">
        <v>1255606</v>
      </c>
      <c r="J6626" s="1" t="n">
        <v>63511</v>
      </c>
      <c r="K6626" s="1" t="n">
        <v>7891164027124</v>
      </c>
      <c r="L6626" s="1" t="s">
        <v>4074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5" t="n">
        <v>46239</v>
      </c>
      <c r="C6627" s="1" t="n">
        <v>11</v>
      </c>
      <c r="D6627" s="1" t="s">
        <v>2290</v>
      </c>
      <c r="E6627" s="1" t="n">
        <v>1740</v>
      </c>
      <c r="F6627" s="1" t="s">
        <v>170</v>
      </c>
      <c r="I6627" s="1" t="n">
        <v>1255606</v>
      </c>
      <c r="J6627" s="1" t="n">
        <v>81469</v>
      </c>
      <c r="K6627" s="1" t="n">
        <v>7898681940042</v>
      </c>
      <c r="L6627" s="1" t="s">
        <v>4029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5" t="n">
        <v>46239</v>
      </c>
      <c r="C6628" s="1" t="n">
        <v>11</v>
      </c>
      <c r="D6628" s="1" t="s">
        <v>2290</v>
      </c>
      <c r="E6628" s="1" t="n">
        <v>1740</v>
      </c>
      <c r="F6628" s="1" t="s">
        <v>170</v>
      </c>
      <c r="I6628" s="1" t="n">
        <v>1255607</v>
      </c>
      <c r="J6628" s="1" t="n">
        <v>106130</v>
      </c>
      <c r="K6628" s="1" t="n">
        <v>7891000340004</v>
      </c>
      <c r="L6628" s="1" t="s">
        <v>2484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5" t="n">
        <v>46239</v>
      </c>
      <c r="C6629" s="1" t="n">
        <v>11</v>
      </c>
      <c r="D6629" s="1" t="s">
        <v>2290</v>
      </c>
      <c r="E6629" s="1" t="n">
        <v>1740</v>
      </c>
      <c r="F6629" s="1" t="s">
        <v>170</v>
      </c>
      <c r="I6629" s="1" t="n">
        <v>1255607</v>
      </c>
      <c r="J6629" s="1" t="n">
        <v>14219</v>
      </c>
      <c r="K6629" s="1" t="n">
        <v>7891000072950</v>
      </c>
      <c r="L6629" s="1" t="s">
        <v>2485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5" t="n">
        <v>46239</v>
      </c>
      <c r="C6630" s="1" t="n">
        <v>11</v>
      </c>
      <c r="D6630" s="1" t="s">
        <v>2290</v>
      </c>
      <c r="E6630" s="1" t="n">
        <v>1740</v>
      </c>
      <c r="F6630" s="1" t="s">
        <v>170</v>
      </c>
      <c r="I6630" s="1" t="n">
        <v>1255607</v>
      </c>
      <c r="J6630" s="1" t="n">
        <v>16602</v>
      </c>
      <c r="K6630" s="1" t="n">
        <v>7891000084649</v>
      </c>
      <c r="L6630" s="1" t="s">
        <v>3088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5" t="n">
        <v>46239</v>
      </c>
      <c r="C6631" s="1" t="n">
        <v>11</v>
      </c>
      <c r="D6631" s="1" t="s">
        <v>2290</v>
      </c>
      <c r="E6631" s="1" t="n">
        <v>1740</v>
      </c>
      <c r="F6631" s="1" t="s">
        <v>170</v>
      </c>
      <c r="I6631" s="1" t="n">
        <v>1255607</v>
      </c>
      <c r="J6631" s="1" t="n">
        <v>20021</v>
      </c>
      <c r="K6631" s="1" t="n">
        <v>7891000103937</v>
      </c>
      <c r="L6631" s="1" t="s">
        <v>2486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5" t="n">
        <v>46239</v>
      </c>
      <c r="C6632" s="1" t="n">
        <v>11</v>
      </c>
      <c r="D6632" s="1" t="s">
        <v>2290</v>
      </c>
      <c r="E6632" s="1" t="n">
        <v>1740</v>
      </c>
      <c r="F6632" s="1" t="s">
        <v>170</v>
      </c>
      <c r="I6632" s="1" t="n">
        <v>1255607</v>
      </c>
      <c r="J6632" s="1" t="n">
        <v>25112</v>
      </c>
      <c r="K6632" s="1" t="n">
        <v>7891000244425</v>
      </c>
      <c r="L6632" s="1" t="s">
        <v>2487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5" t="n">
        <v>46239</v>
      </c>
      <c r="C6633" s="1" t="n">
        <v>11</v>
      </c>
      <c r="D6633" s="1" t="s">
        <v>2290</v>
      </c>
      <c r="E6633" s="1" t="n">
        <v>1740</v>
      </c>
      <c r="F6633" s="1" t="s">
        <v>170</v>
      </c>
      <c r="I6633" s="1" t="n">
        <v>1255607</v>
      </c>
      <c r="J6633" s="1" t="n">
        <v>27878</v>
      </c>
      <c r="K6633" s="1" t="n">
        <v>7891000261026</v>
      </c>
      <c r="L6633" s="1" t="s">
        <v>2489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5" t="n">
        <v>46239</v>
      </c>
      <c r="C6634" s="1" t="n">
        <v>11</v>
      </c>
      <c r="D6634" s="1" t="s">
        <v>2290</v>
      </c>
      <c r="E6634" s="1" t="n">
        <v>1740</v>
      </c>
      <c r="F6634" s="1" t="s">
        <v>170</v>
      </c>
      <c r="I6634" s="1" t="n">
        <v>1255607</v>
      </c>
      <c r="J6634" s="1" t="n">
        <v>28389</v>
      </c>
      <c r="K6634" s="1" t="n">
        <v>7891000261460</v>
      </c>
      <c r="L6634" s="1" t="s">
        <v>3092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5" t="n">
        <v>46239</v>
      </c>
      <c r="C6635" s="1" t="n">
        <v>11</v>
      </c>
      <c r="D6635" s="1" t="s">
        <v>2290</v>
      </c>
      <c r="E6635" s="1" t="n">
        <v>1740</v>
      </c>
      <c r="F6635" s="1" t="s">
        <v>170</v>
      </c>
      <c r="I6635" s="1" t="n">
        <v>1255607</v>
      </c>
      <c r="J6635" s="1" t="n">
        <v>47788</v>
      </c>
      <c r="K6635" s="1" t="n">
        <v>7891000363256</v>
      </c>
      <c r="L6635" s="1" t="s">
        <v>3839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5" t="n">
        <v>46239</v>
      </c>
      <c r="C6636" s="1" t="n">
        <v>11</v>
      </c>
      <c r="D6636" s="1" t="s">
        <v>2290</v>
      </c>
      <c r="E6636" s="1" t="n">
        <v>1740</v>
      </c>
      <c r="F6636" s="1" t="s">
        <v>170</v>
      </c>
      <c r="I6636" s="1" t="n">
        <v>1255607</v>
      </c>
      <c r="J6636" s="1" t="n">
        <v>47789</v>
      </c>
      <c r="K6636" s="1" t="n">
        <v>7891000362037</v>
      </c>
      <c r="L6636" s="1" t="s">
        <v>2491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5" t="n">
        <v>46239</v>
      </c>
      <c r="C6637" s="1" t="n">
        <v>11</v>
      </c>
      <c r="D6637" s="1" t="s">
        <v>2290</v>
      </c>
      <c r="E6637" s="1" t="n">
        <v>1740</v>
      </c>
      <c r="F6637" s="1" t="s">
        <v>170</v>
      </c>
      <c r="I6637" s="1" t="n">
        <v>1255607</v>
      </c>
      <c r="J6637" s="1" t="n">
        <v>50424</v>
      </c>
      <c r="K6637" s="1" t="n">
        <v>7898953148169</v>
      </c>
      <c r="L6637" s="1" t="s">
        <v>2492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5" t="n">
        <v>46239</v>
      </c>
      <c r="C6638" s="1" t="n">
        <v>11</v>
      </c>
      <c r="D6638" s="1" t="s">
        <v>2290</v>
      </c>
      <c r="E6638" s="1" t="n">
        <v>1740</v>
      </c>
      <c r="F6638" s="1" t="s">
        <v>170</v>
      </c>
      <c r="I6638" s="1" t="n">
        <v>1255607</v>
      </c>
      <c r="J6638" s="1" t="n">
        <v>64795</v>
      </c>
      <c r="K6638" s="1" t="n">
        <v>7891097105739</v>
      </c>
      <c r="L6638" s="1" t="s">
        <v>4071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5" t="n">
        <v>46239</v>
      </c>
      <c r="C6639" s="1" t="n">
        <v>11</v>
      </c>
      <c r="D6639" s="1" t="s">
        <v>2290</v>
      </c>
      <c r="E6639" s="1" t="n">
        <v>1672</v>
      </c>
      <c r="F6639" s="1" t="s">
        <v>67</v>
      </c>
      <c r="I6639" s="1" t="n">
        <v>1411864</v>
      </c>
      <c r="J6639" s="1" t="n">
        <v>37507</v>
      </c>
      <c r="K6639" s="1" t="n">
        <v>7896579310854</v>
      </c>
      <c r="L6639" s="1" t="s">
        <v>2435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5" t="n">
        <v>46239</v>
      </c>
      <c r="C6640" s="1" t="n">
        <v>11</v>
      </c>
      <c r="D6640" s="1" t="s">
        <v>2290</v>
      </c>
      <c r="E6640" s="1" t="n">
        <v>1613</v>
      </c>
      <c r="F6640" s="1" t="s">
        <v>177</v>
      </c>
      <c r="I6640" s="1" t="n">
        <v>1615570</v>
      </c>
      <c r="J6640" s="1" t="n">
        <v>100034</v>
      </c>
      <c r="K6640" s="1" t="n">
        <v>35</v>
      </c>
      <c r="L6640" s="1" t="s">
        <v>3266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5" t="n">
        <v>46239</v>
      </c>
      <c r="C6641" s="1" t="n">
        <v>11</v>
      </c>
      <c r="D6641" s="1" t="s">
        <v>2290</v>
      </c>
      <c r="E6641" s="1" t="n">
        <v>1613</v>
      </c>
      <c r="F6641" s="1" t="s">
        <v>177</v>
      </c>
      <c r="I6641" s="1" t="n">
        <v>1615570</v>
      </c>
      <c r="J6641" s="1" t="n">
        <v>100045</v>
      </c>
      <c r="K6641" s="1" t="n">
        <v>46</v>
      </c>
      <c r="L6641" s="1" t="s">
        <v>3268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5" t="n">
        <v>46239</v>
      </c>
      <c r="C6642" s="1" t="n">
        <v>11</v>
      </c>
      <c r="D6642" s="1" t="s">
        <v>2290</v>
      </c>
      <c r="E6642" s="1" t="n">
        <v>1613</v>
      </c>
      <c r="F6642" s="1" t="s">
        <v>177</v>
      </c>
      <c r="I6642" s="1" t="n">
        <v>1615570</v>
      </c>
      <c r="J6642" s="1" t="n">
        <v>103795</v>
      </c>
      <c r="K6642" s="1" t="n">
        <v>7893000436800</v>
      </c>
      <c r="L6642" s="1" t="s">
        <v>4551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5" t="n">
        <v>46239</v>
      </c>
      <c r="C6643" s="1" t="n">
        <v>11</v>
      </c>
      <c r="D6643" s="1" t="s">
        <v>2290</v>
      </c>
      <c r="E6643" s="1" t="n">
        <v>1613</v>
      </c>
      <c r="F6643" s="1" t="s">
        <v>177</v>
      </c>
      <c r="I6643" s="1" t="n">
        <v>1615570</v>
      </c>
      <c r="J6643" s="1" t="n">
        <v>103796</v>
      </c>
      <c r="K6643" s="1" t="n">
        <v>7893000436725</v>
      </c>
      <c r="L6643" s="1" t="s">
        <v>2988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5" t="n">
        <v>46239</v>
      </c>
      <c r="C6644" s="1" t="n">
        <v>11</v>
      </c>
      <c r="D6644" s="1" t="s">
        <v>2290</v>
      </c>
      <c r="E6644" s="1" t="n">
        <v>1613</v>
      </c>
      <c r="F6644" s="1" t="s">
        <v>177</v>
      </c>
      <c r="I6644" s="1" t="n">
        <v>1615570</v>
      </c>
      <c r="J6644" s="1" t="n">
        <v>103848</v>
      </c>
      <c r="K6644" s="1" t="n">
        <v>7893000488878</v>
      </c>
      <c r="L6644" s="1" t="s">
        <v>2990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5" t="n">
        <v>46239</v>
      </c>
      <c r="C6645" s="1" t="n">
        <v>11</v>
      </c>
      <c r="D6645" s="1" t="s">
        <v>2290</v>
      </c>
      <c r="E6645" s="1" t="n">
        <v>1613</v>
      </c>
      <c r="F6645" s="1" t="s">
        <v>177</v>
      </c>
      <c r="I6645" s="1" t="n">
        <v>1615570</v>
      </c>
      <c r="J6645" s="1" t="n">
        <v>110181</v>
      </c>
      <c r="K6645" s="1" t="n">
        <v>37389</v>
      </c>
      <c r="L6645" s="1" t="s">
        <v>3270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5" t="n">
        <v>46239</v>
      </c>
      <c r="C6646" s="1" t="n">
        <v>11</v>
      </c>
      <c r="D6646" s="1" t="s">
        <v>2290</v>
      </c>
      <c r="E6646" s="1" t="n">
        <v>1613</v>
      </c>
      <c r="F6646" s="1" t="s">
        <v>177</v>
      </c>
      <c r="I6646" s="1" t="n">
        <v>1615570</v>
      </c>
      <c r="J6646" s="1" t="n">
        <v>110215</v>
      </c>
      <c r="K6646" s="1" t="n">
        <v>37498</v>
      </c>
      <c r="L6646" s="1" t="s">
        <v>4552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5" t="n">
        <v>46239</v>
      </c>
      <c r="C6647" s="1" t="n">
        <v>11</v>
      </c>
      <c r="D6647" s="1" t="s">
        <v>2290</v>
      </c>
      <c r="E6647" s="1" t="n">
        <v>1613</v>
      </c>
      <c r="F6647" s="1" t="s">
        <v>177</v>
      </c>
      <c r="I6647" s="1" t="n">
        <v>1615570</v>
      </c>
      <c r="J6647" s="1" t="n">
        <v>52903</v>
      </c>
      <c r="K6647" s="1" t="n">
        <v>7891515591939</v>
      </c>
      <c r="L6647" s="1" t="s">
        <v>2996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5" t="n">
        <v>46239</v>
      </c>
      <c r="C6648" s="1" t="n">
        <v>11</v>
      </c>
      <c r="D6648" s="1" t="s">
        <v>2290</v>
      </c>
      <c r="E6648" s="1" t="n">
        <v>1613</v>
      </c>
      <c r="F6648" s="1" t="s">
        <v>177</v>
      </c>
      <c r="I6648" s="1" t="n">
        <v>1615570</v>
      </c>
      <c r="J6648" s="1" t="n">
        <v>53671</v>
      </c>
      <c r="K6648" s="1" t="n">
        <v>7891515592080</v>
      </c>
      <c r="L6648" s="1" t="s">
        <v>2997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5" t="n">
        <v>46239</v>
      </c>
      <c r="C6649" s="1" t="n">
        <v>11</v>
      </c>
      <c r="D6649" s="1" t="s">
        <v>2290</v>
      </c>
      <c r="E6649" s="1" t="n">
        <v>1608</v>
      </c>
      <c r="F6649" s="1" t="s">
        <v>41</v>
      </c>
      <c r="I6649" s="1" t="n">
        <v>1704242</v>
      </c>
      <c r="J6649" s="1" t="n">
        <v>65341</v>
      </c>
      <c r="K6649" s="1" t="n">
        <v>7892840822309</v>
      </c>
      <c r="L6649" s="1" t="s">
        <v>2498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5" t="n">
        <v>46239</v>
      </c>
      <c r="C6650" s="1" t="n">
        <v>11</v>
      </c>
      <c r="D6650" s="1" t="s">
        <v>2290</v>
      </c>
      <c r="E6650" s="1" t="n">
        <v>1705</v>
      </c>
      <c r="F6650" s="1" t="s">
        <v>122</v>
      </c>
      <c r="I6650" s="1" t="n">
        <v>1968355</v>
      </c>
      <c r="J6650" s="1" t="n">
        <v>21426</v>
      </c>
      <c r="K6650" s="1" t="n">
        <v>7894900014211</v>
      </c>
      <c r="L6650" s="1" t="s">
        <v>2309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5" t="n">
        <v>46239</v>
      </c>
      <c r="C6651" s="1" t="n">
        <v>22</v>
      </c>
      <c r="D6651" s="1" t="s">
        <v>2436</v>
      </c>
      <c r="E6651" s="1" t="n">
        <v>42</v>
      </c>
      <c r="F6651" s="1" t="s">
        <v>80</v>
      </c>
      <c r="I6651" s="1" t="n">
        <v>4462</v>
      </c>
      <c r="J6651" s="1" t="n">
        <v>100000</v>
      </c>
      <c r="K6651" s="1" t="n">
        <v>1</v>
      </c>
      <c r="L6651" s="1" t="s">
        <v>2451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5" t="n">
        <v>46239</v>
      </c>
      <c r="C6652" s="1" t="n">
        <v>22</v>
      </c>
      <c r="D6652" s="1" t="s">
        <v>2436</v>
      </c>
      <c r="E6652" s="1" t="n">
        <v>42</v>
      </c>
      <c r="F6652" s="1" t="s">
        <v>80</v>
      </c>
      <c r="I6652" s="1" t="n">
        <v>4462</v>
      </c>
      <c r="J6652" s="1" t="n">
        <v>100000</v>
      </c>
      <c r="K6652" s="1" t="n">
        <v>1</v>
      </c>
      <c r="L6652" s="1" t="s">
        <v>2451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5" t="n">
        <v>46239</v>
      </c>
      <c r="C6653" s="1" t="n">
        <v>22</v>
      </c>
      <c r="D6653" s="1" t="s">
        <v>2436</v>
      </c>
      <c r="E6653" s="1" t="n">
        <v>42</v>
      </c>
      <c r="F6653" s="1" t="s">
        <v>80</v>
      </c>
      <c r="I6653" s="1" t="n">
        <v>4462</v>
      </c>
      <c r="J6653" s="1" t="n">
        <v>100001</v>
      </c>
      <c r="K6653" s="1" t="n">
        <v>2</v>
      </c>
      <c r="L6653" s="1" t="s">
        <v>2452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5" t="n">
        <v>46239</v>
      </c>
      <c r="C6654" s="1" t="n">
        <v>22</v>
      </c>
      <c r="D6654" s="1" t="s">
        <v>2436</v>
      </c>
      <c r="E6654" s="1" t="n">
        <v>42</v>
      </c>
      <c r="F6654" s="1" t="s">
        <v>80</v>
      </c>
      <c r="I6654" s="1" t="n">
        <v>4462</v>
      </c>
      <c r="J6654" s="1" t="n">
        <v>100002</v>
      </c>
      <c r="K6654" s="1" t="n">
        <v>3</v>
      </c>
      <c r="L6654" s="1" t="s">
        <v>2453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5" t="n">
        <v>46239</v>
      </c>
      <c r="C6655" s="1" t="n">
        <v>22</v>
      </c>
      <c r="D6655" s="1" t="s">
        <v>2436</v>
      </c>
      <c r="E6655" s="1" t="n">
        <v>42</v>
      </c>
      <c r="F6655" s="1" t="s">
        <v>80</v>
      </c>
      <c r="I6655" s="1" t="n">
        <v>4462</v>
      </c>
      <c r="J6655" s="1" t="n">
        <v>100003</v>
      </c>
      <c r="K6655" s="1" t="n">
        <v>4</v>
      </c>
      <c r="L6655" s="1" t="s">
        <v>2454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5" t="n">
        <v>46239</v>
      </c>
      <c r="C6656" s="1" t="n">
        <v>22</v>
      </c>
      <c r="D6656" s="1" t="s">
        <v>2436</v>
      </c>
      <c r="E6656" s="1" t="n">
        <v>42</v>
      </c>
      <c r="F6656" s="1" t="s">
        <v>80</v>
      </c>
      <c r="I6656" s="1" t="n">
        <v>4462</v>
      </c>
      <c r="J6656" s="1" t="n">
        <v>100006</v>
      </c>
      <c r="K6656" s="1" t="n">
        <v>7</v>
      </c>
      <c r="L6656" s="1" t="s">
        <v>2437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5" t="n">
        <v>46239</v>
      </c>
      <c r="C6657" s="1" t="n">
        <v>22</v>
      </c>
      <c r="D6657" s="1" t="s">
        <v>2436</v>
      </c>
      <c r="E6657" s="1" t="n">
        <v>42</v>
      </c>
      <c r="F6657" s="1" t="s">
        <v>80</v>
      </c>
      <c r="I6657" s="1" t="n">
        <v>4462</v>
      </c>
      <c r="J6657" s="1" t="n">
        <v>100007</v>
      </c>
      <c r="K6657" s="1" t="n">
        <v>8</v>
      </c>
      <c r="L6657" s="1" t="s">
        <v>2455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5" t="n">
        <v>46239</v>
      </c>
      <c r="C6658" s="1" t="n">
        <v>22</v>
      </c>
      <c r="D6658" s="1" t="s">
        <v>2436</v>
      </c>
      <c r="E6658" s="1" t="n">
        <v>42</v>
      </c>
      <c r="F6658" s="1" t="s">
        <v>80</v>
      </c>
      <c r="I6658" s="1" t="n">
        <v>4462</v>
      </c>
      <c r="J6658" s="1" t="n">
        <v>100007</v>
      </c>
      <c r="K6658" s="1" t="n">
        <v>8</v>
      </c>
      <c r="L6658" s="1" t="s">
        <v>2455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5" t="n">
        <v>46239</v>
      </c>
      <c r="C6659" s="1" t="n">
        <v>22</v>
      </c>
      <c r="D6659" s="1" t="s">
        <v>2436</v>
      </c>
      <c r="E6659" s="1" t="n">
        <v>42</v>
      </c>
      <c r="F6659" s="1" t="s">
        <v>80</v>
      </c>
      <c r="I6659" s="1" t="n">
        <v>4462</v>
      </c>
      <c r="J6659" s="1" t="n">
        <v>100008</v>
      </c>
      <c r="K6659" s="1" t="n">
        <v>9</v>
      </c>
      <c r="L6659" s="1" t="s">
        <v>2438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5" t="n">
        <v>46239</v>
      </c>
      <c r="C6660" s="1" t="n">
        <v>22</v>
      </c>
      <c r="D6660" s="1" t="s">
        <v>2436</v>
      </c>
      <c r="E6660" s="1" t="n">
        <v>42</v>
      </c>
      <c r="F6660" s="1" t="s">
        <v>80</v>
      </c>
      <c r="I6660" s="1" t="n">
        <v>4462</v>
      </c>
      <c r="J6660" s="1" t="n">
        <v>100010</v>
      </c>
      <c r="K6660" s="1" t="n">
        <v>11</v>
      </c>
      <c r="L6660" s="1" t="s">
        <v>2439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5" t="n">
        <v>46239</v>
      </c>
      <c r="C6661" s="1" t="n">
        <v>22</v>
      </c>
      <c r="D6661" s="1" t="s">
        <v>2436</v>
      </c>
      <c r="E6661" s="1" t="n">
        <v>42</v>
      </c>
      <c r="F6661" s="1" t="s">
        <v>80</v>
      </c>
      <c r="I6661" s="1" t="n">
        <v>4462</v>
      </c>
      <c r="J6661" s="1" t="n">
        <v>100011</v>
      </c>
      <c r="K6661" s="1" t="n">
        <v>12</v>
      </c>
      <c r="L6661" s="1" t="s">
        <v>2440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5" t="n">
        <v>46239</v>
      </c>
      <c r="C6662" s="1" t="n">
        <v>22</v>
      </c>
      <c r="D6662" s="1" t="s">
        <v>2436</v>
      </c>
      <c r="E6662" s="1" t="n">
        <v>42</v>
      </c>
      <c r="F6662" s="1" t="s">
        <v>80</v>
      </c>
      <c r="I6662" s="1" t="n">
        <v>4462</v>
      </c>
      <c r="J6662" s="1" t="n">
        <v>100012</v>
      </c>
      <c r="K6662" s="1" t="n">
        <v>13</v>
      </c>
      <c r="L6662" s="1" t="s">
        <v>2441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5" t="n">
        <v>46239</v>
      </c>
      <c r="C6663" s="1" t="n">
        <v>22</v>
      </c>
      <c r="D6663" s="1" t="s">
        <v>2436</v>
      </c>
      <c r="E6663" s="1" t="n">
        <v>42</v>
      </c>
      <c r="F6663" s="1" t="s">
        <v>80</v>
      </c>
      <c r="I6663" s="1" t="n">
        <v>4462</v>
      </c>
      <c r="J6663" s="1" t="n">
        <v>100013</v>
      </c>
      <c r="K6663" s="1" t="n">
        <v>14</v>
      </c>
      <c r="L6663" s="1" t="s">
        <v>2442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5" t="n">
        <v>46239</v>
      </c>
      <c r="C6664" s="1" t="n">
        <v>22</v>
      </c>
      <c r="D6664" s="1" t="s">
        <v>2436</v>
      </c>
      <c r="E6664" s="1" t="n">
        <v>42</v>
      </c>
      <c r="F6664" s="1" t="s">
        <v>80</v>
      </c>
      <c r="I6664" s="1" t="n">
        <v>4462</v>
      </c>
      <c r="J6664" s="1" t="n">
        <v>100014</v>
      </c>
      <c r="K6664" s="1" t="n">
        <v>15</v>
      </c>
      <c r="L6664" s="1" t="s">
        <v>2443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5" t="n">
        <v>46239</v>
      </c>
      <c r="C6665" s="1" t="n">
        <v>22</v>
      </c>
      <c r="D6665" s="1" t="s">
        <v>2436</v>
      </c>
      <c r="E6665" s="1" t="n">
        <v>42</v>
      </c>
      <c r="F6665" s="1" t="s">
        <v>80</v>
      </c>
      <c r="I6665" s="1" t="n">
        <v>4462</v>
      </c>
      <c r="J6665" s="1" t="n">
        <v>100015</v>
      </c>
      <c r="K6665" s="1" t="n">
        <v>16</v>
      </c>
      <c r="L6665" s="1" t="s">
        <v>2444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5" t="n">
        <v>46239</v>
      </c>
      <c r="C6666" s="1" t="n">
        <v>22</v>
      </c>
      <c r="D6666" s="1" t="s">
        <v>2436</v>
      </c>
      <c r="E6666" s="1" t="n">
        <v>42</v>
      </c>
      <c r="F6666" s="1" t="s">
        <v>80</v>
      </c>
      <c r="I6666" s="1" t="n">
        <v>4462</v>
      </c>
      <c r="J6666" s="1" t="n">
        <v>100016</v>
      </c>
      <c r="K6666" s="1" t="n">
        <v>17</v>
      </c>
      <c r="L6666" s="1" t="s">
        <v>2445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5" t="n">
        <v>46239</v>
      </c>
      <c r="C6667" s="1" t="n">
        <v>22</v>
      </c>
      <c r="D6667" s="1" t="s">
        <v>2436</v>
      </c>
      <c r="E6667" s="1" t="n">
        <v>42</v>
      </c>
      <c r="F6667" s="1" t="s">
        <v>80</v>
      </c>
      <c r="I6667" s="1" t="n">
        <v>4462</v>
      </c>
      <c r="J6667" s="1" t="n">
        <v>100017</v>
      </c>
      <c r="K6667" s="1" t="n">
        <v>18</v>
      </c>
      <c r="L6667" s="1" t="s">
        <v>2446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5" t="n">
        <v>46239</v>
      </c>
      <c r="C6668" s="1" t="n">
        <v>22</v>
      </c>
      <c r="D6668" s="1" t="s">
        <v>2436</v>
      </c>
      <c r="E6668" s="1" t="n">
        <v>42</v>
      </c>
      <c r="F6668" s="1" t="s">
        <v>80</v>
      </c>
      <c r="I6668" s="1" t="n">
        <v>4462</v>
      </c>
      <c r="J6668" s="1" t="n">
        <v>100019</v>
      </c>
      <c r="K6668" s="1" t="n">
        <v>20</v>
      </c>
      <c r="L6668" s="1" t="s">
        <v>4136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5" t="n">
        <v>46239</v>
      </c>
      <c r="C6669" s="1" t="n">
        <v>22</v>
      </c>
      <c r="D6669" s="1" t="s">
        <v>2436</v>
      </c>
      <c r="E6669" s="1" t="n">
        <v>42</v>
      </c>
      <c r="F6669" s="1" t="s">
        <v>80</v>
      </c>
      <c r="I6669" s="1" t="n">
        <v>4462</v>
      </c>
      <c r="J6669" s="1" t="n">
        <v>100019</v>
      </c>
      <c r="K6669" s="1" t="n">
        <v>20</v>
      </c>
      <c r="L6669" s="1" t="s">
        <v>4136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5" t="n">
        <v>46239</v>
      </c>
      <c r="C6670" s="1" t="n">
        <v>22</v>
      </c>
      <c r="D6670" s="1" t="s">
        <v>2436</v>
      </c>
      <c r="E6670" s="1" t="n">
        <v>42</v>
      </c>
      <c r="F6670" s="1" t="s">
        <v>80</v>
      </c>
      <c r="I6670" s="1" t="n">
        <v>4462</v>
      </c>
      <c r="J6670" s="1" t="n">
        <v>100053</v>
      </c>
      <c r="K6670" s="1" t="n">
        <v>54</v>
      </c>
      <c r="L6670" s="1" t="s">
        <v>2447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5" t="n">
        <v>46239</v>
      </c>
      <c r="C6671" s="1" t="n">
        <v>22</v>
      </c>
      <c r="D6671" s="1" t="s">
        <v>2436</v>
      </c>
      <c r="E6671" s="1" t="n">
        <v>42</v>
      </c>
      <c r="F6671" s="1" t="s">
        <v>80</v>
      </c>
      <c r="I6671" s="1" t="n">
        <v>4462</v>
      </c>
      <c r="J6671" s="1" t="n">
        <v>100638</v>
      </c>
      <c r="K6671" s="1" t="n">
        <v>508</v>
      </c>
      <c r="L6671" s="1" t="s">
        <v>2448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5" t="n">
        <v>46239</v>
      </c>
      <c r="C6672" s="1" t="n">
        <v>22</v>
      </c>
      <c r="D6672" s="1" t="s">
        <v>2436</v>
      </c>
      <c r="E6672" s="1" t="n">
        <v>42</v>
      </c>
      <c r="F6672" s="1" t="s">
        <v>80</v>
      </c>
      <c r="I6672" s="1" t="n">
        <v>4462</v>
      </c>
      <c r="J6672" s="1" t="n">
        <v>100638</v>
      </c>
      <c r="K6672" s="1" t="n">
        <v>508</v>
      </c>
      <c r="L6672" s="1" t="s">
        <v>2448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5" t="n">
        <v>46239</v>
      </c>
      <c r="C6673" s="1" t="n">
        <v>22</v>
      </c>
      <c r="D6673" s="1" t="s">
        <v>2436</v>
      </c>
      <c r="E6673" s="1" t="n">
        <v>42</v>
      </c>
      <c r="F6673" s="1" t="s">
        <v>80</v>
      </c>
      <c r="I6673" s="1" t="n">
        <v>4462</v>
      </c>
      <c r="J6673" s="1" t="n">
        <v>100520</v>
      </c>
      <c r="K6673" s="1" t="n">
        <v>507</v>
      </c>
      <c r="L6673" s="1" t="s">
        <v>2449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5" t="n">
        <v>46239</v>
      </c>
      <c r="C6674" s="1" t="n">
        <v>22</v>
      </c>
      <c r="D6674" s="1" t="s">
        <v>2436</v>
      </c>
      <c r="E6674" s="1" t="n">
        <v>42</v>
      </c>
      <c r="F6674" s="1" t="s">
        <v>80</v>
      </c>
      <c r="I6674" s="1" t="n">
        <v>4462</v>
      </c>
      <c r="J6674" s="1" t="n">
        <v>110455</v>
      </c>
      <c r="K6674" s="1" t="n">
        <v>53212</v>
      </c>
      <c r="L6674" s="1" t="s">
        <v>2450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5" t="n">
        <v>46239</v>
      </c>
      <c r="C6675" s="1" t="n">
        <v>22</v>
      </c>
      <c r="D6675" s="1" t="s">
        <v>2436</v>
      </c>
      <c r="E6675" s="1" t="n">
        <v>42</v>
      </c>
      <c r="F6675" s="1" t="s">
        <v>80</v>
      </c>
      <c r="I6675" s="1" t="n">
        <v>4462</v>
      </c>
      <c r="J6675" s="1" t="n">
        <v>110455</v>
      </c>
      <c r="K6675" s="1" t="n">
        <v>53212</v>
      </c>
      <c r="L6675" s="1" t="s">
        <v>2450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5" t="n">
        <v>46239</v>
      </c>
      <c r="C6676" s="1" t="n">
        <v>100</v>
      </c>
      <c r="D6676" s="1" t="s">
        <v>2457</v>
      </c>
      <c r="E6676" s="1" t="n">
        <v>42</v>
      </c>
      <c r="F6676" s="1" t="s">
        <v>80</v>
      </c>
      <c r="I6676" s="1" t="n">
        <v>1503392</v>
      </c>
      <c r="J6676" s="1" t="n">
        <v>100000</v>
      </c>
      <c r="K6676" s="1" t="n">
        <v>1</v>
      </c>
      <c r="L6676" s="1" t="s">
        <v>2451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5" t="n">
        <v>46239</v>
      </c>
      <c r="C6677" s="1" t="n">
        <v>100</v>
      </c>
      <c r="D6677" s="1" t="s">
        <v>2457</v>
      </c>
      <c r="E6677" s="1" t="n">
        <v>42</v>
      </c>
      <c r="F6677" s="1" t="s">
        <v>80</v>
      </c>
      <c r="I6677" s="1" t="n">
        <v>1503392</v>
      </c>
      <c r="J6677" s="1" t="n">
        <v>100001</v>
      </c>
      <c r="K6677" s="1" t="n">
        <v>2</v>
      </c>
      <c r="L6677" s="1" t="s">
        <v>2452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5" t="n">
        <v>46239</v>
      </c>
      <c r="C6678" s="1" t="n">
        <v>100</v>
      </c>
      <c r="D6678" s="1" t="s">
        <v>2457</v>
      </c>
      <c r="E6678" s="1" t="n">
        <v>42</v>
      </c>
      <c r="F6678" s="1" t="s">
        <v>80</v>
      </c>
      <c r="I6678" s="1" t="n">
        <v>1503392</v>
      </c>
      <c r="J6678" s="1" t="n">
        <v>100002</v>
      </c>
      <c r="K6678" s="1" t="n">
        <v>3</v>
      </c>
      <c r="L6678" s="1" t="s">
        <v>2453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5" t="n">
        <v>46239</v>
      </c>
      <c r="C6679" s="1" t="n">
        <v>100</v>
      </c>
      <c r="D6679" s="1" t="s">
        <v>2457</v>
      </c>
      <c r="E6679" s="1" t="n">
        <v>42</v>
      </c>
      <c r="F6679" s="1" t="s">
        <v>80</v>
      </c>
      <c r="I6679" s="1" t="n">
        <v>1503392</v>
      </c>
      <c r="J6679" s="1" t="n">
        <v>100003</v>
      </c>
      <c r="K6679" s="1" t="n">
        <v>4</v>
      </c>
      <c r="L6679" s="1" t="s">
        <v>2454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5" t="n">
        <v>46239</v>
      </c>
      <c r="C6680" s="1" t="n">
        <v>100</v>
      </c>
      <c r="D6680" s="1" t="s">
        <v>2457</v>
      </c>
      <c r="E6680" s="1" t="n">
        <v>42</v>
      </c>
      <c r="F6680" s="1" t="s">
        <v>80</v>
      </c>
      <c r="I6680" s="1" t="n">
        <v>1503392</v>
      </c>
      <c r="J6680" s="1" t="n">
        <v>100007</v>
      </c>
      <c r="K6680" s="1" t="n">
        <v>8</v>
      </c>
      <c r="L6680" s="1" t="s">
        <v>2455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5" t="n">
        <v>46239</v>
      </c>
      <c r="C6681" s="1" t="n">
        <v>100</v>
      </c>
      <c r="D6681" s="1" t="s">
        <v>2457</v>
      </c>
      <c r="E6681" s="1" t="n">
        <v>42</v>
      </c>
      <c r="F6681" s="1" t="s">
        <v>80</v>
      </c>
      <c r="I6681" s="1" t="n">
        <v>1503392</v>
      </c>
      <c r="J6681" s="1" t="n">
        <v>100019</v>
      </c>
      <c r="K6681" s="1" t="n">
        <v>20</v>
      </c>
      <c r="L6681" s="1" t="s">
        <v>4136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5" t="n">
        <v>46239</v>
      </c>
      <c r="C6682" s="1" t="n">
        <v>100</v>
      </c>
      <c r="D6682" s="1" t="s">
        <v>2457</v>
      </c>
      <c r="E6682" s="1" t="n">
        <v>42</v>
      </c>
      <c r="F6682" s="1" t="s">
        <v>80</v>
      </c>
      <c r="I6682" s="1" t="n">
        <v>1503392</v>
      </c>
      <c r="J6682" s="1" t="n">
        <v>100638</v>
      </c>
      <c r="K6682" s="1" t="n">
        <v>508</v>
      </c>
      <c r="L6682" s="1" t="s">
        <v>2448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5" t="n">
        <v>46239</v>
      </c>
      <c r="C6683" s="1" t="n">
        <v>100</v>
      </c>
      <c r="D6683" s="1" t="s">
        <v>2457</v>
      </c>
      <c r="E6683" s="1" t="n">
        <v>42</v>
      </c>
      <c r="F6683" s="1" t="s">
        <v>80</v>
      </c>
      <c r="I6683" s="1" t="n">
        <v>1503392</v>
      </c>
      <c r="J6683" s="1" t="n">
        <v>110455</v>
      </c>
      <c r="K6683" s="1" t="n">
        <v>53212</v>
      </c>
      <c r="L6683" s="1" t="s">
        <v>2450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5" t="n">
        <v>46239</v>
      </c>
      <c r="C6684" s="1" t="n">
        <v>100</v>
      </c>
      <c r="D6684" s="1" t="s">
        <v>2457</v>
      </c>
      <c r="E6684" s="1" t="n">
        <v>42</v>
      </c>
      <c r="F6684" s="1" t="s">
        <v>80</v>
      </c>
      <c r="I6684" s="1" t="n">
        <v>1503396</v>
      </c>
      <c r="J6684" s="1" t="n">
        <v>100000</v>
      </c>
      <c r="K6684" s="1" t="n">
        <v>1</v>
      </c>
      <c r="L6684" s="1" t="s">
        <v>2451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5" t="n">
        <v>46239</v>
      </c>
      <c r="C6685" s="1" t="n">
        <v>100</v>
      </c>
      <c r="D6685" s="1" t="s">
        <v>2457</v>
      </c>
      <c r="E6685" s="1" t="n">
        <v>42</v>
      </c>
      <c r="F6685" s="1" t="s">
        <v>80</v>
      </c>
      <c r="I6685" s="1" t="n">
        <v>1503396</v>
      </c>
      <c r="J6685" s="1" t="n">
        <v>100006</v>
      </c>
      <c r="K6685" s="1" t="n">
        <v>7</v>
      </c>
      <c r="L6685" s="1" t="s">
        <v>2437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5" t="n">
        <v>46239</v>
      </c>
      <c r="C6686" s="1" t="n">
        <v>100</v>
      </c>
      <c r="D6686" s="1" t="s">
        <v>2457</v>
      </c>
      <c r="E6686" s="1" t="n">
        <v>42</v>
      </c>
      <c r="F6686" s="1" t="s">
        <v>80</v>
      </c>
      <c r="I6686" s="1" t="n">
        <v>1503396</v>
      </c>
      <c r="J6686" s="1" t="n">
        <v>100007</v>
      </c>
      <c r="K6686" s="1" t="n">
        <v>8</v>
      </c>
      <c r="L6686" s="1" t="s">
        <v>2455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5" t="n">
        <v>46239</v>
      </c>
      <c r="C6687" s="1" t="n">
        <v>100</v>
      </c>
      <c r="D6687" s="1" t="s">
        <v>2457</v>
      </c>
      <c r="E6687" s="1" t="n">
        <v>42</v>
      </c>
      <c r="F6687" s="1" t="s">
        <v>80</v>
      </c>
      <c r="I6687" s="1" t="n">
        <v>1503396</v>
      </c>
      <c r="J6687" s="1" t="n">
        <v>100008</v>
      </c>
      <c r="K6687" s="1" t="n">
        <v>9</v>
      </c>
      <c r="L6687" s="1" t="s">
        <v>2438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5" t="n">
        <v>46239</v>
      </c>
      <c r="C6688" s="1" t="n">
        <v>100</v>
      </c>
      <c r="D6688" s="1" t="s">
        <v>2457</v>
      </c>
      <c r="E6688" s="1" t="n">
        <v>42</v>
      </c>
      <c r="F6688" s="1" t="s">
        <v>80</v>
      </c>
      <c r="I6688" s="1" t="n">
        <v>1503396</v>
      </c>
      <c r="J6688" s="1" t="n">
        <v>100010</v>
      </c>
      <c r="K6688" s="1" t="n">
        <v>11</v>
      </c>
      <c r="L6688" s="1" t="s">
        <v>2439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5" t="n">
        <v>46239</v>
      </c>
      <c r="C6689" s="1" t="n">
        <v>100</v>
      </c>
      <c r="D6689" s="1" t="s">
        <v>2457</v>
      </c>
      <c r="E6689" s="1" t="n">
        <v>42</v>
      </c>
      <c r="F6689" s="1" t="s">
        <v>80</v>
      </c>
      <c r="I6689" s="1" t="n">
        <v>1503396</v>
      </c>
      <c r="J6689" s="1" t="n">
        <v>100011</v>
      </c>
      <c r="K6689" s="1" t="n">
        <v>12</v>
      </c>
      <c r="L6689" s="1" t="s">
        <v>2440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5" t="n">
        <v>46239</v>
      </c>
      <c r="C6690" s="1" t="n">
        <v>100</v>
      </c>
      <c r="D6690" s="1" t="s">
        <v>2457</v>
      </c>
      <c r="E6690" s="1" t="n">
        <v>42</v>
      </c>
      <c r="F6690" s="1" t="s">
        <v>80</v>
      </c>
      <c r="I6690" s="1" t="n">
        <v>1503396</v>
      </c>
      <c r="J6690" s="1" t="n">
        <v>100012</v>
      </c>
      <c r="K6690" s="1" t="n">
        <v>13</v>
      </c>
      <c r="L6690" s="1" t="s">
        <v>2441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5" t="n">
        <v>46239</v>
      </c>
      <c r="C6691" s="1" t="n">
        <v>100</v>
      </c>
      <c r="D6691" s="1" t="s">
        <v>2457</v>
      </c>
      <c r="E6691" s="1" t="n">
        <v>42</v>
      </c>
      <c r="F6691" s="1" t="s">
        <v>80</v>
      </c>
      <c r="I6691" s="1" t="n">
        <v>1503396</v>
      </c>
      <c r="J6691" s="1" t="n">
        <v>100013</v>
      </c>
      <c r="K6691" s="1" t="n">
        <v>14</v>
      </c>
      <c r="L6691" s="1" t="s">
        <v>2442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5" t="n">
        <v>46239</v>
      </c>
      <c r="C6692" s="1" t="n">
        <v>100</v>
      </c>
      <c r="D6692" s="1" t="s">
        <v>2457</v>
      </c>
      <c r="E6692" s="1" t="n">
        <v>42</v>
      </c>
      <c r="F6692" s="1" t="s">
        <v>80</v>
      </c>
      <c r="I6692" s="1" t="n">
        <v>1503396</v>
      </c>
      <c r="J6692" s="1" t="n">
        <v>100014</v>
      </c>
      <c r="K6692" s="1" t="n">
        <v>15</v>
      </c>
      <c r="L6692" s="1" t="s">
        <v>2443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5" t="n">
        <v>46239</v>
      </c>
      <c r="C6693" s="1" t="n">
        <v>100</v>
      </c>
      <c r="D6693" s="1" t="s">
        <v>2457</v>
      </c>
      <c r="E6693" s="1" t="n">
        <v>42</v>
      </c>
      <c r="F6693" s="1" t="s">
        <v>80</v>
      </c>
      <c r="I6693" s="1" t="n">
        <v>1503396</v>
      </c>
      <c r="J6693" s="1" t="n">
        <v>100015</v>
      </c>
      <c r="K6693" s="1" t="n">
        <v>16</v>
      </c>
      <c r="L6693" s="1" t="s">
        <v>2444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5" t="n">
        <v>46239</v>
      </c>
      <c r="C6694" s="1" t="n">
        <v>100</v>
      </c>
      <c r="D6694" s="1" t="s">
        <v>2457</v>
      </c>
      <c r="E6694" s="1" t="n">
        <v>42</v>
      </c>
      <c r="F6694" s="1" t="s">
        <v>80</v>
      </c>
      <c r="I6694" s="1" t="n">
        <v>1503396</v>
      </c>
      <c r="J6694" s="1" t="n">
        <v>100016</v>
      </c>
      <c r="K6694" s="1" t="n">
        <v>17</v>
      </c>
      <c r="L6694" s="1" t="s">
        <v>2445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5" t="n">
        <v>46239</v>
      </c>
      <c r="C6695" s="1" t="n">
        <v>100</v>
      </c>
      <c r="D6695" s="1" t="s">
        <v>2457</v>
      </c>
      <c r="E6695" s="1" t="n">
        <v>42</v>
      </c>
      <c r="F6695" s="1" t="s">
        <v>80</v>
      </c>
      <c r="I6695" s="1" t="n">
        <v>1503396</v>
      </c>
      <c r="J6695" s="1" t="n">
        <v>100017</v>
      </c>
      <c r="K6695" s="1" t="n">
        <v>18</v>
      </c>
      <c r="L6695" s="1" t="s">
        <v>2446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5" t="n">
        <v>46239</v>
      </c>
      <c r="C6696" s="1" t="n">
        <v>100</v>
      </c>
      <c r="D6696" s="1" t="s">
        <v>2457</v>
      </c>
      <c r="E6696" s="1" t="n">
        <v>42</v>
      </c>
      <c r="F6696" s="1" t="s">
        <v>80</v>
      </c>
      <c r="I6696" s="1" t="n">
        <v>1503396</v>
      </c>
      <c r="J6696" s="1" t="n">
        <v>100019</v>
      </c>
      <c r="K6696" s="1" t="n">
        <v>20</v>
      </c>
      <c r="L6696" s="1" t="s">
        <v>4136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5" t="n">
        <v>46239</v>
      </c>
      <c r="C6697" s="1" t="n">
        <v>100</v>
      </c>
      <c r="D6697" s="1" t="s">
        <v>2457</v>
      </c>
      <c r="E6697" s="1" t="n">
        <v>42</v>
      </c>
      <c r="F6697" s="1" t="s">
        <v>80</v>
      </c>
      <c r="I6697" s="1" t="n">
        <v>1503396</v>
      </c>
      <c r="J6697" s="1" t="n">
        <v>100053</v>
      </c>
      <c r="K6697" s="1" t="n">
        <v>54</v>
      </c>
      <c r="L6697" s="1" t="s">
        <v>2447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5" t="n">
        <v>46239</v>
      </c>
      <c r="C6698" s="1" t="n">
        <v>100</v>
      </c>
      <c r="D6698" s="1" t="s">
        <v>2457</v>
      </c>
      <c r="E6698" s="1" t="n">
        <v>42</v>
      </c>
      <c r="F6698" s="1" t="s">
        <v>80</v>
      </c>
      <c r="I6698" s="1" t="n">
        <v>1503396</v>
      </c>
      <c r="J6698" s="1" t="n">
        <v>100638</v>
      </c>
      <c r="K6698" s="1" t="n">
        <v>508</v>
      </c>
      <c r="L6698" s="1" t="s">
        <v>2448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5" t="n">
        <v>46239</v>
      </c>
      <c r="C6699" s="1" t="n">
        <v>100</v>
      </c>
      <c r="D6699" s="1" t="s">
        <v>2457</v>
      </c>
      <c r="E6699" s="1" t="n">
        <v>42</v>
      </c>
      <c r="F6699" s="1" t="s">
        <v>80</v>
      </c>
      <c r="I6699" s="1" t="n">
        <v>1503396</v>
      </c>
      <c r="J6699" s="1" t="n">
        <v>100520</v>
      </c>
      <c r="K6699" s="1" t="n">
        <v>507</v>
      </c>
      <c r="L6699" s="1" t="s">
        <v>2449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5" t="n">
        <v>46239</v>
      </c>
      <c r="C6700" s="1" t="n">
        <v>100</v>
      </c>
      <c r="D6700" s="1" t="s">
        <v>2457</v>
      </c>
      <c r="E6700" s="1" t="n">
        <v>42</v>
      </c>
      <c r="F6700" s="1" t="s">
        <v>80</v>
      </c>
      <c r="I6700" s="1" t="n">
        <v>1503396</v>
      </c>
      <c r="J6700" s="1" t="n">
        <v>110455</v>
      </c>
      <c r="K6700" s="1" t="n">
        <v>53212</v>
      </c>
      <c r="L6700" s="1" t="s">
        <v>2450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5" t="n">
        <v>46240</v>
      </c>
      <c r="C6701" s="1" t="n">
        <v>6</v>
      </c>
      <c r="D6701" s="1" t="s">
        <v>2289</v>
      </c>
      <c r="E6701" s="1" t="n">
        <v>42</v>
      </c>
      <c r="F6701" s="1" t="s">
        <v>80</v>
      </c>
      <c r="I6701" s="1" t="n">
        <v>4467</v>
      </c>
      <c r="J6701" s="1" t="n">
        <v>109791</v>
      </c>
      <c r="K6701" s="1" t="n">
        <v>9667</v>
      </c>
      <c r="L6701" s="1" t="s">
        <v>2284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5" t="n">
        <v>46240</v>
      </c>
      <c r="C6702" s="1" t="n">
        <v>6</v>
      </c>
      <c r="D6702" s="1" t="s">
        <v>2289</v>
      </c>
      <c r="E6702" s="1" t="n">
        <v>42</v>
      </c>
      <c r="F6702" s="1" t="s">
        <v>80</v>
      </c>
      <c r="I6702" s="1" t="n">
        <v>4467</v>
      </c>
      <c r="J6702" s="1" t="n">
        <v>37359</v>
      </c>
      <c r="K6702" s="1" t="n">
        <v>55526</v>
      </c>
      <c r="L6702" s="1" t="s">
        <v>2285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5" t="n">
        <v>46240</v>
      </c>
      <c r="C6703" s="1" t="n">
        <v>6</v>
      </c>
      <c r="D6703" s="1" t="s">
        <v>2289</v>
      </c>
      <c r="E6703" s="1" t="n">
        <v>42</v>
      </c>
      <c r="F6703" s="1" t="s">
        <v>80</v>
      </c>
      <c r="I6703" s="1" t="n">
        <v>4467</v>
      </c>
      <c r="J6703" s="1" t="n">
        <v>37361</v>
      </c>
      <c r="K6703" s="1" t="n">
        <v>2240817</v>
      </c>
      <c r="L6703" s="1" t="s">
        <v>2286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5" t="n">
        <v>46240</v>
      </c>
      <c r="C6704" s="1" t="n">
        <v>6</v>
      </c>
      <c r="D6704" s="1" t="s">
        <v>2289</v>
      </c>
      <c r="E6704" s="1" t="n">
        <v>42</v>
      </c>
      <c r="F6704" s="1" t="s">
        <v>80</v>
      </c>
      <c r="I6704" s="1" t="n">
        <v>4468</v>
      </c>
      <c r="J6704" s="1" t="n">
        <v>100103</v>
      </c>
      <c r="K6704" s="1" t="n">
        <v>104</v>
      </c>
      <c r="L6704" s="1" t="s">
        <v>2287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5" t="n">
        <v>46240</v>
      </c>
      <c r="C6705" s="1" t="n">
        <v>11</v>
      </c>
      <c r="D6705" s="1" t="s">
        <v>2290</v>
      </c>
      <c r="E6705" s="1" t="n">
        <v>1643</v>
      </c>
      <c r="F6705" s="1" t="s">
        <v>198</v>
      </c>
      <c r="I6705" s="1" t="n">
        <v>10809</v>
      </c>
      <c r="J6705" s="1" t="n">
        <v>63172</v>
      </c>
      <c r="K6705" s="1" t="n">
        <v>7898928536526</v>
      </c>
      <c r="L6705" s="1" t="s">
        <v>2464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5" t="n">
        <v>46240</v>
      </c>
      <c r="C6706" s="1" t="n">
        <v>11</v>
      </c>
      <c r="D6706" s="1" t="s">
        <v>2290</v>
      </c>
      <c r="E6706" s="1" t="n">
        <v>1643</v>
      </c>
      <c r="F6706" s="1" t="s">
        <v>198</v>
      </c>
      <c r="I6706" s="1" t="n">
        <v>10809</v>
      </c>
      <c r="J6706" s="1" t="n">
        <v>63904</v>
      </c>
      <c r="K6706" s="1" t="n">
        <v>7898928536595</v>
      </c>
      <c r="L6706" s="1" t="s">
        <v>2465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5" t="n">
        <v>46240</v>
      </c>
      <c r="C6707" s="1" t="n">
        <v>11</v>
      </c>
      <c r="D6707" s="1" t="s">
        <v>2290</v>
      </c>
      <c r="E6707" s="1" t="n">
        <v>1643</v>
      </c>
      <c r="F6707" s="1" t="s">
        <v>198</v>
      </c>
      <c r="I6707" s="1" t="n">
        <v>10809</v>
      </c>
      <c r="J6707" s="1" t="n">
        <v>64175</v>
      </c>
      <c r="K6707" s="1" t="n">
        <v>7898928536533</v>
      </c>
      <c r="L6707" s="1" t="s">
        <v>2465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5" t="n">
        <v>46240</v>
      </c>
      <c r="C6708" s="1" t="n">
        <v>11</v>
      </c>
      <c r="D6708" s="1" t="s">
        <v>2290</v>
      </c>
      <c r="E6708" s="1" t="n">
        <v>1723</v>
      </c>
      <c r="F6708" s="1" t="s">
        <v>76</v>
      </c>
      <c r="I6708" s="1" t="n">
        <v>174381</v>
      </c>
      <c r="J6708" s="1" t="n">
        <v>29079</v>
      </c>
      <c r="K6708" s="1" t="n">
        <v>55515</v>
      </c>
      <c r="L6708" s="1" t="s">
        <v>2360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5" t="n">
        <v>46240</v>
      </c>
      <c r="C6709" s="1" t="n">
        <v>11</v>
      </c>
      <c r="D6709" s="1" t="s">
        <v>2290</v>
      </c>
      <c r="E6709" s="1" t="n">
        <v>1667</v>
      </c>
      <c r="F6709" s="1" t="s">
        <v>807</v>
      </c>
      <c r="I6709" s="1" t="n">
        <v>397888</v>
      </c>
      <c r="J6709" s="1" t="n">
        <v>30240</v>
      </c>
      <c r="K6709" s="1" t="n">
        <v>7898922012248</v>
      </c>
      <c r="L6709" s="1" t="s">
        <v>4553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5" t="n">
        <v>46240</v>
      </c>
      <c r="C6710" s="1" t="n">
        <v>11</v>
      </c>
      <c r="D6710" s="1" t="s">
        <v>2290</v>
      </c>
      <c r="E6710" s="1" t="n">
        <v>1667</v>
      </c>
      <c r="F6710" s="1" t="s">
        <v>807</v>
      </c>
      <c r="I6710" s="1" t="n">
        <v>397888</v>
      </c>
      <c r="J6710" s="1" t="n">
        <v>23197</v>
      </c>
      <c r="K6710" s="1" t="n">
        <v>7896116900029</v>
      </c>
      <c r="L6710" s="1" t="s">
        <v>3241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5" t="n">
        <v>46240</v>
      </c>
      <c r="C6711" s="1" t="n">
        <v>11</v>
      </c>
      <c r="D6711" s="1" t="s">
        <v>2290</v>
      </c>
      <c r="E6711" s="1" t="n">
        <v>1667</v>
      </c>
      <c r="F6711" s="1" t="s">
        <v>807</v>
      </c>
      <c r="I6711" s="1" t="n">
        <v>397888</v>
      </c>
      <c r="J6711" s="1" t="n">
        <v>24024</v>
      </c>
      <c r="K6711" s="1" t="n">
        <v>7896116900432</v>
      </c>
      <c r="L6711" s="1" t="s">
        <v>2392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5" t="n">
        <v>46240</v>
      </c>
      <c r="C6712" s="1" t="n">
        <v>11</v>
      </c>
      <c r="D6712" s="1" t="s">
        <v>2290</v>
      </c>
      <c r="E6712" s="1" t="n">
        <v>1667</v>
      </c>
      <c r="F6712" s="1" t="s">
        <v>807</v>
      </c>
      <c r="I6712" s="1" t="n">
        <v>397888</v>
      </c>
      <c r="J6712" s="1" t="n">
        <v>31500</v>
      </c>
      <c r="K6712" s="1" t="n">
        <v>7898922012378</v>
      </c>
      <c r="L6712" s="1" t="s">
        <v>3937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15" t="n">
        <v>46240</v>
      </c>
      <c r="C6713" s="1" t="n">
        <v>11</v>
      </c>
      <c r="D6713" s="1" t="s">
        <v>2290</v>
      </c>
      <c r="E6713" s="1" t="n">
        <v>1667</v>
      </c>
      <c r="F6713" s="1" t="s">
        <v>807</v>
      </c>
      <c r="I6713" s="1" t="n">
        <v>397888</v>
      </c>
      <c r="J6713" s="1" t="n">
        <v>31798</v>
      </c>
      <c r="K6713" s="1" t="n">
        <v>7898922012392</v>
      </c>
      <c r="L6713" s="1" t="s">
        <v>2394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15" t="n">
        <v>46240</v>
      </c>
      <c r="C6714" s="1" t="n">
        <v>11</v>
      </c>
      <c r="D6714" s="1" t="s">
        <v>2290</v>
      </c>
      <c r="E6714" s="1" t="n">
        <v>1667</v>
      </c>
      <c r="F6714" s="1" t="s">
        <v>807</v>
      </c>
      <c r="I6714" s="1" t="n">
        <v>397888</v>
      </c>
      <c r="J6714" s="1" t="n">
        <v>31859</v>
      </c>
      <c r="K6714" s="1" t="n">
        <v>7898922012385</v>
      </c>
      <c r="L6714" s="1" t="s">
        <v>3243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15" t="n">
        <v>46240</v>
      </c>
      <c r="C6715" s="1" t="n">
        <v>11</v>
      </c>
      <c r="D6715" s="1" t="s">
        <v>2290</v>
      </c>
      <c r="E6715" s="1" t="n">
        <v>1667</v>
      </c>
      <c r="F6715" s="1" t="s">
        <v>807</v>
      </c>
      <c r="I6715" s="1" t="n">
        <v>397888</v>
      </c>
      <c r="J6715" s="1" t="n">
        <v>33535</v>
      </c>
      <c r="K6715" s="1" t="n">
        <v>7898922012163</v>
      </c>
      <c r="L6715" s="1" t="s">
        <v>4554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15" t="n">
        <v>46240</v>
      </c>
      <c r="C6716" s="1" t="n">
        <v>11</v>
      </c>
      <c r="D6716" s="1" t="s">
        <v>2290</v>
      </c>
      <c r="E6716" s="1" t="n">
        <v>1667</v>
      </c>
      <c r="F6716" s="1" t="s">
        <v>807</v>
      </c>
      <c r="I6716" s="1" t="n">
        <v>397888</v>
      </c>
      <c r="J6716" s="1" t="n">
        <v>61293</v>
      </c>
      <c r="K6716" s="1" t="n">
        <v>7898922012149</v>
      </c>
      <c r="L6716" s="1" t="s">
        <v>3568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5" t="n">
        <v>46240</v>
      </c>
      <c r="C6717" s="1" t="n">
        <v>11</v>
      </c>
      <c r="D6717" s="1" t="s">
        <v>2290</v>
      </c>
      <c r="E6717" s="1" t="n">
        <v>1667</v>
      </c>
      <c r="F6717" s="1" t="s">
        <v>807</v>
      </c>
      <c r="I6717" s="1" t="n">
        <v>397888</v>
      </c>
      <c r="J6717" s="1" t="n">
        <v>62385</v>
      </c>
      <c r="K6717" s="1" t="n">
        <v>7898922012040</v>
      </c>
      <c r="L6717" s="1" t="s">
        <v>4555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5" t="n">
        <v>46240</v>
      </c>
      <c r="C6718" s="1" t="n">
        <v>11</v>
      </c>
      <c r="D6718" s="1" t="s">
        <v>2290</v>
      </c>
      <c r="E6718" s="1" t="n">
        <v>1107</v>
      </c>
      <c r="F6718" s="1" t="s">
        <v>165</v>
      </c>
      <c r="I6718" s="1" t="n">
        <v>438335</v>
      </c>
      <c r="J6718" s="1" t="n">
        <v>101692</v>
      </c>
      <c r="K6718" s="1" t="n">
        <v>7891962015620</v>
      </c>
      <c r="L6718" s="1" t="s">
        <v>4556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5" t="n">
        <v>46240</v>
      </c>
      <c r="C6719" s="1" t="n">
        <v>11</v>
      </c>
      <c r="D6719" s="1" t="s">
        <v>2290</v>
      </c>
      <c r="E6719" s="1" t="n">
        <v>1107</v>
      </c>
      <c r="F6719" s="1" t="s">
        <v>165</v>
      </c>
      <c r="I6719" s="1" t="n">
        <v>438335</v>
      </c>
      <c r="J6719" s="1" t="n">
        <v>102245</v>
      </c>
      <c r="K6719" s="1" t="n">
        <v>7891048040003</v>
      </c>
      <c r="L6719" s="1" t="s">
        <v>3736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5" t="n">
        <v>46240</v>
      </c>
      <c r="C6720" s="1" t="n">
        <v>11</v>
      </c>
      <c r="D6720" s="1" t="s">
        <v>2290</v>
      </c>
      <c r="E6720" s="1" t="n">
        <v>1107</v>
      </c>
      <c r="F6720" s="1" t="s">
        <v>165</v>
      </c>
      <c r="I6720" s="1" t="n">
        <v>438335</v>
      </c>
      <c r="J6720" s="1" t="n">
        <v>102599</v>
      </c>
      <c r="K6720" s="1" t="n">
        <v>7891048061695</v>
      </c>
      <c r="L6720" s="1" t="s">
        <v>4557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5" t="n">
        <v>46240</v>
      </c>
      <c r="C6721" s="1" t="n">
        <v>11</v>
      </c>
      <c r="D6721" s="1" t="s">
        <v>2290</v>
      </c>
      <c r="E6721" s="1" t="n">
        <v>1107</v>
      </c>
      <c r="F6721" s="1" t="s">
        <v>165</v>
      </c>
      <c r="I6721" s="1" t="n">
        <v>438335</v>
      </c>
      <c r="J6721" s="1" t="n">
        <v>102600</v>
      </c>
      <c r="K6721" s="1" t="n">
        <v>7891048061688</v>
      </c>
      <c r="L6721" s="1" t="s">
        <v>4558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5" t="n">
        <v>46240</v>
      </c>
      <c r="C6722" s="1" t="n">
        <v>11</v>
      </c>
      <c r="D6722" s="1" t="s">
        <v>2290</v>
      </c>
      <c r="E6722" s="1" t="n">
        <v>1107</v>
      </c>
      <c r="F6722" s="1" t="s">
        <v>165</v>
      </c>
      <c r="I6722" s="1" t="n">
        <v>438335</v>
      </c>
      <c r="J6722" s="1" t="n">
        <v>102601</v>
      </c>
      <c r="K6722" s="1" t="n">
        <v>7891048061718</v>
      </c>
      <c r="L6722" s="1" t="s">
        <v>4559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5" t="n">
        <v>46240</v>
      </c>
      <c r="C6723" s="1" t="n">
        <v>11</v>
      </c>
      <c r="D6723" s="1" t="s">
        <v>2290</v>
      </c>
      <c r="E6723" s="1" t="n">
        <v>1107</v>
      </c>
      <c r="F6723" s="1" t="s">
        <v>165</v>
      </c>
      <c r="I6723" s="1" t="n">
        <v>438335</v>
      </c>
      <c r="J6723" s="1" t="n">
        <v>102602</v>
      </c>
      <c r="K6723" s="1" t="n">
        <v>7891048061701</v>
      </c>
      <c r="L6723" s="1" t="s">
        <v>4560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5" t="n">
        <v>46240</v>
      </c>
      <c r="C6724" s="1" t="n">
        <v>11</v>
      </c>
      <c r="D6724" s="1" t="s">
        <v>2290</v>
      </c>
      <c r="E6724" s="1" t="n">
        <v>1107</v>
      </c>
      <c r="F6724" s="1" t="s">
        <v>165</v>
      </c>
      <c r="I6724" s="1" t="n">
        <v>438335</v>
      </c>
      <c r="J6724" s="1" t="n">
        <v>103674</v>
      </c>
      <c r="K6724" s="1" t="n">
        <v>7891962000725</v>
      </c>
      <c r="L6724" s="1" t="s">
        <v>3738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5" t="n">
        <v>46240</v>
      </c>
      <c r="C6725" s="1" t="n">
        <v>11</v>
      </c>
      <c r="D6725" s="1" t="s">
        <v>2290</v>
      </c>
      <c r="E6725" s="1" t="n">
        <v>1107</v>
      </c>
      <c r="F6725" s="1" t="s">
        <v>165</v>
      </c>
      <c r="I6725" s="1" t="n">
        <v>438335</v>
      </c>
      <c r="J6725" s="1" t="n">
        <v>103860</v>
      </c>
      <c r="K6725" s="1" t="n">
        <v>7891048040065</v>
      </c>
      <c r="L6725" s="1" t="s">
        <v>3739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5" t="n">
        <v>46240</v>
      </c>
      <c r="C6726" s="1" t="n">
        <v>11</v>
      </c>
      <c r="D6726" s="1" t="s">
        <v>2290</v>
      </c>
      <c r="E6726" s="1" t="n">
        <v>1107</v>
      </c>
      <c r="F6726" s="1" t="s">
        <v>165</v>
      </c>
      <c r="I6726" s="1" t="n">
        <v>438335</v>
      </c>
      <c r="J6726" s="1" t="n">
        <v>105775</v>
      </c>
      <c r="K6726" s="1" t="n">
        <v>7896110100814</v>
      </c>
      <c r="L6726" s="1" t="s">
        <v>4561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5" t="n">
        <v>46240</v>
      </c>
      <c r="C6727" s="1" t="n">
        <v>11</v>
      </c>
      <c r="D6727" s="1" t="s">
        <v>2290</v>
      </c>
      <c r="E6727" s="1" t="n">
        <v>1107</v>
      </c>
      <c r="F6727" s="1" t="s">
        <v>165</v>
      </c>
      <c r="I6727" s="1" t="n">
        <v>438335</v>
      </c>
      <c r="J6727" s="1" t="n">
        <v>106206</v>
      </c>
      <c r="K6727" s="1" t="n">
        <v>7896110100043</v>
      </c>
      <c r="L6727" s="1" t="s">
        <v>4562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5" t="n">
        <v>46240</v>
      </c>
      <c r="C6728" s="1" t="n">
        <v>11</v>
      </c>
      <c r="D6728" s="1" t="s">
        <v>2290</v>
      </c>
      <c r="E6728" s="1" t="n">
        <v>1107</v>
      </c>
      <c r="F6728" s="1" t="s">
        <v>165</v>
      </c>
      <c r="I6728" s="1" t="n">
        <v>438335</v>
      </c>
      <c r="J6728" s="1" t="n">
        <v>107700</v>
      </c>
      <c r="K6728" s="1" t="n">
        <v>7891048038055</v>
      </c>
      <c r="L6728" s="1" t="s">
        <v>4563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5" t="n">
        <v>46240</v>
      </c>
      <c r="C6729" s="1" t="n">
        <v>11</v>
      </c>
      <c r="D6729" s="1" t="s">
        <v>2290</v>
      </c>
      <c r="E6729" s="1" t="n">
        <v>1107</v>
      </c>
      <c r="F6729" s="1" t="s">
        <v>165</v>
      </c>
      <c r="I6729" s="1" t="n">
        <v>438335</v>
      </c>
      <c r="J6729" s="1" t="n">
        <v>107701</v>
      </c>
      <c r="K6729" s="1" t="n">
        <v>7891048038048</v>
      </c>
      <c r="L6729" s="1" t="s">
        <v>4564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5" t="n">
        <v>46240</v>
      </c>
      <c r="C6730" s="1" t="n">
        <v>11</v>
      </c>
      <c r="D6730" s="1" t="s">
        <v>2290</v>
      </c>
      <c r="E6730" s="1" t="n">
        <v>1107</v>
      </c>
      <c r="F6730" s="1" t="s">
        <v>165</v>
      </c>
      <c r="I6730" s="1" t="n">
        <v>438335</v>
      </c>
      <c r="J6730" s="1" t="n">
        <v>11279</v>
      </c>
      <c r="K6730" s="1" t="n">
        <v>7891048038031</v>
      </c>
      <c r="L6730" s="1" t="s">
        <v>4565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5" t="n">
        <v>46240</v>
      </c>
      <c r="C6731" s="1" t="n">
        <v>11</v>
      </c>
      <c r="D6731" s="1" t="s">
        <v>2290</v>
      </c>
      <c r="E6731" s="1" t="n">
        <v>1107</v>
      </c>
      <c r="F6731" s="1" t="s">
        <v>165</v>
      </c>
      <c r="I6731" s="1" t="n">
        <v>438335</v>
      </c>
      <c r="J6731" s="1" t="n">
        <v>11510</v>
      </c>
      <c r="K6731" s="1" t="n">
        <v>7891048038079</v>
      </c>
      <c r="L6731" s="1" t="s">
        <v>4566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5" t="n">
        <v>46240</v>
      </c>
      <c r="C6732" s="1" t="n">
        <v>11</v>
      </c>
      <c r="D6732" s="1" t="s">
        <v>2290</v>
      </c>
      <c r="E6732" s="1" t="n">
        <v>1107</v>
      </c>
      <c r="F6732" s="1" t="s">
        <v>165</v>
      </c>
      <c r="I6732" s="1" t="n">
        <v>438335</v>
      </c>
      <c r="J6732" s="1" t="n">
        <v>11674</v>
      </c>
      <c r="K6732" s="1" t="n">
        <v>7891048038017</v>
      </c>
      <c r="L6732" s="1" t="s">
        <v>4567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5" t="n">
        <v>46240</v>
      </c>
      <c r="C6733" s="1" t="n">
        <v>11</v>
      </c>
      <c r="D6733" s="1" t="s">
        <v>2290</v>
      </c>
      <c r="E6733" s="1" t="n">
        <v>1107</v>
      </c>
      <c r="F6733" s="1" t="s">
        <v>165</v>
      </c>
      <c r="I6733" s="1" t="n">
        <v>438335</v>
      </c>
      <c r="J6733" s="1" t="n">
        <v>12275</v>
      </c>
      <c r="K6733" s="1" t="n">
        <v>7891962031170</v>
      </c>
      <c r="L6733" s="1" t="s">
        <v>3740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5" t="n">
        <v>46240</v>
      </c>
      <c r="C6734" s="1" t="n">
        <v>11</v>
      </c>
      <c r="D6734" s="1" t="s">
        <v>2290</v>
      </c>
      <c r="E6734" s="1" t="n">
        <v>1107</v>
      </c>
      <c r="F6734" s="1" t="s">
        <v>165</v>
      </c>
      <c r="I6734" s="1" t="n">
        <v>438335</v>
      </c>
      <c r="J6734" s="1" t="n">
        <v>17093</v>
      </c>
      <c r="K6734" s="1" t="n">
        <v>7891048038123</v>
      </c>
      <c r="L6734" s="1" t="s">
        <v>4568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5" t="n">
        <v>46240</v>
      </c>
      <c r="C6735" s="1" t="n">
        <v>11</v>
      </c>
      <c r="D6735" s="1" t="s">
        <v>2290</v>
      </c>
      <c r="E6735" s="1" t="n">
        <v>1107</v>
      </c>
      <c r="F6735" s="1" t="s">
        <v>165</v>
      </c>
      <c r="I6735" s="1" t="n">
        <v>438335</v>
      </c>
      <c r="J6735" s="1" t="n">
        <v>24270</v>
      </c>
      <c r="K6735" s="1" t="n">
        <v>7891962050089</v>
      </c>
      <c r="L6735" s="1" t="s">
        <v>3742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5" t="n">
        <v>46240</v>
      </c>
      <c r="C6736" s="1" t="n">
        <v>11</v>
      </c>
      <c r="D6736" s="1" t="s">
        <v>2290</v>
      </c>
      <c r="E6736" s="1" t="n">
        <v>1107</v>
      </c>
      <c r="F6736" s="1" t="s">
        <v>165</v>
      </c>
      <c r="I6736" s="1" t="n">
        <v>438335</v>
      </c>
      <c r="J6736" s="1" t="n">
        <v>24548</v>
      </c>
      <c r="K6736" s="1" t="n">
        <v>7891962050072</v>
      </c>
      <c r="L6736" s="1" t="s">
        <v>3743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5" t="n">
        <v>46240</v>
      </c>
      <c r="C6737" s="1" t="n">
        <v>11</v>
      </c>
      <c r="D6737" s="1" t="s">
        <v>2290</v>
      </c>
      <c r="E6737" s="1" t="n">
        <v>1107</v>
      </c>
      <c r="F6737" s="1" t="s">
        <v>165</v>
      </c>
      <c r="I6737" s="1" t="n">
        <v>438335</v>
      </c>
      <c r="J6737" s="1" t="n">
        <v>24780</v>
      </c>
      <c r="K6737" s="1" t="n">
        <v>7891962050065</v>
      </c>
      <c r="L6737" s="1" t="s">
        <v>4569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5" t="n">
        <v>46240</v>
      </c>
      <c r="C6738" s="1" t="n">
        <v>11</v>
      </c>
      <c r="D6738" s="1" t="s">
        <v>2290</v>
      </c>
      <c r="E6738" s="1" t="n">
        <v>1107</v>
      </c>
      <c r="F6738" s="1" t="s">
        <v>165</v>
      </c>
      <c r="I6738" s="1" t="n">
        <v>438335</v>
      </c>
      <c r="J6738" s="1" t="n">
        <v>26496</v>
      </c>
      <c r="K6738" s="1" t="n">
        <v>7891048050668</v>
      </c>
      <c r="L6738" s="1" t="s">
        <v>4570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5" t="n">
        <v>46240</v>
      </c>
      <c r="C6739" s="1" t="n">
        <v>11</v>
      </c>
      <c r="D6739" s="1" t="s">
        <v>2290</v>
      </c>
      <c r="E6739" s="1" t="n">
        <v>1107</v>
      </c>
      <c r="F6739" s="1" t="s">
        <v>165</v>
      </c>
      <c r="I6739" s="1" t="n">
        <v>438335</v>
      </c>
      <c r="J6739" s="1" t="n">
        <v>27021</v>
      </c>
      <c r="K6739" s="1" t="n">
        <v>7891048050613</v>
      </c>
      <c r="L6739" s="1" t="s">
        <v>4571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5" t="n">
        <v>46240</v>
      </c>
      <c r="C6740" s="1" t="n">
        <v>11</v>
      </c>
      <c r="D6740" s="1" t="s">
        <v>2290</v>
      </c>
      <c r="E6740" s="1" t="n">
        <v>1107</v>
      </c>
      <c r="F6740" s="1" t="s">
        <v>165</v>
      </c>
      <c r="I6740" s="1" t="n">
        <v>438335</v>
      </c>
      <c r="J6740" s="1" t="n">
        <v>27022</v>
      </c>
      <c r="K6740" s="1" t="n">
        <v>7891048050682</v>
      </c>
      <c r="L6740" s="1" t="s">
        <v>4572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5" t="n">
        <v>46240</v>
      </c>
      <c r="C6741" s="1" t="n">
        <v>11</v>
      </c>
      <c r="D6741" s="1" t="s">
        <v>2290</v>
      </c>
      <c r="E6741" s="1" t="n">
        <v>1107</v>
      </c>
      <c r="F6741" s="1" t="s">
        <v>165</v>
      </c>
      <c r="I6741" s="1" t="n">
        <v>438335</v>
      </c>
      <c r="J6741" s="1" t="n">
        <v>27023</v>
      </c>
      <c r="K6741" s="1" t="n">
        <v>7891048050637</v>
      </c>
      <c r="L6741" s="1" t="s">
        <v>4573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5" t="n">
        <v>46240</v>
      </c>
      <c r="C6742" s="1" t="n">
        <v>11</v>
      </c>
      <c r="D6742" s="1" t="s">
        <v>2290</v>
      </c>
      <c r="E6742" s="1" t="n">
        <v>1107</v>
      </c>
      <c r="F6742" s="1" t="s">
        <v>165</v>
      </c>
      <c r="I6742" s="1" t="n">
        <v>438335</v>
      </c>
      <c r="J6742" s="1" t="n">
        <v>27024</v>
      </c>
      <c r="K6742" s="1" t="n">
        <v>7891048050675</v>
      </c>
      <c r="L6742" s="1" t="s">
        <v>4574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5" t="n">
        <v>46240</v>
      </c>
      <c r="C6743" s="1" t="n">
        <v>11</v>
      </c>
      <c r="D6743" s="1" t="s">
        <v>2290</v>
      </c>
      <c r="E6743" s="1" t="n">
        <v>1107</v>
      </c>
      <c r="F6743" s="1" t="s">
        <v>165</v>
      </c>
      <c r="I6743" s="1" t="n">
        <v>438335</v>
      </c>
      <c r="J6743" s="1" t="n">
        <v>27395</v>
      </c>
      <c r="K6743" s="1" t="n">
        <v>7891962054117</v>
      </c>
      <c r="L6743" s="1" t="s">
        <v>3744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5" t="n">
        <v>46240</v>
      </c>
      <c r="C6744" s="1" t="n">
        <v>11</v>
      </c>
      <c r="D6744" s="1" t="s">
        <v>2290</v>
      </c>
      <c r="E6744" s="1" t="n">
        <v>1107</v>
      </c>
      <c r="F6744" s="1" t="s">
        <v>165</v>
      </c>
      <c r="I6744" s="1" t="n">
        <v>438335</v>
      </c>
      <c r="J6744" s="1" t="n">
        <v>27397</v>
      </c>
      <c r="K6744" s="1" t="n">
        <v>7891962054124</v>
      </c>
      <c r="L6744" s="1" t="s">
        <v>3746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5" t="n">
        <v>46240</v>
      </c>
      <c r="C6745" s="1" t="n">
        <v>11</v>
      </c>
      <c r="D6745" s="1" t="s">
        <v>2290</v>
      </c>
      <c r="E6745" s="1" t="n">
        <v>1107</v>
      </c>
      <c r="F6745" s="1" t="s">
        <v>165</v>
      </c>
      <c r="I6745" s="1" t="n">
        <v>438335</v>
      </c>
      <c r="J6745" s="1" t="n">
        <v>27481</v>
      </c>
      <c r="K6745" s="1" t="n">
        <v>7891962054810</v>
      </c>
      <c r="L6745" s="1" t="s">
        <v>3745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5" t="n">
        <v>46240</v>
      </c>
      <c r="C6746" s="1" t="n">
        <v>11</v>
      </c>
      <c r="D6746" s="1" t="s">
        <v>2290</v>
      </c>
      <c r="E6746" s="1" t="n">
        <v>1107</v>
      </c>
      <c r="F6746" s="1" t="s">
        <v>165</v>
      </c>
      <c r="I6746" s="1" t="n">
        <v>438335</v>
      </c>
      <c r="J6746" s="1" t="n">
        <v>27482</v>
      </c>
      <c r="K6746" s="1" t="n">
        <v>7891962054476</v>
      </c>
      <c r="L6746" s="1" t="s">
        <v>3747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5" t="n">
        <v>46240</v>
      </c>
      <c r="C6747" s="1" t="n">
        <v>11</v>
      </c>
      <c r="D6747" s="1" t="s">
        <v>2290</v>
      </c>
      <c r="E6747" s="1" t="n">
        <v>1107</v>
      </c>
      <c r="F6747" s="1" t="s">
        <v>165</v>
      </c>
      <c r="I6747" s="1" t="n">
        <v>438335</v>
      </c>
      <c r="J6747" s="1" t="n">
        <v>27551</v>
      </c>
      <c r="K6747" s="1" t="n">
        <v>7891048050620</v>
      </c>
      <c r="L6747" s="1" t="s">
        <v>4575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5" t="n">
        <v>46240</v>
      </c>
      <c r="C6748" s="1" t="n">
        <v>11</v>
      </c>
      <c r="D6748" s="1" t="s">
        <v>2290</v>
      </c>
      <c r="E6748" s="1" t="n">
        <v>1107</v>
      </c>
      <c r="F6748" s="1" t="s">
        <v>165</v>
      </c>
      <c r="I6748" s="1" t="n">
        <v>438335</v>
      </c>
      <c r="J6748" s="1" t="n">
        <v>29485</v>
      </c>
      <c r="K6748" s="1" t="n">
        <v>7891962053196</v>
      </c>
      <c r="L6748" s="1" t="s">
        <v>4576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5" t="n">
        <v>46240</v>
      </c>
      <c r="C6749" s="1" t="n">
        <v>11</v>
      </c>
      <c r="D6749" s="1" t="s">
        <v>2290</v>
      </c>
      <c r="E6749" s="1" t="n">
        <v>1107</v>
      </c>
      <c r="F6749" s="1" t="s">
        <v>165</v>
      </c>
      <c r="I6749" s="1" t="n">
        <v>438335</v>
      </c>
      <c r="J6749" s="1" t="n">
        <v>29486</v>
      </c>
      <c r="K6749" s="1" t="n">
        <v>7891962053189</v>
      </c>
      <c r="L6749" s="1" t="s">
        <v>4577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5" t="n">
        <v>46240</v>
      </c>
      <c r="C6750" s="1" t="n">
        <v>11</v>
      </c>
      <c r="D6750" s="1" t="s">
        <v>2290</v>
      </c>
      <c r="E6750" s="1" t="n">
        <v>1107</v>
      </c>
      <c r="F6750" s="1" t="s">
        <v>165</v>
      </c>
      <c r="I6750" s="1" t="n">
        <v>438335</v>
      </c>
      <c r="J6750" s="1" t="n">
        <v>29923</v>
      </c>
      <c r="K6750" s="1" t="n">
        <v>7891962053202</v>
      </c>
      <c r="L6750" s="1" t="s">
        <v>4578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5" t="n">
        <v>46240</v>
      </c>
      <c r="C6751" s="1" t="n">
        <v>11</v>
      </c>
      <c r="D6751" s="1" t="s">
        <v>2290</v>
      </c>
      <c r="E6751" s="1" t="n">
        <v>1107</v>
      </c>
      <c r="F6751" s="1" t="s">
        <v>165</v>
      </c>
      <c r="I6751" s="1" t="n">
        <v>438335</v>
      </c>
      <c r="J6751" s="1" t="n">
        <v>36857</v>
      </c>
      <c r="K6751" s="1" t="n">
        <v>7891962064048</v>
      </c>
      <c r="L6751" s="1" t="s">
        <v>3748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5" t="n">
        <v>46240</v>
      </c>
      <c r="C6752" s="1" t="n">
        <v>11</v>
      </c>
      <c r="D6752" s="1" t="s">
        <v>2290</v>
      </c>
      <c r="E6752" s="1" t="n">
        <v>1107</v>
      </c>
      <c r="F6752" s="1" t="s">
        <v>165</v>
      </c>
      <c r="I6752" s="1" t="n">
        <v>438335</v>
      </c>
      <c r="J6752" s="1" t="n">
        <v>36858</v>
      </c>
      <c r="K6752" s="1" t="n">
        <v>7891962064055</v>
      </c>
      <c r="L6752" s="1" t="s">
        <v>3749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5" t="n">
        <v>46240</v>
      </c>
      <c r="C6753" s="1" t="n">
        <v>11</v>
      </c>
      <c r="D6753" s="1" t="s">
        <v>2290</v>
      </c>
      <c r="E6753" s="1" t="n">
        <v>1107</v>
      </c>
      <c r="F6753" s="1" t="s">
        <v>165</v>
      </c>
      <c r="I6753" s="1" t="n">
        <v>438335</v>
      </c>
      <c r="J6753" s="1" t="n">
        <v>51223</v>
      </c>
      <c r="K6753" s="1" t="n">
        <v>7891962068046</v>
      </c>
      <c r="L6753" s="1" t="s">
        <v>4579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5" t="n">
        <v>46240</v>
      </c>
      <c r="C6754" s="1" t="n">
        <v>11</v>
      </c>
      <c r="D6754" s="1" t="s">
        <v>2290</v>
      </c>
      <c r="E6754" s="1" t="n">
        <v>1107</v>
      </c>
      <c r="F6754" s="1" t="s">
        <v>165</v>
      </c>
      <c r="I6754" s="1" t="n">
        <v>438335</v>
      </c>
      <c r="J6754" s="1" t="n">
        <v>51224</v>
      </c>
      <c r="K6754" s="1" t="n">
        <v>7891962068039</v>
      </c>
      <c r="L6754" s="1" t="s">
        <v>4580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5" t="n">
        <v>46240</v>
      </c>
      <c r="C6755" s="1" t="n">
        <v>11</v>
      </c>
      <c r="D6755" s="1" t="s">
        <v>2290</v>
      </c>
      <c r="E6755" s="1" t="n">
        <v>1107</v>
      </c>
      <c r="F6755" s="1" t="s">
        <v>165</v>
      </c>
      <c r="I6755" s="1" t="n">
        <v>438335</v>
      </c>
      <c r="J6755" s="1" t="n">
        <v>51225</v>
      </c>
      <c r="K6755" s="1" t="n">
        <v>7891962068022</v>
      </c>
      <c r="L6755" s="1" t="s">
        <v>4581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5" t="n">
        <v>46240</v>
      </c>
      <c r="C6756" s="1" t="n">
        <v>11</v>
      </c>
      <c r="D6756" s="1" t="s">
        <v>2290</v>
      </c>
      <c r="E6756" s="1" t="n">
        <v>1107</v>
      </c>
      <c r="F6756" s="1" t="s">
        <v>165</v>
      </c>
      <c r="I6756" s="1" t="n">
        <v>438335</v>
      </c>
      <c r="J6756" s="1" t="n">
        <v>61192</v>
      </c>
      <c r="K6756" s="1" t="n">
        <v>7891962071763</v>
      </c>
      <c r="L6756" s="1" t="s">
        <v>4582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5" t="n">
        <v>46240</v>
      </c>
      <c r="C6757" s="1" t="n">
        <v>11</v>
      </c>
      <c r="D6757" s="1" t="s">
        <v>2290</v>
      </c>
      <c r="E6757" s="1" t="n">
        <v>1107</v>
      </c>
      <c r="F6757" s="1" t="s">
        <v>165</v>
      </c>
      <c r="I6757" s="1" t="n">
        <v>438335</v>
      </c>
      <c r="J6757" s="1" t="n">
        <v>62128</v>
      </c>
      <c r="K6757" s="1" t="n">
        <v>7891962071732</v>
      </c>
      <c r="L6757" s="1" t="s">
        <v>3751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5" t="n">
        <v>46240</v>
      </c>
      <c r="C6758" s="1" t="n">
        <v>11</v>
      </c>
      <c r="D6758" s="1" t="s">
        <v>2290</v>
      </c>
      <c r="E6758" s="1" t="n">
        <v>1107</v>
      </c>
      <c r="F6758" s="1" t="s">
        <v>165</v>
      </c>
      <c r="I6758" s="1" t="n">
        <v>438335</v>
      </c>
      <c r="J6758" s="1" t="n">
        <v>62129</v>
      </c>
      <c r="K6758" s="1" t="n">
        <v>7891962071749</v>
      </c>
      <c r="L6758" s="1" t="s">
        <v>4583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5" t="n">
        <v>46240</v>
      </c>
      <c r="C6759" s="1" t="n">
        <v>11</v>
      </c>
      <c r="D6759" s="1" t="s">
        <v>2290</v>
      </c>
      <c r="E6759" s="1" t="n">
        <v>1107</v>
      </c>
      <c r="F6759" s="1" t="s">
        <v>165</v>
      </c>
      <c r="I6759" s="1" t="n">
        <v>438335</v>
      </c>
      <c r="J6759" s="1" t="n">
        <v>62130</v>
      </c>
      <c r="K6759" s="1" t="n">
        <v>7891962071756</v>
      </c>
      <c r="L6759" s="1" t="s">
        <v>3752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5" t="n">
        <v>46240</v>
      </c>
      <c r="C6760" s="1" t="n">
        <v>11</v>
      </c>
      <c r="D6760" s="1" t="s">
        <v>2290</v>
      </c>
      <c r="E6760" s="1" t="n">
        <v>1107</v>
      </c>
      <c r="F6760" s="1" t="s">
        <v>165</v>
      </c>
      <c r="I6760" s="1" t="n">
        <v>438335</v>
      </c>
      <c r="J6760" s="1" t="n">
        <v>64856</v>
      </c>
      <c r="K6760" s="1" t="n">
        <v>7891962074665</v>
      </c>
      <c r="L6760" s="1" t="s">
        <v>3753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5" t="n">
        <v>46240</v>
      </c>
      <c r="C6761" s="1" t="n">
        <v>11</v>
      </c>
      <c r="D6761" s="1" t="s">
        <v>2290</v>
      </c>
      <c r="E6761" s="1" t="n">
        <v>1107</v>
      </c>
      <c r="F6761" s="1" t="s">
        <v>165</v>
      </c>
      <c r="I6761" s="1" t="n">
        <v>438335</v>
      </c>
      <c r="J6761" s="1" t="n">
        <v>66688</v>
      </c>
      <c r="K6761" s="1" t="n">
        <v>7891962065892</v>
      </c>
      <c r="L6761" s="1" t="s">
        <v>4584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5" t="n">
        <v>46240</v>
      </c>
      <c r="C6762" s="1" t="n">
        <v>11</v>
      </c>
      <c r="D6762" s="1" t="s">
        <v>2290</v>
      </c>
      <c r="E6762" s="1" t="n">
        <v>1107</v>
      </c>
      <c r="F6762" s="1" t="s">
        <v>165</v>
      </c>
      <c r="I6762" s="1" t="n">
        <v>438335</v>
      </c>
      <c r="J6762" s="1" t="n">
        <v>66689</v>
      </c>
      <c r="K6762" s="1" t="n">
        <v>7891962065885</v>
      </c>
      <c r="L6762" s="1" t="s">
        <v>4585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5" t="n">
        <v>46240</v>
      </c>
      <c r="C6763" s="1" t="n">
        <v>11</v>
      </c>
      <c r="D6763" s="1" t="s">
        <v>2290</v>
      </c>
      <c r="E6763" s="1" t="n">
        <v>1107</v>
      </c>
      <c r="F6763" s="1" t="s">
        <v>165</v>
      </c>
      <c r="I6763" s="1" t="n">
        <v>438335</v>
      </c>
      <c r="J6763" s="1" t="n">
        <v>67068</v>
      </c>
      <c r="K6763" s="1" t="n">
        <v>7891962065878</v>
      </c>
      <c r="L6763" s="1" t="s">
        <v>4586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5" t="n">
        <v>46240</v>
      </c>
      <c r="C6764" s="1" t="n">
        <v>11</v>
      </c>
      <c r="D6764" s="1" t="s">
        <v>2290</v>
      </c>
      <c r="E6764" s="1" t="n">
        <v>1107</v>
      </c>
      <c r="F6764" s="1" t="s">
        <v>165</v>
      </c>
      <c r="I6764" s="1" t="n">
        <v>438335</v>
      </c>
      <c r="J6764" s="1" t="n">
        <v>75874</v>
      </c>
      <c r="K6764" s="1" t="n">
        <v>7891048000038</v>
      </c>
      <c r="L6764" s="1" t="s">
        <v>3754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5" t="n">
        <v>46240</v>
      </c>
      <c r="C6765" s="1" t="n">
        <v>11</v>
      </c>
      <c r="D6765" s="1" t="s">
        <v>2290</v>
      </c>
      <c r="E6765" s="1" t="n">
        <v>1642</v>
      </c>
      <c r="F6765" s="1" t="s">
        <v>274</v>
      </c>
      <c r="I6765" s="1" t="n">
        <v>1035517</v>
      </c>
      <c r="J6765" s="1" t="n">
        <v>104335</v>
      </c>
      <c r="K6765" s="1" t="n">
        <v>7896289210512</v>
      </c>
      <c r="L6765" s="1" t="s">
        <v>2466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5" t="n">
        <v>46240</v>
      </c>
      <c r="C6766" s="1" t="n">
        <v>11</v>
      </c>
      <c r="D6766" s="1" t="s">
        <v>2290</v>
      </c>
      <c r="E6766" s="1" t="n">
        <v>1642</v>
      </c>
      <c r="F6766" s="1" t="s">
        <v>274</v>
      </c>
      <c r="I6766" s="1" t="n">
        <v>1035517</v>
      </c>
      <c r="J6766" s="1" t="n">
        <v>105780</v>
      </c>
      <c r="K6766" s="1" t="n">
        <v>7896289210017</v>
      </c>
      <c r="L6766" s="1" t="s">
        <v>2467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5" t="n">
        <v>46240</v>
      </c>
      <c r="C6767" s="1" t="n">
        <v>11</v>
      </c>
      <c r="D6767" s="1" t="s">
        <v>2290</v>
      </c>
      <c r="E6767" s="1" t="n">
        <v>1642</v>
      </c>
      <c r="F6767" s="1" t="s">
        <v>274</v>
      </c>
      <c r="I6767" s="1" t="n">
        <v>1035517</v>
      </c>
      <c r="J6767" s="1" t="n">
        <v>105782</v>
      </c>
      <c r="K6767" s="1" t="n">
        <v>7896289210352</v>
      </c>
      <c r="L6767" s="1" t="s">
        <v>2468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5" t="n">
        <v>46240</v>
      </c>
      <c r="C6768" s="1" t="n">
        <v>11</v>
      </c>
      <c r="D6768" s="1" t="s">
        <v>2290</v>
      </c>
      <c r="E6768" s="1" t="n">
        <v>1642</v>
      </c>
      <c r="F6768" s="1" t="s">
        <v>274</v>
      </c>
      <c r="I6768" s="1" t="n">
        <v>1035517</v>
      </c>
      <c r="J6768" s="1" t="n">
        <v>106079</v>
      </c>
      <c r="K6768" s="1" t="n">
        <v>7896289210130</v>
      </c>
      <c r="L6768" s="1" t="s">
        <v>2469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5" t="n">
        <v>46240</v>
      </c>
      <c r="C6769" s="1" t="n">
        <v>11</v>
      </c>
      <c r="D6769" s="1" t="s">
        <v>2290</v>
      </c>
      <c r="E6769" s="1" t="n">
        <v>1642</v>
      </c>
      <c r="F6769" s="1" t="s">
        <v>274</v>
      </c>
      <c r="I6769" s="1" t="n">
        <v>1035517</v>
      </c>
      <c r="J6769" s="1" t="n">
        <v>106274</v>
      </c>
      <c r="K6769" s="1" t="n">
        <v>7896289210086</v>
      </c>
      <c r="L6769" s="1" t="s">
        <v>2470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5" t="n">
        <v>46240</v>
      </c>
      <c r="C6770" s="1" t="n">
        <v>11</v>
      </c>
      <c r="D6770" s="1" t="s">
        <v>2290</v>
      </c>
      <c r="E6770" s="1" t="n">
        <v>1642</v>
      </c>
      <c r="F6770" s="1" t="s">
        <v>274</v>
      </c>
      <c r="I6770" s="1" t="n">
        <v>1035517</v>
      </c>
      <c r="J6770" s="1" t="n">
        <v>106280</v>
      </c>
      <c r="K6770" s="1" t="n">
        <v>7896289210062</v>
      </c>
      <c r="L6770" s="1" t="s">
        <v>2471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5" t="n">
        <v>46240</v>
      </c>
      <c r="C6771" s="1" t="n">
        <v>11</v>
      </c>
      <c r="D6771" s="1" t="s">
        <v>2290</v>
      </c>
      <c r="E6771" s="1" t="n">
        <v>1642</v>
      </c>
      <c r="F6771" s="1" t="s">
        <v>274</v>
      </c>
      <c r="I6771" s="1" t="n">
        <v>1035517</v>
      </c>
      <c r="J6771" s="1" t="n">
        <v>106407</v>
      </c>
      <c r="K6771" s="1" t="n">
        <v>7896289210031</v>
      </c>
      <c r="L6771" s="1" t="s">
        <v>2472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5" t="n">
        <v>46240</v>
      </c>
      <c r="C6772" s="1" t="n">
        <v>11</v>
      </c>
      <c r="D6772" s="1" t="s">
        <v>2290</v>
      </c>
      <c r="E6772" s="1" t="n">
        <v>1672</v>
      </c>
      <c r="F6772" s="1" t="s">
        <v>67</v>
      </c>
      <c r="I6772" s="1" t="n">
        <v>1413401</v>
      </c>
      <c r="J6772" s="1" t="n">
        <v>40014</v>
      </c>
      <c r="K6772" s="1" t="n">
        <v>7899465200512</v>
      </c>
      <c r="L6772" s="1" t="s">
        <v>4587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5" t="n">
        <v>46240</v>
      </c>
      <c r="C6773" s="1" t="n">
        <v>11</v>
      </c>
      <c r="D6773" s="1" t="s">
        <v>2290</v>
      </c>
      <c r="E6773" s="1" t="n">
        <v>1672</v>
      </c>
      <c r="F6773" s="1" t="s">
        <v>67</v>
      </c>
      <c r="I6773" s="1" t="n">
        <v>1413401</v>
      </c>
      <c r="J6773" s="1" t="n">
        <v>103165</v>
      </c>
      <c r="K6773" s="1" t="n">
        <v>7896579310106</v>
      </c>
      <c r="L6773" s="1" t="s">
        <v>2865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5" t="n">
        <v>46240</v>
      </c>
      <c r="C6774" s="1" t="n">
        <v>11</v>
      </c>
      <c r="D6774" s="1" t="s">
        <v>2290</v>
      </c>
      <c r="E6774" s="1" t="n">
        <v>1672</v>
      </c>
      <c r="F6774" s="1" t="s">
        <v>67</v>
      </c>
      <c r="I6774" s="1" t="n">
        <v>1413401</v>
      </c>
      <c r="J6774" s="1" t="n">
        <v>103940</v>
      </c>
      <c r="K6774" s="1" t="n">
        <v>7896579330081</v>
      </c>
      <c r="L6774" s="1" t="s">
        <v>3755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5" t="n">
        <v>46240</v>
      </c>
      <c r="C6775" s="1" t="n">
        <v>11</v>
      </c>
      <c r="D6775" s="1" t="s">
        <v>2290</v>
      </c>
      <c r="E6775" s="1" t="n">
        <v>1672</v>
      </c>
      <c r="F6775" s="1" t="s">
        <v>67</v>
      </c>
      <c r="I6775" s="1" t="n">
        <v>1413401</v>
      </c>
      <c r="J6775" s="1" t="n">
        <v>103941</v>
      </c>
      <c r="K6775" s="1" t="n">
        <v>7896579330036</v>
      </c>
      <c r="L6775" s="1" t="s">
        <v>3756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5" t="n">
        <v>46240</v>
      </c>
      <c r="C6776" s="1" t="n">
        <v>11</v>
      </c>
      <c r="D6776" s="1" t="s">
        <v>2290</v>
      </c>
      <c r="E6776" s="1" t="n">
        <v>1672</v>
      </c>
      <c r="F6776" s="1" t="s">
        <v>67</v>
      </c>
      <c r="I6776" s="1" t="n">
        <v>1413401</v>
      </c>
      <c r="J6776" s="1" t="n">
        <v>104355</v>
      </c>
      <c r="K6776" s="1" t="n">
        <v>7896579380116</v>
      </c>
      <c r="L6776" s="1" t="s">
        <v>2867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5" t="n">
        <v>46240</v>
      </c>
      <c r="C6777" s="1" t="n">
        <v>11</v>
      </c>
      <c r="D6777" s="1" t="s">
        <v>2290</v>
      </c>
      <c r="E6777" s="1" t="n">
        <v>1672</v>
      </c>
      <c r="F6777" s="1" t="s">
        <v>67</v>
      </c>
      <c r="I6777" s="1" t="n">
        <v>1413401</v>
      </c>
      <c r="J6777" s="1" t="n">
        <v>104360</v>
      </c>
      <c r="K6777" s="1" t="n">
        <v>7896579330074</v>
      </c>
      <c r="L6777" s="1" t="s">
        <v>4223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5" t="n">
        <v>46240</v>
      </c>
      <c r="C6778" s="1" t="n">
        <v>11</v>
      </c>
      <c r="D6778" s="1" t="s">
        <v>2290</v>
      </c>
      <c r="E6778" s="1" t="n">
        <v>1672</v>
      </c>
      <c r="F6778" s="1" t="s">
        <v>67</v>
      </c>
      <c r="I6778" s="1" t="n">
        <v>1413401</v>
      </c>
      <c r="J6778" s="1" t="n">
        <v>10834</v>
      </c>
      <c r="K6778" s="1" t="n">
        <v>7896579320129</v>
      </c>
      <c r="L6778" s="1" t="s">
        <v>4588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5" t="n">
        <v>46240</v>
      </c>
      <c r="C6779" s="1" t="n">
        <v>11</v>
      </c>
      <c r="D6779" s="1" t="s">
        <v>2290</v>
      </c>
      <c r="E6779" s="1" t="n">
        <v>1672</v>
      </c>
      <c r="F6779" s="1" t="s">
        <v>67</v>
      </c>
      <c r="I6779" s="1" t="n">
        <v>1413401</v>
      </c>
      <c r="J6779" s="1" t="n">
        <v>14974</v>
      </c>
      <c r="K6779" s="1" t="n">
        <v>7896579380123</v>
      </c>
      <c r="L6779" s="1" t="s">
        <v>3759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5" t="n">
        <v>46240</v>
      </c>
      <c r="C6780" s="1" t="n">
        <v>11</v>
      </c>
      <c r="D6780" s="1" t="s">
        <v>2290</v>
      </c>
      <c r="E6780" s="1" t="n">
        <v>1672</v>
      </c>
      <c r="F6780" s="1" t="s">
        <v>67</v>
      </c>
      <c r="I6780" s="1" t="n">
        <v>1413401</v>
      </c>
      <c r="J6780" s="1" t="n">
        <v>23258</v>
      </c>
      <c r="K6780" s="1" t="n">
        <v>7899465200505</v>
      </c>
      <c r="L6780" s="1" t="s">
        <v>4231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5" t="n">
        <v>46240</v>
      </c>
      <c r="C6781" s="1" t="n">
        <v>11</v>
      </c>
      <c r="D6781" s="1" t="s">
        <v>2290</v>
      </c>
      <c r="E6781" s="1" t="n">
        <v>1672</v>
      </c>
      <c r="F6781" s="1" t="s">
        <v>67</v>
      </c>
      <c r="I6781" s="1" t="n">
        <v>1413401</v>
      </c>
      <c r="J6781" s="1" t="n">
        <v>31622</v>
      </c>
      <c r="K6781" s="1" t="n">
        <v>7896579370032</v>
      </c>
      <c r="L6781" s="1" t="s">
        <v>2868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5" t="n">
        <v>46240</v>
      </c>
      <c r="C6782" s="1" t="n">
        <v>11</v>
      </c>
      <c r="D6782" s="1" t="s">
        <v>2290</v>
      </c>
      <c r="E6782" s="1" t="n">
        <v>1672</v>
      </c>
      <c r="F6782" s="1" t="s">
        <v>67</v>
      </c>
      <c r="I6782" s="1" t="n">
        <v>1413401</v>
      </c>
      <c r="J6782" s="1" t="n">
        <v>35007</v>
      </c>
      <c r="K6782" s="1" t="n">
        <v>7896579340110</v>
      </c>
      <c r="L6782" s="1" t="s">
        <v>3764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5" t="n">
        <v>46240</v>
      </c>
      <c r="C6783" s="1" t="n">
        <v>11</v>
      </c>
      <c r="D6783" s="1" t="s">
        <v>2290</v>
      </c>
      <c r="E6783" s="1" t="n">
        <v>1672</v>
      </c>
      <c r="F6783" s="1" t="s">
        <v>67</v>
      </c>
      <c r="I6783" s="1" t="n">
        <v>1413401</v>
      </c>
      <c r="J6783" s="1" t="n">
        <v>35008</v>
      </c>
      <c r="K6783" s="1" t="n">
        <v>7896579350256</v>
      </c>
      <c r="L6783" s="1" t="s">
        <v>3765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5" t="n">
        <v>46240</v>
      </c>
      <c r="C6784" s="1" t="n">
        <v>11</v>
      </c>
      <c r="D6784" s="1" t="s">
        <v>2290</v>
      </c>
      <c r="E6784" s="1" t="n">
        <v>1672</v>
      </c>
      <c r="F6784" s="1" t="s">
        <v>67</v>
      </c>
      <c r="I6784" s="1" t="n">
        <v>1413401</v>
      </c>
      <c r="J6784" s="1" t="n">
        <v>37153</v>
      </c>
      <c r="K6784" s="1" t="n">
        <v>7896579310311</v>
      </c>
      <c r="L6784" s="1" t="s">
        <v>2869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5" t="n">
        <v>46240</v>
      </c>
      <c r="C6785" s="1" t="n">
        <v>11</v>
      </c>
      <c r="D6785" s="1" t="s">
        <v>2290</v>
      </c>
      <c r="E6785" s="1" t="n">
        <v>1672</v>
      </c>
      <c r="F6785" s="1" t="s">
        <v>67</v>
      </c>
      <c r="I6785" s="1" t="n">
        <v>1413401</v>
      </c>
      <c r="J6785" s="1" t="n">
        <v>37154</v>
      </c>
      <c r="K6785" s="1" t="n">
        <v>7896579310601</v>
      </c>
      <c r="L6785" s="1" t="s">
        <v>2870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5" t="n">
        <v>46240</v>
      </c>
      <c r="C6786" s="1" t="n">
        <v>11</v>
      </c>
      <c r="D6786" s="1" t="s">
        <v>2290</v>
      </c>
      <c r="E6786" s="1" t="n">
        <v>1672</v>
      </c>
      <c r="F6786" s="1" t="s">
        <v>67</v>
      </c>
      <c r="I6786" s="1" t="n">
        <v>1413401</v>
      </c>
      <c r="J6786" s="1" t="n">
        <v>37157</v>
      </c>
      <c r="K6786" s="1" t="n">
        <v>7896579310403</v>
      </c>
      <c r="L6786" s="1" t="s">
        <v>2872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5" t="n">
        <v>46240</v>
      </c>
      <c r="C6787" s="1" t="n">
        <v>11</v>
      </c>
      <c r="D6787" s="1" t="s">
        <v>2290</v>
      </c>
      <c r="E6787" s="1" t="n">
        <v>1672</v>
      </c>
      <c r="F6787" s="1" t="s">
        <v>67</v>
      </c>
      <c r="I6787" s="1" t="n">
        <v>1413401</v>
      </c>
      <c r="J6787" s="1" t="n">
        <v>37158</v>
      </c>
      <c r="K6787" s="1" t="n">
        <v>7896579310304</v>
      </c>
      <c r="L6787" s="1" t="s">
        <v>4589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5" t="n">
        <v>46240</v>
      </c>
      <c r="C6788" s="1" t="n">
        <v>11</v>
      </c>
      <c r="D6788" s="1" t="s">
        <v>2290</v>
      </c>
      <c r="E6788" s="1" t="n">
        <v>1672</v>
      </c>
      <c r="F6788" s="1" t="s">
        <v>67</v>
      </c>
      <c r="I6788" s="1" t="n">
        <v>1413401</v>
      </c>
      <c r="J6788" s="1" t="n">
        <v>38315</v>
      </c>
      <c r="K6788" s="1" t="n">
        <v>7896579320242</v>
      </c>
      <c r="L6788" s="1" t="s">
        <v>2873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5" t="n">
        <v>46240</v>
      </c>
      <c r="C6789" s="1" t="n">
        <v>11</v>
      </c>
      <c r="D6789" s="1" t="s">
        <v>2290</v>
      </c>
      <c r="E6789" s="1" t="n">
        <v>1672</v>
      </c>
      <c r="F6789" s="1" t="s">
        <v>67</v>
      </c>
      <c r="I6789" s="1" t="n">
        <v>1413401</v>
      </c>
      <c r="J6789" s="1" t="n">
        <v>38539</v>
      </c>
      <c r="K6789" s="1" t="n">
        <v>7896579320235</v>
      </c>
      <c r="L6789" s="1" t="s">
        <v>2874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5" t="n">
        <v>46240</v>
      </c>
      <c r="C6790" s="1" t="n">
        <v>11</v>
      </c>
      <c r="D6790" s="1" t="s">
        <v>2290</v>
      </c>
      <c r="E6790" s="1" t="n">
        <v>1672</v>
      </c>
      <c r="F6790" s="1" t="s">
        <v>67</v>
      </c>
      <c r="I6790" s="1" t="n">
        <v>1413401</v>
      </c>
      <c r="J6790" s="1" t="n">
        <v>45144</v>
      </c>
      <c r="K6790" s="1" t="n">
        <v>7896579350164</v>
      </c>
      <c r="L6790" s="1" t="s">
        <v>2875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5" t="n">
        <v>46240</v>
      </c>
      <c r="C6791" s="1" t="n">
        <v>11</v>
      </c>
      <c r="D6791" s="1" t="s">
        <v>2290</v>
      </c>
      <c r="E6791" s="1" t="n">
        <v>1672</v>
      </c>
      <c r="F6791" s="1" t="s">
        <v>67</v>
      </c>
      <c r="I6791" s="1" t="n">
        <v>1413401</v>
      </c>
      <c r="J6791" s="1" t="n">
        <v>65610</v>
      </c>
      <c r="K6791" s="1" t="n">
        <v>7896579340172</v>
      </c>
      <c r="L6791" s="1" t="s">
        <v>3769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5" t="n">
        <v>46240</v>
      </c>
      <c r="C6792" s="1" t="n">
        <v>11</v>
      </c>
      <c r="D6792" s="1" t="s">
        <v>2290</v>
      </c>
      <c r="E6792" s="1" t="n">
        <v>1672</v>
      </c>
      <c r="F6792" s="1" t="s">
        <v>67</v>
      </c>
      <c r="I6792" s="1" t="n">
        <v>1413401</v>
      </c>
      <c r="J6792" s="1" t="n">
        <v>81458</v>
      </c>
      <c r="K6792" s="1" t="n">
        <v>7896579360088</v>
      </c>
      <c r="L6792" s="1" t="s">
        <v>4590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15" t="n">
        <v>46240</v>
      </c>
      <c r="C6793" s="1" t="n">
        <v>11</v>
      </c>
      <c r="D6793" s="1" t="s">
        <v>2290</v>
      </c>
      <c r="E6793" s="1" t="n">
        <v>1672</v>
      </c>
      <c r="F6793" s="1" t="s">
        <v>67</v>
      </c>
      <c r="I6793" s="1" t="n">
        <v>1413401</v>
      </c>
      <c r="J6793" s="1" t="n">
        <v>81819</v>
      </c>
      <c r="K6793" s="1" t="n">
        <v>7896579390191</v>
      </c>
      <c r="L6793" s="1" t="s">
        <v>4591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15" t="n">
        <v>46240</v>
      </c>
      <c r="C6794" s="1" t="n">
        <v>11</v>
      </c>
      <c r="D6794" s="1" t="s">
        <v>2290</v>
      </c>
      <c r="E6794" s="1" t="n">
        <v>1672</v>
      </c>
      <c r="F6794" s="1" t="s">
        <v>67</v>
      </c>
      <c r="I6794" s="1" t="n">
        <v>1413401</v>
      </c>
      <c r="J6794" s="1" t="n">
        <v>81820</v>
      </c>
      <c r="K6794" s="1" t="n">
        <v>7896579390184</v>
      </c>
      <c r="L6794" s="1" t="s">
        <v>4592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5" t="n">
        <v>46240</v>
      </c>
      <c r="C6795" s="1" t="n">
        <v>11</v>
      </c>
      <c r="D6795" s="1" t="s">
        <v>2290</v>
      </c>
      <c r="E6795" s="1" t="n">
        <v>1608</v>
      </c>
      <c r="F6795" s="1" t="s">
        <v>41</v>
      </c>
      <c r="I6795" s="1" t="n">
        <v>1704577</v>
      </c>
      <c r="J6795" s="1" t="n">
        <v>24123</v>
      </c>
      <c r="K6795" s="1" t="n">
        <v>7891025109396</v>
      </c>
      <c r="L6795" s="1" t="s">
        <v>4593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5" t="n">
        <v>46240</v>
      </c>
      <c r="C6796" s="1" t="n">
        <v>11</v>
      </c>
      <c r="D6796" s="1" t="s">
        <v>2290</v>
      </c>
      <c r="E6796" s="1" t="n">
        <v>1608</v>
      </c>
      <c r="F6796" s="1" t="s">
        <v>41</v>
      </c>
      <c r="I6796" s="1" t="n">
        <v>1704577</v>
      </c>
      <c r="J6796" s="1" t="n">
        <v>24832</v>
      </c>
      <c r="K6796" s="1" t="n">
        <v>7891025109891</v>
      </c>
      <c r="L6796" s="1" t="s">
        <v>4594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5" t="n">
        <v>46240</v>
      </c>
      <c r="C6797" s="1" t="n">
        <v>11</v>
      </c>
      <c r="D6797" s="1" t="s">
        <v>2290</v>
      </c>
      <c r="E6797" s="1" t="n">
        <v>1608</v>
      </c>
      <c r="F6797" s="1" t="s">
        <v>41</v>
      </c>
      <c r="I6797" s="1" t="n">
        <v>1704577</v>
      </c>
      <c r="J6797" s="1" t="n">
        <v>27141</v>
      </c>
      <c r="K6797" s="1" t="n">
        <v>7899916900329</v>
      </c>
      <c r="L6797" s="1" t="s">
        <v>4595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5" t="n">
        <v>46240</v>
      </c>
      <c r="C6798" s="1" t="n">
        <v>11</v>
      </c>
      <c r="D6798" s="1" t="s">
        <v>2290</v>
      </c>
      <c r="E6798" s="1" t="n">
        <v>1608</v>
      </c>
      <c r="F6798" s="1" t="s">
        <v>41</v>
      </c>
      <c r="I6798" s="1" t="n">
        <v>1704577</v>
      </c>
      <c r="J6798" s="1" t="n">
        <v>29169</v>
      </c>
      <c r="K6798" s="1" t="n">
        <v>7891025115656</v>
      </c>
      <c r="L6798" s="1" t="s">
        <v>4596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5" t="n">
        <v>46240</v>
      </c>
      <c r="C6799" s="1" t="n">
        <v>11</v>
      </c>
      <c r="D6799" s="1" t="s">
        <v>2290</v>
      </c>
      <c r="E6799" s="1" t="n">
        <v>1608</v>
      </c>
      <c r="F6799" s="1" t="s">
        <v>41</v>
      </c>
      <c r="I6799" s="1" t="n">
        <v>1704577</v>
      </c>
      <c r="J6799" s="1" t="n">
        <v>32614</v>
      </c>
      <c r="K6799" s="1" t="n">
        <v>7891025119456</v>
      </c>
      <c r="L6799" s="1" t="s">
        <v>4597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5" t="n">
        <v>46240</v>
      </c>
      <c r="C6800" s="1" t="n">
        <v>11</v>
      </c>
      <c r="D6800" s="1" t="s">
        <v>2290</v>
      </c>
      <c r="E6800" s="1" t="n">
        <v>1608</v>
      </c>
      <c r="F6800" s="1" t="s">
        <v>41</v>
      </c>
      <c r="I6800" s="1" t="n">
        <v>1704577</v>
      </c>
      <c r="J6800" s="1" t="n">
        <v>35359</v>
      </c>
      <c r="K6800" s="1" t="n">
        <v>7891025119869</v>
      </c>
      <c r="L6800" s="1" t="s">
        <v>4598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5" t="n">
        <v>46240</v>
      </c>
      <c r="C6801" s="1" t="n">
        <v>11</v>
      </c>
      <c r="D6801" s="1" t="s">
        <v>2290</v>
      </c>
      <c r="E6801" s="1" t="n">
        <v>1608</v>
      </c>
      <c r="F6801" s="1" t="s">
        <v>41</v>
      </c>
      <c r="I6801" s="1" t="n">
        <v>1704577</v>
      </c>
      <c r="J6801" s="1" t="n">
        <v>35842</v>
      </c>
      <c r="K6801" s="1" t="n">
        <v>7891025120230</v>
      </c>
      <c r="L6801" s="1" t="s">
        <v>4599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5" t="n">
        <v>46240</v>
      </c>
      <c r="C6802" s="1" t="n">
        <v>11</v>
      </c>
      <c r="D6802" s="1" t="s">
        <v>2290</v>
      </c>
      <c r="E6802" s="1" t="n">
        <v>1608</v>
      </c>
      <c r="F6802" s="1" t="s">
        <v>41</v>
      </c>
      <c r="I6802" s="1" t="n">
        <v>1704577</v>
      </c>
      <c r="J6802" s="1" t="n">
        <v>37980</v>
      </c>
      <c r="K6802" s="1" t="n">
        <v>7891025121640</v>
      </c>
      <c r="L6802" s="1" t="s">
        <v>4600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5" t="n">
        <v>46240</v>
      </c>
      <c r="C6803" s="1" t="n">
        <v>11</v>
      </c>
      <c r="D6803" s="1" t="s">
        <v>2290</v>
      </c>
      <c r="E6803" s="1" t="n">
        <v>1608</v>
      </c>
      <c r="F6803" s="1" t="s">
        <v>41</v>
      </c>
      <c r="I6803" s="1" t="n">
        <v>1704577</v>
      </c>
      <c r="J6803" s="1" t="n">
        <v>48139</v>
      </c>
      <c r="K6803" s="1" t="n">
        <v>7891025122067</v>
      </c>
      <c r="L6803" s="1" t="s">
        <v>4601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5" t="n">
        <v>46240</v>
      </c>
      <c r="C6804" s="1" t="n">
        <v>11</v>
      </c>
      <c r="D6804" s="1" t="s">
        <v>2290</v>
      </c>
      <c r="E6804" s="1" t="n">
        <v>1608</v>
      </c>
      <c r="F6804" s="1" t="s">
        <v>41</v>
      </c>
      <c r="I6804" s="1" t="n">
        <v>1704577</v>
      </c>
      <c r="J6804" s="1" t="n">
        <v>69612</v>
      </c>
      <c r="K6804" s="1" t="n">
        <v>7891025123453</v>
      </c>
      <c r="L6804" s="1" t="s">
        <v>4602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5" t="n">
        <v>46240</v>
      </c>
      <c r="C6805" s="1" t="n">
        <v>11</v>
      </c>
      <c r="D6805" s="1" t="s">
        <v>2290</v>
      </c>
      <c r="E6805" s="1" t="n">
        <v>1608</v>
      </c>
      <c r="F6805" s="1" t="s">
        <v>41</v>
      </c>
      <c r="I6805" s="1" t="n">
        <v>1704577</v>
      </c>
      <c r="J6805" s="1" t="n">
        <v>69614</v>
      </c>
      <c r="K6805" s="1" t="n">
        <v>7891025123477</v>
      </c>
      <c r="L6805" s="1" t="s">
        <v>4603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5" t="n">
        <v>46240</v>
      </c>
      <c r="C6806" s="1" t="n">
        <v>11</v>
      </c>
      <c r="D6806" s="1" t="s">
        <v>2290</v>
      </c>
      <c r="E6806" s="1" t="n">
        <v>1612</v>
      </c>
      <c r="F6806" s="1" t="s">
        <v>264</v>
      </c>
      <c r="I6806" s="1" t="n">
        <v>2307607</v>
      </c>
      <c r="J6806" s="1" t="n">
        <v>13485</v>
      </c>
      <c r="K6806" s="1" t="n">
        <v>7896058590500</v>
      </c>
      <c r="L6806" s="1" t="s">
        <v>3118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5" t="n">
        <v>46240</v>
      </c>
      <c r="C6807" s="1" t="n">
        <v>11</v>
      </c>
      <c r="D6807" s="1" t="s">
        <v>2290</v>
      </c>
      <c r="E6807" s="1" t="n">
        <v>1612</v>
      </c>
      <c r="F6807" s="1" t="s">
        <v>264</v>
      </c>
      <c r="I6807" s="1" t="n">
        <v>2307607</v>
      </c>
      <c r="J6807" s="1" t="n">
        <v>24536</v>
      </c>
      <c r="K6807" s="1" t="n">
        <v>7896058505023</v>
      </c>
      <c r="L6807" s="1" t="s">
        <v>4604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5" t="n">
        <v>46240</v>
      </c>
      <c r="C6808" s="1" t="n">
        <v>11</v>
      </c>
      <c r="D6808" s="1" t="s">
        <v>2290</v>
      </c>
      <c r="E6808" s="1" t="n">
        <v>1612</v>
      </c>
      <c r="F6808" s="1" t="s">
        <v>264</v>
      </c>
      <c r="I6808" s="1" t="n">
        <v>2307607</v>
      </c>
      <c r="J6808" s="1" t="n">
        <v>31068</v>
      </c>
      <c r="K6808" s="1" t="n">
        <v>7896003706857</v>
      </c>
      <c r="L6808" s="1" t="s">
        <v>4605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5" t="n">
        <v>46240</v>
      </c>
      <c r="C6809" s="1" t="n">
        <v>11</v>
      </c>
      <c r="D6809" s="1" t="s">
        <v>2290</v>
      </c>
      <c r="E6809" s="1" t="n">
        <v>1612</v>
      </c>
      <c r="F6809" s="1" t="s">
        <v>264</v>
      </c>
      <c r="I6809" s="1" t="n">
        <v>2307607</v>
      </c>
      <c r="J6809" s="1" t="n">
        <v>31857</v>
      </c>
      <c r="K6809" s="1" t="n">
        <v>7897309408575</v>
      </c>
      <c r="L6809" s="1" t="s">
        <v>2562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5" t="n">
        <v>46240</v>
      </c>
      <c r="C6810" s="1" t="n">
        <v>11</v>
      </c>
      <c r="D6810" s="1" t="s">
        <v>2290</v>
      </c>
      <c r="E6810" s="1" t="n">
        <v>1612</v>
      </c>
      <c r="F6810" s="1" t="s">
        <v>264</v>
      </c>
      <c r="I6810" s="1" t="n">
        <v>2307607</v>
      </c>
      <c r="J6810" s="1" t="n">
        <v>37307</v>
      </c>
      <c r="K6810" s="1" t="n">
        <v>7898331012556</v>
      </c>
      <c r="L6810" s="1" t="s">
        <v>4606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5" t="n">
        <v>46240</v>
      </c>
      <c r="C6811" s="1" t="n">
        <v>11</v>
      </c>
      <c r="D6811" s="1" t="s">
        <v>2290</v>
      </c>
      <c r="E6811" s="1" t="n">
        <v>1612</v>
      </c>
      <c r="F6811" s="1" t="s">
        <v>264</v>
      </c>
      <c r="I6811" s="1" t="n">
        <v>2307607</v>
      </c>
      <c r="J6811" s="1" t="n">
        <v>38026</v>
      </c>
      <c r="K6811" s="1" t="n">
        <v>7898331012563</v>
      </c>
      <c r="L6811" s="1" t="s">
        <v>4607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5" t="n">
        <v>46240</v>
      </c>
      <c r="C6812" s="1" t="n">
        <v>11</v>
      </c>
      <c r="D6812" s="1" t="s">
        <v>2290</v>
      </c>
      <c r="E6812" s="1" t="n">
        <v>1612</v>
      </c>
      <c r="F6812" s="1" t="s">
        <v>264</v>
      </c>
      <c r="I6812" s="1" t="n">
        <v>2307607</v>
      </c>
      <c r="J6812" s="1" t="n">
        <v>53400</v>
      </c>
      <c r="K6812" s="1" t="n">
        <v>7896058500202</v>
      </c>
      <c r="L6812" s="1" t="s">
        <v>4608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5" t="n">
        <v>46240</v>
      </c>
      <c r="C6813" s="1" t="n">
        <v>11</v>
      </c>
      <c r="D6813" s="1" t="s">
        <v>2290</v>
      </c>
      <c r="E6813" s="1" t="n">
        <v>1612</v>
      </c>
      <c r="F6813" s="1" t="s">
        <v>264</v>
      </c>
      <c r="I6813" s="1" t="n">
        <v>2307607</v>
      </c>
      <c r="J6813" s="1" t="n">
        <v>53780</v>
      </c>
      <c r="K6813" s="1" t="n">
        <v>7896058500196</v>
      </c>
      <c r="L6813" s="1" t="s">
        <v>4609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5" t="n">
        <v>46240</v>
      </c>
      <c r="C6814" s="1" t="n">
        <v>11</v>
      </c>
      <c r="D6814" s="1" t="s">
        <v>2290</v>
      </c>
      <c r="E6814" s="1" t="n">
        <v>1612</v>
      </c>
      <c r="F6814" s="1" t="s">
        <v>264</v>
      </c>
      <c r="I6814" s="1" t="n">
        <v>2307607</v>
      </c>
      <c r="J6814" s="1" t="n">
        <v>53782</v>
      </c>
      <c r="K6814" s="1" t="n">
        <v>7896058500219</v>
      </c>
      <c r="L6814" s="1" t="s">
        <v>4610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5" t="n">
        <v>46240</v>
      </c>
      <c r="C6815" s="1" t="n">
        <v>11</v>
      </c>
      <c r="D6815" s="1" t="s">
        <v>2290</v>
      </c>
      <c r="E6815" s="1" t="n">
        <v>1612</v>
      </c>
      <c r="F6815" s="1" t="s">
        <v>264</v>
      </c>
      <c r="I6815" s="1" t="n">
        <v>2307607</v>
      </c>
      <c r="J6815" s="1" t="n">
        <v>53783</v>
      </c>
      <c r="K6815" s="1" t="n">
        <v>7896058500226</v>
      </c>
      <c r="L6815" s="1" t="s">
        <v>4611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5" t="n">
        <v>46240</v>
      </c>
      <c r="C6816" s="1" t="n">
        <v>11</v>
      </c>
      <c r="D6816" s="1" t="s">
        <v>2290</v>
      </c>
      <c r="E6816" s="1" t="n">
        <v>1612</v>
      </c>
      <c r="F6816" s="1" t="s">
        <v>264</v>
      </c>
      <c r="I6816" s="1" t="n">
        <v>2307607</v>
      </c>
      <c r="J6816" s="1" t="n">
        <v>53784</v>
      </c>
      <c r="K6816" s="1" t="n">
        <v>7896058500233</v>
      </c>
      <c r="L6816" s="1" t="s">
        <v>4612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5" t="n">
        <v>46240</v>
      </c>
      <c r="C6817" s="1" t="n">
        <v>11</v>
      </c>
      <c r="D6817" s="1" t="s">
        <v>2290</v>
      </c>
      <c r="E6817" s="1" t="n">
        <v>1612</v>
      </c>
      <c r="F6817" s="1" t="s">
        <v>264</v>
      </c>
      <c r="I6817" s="1" t="n">
        <v>2307607</v>
      </c>
      <c r="J6817" s="1" t="n">
        <v>53785</v>
      </c>
      <c r="K6817" s="1" t="n">
        <v>7896058500240</v>
      </c>
      <c r="L6817" s="1" t="s">
        <v>4613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5" t="n">
        <v>46240</v>
      </c>
      <c r="C6818" s="1" t="n">
        <v>11</v>
      </c>
      <c r="D6818" s="1" t="s">
        <v>2290</v>
      </c>
      <c r="E6818" s="1" t="n">
        <v>1612</v>
      </c>
      <c r="F6818" s="1" t="s">
        <v>264</v>
      </c>
      <c r="I6818" s="1" t="n">
        <v>2307607</v>
      </c>
      <c r="J6818" s="1" t="n">
        <v>61651</v>
      </c>
      <c r="K6818" s="1" t="n">
        <v>7896003739442</v>
      </c>
      <c r="L6818" s="1" t="s">
        <v>4614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5" t="n">
        <v>46240</v>
      </c>
      <c r="C6819" s="1" t="n">
        <v>11</v>
      </c>
      <c r="D6819" s="1" t="s">
        <v>2290</v>
      </c>
      <c r="E6819" s="1" t="n">
        <v>1612</v>
      </c>
      <c r="F6819" s="1" t="s">
        <v>264</v>
      </c>
      <c r="I6819" s="1" t="n">
        <v>2307607</v>
      </c>
      <c r="J6819" s="1" t="n">
        <v>63123</v>
      </c>
      <c r="K6819" s="1" t="n">
        <v>7896003739435</v>
      </c>
      <c r="L6819" s="1" t="s">
        <v>4615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5" t="n">
        <v>46240</v>
      </c>
      <c r="C6820" s="1" t="n">
        <v>11</v>
      </c>
      <c r="D6820" s="1" t="s">
        <v>2290</v>
      </c>
      <c r="E6820" s="1" t="n">
        <v>1612</v>
      </c>
      <c r="F6820" s="1" t="s">
        <v>264</v>
      </c>
      <c r="I6820" s="1" t="n">
        <v>2307607</v>
      </c>
      <c r="J6820" s="1" t="n">
        <v>63125</v>
      </c>
      <c r="K6820" s="1" t="n">
        <v>7896003739459</v>
      </c>
      <c r="L6820" s="1" t="s">
        <v>4616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5" t="n">
        <v>46240</v>
      </c>
      <c r="C6821" s="1" t="n">
        <v>11</v>
      </c>
      <c r="D6821" s="1" t="s">
        <v>2290</v>
      </c>
      <c r="E6821" s="1" t="n">
        <v>1612</v>
      </c>
      <c r="F6821" s="1" t="s">
        <v>264</v>
      </c>
      <c r="I6821" s="1" t="n">
        <v>2307607</v>
      </c>
      <c r="J6821" s="1" t="n">
        <v>65225</v>
      </c>
      <c r="K6821" s="1" t="n">
        <v>7896003738919</v>
      </c>
      <c r="L6821" s="1" t="s">
        <v>4617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5" t="n">
        <v>46240</v>
      </c>
      <c r="C6822" s="1" t="n">
        <v>11</v>
      </c>
      <c r="D6822" s="1" t="s">
        <v>2290</v>
      </c>
      <c r="E6822" s="1" t="n">
        <v>1612</v>
      </c>
      <c r="F6822" s="1" t="s">
        <v>264</v>
      </c>
      <c r="I6822" s="1" t="n">
        <v>2307607</v>
      </c>
      <c r="J6822" s="1" t="n">
        <v>65236</v>
      </c>
      <c r="K6822" s="1" t="n">
        <v>7896003738957</v>
      </c>
      <c r="L6822" s="1" t="s">
        <v>4618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5" t="n">
        <v>46240</v>
      </c>
      <c r="C6823" s="1" t="n">
        <v>11</v>
      </c>
      <c r="D6823" s="1" t="s">
        <v>2290</v>
      </c>
      <c r="E6823" s="1" t="n">
        <v>1612</v>
      </c>
      <c r="F6823" s="1" t="s">
        <v>264</v>
      </c>
      <c r="I6823" s="1" t="n">
        <v>2307607</v>
      </c>
      <c r="J6823" s="1" t="n">
        <v>76723</v>
      </c>
      <c r="K6823" s="1" t="n">
        <v>7896003738926</v>
      </c>
      <c r="L6823" s="1" t="s">
        <v>4619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5" t="n">
        <v>46240</v>
      </c>
      <c r="C6824" s="1" t="n">
        <v>11</v>
      </c>
      <c r="D6824" s="1" t="s">
        <v>2290</v>
      </c>
      <c r="E6824" s="1" t="n">
        <v>1612</v>
      </c>
      <c r="F6824" s="1" t="s">
        <v>264</v>
      </c>
      <c r="I6824" s="1" t="n">
        <v>2307607</v>
      </c>
      <c r="J6824" s="1" t="n">
        <v>82002</v>
      </c>
      <c r="K6824" s="1" t="n">
        <v>7896003740271</v>
      </c>
      <c r="L6824" s="1" t="s">
        <v>4620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5" t="n">
        <v>46240</v>
      </c>
      <c r="C6825" s="1" t="n">
        <v>11</v>
      </c>
      <c r="D6825" s="1" t="s">
        <v>2290</v>
      </c>
      <c r="E6825" s="1" t="n">
        <v>1612</v>
      </c>
      <c r="F6825" s="1" t="s">
        <v>264</v>
      </c>
      <c r="I6825" s="1" t="n">
        <v>2307607</v>
      </c>
      <c r="J6825" s="1" t="n">
        <v>82003</v>
      </c>
      <c r="K6825" s="1" t="n">
        <v>7896003740301</v>
      </c>
      <c r="L6825" s="1" t="s">
        <v>4621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5" t="n">
        <v>46240</v>
      </c>
      <c r="C6826" s="1" t="n">
        <v>11</v>
      </c>
      <c r="D6826" s="1" t="s">
        <v>2290</v>
      </c>
      <c r="E6826" s="1" t="n">
        <v>1612</v>
      </c>
      <c r="F6826" s="1" t="s">
        <v>264</v>
      </c>
      <c r="I6826" s="1" t="n">
        <v>2307608</v>
      </c>
      <c r="J6826" s="1" t="n">
        <v>10561</v>
      </c>
      <c r="K6826" s="1" t="n">
        <v>78602731</v>
      </c>
      <c r="L6826" s="1" t="s">
        <v>4622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5" t="n">
        <v>46240</v>
      </c>
      <c r="C6827" s="1" t="n">
        <v>11</v>
      </c>
      <c r="D6827" s="1" t="s">
        <v>2290</v>
      </c>
      <c r="E6827" s="1" t="n">
        <v>1612</v>
      </c>
      <c r="F6827" s="1" t="s">
        <v>264</v>
      </c>
      <c r="I6827" s="1" t="n">
        <v>2307608</v>
      </c>
      <c r="J6827" s="1" t="n">
        <v>12865</v>
      </c>
      <c r="K6827" s="1" t="n">
        <v>611269101713</v>
      </c>
      <c r="L6827" s="1" t="s">
        <v>2540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5" t="n">
        <v>46240</v>
      </c>
      <c r="C6828" s="1" t="n">
        <v>11</v>
      </c>
      <c r="D6828" s="1" t="s">
        <v>2290</v>
      </c>
      <c r="E6828" s="1" t="n">
        <v>1612</v>
      </c>
      <c r="F6828" s="1" t="s">
        <v>264</v>
      </c>
      <c r="I6828" s="1" t="n">
        <v>2307608</v>
      </c>
      <c r="J6828" s="1" t="n">
        <v>17726</v>
      </c>
      <c r="K6828" s="1" t="n">
        <v>9002490214166</v>
      </c>
      <c r="L6828" s="1" t="s">
        <v>4623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5" t="n">
        <v>46240</v>
      </c>
      <c r="C6829" s="1" t="n">
        <v>11</v>
      </c>
      <c r="D6829" s="1" t="s">
        <v>2290</v>
      </c>
      <c r="E6829" s="1" t="n">
        <v>1612</v>
      </c>
      <c r="F6829" s="1" t="s">
        <v>264</v>
      </c>
      <c r="I6829" s="1" t="n">
        <v>2307608</v>
      </c>
      <c r="J6829" s="1" t="n">
        <v>17734</v>
      </c>
      <c r="K6829" s="1" t="n">
        <v>7898024395232</v>
      </c>
      <c r="L6829" s="1" t="s">
        <v>4624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5" t="n">
        <v>46240</v>
      </c>
      <c r="C6830" s="1" t="n">
        <v>11</v>
      </c>
      <c r="D6830" s="1" t="s">
        <v>2290</v>
      </c>
      <c r="E6830" s="1" t="n">
        <v>1612</v>
      </c>
      <c r="F6830" s="1" t="s">
        <v>264</v>
      </c>
      <c r="I6830" s="1" t="n">
        <v>2307608</v>
      </c>
      <c r="J6830" s="1" t="n">
        <v>22441</v>
      </c>
      <c r="K6830" s="1" t="n">
        <v>9002490229160</v>
      </c>
      <c r="L6830" s="1" t="s">
        <v>2544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5" t="n">
        <v>46240</v>
      </c>
      <c r="C6831" s="1" t="n">
        <v>11</v>
      </c>
      <c r="D6831" s="1" t="s">
        <v>2290</v>
      </c>
      <c r="E6831" s="1" t="n">
        <v>1612</v>
      </c>
      <c r="F6831" s="1" t="s">
        <v>264</v>
      </c>
      <c r="I6831" s="1" t="n">
        <v>2307608</v>
      </c>
      <c r="J6831" s="1" t="n">
        <v>28960</v>
      </c>
      <c r="K6831" s="1" t="n">
        <v>7898024397915</v>
      </c>
      <c r="L6831" s="1" t="s">
        <v>4625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5" t="n">
        <v>46240</v>
      </c>
      <c r="C6832" s="1" t="n">
        <v>11</v>
      </c>
      <c r="D6832" s="1" t="s">
        <v>2290</v>
      </c>
      <c r="E6832" s="1" t="n">
        <v>1612</v>
      </c>
      <c r="F6832" s="1" t="s">
        <v>264</v>
      </c>
      <c r="I6832" s="1" t="n">
        <v>2307608</v>
      </c>
      <c r="J6832" s="1" t="n">
        <v>29067</v>
      </c>
      <c r="K6832" s="1" t="n">
        <v>78940734</v>
      </c>
      <c r="L6832" s="1" t="s">
        <v>4626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5" t="n">
        <v>46240</v>
      </c>
      <c r="C6833" s="1" t="n">
        <v>11</v>
      </c>
      <c r="D6833" s="1" t="s">
        <v>2290</v>
      </c>
      <c r="E6833" s="1" t="n">
        <v>1612</v>
      </c>
      <c r="F6833" s="1" t="s">
        <v>264</v>
      </c>
      <c r="I6833" s="1" t="n">
        <v>2307608</v>
      </c>
      <c r="J6833" s="1" t="n">
        <v>34896</v>
      </c>
      <c r="K6833" s="1" t="n">
        <v>9002490247379</v>
      </c>
      <c r="L6833" s="1" t="s">
        <v>4627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5" t="n">
        <v>46240</v>
      </c>
      <c r="C6834" s="1" t="n">
        <v>11</v>
      </c>
      <c r="D6834" s="1" t="s">
        <v>2290</v>
      </c>
      <c r="E6834" s="1" t="n">
        <v>1612</v>
      </c>
      <c r="F6834" s="1" t="s">
        <v>264</v>
      </c>
      <c r="I6834" s="1" t="n">
        <v>2307608</v>
      </c>
      <c r="J6834" s="1" t="n">
        <v>44317</v>
      </c>
      <c r="K6834" s="1" t="n">
        <v>78909434</v>
      </c>
      <c r="L6834" s="1" t="s">
        <v>4628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5" t="n">
        <v>46240</v>
      </c>
      <c r="C6835" s="1" t="n">
        <v>11</v>
      </c>
      <c r="D6835" s="1" t="s">
        <v>2290</v>
      </c>
      <c r="E6835" s="1" t="n">
        <v>1612</v>
      </c>
      <c r="F6835" s="1" t="s">
        <v>264</v>
      </c>
      <c r="I6835" s="1" t="n">
        <v>2307608</v>
      </c>
      <c r="J6835" s="1" t="n">
        <v>53838</v>
      </c>
      <c r="K6835" s="1" t="n">
        <v>78945449</v>
      </c>
      <c r="L6835" s="1" t="s">
        <v>4629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5" t="n">
        <v>46240</v>
      </c>
      <c r="C6836" s="1" t="n">
        <v>11</v>
      </c>
      <c r="D6836" s="1" t="s">
        <v>2290</v>
      </c>
      <c r="E6836" s="1" t="n">
        <v>1612</v>
      </c>
      <c r="F6836" s="1" t="s">
        <v>264</v>
      </c>
      <c r="I6836" s="1" t="n">
        <v>2307608</v>
      </c>
      <c r="J6836" s="1" t="n">
        <v>53844</v>
      </c>
      <c r="K6836" s="1" t="n">
        <v>78945463</v>
      </c>
      <c r="L6836" s="1" t="s">
        <v>4630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5" t="n">
        <v>46240</v>
      </c>
      <c r="C6837" s="1" t="n">
        <v>11</v>
      </c>
      <c r="D6837" s="1" t="s">
        <v>2290</v>
      </c>
      <c r="E6837" s="1" t="n">
        <v>1612</v>
      </c>
      <c r="F6837" s="1" t="s">
        <v>264</v>
      </c>
      <c r="I6837" s="1" t="n">
        <v>2307608</v>
      </c>
      <c r="J6837" s="1" t="n">
        <v>54110</v>
      </c>
      <c r="K6837" s="1" t="n">
        <v>78945456</v>
      </c>
      <c r="L6837" s="1" t="s">
        <v>4631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5" t="n">
        <v>46240</v>
      </c>
      <c r="C6838" s="1" t="n">
        <v>11</v>
      </c>
      <c r="D6838" s="1" t="s">
        <v>2290</v>
      </c>
      <c r="E6838" s="1" t="n">
        <v>1612</v>
      </c>
      <c r="F6838" s="1" t="s">
        <v>264</v>
      </c>
      <c r="I6838" s="1" t="n">
        <v>2307608</v>
      </c>
      <c r="J6838" s="1" t="n">
        <v>78209</v>
      </c>
      <c r="K6838" s="1" t="n">
        <v>611269991000</v>
      </c>
      <c r="L6838" s="1" t="s">
        <v>3919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5" t="n">
        <v>46240</v>
      </c>
      <c r="C6839" s="1" t="n">
        <v>22</v>
      </c>
      <c r="D6839" s="1" t="s">
        <v>2436</v>
      </c>
      <c r="E6839" s="1" t="n">
        <v>42</v>
      </c>
      <c r="F6839" s="1" t="s">
        <v>80</v>
      </c>
      <c r="I6839" s="1" t="n">
        <v>4466</v>
      </c>
      <c r="J6839" s="1" t="n">
        <v>100006</v>
      </c>
      <c r="K6839" s="1" t="n">
        <v>7</v>
      </c>
      <c r="L6839" s="1" t="s">
        <v>2437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5" t="n">
        <v>46240</v>
      </c>
      <c r="C6840" s="1" t="n">
        <v>22</v>
      </c>
      <c r="D6840" s="1" t="s">
        <v>2436</v>
      </c>
      <c r="E6840" s="1" t="n">
        <v>42</v>
      </c>
      <c r="F6840" s="1" t="s">
        <v>80</v>
      </c>
      <c r="I6840" s="1" t="n">
        <v>4466</v>
      </c>
      <c r="J6840" s="1" t="n">
        <v>100007</v>
      </c>
      <c r="K6840" s="1" t="n">
        <v>8</v>
      </c>
      <c r="L6840" s="1" t="s">
        <v>2455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5" t="n">
        <v>46240</v>
      </c>
      <c r="C6841" s="1" t="n">
        <v>22</v>
      </c>
      <c r="D6841" s="1" t="s">
        <v>2436</v>
      </c>
      <c r="E6841" s="1" t="n">
        <v>42</v>
      </c>
      <c r="F6841" s="1" t="s">
        <v>80</v>
      </c>
      <c r="I6841" s="1" t="n">
        <v>4466</v>
      </c>
      <c r="J6841" s="1" t="n">
        <v>100008</v>
      </c>
      <c r="K6841" s="1" t="n">
        <v>9</v>
      </c>
      <c r="L6841" s="1" t="s">
        <v>2438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5" t="n">
        <v>46240</v>
      </c>
      <c r="C6842" s="1" t="n">
        <v>22</v>
      </c>
      <c r="D6842" s="1" t="s">
        <v>2436</v>
      </c>
      <c r="E6842" s="1" t="n">
        <v>42</v>
      </c>
      <c r="F6842" s="1" t="s">
        <v>80</v>
      </c>
      <c r="I6842" s="1" t="n">
        <v>4466</v>
      </c>
      <c r="J6842" s="1" t="n">
        <v>100010</v>
      </c>
      <c r="K6842" s="1" t="n">
        <v>11</v>
      </c>
      <c r="L6842" s="1" t="s">
        <v>2439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5" t="n">
        <v>46240</v>
      </c>
      <c r="C6843" s="1" t="n">
        <v>22</v>
      </c>
      <c r="D6843" s="1" t="s">
        <v>2436</v>
      </c>
      <c r="E6843" s="1" t="n">
        <v>42</v>
      </c>
      <c r="F6843" s="1" t="s">
        <v>80</v>
      </c>
      <c r="I6843" s="1" t="n">
        <v>4466</v>
      </c>
      <c r="J6843" s="1" t="n">
        <v>100011</v>
      </c>
      <c r="K6843" s="1" t="n">
        <v>12</v>
      </c>
      <c r="L6843" s="1" t="s">
        <v>2440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5" t="n">
        <v>46240</v>
      </c>
      <c r="C6844" s="1" t="n">
        <v>22</v>
      </c>
      <c r="D6844" s="1" t="s">
        <v>2436</v>
      </c>
      <c r="E6844" s="1" t="n">
        <v>42</v>
      </c>
      <c r="F6844" s="1" t="s">
        <v>80</v>
      </c>
      <c r="I6844" s="1" t="n">
        <v>4466</v>
      </c>
      <c r="J6844" s="1" t="n">
        <v>100012</v>
      </c>
      <c r="K6844" s="1" t="n">
        <v>13</v>
      </c>
      <c r="L6844" s="1" t="s">
        <v>2441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5" t="n">
        <v>46240</v>
      </c>
      <c r="C6845" s="1" t="n">
        <v>22</v>
      </c>
      <c r="D6845" s="1" t="s">
        <v>2436</v>
      </c>
      <c r="E6845" s="1" t="n">
        <v>42</v>
      </c>
      <c r="F6845" s="1" t="s">
        <v>80</v>
      </c>
      <c r="I6845" s="1" t="n">
        <v>4466</v>
      </c>
      <c r="J6845" s="1" t="n">
        <v>100013</v>
      </c>
      <c r="K6845" s="1" t="n">
        <v>14</v>
      </c>
      <c r="L6845" s="1" t="s">
        <v>2442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5" t="n">
        <v>46240</v>
      </c>
      <c r="C6846" s="1" t="n">
        <v>22</v>
      </c>
      <c r="D6846" s="1" t="s">
        <v>2436</v>
      </c>
      <c r="E6846" s="1" t="n">
        <v>42</v>
      </c>
      <c r="F6846" s="1" t="s">
        <v>80</v>
      </c>
      <c r="I6846" s="1" t="n">
        <v>4466</v>
      </c>
      <c r="J6846" s="1" t="n">
        <v>100014</v>
      </c>
      <c r="K6846" s="1" t="n">
        <v>15</v>
      </c>
      <c r="L6846" s="1" t="s">
        <v>2443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5" t="n">
        <v>46240</v>
      </c>
      <c r="C6847" s="1" t="n">
        <v>22</v>
      </c>
      <c r="D6847" s="1" t="s">
        <v>2436</v>
      </c>
      <c r="E6847" s="1" t="n">
        <v>42</v>
      </c>
      <c r="F6847" s="1" t="s">
        <v>80</v>
      </c>
      <c r="I6847" s="1" t="n">
        <v>4466</v>
      </c>
      <c r="J6847" s="1" t="n">
        <v>100015</v>
      </c>
      <c r="K6847" s="1" t="n">
        <v>16</v>
      </c>
      <c r="L6847" s="1" t="s">
        <v>2444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5" t="n">
        <v>46240</v>
      </c>
      <c r="C6848" s="1" t="n">
        <v>22</v>
      </c>
      <c r="D6848" s="1" t="s">
        <v>2436</v>
      </c>
      <c r="E6848" s="1" t="n">
        <v>42</v>
      </c>
      <c r="F6848" s="1" t="s">
        <v>80</v>
      </c>
      <c r="I6848" s="1" t="n">
        <v>4466</v>
      </c>
      <c r="J6848" s="1" t="n">
        <v>100016</v>
      </c>
      <c r="K6848" s="1" t="n">
        <v>17</v>
      </c>
      <c r="L6848" s="1" t="s">
        <v>2445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5" t="n">
        <v>46240</v>
      </c>
      <c r="C6849" s="1" t="n">
        <v>22</v>
      </c>
      <c r="D6849" s="1" t="s">
        <v>2436</v>
      </c>
      <c r="E6849" s="1" t="n">
        <v>42</v>
      </c>
      <c r="F6849" s="1" t="s">
        <v>80</v>
      </c>
      <c r="I6849" s="1" t="n">
        <v>4466</v>
      </c>
      <c r="J6849" s="1" t="n">
        <v>100017</v>
      </c>
      <c r="K6849" s="1" t="n">
        <v>18</v>
      </c>
      <c r="L6849" s="1" t="s">
        <v>2446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5" t="n">
        <v>46240</v>
      </c>
      <c r="C6850" s="1" t="n">
        <v>22</v>
      </c>
      <c r="D6850" s="1" t="s">
        <v>2436</v>
      </c>
      <c r="E6850" s="1" t="n">
        <v>42</v>
      </c>
      <c r="F6850" s="1" t="s">
        <v>80</v>
      </c>
      <c r="I6850" s="1" t="n">
        <v>4466</v>
      </c>
      <c r="J6850" s="1" t="n">
        <v>100019</v>
      </c>
      <c r="K6850" s="1" t="n">
        <v>20</v>
      </c>
      <c r="L6850" s="1" t="s">
        <v>4136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5" t="n">
        <v>46240</v>
      </c>
      <c r="C6851" s="1" t="n">
        <v>22</v>
      </c>
      <c r="D6851" s="1" t="s">
        <v>2436</v>
      </c>
      <c r="E6851" s="1" t="n">
        <v>42</v>
      </c>
      <c r="F6851" s="1" t="s">
        <v>80</v>
      </c>
      <c r="I6851" s="1" t="n">
        <v>4466</v>
      </c>
      <c r="J6851" s="1" t="n">
        <v>100020</v>
      </c>
      <c r="K6851" s="1" t="n">
        <v>21</v>
      </c>
      <c r="L6851" s="1" t="s">
        <v>2456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5" t="n">
        <v>46240</v>
      </c>
      <c r="C6852" s="1" t="n">
        <v>22</v>
      </c>
      <c r="D6852" s="1" t="s">
        <v>2436</v>
      </c>
      <c r="E6852" s="1" t="n">
        <v>42</v>
      </c>
      <c r="F6852" s="1" t="s">
        <v>80</v>
      </c>
      <c r="I6852" s="1" t="n">
        <v>4466</v>
      </c>
      <c r="J6852" s="1" t="n">
        <v>100057</v>
      </c>
      <c r="K6852" s="1" t="n">
        <v>58</v>
      </c>
      <c r="L6852" s="1" t="s">
        <v>4632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5" t="n">
        <v>46240</v>
      </c>
      <c r="C6853" s="1" t="n">
        <v>22</v>
      </c>
      <c r="D6853" s="1" t="s">
        <v>2436</v>
      </c>
      <c r="E6853" s="1" t="n">
        <v>42</v>
      </c>
      <c r="F6853" s="1" t="s">
        <v>80</v>
      </c>
      <c r="I6853" s="1" t="n">
        <v>4466</v>
      </c>
      <c r="J6853" s="1" t="n">
        <v>100638</v>
      </c>
      <c r="K6853" s="1" t="n">
        <v>508</v>
      </c>
      <c r="L6853" s="1" t="s">
        <v>2448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5" t="n">
        <v>46240</v>
      </c>
      <c r="C6854" s="1" t="n">
        <v>22</v>
      </c>
      <c r="D6854" s="1" t="s">
        <v>2436</v>
      </c>
      <c r="E6854" s="1" t="n">
        <v>42</v>
      </c>
      <c r="F6854" s="1" t="s">
        <v>80</v>
      </c>
      <c r="I6854" s="1" t="n">
        <v>4466</v>
      </c>
      <c r="J6854" s="1" t="n">
        <v>100520</v>
      </c>
      <c r="K6854" s="1" t="n">
        <v>507</v>
      </c>
      <c r="L6854" s="1" t="s">
        <v>2449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5" t="n">
        <v>46240</v>
      </c>
      <c r="C6855" s="1" t="n">
        <v>22</v>
      </c>
      <c r="D6855" s="1" t="s">
        <v>2436</v>
      </c>
      <c r="E6855" s="1" t="n">
        <v>42</v>
      </c>
      <c r="F6855" s="1" t="s">
        <v>80</v>
      </c>
      <c r="I6855" s="1" t="n">
        <v>4466</v>
      </c>
      <c r="J6855" s="1" t="n">
        <v>110455</v>
      </c>
      <c r="K6855" s="1" t="n">
        <v>53212</v>
      </c>
      <c r="L6855" s="1" t="s">
        <v>2450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5" t="n">
        <v>46240</v>
      </c>
      <c r="C6856" s="1" t="n">
        <v>100</v>
      </c>
      <c r="D6856" s="1" t="s">
        <v>2457</v>
      </c>
      <c r="E6856" s="1" t="n">
        <v>42</v>
      </c>
      <c r="F6856" s="1" t="s">
        <v>80</v>
      </c>
      <c r="I6856" s="1" t="n">
        <v>1507915</v>
      </c>
      <c r="J6856" s="1" t="n">
        <v>100006</v>
      </c>
      <c r="K6856" s="1" t="n">
        <v>7</v>
      </c>
      <c r="L6856" s="1" t="s">
        <v>2437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5" t="n">
        <v>46240</v>
      </c>
      <c r="C6857" s="1" t="n">
        <v>100</v>
      </c>
      <c r="D6857" s="1" t="s">
        <v>2457</v>
      </c>
      <c r="E6857" s="1" t="n">
        <v>42</v>
      </c>
      <c r="F6857" s="1" t="s">
        <v>80</v>
      </c>
      <c r="I6857" s="1" t="n">
        <v>1507915</v>
      </c>
      <c r="J6857" s="1" t="n">
        <v>100007</v>
      </c>
      <c r="K6857" s="1" t="n">
        <v>8</v>
      </c>
      <c r="L6857" s="1" t="s">
        <v>2455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5" t="n">
        <v>46240</v>
      </c>
      <c r="C6858" s="1" t="n">
        <v>100</v>
      </c>
      <c r="D6858" s="1" t="s">
        <v>2457</v>
      </c>
      <c r="E6858" s="1" t="n">
        <v>42</v>
      </c>
      <c r="F6858" s="1" t="s">
        <v>80</v>
      </c>
      <c r="I6858" s="1" t="n">
        <v>1507915</v>
      </c>
      <c r="J6858" s="1" t="n">
        <v>100008</v>
      </c>
      <c r="K6858" s="1" t="n">
        <v>9</v>
      </c>
      <c r="L6858" s="1" t="s">
        <v>2438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5" t="n">
        <v>46240</v>
      </c>
      <c r="C6859" s="1" t="n">
        <v>100</v>
      </c>
      <c r="D6859" s="1" t="s">
        <v>2457</v>
      </c>
      <c r="E6859" s="1" t="n">
        <v>42</v>
      </c>
      <c r="F6859" s="1" t="s">
        <v>80</v>
      </c>
      <c r="I6859" s="1" t="n">
        <v>1507915</v>
      </c>
      <c r="J6859" s="1" t="n">
        <v>100010</v>
      </c>
      <c r="K6859" s="1" t="n">
        <v>11</v>
      </c>
      <c r="L6859" s="1" t="s">
        <v>2439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5" t="n">
        <v>46240</v>
      </c>
      <c r="C6860" s="1" t="n">
        <v>100</v>
      </c>
      <c r="D6860" s="1" t="s">
        <v>2457</v>
      </c>
      <c r="E6860" s="1" t="n">
        <v>42</v>
      </c>
      <c r="F6860" s="1" t="s">
        <v>80</v>
      </c>
      <c r="I6860" s="1" t="n">
        <v>1507915</v>
      </c>
      <c r="J6860" s="1" t="n">
        <v>100011</v>
      </c>
      <c r="K6860" s="1" t="n">
        <v>12</v>
      </c>
      <c r="L6860" s="1" t="s">
        <v>2440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5" t="n">
        <v>46240</v>
      </c>
      <c r="C6861" s="1" t="n">
        <v>100</v>
      </c>
      <c r="D6861" s="1" t="s">
        <v>2457</v>
      </c>
      <c r="E6861" s="1" t="n">
        <v>42</v>
      </c>
      <c r="F6861" s="1" t="s">
        <v>80</v>
      </c>
      <c r="I6861" s="1" t="n">
        <v>1507915</v>
      </c>
      <c r="J6861" s="1" t="n">
        <v>100012</v>
      </c>
      <c r="K6861" s="1" t="n">
        <v>13</v>
      </c>
      <c r="L6861" s="1" t="s">
        <v>2441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5" t="n">
        <v>46240</v>
      </c>
      <c r="C6862" s="1" t="n">
        <v>100</v>
      </c>
      <c r="D6862" s="1" t="s">
        <v>2457</v>
      </c>
      <c r="E6862" s="1" t="n">
        <v>42</v>
      </c>
      <c r="F6862" s="1" t="s">
        <v>80</v>
      </c>
      <c r="I6862" s="1" t="n">
        <v>1507915</v>
      </c>
      <c r="J6862" s="1" t="n">
        <v>100013</v>
      </c>
      <c r="K6862" s="1" t="n">
        <v>14</v>
      </c>
      <c r="L6862" s="1" t="s">
        <v>2442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5" t="n">
        <v>46240</v>
      </c>
      <c r="C6863" s="1" t="n">
        <v>100</v>
      </c>
      <c r="D6863" s="1" t="s">
        <v>2457</v>
      </c>
      <c r="E6863" s="1" t="n">
        <v>42</v>
      </c>
      <c r="F6863" s="1" t="s">
        <v>80</v>
      </c>
      <c r="I6863" s="1" t="n">
        <v>1507915</v>
      </c>
      <c r="J6863" s="1" t="n">
        <v>100014</v>
      </c>
      <c r="K6863" s="1" t="n">
        <v>15</v>
      </c>
      <c r="L6863" s="1" t="s">
        <v>2443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5" t="n">
        <v>46240</v>
      </c>
      <c r="C6864" s="1" t="n">
        <v>100</v>
      </c>
      <c r="D6864" s="1" t="s">
        <v>2457</v>
      </c>
      <c r="E6864" s="1" t="n">
        <v>42</v>
      </c>
      <c r="F6864" s="1" t="s">
        <v>80</v>
      </c>
      <c r="I6864" s="1" t="n">
        <v>1507915</v>
      </c>
      <c r="J6864" s="1" t="n">
        <v>100015</v>
      </c>
      <c r="K6864" s="1" t="n">
        <v>16</v>
      </c>
      <c r="L6864" s="1" t="s">
        <v>2444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5" t="n">
        <v>46240</v>
      </c>
      <c r="C6865" s="1" t="n">
        <v>100</v>
      </c>
      <c r="D6865" s="1" t="s">
        <v>2457</v>
      </c>
      <c r="E6865" s="1" t="n">
        <v>42</v>
      </c>
      <c r="F6865" s="1" t="s">
        <v>80</v>
      </c>
      <c r="I6865" s="1" t="n">
        <v>1507915</v>
      </c>
      <c r="J6865" s="1" t="n">
        <v>100016</v>
      </c>
      <c r="K6865" s="1" t="n">
        <v>17</v>
      </c>
      <c r="L6865" s="1" t="s">
        <v>2445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5" t="n">
        <v>46240</v>
      </c>
      <c r="C6866" s="1" t="n">
        <v>100</v>
      </c>
      <c r="D6866" s="1" t="s">
        <v>2457</v>
      </c>
      <c r="E6866" s="1" t="n">
        <v>42</v>
      </c>
      <c r="F6866" s="1" t="s">
        <v>80</v>
      </c>
      <c r="I6866" s="1" t="n">
        <v>1507915</v>
      </c>
      <c r="J6866" s="1" t="n">
        <v>100017</v>
      </c>
      <c r="K6866" s="1" t="n">
        <v>18</v>
      </c>
      <c r="L6866" s="1" t="s">
        <v>2446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5" t="n">
        <v>46240</v>
      </c>
      <c r="C6867" s="1" t="n">
        <v>100</v>
      </c>
      <c r="D6867" s="1" t="s">
        <v>2457</v>
      </c>
      <c r="E6867" s="1" t="n">
        <v>42</v>
      </c>
      <c r="F6867" s="1" t="s">
        <v>80</v>
      </c>
      <c r="I6867" s="1" t="n">
        <v>1507915</v>
      </c>
      <c r="J6867" s="1" t="n">
        <v>100019</v>
      </c>
      <c r="K6867" s="1" t="n">
        <v>20</v>
      </c>
      <c r="L6867" s="1" t="s">
        <v>4136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5" t="n">
        <v>46240</v>
      </c>
      <c r="C6868" s="1" t="n">
        <v>100</v>
      </c>
      <c r="D6868" s="1" t="s">
        <v>2457</v>
      </c>
      <c r="E6868" s="1" t="n">
        <v>42</v>
      </c>
      <c r="F6868" s="1" t="s">
        <v>80</v>
      </c>
      <c r="I6868" s="1" t="n">
        <v>1507915</v>
      </c>
      <c r="J6868" s="1" t="n">
        <v>100020</v>
      </c>
      <c r="K6868" s="1" t="n">
        <v>21</v>
      </c>
      <c r="L6868" s="1" t="s">
        <v>2456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5" t="n">
        <v>46240</v>
      </c>
      <c r="C6869" s="1" t="n">
        <v>100</v>
      </c>
      <c r="D6869" s="1" t="s">
        <v>2457</v>
      </c>
      <c r="E6869" s="1" t="n">
        <v>42</v>
      </c>
      <c r="F6869" s="1" t="s">
        <v>80</v>
      </c>
      <c r="I6869" s="1" t="n">
        <v>1507915</v>
      </c>
      <c r="J6869" s="1" t="n">
        <v>100057</v>
      </c>
      <c r="K6869" s="1" t="n">
        <v>58</v>
      </c>
      <c r="L6869" s="1" t="s">
        <v>4632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5" t="n">
        <v>46240</v>
      </c>
      <c r="C6870" s="1" t="n">
        <v>100</v>
      </c>
      <c r="D6870" s="1" t="s">
        <v>2457</v>
      </c>
      <c r="E6870" s="1" t="n">
        <v>42</v>
      </c>
      <c r="F6870" s="1" t="s">
        <v>80</v>
      </c>
      <c r="I6870" s="1" t="n">
        <v>1507915</v>
      </c>
      <c r="J6870" s="1" t="n">
        <v>100638</v>
      </c>
      <c r="K6870" s="1" t="n">
        <v>508</v>
      </c>
      <c r="L6870" s="1" t="s">
        <v>2448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5" t="n">
        <v>46240</v>
      </c>
      <c r="C6871" s="1" t="n">
        <v>100</v>
      </c>
      <c r="D6871" s="1" t="s">
        <v>2457</v>
      </c>
      <c r="E6871" s="1" t="n">
        <v>42</v>
      </c>
      <c r="F6871" s="1" t="s">
        <v>80</v>
      </c>
      <c r="I6871" s="1" t="n">
        <v>1507915</v>
      </c>
      <c r="J6871" s="1" t="n">
        <v>100520</v>
      </c>
      <c r="K6871" s="1" t="n">
        <v>507</v>
      </c>
      <c r="L6871" s="1" t="s">
        <v>2449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5" t="n">
        <v>46240</v>
      </c>
      <c r="C6872" s="1" t="n">
        <v>100</v>
      </c>
      <c r="D6872" s="1" t="s">
        <v>2457</v>
      </c>
      <c r="E6872" s="1" t="n">
        <v>42</v>
      </c>
      <c r="F6872" s="1" t="s">
        <v>80</v>
      </c>
      <c r="I6872" s="1" t="n">
        <v>1507915</v>
      </c>
      <c r="J6872" s="1" t="n">
        <v>110455</v>
      </c>
      <c r="K6872" s="1" t="n">
        <v>53212</v>
      </c>
      <c r="L6872" s="1" t="s">
        <v>2450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5" t="n">
        <v>46240</v>
      </c>
      <c r="C6873" s="1" t="n">
        <v>171</v>
      </c>
      <c r="D6873" s="1" t="s">
        <v>2517</v>
      </c>
      <c r="E6873" s="1" t="n">
        <v>1107</v>
      </c>
      <c r="F6873" s="1" t="s">
        <v>165</v>
      </c>
      <c r="I6873" s="1" t="n">
        <v>438336</v>
      </c>
      <c r="J6873" s="1" t="n">
        <v>36857</v>
      </c>
      <c r="K6873" s="1" t="n">
        <v>7891962064048</v>
      </c>
      <c r="L6873" s="1" t="s">
        <v>3748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5" t="n">
        <v>46241</v>
      </c>
      <c r="C6874" s="1" t="n">
        <v>1</v>
      </c>
      <c r="D6874" s="1" t="s">
        <v>2317</v>
      </c>
      <c r="E6874" s="1" t="n">
        <v>10035</v>
      </c>
      <c r="F6874" s="1" t="s">
        <v>227</v>
      </c>
      <c r="I6874" s="1" t="n">
        <v>394</v>
      </c>
      <c r="J6874" s="1" t="n">
        <v>38652</v>
      </c>
      <c r="K6874" s="1" t="n">
        <v>7898994684220</v>
      </c>
      <c r="L6874" s="1" t="s">
        <v>2458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5" t="n">
        <v>46241</v>
      </c>
      <c r="C6875" s="1" t="n">
        <v>1</v>
      </c>
      <c r="D6875" s="1" t="s">
        <v>2317</v>
      </c>
      <c r="E6875" s="1" t="n">
        <v>10035</v>
      </c>
      <c r="F6875" s="1" t="s">
        <v>227</v>
      </c>
      <c r="I6875" s="1" t="n">
        <v>394</v>
      </c>
      <c r="J6875" s="1" t="n">
        <v>38653</v>
      </c>
      <c r="K6875" s="1" t="n">
        <v>7898994684275</v>
      </c>
      <c r="L6875" s="1" t="s">
        <v>2459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5" t="n">
        <v>46241</v>
      </c>
      <c r="C6876" s="1" t="n">
        <v>6</v>
      </c>
      <c r="D6876" s="1" t="s">
        <v>2289</v>
      </c>
      <c r="E6876" s="1" t="n">
        <v>42</v>
      </c>
      <c r="F6876" s="1" t="s">
        <v>80</v>
      </c>
      <c r="I6876" s="1" t="n">
        <v>4469</v>
      </c>
      <c r="J6876" s="1" t="n">
        <v>37359</v>
      </c>
      <c r="K6876" s="1" t="n">
        <v>55526</v>
      </c>
      <c r="L6876" s="1" t="s">
        <v>2285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5" t="n">
        <v>46241</v>
      </c>
      <c r="C6877" s="1" t="n">
        <v>6</v>
      </c>
      <c r="D6877" s="1" t="s">
        <v>2289</v>
      </c>
      <c r="E6877" s="1" t="n">
        <v>42</v>
      </c>
      <c r="F6877" s="1" t="s">
        <v>80</v>
      </c>
      <c r="I6877" s="1" t="n">
        <v>4469</v>
      </c>
      <c r="J6877" s="1" t="n">
        <v>37361</v>
      </c>
      <c r="K6877" s="1" t="n">
        <v>2240817</v>
      </c>
      <c r="L6877" s="1" t="s">
        <v>2286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5" t="n">
        <v>46241</v>
      </c>
      <c r="C6878" s="1" t="n">
        <v>6</v>
      </c>
      <c r="D6878" s="1" t="s">
        <v>2289</v>
      </c>
      <c r="E6878" s="1" t="n">
        <v>42</v>
      </c>
      <c r="F6878" s="1" t="s">
        <v>80</v>
      </c>
      <c r="I6878" s="1" t="n">
        <v>4473</v>
      </c>
      <c r="J6878" s="1" t="n">
        <v>72679</v>
      </c>
      <c r="K6878" s="1" t="n">
        <v>246</v>
      </c>
      <c r="L6878" s="1" t="s">
        <v>2288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5" t="n">
        <v>46241</v>
      </c>
      <c r="C6879" s="1" t="n">
        <v>6</v>
      </c>
      <c r="D6879" s="1" t="s">
        <v>2289</v>
      </c>
      <c r="E6879" s="1" t="n">
        <v>42</v>
      </c>
      <c r="F6879" s="1" t="s">
        <v>80</v>
      </c>
      <c r="I6879" s="1" t="n">
        <v>4474</v>
      </c>
      <c r="J6879" s="1" t="n">
        <v>100062</v>
      </c>
      <c r="K6879" s="1" t="n">
        <v>63</v>
      </c>
      <c r="L6879" s="1" t="s">
        <v>2320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5" t="n">
        <v>46241</v>
      </c>
      <c r="C6880" s="1" t="n">
        <v>6</v>
      </c>
      <c r="D6880" s="1" t="s">
        <v>2289</v>
      </c>
      <c r="E6880" s="1" t="n">
        <v>42</v>
      </c>
      <c r="F6880" s="1" t="s">
        <v>80</v>
      </c>
      <c r="I6880" s="1" t="n">
        <v>4474</v>
      </c>
      <c r="J6880" s="1" t="n">
        <v>100104</v>
      </c>
      <c r="K6880" s="1" t="n">
        <v>105</v>
      </c>
      <c r="L6880" s="1" t="s">
        <v>2321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5" t="n">
        <v>46241</v>
      </c>
      <c r="C6881" s="1" t="n">
        <v>6</v>
      </c>
      <c r="D6881" s="1" t="s">
        <v>2289</v>
      </c>
      <c r="E6881" s="1" t="n">
        <v>42</v>
      </c>
      <c r="F6881" s="1" t="s">
        <v>80</v>
      </c>
      <c r="I6881" s="1" t="n">
        <v>4474</v>
      </c>
      <c r="J6881" s="1" t="n">
        <v>100105</v>
      </c>
      <c r="K6881" s="1" t="n">
        <v>106</v>
      </c>
      <c r="L6881" s="1" t="s">
        <v>2322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5" t="n">
        <v>46241</v>
      </c>
      <c r="C6882" s="1" t="n">
        <v>6</v>
      </c>
      <c r="D6882" s="1" t="s">
        <v>2289</v>
      </c>
      <c r="E6882" s="1" t="n">
        <v>42</v>
      </c>
      <c r="F6882" s="1" t="s">
        <v>80</v>
      </c>
      <c r="I6882" s="1" t="n">
        <v>4474</v>
      </c>
      <c r="J6882" s="1" t="n">
        <v>100107</v>
      </c>
      <c r="K6882" s="1" t="n">
        <v>108</v>
      </c>
      <c r="L6882" s="1" t="s">
        <v>2323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5" t="n">
        <v>46241</v>
      </c>
      <c r="C6883" s="1" t="n">
        <v>6</v>
      </c>
      <c r="D6883" s="1" t="s">
        <v>2289</v>
      </c>
      <c r="E6883" s="1" t="n">
        <v>42</v>
      </c>
      <c r="F6883" s="1" t="s">
        <v>80</v>
      </c>
      <c r="I6883" s="1" t="n">
        <v>4474</v>
      </c>
      <c r="J6883" s="1" t="n">
        <v>100109</v>
      </c>
      <c r="K6883" s="1" t="n">
        <v>110</v>
      </c>
      <c r="L6883" s="1" t="s">
        <v>2324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5" t="n">
        <v>46241</v>
      </c>
      <c r="C6884" s="1" t="n">
        <v>6</v>
      </c>
      <c r="D6884" s="1" t="s">
        <v>2289</v>
      </c>
      <c r="E6884" s="1" t="n">
        <v>42</v>
      </c>
      <c r="F6884" s="1" t="s">
        <v>80</v>
      </c>
      <c r="I6884" s="1" t="n">
        <v>4474</v>
      </c>
      <c r="J6884" s="1" t="n">
        <v>100110</v>
      </c>
      <c r="K6884" s="1" t="n">
        <v>111</v>
      </c>
      <c r="L6884" s="1" t="s">
        <v>2473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5" t="n">
        <v>46241</v>
      </c>
      <c r="C6885" s="1" t="n">
        <v>6</v>
      </c>
      <c r="D6885" s="1" t="s">
        <v>2289</v>
      </c>
      <c r="E6885" s="1" t="n">
        <v>42</v>
      </c>
      <c r="F6885" s="1" t="s">
        <v>80</v>
      </c>
      <c r="I6885" s="1" t="n">
        <v>4474</v>
      </c>
      <c r="J6885" s="1" t="n">
        <v>100113</v>
      </c>
      <c r="K6885" s="1" t="n">
        <v>114</v>
      </c>
      <c r="L6885" s="1" t="s">
        <v>2326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5" t="n">
        <v>46241</v>
      </c>
      <c r="C6886" s="1" t="n">
        <v>6</v>
      </c>
      <c r="D6886" s="1" t="s">
        <v>2289</v>
      </c>
      <c r="E6886" s="1" t="n">
        <v>42</v>
      </c>
      <c r="F6886" s="1" t="s">
        <v>80</v>
      </c>
      <c r="I6886" s="1" t="n">
        <v>4474</v>
      </c>
      <c r="J6886" s="1" t="n">
        <v>100115</v>
      </c>
      <c r="K6886" s="1" t="n">
        <v>116</v>
      </c>
      <c r="L6886" s="1" t="s">
        <v>2474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5" t="n">
        <v>46241</v>
      </c>
      <c r="C6887" s="1" t="n">
        <v>6</v>
      </c>
      <c r="D6887" s="1" t="s">
        <v>2289</v>
      </c>
      <c r="E6887" s="1" t="n">
        <v>42</v>
      </c>
      <c r="F6887" s="1" t="s">
        <v>80</v>
      </c>
      <c r="I6887" s="1" t="n">
        <v>4474</v>
      </c>
      <c r="J6887" s="1" t="n">
        <v>100116</v>
      </c>
      <c r="K6887" s="1" t="n">
        <v>117</v>
      </c>
      <c r="L6887" s="1" t="s">
        <v>2327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5" t="n">
        <v>46241</v>
      </c>
      <c r="C6888" s="1" t="n">
        <v>6</v>
      </c>
      <c r="D6888" s="1" t="s">
        <v>2289</v>
      </c>
      <c r="E6888" s="1" t="n">
        <v>42</v>
      </c>
      <c r="F6888" s="1" t="s">
        <v>80</v>
      </c>
      <c r="I6888" s="1" t="n">
        <v>4474</v>
      </c>
      <c r="J6888" s="1" t="n">
        <v>100118</v>
      </c>
      <c r="K6888" s="1" t="n">
        <v>119</v>
      </c>
      <c r="L6888" s="1" t="s">
        <v>2328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5" t="n">
        <v>46241</v>
      </c>
      <c r="C6889" s="1" t="n">
        <v>6</v>
      </c>
      <c r="D6889" s="1" t="s">
        <v>2289</v>
      </c>
      <c r="E6889" s="1" t="n">
        <v>42</v>
      </c>
      <c r="F6889" s="1" t="s">
        <v>80</v>
      </c>
      <c r="I6889" s="1" t="n">
        <v>4474</v>
      </c>
      <c r="J6889" s="1" t="n">
        <v>100121</v>
      </c>
      <c r="K6889" s="1" t="n">
        <v>122</v>
      </c>
      <c r="L6889" s="1" t="s">
        <v>2329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5" t="n">
        <v>46241</v>
      </c>
      <c r="C6890" s="1" t="n">
        <v>6</v>
      </c>
      <c r="D6890" s="1" t="s">
        <v>2289</v>
      </c>
      <c r="E6890" s="1" t="n">
        <v>42</v>
      </c>
      <c r="F6890" s="1" t="s">
        <v>80</v>
      </c>
      <c r="I6890" s="1" t="n">
        <v>4474</v>
      </c>
      <c r="J6890" s="1" t="n">
        <v>100122</v>
      </c>
      <c r="K6890" s="1" t="n">
        <v>123</v>
      </c>
      <c r="L6890" s="1" t="s">
        <v>2330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5" t="n">
        <v>46241</v>
      </c>
      <c r="C6891" s="1" t="n">
        <v>6</v>
      </c>
      <c r="D6891" s="1" t="s">
        <v>2289</v>
      </c>
      <c r="E6891" s="1" t="n">
        <v>42</v>
      </c>
      <c r="F6891" s="1" t="s">
        <v>80</v>
      </c>
      <c r="I6891" s="1" t="n">
        <v>4474</v>
      </c>
      <c r="J6891" s="1" t="n">
        <v>100123</v>
      </c>
      <c r="K6891" s="1" t="n">
        <v>124</v>
      </c>
      <c r="L6891" s="1" t="s">
        <v>2475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5" t="n">
        <v>46241</v>
      </c>
      <c r="C6892" s="1" t="n">
        <v>6</v>
      </c>
      <c r="D6892" s="1" t="s">
        <v>2289</v>
      </c>
      <c r="E6892" s="1" t="n">
        <v>42</v>
      </c>
      <c r="F6892" s="1" t="s">
        <v>80</v>
      </c>
      <c r="I6892" s="1" t="n">
        <v>4474</v>
      </c>
      <c r="J6892" s="1" t="n">
        <v>100124</v>
      </c>
      <c r="K6892" s="1" t="n">
        <v>125</v>
      </c>
      <c r="L6892" s="1" t="s">
        <v>2476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5" t="n">
        <v>46241</v>
      </c>
      <c r="C6893" s="1" t="n">
        <v>6</v>
      </c>
      <c r="D6893" s="1" t="s">
        <v>2289</v>
      </c>
      <c r="E6893" s="1" t="n">
        <v>42</v>
      </c>
      <c r="F6893" s="1" t="s">
        <v>80</v>
      </c>
      <c r="I6893" s="1" t="n">
        <v>4474</v>
      </c>
      <c r="J6893" s="1" t="n">
        <v>100133</v>
      </c>
      <c r="K6893" s="1" t="n">
        <v>134</v>
      </c>
      <c r="L6893" s="1" t="s">
        <v>2332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5" t="n">
        <v>46241</v>
      </c>
      <c r="C6894" s="1" t="n">
        <v>6</v>
      </c>
      <c r="D6894" s="1" t="s">
        <v>2289</v>
      </c>
      <c r="E6894" s="1" t="n">
        <v>42</v>
      </c>
      <c r="F6894" s="1" t="s">
        <v>80</v>
      </c>
      <c r="I6894" s="1" t="n">
        <v>4474</v>
      </c>
      <c r="J6894" s="1" t="n">
        <v>100138</v>
      </c>
      <c r="K6894" s="1" t="n">
        <v>139</v>
      </c>
      <c r="L6894" s="1" t="s">
        <v>2333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5" t="n">
        <v>46241</v>
      </c>
      <c r="C6895" s="1" t="n">
        <v>6</v>
      </c>
      <c r="D6895" s="1" t="s">
        <v>2289</v>
      </c>
      <c r="E6895" s="1" t="n">
        <v>42</v>
      </c>
      <c r="F6895" s="1" t="s">
        <v>80</v>
      </c>
      <c r="I6895" s="1" t="n">
        <v>4474</v>
      </c>
      <c r="J6895" s="1" t="n">
        <v>100148</v>
      </c>
      <c r="K6895" s="1" t="n">
        <v>149</v>
      </c>
      <c r="L6895" s="1" t="s">
        <v>2676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5" t="n">
        <v>46241</v>
      </c>
      <c r="C6896" s="1" t="n">
        <v>6</v>
      </c>
      <c r="D6896" s="1" t="s">
        <v>2289</v>
      </c>
      <c r="E6896" s="1" t="n">
        <v>42</v>
      </c>
      <c r="F6896" s="1" t="s">
        <v>80</v>
      </c>
      <c r="I6896" s="1" t="n">
        <v>4474</v>
      </c>
      <c r="J6896" s="1" t="n">
        <v>110142</v>
      </c>
      <c r="K6896" s="1" t="n">
        <v>16699</v>
      </c>
      <c r="L6896" s="1" t="s">
        <v>2334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5" t="n">
        <v>46241</v>
      </c>
      <c r="C6897" s="1" t="n">
        <v>6</v>
      </c>
      <c r="D6897" s="1" t="s">
        <v>2289</v>
      </c>
      <c r="E6897" s="1" t="n">
        <v>42</v>
      </c>
      <c r="F6897" s="1" t="s">
        <v>80</v>
      </c>
      <c r="I6897" s="1" t="n">
        <v>4474</v>
      </c>
      <c r="J6897" s="1" t="n">
        <v>37363</v>
      </c>
      <c r="K6897" s="1" t="n">
        <v>55528</v>
      </c>
      <c r="L6897" s="1" t="s">
        <v>4279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5" t="n">
        <v>46241</v>
      </c>
      <c r="C6898" s="1" t="n">
        <v>6</v>
      </c>
      <c r="D6898" s="1" t="s">
        <v>2289</v>
      </c>
      <c r="E6898" s="1" t="n">
        <v>42</v>
      </c>
      <c r="F6898" s="1" t="s">
        <v>80</v>
      </c>
      <c r="I6898" s="1" t="n">
        <v>4474</v>
      </c>
      <c r="J6898" s="1" t="n">
        <v>110265</v>
      </c>
      <c r="K6898" s="1" t="n">
        <v>41346</v>
      </c>
      <c r="L6898" s="1" t="s">
        <v>2478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5" t="n">
        <v>46241</v>
      </c>
      <c r="C6899" s="1" t="n">
        <v>11</v>
      </c>
      <c r="D6899" s="1" t="s">
        <v>2290</v>
      </c>
      <c r="E6899" s="1" t="n">
        <v>1828</v>
      </c>
      <c r="F6899" s="1" t="s">
        <v>278</v>
      </c>
      <c r="I6899" s="1" t="n">
        <v>1420</v>
      </c>
      <c r="J6899" s="1" t="n">
        <v>14247</v>
      </c>
      <c r="K6899" s="1" t="n">
        <v>2229416</v>
      </c>
      <c r="L6899" s="1" t="s">
        <v>2747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5" t="n">
        <v>46241</v>
      </c>
      <c r="C6900" s="1" t="n">
        <v>11</v>
      </c>
      <c r="D6900" s="1" t="s">
        <v>2290</v>
      </c>
      <c r="E6900" s="1" t="n">
        <v>1828</v>
      </c>
      <c r="F6900" s="1" t="s">
        <v>278</v>
      </c>
      <c r="I6900" s="1" t="n">
        <v>1420</v>
      </c>
      <c r="J6900" s="1" t="n">
        <v>14248</v>
      </c>
      <c r="K6900" s="1" t="n">
        <v>2229423</v>
      </c>
      <c r="L6900" s="1" t="s">
        <v>2748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5" t="n">
        <v>46241</v>
      </c>
      <c r="C6901" s="1" t="n">
        <v>11</v>
      </c>
      <c r="D6901" s="1" t="s">
        <v>2290</v>
      </c>
      <c r="E6901" s="1" t="n">
        <v>1828</v>
      </c>
      <c r="F6901" s="1" t="s">
        <v>278</v>
      </c>
      <c r="I6901" s="1" t="n">
        <v>1420</v>
      </c>
      <c r="J6901" s="1" t="n">
        <v>20541</v>
      </c>
      <c r="K6901" s="1" t="n">
        <v>2232829</v>
      </c>
      <c r="L6901" s="1" t="s">
        <v>2749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5" t="n">
        <v>46241</v>
      </c>
      <c r="C6902" s="1" t="n">
        <v>11</v>
      </c>
      <c r="D6902" s="1" t="s">
        <v>2290</v>
      </c>
      <c r="E6902" s="1" t="n">
        <v>10063</v>
      </c>
      <c r="F6902" s="1" t="s">
        <v>218</v>
      </c>
      <c r="I6902" s="1" t="n">
        <v>2676</v>
      </c>
      <c r="J6902" s="1" t="n">
        <v>100174</v>
      </c>
      <c r="K6902" s="1" t="n">
        <v>7898141930286</v>
      </c>
      <c r="L6902" s="1" t="s">
        <v>2519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5" t="n">
        <v>46241</v>
      </c>
      <c r="C6903" s="1" t="n">
        <v>11</v>
      </c>
      <c r="D6903" s="1" t="s">
        <v>2290</v>
      </c>
      <c r="E6903" s="1" t="n">
        <v>10063</v>
      </c>
      <c r="F6903" s="1" t="s">
        <v>218</v>
      </c>
      <c r="I6903" s="1" t="n">
        <v>2676</v>
      </c>
      <c r="J6903" s="1" t="n">
        <v>100933</v>
      </c>
      <c r="K6903" s="1" t="n">
        <v>7896982100059</v>
      </c>
      <c r="L6903" s="1" t="s">
        <v>2520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5" t="n">
        <v>46241</v>
      </c>
      <c r="C6904" s="1" t="n">
        <v>11</v>
      </c>
      <c r="D6904" s="1" t="s">
        <v>2290</v>
      </c>
      <c r="E6904" s="1" t="n">
        <v>1136</v>
      </c>
      <c r="F6904" s="1" t="s">
        <v>693</v>
      </c>
      <c r="I6904" s="1" t="n">
        <v>53548</v>
      </c>
      <c r="J6904" s="1" t="n">
        <v>73389</v>
      </c>
      <c r="K6904" s="1" t="n">
        <v>6945034226979</v>
      </c>
      <c r="L6904" s="1" t="s">
        <v>4633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5" t="n">
        <v>46241</v>
      </c>
      <c r="C6905" s="1" t="n">
        <v>11</v>
      </c>
      <c r="D6905" s="1" t="s">
        <v>2290</v>
      </c>
      <c r="E6905" s="1" t="n">
        <v>1136</v>
      </c>
      <c r="F6905" s="1" t="s">
        <v>693</v>
      </c>
      <c r="I6905" s="1" t="n">
        <v>53548</v>
      </c>
      <c r="J6905" s="1" t="n">
        <v>102960</v>
      </c>
      <c r="K6905" s="1" t="n">
        <v>7896221400087</v>
      </c>
      <c r="L6905" s="1" t="s">
        <v>2930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5" t="n">
        <v>46241</v>
      </c>
      <c r="C6906" s="1" t="n">
        <v>11</v>
      </c>
      <c r="D6906" s="1" t="s">
        <v>2290</v>
      </c>
      <c r="E6906" s="1" t="n">
        <v>1136</v>
      </c>
      <c r="F6906" s="1" t="s">
        <v>693</v>
      </c>
      <c r="I6906" s="1" t="n">
        <v>53548</v>
      </c>
      <c r="J6906" s="1" t="n">
        <v>103920</v>
      </c>
      <c r="K6906" s="1" t="n">
        <v>7896221400025</v>
      </c>
      <c r="L6906" s="1" t="s">
        <v>2931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5" t="n">
        <v>46241</v>
      </c>
      <c r="C6907" s="1" t="n">
        <v>11</v>
      </c>
      <c r="D6907" s="1" t="s">
        <v>2290</v>
      </c>
      <c r="E6907" s="1" t="n">
        <v>1136</v>
      </c>
      <c r="F6907" s="1" t="s">
        <v>693</v>
      </c>
      <c r="I6907" s="1" t="n">
        <v>53548</v>
      </c>
      <c r="J6907" s="1" t="n">
        <v>103992</v>
      </c>
      <c r="K6907" s="1" t="n">
        <v>7896221400018</v>
      </c>
      <c r="L6907" s="1" t="s">
        <v>2932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5" t="n">
        <v>46241</v>
      </c>
      <c r="C6908" s="1" t="n">
        <v>11</v>
      </c>
      <c r="D6908" s="1" t="s">
        <v>2290</v>
      </c>
      <c r="E6908" s="1" t="n">
        <v>1136</v>
      </c>
      <c r="F6908" s="1" t="s">
        <v>693</v>
      </c>
      <c r="I6908" s="1" t="n">
        <v>53548</v>
      </c>
      <c r="J6908" s="1" t="n">
        <v>103995</v>
      </c>
      <c r="K6908" s="1" t="n">
        <v>7896221400483</v>
      </c>
      <c r="L6908" s="1" t="s">
        <v>2933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5" t="n">
        <v>46241</v>
      </c>
      <c r="C6909" s="1" t="n">
        <v>11</v>
      </c>
      <c r="D6909" s="1" t="s">
        <v>2290</v>
      </c>
      <c r="E6909" s="1" t="n">
        <v>1136</v>
      </c>
      <c r="F6909" s="1" t="s">
        <v>693</v>
      </c>
      <c r="I6909" s="1" t="n">
        <v>53548</v>
      </c>
      <c r="J6909" s="1" t="n">
        <v>104526</v>
      </c>
      <c r="K6909" s="1" t="n">
        <v>7896067200162</v>
      </c>
      <c r="L6909" s="1" t="s">
        <v>4634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5" t="n">
        <v>46241</v>
      </c>
      <c r="C6910" s="1" t="n">
        <v>11</v>
      </c>
      <c r="D6910" s="1" t="s">
        <v>2290</v>
      </c>
      <c r="E6910" s="1" t="n">
        <v>1136</v>
      </c>
      <c r="F6910" s="1" t="s">
        <v>693</v>
      </c>
      <c r="I6910" s="1" t="n">
        <v>53548</v>
      </c>
      <c r="J6910" s="1" t="n">
        <v>106160</v>
      </c>
      <c r="K6910" s="1" t="n">
        <v>7896067200186</v>
      </c>
      <c r="L6910" s="1" t="s">
        <v>4634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5" t="n">
        <v>46241</v>
      </c>
      <c r="C6911" s="1" t="n">
        <v>11</v>
      </c>
      <c r="D6911" s="1" t="s">
        <v>2290</v>
      </c>
      <c r="E6911" s="1" t="n">
        <v>1136</v>
      </c>
      <c r="F6911" s="1" t="s">
        <v>693</v>
      </c>
      <c r="I6911" s="1" t="n">
        <v>53548</v>
      </c>
      <c r="J6911" s="1" t="n">
        <v>16613</v>
      </c>
      <c r="K6911" s="1" t="n">
        <v>7896221400605</v>
      </c>
      <c r="L6911" s="1" t="s">
        <v>2936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5" t="n">
        <v>46241</v>
      </c>
      <c r="C6912" s="1" t="n">
        <v>11</v>
      </c>
      <c r="D6912" s="1" t="s">
        <v>2290</v>
      </c>
      <c r="E6912" s="1" t="n">
        <v>1136</v>
      </c>
      <c r="F6912" s="1" t="s">
        <v>693</v>
      </c>
      <c r="I6912" s="1" t="n">
        <v>53548</v>
      </c>
      <c r="J6912" s="1" t="n">
        <v>17725</v>
      </c>
      <c r="K6912" s="1" t="n">
        <v>7896221401749</v>
      </c>
      <c r="L6912" s="1" t="s">
        <v>2937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5" t="n">
        <v>46241</v>
      </c>
      <c r="C6913" s="1" t="n">
        <v>11</v>
      </c>
      <c r="D6913" s="1" t="s">
        <v>2290</v>
      </c>
      <c r="E6913" s="1" t="n">
        <v>1136</v>
      </c>
      <c r="F6913" s="1" t="s">
        <v>693</v>
      </c>
      <c r="I6913" s="1" t="n">
        <v>53548</v>
      </c>
      <c r="J6913" s="1" t="n">
        <v>29863</v>
      </c>
      <c r="K6913" s="1" t="n">
        <v>7896221402456</v>
      </c>
      <c r="L6913" s="1" t="s">
        <v>2942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5" t="n">
        <v>46241</v>
      </c>
      <c r="C6914" s="1" t="n">
        <v>11</v>
      </c>
      <c r="D6914" s="1" t="s">
        <v>2290</v>
      </c>
      <c r="E6914" s="1" t="n">
        <v>1136</v>
      </c>
      <c r="F6914" s="1" t="s">
        <v>693</v>
      </c>
      <c r="I6914" s="1" t="n">
        <v>53548</v>
      </c>
      <c r="J6914" s="1" t="n">
        <v>31006</v>
      </c>
      <c r="K6914" s="1" t="n">
        <v>7896221402357</v>
      </c>
      <c r="L6914" s="1" t="s">
        <v>2943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5" t="n">
        <v>46241</v>
      </c>
      <c r="C6915" s="1" t="n">
        <v>11</v>
      </c>
      <c r="D6915" s="1" t="s">
        <v>2290</v>
      </c>
      <c r="E6915" s="1" t="n">
        <v>1136</v>
      </c>
      <c r="F6915" s="1" t="s">
        <v>693</v>
      </c>
      <c r="I6915" s="1" t="n">
        <v>53548</v>
      </c>
      <c r="J6915" s="1" t="n">
        <v>39154</v>
      </c>
      <c r="K6915" s="1" t="n">
        <v>7896221400490</v>
      </c>
      <c r="L6915" s="1" t="s">
        <v>4039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5" t="n">
        <v>46241</v>
      </c>
      <c r="C6916" s="1" t="n">
        <v>11</v>
      </c>
      <c r="D6916" s="1" t="s">
        <v>2290</v>
      </c>
      <c r="E6916" s="1" t="n">
        <v>1136</v>
      </c>
      <c r="F6916" s="1" t="s">
        <v>693</v>
      </c>
      <c r="I6916" s="1" t="n">
        <v>53548</v>
      </c>
      <c r="J6916" s="1" t="n">
        <v>40980</v>
      </c>
      <c r="K6916" s="1" t="n">
        <v>7896221402586</v>
      </c>
      <c r="L6916" s="1" t="s">
        <v>2946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5" t="n">
        <v>46241</v>
      </c>
      <c r="C6917" s="1" t="n">
        <v>11</v>
      </c>
      <c r="D6917" s="1" t="s">
        <v>2290</v>
      </c>
      <c r="E6917" s="1" t="n">
        <v>1136</v>
      </c>
      <c r="F6917" s="1" t="s">
        <v>693</v>
      </c>
      <c r="I6917" s="1" t="n">
        <v>53548</v>
      </c>
      <c r="J6917" s="1" t="n">
        <v>42414</v>
      </c>
      <c r="K6917" s="1" t="n">
        <v>7896221400506</v>
      </c>
      <c r="L6917" s="1" t="s">
        <v>2947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5" t="n">
        <v>46241</v>
      </c>
      <c r="C6918" s="1" t="n">
        <v>11</v>
      </c>
      <c r="D6918" s="1" t="s">
        <v>2290</v>
      </c>
      <c r="E6918" s="1" t="n">
        <v>1136</v>
      </c>
      <c r="F6918" s="1" t="s">
        <v>693</v>
      </c>
      <c r="I6918" s="1" t="n">
        <v>53548</v>
      </c>
      <c r="J6918" s="1" t="n">
        <v>79750</v>
      </c>
      <c r="K6918" s="1" t="n">
        <v>6945034226962</v>
      </c>
      <c r="L6918" s="1" t="s">
        <v>2948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5" t="n">
        <v>46241</v>
      </c>
      <c r="C6919" s="1" t="n">
        <v>11</v>
      </c>
      <c r="D6919" s="1" t="s">
        <v>2290</v>
      </c>
      <c r="E6919" s="1" t="n">
        <v>1136</v>
      </c>
      <c r="F6919" s="1" t="s">
        <v>693</v>
      </c>
      <c r="I6919" s="1" t="n">
        <v>53548</v>
      </c>
      <c r="J6919" s="1" t="n">
        <v>81369</v>
      </c>
      <c r="K6919" s="1" t="n">
        <v>6222001566079</v>
      </c>
      <c r="L6919" s="1" t="s">
        <v>2949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5" t="n">
        <v>46241</v>
      </c>
      <c r="C6920" s="1" t="n">
        <v>11</v>
      </c>
      <c r="D6920" s="1" t="s">
        <v>2290</v>
      </c>
      <c r="E6920" s="1" t="n">
        <v>1136</v>
      </c>
      <c r="F6920" s="1" t="s">
        <v>693</v>
      </c>
      <c r="I6920" s="1" t="n">
        <v>53548</v>
      </c>
      <c r="J6920" s="1" t="n">
        <v>82024</v>
      </c>
      <c r="K6920" s="1" t="n">
        <v>6945034226986</v>
      </c>
      <c r="L6920" s="1" t="s">
        <v>4635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5" t="n">
        <v>46241</v>
      </c>
      <c r="C6921" s="1" t="n">
        <v>11</v>
      </c>
      <c r="D6921" s="1" t="s">
        <v>2290</v>
      </c>
      <c r="E6921" s="1" t="n">
        <v>1136</v>
      </c>
      <c r="F6921" s="1" t="s">
        <v>693</v>
      </c>
      <c r="I6921" s="1" t="n">
        <v>53548</v>
      </c>
      <c r="J6921" s="1" t="n">
        <v>82025</v>
      </c>
      <c r="K6921" s="1" t="n">
        <v>6222001566086</v>
      </c>
      <c r="L6921" s="1" t="s">
        <v>4636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5" t="n">
        <v>46241</v>
      </c>
      <c r="C6922" s="1" t="n">
        <v>11</v>
      </c>
      <c r="D6922" s="1" t="s">
        <v>2290</v>
      </c>
      <c r="E6922" s="1" t="n">
        <v>1701</v>
      </c>
      <c r="F6922" s="1" t="s">
        <v>1263</v>
      </c>
      <c r="I6922" s="1" t="n">
        <v>143793</v>
      </c>
      <c r="J6922" s="1" t="n">
        <v>20913</v>
      </c>
      <c r="K6922" s="1" t="n">
        <v>7896248500326</v>
      </c>
      <c r="L6922" s="1" t="s">
        <v>3796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5" t="n">
        <v>46241</v>
      </c>
      <c r="C6923" s="1" t="n">
        <v>11</v>
      </c>
      <c r="D6923" s="1" t="s">
        <v>2290</v>
      </c>
      <c r="E6923" s="1" t="n">
        <v>1701</v>
      </c>
      <c r="F6923" s="1" t="s">
        <v>1263</v>
      </c>
      <c r="I6923" s="1" t="n">
        <v>143793</v>
      </c>
      <c r="J6923" s="1" t="n">
        <v>24192</v>
      </c>
      <c r="K6923" s="1" t="n">
        <v>7896248500319</v>
      </c>
      <c r="L6923" s="1" t="s">
        <v>3797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5" t="n">
        <v>46241</v>
      </c>
      <c r="C6924" s="1" t="n">
        <v>11</v>
      </c>
      <c r="D6924" s="1" t="s">
        <v>2290</v>
      </c>
      <c r="E6924" s="1" t="n">
        <v>1723</v>
      </c>
      <c r="F6924" s="1" t="s">
        <v>76</v>
      </c>
      <c r="I6924" s="1" t="n">
        <v>174443</v>
      </c>
      <c r="J6924" s="1" t="n">
        <v>29080</v>
      </c>
      <c r="K6924" s="1" t="n">
        <v>55516</v>
      </c>
      <c r="L6924" s="1" t="s">
        <v>2362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5" t="n">
        <v>46241</v>
      </c>
      <c r="C6925" s="1" t="n">
        <v>11</v>
      </c>
      <c r="D6925" s="1" t="s">
        <v>2290</v>
      </c>
      <c r="E6925" s="1" t="n">
        <v>1723</v>
      </c>
      <c r="F6925" s="1" t="s">
        <v>76</v>
      </c>
      <c r="I6925" s="1" t="n">
        <v>174518</v>
      </c>
      <c r="J6925" s="1" t="n">
        <v>29079</v>
      </c>
      <c r="K6925" s="1" t="n">
        <v>55515</v>
      </c>
      <c r="L6925" s="1" t="s">
        <v>2360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5" t="n">
        <v>46241</v>
      </c>
      <c r="C6926" s="1" t="n">
        <v>11</v>
      </c>
      <c r="D6926" s="1" t="s">
        <v>2290</v>
      </c>
      <c r="E6926" s="1" t="n">
        <v>1723</v>
      </c>
      <c r="F6926" s="1" t="s">
        <v>76</v>
      </c>
      <c r="I6926" s="1" t="n">
        <v>174518</v>
      </c>
      <c r="J6926" s="1" t="n">
        <v>29080</v>
      </c>
      <c r="K6926" s="1" t="n">
        <v>55516</v>
      </c>
      <c r="L6926" s="1" t="s">
        <v>2362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5" t="n">
        <v>46241</v>
      </c>
      <c r="C6927" s="1" t="n">
        <v>11</v>
      </c>
      <c r="D6927" s="1" t="s">
        <v>2290</v>
      </c>
      <c r="E6927" s="1" t="n">
        <v>1699</v>
      </c>
      <c r="F6927" s="1" t="s">
        <v>60</v>
      </c>
      <c r="I6927" s="1" t="n">
        <v>310154</v>
      </c>
      <c r="J6927" s="1" t="n">
        <v>102448</v>
      </c>
      <c r="K6927" s="1" t="n">
        <v>7896037514701</v>
      </c>
      <c r="L6927" s="1" t="s">
        <v>4637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5" t="n">
        <v>46241</v>
      </c>
      <c r="C6928" s="1" t="n">
        <v>11</v>
      </c>
      <c r="D6928" s="1" t="s">
        <v>2290</v>
      </c>
      <c r="E6928" s="1" t="n">
        <v>1699</v>
      </c>
      <c r="F6928" s="1" t="s">
        <v>60</v>
      </c>
      <c r="I6928" s="1" t="n">
        <v>310154</v>
      </c>
      <c r="J6928" s="1" t="n">
        <v>102457</v>
      </c>
      <c r="K6928" s="1" t="n">
        <v>7896031253347</v>
      </c>
      <c r="L6928" s="1" t="s">
        <v>2797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5" t="n">
        <v>46241</v>
      </c>
      <c r="C6929" s="1" t="n">
        <v>11</v>
      </c>
      <c r="D6929" s="1" t="s">
        <v>2290</v>
      </c>
      <c r="E6929" s="1" t="n">
        <v>1699</v>
      </c>
      <c r="F6929" s="1" t="s">
        <v>60</v>
      </c>
      <c r="I6929" s="1" t="n">
        <v>310154</v>
      </c>
      <c r="J6929" s="1" t="n">
        <v>105668</v>
      </c>
      <c r="K6929" s="1" t="n">
        <v>7896547500126</v>
      </c>
      <c r="L6929" s="1" t="s">
        <v>2798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5" t="n">
        <v>46241</v>
      </c>
      <c r="C6930" s="1" t="n">
        <v>11</v>
      </c>
      <c r="D6930" s="1" t="s">
        <v>2290</v>
      </c>
      <c r="E6930" s="1" t="n">
        <v>1699</v>
      </c>
      <c r="F6930" s="1" t="s">
        <v>60</v>
      </c>
      <c r="I6930" s="1" t="n">
        <v>310154</v>
      </c>
      <c r="J6930" s="1" t="n">
        <v>24516</v>
      </c>
      <c r="K6930" s="1" t="n">
        <v>7791293032443</v>
      </c>
      <c r="L6930" s="1" t="s">
        <v>4422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5" t="n">
        <v>46241</v>
      </c>
      <c r="C6931" s="1" t="n">
        <v>11</v>
      </c>
      <c r="D6931" s="1" t="s">
        <v>2290</v>
      </c>
      <c r="E6931" s="1" t="n">
        <v>1699</v>
      </c>
      <c r="F6931" s="1" t="s">
        <v>60</v>
      </c>
      <c r="I6931" s="1" t="n">
        <v>310154</v>
      </c>
      <c r="J6931" s="1" t="n">
        <v>27793</v>
      </c>
      <c r="K6931" s="1" t="n">
        <v>7791293032498</v>
      </c>
      <c r="L6931" s="1" t="s">
        <v>4638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5" t="n">
        <v>46241</v>
      </c>
      <c r="C6932" s="1" t="n">
        <v>11</v>
      </c>
      <c r="D6932" s="1" t="s">
        <v>2290</v>
      </c>
      <c r="E6932" s="1" t="n">
        <v>1699</v>
      </c>
      <c r="F6932" s="1" t="s">
        <v>60</v>
      </c>
      <c r="I6932" s="1" t="n">
        <v>310154</v>
      </c>
      <c r="J6932" s="1" t="n">
        <v>29846</v>
      </c>
      <c r="K6932" s="1" t="n">
        <v>7891097102059</v>
      </c>
      <c r="L6932" s="1" t="s">
        <v>3843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5" t="n">
        <v>46241</v>
      </c>
      <c r="C6933" s="1" t="n">
        <v>11</v>
      </c>
      <c r="D6933" s="1" t="s">
        <v>2290</v>
      </c>
      <c r="E6933" s="1" t="n">
        <v>1699</v>
      </c>
      <c r="F6933" s="1" t="s">
        <v>60</v>
      </c>
      <c r="I6933" s="1" t="n">
        <v>310154</v>
      </c>
      <c r="J6933" s="1" t="n">
        <v>35098</v>
      </c>
      <c r="K6933" s="1" t="n">
        <v>7899567247309</v>
      </c>
      <c r="L6933" s="1" t="s">
        <v>2813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5" t="n">
        <v>46241</v>
      </c>
      <c r="C6934" s="1" t="n">
        <v>11</v>
      </c>
      <c r="D6934" s="1" t="s">
        <v>2290</v>
      </c>
      <c r="E6934" s="1" t="n">
        <v>1699</v>
      </c>
      <c r="F6934" s="1" t="s">
        <v>60</v>
      </c>
      <c r="I6934" s="1" t="n">
        <v>310154</v>
      </c>
      <c r="J6934" s="1" t="n">
        <v>36606</v>
      </c>
      <c r="K6934" s="1" t="n">
        <v>7891150055872</v>
      </c>
      <c r="L6934" s="1" t="s">
        <v>4639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5" t="n">
        <v>46241</v>
      </c>
      <c r="C6935" s="1" t="n">
        <v>11</v>
      </c>
      <c r="D6935" s="1" t="s">
        <v>2290</v>
      </c>
      <c r="E6935" s="1" t="n">
        <v>1699</v>
      </c>
      <c r="F6935" s="1" t="s">
        <v>60</v>
      </c>
      <c r="I6935" s="1" t="n">
        <v>310154</v>
      </c>
      <c r="J6935" s="1" t="n">
        <v>60926</v>
      </c>
      <c r="K6935" s="1" t="n">
        <v>7506306241206</v>
      </c>
      <c r="L6935" s="1" t="s">
        <v>2816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5" t="n">
        <v>46241</v>
      </c>
      <c r="C6936" s="1" t="n">
        <v>11</v>
      </c>
      <c r="D6936" s="1" t="s">
        <v>2290</v>
      </c>
      <c r="E6936" s="1" t="n">
        <v>1699</v>
      </c>
      <c r="F6936" s="1" t="s">
        <v>60</v>
      </c>
      <c r="I6936" s="1" t="n">
        <v>310154</v>
      </c>
      <c r="J6936" s="1" t="n">
        <v>74146</v>
      </c>
      <c r="K6936" s="1" t="n">
        <v>7896031230379</v>
      </c>
      <c r="L6936" s="1" t="s">
        <v>4640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5" t="n">
        <v>46241</v>
      </c>
      <c r="C6937" s="1" t="n">
        <v>11</v>
      </c>
      <c r="D6937" s="1" t="s">
        <v>2290</v>
      </c>
      <c r="E6937" s="1" t="n">
        <v>1699</v>
      </c>
      <c r="F6937" s="1" t="s">
        <v>60</v>
      </c>
      <c r="I6937" s="1" t="n">
        <v>310154</v>
      </c>
      <c r="J6937" s="1" t="n">
        <v>80005</v>
      </c>
      <c r="K6937" s="1" t="n">
        <v>7891000457092</v>
      </c>
      <c r="L6937" s="1" t="s">
        <v>3495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5" t="n">
        <v>46241</v>
      </c>
      <c r="C6938" s="1" t="n">
        <v>11</v>
      </c>
      <c r="D6938" s="1" t="s">
        <v>2290</v>
      </c>
      <c r="E6938" s="1" t="n">
        <v>1601</v>
      </c>
      <c r="F6938" s="1" t="s">
        <v>155</v>
      </c>
      <c r="I6938" s="1" t="n">
        <v>860572</v>
      </c>
      <c r="J6938" s="1" t="n">
        <v>102287</v>
      </c>
      <c r="K6938" s="1" t="n">
        <v>7896593500026</v>
      </c>
      <c r="L6938" s="1" t="s">
        <v>2744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5" t="n">
        <v>46241</v>
      </c>
      <c r="C6939" s="1" t="n">
        <v>11</v>
      </c>
      <c r="D6939" s="1" t="s">
        <v>2290</v>
      </c>
      <c r="E6939" s="1" t="n">
        <v>1601</v>
      </c>
      <c r="F6939" s="1" t="s">
        <v>155</v>
      </c>
      <c r="I6939" s="1" t="n">
        <v>860572</v>
      </c>
      <c r="J6939" s="1" t="n">
        <v>102290</v>
      </c>
      <c r="K6939" s="1" t="n">
        <v>7896593500019</v>
      </c>
      <c r="L6939" s="1" t="s">
        <v>2745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5" t="n">
        <v>46241</v>
      </c>
      <c r="C6940" s="1" t="n">
        <v>11</v>
      </c>
      <c r="D6940" s="1" t="s">
        <v>2290</v>
      </c>
      <c r="E6940" s="1" t="n">
        <v>1601</v>
      </c>
      <c r="F6940" s="1" t="s">
        <v>155</v>
      </c>
      <c r="I6940" s="1" t="n">
        <v>860572</v>
      </c>
      <c r="J6940" s="1" t="n">
        <v>11296</v>
      </c>
      <c r="K6940" s="1" t="n">
        <v>7898466105604</v>
      </c>
      <c r="L6940" s="1" t="s">
        <v>4641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5" t="n">
        <v>46241</v>
      </c>
      <c r="C6941" s="1" t="n">
        <v>11</v>
      </c>
      <c r="D6941" s="1" t="s">
        <v>2290</v>
      </c>
      <c r="E6941" s="1" t="n">
        <v>1601</v>
      </c>
      <c r="F6941" s="1" t="s">
        <v>155</v>
      </c>
      <c r="I6941" s="1" t="n">
        <v>860572</v>
      </c>
      <c r="J6941" s="1" t="n">
        <v>18478</v>
      </c>
      <c r="K6941" s="1" t="n">
        <v>7898943163011</v>
      </c>
      <c r="L6941" s="1" t="s">
        <v>4642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5" t="n">
        <v>46241</v>
      </c>
      <c r="C6942" s="1" t="n">
        <v>11</v>
      </c>
      <c r="D6942" s="1" t="s">
        <v>2290</v>
      </c>
      <c r="E6942" s="1" t="n">
        <v>1601</v>
      </c>
      <c r="F6942" s="1" t="s">
        <v>155</v>
      </c>
      <c r="I6942" s="1" t="n">
        <v>860572</v>
      </c>
      <c r="J6942" s="1" t="n">
        <v>33117</v>
      </c>
      <c r="K6942" s="1" t="n">
        <v>7896369613967</v>
      </c>
      <c r="L6942" s="1" t="s">
        <v>4643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5" t="n">
        <v>46241</v>
      </c>
      <c r="C6943" s="1" t="n">
        <v>11</v>
      </c>
      <c r="D6943" s="1" t="s">
        <v>2290</v>
      </c>
      <c r="E6943" s="1" t="n">
        <v>1601</v>
      </c>
      <c r="F6943" s="1" t="s">
        <v>155</v>
      </c>
      <c r="I6943" s="1" t="n">
        <v>860572</v>
      </c>
      <c r="J6943" s="1" t="n">
        <v>35117</v>
      </c>
      <c r="K6943" s="1" t="n">
        <v>7899567247262</v>
      </c>
      <c r="L6943" s="1" t="s">
        <v>2797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5" t="n">
        <v>46241</v>
      </c>
      <c r="C6944" s="1" t="n">
        <v>11</v>
      </c>
      <c r="D6944" s="1" t="s">
        <v>2290</v>
      </c>
      <c r="E6944" s="1" t="n">
        <v>1601</v>
      </c>
      <c r="F6944" s="1" t="s">
        <v>155</v>
      </c>
      <c r="I6944" s="1" t="n">
        <v>860572</v>
      </c>
      <c r="J6944" s="1" t="n">
        <v>41168</v>
      </c>
      <c r="K6944" s="1" t="n">
        <v>7896369614223</v>
      </c>
      <c r="L6944" s="1" t="s">
        <v>4644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5" t="n">
        <v>46241</v>
      </c>
      <c r="C6945" s="1" t="n">
        <v>11</v>
      </c>
      <c r="D6945" s="1" t="s">
        <v>2290</v>
      </c>
      <c r="E6945" s="1" t="n">
        <v>1601</v>
      </c>
      <c r="F6945" s="1" t="s">
        <v>155</v>
      </c>
      <c r="I6945" s="1" t="n">
        <v>860572</v>
      </c>
      <c r="J6945" s="1" t="n">
        <v>82020</v>
      </c>
      <c r="K6945" s="1" t="n">
        <v>7896292334298</v>
      </c>
      <c r="L6945" s="1" t="s">
        <v>4645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5" t="n">
        <v>46241</v>
      </c>
      <c r="C6946" s="1" t="n">
        <v>11</v>
      </c>
      <c r="D6946" s="1" t="s">
        <v>2290</v>
      </c>
      <c r="E6946" s="1" t="n">
        <v>1659</v>
      </c>
      <c r="F6946" s="1" t="s">
        <v>251</v>
      </c>
      <c r="I6946" s="1" t="n">
        <v>889382</v>
      </c>
      <c r="J6946" s="1" t="n">
        <v>27930</v>
      </c>
      <c r="K6946" s="1" t="n">
        <v>7890875676287</v>
      </c>
      <c r="L6946" s="1" t="s">
        <v>4646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5" t="n">
        <v>46241</v>
      </c>
      <c r="C6947" s="1" t="n">
        <v>11</v>
      </c>
      <c r="D6947" s="1" t="s">
        <v>2290</v>
      </c>
      <c r="E6947" s="1" t="n">
        <v>1659</v>
      </c>
      <c r="F6947" s="1" t="s">
        <v>251</v>
      </c>
      <c r="I6947" s="1" t="n">
        <v>889382</v>
      </c>
      <c r="J6947" s="1" t="n">
        <v>27930</v>
      </c>
      <c r="K6947" s="1" t="n">
        <v>7890875676287</v>
      </c>
      <c r="L6947" s="1" t="s">
        <v>4646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5" t="n">
        <v>46241</v>
      </c>
      <c r="C6948" s="1" t="n">
        <v>11</v>
      </c>
      <c r="D6948" s="1" t="s">
        <v>2290</v>
      </c>
      <c r="E6948" s="1" t="n">
        <v>1659</v>
      </c>
      <c r="F6948" s="1" t="s">
        <v>251</v>
      </c>
      <c r="I6948" s="1" t="n">
        <v>889382</v>
      </c>
      <c r="J6948" s="1" t="n">
        <v>29539</v>
      </c>
      <c r="K6948" s="1" t="n">
        <v>7890875675884</v>
      </c>
      <c r="L6948" s="1" t="s">
        <v>4647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5" t="n">
        <v>46241</v>
      </c>
      <c r="C6949" s="1" t="n">
        <v>11</v>
      </c>
      <c r="D6949" s="1" t="s">
        <v>2290</v>
      </c>
      <c r="E6949" s="1" t="n">
        <v>1659</v>
      </c>
      <c r="F6949" s="1" t="s">
        <v>251</v>
      </c>
      <c r="I6949" s="1" t="n">
        <v>889382</v>
      </c>
      <c r="J6949" s="1" t="n">
        <v>29542</v>
      </c>
      <c r="K6949" s="1" t="n">
        <v>7909224372012</v>
      </c>
      <c r="L6949" s="1" t="s">
        <v>4648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5" t="n">
        <v>46241</v>
      </c>
      <c r="C6950" s="1" t="n">
        <v>11</v>
      </c>
      <c r="D6950" s="1" t="s">
        <v>2290</v>
      </c>
      <c r="E6950" s="1" t="n">
        <v>1659</v>
      </c>
      <c r="F6950" s="1" t="s">
        <v>251</v>
      </c>
      <c r="I6950" s="1" t="n">
        <v>889382</v>
      </c>
      <c r="J6950" s="1" t="n">
        <v>29551</v>
      </c>
      <c r="K6950" s="1" t="n">
        <v>7890244992734</v>
      </c>
      <c r="L6950" s="1" t="s">
        <v>4649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5" t="n">
        <v>46241</v>
      </c>
      <c r="C6951" s="1" t="n">
        <v>11</v>
      </c>
      <c r="D6951" s="1" t="s">
        <v>2290</v>
      </c>
      <c r="E6951" s="1" t="n">
        <v>1659</v>
      </c>
      <c r="F6951" s="1" t="s">
        <v>251</v>
      </c>
      <c r="I6951" s="1" t="n">
        <v>889382</v>
      </c>
      <c r="J6951" s="1" t="n">
        <v>48427</v>
      </c>
      <c r="K6951" s="1" t="n">
        <v>7909806393794</v>
      </c>
      <c r="L6951" s="1" t="s">
        <v>4650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5" t="n">
        <v>46241</v>
      </c>
      <c r="C6952" s="1" t="n">
        <v>11</v>
      </c>
      <c r="D6952" s="1" t="s">
        <v>2290</v>
      </c>
      <c r="E6952" s="1" t="n">
        <v>1659</v>
      </c>
      <c r="F6952" s="1" t="s">
        <v>251</v>
      </c>
      <c r="I6952" s="1" t="n">
        <v>889382</v>
      </c>
      <c r="J6952" s="1" t="n">
        <v>48428</v>
      </c>
      <c r="K6952" s="1" t="n">
        <v>7909806393596</v>
      </c>
      <c r="L6952" s="1" t="s">
        <v>4650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5" t="n">
        <v>46241</v>
      </c>
      <c r="C6953" s="1" t="n">
        <v>11</v>
      </c>
      <c r="D6953" s="1" t="s">
        <v>2290</v>
      </c>
      <c r="E6953" s="1" t="n">
        <v>1659</v>
      </c>
      <c r="F6953" s="1" t="s">
        <v>251</v>
      </c>
      <c r="I6953" s="1" t="n">
        <v>889382</v>
      </c>
      <c r="J6953" s="1" t="n">
        <v>48513</v>
      </c>
      <c r="K6953" s="1" t="n">
        <v>7909806393756</v>
      </c>
      <c r="L6953" s="1" t="s">
        <v>4650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5" t="n">
        <v>46241</v>
      </c>
      <c r="C6954" s="1" t="n">
        <v>11</v>
      </c>
      <c r="D6954" s="1" t="s">
        <v>2290</v>
      </c>
      <c r="E6954" s="1" t="n">
        <v>1659</v>
      </c>
      <c r="F6954" s="1" t="s">
        <v>251</v>
      </c>
      <c r="I6954" s="1" t="n">
        <v>889382</v>
      </c>
      <c r="J6954" s="1" t="n">
        <v>55560</v>
      </c>
      <c r="K6954" s="1" t="n">
        <v>7909806393718</v>
      </c>
      <c r="L6954" s="1" t="s">
        <v>4650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5" t="n">
        <v>46241</v>
      </c>
      <c r="C6955" s="1" t="n">
        <v>11</v>
      </c>
      <c r="D6955" s="1" t="s">
        <v>2290</v>
      </c>
      <c r="E6955" s="1" t="n">
        <v>1659</v>
      </c>
      <c r="F6955" s="1" t="s">
        <v>251</v>
      </c>
      <c r="I6955" s="1" t="n">
        <v>889382</v>
      </c>
      <c r="J6955" s="1" t="n">
        <v>59723</v>
      </c>
      <c r="K6955" s="1" t="n">
        <v>7909937244194</v>
      </c>
      <c r="L6955" s="1" t="s">
        <v>4651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5" t="n">
        <v>46241</v>
      </c>
      <c r="C6956" s="1" t="n">
        <v>11</v>
      </c>
      <c r="D6956" s="1" t="s">
        <v>2290</v>
      </c>
      <c r="E6956" s="1" t="n">
        <v>1659</v>
      </c>
      <c r="F6956" s="1" t="s">
        <v>251</v>
      </c>
      <c r="I6956" s="1" t="n">
        <v>889382</v>
      </c>
      <c r="J6956" s="1" t="n">
        <v>78933</v>
      </c>
      <c r="K6956" s="1" t="n">
        <v>7900204464345</v>
      </c>
      <c r="L6956" s="1" t="s">
        <v>4652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5" t="n">
        <v>46241</v>
      </c>
      <c r="C6957" s="1" t="n">
        <v>11</v>
      </c>
      <c r="D6957" s="1" t="s">
        <v>2290</v>
      </c>
      <c r="E6957" s="1" t="n">
        <v>1659</v>
      </c>
      <c r="F6957" s="1" t="s">
        <v>251</v>
      </c>
      <c r="I6957" s="1" t="n">
        <v>889382</v>
      </c>
      <c r="J6957" s="1" t="n">
        <v>78957</v>
      </c>
      <c r="K6957" s="1" t="n">
        <v>7900204464420</v>
      </c>
      <c r="L6957" s="1" t="s">
        <v>4653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5" t="n">
        <v>46241</v>
      </c>
      <c r="C6958" s="1" t="n">
        <v>11</v>
      </c>
      <c r="D6958" s="1" t="s">
        <v>2290</v>
      </c>
      <c r="E6958" s="1" t="n">
        <v>1659</v>
      </c>
      <c r="F6958" s="1" t="s">
        <v>251</v>
      </c>
      <c r="I6958" s="1" t="n">
        <v>889382</v>
      </c>
      <c r="J6958" s="1" t="n">
        <v>82007</v>
      </c>
      <c r="K6958" s="1" t="n">
        <v>7900204464383</v>
      </c>
      <c r="L6958" s="1" t="s">
        <v>4654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5" t="n">
        <v>46241</v>
      </c>
      <c r="C6959" s="1" t="n">
        <v>11</v>
      </c>
      <c r="D6959" s="1" t="s">
        <v>2290</v>
      </c>
      <c r="E6959" s="1" t="n">
        <v>1659</v>
      </c>
      <c r="F6959" s="1" t="s">
        <v>251</v>
      </c>
      <c r="I6959" s="1" t="n">
        <v>889382</v>
      </c>
      <c r="J6959" s="1" t="n">
        <v>82008</v>
      </c>
      <c r="K6959" s="1" t="n">
        <v>7900204445689</v>
      </c>
      <c r="L6959" s="1" t="s">
        <v>4655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5" t="n">
        <v>46241</v>
      </c>
      <c r="C6960" s="1" t="n">
        <v>11</v>
      </c>
      <c r="D6960" s="1" t="s">
        <v>2290</v>
      </c>
      <c r="E6960" s="1" t="n">
        <v>1659</v>
      </c>
      <c r="F6960" s="1" t="s">
        <v>251</v>
      </c>
      <c r="I6960" s="1" t="n">
        <v>889382</v>
      </c>
      <c r="J6960" s="1" t="n">
        <v>82009</v>
      </c>
      <c r="K6960" s="1" t="n">
        <v>7900204445603</v>
      </c>
      <c r="L6960" s="1" t="s">
        <v>4656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5" t="n">
        <v>46241</v>
      </c>
      <c r="C6961" s="1" t="n">
        <v>11</v>
      </c>
      <c r="D6961" s="1" t="s">
        <v>2290</v>
      </c>
      <c r="E6961" s="1" t="n">
        <v>1659</v>
      </c>
      <c r="F6961" s="1" t="s">
        <v>251</v>
      </c>
      <c r="I6961" s="1" t="n">
        <v>889382</v>
      </c>
      <c r="J6961" s="1" t="n">
        <v>82010</v>
      </c>
      <c r="K6961" s="1" t="n">
        <v>7900204979214</v>
      </c>
      <c r="L6961" s="1" t="s">
        <v>4657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5" t="n">
        <v>46241</v>
      </c>
      <c r="C6962" s="1" t="n">
        <v>11</v>
      </c>
      <c r="D6962" s="1" t="s">
        <v>2290</v>
      </c>
      <c r="E6962" s="1" t="n">
        <v>1659</v>
      </c>
      <c r="F6962" s="1" t="s">
        <v>251</v>
      </c>
      <c r="I6962" s="1" t="n">
        <v>889382</v>
      </c>
      <c r="J6962" s="1" t="n">
        <v>82011</v>
      </c>
      <c r="K6962" s="1" t="n">
        <v>7900204672399</v>
      </c>
      <c r="L6962" s="1" t="s">
        <v>4658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5" t="n">
        <v>46241</v>
      </c>
      <c r="C6963" s="1" t="n">
        <v>11</v>
      </c>
      <c r="D6963" s="1" t="s">
        <v>2290</v>
      </c>
      <c r="E6963" s="1" t="n">
        <v>1659</v>
      </c>
      <c r="F6963" s="1" t="s">
        <v>251</v>
      </c>
      <c r="I6963" s="1" t="n">
        <v>889382</v>
      </c>
      <c r="J6963" s="1" t="n">
        <v>82012</v>
      </c>
      <c r="K6963" s="1" t="n">
        <v>7900204770415</v>
      </c>
      <c r="L6963" s="1" t="s">
        <v>4659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5" t="n">
        <v>46241</v>
      </c>
      <c r="C6964" s="1" t="n">
        <v>11</v>
      </c>
      <c r="D6964" s="1" t="s">
        <v>2290</v>
      </c>
      <c r="E6964" s="1" t="n">
        <v>1659</v>
      </c>
      <c r="F6964" s="1" t="s">
        <v>251</v>
      </c>
      <c r="I6964" s="1" t="n">
        <v>889382</v>
      </c>
      <c r="J6964" s="1" t="n">
        <v>82013</v>
      </c>
      <c r="K6964" s="1" t="n">
        <v>7900204242882</v>
      </c>
      <c r="L6964" s="1" t="s">
        <v>4660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5" t="n">
        <v>46241</v>
      </c>
      <c r="C6965" s="1" t="n">
        <v>11</v>
      </c>
      <c r="D6965" s="1" t="s">
        <v>2290</v>
      </c>
      <c r="E6965" s="1" t="n">
        <v>1659</v>
      </c>
      <c r="F6965" s="1" t="s">
        <v>251</v>
      </c>
      <c r="I6965" s="1" t="n">
        <v>889382</v>
      </c>
      <c r="J6965" s="1" t="n">
        <v>82014</v>
      </c>
      <c r="K6965" s="1" t="n">
        <v>7900377128853</v>
      </c>
      <c r="L6965" s="1" t="s">
        <v>4661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5" t="n">
        <v>46241</v>
      </c>
      <c r="C6966" s="1" t="n">
        <v>11</v>
      </c>
      <c r="D6966" s="1" t="s">
        <v>2290</v>
      </c>
      <c r="E6966" s="1" t="n">
        <v>1659</v>
      </c>
      <c r="F6966" s="1" t="s">
        <v>251</v>
      </c>
      <c r="I6966" s="1" t="n">
        <v>889382</v>
      </c>
      <c r="J6966" s="1" t="n">
        <v>82015</v>
      </c>
      <c r="K6966" s="1" t="n">
        <v>7900377128709</v>
      </c>
      <c r="L6966" s="1" t="s">
        <v>4662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5" t="n">
        <v>46241</v>
      </c>
      <c r="C6967" s="1" t="n">
        <v>11</v>
      </c>
      <c r="D6967" s="1" t="s">
        <v>2290</v>
      </c>
      <c r="E6967" s="1" t="n">
        <v>1659</v>
      </c>
      <c r="F6967" s="1" t="s">
        <v>251</v>
      </c>
      <c r="I6967" s="1" t="n">
        <v>889382</v>
      </c>
      <c r="J6967" s="1" t="n">
        <v>82016</v>
      </c>
      <c r="K6967" s="1" t="n">
        <v>7900377128655</v>
      </c>
      <c r="L6967" s="1" t="s">
        <v>4663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5" t="n">
        <v>46241</v>
      </c>
      <c r="C6968" s="1" t="n">
        <v>11</v>
      </c>
      <c r="D6968" s="1" t="s">
        <v>2290</v>
      </c>
      <c r="E6968" s="1" t="n">
        <v>1705</v>
      </c>
      <c r="F6968" s="1" t="s">
        <v>122</v>
      </c>
      <c r="I6968" s="1" t="n">
        <v>1232508</v>
      </c>
      <c r="J6968" s="1" t="n">
        <v>102360</v>
      </c>
      <c r="K6968" s="1" t="n">
        <v>7894900593709</v>
      </c>
      <c r="L6968" s="1" t="s">
        <v>3187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5" t="n">
        <v>46241</v>
      </c>
      <c r="C6969" s="1" t="n">
        <v>11</v>
      </c>
      <c r="D6969" s="1" t="s">
        <v>2290</v>
      </c>
      <c r="E6969" s="1" t="n">
        <v>1705</v>
      </c>
      <c r="F6969" s="1" t="s">
        <v>122</v>
      </c>
      <c r="I6969" s="1" t="n">
        <v>1232508</v>
      </c>
      <c r="J6969" s="1" t="n">
        <v>102362</v>
      </c>
      <c r="K6969" s="1" t="n">
        <v>7894900583700</v>
      </c>
      <c r="L6969" s="1" t="s">
        <v>3188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5" t="n">
        <v>46241</v>
      </c>
      <c r="C6970" s="1" t="n">
        <v>11</v>
      </c>
      <c r="D6970" s="1" t="s">
        <v>2290</v>
      </c>
      <c r="E6970" s="1" t="n">
        <v>1705</v>
      </c>
      <c r="F6970" s="1" t="s">
        <v>122</v>
      </c>
      <c r="I6970" s="1" t="n">
        <v>1232508</v>
      </c>
      <c r="J6970" s="1" t="n">
        <v>102363</v>
      </c>
      <c r="K6970" s="1" t="n">
        <v>7894900563702</v>
      </c>
      <c r="L6970" s="1" t="s">
        <v>4125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5" t="n">
        <v>46241</v>
      </c>
      <c r="C6971" s="1" t="n">
        <v>11</v>
      </c>
      <c r="D6971" s="1" t="s">
        <v>2290</v>
      </c>
      <c r="E6971" s="1" t="n">
        <v>1705</v>
      </c>
      <c r="F6971" s="1" t="s">
        <v>122</v>
      </c>
      <c r="I6971" s="1" t="n">
        <v>1232508</v>
      </c>
      <c r="J6971" s="1" t="n">
        <v>103139</v>
      </c>
      <c r="K6971" s="1" t="n">
        <v>7894900051759</v>
      </c>
      <c r="L6971" s="1" t="s">
        <v>2303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5" t="n">
        <v>46241</v>
      </c>
      <c r="C6972" s="1" t="n">
        <v>11</v>
      </c>
      <c r="D6972" s="1" t="s">
        <v>2290</v>
      </c>
      <c r="E6972" s="1" t="n">
        <v>1705</v>
      </c>
      <c r="F6972" s="1" t="s">
        <v>122</v>
      </c>
      <c r="I6972" s="1" t="n">
        <v>1232508</v>
      </c>
      <c r="J6972" s="1" t="n">
        <v>103140</v>
      </c>
      <c r="K6972" s="1" t="n">
        <v>7894900031751</v>
      </c>
      <c r="L6972" s="1" t="s">
        <v>2304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5" t="n">
        <v>46241</v>
      </c>
      <c r="C6973" s="1" t="n">
        <v>11</v>
      </c>
      <c r="D6973" s="1" t="s">
        <v>2290</v>
      </c>
      <c r="E6973" s="1" t="n">
        <v>1705</v>
      </c>
      <c r="F6973" s="1" t="s">
        <v>122</v>
      </c>
      <c r="I6973" s="1" t="n">
        <v>1232508</v>
      </c>
      <c r="J6973" s="1" t="n">
        <v>104575</v>
      </c>
      <c r="K6973" s="1" t="n">
        <v>7898341430098</v>
      </c>
      <c r="L6973" s="1" t="s">
        <v>3252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5" t="n">
        <v>46241</v>
      </c>
      <c r="C6974" s="1" t="n">
        <v>11</v>
      </c>
      <c r="D6974" s="1" t="s">
        <v>2290</v>
      </c>
      <c r="E6974" s="1" t="n">
        <v>1705</v>
      </c>
      <c r="F6974" s="1" t="s">
        <v>122</v>
      </c>
      <c r="I6974" s="1" t="n">
        <v>1232508</v>
      </c>
      <c r="J6974" s="1" t="n">
        <v>18192</v>
      </c>
      <c r="K6974" s="1" t="n">
        <v>7894900320015</v>
      </c>
      <c r="L6974" s="1" t="s">
        <v>2308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5" t="n">
        <v>46241</v>
      </c>
      <c r="C6975" s="1" t="n">
        <v>11</v>
      </c>
      <c r="D6975" s="1" t="s">
        <v>2290</v>
      </c>
      <c r="E6975" s="1" t="n">
        <v>1705</v>
      </c>
      <c r="F6975" s="1" t="s">
        <v>122</v>
      </c>
      <c r="I6975" s="1" t="n">
        <v>1232508</v>
      </c>
      <c r="J6975" s="1" t="n">
        <v>24324</v>
      </c>
      <c r="K6975" s="1" t="n">
        <v>70847022015</v>
      </c>
      <c r="L6975" s="1" t="s">
        <v>2292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5" t="n">
        <v>46241</v>
      </c>
      <c r="C6976" s="1" t="n">
        <v>11</v>
      </c>
      <c r="D6976" s="1" t="s">
        <v>2290</v>
      </c>
      <c r="E6976" s="1" t="n">
        <v>1705</v>
      </c>
      <c r="F6976" s="1" t="s">
        <v>122</v>
      </c>
      <c r="I6976" s="1" t="n">
        <v>1232508</v>
      </c>
      <c r="J6976" s="1" t="n">
        <v>29747</v>
      </c>
      <c r="K6976" s="1" t="n">
        <v>70847022305</v>
      </c>
      <c r="L6976" s="1" t="s">
        <v>2294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5" t="n">
        <v>46241</v>
      </c>
      <c r="C6977" s="1" t="n">
        <v>11</v>
      </c>
      <c r="D6977" s="1" t="s">
        <v>2290</v>
      </c>
      <c r="E6977" s="1" t="n">
        <v>1705</v>
      </c>
      <c r="F6977" s="1" t="s">
        <v>122</v>
      </c>
      <c r="I6977" s="1" t="n">
        <v>1232508</v>
      </c>
      <c r="J6977" s="1" t="n">
        <v>29749</v>
      </c>
      <c r="K6977" s="1" t="n">
        <v>70847033929</v>
      </c>
      <c r="L6977" s="1" t="s">
        <v>4127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5" t="n">
        <v>46241</v>
      </c>
      <c r="C6978" s="1" t="n">
        <v>11</v>
      </c>
      <c r="D6978" s="1" t="s">
        <v>2290</v>
      </c>
      <c r="E6978" s="1" t="n">
        <v>1705</v>
      </c>
      <c r="F6978" s="1" t="s">
        <v>122</v>
      </c>
      <c r="I6978" s="1" t="n">
        <v>1232508</v>
      </c>
      <c r="J6978" s="1" t="n">
        <v>32942</v>
      </c>
      <c r="K6978" s="1" t="n">
        <v>7895144293080</v>
      </c>
      <c r="L6978" s="1" t="s">
        <v>4664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5" t="n">
        <v>46241</v>
      </c>
      <c r="C6979" s="1" t="n">
        <v>11</v>
      </c>
      <c r="D6979" s="1" t="s">
        <v>2290</v>
      </c>
      <c r="E6979" s="1" t="n">
        <v>1705</v>
      </c>
      <c r="F6979" s="1" t="s">
        <v>122</v>
      </c>
      <c r="I6979" s="1" t="n">
        <v>1232508</v>
      </c>
      <c r="J6979" s="1" t="n">
        <v>57690</v>
      </c>
      <c r="K6979" s="1" t="n">
        <v>7896045506378</v>
      </c>
      <c r="L6979" s="1" t="s">
        <v>4665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5" t="n">
        <v>46241</v>
      </c>
      <c r="C6980" s="1" t="n">
        <v>11</v>
      </c>
      <c r="D6980" s="1" t="s">
        <v>2290</v>
      </c>
      <c r="E6980" s="1" t="n">
        <v>1705</v>
      </c>
      <c r="F6980" s="1" t="s">
        <v>122</v>
      </c>
      <c r="I6980" s="1" t="n">
        <v>1232508</v>
      </c>
      <c r="J6980" s="1" t="n">
        <v>60013</v>
      </c>
      <c r="K6980" s="1" t="n">
        <v>1220000250147</v>
      </c>
      <c r="L6980" s="1" t="s">
        <v>4666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5" t="n">
        <v>46241</v>
      </c>
      <c r="C6981" s="1" t="n">
        <v>11</v>
      </c>
      <c r="D6981" s="1" t="s">
        <v>2290</v>
      </c>
      <c r="E6981" s="1" t="n">
        <v>1705</v>
      </c>
      <c r="F6981" s="1" t="s">
        <v>122</v>
      </c>
      <c r="I6981" s="1" t="n">
        <v>1232508</v>
      </c>
      <c r="J6981" s="1" t="n">
        <v>62378</v>
      </c>
      <c r="K6981" s="1" t="n">
        <v>7896045506934</v>
      </c>
      <c r="L6981" s="1" t="s">
        <v>3190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5" t="n">
        <v>46241</v>
      </c>
      <c r="C6982" s="1" t="n">
        <v>11</v>
      </c>
      <c r="D6982" s="1" t="s">
        <v>2290</v>
      </c>
      <c r="E6982" s="1" t="n">
        <v>1705</v>
      </c>
      <c r="F6982" s="1" t="s">
        <v>122</v>
      </c>
      <c r="I6982" s="1" t="n">
        <v>1232508</v>
      </c>
      <c r="J6982" s="1" t="n">
        <v>66038</v>
      </c>
      <c r="K6982" s="1" t="n">
        <v>7898938890076</v>
      </c>
      <c r="L6982" s="1" t="s">
        <v>3612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5" t="n">
        <v>46241</v>
      </c>
      <c r="C6983" s="1" t="n">
        <v>11</v>
      </c>
      <c r="D6983" s="1" t="s">
        <v>2290</v>
      </c>
      <c r="E6983" s="1" t="n">
        <v>1705</v>
      </c>
      <c r="F6983" s="1" t="s">
        <v>122</v>
      </c>
      <c r="I6983" s="1" t="n">
        <v>1232508</v>
      </c>
      <c r="J6983" s="1" t="n">
        <v>74598</v>
      </c>
      <c r="K6983" s="1" t="n">
        <v>7898938890113</v>
      </c>
      <c r="L6983" s="1" t="s">
        <v>2298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5" t="n">
        <v>46241</v>
      </c>
      <c r="C6984" s="1" t="n">
        <v>11</v>
      </c>
      <c r="D6984" s="1" t="s">
        <v>2290</v>
      </c>
      <c r="E6984" s="1" t="n">
        <v>1705</v>
      </c>
      <c r="F6984" s="1" t="s">
        <v>122</v>
      </c>
      <c r="I6984" s="1" t="n">
        <v>1232508</v>
      </c>
      <c r="J6984" s="1" t="n">
        <v>77914</v>
      </c>
      <c r="K6984" s="1" t="n">
        <v>7894900530001</v>
      </c>
      <c r="L6984" s="1" t="s">
        <v>2299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5" t="n">
        <v>46241</v>
      </c>
      <c r="C6985" s="1" t="n">
        <v>11</v>
      </c>
      <c r="D6985" s="1" t="s">
        <v>2290</v>
      </c>
      <c r="E6985" s="1" t="n">
        <v>1705</v>
      </c>
      <c r="F6985" s="1" t="s">
        <v>122</v>
      </c>
      <c r="I6985" s="1" t="n">
        <v>1232508</v>
      </c>
      <c r="J6985" s="1" t="n">
        <v>78241</v>
      </c>
      <c r="K6985" s="1" t="n">
        <v>7898938890120</v>
      </c>
      <c r="L6985" s="1" t="s">
        <v>2300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5" t="n">
        <v>46241</v>
      </c>
      <c r="C6986" s="1" t="n">
        <v>11</v>
      </c>
      <c r="D6986" s="1" t="s">
        <v>2290</v>
      </c>
      <c r="E6986" s="1" t="n">
        <v>1705</v>
      </c>
      <c r="F6986" s="1" t="s">
        <v>122</v>
      </c>
      <c r="I6986" s="1" t="n">
        <v>1232508</v>
      </c>
      <c r="J6986" s="1" t="n">
        <v>79334</v>
      </c>
      <c r="K6986" s="1" t="n">
        <v>7894900531305</v>
      </c>
      <c r="L6986" s="1" t="s">
        <v>4024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5" t="n">
        <v>46241</v>
      </c>
      <c r="C6987" s="1" t="n">
        <v>11</v>
      </c>
      <c r="D6987" s="1" t="s">
        <v>2290</v>
      </c>
      <c r="E6987" s="1" t="n">
        <v>1705</v>
      </c>
      <c r="F6987" s="1" t="s">
        <v>122</v>
      </c>
      <c r="I6987" s="1" t="n">
        <v>1232508</v>
      </c>
      <c r="J6987" s="1" t="n">
        <v>79795</v>
      </c>
      <c r="K6987" s="1" t="n">
        <v>7894900530308</v>
      </c>
      <c r="L6987" s="1" t="s">
        <v>4025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5" t="n">
        <v>46241</v>
      </c>
      <c r="C6988" s="1" t="n">
        <v>11</v>
      </c>
      <c r="D6988" s="1" t="s">
        <v>2290</v>
      </c>
      <c r="E6988" s="1" t="n">
        <v>1705</v>
      </c>
      <c r="F6988" s="1" t="s">
        <v>122</v>
      </c>
      <c r="I6988" s="1" t="n">
        <v>1232508</v>
      </c>
      <c r="J6988" s="1" t="n">
        <v>81668</v>
      </c>
      <c r="K6988" s="1" t="n">
        <v>7898770420011</v>
      </c>
      <c r="L6988" s="1" t="s">
        <v>4667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5" t="n">
        <v>46241</v>
      </c>
      <c r="C6989" s="1" t="n">
        <v>11</v>
      </c>
      <c r="D6989" s="1" t="s">
        <v>2290</v>
      </c>
      <c r="E6989" s="1" t="n">
        <v>1705</v>
      </c>
      <c r="F6989" s="1" t="s">
        <v>122</v>
      </c>
      <c r="I6989" s="1" t="n">
        <v>1968512</v>
      </c>
      <c r="J6989" s="1" t="n">
        <v>103145</v>
      </c>
      <c r="K6989" s="1" t="n">
        <v>7894900051513</v>
      </c>
      <c r="L6989" s="1" t="s">
        <v>2306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5" t="n">
        <v>46241</v>
      </c>
      <c r="C6990" s="1" t="n">
        <v>11</v>
      </c>
      <c r="D6990" s="1" t="s">
        <v>2290</v>
      </c>
      <c r="E6990" s="1" t="n">
        <v>1705</v>
      </c>
      <c r="F6990" s="1" t="s">
        <v>122</v>
      </c>
      <c r="I6990" s="1" t="n">
        <v>1968512</v>
      </c>
      <c r="J6990" s="1" t="n">
        <v>103146</v>
      </c>
      <c r="K6990" s="1" t="n">
        <v>7894900031515</v>
      </c>
      <c r="L6990" s="1" t="s">
        <v>2876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5" t="n">
        <v>46241</v>
      </c>
      <c r="C6991" s="1" t="n">
        <v>11</v>
      </c>
      <c r="D6991" s="1" t="s">
        <v>2290</v>
      </c>
      <c r="E6991" s="1" t="n">
        <v>1705</v>
      </c>
      <c r="F6991" s="1" t="s">
        <v>122</v>
      </c>
      <c r="I6991" s="1" t="n">
        <v>1968512</v>
      </c>
      <c r="J6991" s="1" t="n">
        <v>103159</v>
      </c>
      <c r="K6991" s="1" t="n">
        <v>7894900050011</v>
      </c>
      <c r="L6991" s="1" t="s">
        <v>4126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5" t="n">
        <v>46241</v>
      </c>
      <c r="C6992" s="1" t="n">
        <v>11</v>
      </c>
      <c r="D6992" s="1" t="s">
        <v>2290</v>
      </c>
      <c r="E6992" s="1" t="n">
        <v>1705</v>
      </c>
      <c r="F6992" s="1" t="s">
        <v>122</v>
      </c>
      <c r="I6992" s="1" t="n">
        <v>1968512</v>
      </c>
      <c r="J6992" s="1" t="n">
        <v>103161</v>
      </c>
      <c r="K6992" s="1" t="n">
        <v>7894900010015</v>
      </c>
      <c r="L6992" s="1" t="s">
        <v>3192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5" t="n">
        <v>46241</v>
      </c>
      <c r="C6993" s="1" t="n">
        <v>11</v>
      </c>
      <c r="D6993" s="1" t="s">
        <v>2290</v>
      </c>
      <c r="E6993" s="1" t="n">
        <v>1705</v>
      </c>
      <c r="F6993" s="1" t="s">
        <v>122</v>
      </c>
      <c r="I6993" s="1" t="n">
        <v>1968512</v>
      </c>
      <c r="J6993" s="1" t="n">
        <v>104051</v>
      </c>
      <c r="K6993" s="1" t="n">
        <v>7894900300017</v>
      </c>
      <c r="L6993" s="1" t="s">
        <v>4273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5" t="n">
        <v>46241</v>
      </c>
      <c r="C6994" s="1" t="n">
        <v>11</v>
      </c>
      <c r="D6994" s="1" t="s">
        <v>2290</v>
      </c>
      <c r="E6994" s="1" t="n">
        <v>1705</v>
      </c>
      <c r="F6994" s="1" t="s">
        <v>122</v>
      </c>
      <c r="I6994" s="1" t="n">
        <v>1968512</v>
      </c>
      <c r="J6994" s="1" t="n">
        <v>104472</v>
      </c>
      <c r="K6994" s="1" t="n">
        <v>7897105200038</v>
      </c>
      <c r="L6994" s="1" t="s">
        <v>3257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5" t="n">
        <v>46241</v>
      </c>
      <c r="C6995" s="1" t="n">
        <v>11</v>
      </c>
      <c r="D6995" s="1" t="s">
        <v>2290</v>
      </c>
      <c r="E6995" s="1" t="n">
        <v>1705</v>
      </c>
      <c r="F6995" s="1" t="s">
        <v>122</v>
      </c>
      <c r="I6995" s="1" t="n">
        <v>1968512</v>
      </c>
      <c r="J6995" s="1" t="n">
        <v>10830</v>
      </c>
      <c r="K6995" s="1" t="n">
        <v>7894900701517</v>
      </c>
      <c r="L6995" s="1" t="s">
        <v>2879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5" t="n">
        <v>46241</v>
      </c>
      <c r="C6996" s="1" t="n">
        <v>11</v>
      </c>
      <c r="D6996" s="1" t="s">
        <v>2290</v>
      </c>
      <c r="E6996" s="1" t="n">
        <v>1705</v>
      </c>
      <c r="F6996" s="1" t="s">
        <v>122</v>
      </c>
      <c r="I6996" s="1" t="n">
        <v>1968512</v>
      </c>
      <c r="J6996" s="1" t="n">
        <v>24662</v>
      </c>
      <c r="K6996" s="1" t="n">
        <v>7897105250019</v>
      </c>
      <c r="L6996" s="1" t="s">
        <v>3637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5" t="n">
        <v>46241</v>
      </c>
      <c r="C6997" s="1" t="n">
        <v>11</v>
      </c>
      <c r="D6997" s="1" t="s">
        <v>2290</v>
      </c>
      <c r="E6997" s="1" t="n">
        <v>1705</v>
      </c>
      <c r="F6997" s="1" t="s">
        <v>122</v>
      </c>
      <c r="I6997" s="1" t="n">
        <v>1968512</v>
      </c>
      <c r="J6997" s="1" t="n">
        <v>27643</v>
      </c>
      <c r="K6997" s="1" t="n">
        <v>7894900031713</v>
      </c>
      <c r="L6997" s="1" t="s">
        <v>2881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5" t="n">
        <v>46241</v>
      </c>
      <c r="C6998" s="1" t="n">
        <v>11</v>
      </c>
      <c r="D6998" s="1" t="s">
        <v>2290</v>
      </c>
      <c r="E6998" s="1" t="n">
        <v>1705</v>
      </c>
      <c r="F6998" s="1" t="s">
        <v>122</v>
      </c>
      <c r="I6998" s="1" t="n">
        <v>1968512</v>
      </c>
      <c r="J6998" s="1" t="n">
        <v>28739</v>
      </c>
      <c r="K6998" s="1" t="n">
        <v>7894900027044</v>
      </c>
      <c r="L6998" s="1" t="s">
        <v>2883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5" t="n">
        <v>46241</v>
      </c>
      <c r="C6999" s="1" t="n">
        <v>11</v>
      </c>
      <c r="D6999" s="1" t="s">
        <v>2290</v>
      </c>
      <c r="E6999" s="1" t="n">
        <v>1705</v>
      </c>
      <c r="F6999" s="1" t="s">
        <v>122</v>
      </c>
      <c r="I6999" s="1" t="n">
        <v>1968512</v>
      </c>
      <c r="J6999" s="1" t="n">
        <v>29826</v>
      </c>
      <c r="K6999" s="1" t="n">
        <v>7894900556032</v>
      </c>
      <c r="L6999" s="1" t="s">
        <v>4200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5" t="n">
        <v>46241</v>
      </c>
      <c r="C7000" s="1" t="n">
        <v>11</v>
      </c>
      <c r="D7000" s="1" t="s">
        <v>2290</v>
      </c>
      <c r="E7000" s="1" t="n">
        <v>1705</v>
      </c>
      <c r="F7000" s="1" t="s">
        <v>122</v>
      </c>
      <c r="I7000" s="1" t="n">
        <v>1968512</v>
      </c>
      <c r="J7000" s="1" t="n">
        <v>32086</v>
      </c>
      <c r="K7000" s="1" t="n">
        <v>7894900027037</v>
      </c>
      <c r="L7000" s="1" t="s">
        <v>2311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5" t="n">
        <v>46241</v>
      </c>
      <c r="C7001" s="1" t="n">
        <v>11</v>
      </c>
      <c r="D7001" s="1" t="s">
        <v>2290</v>
      </c>
      <c r="E7001" s="1" t="n">
        <v>1705</v>
      </c>
      <c r="F7001" s="1" t="s">
        <v>122</v>
      </c>
      <c r="I7001" s="1" t="n">
        <v>1968512</v>
      </c>
      <c r="J7001" s="1" t="n">
        <v>32339</v>
      </c>
      <c r="K7001" s="1" t="n">
        <v>7894900681000</v>
      </c>
      <c r="L7001" s="1" t="s">
        <v>3261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5" t="n">
        <v>46241</v>
      </c>
      <c r="C7002" s="1" t="n">
        <v>11</v>
      </c>
      <c r="D7002" s="1" t="s">
        <v>2290</v>
      </c>
      <c r="E7002" s="1" t="n">
        <v>1705</v>
      </c>
      <c r="F7002" s="1" t="s">
        <v>122</v>
      </c>
      <c r="I7002" s="1" t="n">
        <v>1968512</v>
      </c>
      <c r="J7002" s="1" t="n">
        <v>34629</v>
      </c>
      <c r="K7002" s="1" t="n">
        <v>7894900027020</v>
      </c>
      <c r="L7002" s="1" t="s">
        <v>2313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5" t="n">
        <v>46241</v>
      </c>
      <c r="C7003" s="1" t="n">
        <v>11</v>
      </c>
      <c r="D7003" s="1" t="s">
        <v>2290</v>
      </c>
      <c r="E7003" s="1" t="n">
        <v>1705</v>
      </c>
      <c r="F7003" s="1" t="s">
        <v>122</v>
      </c>
      <c r="I7003" s="1" t="n">
        <v>1968512</v>
      </c>
      <c r="J7003" s="1" t="n">
        <v>35357</v>
      </c>
      <c r="K7003" s="1" t="n">
        <v>7894900681017</v>
      </c>
      <c r="L7003" s="1" t="s">
        <v>3638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5" t="n">
        <v>46241</v>
      </c>
      <c r="C7004" s="1" t="n">
        <v>11</v>
      </c>
      <c r="D7004" s="1" t="s">
        <v>2290</v>
      </c>
      <c r="E7004" s="1" t="n">
        <v>1705</v>
      </c>
      <c r="F7004" s="1" t="s">
        <v>122</v>
      </c>
      <c r="I7004" s="1" t="n">
        <v>1968512</v>
      </c>
      <c r="J7004" s="1" t="n">
        <v>37279</v>
      </c>
      <c r="K7004" s="1" t="n">
        <v>7894900027013</v>
      </c>
      <c r="L7004" s="1" t="s">
        <v>2305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5" t="n">
        <v>46241</v>
      </c>
      <c r="C7005" s="1" t="n">
        <v>11</v>
      </c>
      <c r="D7005" s="1" t="s">
        <v>2290</v>
      </c>
      <c r="E7005" s="1" t="n">
        <v>1705</v>
      </c>
      <c r="F7005" s="1" t="s">
        <v>122</v>
      </c>
      <c r="I7005" s="1" t="n">
        <v>1968512</v>
      </c>
      <c r="J7005" s="1" t="n">
        <v>77527</v>
      </c>
      <c r="K7005" s="1" t="n">
        <v>7897105250293</v>
      </c>
      <c r="L7005" s="1" t="s">
        <v>4668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5" t="n">
        <v>46241</v>
      </c>
      <c r="C7006" s="1" t="n">
        <v>22</v>
      </c>
      <c r="D7006" s="1" t="s">
        <v>2436</v>
      </c>
      <c r="E7006" s="1" t="n">
        <v>42</v>
      </c>
      <c r="F7006" s="1" t="s">
        <v>80</v>
      </c>
      <c r="I7006" s="1" t="n">
        <v>4471</v>
      </c>
      <c r="J7006" s="1" t="n">
        <v>100000</v>
      </c>
      <c r="K7006" s="1" t="n">
        <v>1</v>
      </c>
      <c r="L7006" s="1" t="s">
        <v>2451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5" t="n">
        <v>46241</v>
      </c>
      <c r="C7007" s="1" t="n">
        <v>22</v>
      </c>
      <c r="D7007" s="1" t="s">
        <v>2436</v>
      </c>
      <c r="E7007" s="1" t="n">
        <v>42</v>
      </c>
      <c r="F7007" s="1" t="s">
        <v>80</v>
      </c>
      <c r="I7007" s="1" t="n">
        <v>4471</v>
      </c>
      <c r="J7007" s="1" t="n">
        <v>100001</v>
      </c>
      <c r="K7007" s="1" t="n">
        <v>2</v>
      </c>
      <c r="L7007" s="1" t="s">
        <v>2452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5" t="n">
        <v>46241</v>
      </c>
      <c r="C7008" s="1" t="n">
        <v>22</v>
      </c>
      <c r="D7008" s="1" t="s">
        <v>2436</v>
      </c>
      <c r="E7008" s="1" t="n">
        <v>42</v>
      </c>
      <c r="F7008" s="1" t="s">
        <v>80</v>
      </c>
      <c r="I7008" s="1" t="n">
        <v>4471</v>
      </c>
      <c r="J7008" s="1" t="n">
        <v>100002</v>
      </c>
      <c r="K7008" s="1" t="n">
        <v>3</v>
      </c>
      <c r="L7008" s="1" t="s">
        <v>2453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5" t="n">
        <v>46241</v>
      </c>
      <c r="C7009" s="1" t="n">
        <v>22</v>
      </c>
      <c r="D7009" s="1" t="s">
        <v>2436</v>
      </c>
      <c r="E7009" s="1" t="n">
        <v>42</v>
      </c>
      <c r="F7009" s="1" t="s">
        <v>80</v>
      </c>
      <c r="I7009" s="1" t="n">
        <v>4471</v>
      </c>
      <c r="J7009" s="1" t="n">
        <v>100003</v>
      </c>
      <c r="K7009" s="1" t="n">
        <v>4</v>
      </c>
      <c r="L7009" s="1" t="s">
        <v>2454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5" t="n">
        <v>46241</v>
      </c>
      <c r="C7010" s="1" t="n">
        <v>22</v>
      </c>
      <c r="D7010" s="1" t="s">
        <v>2436</v>
      </c>
      <c r="E7010" s="1" t="n">
        <v>42</v>
      </c>
      <c r="F7010" s="1" t="s">
        <v>80</v>
      </c>
      <c r="I7010" s="1" t="n">
        <v>4471</v>
      </c>
      <c r="J7010" s="1" t="n">
        <v>100004</v>
      </c>
      <c r="K7010" s="1" t="n">
        <v>5</v>
      </c>
      <c r="L7010" s="1" t="s">
        <v>2667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5" t="n">
        <v>46241</v>
      </c>
      <c r="C7011" s="1" t="n">
        <v>22</v>
      </c>
      <c r="D7011" s="1" t="s">
        <v>2436</v>
      </c>
      <c r="E7011" s="1" t="n">
        <v>42</v>
      </c>
      <c r="F7011" s="1" t="s">
        <v>80</v>
      </c>
      <c r="I7011" s="1" t="n">
        <v>4471</v>
      </c>
      <c r="J7011" s="1" t="n">
        <v>100007</v>
      </c>
      <c r="K7011" s="1" t="n">
        <v>8</v>
      </c>
      <c r="L7011" s="1" t="s">
        <v>2455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5" t="n">
        <v>46241</v>
      </c>
      <c r="C7012" s="1" t="n">
        <v>22</v>
      </c>
      <c r="D7012" s="1" t="s">
        <v>2436</v>
      </c>
      <c r="E7012" s="1" t="n">
        <v>42</v>
      </c>
      <c r="F7012" s="1" t="s">
        <v>80</v>
      </c>
      <c r="I7012" s="1" t="n">
        <v>4471</v>
      </c>
      <c r="J7012" s="1" t="n">
        <v>100638</v>
      </c>
      <c r="K7012" s="1" t="n">
        <v>508</v>
      </c>
      <c r="L7012" s="1" t="s">
        <v>2448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5" t="n">
        <v>46241</v>
      </c>
      <c r="C7013" s="1" t="n">
        <v>22</v>
      </c>
      <c r="D7013" s="1" t="s">
        <v>2436</v>
      </c>
      <c r="E7013" s="1" t="n">
        <v>42</v>
      </c>
      <c r="F7013" s="1" t="s">
        <v>80</v>
      </c>
      <c r="I7013" s="1" t="n">
        <v>4471</v>
      </c>
      <c r="J7013" s="1" t="n">
        <v>100520</v>
      </c>
      <c r="K7013" s="1" t="n">
        <v>507</v>
      </c>
      <c r="L7013" s="1" t="s">
        <v>2449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5" t="n">
        <v>46241</v>
      </c>
      <c r="C7014" s="1" t="n">
        <v>22</v>
      </c>
      <c r="D7014" s="1" t="s">
        <v>2436</v>
      </c>
      <c r="E7014" s="1" t="n">
        <v>42</v>
      </c>
      <c r="F7014" s="1" t="s">
        <v>80</v>
      </c>
      <c r="I7014" s="1" t="n">
        <v>4471</v>
      </c>
      <c r="J7014" s="1" t="n">
        <v>110455</v>
      </c>
      <c r="K7014" s="1" t="n">
        <v>53212</v>
      </c>
      <c r="L7014" s="1" t="s">
        <v>2450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5" t="n">
        <v>46241</v>
      </c>
      <c r="C7015" s="1" t="n">
        <v>22</v>
      </c>
      <c r="D7015" s="1" t="s">
        <v>2436</v>
      </c>
      <c r="E7015" s="1" t="n">
        <v>42</v>
      </c>
      <c r="F7015" s="1" t="s">
        <v>80</v>
      </c>
      <c r="I7015" s="1" t="n">
        <v>4476</v>
      </c>
      <c r="J7015" s="1" t="n">
        <v>100000</v>
      </c>
      <c r="K7015" s="1" t="n">
        <v>1</v>
      </c>
      <c r="L7015" s="1" t="s">
        <v>2451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5" t="n">
        <v>46241</v>
      </c>
      <c r="C7016" s="1" t="n">
        <v>22</v>
      </c>
      <c r="D7016" s="1" t="s">
        <v>2436</v>
      </c>
      <c r="E7016" s="1" t="n">
        <v>42</v>
      </c>
      <c r="F7016" s="1" t="s">
        <v>80</v>
      </c>
      <c r="I7016" s="1" t="n">
        <v>4476</v>
      </c>
      <c r="J7016" s="1" t="n">
        <v>100001</v>
      </c>
      <c r="K7016" s="1" t="n">
        <v>2</v>
      </c>
      <c r="L7016" s="1" t="s">
        <v>2452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5" t="n">
        <v>46241</v>
      </c>
      <c r="C7017" s="1" t="n">
        <v>22</v>
      </c>
      <c r="D7017" s="1" t="s">
        <v>2436</v>
      </c>
      <c r="E7017" s="1" t="n">
        <v>42</v>
      </c>
      <c r="F7017" s="1" t="s">
        <v>80</v>
      </c>
      <c r="I7017" s="1" t="n">
        <v>4476</v>
      </c>
      <c r="J7017" s="1" t="n">
        <v>100002</v>
      </c>
      <c r="K7017" s="1" t="n">
        <v>3</v>
      </c>
      <c r="L7017" s="1" t="s">
        <v>2453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5" t="n">
        <v>46241</v>
      </c>
      <c r="C7018" s="1" t="n">
        <v>22</v>
      </c>
      <c r="D7018" s="1" t="s">
        <v>2436</v>
      </c>
      <c r="E7018" s="1" t="n">
        <v>42</v>
      </c>
      <c r="F7018" s="1" t="s">
        <v>80</v>
      </c>
      <c r="I7018" s="1" t="n">
        <v>4476</v>
      </c>
      <c r="J7018" s="1" t="n">
        <v>100003</v>
      </c>
      <c r="K7018" s="1" t="n">
        <v>4</v>
      </c>
      <c r="L7018" s="1" t="s">
        <v>2454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5" t="n">
        <v>46241</v>
      </c>
      <c r="C7019" s="1" t="n">
        <v>22</v>
      </c>
      <c r="D7019" s="1" t="s">
        <v>2436</v>
      </c>
      <c r="E7019" s="1" t="n">
        <v>42</v>
      </c>
      <c r="F7019" s="1" t="s">
        <v>80</v>
      </c>
      <c r="I7019" s="1" t="n">
        <v>4476</v>
      </c>
      <c r="J7019" s="1" t="n">
        <v>100004</v>
      </c>
      <c r="K7019" s="1" t="n">
        <v>5</v>
      </c>
      <c r="L7019" s="1" t="s">
        <v>2667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5" t="n">
        <v>46241</v>
      </c>
      <c r="C7020" s="1" t="n">
        <v>22</v>
      </c>
      <c r="D7020" s="1" t="s">
        <v>2436</v>
      </c>
      <c r="E7020" s="1" t="n">
        <v>42</v>
      </c>
      <c r="F7020" s="1" t="s">
        <v>80</v>
      </c>
      <c r="I7020" s="1" t="n">
        <v>4476</v>
      </c>
      <c r="J7020" s="1" t="n">
        <v>100006</v>
      </c>
      <c r="K7020" s="1" t="n">
        <v>7</v>
      </c>
      <c r="L7020" s="1" t="s">
        <v>2437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5" t="n">
        <v>46241</v>
      </c>
      <c r="C7021" s="1" t="n">
        <v>22</v>
      </c>
      <c r="D7021" s="1" t="s">
        <v>2436</v>
      </c>
      <c r="E7021" s="1" t="n">
        <v>42</v>
      </c>
      <c r="F7021" s="1" t="s">
        <v>80</v>
      </c>
      <c r="I7021" s="1" t="n">
        <v>4476</v>
      </c>
      <c r="J7021" s="1" t="n">
        <v>100006</v>
      </c>
      <c r="K7021" s="1" t="n">
        <v>7</v>
      </c>
      <c r="L7021" s="1" t="s">
        <v>2437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5" t="n">
        <v>46241</v>
      </c>
      <c r="C7022" s="1" t="n">
        <v>22</v>
      </c>
      <c r="D7022" s="1" t="s">
        <v>2436</v>
      </c>
      <c r="E7022" s="1" t="n">
        <v>42</v>
      </c>
      <c r="F7022" s="1" t="s">
        <v>80</v>
      </c>
      <c r="I7022" s="1" t="n">
        <v>4476</v>
      </c>
      <c r="J7022" s="1" t="n">
        <v>100007</v>
      </c>
      <c r="K7022" s="1" t="n">
        <v>8</v>
      </c>
      <c r="L7022" s="1" t="s">
        <v>2455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5" t="n">
        <v>46241</v>
      </c>
      <c r="C7023" s="1" t="n">
        <v>22</v>
      </c>
      <c r="D7023" s="1" t="s">
        <v>2436</v>
      </c>
      <c r="E7023" s="1" t="n">
        <v>42</v>
      </c>
      <c r="F7023" s="1" t="s">
        <v>80</v>
      </c>
      <c r="I7023" s="1" t="n">
        <v>4476</v>
      </c>
      <c r="J7023" s="1" t="n">
        <v>100007</v>
      </c>
      <c r="K7023" s="1" t="n">
        <v>8</v>
      </c>
      <c r="L7023" s="1" t="s">
        <v>2455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5" t="n">
        <v>46241</v>
      </c>
      <c r="C7024" s="1" t="n">
        <v>22</v>
      </c>
      <c r="D7024" s="1" t="s">
        <v>2436</v>
      </c>
      <c r="E7024" s="1" t="n">
        <v>42</v>
      </c>
      <c r="F7024" s="1" t="s">
        <v>80</v>
      </c>
      <c r="I7024" s="1" t="n">
        <v>4476</v>
      </c>
      <c r="J7024" s="1" t="n">
        <v>100008</v>
      </c>
      <c r="K7024" s="1" t="n">
        <v>9</v>
      </c>
      <c r="L7024" s="1" t="s">
        <v>2438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5" t="n">
        <v>46241</v>
      </c>
      <c r="C7025" s="1" t="n">
        <v>22</v>
      </c>
      <c r="D7025" s="1" t="s">
        <v>2436</v>
      </c>
      <c r="E7025" s="1" t="n">
        <v>42</v>
      </c>
      <c r="F7025" s="1" t="s">
        <v>80</v>
      </c>
      <c r="I7025" s="1" t="n">
        <v>4476</v>
      </c>
      <c r="J7025" s="1" t="n">
        <v>100010</v>
      </c>
      <c r="K7025" s="1" t="n">
        <v>11</v>
      </c>
      <c r="L7025" s="1" t="s">
        <v>2439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5" t="n">
        <v>46241</v>
      </c>
      <c r="C7026" s="1" t="n">
        <v>22</v>
      </c>
      <c r="D7026" s="1" t="s">
        <v>2436</v>
      </c>
      <c r="E7026" s="1" t="n">
        <v>42</v>
      </c>
      <c r="F7026" s="1" t="s">
        <v>80</v>
      </c>
      <c r="I7026" s="1" t="n">
        <v>4476</v>
      </c>
      <c r="J7026" s="1" t="n">
        <v>100011</v>
      </c>
      <c r="K7026" s="1" t="n">
        <v>12</v>
      </c>
      <c r="L7026" s="1" t="s">
        <v>2440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5" t="n">
        <v>46241</v>
      </c>
      <c r="C7027" s="1" t="n">
        <v>22</v>
      </c>
      <c r="D7027" s="1" t="s">
        <v>2436</v>
      </c>
      <c r="E7027" s="1" t="n">
        <v>42</v>
      </c>
      <c r="F7027" s="1" t="s">
        <v>80</v>
      </c>
      <c r="I7027" s="1" t="n">
        <v>4476</v>
      </c>
      <c r="J7027" s="1" t="n">
        <v>100012</v>
      </c>
      <c r="K7027" s="1" t="n">
        <v>13</v>
      </c>
      <c r="L7027" s="1" t="s">
        <v>2441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5" t="n">
        <v>46241</v>
      </c>
      <c r="C7028" s="1" t="n">
        <v>22</v>
      </c>
      <c r="D7028" s="1" t="s">
        <v>2436</v>
      </c>
      <c r="E7028" s="1" t="n">
        <v>42</v>
      </c>
      <c r="F7028" s="1" t="s">
        <v>80</v>
      </c>
      <c r="I7028" s="1" t="n">
        <v>4476</v>
      </c>
      <c r="J7028" s="1" t="n">
        <v>100013</v>
      </c>
      <c r="K7028" s="1" t="n">
        <v>14</v>
      </c>
      <c r="L7028" s="1" t="s">
        <v>2442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5" t="n">
        <v>46241</v>
      </c>
      <c r="C7029" s="1" t="n">
        <v>22</v>
      </c>
      <c r="D7029" s="1" t="s">
        <v>2436</v>
      </c>
      <c r="E7029" s="1" t="n">
        <v>42</v>
      </c>
      <c r="F7029" s="1" t="s">
        <v>80</v>
      </c>
      <c r="I7029" s="1" t="n">
        <v>4476</v>
      </c>
      <c r="J7029" s="1" t="n">
        <v>100014</v>
      </c>
      <c r="K7029" s="1" t="n">
        <v>15</v>
      </c>
      <c r="L7029" s="1" t="s">
        <v>2443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5" t="n">
        <v>46241</v>
      </c>
      <c r="C7030" s="1" t="n">
        <v>22</v>
      </c>
      <c r="D7030" s="1" t="s">
        <v>2436</v>
      </c>
      <c r="E7030" s="1" t="n">
        <v>42</v>
      </c>
      <c r="F7030" s="1" t="s">
        <v>80</v>
      </c>
      <c r="I7030" s="1" t="n">
        <v>4476</v>
      </c>
      <c r="J7030" s="1" t="n">
        <v>100015</v>
      </c>
      <c r="K7030" s="1" t="n">
        <v>16</v>
      </c>
      <c r="L7030" s="1" t="s">
        <v>2444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5" t="n">
        <v>46241</v>
      </c>
      <c r="C7031" s="1" t="n">
        <v>22</v>
      </c>
      <c r="D7031" s="1" t="s">
        <v>2436</v>
      </c>
      <c r="E7031" s="1" t="n">
        <v>42</v>
      </c>
      <c r="F7031" s="1" t="s">
        <v>80</v>
      </c>
      <c r="I7031" s="1" t="n">
        <v>4476</v>
      </c>
      <c r="J7031" s="1" t="n">
        <v>100016</v>
      </c>
      <c r="K7031" s="1" t="n">
        <v>17</v>
      </c>
      <c r="L7031" s="1" t="s">
        <v>2445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5" t="n">
        <v>46241</v>
      </c>
      <c r="C7032" s="1" t="n">
        <v>22</v>
      </c>
      <c r="D7032" s="1" t="s">
        <v>2436</v>
      </c>
      <c r="E7032" s="1" t="n">
        <v>42</v>
      </c>
      <c r="F7032" s="1" t="s">
        <v>80</v>
      </c>
      <c r="I7032" s="1" t="n">
        <v>4476</v>
      </c>
      <c r="J7032" s="1" t="n">
        <v>100017</v>
      </c>
      <c r="K7032" s="1" t="n">
        <v>18</v>
      </c>
      <c r="L7032" s="1" t="s">
        <v>2446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5" t="n">
        <v>46241</v>
      </c>
      <c r="C7033" s="1" t="n">
        <v>22</v>
      </c>
      <c r="D7033" s="1" t="s">
        <v>2436</v>
      </c>
      <c r="E7033" s="1" t="n">
        <v>42</v>
      </c>
      <c r="F7033" s="1" t="s">
        <v>80</v>
      </c>
      <c r="I7033" s="1" t="n">
        <v>4476</v>
      </c>
      <c r="J7033" s="1" t="n">
        <v>100020</v>
      </c>
      <c r="K7033" s="1" t="n">
        <v>21</v>
      </c>
      <c r="L7033" s="1" t="s">
        <v>2456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5" t="n">
        <v>46241</v>
      </c>
      <c r="C7034" s="1" t="n">
        <v>22</v>
      </c>
      <c r="D7034" s="1" t="s">
        <v>2436</v>
      </c>
      <c r="E7034" s="1" t="n">
        <v>42</v>
      </c>
      <c r="F7034" s="1" t="s">
        <v>80</v>
      </c>
      <c r="I7034" s="1" t="n">
        <v>4476</v>
      </c>
      <c r="J7034" s="1" t="n">
        <v>100057</v>
      </c>
      <c r="K7034" s="1" t="n">
        <v>58</v>
      </c>
      <c r="L7034" s="1" t="s">
        <v>4632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5" t="n">
        <v>46241</v>
      </c>
      <c r="C7035" s="1" t="n">
        <v>22</v>
      </c>
      <c r="D7035" s="1" t="s">
        <v>2436</v>
      </c>
      <c r="E7035" s="1" t="n">
        <v>42</v>
      </c>
      <c r="F7035" s="1" t="s">
        <v>80</v>
      </c>
      <c r="I7035" s="1" t="n">
        <v>4476</v>
      </c>
      <c r="J7035" s="1" t="n">
        <v>100638</v>
      </c>
      <c r="K7035" s="1" t="n">
        <v>508</v>
      </c>
      <c r="L7035" s="1" t="s">
        <v>2448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5" t="n">
        <v>46241</v>
      </c>
      <c r="C7036" s="1" t="n">
        <v>22</v>
      </c>
      <c r="D7036" s="1" t="s">
        <v>2436</v>
      </c>
      <c r="E7036" s="1" t="n">
        <v>42</v>
      </c>
      <c r="F7036" s="1" t="s">
        <v>80</v>
      </c>
      <c r="I7036" s="1" t="n">
        <v>4476</v>
      </c>
      <c r="J7036" s="1" t="n">
        <v>100638</v>
      </c>
      <c r="K7036" s="1" t="n">
        <v>508</v>
      </c>
      <c r="L7036" s="1" t="s">
        <v>2448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5" t="n">
        <v>46241</v>
      </c>
      <c r="C7037" s="1" t="n">
        <v>22</v>
      </c>
      <c r="D7037" s="1" t="s">
        <v>2436</v>
      </c>
      <c r="E7037" s="1" t="n">
        <v>42</v>
      </c>
      <c r="F7037" s="1" t="s">
        <v>80</v>
      </c>
      <c r="I7037" s="1" t="n">
        <v>4476</v>
      </c>
      <c r="J7037" s="1" t="n">
        <v>100520</v>
      </c>
      <c r="K7037" s="1" t="n">
        <v>507</v>
      </c>
      <c r="L7037" s="1" t="s">
        <v>2449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5" t="n">
        <v>46241</v>
      </c>
      <c r="C7038" s="1" t="n">
        <v>22</v>
      </c>
      <c r="D7038" s="1" t="s">
        <v>2436</v>
      </c>
      <c r="E7038" s="1" t="n">
        <v>42</v>
      </c>
      <c r="F7038" s="1" t="s">
        <v>80</v>
      </c>
      <c r="I7038" s="1" t="n">
        <v>4476</v>
      </c>
      <c r="J7038" s="1" t="n">
        <v>100520</v>
      </c>
      <c r="K7038" s="1" t="n">
        <v>507</v>
      </c>
      <c r="L7038" s="1" t="s">
        <v>2449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5" t="n">
        <v>46241</v>
      </c>
      <c r="C7039" s="1" t="n">
        <v>22</v>
      </c>
      <c r="D7039" s="1" t="s">
        <v>2436</v>
      </c>
      <c r="E7039" s="1" t="n">
        <v>42</v>
      </c>
      <c r="F7039" s="1" t="s">
        <v>80</v>
      </c>
      <c r="I7039" s="1" t="n">
        <v>4476</v>
      </c>
      <c r="J7039" s="1" t="n">
        <v>110455</v>
      </c>
      <c r="K7039" s="1" t="n">
        <v>53212</v>
      </c>
      <c r="L7039" s="1" t="s">
        <v>2450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5" t="n">
        <v>46241</v>
      </c>
      <c r="C7040" s="1" t="n">
        <v>22</v>
      </c>
      <c r="D7040" s="1" t="s">
        <v>2436</v>
      </c>
      <c r="E7040" s="1" t="n">
        <v>42</v>
      </c>
      <c r="F7040" s="1" t="s">
        <v>80</v>
      </c>
      <c r="I7040" s="1" t="n">
        <v>4476</v>
      </c>
      <c r="J7040" s="1" t="n">
        <v>110455</v>
      </c>
      <c r="K7040" s="1" t="n">
        <v>53212</v>
      </c>
      <c r="L7040" s="1" t="s">
        <v>2450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5" t="n">
        <v>46241</v>
      </c>
      <c r="C7041" s="1" t="n">
        <v>100</v>
      </c>
      <c r="D7041" s="1" t="s">
        <v>2457</v>
      </c>
      <c r="E7041" s="1" t="n">
        <v>42</v>
      </c>
      <c r="F7041" s="1" t="s">
        <v>80</v>
      </c>
      <c r="I7041" s="1" t="n">
        <v>1513501</v>
      </c>
      <c r="J7041" s="1" t="n">
        <v>100000</v>
      </c>
      <c r="K7041" s="1" t="n">
        <v>1</v>
      </c>
      <c r="L7041" s="1" t="s">
        <v>2451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5" t="n">
        <v>46241</v>
      </c>
      <c r="C7042" s="1" t="n">
        <v>100</v>
      </c>
      <c r="D7042" s="1" t="s">
        <v>2457</v>
      </c>
      <c r="E7042" s="1" t="n">
        <v>42</v>
      </c>
      <c r="F7042" s="1" t="s">
        <v>80</v>
      </c>
      <c r="I7042" s="1" t="n">
        <v>1513501</v>
      </c>
      <c r="J7042" s="1" t="n">
        <v>100001</v>
      </c>
      <c r="K7042" s="1" t="n">
        <v>2</v>
      </c>
      <c r="L7042" s="1" t="s">
        <v>2452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5" t="n">
        <v>46241</v>
      </c>
      <c r="C7043" s="1" t="n">
        <v>100</v>
      </c>
      <c r="D7043" s="1" t="s">
        <v>2457</v>
      </c>
      <c r="E7043" s="1" t="n">
        <v>42</v>
      </c>
      <c r="F7043" s="1" t="s">
        <v>80</v>
      </c>
      <c r="I7043" s="1" t="n">
        <v>1513501</v>
      </c>
      <c r="J7043" s="1" t="n">
        <v>100002</v>
      </c>
      <c r="K7043" s="1" t="n">
        <v>3</v>
      </c>
      <c r="L7043" s="1" t="s">
        <v>2453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5" t="n">
        <v>46241</v>
      </c>
      <c r="C7044" s="1" t="n">
        <v>100</v>
      </c>
      <c r="D7044" s="1" t="s">
        <v>2457</v>
      </c>
      <c r="E7044" s="1" t="n">
        <v>42</v>
      </c>
      <c r="F7044" s="1" t="s">
        <v>80</v>
      </c>
      <c r="I7044" s="1" t="n">
        <v>1513501</v>
      </c>
      <c r="J7044" s="1" t="n">
        <v>100003</v>
      </c>
      <c r="K7044" s="1" t="n">
        <v>4</v>
      </c>
      <c r="L7044" s="1" t="s">
        <v>2454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5" t="n">
        <v>46241</v>
      </c>
      <c r="C7045" s="1" t="n">
        <v>100</v>
      </c>
      <c r="D7045" s="1" t="s">
        <v>2457</v>
      </c>
      <c r="E7045" s="1" t="n">
        <v>42</v>
      </c>
      <c r="F7045" s="1" t="s">
        <v>80</v>
      </c>
      <c r="I7045" s="1" t="n">
        <v>1513501</v>
      </c>
      <c r="J7045" s="1" t="n">
        <v>100004</v>
      </c>
      <c r="K7045" s="1" t="n">
        <v>5</v>
      </c>
      <c r="L7045" s="1" t="s">
        <v>2667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5" t="n">
        <v>46241</v>
      </c>
      <c r="C7046" s="1" t="n">
        <v>100</v>
      </c>
      <c r="D7046" s="1" t="s">
        <v>2457</v>
      </c>
      <c r="E7046" s="1" t="n">
        <v>42</v>
      </c>
      <c r="F7046" s="1" t="s">
        <v>80</v>
      </c>
      <c r="I7046" s="1" t="n">
        <v>1513501</v>
      </c>
      <c r="J7046" s="1" t="n">
        <v>100007</v>
      </c>
      <c r="K7046" s="1" t="n">
        <v>8</v>
      </c>
      <c r="L7046" s="1" t="s">
        <v>2455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5" t="n">
        <v>46241</v>
      </c>
      <c r="C7047" s="1" t="n">
        <v>100</v>
      </c>
      <c r="D7047" s="1" t="s">
        <v>2457</v>
      </c>
      <c r="E7047" s="1" t="n">
        <v>42</v>
      </c>
      <c r="F7047" s="1" t="s">
        <v>80</v>
      </c>
      <c r="I7047" s="1" t="n">
        <v>1513501</v>
      </c>
      <c r="J7047" s="1" t="n">
        <v>100638</v>
      </c>
      <c r="K7047" s="1" t="n">
        <v>508</v>
      </c>
      <c r="L7047" s="1" t="s">
        <v>2448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5" t="n">
        <v>46241</v>
      </c>
      <c r="C7048" s="1" t="n">
        <v>100</v>
      </c>
      <c r="D7048" s="1" t="s">
        <v>2457</v>
      </c>
      <c r="E7048" s="1" t="n">
        <v>42</v>
      </c>
      <c r="F7048" s="1" t="s">
        <v>80</v>
      </c>
      <c r="I7048" s="1" t="n">
        <v>1513501</v>
      </c>
      <c r="J7048" s="1" t="n">
        <v>100520</v>
      </c>
      <c r="K7048" s="1" t="n">
        <v>507</v>
      </c>
      <c r="L7048" s="1" t="s">
        <v>2449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5" t="n">
        <v>46241</v>
      </c>
      <c r="C7049" s="1" t="n">
        <v>100</v>
      </c>
      <c r="D7049" s="1" t="s">
        <v>2457</v>
      </c>
      <c r="E7049" s="1" t="n">
        <v>42</v>
      </c>
      <c r="F7049" s="1" t="s">
        <v>80</v>
      </c>
      <c r="I7049" s="1" t="n">
        <v>1513501</v>
      </c>
      <c r="J7049" s="1" t="n">
        <v>110455</v>
      </c>
      <c r="K7049" s="1" t="n">
        <v>53212</v>
      </c>
      <c r="L7049" s="1" t="s">
        <v>2450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5" t="n">
        <v>46241</v>
      </c>
      <c r="C7050" s="1" t="n">
        <v>100</v>
      </c>
      <c r="D7050" s="1" t="s">
        <v>2457</v>
      </c>
      <c r="E7050" s="1" t="n">
        <v>42</v>
      </c>
      <c r="F7050" s="1" t="s">
        <v>80</v>
      </c>
      <c r="I7050" s="1" t="n">
        <v>1514577</v>
      </c>
      <c r="J7050" s="1" t="n">
        <v>100000</v>
      </c>
      <c r="K7050" s="1" t="n">
        <v>1</v>
      </c>
      <c r="L7050" s="1" t="s">
        <v>2451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5" t="n">
        <v>46241</v>
      </c>
      <c r="C7051" s="1" t="n">
        <v>100</v>
      </c>
      <c r="D7051" s="1" t="s">
        <v>2457</v>
      </c>
      <c r="E7051" s="1" t="n">
        <v>42</v>
      </c>
      <c r="F7051" s="1" t="s">
        <v>80</v>
      </c>
      <c r="I7051" s="1" t="n">
        <v>1514577</v>
      </c>
      <c r="J7051" s="1" t="n">
        <v>100001</v>
      </c>
      <c r="K7051" s="1" t="n">
        <v>2</v>
      </c>
      <c r="L7051" s="1" t="s">
        <v>2452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5" t="n">
        <v>46241</v>
      </c>
      <c r="C7052" s="1" t="n">
        <v>100</v>
      </c>
      <c r="D7052" s="1" t="s">
        <v>2457</v>
      </c>
      <c r="E7052" s="1" t="n">
        <v>42</v>
      </c>
      <c r="F7052" s="1" t="s">
        <v>80</v>
      </c>
      <c r="I7052" s="1" t="n">
        <v>1514577</v>
      </c>
      <c r="J7052" s="1" t="n">
        <v>100002</v>
      </c>
      <c r="K7052" s="1" t="n">
        <v>3</v>
      </c>
      <c r="L7052" s="1" t="s">
        <v>2453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5" t="n">
        <v>46241</v>
      </c>
      <c r="C7053" s="1" t="n">
        <v>100</v>
      </c>
      <c r="D7053" s="1" t="s">
        <v>2457</v>
      </c>
      <c r="E7053" s="1" t="n">
        <v>42</v>
      </c>
      <c r="F7053" s="1" t="s">
        <v>80</v>
      </c>
      <c r="I7053" s="1" t="n">
        <v>1514577</v>
      </c>
      <c r="J7053" s="1" t="n">
        <v>100003</v>
      </c>
      <c r="K7053" s="1" t="n">
        <v>4</v>
      </c>
      <c r="L7053" s="1" t="s">
        <v>2454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5" t="n">
        <v>46241</v>
      </c>
      <c r="C7054" s="1" t="n">
        <v>100</v>
      </c>
      <c r="D7054" s="1" t="s">
        <v>2457</v>
      </c>
      <c r="E7054" s="1" t="n">
        <v>42</v>
      </c>
      <c r="F7054" s="1" t="s">
        <v>80</v>
      </c>
      <c r="I7054" s="1" t="n">
        <v>1514577</v>
      </c>
      <c r="J7054" s="1" t="n">
        <v>100004</v>
      </c>
      <c r="K7054" s="1" t="n">
        <v>5</v>
      </c>
      <c r="L7054" s="1" t="s">
        <v>2667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5" t="n">
        <v>46241</v>
      </c>
      <c r="C7055" s="1" t="n">
        <v>100</v>
      </c>
      <c r="D7055" s="1" t="s">
        <v>2457</v>
      </c>
      <c r="E7055" s="1" t="n">
        <v>42</v>
      </c>
      <c r="F7055" s="1" t="s">
        <v>80</v>
      </c>
      <c r="I7055" s="1" t="n">
        <v>1514577</v>
      </c>
      <c r="J7055" s="1" t="n">
        <v>100006</v>
      </c>
      <c r="K7055" s="1" t="n">
        <v>7</v>
      </c>
      <c r="L7055" s="1" t="s">
        <v>2437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5" t="n">
        <v>46241</v>
      </c>
      <c r="C7056" s="1" t="n">
        <v>100</v>
      </c>
      <c r="D7056" s="1" t="s">
        <v>2457</v>
      </c>
      <c r="E7056" s="1" t="n">
        <v>42</v>
      </c>
      <c r="F7056" s="1" t="s">
        <v>80</v>
      </c>
      <c r="I7056" s="1" t="n">
        <v>1514577</v>
      </c>
      <c r="J7056" s="1" t="n">
        <v>100007</v>
      </c>
      <c r="K7056" s="1" t="n">
        <v>8</v>
      </c>
      <c r="L7056" s="1" t="s">
        <v>2455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5" t="n">
        <v>46241</v>
      </c>
      <c r="C7057" s="1" t="n">
        <v>100</v>
      </c>
      <c r="D7057" s="1" t="s">
        <v>2457</v>
      </c>
      <c r="E7057" s="1" t="n">
        <v>42</v>
      </c>
      <c r="F7057" s="1" t="s">
        <v>80</v>
      </c>
      <c r="I7057" s="1" t="n">
        <v>1514577</v>
      </c>
      <c r="J7057" s="1" t="n">
        <v>100638</v>
      </c>
      <c r="K7057" s="1" t="n">
        <v>508</v>
      </c>
      <c r="L7057" s="1" t="s">
        <v>2448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5" t="n">
        <v>46241</v>
      </c>
      <c r="C7058" s="1" t="n">
        <v>100</v>
      </c>
      <c r="D7058" s="1" t="s">
        <v>2457</v>
      </c>
      <c r="E7058" s="1" t="n">
        <v>42</v>
      </c>
      <c r="F7058" s="1" t="s">
        <v>80</v>
      </c>
      <c r="I7058" s="1" t="n">
        <v>1514577</v>
      </c>
      <c r="J7058" s="1" t="n">
        <v>100520</v>
      </c>
      <c r="K7058" s="1" t="n">
        <v>507</v>
      </c>
      <c r="L7058" s="1" t="s">
        <v>2449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5" t="n">
        <v>46241</v>
      </c>
      <c r="C7059" s="1" t="n">
        <v>100</v>
      </c>
      <c r="D7059" s="1" t="s">
        <v>2457</v>
      </c>
      <c r="E7059" s="1" t="n">
        <v>42</v>
      </c>
      <c r="F7059" s="1" t="s">
        <v>80</v>
      </c>
      <c r="I7059" s="1" t="n">
        <v>1514577</v>
      </c>
      <c r="J7059" s="1" t="n">
        <v>110455</v>
      </c>
      <c r="K7059" s="1" t="n">
        <v>53212</v>
      </c>
      <c r="L7059" s="1" t="s">
        <v>2450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5" t="n">
        <v>46241</v>
      </c>
      <c r="C7060" s="1" t="n">
        <v>100</v>
      </c>
      <c r="D7060" s="1" t="s">
        <v>2457</v>
      </c>
      <c r="E7060" s="1" t="n">
        <v>42</v>
      </c>
      <c r="F7060" s="1" t="s">
        <v>80</v>
      </c>
      <c r="I7060" s="1" t="n">
        <v>1514580</v>
      </c>
      <c r="J7060" s="1" t="n">
        <v>100006</v>
      </c>
      <c r="K7060" s="1" t="n">
        <v>7</v>
      </c>
      <c r="L7060" s="1" t="s">
        <v>2437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5" t="n">
        <v>46241</v>
      </c>
      <c r="C7061" s="1" t="n">
        <v>100</v>
      </c>
      <c r="D7061" s="1" t="s">
        <v>2457</v>
      </c>
      <c r="E7061" s="1" t="n">
        <v>42</v>
      </c>
      <c r="F7061" s="1" t="s">
        <v>80</v>
      </c>
      <c r="I7061" s="1" t="n">
        <v>1514580</v>
      </c>
      <c r="J7061" s="1" t="n">
        <v>100007</v>
      </c>
      <c r="K7061" s="1" t="n">
        <v>8</v>
      </c>
      <c r="L7061" s="1" t="s">
        <v>2455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5" t="n">
        <v>46241</v>
      </c>
      <c r="C7062" s="1" t="n">
        <v>100</v>
      </c>
      <c r="D7062" s="1" t="s">
        <v>2457</v>
      </c>
      <c r="E7062" s="1" t="n">
        <v>42</v>
      </c>
      <c r="F7062" s="1" t="s">
        <v>80</v>
      </c>
      <c r="I7062" s="1" t="n">
        <v>1514580</v>
      </c>
      <c r="J7062" s="1" t="n">
        <v>100008</v>
      </c>
      <c r="K7062" s="1" t="n">
        <v>9</v>
      </c>
      <c r="L7062" s="1" t="s">
        <v>2438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5" t="n">
        <v>46241</v>
      </c>
      <c r="C7063" s="1" t="n">
        <v>100</v>
      </c>
      <c r="D7063" s="1" t="s">
        <v>2457</v>
      </c>
      <c r="E7063" s="1" t="n">
        <v>42</v>
      </c>
      <c r="F7063" s="1" t="s">
        <v>80</v>
      </c>
      <c r="I7063" s="1" t="n">
        <v>1514580</v>
      </c>
      <c r="J7063" s="1" t="n">
        <v>100010</v>
      </c>
      <c r="K7063" s="1" t="n">
        <v>11</v>
      </c>
      <c r="L7063" s="1" t="s">
        <v>2439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5" t="n">
        <v>46241</v>
      </c>
      <c r="C7064" s="1" t="n">
        <v>100</v>
      </c>
      <c r="D7064" s="1" t="s">
        <v>2457</v>
      </c>
      <c r="E7064" s="1" t="n">
        <v>42</v>
      </c>
      <c r="F7064" s="1" t="s">
        <v>80</v>
      </c>
      <c r="I7064" s="1" t="n">
        <v>1514580</v>
      </c>
      <c r="J7064" s="1" t="n">
        <v>100011</v>
      </c>
      <c r="K7064" s="1" t="n">
        <v>12</v>
      </c>
      <c r="L7064" s="1" t="s">
        <v>2440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5" t="n">
        <v>46241</v>
      </c>
      <c r="C7065" s="1" t="n">
        <v>100</v>
      </c>
      <c r="D7065" s="1" t="s">
        <v>2457</v>
      </c>
      <c r="E7065" s="1" t="n">
        <v>42</v>
      </c>
      <c r="F7065" s="1" t="s">
        <v>80</v>
      </c>
      <c r="I7065" s="1" t="n">
        <v>1514580</v>
      </c>
      <c r="J7065" s="1" t="n">
        <v>100012</v>
      </c>
      <c r="K7065" s="1" t="n">
        <v>13</v>
      </c>
      <c r="L7065" s="1" t="s">
        <v>2441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5" t="n">
        <v>46241</v>
      </c>
      <c r="C7066" s="1" t="n">
        <v>100</v>
      </c>
      <c r="D7066" s="1" t="s">
        <v>2457</v>
      </c>
      <c r="E7066" s="1" t="n">
        <v>42</v>
      </c>
      <c r="F7066" s="1" t="s">
        <v>80</v>
      </c>
      <c r="I7066" s="1" t="n">
        <v>1514580</v>
      </c>
      <c r="J7066" s="1" t="n">
        <v>100013</v>
      </c>
      <c r="K7066" s="1" t="n">
        <v>14</v>
      </c>
      <c r="L7066" s="1" t="s">
        <v>2442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5" t="n">
        <v>46241</v>
      </c>
      <c r="C7067" s="1" t="n">
        <v>100</v>
      </c>
      <c r="D7067" s="1" t="s">
        <v>2457</v>
      </c>
      <c r="E7067" s="1" t="n">
        <v>42</v>
      </c>
      <c r="F7067" s="1" t="s">
        <v>80</v>
      </c>
      <c r="I7067" s="1" t="n">
        <v>1514580</v>
      </c>
      <c r="J7067" s="1" t="n">
        <v>100014</v>
      </c>
      <c r="K7067" s="1" t="n">
        <v>15</v>
      </c>
      <c r="L7067" s="1" t="s">
        <v>2443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5" t="n">
        <v>46241</v>
      </c>
      <c r="C7068" s="1" t="n">
        <v>100</v>
      </c>
      <c r="D7068" s="1" t="s">
        <v>2457</v>
      </c>
      <c r="E7068" s="1" t="n">
        <v>42</v>
      </c>
      <c r="F7068" s="1" t="s">
        <v>80</v>
      </c>
      <c r="I7068" s="1" t="n">
        <v>1514580</v>
      </c>
      <c r="J7068" s="1" t="n">
        <v>100015</v>
      </c>
      <c r="K7068" s="1" t="n">
        <v>16</v>
      </c>
      <c r="L7068" s="1" t="s">
        <v>2444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5" t="n">
        <v>46241</v>
      </c>
      <c r="C7069" s="1" t="n">
        <v>100</v>
      </c>
      <c r="D7069" s="1" t="s">
        <v>2457</v>
      </c>
      <c r="E7069" s="1" t="n">
        <v>42</v>
      </c>
      <c r="F7069" s="1" t="s">
        <v>80</v>
      </c>
      <c r="I7069" s="1" t="n">
        <v>1514580</v>
      </c>
      <c r="J7069" s="1" t="n">
        <v>100016</v>
      </c>
      <c r="K7069" s="1" t="n">
        <v>17</v>
      </c>
      <c r="L7069" s="1" t="s">
        <v>2445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5" t="n">
        <v>46241</v>
      </c>
      <c r="C7070" s="1" t="n">
        <v>100</v>
      </c>
      <c r="D7070" s="1" t="s">
        <v>2457</v>
      </c>
      <c r="E7070" s="1" t="n">
        <v>42</v>
      </c>
      <c r="F7070" s="1" t="s">
        <v>80</v>
      </c>
      <c r="I7070" s="1" t="n">
        <v>1514580</v>
      </c>
      <c r="J7070" s="1" t="n">
        <v>100017</v>
      </c>
      <c r="K7070" s="1" t="n">
        <v>18</v>
      </c>
      <c r="L7070" s="1" t="s">
        <v>2446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5" t="n">
        <v>46241</v>
      </c>
      <c r="C7071" s="1" t="n">
        <v>100</v>
      </c>
      <c r="D7071" s="1" t="s">
        <v>2457</v>
      </c>
      <c r="E7071" s="1" t="n">
        <v>42</v>
      </c>
      <c r="F7071" s="1" t="s">
        <v>80</v>
      </c>
      <c r="I7071" s="1" t="n">
        <v>1514580</v>
      </c>
      <c r="J7071" s="1" t="n">
        <v>100020</v>
      </c>
      <c r="K7071" s="1" t="n">
        <v>21</v>
      </c>
      <c r="L7071" s="1" t="s">
        <v>2456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5" t="n">
        <v>46241</v>
      </c>
      <c r="C7072" s="1" t="n">
        <v>100</v>
      </c>
      <c r="D7072" s="1" t="s">
        <v>2457</v>
      </c>
      <c r="E7072" s="1" t="n">
        <v>42</v>
      </c>
      <c r="F7072" s="1" t="s">
        <v>80</v>
      </c>
      <c r="I7072" s="1" t="n">
        <v>1514580</v>
      </c>
      <c r="J7072" s="1" t="n">
        <v>100057</v>
      </c>
      <c r="K7072" s="1" t="n">
        <v>58</v>
      </c>
      <c r="L7072" s="1" t="s">
        <v>4632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5" t="n">
        <v>46241</v>
      </c>
      <c r="C7073" s="1" t="n">
        <v>100</v>
      </c>
      <c r="D7073" s="1" t="s">
        <v>2457</v>
      </c>
      <c r="E7073" s="1" t="n">
        <v>42</v>
      </c>
      <c r="F7073" s="1" t="s">
        <v>80</v>
      </c>
      <c r="I7073" s="1" t="n">
        <v>1514580</v>
      </c>
      <c r="J7073" s="1" t="n">
        <v>100638</v>
      </c>
      <c r="K7073" s="1" t="n">
        <v>508</v>
      </c>
      <c r="L7073" s="1" t="s">
        <v>2448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5" t="n">
        <v>46241</v>
      </c>
      <c r="C7074" s="1" t="n">
        <v>100</v>
      </c>
      <c r="D7074" s="1" t="s">
        <v>2457</v>
      </c>
      <c r="E7074" s="1" t="n">
        <v>42</v>
      </c>
      <c r="F7074" s="1" t="s">
        <v>80</v>
      </c>
      <c r="I7074" s="1" t="n">
        <v>1514580</v>
      </c>
      <c r="J7074" s="1" t="n">
        <v>100520</v>
      </c>
      <c r="K7074" s="1" t="n">
        <v>507</v>
      </c>
      <c r="L7074" s="1" t="s">
        <v>2449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5" t="n">
        <v>46241</v>
      </c>
      <c r="C7075" s="1" t="n">
        <v>100</v>
      </c>
      <c r="D7075" s="1" t="s">
        <v>2457</v>
      </c>
      <c r="E7075" s="1" t="n">
        <v>42</v>
      </c>
      <c r="F7075" s="1" t="s">
        <v>80</v>
      </c>
      <c r="I7075" s="1" t="n">
        <v>1514580</v>
      </c>
      <c r="J7075" s="1" t="n">
        <v>110455</v>
      </c>
      <c r="K7075" s="1" t="n">
        <v>53212</v>
      </c>
      <c r="L7075" s="1" t="s">
        <v>2450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5" t="n">
        <v>46241</v>
      </c>
      <c r="C7076" s="1" t="n">
        <v>107</v>
      </c>
      <c r="D7076" s="1" t="s">
        <v>2735</v>
      </c>
      <c r="E7076" s="1" t="n">
        <v>1672</v>
      </c>
      <c r="F7076" s="1" t="s">
        <v>67</v>
      </c>
      <c r="I7076" s="1" t="n">
        <v>1413402</v>
      </c>
      <c r="J7076" s="1" t="n">
        <v>13763</v>
      </c>
      <c r="K7076" s="1" t="n">
        <v>7898938236652</v>
      </c>
      <c r="L7076" s="1" t="s">
        <v>4669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5" t="n">
        <v>46241</v>
      </c>
      <c r="C7077" s="1" t="n">
        <v>107</v>
      </c>
      <c r="D7077" s="1" t="s">
        <v>2735</v>
      </c>
      <c r="E7077" s="1" t="n">
        <v>1672</v>
      </c>
      <c r="F7077" s="1" t="s">
        <v>67</v>
      </c>
      <c r="I7077" s="1" t="n">
        <v>1413402</v>
      </c>
      <c r="J7077" s="1" t="n">
        <v>13798</v>
      </c>
      <c r="K7077" s="1" t="n">
        <v>7896520025974</v>
      </c>
      <c r="L7077" s="1" t="s">
        <v>4226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5" t="n">
        <v>46241</v>
      </c>
      <c r="C7078" s="1" t="n">
        <v>107</v>
      </c>
      <c r="D7078" s="1" t="s">
        <v>2735</v>
      </c>
      <c r="E7078" s="1" t="n">
        <v>1672</v>
      </c>
      <c r="F7078" s="1" t="s">
        <v>67</v>
      </c>
      <c r="I7078" s="1" t="n">
        <v>1413402</v>
      </c>
      <c r="J7078" s="1" t="n">
        <v>14974</v>
      </c>
      <c r="K7078" s="1" t="n">
        <v>7896579380123</v>
      </c>
      <c r="L7078" s="1" t="s">
        <v>3759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5" t="n">
        <v>46241</v>
      </c>
      <c r="C7079" s="1" t="n">
        <v>107</v>
      </c>
      <c r="D7079" s="1" t="s">
        <v>2735</v>
      </c>
      <c r="E7079" s="1" t="n">
        <v>1672</v>
      </c>
      <c r="F7079" s="1" t="s">
        <v>67</v>
      </c>
      <c r="I7079" s="1" t="n">
        <v>1413402</v>
      </c>
      <c r="J7079" s="1" t="n">
        <v>35008</v>
      </c>
      <c r="K7079" s="1" t="n">
        <v>7896579350256</v>
      </c>
      <c r="L7079" s="1" t="s">
        <v>3765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5" t="n">
        <v>46241</v>
      </c>
      <c r="C7080" s="1" t="n">
        <v>107</v>
      </c>
      <c r="D7080" s="1" t="s">
        <v>2735</v>
      </c>
      <c r="E7080" s="1" t="n">
        <v>1672</v>
      </c>
      <c r="F7080" s="1" t="s">
        <v>67</v>
      </c>
      <c r="I7080" s="1" t="n">
        <v>1413402</v>
      </c>
      <c r="J7080" s="1" t="n">
        <v>37044</v>
      </c>
      <c r="K7080" s="1" t="n">
        <v>7896579320211</v>
      </c>
      <c r="L7080" s="1" t="s">
        <v>4670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5" t="n">
        <v>46241</v>
      </c>
      <c r="C7081" s="1" t="n">
        <v>107</v>
      </c>
      <c r="D7081" s="1" t="s">
        <v>2735</v>
      </c>
      <c r="E7081" s="1" t="n">
        <v>1672</v>
      </c>
      <c r="F7081" s="1" t="s">
        <v>67</v>
      </c>
      <c r="I7081" s="1" t="n">
        <v>1413402</v>
      </c>
      <c r="J7081" s="1" t="n">
        <v>37157</v>
      </c>
      <c r="K7081" s="1" t="n">
        <v>7896579310403</v>
      </c>
      <c r="L7081" s="1" t="s">
        <v>2872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5" t="n">
        <v>46241</v>
      </c>
      <c r="C7082" s="1" t="n">
        <v>107</v>
      </c>
      <c r="D7082" s="1" t="s">
        <v>2735</v>
      </c>
      <c r="E7082" s="1" t="n">
        <v>1672</v>
      </c>
      <c r="F7082" s="1" t="s">
        <v>67</v>
      </c>
      <c r="I7082" s="1" t="n">
        <v>1413402</v>
      </c>
      <c r="J7082" s="1" t="n">
        <v>38539</v>
      </c>
      <c r="K7082" s="1" t="n">
        <v>7896579320235</v>
      </c>
      <c r="L7082" s="1" t="s">
        <v>2874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5" t="n">
        <v>46241</v>
      </c>
      <c r="C7083" s="1" t="n">
        <v>107</v>
      </c>
      <c r="D7083" s="1" t="s">
        <v>2735</v>
      </c>
      <c r="E7083" s="1" t="n">
        <v>1672</v>
      </c>
      <c r="F7083" s="1" t="s">
        <v>67</v>
      </c>
      <c r="I7083" s="1" t="n">
        <v>1413402</v>
      </c>
      <c r="J7083" s="1" t="n">
        <v>39156</v>
      </c>
      <c r="K7083" s="1" t="n">
        <v>7896579320266</v>
      </c>
      <c r="L7083" s="1" t="s">
        <v>4671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5" t="n">
        <v>46241</v>
      </c>
      <c r="C7084" s="1" t="n">
        <v>107</v>
      </c>
      <c r="D7084" s="1" t="s">
        <v>2735</v>
      </c>
      <c r="E7084" s="1" t="n">
        <v>1672</v>
      </c>
      <c r="F7084" s="1" t="s">
        <v>67</v>
      </c>
      <c r="I7084" s="1" t="n">
        <v>1413402</v>
      </c>
      <c r="J7084" s="1" t="n">
        <v>58707</v>
      </c>
      <c r="K7084" s="1" t="n">
        <v>7896579360064</v>
      </c>
      <c r="L7084" s="1" t="s">
        <v>4672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5" t="n">
        <v>46241</v>
      </c>
      <c r="C7085" s="1" t="n">
        <v>171</v>
      </c>
      <c r="D7085" s="1" t="s">
        <v>2517</v>
      </c>
      <c r="E7085" s="1" t="n">
        <v>1659</v>
      </c>
      <c r="F7085" s="1" t="s">
        <v>251</v>
      </c>
      <c r="I7085" s="1" t="n">
        <v>889383</v>
      </c>
      <c r="J7085" s="1" t="n">
        <v>27930</v>
      </c>
      <c r="K7085" s="1" t="n">
        <v>7890875676287</v>
      </c>
      <c r="L7085" s="1" t="s">
        <v>4646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5" t="n">
        <v>46241</v>
      </c>
      <c r="C7086" s="1" t="n">
        <v>171</v>
      </c>
      <c r="D7086" s="1" t="s">
        <v>2517</v>
      </c>
      <c r="E7086" s="1" t="n">
        <v>1659</v>
      </c>
      <c r="F7086" s="1" t="s">
        <v>251</v>
      </c>
      <c r="I7086" s="1" t="n">
        <v>889383</v>
      </c>
      <c r="J7086" s="1" t="n">
        <v>78957</v>
      </c>
      <c r="K7086" s="1" t="n">
        <v>7900204464420</v>
      </c>
      <c r="L7086" s="1" t="s">
        <v>4653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5" t="n">
        <v>46242</v>
      </c>
      <c r="C7087" s="1" t="n">
        <v>1</v>
      </c>
      <c r="D7087" s="1" t="s">
        <v>2317</v>
      </c>
      <c r="E7087" s="1" t="n">
        <v>10043</v>
      </c>
      <c r="F7087" s="1" t="s">
        <v>112</v>
      </c>
      <c r="I7087" s="1" t="n">
        <v>846</v>
      </c>
      <c r="J7087" s="1" t="n">
        <v>52096</v>
      </c>
      <c r="K7087" s="1" t="n">
        <v>144315</v>
      </c>
      <c r="L7087" s="1" t="s">
        <v>2318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5" t="n">
        <v>46242</v>
      </c>
      <c r="C7088" s="1" t="n">
        <v>6</v>
      </c>
      <c r="D7088" s="1" t="s">
        <v>2289</v>
      </c>
      <c r="E7088" s="1" t="n">
        <v>42</v>
      </c>
      <c r="F7088" s="1" t="s">
        <v>80</v>
      </c>
      <c r="I7088" s="1" t="n">
        <v>4477</v>
      </c>
      <c r="J7088" s="1" t="n">
        <v>109791</v>
      </c>
      <c r="K7088" s="1" t="n">
        <v>9667</v>
      </c>
      <c r="L7088" s="1" t="s">
        <v>2284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5" t="n">
        <v>46242</v>
      </c>
      <c r="C7089" s="1" t="n">
        <v>6</v>
      </c>
      <c r="D7089" s="1" t="s">
        <v>2289</v>
      </c>
      <c r="E7089" s="1" t="n">
        <v>42</v>
      </c>
      <c r="F7089" s="1" t="s">
        <v>80</v>
      </c>
      <c r="I7089" s="1" t="n">
        <v>4477</v>
      </c>
      <c r="J7089" s="1" t="n">
        <v>37359</v>
      </c>
      <c r="K7089" s="1" t="n">
        <v>55526</v>
      </c>
      <c r="L7089" s="1" t="s">
        <v>2285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5" t="n">
        <v>46242</v>
      </c>
      <c r="C7090" s="1" t="n">
        <v>6</v>
      </c>
      <c r="D7090" s="1" t="s">
        <v>2289</v>
      </c>
      <c r="E7090" s="1" t="n">
        <v>42</v>
      </c>
      <c r="F7090" s="1" t="s">
        <v>80</v>
      </c>
      <c r="I7090" s="1" t="n">
        <v>4477</v>
      </c>
      <c r="J7090" s="1" t="n">
        <v>37361</v>
      </c>
      <c r="K7090" s="1" t="n">
        <v>2240817</v>
      </c>
      <c r="L7090" s="1" t="s">
        <v>2286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5" t="n">
        <v>46242</v>
      </c>
      <c r="C7091" s="1" t="n">
        <v>6</v>
      </c>
      <c r="D7091" s="1" t="s">
        <v>2289</v>
      </c>
      <c r="E7091" s="1" t="n">
        <v>42</v>
      </c>
      <c r="F7091" s="1" t="s">
        <v>80</v>
      </c>
      <c r="I7091" s="1" t="n">
        <v>4478</v>
      </c>
      <c r="J7091" s="1" t="n">
        <v>100103</v>
      </c>
      <c r="K7091" s="1" t="n">
        <v>104</v>
      </c>
      <c r="L7091" s="1" t="s">
        <v>2287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5" t="n">
        <v>46242</v>
      </c>
      <c r="C7092" s="1" t="n">
        <v>6</v>
      </c>
      <c r="D7092" s="1" t="s">
        <v>2289</v>
      </c>
      <c r="E7092" s="1" t="n">
        <v>42</v>
      </c>
      <c r="F7092" s="1" t="s">
        <v>80</v>
      </c>
      <c r="I7092" s="1" t="n">
        <v>4479</v>
      </c>
      <c r="J7092" s="1" t="n">
        <v>80308</v>
      </c>
      <c r="K7092" s="1" t="n">
        <v>1250</v>
      </c>
      <c r="L7092" s="1" t="s">
        <v>4673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5" t="n">
        <v>46242</v>
      </c>
      <c r="C7093" s="1" t="n">
        <v>11</v>
      </c>
      <c r="D7093" s="1" t="s">
        <v>2290</v>
      </c>
      <c r="E7093" s="1" t="n">
        <v>1378</v>
      </c>
      <c r="F7093" s="1" t="s">
        <v>120</v>
      </c>
      <c r="I7093" s="1" t="n">
        <v>18584</v>
      </c>
      <c r="J7093" s="1" t="n">
        <v>74063</v>
      </c>
      <c r="K7093" s="1" t="n">
        <v>42882264262</v>
      </c>
      <c r="L7093" s="1" t="s">
        <v>2341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5" t="n">
        <v>46242</v>
      </c>
      <c r="C7094" s="1" t="n">
        <v>11</v>
      </c>
      <c r="D7094" s="1" t="s">
        <v>2290</v>
      </c>
      <c r="E7094" s="1" t="n">
        <v>1378</v>
      </c>
      <c r="F7094" s="1" t="s">
        <v>120</v>
      </c>
      <c r="I7094" s="1" t="n">
        <v>18584</v>
      </c>
      <c r="J7094" s="1" t="n">
        <v>74064</v>
      </c>
      <c r="K7094" s="1" t="n">
        <v>42882264279</v>
      </c>
      <c r="L7094" s="1" t="s">
        <v>2342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5" t="n">
        <v>46242</v>
      </c>
      <c r="C7095" s="1" t="n">
        <v>11</v>
      </c>
      <c r="D7095" s="1" t="s">
        <v>2290</v>
      </c>
      <c r="E7095" s="1" t="n">
        <v>1378</v>
      </c>
      <c r="F7095" s="1" t="s">
        <v>120</v>
      </c>
      <c r="I7095" s="1" t="n">
        <v>18584</v>
      </c>
      <c r="J7095" s="1" t="n">
        <v>74065</v>
      </c>
      <c r="K7095" s="1" t="n">
        <v>602883558090</v>
      </c>
      <c r="L7095" s="1" t="s">
        <v>2343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5" t="n">
        <v>46242</v>
      </c>
      <c r="C7096" s="1" t="n">
        <v>11</v>
      </c>
      <c r="D7096" s="1" t="s">
        <v>2290</v>
      </c>
      <c r="E7096" s="1" t="n">
        <v>1378</v>
      </c>
      <c r="F7096" s="1" t="s">
        <v>120</v>
      </c>
      <c r="I7096" s="1" t="n">
        <v>18584</v>
      </c>
      <c r="J7096" s="1" t="n">
        <v>77994</v>
      </c>
      <c r="K7096" s="1" t="n">
        <v>780117</v>
      </c>
      <c r="L7096" s="1" t="s">
        <v>2344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5" t="n">
        <v>46242</v>
      </c>
      <c r="C7097" s="1" t="n">
        <v>11</v>
      </c>
      <c r="D7097" s="1" t="s">
        <v>2290</v>
      </c>
      <c r="E7097" s="1" t="n">
        <v>1675</v>
      </c>
      <c r="F7097" s="1" t="s">
        <v>163</v>
      </c>
      <c r="I7097" s="1" t="n">
        <v>506838</v>
      </c>
      <c r="J7097" s="1" t="n">
        <v>100454</v>
      </c>
      <c r="K7097" s="1" t="n">
        <v>7896806700069</v>
      </c>
      <c r="L7097" s="1" t="s">
        <v>4674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5" t="n">
        <v>46242</v>
      </c>
      <c r="C7098" s="1" t="n">
        <v>11</v>
      </c>
      <c r="D7098" s="1" t="s">
        <v>2290</v>
      </c>
      <c r="E7098" s="1" t="n">
        <v>1675</v>
      </c>
      <c r="F7098" s="1" t="s">
        <v>163</v>
      </c>
      <c r="I7098" s="1" t="n">
        <v>506838</v>
      </c>
      <c r="J7098" s="1" t="n">
        <v>101300</v>
      </c>
      <c r="K7098" s="1" t="n">
        <v>7891024134610</v>
      </c>
      <c r="L7098" s="1" t="s">
        <v>4675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5" t="n">
        <v>46242</v>
      </c>
      <c r="C7099" s="1" t="n">
        <v>11</v>
      </c>
      <c r="D7099" s="1" t="s">
        <v>2290</v>
      </c>
      <c r="E7099" s="1" t="n">
        <v>1675</v>
      </c>
      <c r="F7099" s="1" t="s">
        <v>163</v>
      </c>
      <c r="I7099" s="1" t="n">
        <v>506838</v>
      </c>
      <c r="J7099" s="1" t="n">
        <v>101302</v>
      </c>
      <c r="K7099" s="1" t="n">
        <v>7891024132128</v>
      </c>
      <c r="L7099" s="1" t="s">
        <v>4676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5" t="n">
        <v>46242</v>
      </c>
      <c r="C7100" s="1" t="n">
        <v>11</v>
      </c>
      <c r="D7100" s="1" t="s">
        <v>2290</v>
      </c>
      <c r="E7100" s="1" t="n">
        <v>1675</v>
      </c>
      <c r="F7100" s="1" t="s">
        <v>163</v>
      </c>
      <c r="I7100" s="1" t="n">
        <v>506838</v>
      </c>
      <c r="J7100" s="1" t="n">
        <v>101303</v>
      </c>
      <c r="K7100" s="1" t="n">
        <v>7891024132005</v>
      </c>
      <c r="L7100" s="1" t="s">
        <v>4677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5" t="n">
        <v>46242</v>
      </c>
      <c r="C7101" s="1" t="n">
        <v>11</v>
      </c>
      <c r="D7101" s="1" t="s">
        <v>2290</v>
      </c>
      <c r="E7101" s="1" t="n">
        <v>1675</v>
      </c>
      <c r="F7101" s="1" t="s">
        <v>163</v>
      </c>
      <c r="I7101" s="1" t="n">
        <v>506838</v>
      </c>
      <c r="J7101" s="1" t="n">
        <v>101338</v>
      </c>
      <c r="K7101" s="1" t="n">
        <v>7891528038025</v>
      </c>
      <c r="L7101" s="1" t="s">
        <v>4678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5" t="n">
        <v>46242</v>
      </c>
      <c r="C7102" s="1" t="n">
        <v>11</v>
      </c>
      <c r="D7102" s="1" t="s">
        <v>2290</v>
      </c>
      <c r="E7102" s="1" t="n">
        <v>1675</v>
      </c>
      <c r="F7102" s="1" t="s">
        <v>163</v>
      </c>
      <c r="I7102" s="1" t="n">
        <v>506838</v>
      </c>
      <c r="J7102" s="1" t="n">
        <v>104031</v>
      </c>
      <c r="K7102" s="1" t="n">
        <v>7891024134702</v>
      </c>
      <c r="L7102" s="1" t="s">
        <v>4679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5" t="n">
        <v>46242</v>
      </c>
      <c r="C7103" s="1" t="n">
        <v>11</v>
      </c>
      <c r="D7103" s="1" t="s">
        <v>2290</v>
      </c>
      <c r="E7103" s="1" t="n">
        <v>1675</v>
      </c>
      <c r="F7103" s="1" t="s">
        <v>163</v>
      </c>
      <c r="I7103" s="1" t="n">
        <v>506838</v>
      </c>
      <c r="J7103" s="1" t="n">
        <v>104345</v>
      </c>
      <c r="K7103" s="1" t="n">
        <v>7891024132906</v>
      </c>
      <c r="L7103" s="1" t="s">
        <v>4680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5" t="n">
        <v>46242</v>
      </c>
      <c r="C7104" s="1" t="n">
        <v>11</v>
      </c>
      <c r="D7104" s="1" t="s">
        <v>2290</v>
      </c>
      <c r="E7104" s="1" t="n">
        <v>1675</v>
      </c>
      <c r="F7104" s="1" t="s">
        <v>163</v>
      </c>
      <c r="I7104" s="1" t="n">
        <v>506838</v>
      </c>
      <c r="J7104" s="1" t="n">
        <v>12480</v>
      </c>
      <c r="K7104" s="1" t="n">
        <v>7891024132371</v>
      </c>
      <c r="L7104" s="1" t="s">
        <v>4681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5" t="n">
        <v>46242</v>
      </c>
      <c r="C7105" s="1" t="n">
        <v>11</v>
      </c>
      <c r="D7105" s="1" t="s">
        <v>2290</v>
      </c>
      <c r="E7105" s="1" t="n">
        <v>1675</v>
      </c>
      <c r="F7105" s="1" t="s">
        <v>163</v>
      </c>
      <c r="I7105" s="1" t="n">
        <v>506838</v>
      </c>
      <c r="J7105" s="1" t="n">
        <v>77163</v>
      </c>
      <c r="K7105" s="1" t="n">
        <v>7908785482659</v>
      </c>
      <c r="L7105" s="1" t="s">
        <v>4682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5" t="n">
        <v>46242</v>
      </c>
      <c r="C7106" s="1" t="n">
        <v>171</v>
      </c>
      <c r="D7106" s="1" t="s">
        <v>2517</v>
      </c>
      <c r="E7106" s="1" t="n">
        <v>1675</v>
      </c>
      <c r="F7106" s="1" t="s">
        <v>163</v>
      </c>
      <c r="I7106" s="1" t="n">
        <v>506844</v>
      </c>
      <c r="J7106" s="1" t="n">
        <v>100407</v>
      </c>
      <c r="K7106" s="1" t="n">
        <v>7897161360059</v>
      </c>
      <c r="L7106" s="1" t="s">
        <v>4683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5" t="n">
        <v>46244</v>
      </c>
      <c r="C7107" s="1" t="n">
        <v>6</v>
      </c>
      <c r="D7107" s="1" t="s">
        <v>2289</v>
      </c>
      <c r="E7107" s="1" t="n">
        <v>42</v>
      </c>
      <c r="F7107" s="1" t="s">
        <v>80</v>
      </c>
      <c r="I7107" s="1" t="n">
        <v>4480</v>
      </c>
      <c r="J7107" s="1" t="n">
        <v>109791</v>
      </c>
      <c r="K7107" s="1" t="n">
        <v>9667</v>
      </c>
      <c r="L7107" s="1" t="s">
        <v>2284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5" t="n">
        <v>46244</v>
      </c>
      <c r="C7108" s="1" t="n">
        <v>6</v>
      </c>
      <c r="D7108" s="1" t="s">
        <v>2289</v>
      </c>
      <c r="E7108" s="1" t="n">
        <v>42</v>
      </c>
      <c r="F7108" s="1" t="s">
        <v>80</v>
      </c>
      <c r="I7108" s="1" t="n">
        <v>4480</v>
      </c>
      <c r="J7108" s="1" t="n">
        <v>37359</v>
      </c>
      <c r="K7108" s="1" t="n">
        <v>55526</v>
      </c>
      <c r="L7108" s="1" t="s">
        <v>2285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5" t="n">
        <v>46244</v>
      </c>
      <c r="C7109" s="1" t="n">
        <v>6</v>
      </c>
      <c r="D7109" s="1" t="s">
        <v>2289</v>
      </c>
      <c r="E7109" s="1" t="n">
        <v>42</v>
      </c>
      <c r="F7109" s="1" t="s">
        <v>80</v>
      </c>
      <c r="I7109" s="1" t="n">
        <v>4480</v>
      </c>
      <c r="J7109" s="1" t="n">
        <v>37361</v>
      </c>
      <c r="K7109" s="1" t="n">
        <v>2240817</v>
      </c>
      <c r="L7109" s="1" t="s">
        <v>2286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5" t="n">
        <v>46244</v>
      </c>
      <c r="C7110" s="1" t="n">
        <v>6</v>
      </c>
      <c r="D7110" s="1" t="s">
        <v>2289</v>
      </c>
      <c r="E7110" s="1" t="n">
        <v>42</v>
      </c>
      <c r="F7110" s="1" t="s">
        <v>80</v>
      </c>
      <c r="I7110" s="1" t="n">
        <v>4481</v>
      </c>
      <c r="J7110" s="1" t="n">
        <v>100103</v>
      </c>
      <c r="K7110" s="1" t="n">
        <v>104</v>
      </c>
      <c r="L7110" s="1" t="s">
        <v>2287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5" t="n">
        <v>46244</v>
      </c>
      <c r="C7111" s="1" t="n">
        <v>11</v>
      </c>
      <c r="D7111" s="1" t="s">
        <v>2290</v>
      </c>
      <c r="E7111" s="1" t="n">
        <v>10096</v>
      </c>
      <c r="F7111" s="1" t="s">
        <v>1232</v>
      </c>
      <c r="I7111" s="1" t="n">
        <v>136</v>
      </c>
      <c r="J7111" s="1" t="n">
        <v>61580</v>
      </c>
      <c r="K7111" s="1" t="n">
        <v>2258157</v>
      </c>
      <c r="L7111" s="1" t="s">
        <v>2339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5" t="n">
        <v>46244</v>
      </c>
      <c r="C7112" s="1" t="n">
        <v>11</v>
      </c>
      <c r="D7112" s="1" t="s">
        <v>2290</v>
      </c>
      <c r="E7112" s="1" t="n">
        <v>642</v>
      </c>
      <c r="F7112" s="1" t="s">
        <v>135</v>
      </c>
      <c r="I7112" s="1" t="n">
        <v>580</v>
      </c>
      <c r="J7112" s="1" t="n">
        <v>71766</v>
      </c>
      <c r="K7112" s="1" t="n">
        <v>779180</v>
      </c>
      <c r="L7112" s="1" t="s">
        <v>2566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5" t="n">
        <v>46244</v>
      </c>
      <c r="C7113" s="1" t="n">
        <v>11</v>
      </c>
      <c r="D7113" s="1" t="s">
        <v>2290</v>
      </c>
      <c r="E7113" s="1" t="n">
        <v>1723</v>
      </c>
      <c r="F7113" s="1" t="s">
        <v>76</v>
      </c>
      <c r="I7113" s="1" t="n">
        <v>174636</v>
      </c>
      <c r="J7113" s="1" t="n">
        <v>29079</v>
      </c>
      <c r="K7113" s="1" t="n">
        <v>55515</v>
      </c>
      <c r="L7113" s="1" t="s">
        <v>2360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5" t="n">
        <v>46244</v>
      </c>
      <c r="C7114" s="1" t="n">
        <v>11</v>
      </c>
      <c r="D7114" s="1" t="s">
        <v>2290</v>
      </c>
      <c r="E7114" s="1" t="n">
        <v>1723</v>
      </c>
      <c r="F7114" s="1" t="s">
        <v>76</v>
      </c>
      <c r="I7114" s="1" t="n">
        <v>174636</v>
      </c>
      <c r="J7114" s="1" t="n">
        <v>29080</v>
      </c>
      <c r="K7114" s="1" t="n">
        <v>55516</v>
      </c>
      <c r="L7114" s="1" t="s">
        <v>2362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5" t="n">
        <v>46244</v>
      </c>
      <c r="C7115" s="1" t="n">
        <v>22</v>
      </c>
      <c r="D7115" s="1" t="s">
        <v>2436</v>
      </c>
      <c r="E7115" s="1" t="n">
        <v>42</v>
      </c>
      <c r="F7115" s="1" t="s">
        <v>80</v>
      </c>
      <c r="I7115" s="1" t="n">
        <v>4483</v>
      </c>
      <c r="J7115" s="1" t="n">
        <v>100000</v>
      </c>
      <c r="K7115" s="1" t="n">
        <v>1</v>
      </c>
      <c r="L7115" s="1" t="s">
        <v>2451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5" t="n">
        <v>46244</v>
      </c>
      <c r="C7116" s="1" t="n">
        <v>22</v>
      </c>
      <c r="D7116" s="1" t="s">
        <v>2436</v>
      </c>
      <c r="E7116" s="1" t="n">
        <v>42</v>
      </c>
      <c r="F7116" s="1" t="s">
        <v>80</v>
      </c>
      <c r="I7116" s="1" t="n">
        <v>4483</v>
      </c>
      <c r="J7116" s="1" t="n">
        <v>100001</v>
      </c>
      <c r="K7116" s="1" t="n">
        <v>2</v>
      </c>
      <c r="L7116" s="1" t="s">
        <v>2452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5" t="n">
        <v>46244</v>
      </c>
      <c r="C7117" s="1" t="n">
        <v>22</v>
      </c>
      <c r="D7117" s="1" t="s">
        <v>2436</v>
      </c>
      <c r="E7117" s="1" t="n">
        <v>42</v>
      </c>
      <c r="F7117" s="1" t="s">
        <v>80</v>
      </c>
      <c r="I7117" s="1" t="n">
        <v>4483</v>
      </c>
      <c r="J7117" s="1" t="n">
        <v>100002</v>
      </c>
      <c r="K7117" s="1" t="n">
        <v>3</v>
      </c>
      <c r="L7117" s="1" t="s">
        <v>2453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5" t="n">
        <v>46244</v>
      </c>
      <c r="C7118" s="1" t="n">
        <v>22</v>
      </c>
      <c r="D7118" s="1" t="s">
        <v>2436</v>
      </c>
      <c r="E7118" s="1" t="n">
        <v>42</v>
      </c>
      <c r="F7118" s="1" t="s">
        <v>80</v>
      </c>
      <c r="I7118" s="1" t="n">
        <v>4483</v>
      </c>
      <c r="J7118" s="1" t="n">
        <v>100003</v>
      </c>
      <c r="K7118" s="1" t="n">
        <v>4</v>
      </c>
      <c r="L7118" s="1" t="s">
        <v>2454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5" t="n">
        <v>46244</v>
      </c>
      <c r="C7119" s="1" t="n">
        <v>22</v>
      </c>
      <c r="D7119" s="1" t="s">
        <v>2436</v>
      </c>
      <c r="E7119" s="1" t="n">
        <v>42</v>
      </c>
      <c r="F7119" s="1" t="s">
        <v>80</v>
      </c>
      <c r="I7119" s="1" t="n">
        <v>4483</v>
      </c>
      <c r="J7119" s="1" t="n">
        <v>100006</v>
      </c>
      <c r="K7119" s="1" t="n">
        <v>7</v>
      </c>
      <c r="L7119" s="1" t="s">
        <v>2437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5" t="n">
        <v>46244</v>
      </c>
      <c r="C7120" s="1" t="n">
        <v>22</v>
      </c>
      <c r="D7120" s="1" t="s">
        <v>2436</v>
      </c>
      <c r="E7120" s="1" t="n">
        <v>42</v>
      </c>
      <c r="F7120" s="1" t="s">
        <v>80</v>
      </c>
      <c r="I7120" s="1" t="n">
        <v>4483</v>
      </c>
      <c r="J7120" s="1" t="n">
        <v>100007</v>
      </c>
      <c r="K7120" s="1" t="n">
        <v>8</v>
      </c>
      <c r="L7120" s="1" t="s">
        <v>2455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5" t="n">
        <v>46244</v>
      </c>
      <c r="C7121" s="1" t="n">
        <v>22</v>
      </c>
      <c r="D7121" s="1" t="s">
        <v>2436</v>
      </c>
      <c r="E7121" s="1" t="n">
        <v>42</v>
      </c>
      <c r="F7121" s="1" t="s">
        <v>80</v>
      </c>
      <c r="I7121" s="1" t="n">
        <v>4483</v>
      </c>
      <c r="J7121" s="1" t="n">
        <v>100008</v>
      </c>
      <c r="K7121" s="1" t="n">
        <v>9</v>
      </c>
      <c r="L7121" s="1" t="s">
        <v>2438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5" t="n">
        <v>46244</v>
      </c>
      <c r="C7122" s="1" t="n">
        <v>22</v>
      </c>
      <c r="D7122" s="1" t="s">
        <v>2436</v>
      </c>
      <c r="E7122" s="1" t="n">
        <v>42</v>
      </c>
      <c r="F7122" s="1" t="s">
        <v>80</v>
      </c>
      <c r="I7122" s="1" t="n">
        <v>4483</v>
      </c>
      <c r="J7122" s="1" t="n">
        <v>100010</v>
      </c>
      <c r="K7122" s="1" t="n">
        <v>11</v>
      </c>
      <c r="L7122" s="1" t="s">
        <v>2439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5" t="n">
        <v>46244</v>
      </c>
      <c r="C7123" s="1" t="n">
        <v>22</v>
      </c>
      <c r="D7123" s="1" t="s">
        <v>2436</v>
      </c>
      <c r="E7123" s="1" t="n">
        <v>42</v>
      </c>
      <c r="F7123" s="1" t="s">
        <v>80</v>
      </c>
      <c r="I7123" s="1" t="n">
        <v>4483</v>
      </c>
      <c r="J7123" s="1" t="n">
        <v>100011</v>
      </c>
      <c r="K7123" s="1" t="n">
        <v>12</v>
      </c>
      <c r="L7123" s="1" t="s">
        <v>2440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5" t="n">
        <v>46244</v>
      </c>
      <c r="C7124" s="1" t="n">
        <v>22</v>
      </c>
      <c r="D7124" s="1" t="s">
        <v>2436</v>
      </c>
      <c r="E7124" s="1" t="n">
        <v>42</v>
      </c>
      <c r="F7124" s="1" t="s">
        <v>80</v>
      </c>
      <c r="I7124" s="1" t="n">
        <v>4483</v>
      </c>
      <c r="J7124" s="1" t="n">
        <v>100012</v>
      </c>
      <c r="K7124" s="1" t="n">
        <v>13</v>
      </c>
      <c r="L7124" s="1" t="s">
        <v>2441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5" t="n">
        <v>46244</v>
      </c>
      <c r="C7125" s="1" t="n">
        <v>22</v>
      </c>
      <c r="D7125" s="1" t="s">
        <v>2436</v>
      </c>
      <c r="E7125" s="1" t="n">
        <v>42</v>
      </c>
      <c r="F7125" s="1" t="s">
        <v>80</v>
      </c>
      <c r="I7125" s="1" t="n">
        <v>4483</v>
      </c>
      <c r="J7125" s="1" t="n">
        <v>100013</v>
      </c>
      <c r="K7125" s="1" t="n">
        <v>14</v>
      </c>
      <c r="L7125" s="1" t="s">
        <v>2442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5" t="n">
        <v>46244</v>
      </c>
      <c r="C7126" s="1" t="n">
        <v>22</v>
      </c>
      <c r="D7126" s="1" t="s">
        <v>2436</v>
      </c>
      <c r="E7126" s="1" t="n">
        <v>42</v>
      </c>
      <c r="F7126" s="1" t="s">
        <v>80</v>
      </c>
      <c r="I7126" s="1" t="n">
        <v>4483</v>
      </c>
      <c r="J7126" s="1" t="n">
        <v>100014</v>
      </c>
      <c r="K7126" s="1" t="n">
        <v>15</v>
      </c>
      <c r="L7126" s="1" t="s">
        <v>2443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5" t="n">
        <v>46244</v>
      </c>
      <c r="C7127" s="1" t="n">
        <v>22</v>
      </c>
      <c r="D7127" s="1" t="s">
        <v>2436</v>
      </c>
      <c r="E7127" s="1" t="n">
        <v>42</v>
      </c>
      <c r="F7127" s="1" t="s">
        <v>80</v>
      </c>
      <c r="I7127" s="1" t="n">
        <v>4483</v>
      </c>
      <c r="J7127" s="1" t="n">
        <v>100015</v>
      </c>
      <c r="K7127" s="1" t="n">
        <v>16</v>
      </c>
      <c r="L7127" s="1" t="s">
        <v>2444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5" t="n">
        <v>46244</v>
      </c>
      <c r="C7128" s="1" t="n">
        <v>22</v>
      </c>
      <c r="D7128" s="1" t="s">
        <v>2436</v>
      </c>
      <c r="E7128" s="1" t="n">
        <v>42</v>
      </c>
      <c r="F7128" s="1" t="s">
        <v>80</v>
      </c>
      <c r="I7128" s="1" t="n">
        <v>4483</v>
      </c>
      <c r="J7128" s="1" t="n">
        <v>100016</v>
      </c>
      <c r="K7128" s="1" t="n">
        <v>17</v>
      </c>
      <c r="L7128" s="1" t="s">
        <v>2445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5" t="n">
        <v>46244</v>
      </c>
      <c r="C7129" s="1" t="n">
        <v>22</v>
      </c>
      <c r="D7129" s="1" t="s">
        <v>2436</v>
      </c>
      <c r="E7129" s="1" t="n">
        <v>42</v>
      </c>
      <c r="F7129" s="1" t="s">
        <v>80</v>
      </c>
      <c r="I7129" s="1" t="n">
        <v>4483</v>
      </c>
      <c r="J7129" s="1" t="n">
        <v>100017</v>
      </c>
      <c r="K7129" s="1" t="n">
        <v>18</v>
      </c>
      <c r="L7129" s="1" t="s">
        <v>2446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5" t="n">
        <v>46244</v>
      </c>
      <c r="C7130" s="1" t="n">
        <v>22</v>
      </c>
      <c r="D7130" s="1" t="s">
        <v>2436</v>
      </c>
      <c r="E7130" s="1" t="n">
        <v>42</v>
      </c>
      <c r="F7130" s="1" t="s">
        <v>80</v>
      </c>
      <c r="I7130" s="1" t="n">
        <v>4483</v>
      </c>
      <c r="J7130" s="1" t="n">
        <v>100053</v>
      </c>
      <c r="K7130" s="1" t="n">
        <v>54</v>
      </c>
      <c r="L7130" s="1" t="s">
        <v>2447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5" t="n">
        <v>46244</v>
      </c>
      <c r="C7131" s="1" t="n">
        <v>22</v>
      </c>
      <c r="D7131" s="1" t="s">
        <v>2436</v>
      </c>
      <c r="E7131" s="1" t="n">
        <v>42</v>
      </c>
      <c r="F7131" s="1" t="s">
        <v>80</v>
      </c>
      <c r="I7131" s="1" t="n">
        <v>4483</v>
      </c>
      <c r="J7131" s="1" t="n">
        <v>100638</v>
      </c>
      <c r="K7131" s="1" t="n">
        <v>508</v>
      </c>
      <c r="L7131" s="1" t="s">
        <v>2448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5" t="n">
        <v>46244</v>
      </c>
      <c r="C7132" s="1" t="n">
        <v>22</v>
      </c>
      <c r="D7132" s="1" t="s">
        <v>2436</v>
      </c>
      <c r="E7132" s="1" t="n">
        <v>42</v>
      </c>
      <c r="F7132" s="1" t="s">
        <v>80</v>
      </c>
      <c r="I7132" s="1" t="n">
        <v>4483</v>
      </c>
      <c r="J7132" s="1" t="n">
        <v>100638</v>
      </c>
      <c r="K7132" s="1" t="n">
        <v>508</v>
      </c>
      <c r="L7132" s="1" t="s">
        <v>2448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5" t="n">
        <v>46244</v>
      </c>
      <c r="C7133" s="1" t="n">
        <v>22</v>
      </c>
      <c r="D7133" s="1" t="s">
        <v>2436</v>
      </c>
      <c r="E7133" s="1" t="n">
        <v>42</v>
      </c>
      <c r="F7133" s="1" t="s">
        <v>80</v>
      </c>
      <c r="I7133" s="1" t="n">
        <v>4483</v>
      </c>
      <c r="J7133" s="1" t="n">
        <v>100520</v>
      </c>
      <c r="K7133" s="1" t="n">
        <v>507</v>
      </c>
      <c r="L7133" s="1" t="s">
        <v>2449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5" t="n">
        <v>46244</v>
      </c>
      <c r="C7134" s="1" t="n">
        <v>22</v>
      </c>
      <c r="D7134" s="1" t="s">
        <v>2436</v>
      </c>
      <c r="E7134" s="1" t="n">
        <v>42</v>
      </c>
      <c r="F7134" s="1" t="s">
        <v>80</v>
      </c>
      <c r="I7134" s="1" t="n">
        <v>4483</v>
      </c>
      <c r="J7134" s="1" t="n">
        <v>100520</v>
      </c>
      <c r="K7134" s="1" t="n">
        <v>507</v>
      </c>
      <c r="L7134" s="1" t="s">
        <v>2449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5" t="n">
        <v>46244</v>
      </c>
      <c r="C7135" s="1" t="n">
        <v>22</v>
      </c>
      <c r="D7135" s="1" t="s">
        <v>2436</v>
      </c>
      <c r="E7135" s="1" t="n">
        <v>42</v>
      </c>
      <c r="F7135" s="1" t="s">
        <v>80</v>
      </c>
      <c r="I7135" s="1" t="n">
        <v>4483</v>
      </c>
      <c r="J7135" s="1" t="n">
        <v>110455</v>
      </c>
      <c r="K7135" s="1" t="n">
        <v>53212</v>
      </c>
      <c r="L7135" s="1" t="s">
        <v>2450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5" t="n">
        <v>46244</v>
      </c>
      <c r="C7136" s="1" t="n">
        <v>22</v>
      </c>
      <c r="D7136" s="1" t="s">
        <v>2436</v>
      </c>
      <c r="E7136" s="1" t="n">
        <v>42</v>
      </c>
      <c r="F7136" s="1" t="s">
        <v>80</v>
      </c>
      <c r="I7136" s="1" t="n">
        <v>4483</v>
      </c>
      <c r="J7136" s="1" t="n">
        <v>110455</v>
      </c>
      <c r="K7136" s="1" t="n">
        <v>53212</v>
      </c>
      <c r="L7136" s="1" t="s">
        <v>2450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5" t="n">
        <v>46244</v>
      </c>
      <c r="C7137" s="1" t="n">
        <v>100</v>
      </c>
      <c r="D7137" s="1" t="s">
        <v>2457</v>
      </c>
      <c r="E7137" s="1" t="n">
        <v>42</v>
      </c>
      <c r="F7137" s="1" t="s">
        <v>80</v>
      </c>
      <c r="I7137" s="1" t="n">
        <v>1530229</v>
      </c>
      <c r="J7137" s="1" t="n">
        <v>100000</v>
      </c>
      <c r="K7137" s="1" t="n">
        <v>1</v>
      </c>
      <c r="L7137" s="1" t="s">
        <v>2451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5" t="n">
        <v>46244</v>
      </c>
      <c r="C7138" s="1" t="n">
        <v>100</v>
      </c>
      <c r="D7138" s="1" t="s">
        <v>2457</v>
      </c>
      <c r="E7138" s="1" t="n">
        <v>42</v>
      </c>
      <c r="F7138" s="1" t="s">
        <v>80</v>
      </c>
      <c r="I7138" s="1" t="n">
        <v>1530229</v>
      </c>
      <c r="J7138" s="1" t="n">
        <v>100001</v>
      </c>
      <c r="K7138" s="1" t="n">
        <v>2</v>
      </c>
      <c r="L7138" s="1" t="s">
        <v>2452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5" t="n">
        <v>46244</v>
      </c>
      <c r="C7139" s="1" t="n">
        <v>100</v>
      </c>
      <c r="D7139" s="1" t="s">
        <v>2457</v>
      </c>
      <c r="E7139" s="1" t="n">
        <v>42</v>
      </c>
      <c r="F7139" s="1" t="s">
        <v>80</v>
      </c>
      <c r="I7139" s="1" t="n">
        <v>1530229</v>
      </c>
      <c r="J7139" s="1" t="n">
        <v>100002</v>
      </c>
      <c r="K7139" s="1" t="n">
        <v>3</v>
      </c>
      <c r="L7139" s="1" t="s">
        <v>2453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5" t="n">
        <v>46244</v>
      </c>
      <c r="C7140" s="1" t="n">
        <v>100</v>
      </c>
      <c r="D7140" s="1" t="s">
        <v>2457</v>
      </c>
      <c r="E7140" s="1" t="n">
        <v>42</v>
      </c>
      <c r="F7140" s="1" t="s">
        <v>80</v>
      </c>
      <c r="I7140" s="1" t="n">
        <v>1530229</v>
      </c>
      <c r="J7140" s="1" t="n">
        <v>100003</v>
      </c>
      <c r="K7140" s="1" t="n">
        <v>4</v>
      </c>
      <c r="L7140" s="1" t="s">
        <v>2454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5" t="n">
        <v>46244</v>
      </c>
      <c r="C7141" s="1" t="n">
        <v>100</v>
      </c>
      <c r="D7141" s="1" t="s">
        <v>2457</v>
      </c>
      <c r="E7141" s="1" t="n">
        <v>42</v>
      </c>
      <c r="F7141" s="1" t="s">
        <v>80</v>
      </c>
      <c r="I7141" s="1" t="n">
        <v>1530229</v>
      </c>
      <c r="J7141" s="1" t="n">
        <v>100007</v>
      </c>
      <c r="K7141" s="1" t="n">
        <v>8</v>
      </c>
      <c r="L7141" s="1" t="s">
        <v>2455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5" t="n">
        <v>46244</v>
      </c>
      <c r="C7142" s="1" t="n">
        <v>100</v>
      </c>
      <c r="D7142" s="1" t="s">
        <v>2457</v>
      </c>
      <c r="E7142" s="1" t="n">
        <v>42</v>
      </c>
      <c r="F7142" s="1" t="s">
        <v>80</v>
      </c>
      <c r="I7142" s="1" t="n">
        <v>1530229</v>
      </c>
      <c r="J7142" s="1" t="n">
        <v>100638</v>
      </c>
      <c r="K7142" s="1" t="n">
        <v>508</v>
      </c>
      <c r="L7142" s="1" t="s">
        <v>2448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5" t="n">
        <v>46244</v>
      </c>
      <c r="C7143" s="1" t="n">
        <v>100</v>
      </c>
      <c r="D7143" s="1" t="s">
        <v>2457</v>
      </c>
      <c r="E7143" s="1" t="n">
        <v>42</v>
      </c>
      <c r="F7143" s="1" t="s">
        <v>80</v>
      </c>
      <c r="I7143" s="1" t="n">
        <v>1530229</v>
      </c>
      <c r="J7143" s="1" t="n">
        <v>100520</v>
      </c>
      <c r="K7143" s="1" t="n">
        <v>507</v>
      </c>
      <c r="L7143" s="1" t="s">
        <v>2449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5" t="n">
        <v>46244</v>
      </c>
      <c r="C7144" s="1" t="n">
        <v>100</v>
      </c>
      <c r="D7144" s="1" t="s">
        <v>2457</v>
      </c>
      <c r="E7144" s="1" t="n">
        <v>42</v>
      </c>
      <c r="F7144" s="1" t="s">
        <v>80</v>
      </c>
      <c r="I7144" s="1" t="n">
        <v>1530229</v>
      </c>
      <c r="J7144" s="1" t="n">
        <v>110455</v>
      </c>
      <c r="K7144" s="1" t="n">
        <v>53212</v>
      </c>
      <c r="L7144" s="1" t="s">
        <v>2450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5" t="n">
        <v>46244</v>
      </c>
      <c r="C7145" s="1" t="n">
        <v>100</v>
      </c>
      <c r="D7145" s="1" t="s">
        <v>2457</v>
      </c>
      <c r="E7145" s="1" t="n">
        <v>42</v>
      </c>
      <c r="F7145" s="1" t="s">
        <v>80</v>
      </c>
      <c r="I7145" s="1" t="n">
        <v>1530233</v>
      </c>
      <c r="J7145" s="1" t="n">
        <v>100006</v>
      </c>
      <c r="K7145" s="1" t="n">
        <v>7</v>
      </c>
      <c r="L7145" s="1" t="s">
        <v>2437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5" t="n">
        <v>46244</v>
      </c>
      <c r="C7146" s="1" t="n">
        <v>100</v>
      </c>
      <c r="D7146" s="1" t="s">
        <v>2457</v>
      </c>
      <c r="E7146" s="1" t="n">
        <v>42</v>
      </c>
      <c r="F7146" s="1" t="s">
        <v>80</v>
      </c>
      <c r="I7146" s="1" t="n">
        <v>1530233</v>
      </c>
      <c r="J7146" s="1" t="n">
        <v>100008</v>
      </c>
      <c r="K7146" s="1" t="n">
        <v>9</v>
      </c>
      <c r="L7146" s="1" t="s">
        <v>2438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5" t="n">
        <v>46244</v>
      </c>
      <c r="C7147" s="1" t="n">
        <v>100</v>
      </c>
      <c r="D7147" s="1" t="s">
        <v>2457</v>
      </c>
      <c r="E7147" s="1" t="n">
        <v>42</v>
      </c>
      <c r="F7147" s="1" t="s">
        <v>80</v>
      </c>
      <c r="I7147" s="1" t="n">
        <v>1530233</v>
      </c>
      <c r="J7147" s="1" t="n">
        <v>100010</v>
      </c>
      <c r="K7147" s="1" t="n">
        <v>11</v>
      </c>
      <c r="L7147" s="1" t="s">
        <v>2439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5" t="n">
        <v>46244</v>
      </c>
      <c r="C7148" s="1" t="n">
        <v>100</v>
      </c>
      <c r="D7148" s="1" t="s">
        <v>2457</v>
      </c>
      <c r="E7148" s="1" t="n">
        <v>42</v>
      </c>
      <c r="F7148" s="1" t="s">
        <v>80</v>
      </c>
      <c r="I7148" s="1" t="n">
        <v>1530233</v>
      </c>
      <c r="J7148" s="1" t="n">
        <v>100011</v>
      </c>
      <c r="K7148" s="1" t="n">
        <v>12</v>
      </c>
      <c r="L7148" s="1" t="s">
        <v>2440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5" t="n">
        <v>46244</v>
      </c>
      <c r="C7149" s="1" t="n">
        <v>100</v>
      </c>
      <c r="D7149" s="1" t="s">
        <v>2457</v>
      </c>
      <c r="E7149" s="1" t="n">
        <v>42</v>
      </c>
      <c r="F7149" s="1" t="s">
        <v>80</v>
      </c>
      <c r="I7149" s="1" t="n">
        <v>1530233</v>
      </c>
      <c r="J7149" s="1" t="n">
        <v>100012</v>
      </c>
      <c r="K7149" s="1" t="n">
        <v>13</v>
      </c>
      <c r="L7149" s="1" t="s">
        <v>2441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5" t="n">
        <v>46244</v>
      </c>
      <c r="C7150" s="1" t="n">
        <v>100</v>
      </c>
      <c r="D7150" s="1" t="s">
        <v>2457</v>
      </c>
      <c r="E7150" s="1" t="n">
        <v>42</v>
      </c>
      <c r="F7150" s="1" t="s">
        <v>80</v>
      </c>
      <c r="I7150" s="1" t="n">
        <v>1530233</v>
      </c>
      <c r="J7150" s="1" t="n">
        <v>100013</v>
      </c>
      <c r="K7150" s="1" t="n">
        <v>14</v>
      </c>
      <c r="L7150" s="1" t="s">
        <v>2442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5" t="n">
        <v>46244</v>
      </c>
      <c r="C7151" s="1" t="n">
        <v>100</v>
      </c>
      <c r="D7151" s="1" t="s">
        <v>2457</v>
      </c>
      <c r="E7151" s="1" t="n">
        <v>42</v>
      </c>
      <c r="F7151" s="1" t="s">
        <v>80</v>
      </c>
      <c r="I7151" s="1" t="n">
        <v>1530233</v>
      </c>
      <c r="J7151" s="1" t="n">
        <v>100014</v>
      </c>
      <c r="K7151" s="1" t="n">
        <v>15</v>
      </c>
      <c r="L7151" s="1" t="s">
        <v>2443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5" t="n">
        <v>46244</v>
      </c>
      <c r="C7152" s="1" t="n">
        <v>100</v>
      </c>
      <c r="D7152" s="1" t="s">
        <v>2457</v>
      </c>
      <c r="E7152" s="1" t="n">
        <v>42</v>
      </c>
      <c r="F7152" s="1" t="s">
        <v>80</v>
      </c>
      <c r="I7152" s="1" t="n">
        <v>1530233</v>
      </c>
      <c r="J7152" s="1" t="n">
        <v>100015</v>
      </c>
      <c r="K7152" s="1" t="n">
        <v>16</v>
      </c>
      <c r="L7152" s="1" t="s">
        <v>2444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5" t="n">
        <v>46244</v>
      </c>
      <c r="C7153" s="1" t="n">
        <v>100</v>
      </c>
      <c r="D7153" s="1" t="s">
        <v>2457</v>
      </c>
      <c r="E7153" s="1" t="n">
        <v>42</v>
      </c>
      <c r="F7153" s="1" t="s">
        <v>80</v>
      </c>
      <c r="I7153" s="1" t="n">
        <v>1530233</v>
      </c>
      <c r="J7153" s="1" t="n">
        <v>100016</v>
      </c>
      <c r="K7153" s="1" t="n">
        <v>17</v>
      </c>
      <c r="L7153" s="1" t="s">
        <v>2445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5" t="n">
        <v>46244</v>
      </c>
      <c r="C7154" s="1" t="n">
        <v>100</v>
      </c>
      <c r="D7154" s="1" t="s">
        <v>2457</v>
      </c>
      <c r="E7154" s="1" t="n">
        <v>42</v>
      </c>
      <c r="F7154" s="1" t="s">
        <v>80</v>
      </c>
      <c r="I7154" s="1" t="n">
        <v>1530233</v>
      </c>
      <c r="J7154" s="1" t="n">
        <v>100017</v>
      </c>
      <c r="K7154" s="1" t="n">
        <v>18</v>
      </c>
      <c r="L7154" s="1" t="s">
        <v>2446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5" t="n">
        <v>46244</v>
      </c>
      <c r="C7155" s="1" t="n">
        <v>100</v>
      </c>
      <c r="D7155" s="1" t="s">
        <v>2457</v>
      </c>
      <c r="E7155" s="1" t="n">
        <v>42</v>
      </c>
      <c r="F7155" s="1" t="s">
        <v>80</v>
      </c>
      <c r="I7155" s="1" t="n">
        <v>1530233</v>
      </c>
      <c r="J7155" s="1" t="n">
        <v>100053</v>
      </c>
      <c r="K7155" s="1" t="n">
        <v>54</v>
      </c>
      <c r="L7155" s="1" t="s">
        <v>2447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5" t="n">
        <v>46244</v>
      </c>
      <c r="C7156" s="1" t="n">
        <v>100</v>
      </c>
      <c r="D7156" s="1" t="s">
        <v>2457</v>
      </c>
      <c r="E7156" s="1" t="n">
        <v>42</v>
      </c>
      <c r="F7156" s="1" t="s">
        <v>80</v>
      </c>
      <c r="I7156" s="1" t="n">
        <v>1530233</v>
      </c>
      <c r="J7156" s="1" t="n">
        <v>100638</v>
      </c>
      <c r="K7156" s="1" t="n">
        <v>508</v>
      </c>
      <c r="L7156" s="1" t="s">
        <v>2448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5" t="n">
        <v>46244</v>
      </c>
      <c r="C7157" s="1" t="n">
        <v>100</v>
      </c>
      <c r="D7157" s="1" t="s">
        <v>2457</v>
      </c>
      <c r="E7157" s="1" t="n">
        <v>42</v>
      </c>
      <c r="F7157" s="1" t="s">
        <v>80</v>
      </c>
      <c r="I7157" s="1" t="n">
        <v>1530233</v>
      </c>
      <c r="J7157" s="1" t="n">
        <v>100520</v>
      </c>
      <c r="K7157" s="1" t="n">
        <v>507</v>
      </c>
      <c r="L7157" s="1" t="s">
        <v>2449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5" t="n">
        <v>46244</v>
      </c>
      <c r="C7158" s="1" t="n">
        <v>100</v>
      </c>
      <c r="D7158" s="1" t="s">
        <v>2457</v>
      </c>
      <c r="E7158" s="1" t="n">
        <v>42</v>
      </c>
      <c r="F7158" s="1" t="s">
        <v>80</v>
      </c>
      <c r="I7158" s="1" t="n">
        <v>1530233</v>
      </c>
      <c r="J7158" s="1" t="n">
        <v>110455</v>
      </c>
      <c r="K7158" s="1" t="n">
        <v>53212</v>
      </c>
      <c r="L7158" s="1" t="s">
        <v>2450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5" t="n">
        <v>46245</v>
      </c>
      <c r="C7159" s="1" t="n">
        <v>6</v>
      </c>
      <c r="D7159" s="1" t="s">
        <v>2289</v>
      </c>
      <c r="E7159" s="1" t="n">
        <v>42</v>
      </c>
      <c r="F7159" s="1" t="s">
        <v>80</v>
      </c>
      <c r="I7159" s="1" t="n">
        <v>4486</v>
      </c>
      <c r="J7159" s="1" t="n">
        <v>109791</v>
      </c>
      <c r="K7159" s="1" t="n">
        <v>9667</v>
      </c>
      <c r="L7159" s="1" t="s">
        <v>2284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5" t="n">
        <v>46245</v>
      </c>
      <c r="C7160" s="1" t="n">
        <v>6</v>
      </c>
      <c r="D7160" s="1" t="s">
        <v>2289</v>
      </c>
      <c r="E7160" s="1" t="n">
        <v>42</v>
      </c>
      <c r="F7160" s="1" t="s">
        <v>80</v>
      </c>
      <c r="I7160" s="1" t="n">
        <v>4486</v>
      </c>
      <c r="J7160" s="1" t="n">
        <v>37359</v>
      </c>
      <c r="K7160" s="1" t="n">
        <v>55526</v>
      </c>
      <c r="L7160" s="1" t="s">
        <v>2285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5" t="n">
        <v>46245</v>
      </c>
      <c r="C7161" s="1" t="n">
        <v>6</v>
      </c>
      <c r="D7161" s="1" t="s">
        <v>2289</v>
      </c>
      <c r="E7161" s="1" t="n">
        <v>42</v>
      </c>
      <c r="F7161" s="1" t="s">
        <v>80</v>
      </c>
      <c r="I7161" s="1" t="n">
        <v>4486</v>
      </c>
      <c r="J7161" s="1" t="n">
        <v>37361</v>
      </c>
      <c r="K7161" s="1" t="n">
        <v>2240817</v>
      </c>
      <c r="L7161" s="1" t="s">
        <v>2286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5" t="n">
        <v>46245</v>
      </c>
      <c r="C7162" s="1" t="n">
        <v>6</v>
      </c>
      <c r="D7162" s="1" t="s">
        <v>2289</v>
      </c>
      <c r="E7162" s="1" t="n">
        <v>42</v>
      </c>
      <c r="F7162" s="1" t="s">
        <v>80</v>
      </c>
      <c r="I7162" s="1" t="n">
        <v>4487</v>
      </c>
      <c r="J7162" s="1" t="n">
        <v>72679</v>
      </c>
      <c r="K7162" s="1" t="n">
        <v>246</v>
      </c>
      <c r="L7162" s="1" t="s">
        <v>2288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5" t="n">
        <v>46245</v>
      </c>
      <c r="C7163" s="1" t="n">
        <v>6</v>
      </c>
      <c r="D7163" s="1" t="s">
        <v>2289</v>
      </c>
      <c r="E7163" s="1" t="n">
        <v>42</v>
      </c>
      <c r="F7163" s="1" t="s">
        <v>80</v>
      </c>
      <c r="I7163" s="1" t="n">
        <v>4488</v>
      </c>
      <c r="J7163" s="1" t="n">
        <v>100103</v>
      </c>
      <c r="K7163" s="1" t="n">
        <v>104</v>
      </c>
      <c r="L7163" s="1" t="s">
        <v>2287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5" t="n">
        <v>46245</v>
      </c>
      <c r="C7164" s="1" t="n">
        <v>6</v>
      </c>
      <c r="D7164" s="1" t="s">
        <v>2289</v>
      </c>
      <c r="E7164" s="1" t="n">
        <v>42</v>
      </c>
      <c r="F7164" s="1" t="s">
        <v>80</v>
      </c>
      <c r="I7164" s="1" t="n">
        <v>4489</v>
      </c>
      <c r="J7164" s="1" t="n">
        <v>100062</v>
      </c>
      <c r="K7164" s="1" t="n">
        <v>63</v>
      </c>
      <c r="L7164" s="1" t="s">
        <v>2320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5" t="n">
        <v>46245</v>
      </c>
      <c r="C7165" s="1" t="n">
        <v>6</v>
      </c>
      <c r="D7165" s="1" t="s">
        <v>2289</v>
      </c>
      <c r="E7165" s="1" t="n">
        <v>42</v>
      </c>
      <c r="F7165" s="1" t="s">
        <v>80</v>
      </c>
      <c r="I7165" s="1" t="n">
        <v>4489</v>
      </c>
      <c r="J7165" s="1" t="n">
        <v>100104</v>
      </c>
      <c r="K7165" s="1" t="n">
        <v>105</v>
      </c>
      <c r="L7165" s="1" t="s">
        <v>2321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5" t="n">
        <v>46245</v>
      </c>
      <c r="C7166" s="1" t="n">
        <v>6</v>
      </c>
      <c r="D7166" s="1" t="s">
        <v>2289</v>
      </c>
      <c r="E7166" s="1" t="n">
        <v>42</v>
      </c>
      <c r="F7166" s="1" t="s">
        <v>80</v>
      </c>
      <c r="I7166" s="1" t="n">
        <v>4489</v>
      </c>
      <c r="J7166" s="1" t="n">
        <v>100105</v>
      </c>
      <c r="K7166" s="1" t="n">
        <v>106</v>
      </c>
      <c r="L7166" s="1" t="s">
        <v>2322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5" t="n">
        <v>46245</v>
      </c>
      <c r="C7167" s="1" t="n">
        <v>6</v>
      </c>
      <c r="D7167" s="1" t="s">
        <v>2289</v>
      </c>
      <c r="E7167" s="1" t="n">
        <v>42</v>
      </c>
      <c r="F7167" s="1" t="s">
        <v>80</v>
      </c>
      <c r="I7167" s="1" t="n">
        <v>4489</v>
      </c>
      <c r="J7167" s="1" t="n">
        <v>100107</v>
      </c>
      <c r="K7167" s="1" t="n">
        <v>108</v>
      </c>
      <c r="L7167" s="1" t="s">
        <v>2323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5" t="n">
        <v>46245</v>
      </c>
      <c r="C7168" s="1" t="n">
        <v>6</v>
      </c>
      <c r="D7168" s="1" t="s">
        <v>2289</v>
      </c>
      <c r="E7168" s="1" t="n">
        <v>42</v>
      </c>
      <c r="F7168" s="1" t="s">
        <v>80</v>
      </c>
      <c r="I7168" s="1" t="n">
        <v>4489</v>
      </c>
      <c r="J7168" s="1" t="n">
        <v>100109</v>
      </c>
      <c r="K7168" s="1" t="n">
        <v>110</v>
      </c>
      <c r="L7168" s="1" t="s">
        <v>2324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5" t="n">
        <v>46245</v>
      </c>
      <c r="C7169" s="1" t="n">
        <v>6</v>
      </c>
      <c r="D7169" s="1" t="s">
        <v>2289</v>
      </c>
      <c r="E7169" s="1" t="n">
        <v>42</v>
      </c>
      <c r="F7169" s="1" t="s">
        <v>80</v>
      </c>
      <c r="I7169" s="1" t="n">
        <v>4489</v>
      </c>
      <c r="J7169" s="1" t="n">
        <v>100113</v>
      </c>
      <c r="K7169" s="1" t="n">
        <v>114</v>
      </c>
      <c r="L7169" s="1" t="s">
        <v>2326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5" t="n">
        <v>46245</v>
      </c>
      <c r="C7170" s="1" t="n">
        <v>6</v>
      </c>
      <c r="D7170" s="1" t="s">
        <v>2289</v>
      </c>
      <c r="E7170" s="1" t="n">
        <v>42</v>
      </c>
      <c r="F7170" s="1" t="s">
        <v>80</v>
      </c>
      <c r="I7170" s="1" t="n">
        <v>4489</v>
      </c>
      <c r="J7170" s="1" t="n">
        <v>100115</v>
      </c>
      <c r="K7170" s="1" t="n">
        <v>116</v>
      </c>
      <c r="L7170" s="1" t="s">
        <v>2474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5" t="n">
        <v>46245</v>
      </c>
      <c r="C7171" s="1" t="n">
        <v>6</v>
      </c>
      <c r="D7171" s="1" t="s">
        <v>2289</v>
      </c>
      <c r="E7171" s="1" t="n">
        <v>42</v>
      </c>
      <c r="F7171" s="1" t="s">
        <v>80</v>
      </c>
      <c r="I7171" s="1" t="n">
        <v>4489</v>
      </c>
      <c r="J7171" s="1" t="n">
        <v>100116</v>
      </c>
      <c r="K7171" s="1" t="n">
        <v>117</v>
      </c>
      <c r="L7171" s="1" t="s">
        <v>2327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5" t="n">
        <v>46245</v>
      </c>
      <c r="C7172" s="1" t="n">
        <v>6</v>
      </c>
      <c r="D7172" s="1" t="s">
        <v>2289</v>
      </c>
      <c r="E7172" s="1" t="n">
        <v>42</v>
      </c>
      <c r="F7172" s="1" t="s">
        <v>80</v>
      </c>
      <c r="I7172" s="1" t="n">
        <v>4489</v>
      </c>
      <c r="J7172" s="1" t="n">
        <v>100118</v>
      </c>
      <c r="K7172" s="1" t="n">
        <v>119</v>
      </c>
      <c r="L7172" s="1" t="s">
        <v>2328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5" t="n">
        <v>46245</v>
      </c>
      <c r="C7173" s="1" t="n">
        <v>6</v>
      </c>
      <c r="D7173" s="1" t="s">
        <v>2289</v>
      </c>
      <c r="E7173" s="1" t="n">
        <v>42</v>
      </c>
      <c r="F7173" s="1" t="s">
        <v>80</v>
      </c>
      <c r="I7173" s="1" t="n">
        <v>4489</v>
      </c>
      <c r="J7173" s="1" t="n">
        <v>100121</v>
      </c>
      <c r="K7173" s="1" t="n">
        <v>122</v>
      </c>
      <c r="L7173" s="1" t="s">
        <v>2329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5" t="n">
        <v>46245</v>
      </c>
      <c r="C7174" s="1" t="n">
        <v>6</v>
      </c>
      <c r="D7174" s="1" t="s">
        <v>2289</v>
      </c>
      <c r="E7174" s="1" t="n">
        <v>42</v>
      </c>
      <c r="F7174" s="1" t="s">
        <v>80</v>
      </c>
      <c r="I7174" s="1" t="n">
        <v>4489</v>
      </c>
      <c r="J7174" s="1" t="n">
        <v>100122</v>
      </c>
      <c r="K7174" s="1" t="n">
        <v>123</v>
      </c>
      <c r="L7174" s="1" t="s">
        <v>2330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5" t="n">
        <v>46245</v>
      </c>
      <c r="C7175" s="1" t="n">
        <v>6</v>
      </c>
      <c r="D7175" s="1" t="s">
        <v>2289</v>
      </c>
      <c r="E7175" s="1" t="n">
        <v>42</v>
      </c>
      <c r="F7175" s="1" t="s">
        <v>80</v>
      </c>
      <c r="I7175" s="1" t="n">
        <v>4489</v>
      </c>
      <c r="J7175" s="1" t="n">
        <v>100123</v>
      </c>
      <c r="K7175" s="1" t="n">
        <v>124</v>
      </c>
      <c r="L7175" s="1" t="s">
        <v>2475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5" t="n">
        <v>46245</v>
      </c>
      <c r="C7176" s="1" t="n">
        <v>6</v>
      </c>
      <c r="D7176" s="1" t="s">
        <v>2289</v>
      </c>
      <c r="E7176" s="1" t="n">
        <v>42</v>
      </c>
      <c r="F7176" s="1" t="s">
        <v>80</v>
      </c>
      <c r="I7176" s="1" t="n">
        <v>4489</v>
      </c>
      <c r="J7176" s="1" t="n">
        <v>100133</v>
      </c>
      <c r="K7176" s="1" t="n">
        <v>134</v>
      </c>
      <c r="L7176" s="1" t="s">
        <v>2332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5" t="n">
        <v>46245</v>
      </c>
      <c r="C7177" s="1" t="n">
        <v>6</v>
      </c>
      <c r="D7177" s="1" t="s">
        <v>2289</v>
      </c>
      <c r="E7177" s="1" t="n">
        <v>42</v>
      </c>
      <c r="F7177" s="1" t="s">
        <v>80</v>
      </c>
      <c r="I7177" s="1" t="n">
        <v>4489</v>
      </c>
      <c r="J7177" s="1" t="n">
        <v>100148</v>
      </c>
      <c r="K7177" s="1" t="n">
        <v>149</v>
      </c>
      <c r="L7177" s="1" t="s">
        <v>2676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5" t="n">
        <v>46245</v>
      </c>
      <c r="C7178" s="1" t="n">
        <v>6</v>
      </c>
      <c r="D7178" s="1" t="s">
        <v>2289</v>
      </c>
      <c r="E7178" s="1" t="n">
        <v>42</v>
      </c>
      <c r="F7178" s="1" t="s">
        <v>80</v>
      </c>
      <c r="I7178" s="1" t="n">
        <v>4489</v>
      </c>
      <c r="J7178" s="1" t="n">
        <v>110142</v>
      </c>
      <c r="K7178" s="1" t="n">
        <v>16699</v>
      </c>
      <c r="L7178" s="1" t="s">
        <v>2334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5" t="n">
        <v>46245</v>
      </c>
      <c r="C7179" s="1" t="n">
        <v>6</v>
      </c>
      <c r="D7179" s="1" t="s">
        <v>2289</v>
      </c>
      <c r="E7179" s="1" t="n">
        <v>42</v>
      </c>
      <c r="F7179" s="1" t="s">
        <v>80</v>
      </c>
      <c r="I7179" s="1" t="n">
        <v>4489</v>
      </c>
      <c r="J7179" s="1" t="n">
        <v>37363</v>
      </c>
      <c r="K7179" s="1" t="n">
        <v>55528</v>
      </c>
      <c r="L7179" s="1" t="s">
        <v>4279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5" t="n">
        <v>46245</v>
      </c>
      <c r="C7180" s="1" t="n">
        <v>6</v>
      </c>
      <c r="D7180" s="1" t="s">
        <v>2289</v>
      </c>
      <c r="E7180" s="1" t="n">
        <v>42</v>
      </c>
      <c r="F7180" s="1" t="s">
        <v>80</v>
      </c>
      <c r="I7180" s="1" t="n">
        <v>4489</v>
      </c>
      <c r="J7180" s="1" t="n">
        <v>110265</v>
      </c>
      <c r="K7180" s="1" t="n">
        <v>41346</v>
      </c>
      <c r="L7180" s="1" t="s">
        <v>2478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5" t="n">
        <v>46245</v>
      </c>
      <c r="C7181" s="1" t="n">
        <v>6</v>
      </c>
      <c r="D7181" s="1" t="s">
        <v>2289</v>
      </c>
      <c r="E7181" s="1" t="n">
        <v>42</v>
      </c>
      <c r="F7181" s="1" t="s">
        <v>80</v>
      </c>
      <c r="I7181" s="1" t="n">
        <v>4489</v>
      </c>
      <c r="J7181" s="1" t="n">
        <v>43627</v>
      </c>
      <c r="K7181" s="1" t="n">
        <v>1175</v>
      </c>
      <c r="L7181" s="1" t="s">
        <v>2479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5" t="n">
        <v>46245</v>
      </c>
      <c r="C7182" s="1" t="n">
        <v>11</v>
      </c>
      <c r="D7182" s="1" t="s">
        <v>2290</v>
      </c>
      <c r="E7182" s="1" t="n">
        <v>1625</v>
      </c>
      <c r="F7182" s="1" t="s">
        <v>320</v>
      </c>
      <c r="I7182" s="1" t="n">
        <v>14994</v>
      </c>
      <c r="J7182" s="1" t="n">
        <v>29079</v>
      </c>
      <c r="K7182" s="1" t="n">
        <v>55515</v>
      </c>
      <c r="L7182" s="1" t="s">
        <v>2360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5" t="n">
        <v>46245</v>
      </c>
      <c r="C7183" s="1" t="n">
        <v>11</v>
      </c>
      <c r="D7183" s="1" t="s">
        <v>2290</v>
      </c>
      <c r="E7183" s="1" t="n">
        <v>1625</v>
      </c>
      <c r="F7183" s="1" t="s">
        <v>320</v>
      </c>
      <c r="I7183" s="1" t="n">
        <v>14994</v>
      </c>
      <c r="J7183" s="1" t="n">
        <v>29079</v>
      </c>
      <c r="K7183" s="1" t="n">
        <v>55515</v>
      </c>
      <c r="L7183" s="1" t="s">
        <v>2360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5" t="n">
        <v>46245</v>
      </c>
      <c r="C7184" s="1" t="n">
        <v>11</v>
      </c>
      <c r="D7184" s="1" t="s">
        <v>2290</v>
      </c>
      <c r="E7184" s="1" t="n">
        <v>1625</v>
      </c>
      <c r="F7184" s="1" t="s">
        <v>320</v>
      </c>
      <c r="I7184" s="1" t="n">
        <v>14994</v>
      </c>
      <c r="J7184" s="1" t="n">
        <v>29080</v>
      </c>
      <c r="K7184" s="1" t="n">
        <v>55516</v>
      </c>
      <c r="L7184" s="1" t="s">
        <v>2362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5" t="n">
        <v>46245</v>
      </c>
      <c r="C7185" s="1" t="n">
        <v>11</v>
      </c>
      <c r="D7185" s="1" t="s">
        <v>2290</v>
      </c>
      <c r="E7185" s="1" t="n">
        <v>1625</v>
      </c>
      <c r="F7185" s="1" t="s">
        <v>320</v>
      </c>
      <c r="I7185" s="1" t="n">
        <v>14994</v>
      </c>
      <c r="J7185" s="1" t="n">
        <v>77455</v>
      </c>
      <c r="K7185" s="1" t="n">
        <v>774567</v>
      </c>
      <c r="L7185" s="1" t="s">
        <v>2361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5" t="n">
        <v>46245</v>
      </c>
      <c r="C7186" s="1" t="n">
        <v>11</v>
      </c>
      <c r="D7186" s="1" t="s">
        <v>2290</v>
      </c>
      <c r="E7186" s="1" t="n">
        <v>1625</v>
      </c>
      <c r="F7186" s="1" t="s">
        <v>320</v>
      </c>
      <c r="I7186" s="1" t="n">
        <v>14994</v>
      </c>
      <c r="J7186" s="1" t="n">
        <v>77455</v>
      </c>
      <c r="K7186" s="1" t="n">
        <v>774567</v>
      </c>
      <c r="L7186" s="1" t="s">
        <v>2361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5" t="n">
        <v>46245</v>
      </c>
      <c r="C7187" s="1" t="n">
        <v>11</v>
      </c>
      <c r="D7187" s="1" t="s">
        <v>2290</v>
      </c>
      <c r="E7187" s="1" t="n">
        <v>1625</v>
      </c>
      <c r="F7187" s="1" t="s">
        <v>320</v>
      </c>
      <c r="I7187" s="1" t="n">
        <v>14994</v>
      </c>
      <c r="J7187" s="1" t="n">
        <v>78040</v>
      </c>
      <c r="K7187" s="1" t="n">
        <v>780414</v>
      </c>
      <c r="L7187" s="1" t="s">
        <v>2585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5" t="n">
        <v>46245</v>
      </c>
      <c r="C7188" s="1" t="n">
        <v>11</v>
      </c>
      <c r="D7188" s="1" t="s">
        <v>2290</v>
      </c>
      <c r="E7188" s="1" t="n">
        <v>1615</v>
      </c>
      <c r="F7188" s="1" t="s">
        <v>130</v>
      </c>
      <c r="I7188" s="1" t="n">
        <v>15077</v>
      </c>
      <c r="J7188" s="1" t="n">
        <v>100114</v>
      </c>
      <c r="K7188" s="1" t="n">
        <v>115</v>
      </c>
      <c r="L7188" s="1" t="s">
        <v>2568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5" t="n">
        <v>46245</v>
      </c>
      <c r="C7189" s="1" t="n">
        <v>11</v>
      </c>
      <c r="D7189" s="1" t="s">
        <v>2290</v>
      </c>
      <c r="E7189" s="1" t="n">
        <v>1615</v>
      </c>
      <c r="F7189" s="1" t="s">
        <v>130</v>
      </c>
      <c r="I7189" s="1" t="n">
        <v>15077</v>
      </c>
      <c r="J7189" s="1" t="n">
        <v>37771</v>
      </c>
      <c r="K7189" s="1" t="n">
        <v>774574</v>
      </c>
      <c r="L7189" s="1" t="s">
        <v>2569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5" t="n">
        <v>46245</v>
      </c>
      <c r="C7190" s="1" t="n">
        <v>11</v>
      </c>
      <c r="D7190" s="1" t="s">
        <v>2290</v>
      </c>
      <c r="E7190" s="1" t="n">
        <v>957</v>
      </c>
      <c r="F7190" s="1" t="s">
        <v>720</v>
      </c>
      <c r="I7190" s="1" t="n">
        <v>21623</v>
      </c>
      <c r="J7190" s="1" t="n">
        <v>100214</v>
      </c>
      <c r="K7190" s="1" t="n">
        <v>215</v>
      </c>
      <c r="L7190" s="1" t="s">
        <v>4684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5" t="n">
        <v>46245</v>
      </c>
      <c r="C7191" s="1" t="n">
        <v>11</v>
      </c>
      <c r="D7191" s="1" t="s">
        <v>2290</v>
      </c>
      <c r="E7191" s="1" t="n">
        <v>957</v>
      </c>
      <c r="F7191" s="1" t="s">
        <v>720</v>
      </c>
      <c r="I7191" s="1" t="n">
        <v>21623</v>
      </c>
      <c r="J7191" s="1" t="n">
        <v>100215</v>
      </c>
      <c r="K7191" s="1" t="n">
        <v>216</v>
      </c>
      <c r="L7191" s="1" t="s">
        <v>2708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5" t="n">
        <v>46245</v>
      </c>
      <c r="C7192" s="1" t="n">
        <v>11</v>
      </c>
      <c r="D7192" s="1" t="s">
        <v>2290</v>
      </c>
      <c r="E7192" s="1" t="n">
        <v>957</v>
      </c>
      <c r="F7192" s="1" t="s">
        <v>720</v>
      </c>
      <c r="I7192" s="1" t="n">
        <v>21623</v>
      </c>
      <c r="J7192" s="1" t="n">
        <v>100356</v>
      </c>
      <c r="K7192" s="1" t="n">
        <v>227</v>
      </c>
      <c r="L7192" s="1" t="s">
        <v>2710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5" t="n">
        <v>46245</v>
      </c>
      <c r="C7193" s="1" t="n">
        <v>11</v>
      </c>
      <c r="D7193" s="1" t="s">
        <v>2290</v>
      </c>
      <c r="E7193" s="1" t="n">
        <v>957</v>
      </c>
      <c r="F7193" s="1" t="s">
        <v>720</v>
      </c>
      <c r="I7193" s="1" t="n">
        <v>21623</v>
      </c>
      <c r="J7193" s="1" t="n">
        <v>100357</v>
      </c>
      <c r="K7193" s="1" t="n">
        <v>228</v>
      </c>
      <c r="L7193" s="1" t="s">
        <v>2711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5" t="n">
        <v>46245</v>
      </c>
      <c r="C7194" s="1" t="n">
        <v>11</v>
      </c>
      <c r="D7194" s="1" t="s">
        <v>2290</v>
      </c>
      <c r="E7194" s="1" t="n">
        <v>957</v>
      </c>
      <c r="F7194" s="1" t="s">
        <v>720</v>
      </c>
      <c r="I7194" s="1" t="n">
        <v>21623</v>
      </c>
      <c r="J7194" s="1" t="n">
        <v>100368</v>
      </c>
      <c r="K7194" s="1" t="n">
        <v>239</v>
      </c>
      <c r="L7194" s="1" t="s">
        <v>2712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5" t="n">
        <v>46245</v>
      </c>
      <c r="C7195" s="1" t="n">
        <v>11</v>
      </c>
      <c r="D7195" s="1" t="s">
        <v>2290</v>
      </c>
      <c r="E7195" s="1" t="n">
        <v>957</v>
      </c>
      <c r="F7195" s="1" t="s">
        <v>720</v>
      </c>
      <c r="I7195" s="1" t="n">
        <v>21623</v>
      </c>
      <c r="J7195" s="1" t="n">
        <v>110233</v>
      </c>
      <c r="K7195" s="1" t="n">
        <v>38376</v>
      </c>
      <c r="L7195" s="1" t="s">
        <v>2714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5" t="n">
        <v>46245</v>
      </c>
      <c r="C7196" s="1" t="n">
        <v>22</v>
      </c>
      <c r="D7196" s="1" t="s">
        <v>2436</v>
      </c>
      <c r="E7196" s="1" t="n">
        <v>42</v>
      </c>
      <c r="F7196" s="1" t="s">
        <v>80</v>
      </c>
      <c r="I7196" s="1" t="n">
        <v>4485</v>
      </c>
      <c r="J7196" s="1" t="n">
        <v>100000</v>
      </c>
      <c r="K7196" s="1" t="n">
        <v>1</v>
      </c>
      <c r="L7196" s="1" t="s">
        <v>2451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5" t="n">
        <v>46245</v>
      </c>
      <c r="C7197" s="1" t="n">
        <v>22</v>
      </c>
      <c r="D7197" s="1" t="s">
        <v>2436</v>
      </c>
      <c r="E7197" s="1" t="n">
        <v>42</v>
      </c>
      <c r="F7197" s="1" t="s">
        <v>80</v>
      </c>
      <c r="I7197" s="1" t="n">
        <v>4485</v>
      </c>
      <c r="J7197" s="1" t="n">
        <v>100001</v>
      </c>
      <c r="K7197" s="1" t="n">
        <v>2</v>
      </c>
      <c r="L7197" s="1" t="s">
        <v>2452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5" t="n">
        <v>46245</v>
      </c>
      <c r="C7198" s="1" t="n">
        <v>22</v>
      </c>
      <c r="D7198" s="1" t="s">
        <v>2436</v>
      </c>
      <c r="E7198" s="1" t="n">
        <v>42</v>
      </c>
      <c r="F7198" s="1" t="s">
        <v>80</v>
      </c>
      <c r="I7198" s="1" t="n">
        <v>4485</v>
      </c>
      <c r="J7198" s="1" t="n">
        <v>100002</v>
      </c>
      <c r="K7198" s="1" t="n">
        <v>3</v>
      </c>
      <c r="L7198" s="1" t="s">
        <v>2453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5" t="n">
        <v>46245</v>
      </c>
      <c r="C7199" s="1" t="n">
        <v>22</v>
      </c>
      <c r="D7199" s="1" t="s">
        <v>2436</v>
      </c>
      <c r="E7199" s="1" t="n">
        <v>42</v>
      </c>
      <c r="F7199" s="1" t="s">
        <v>80</v>
      </c>
      <c r="I7199" s="1" t="n">
        <v>4485</v>
      </c>
      <c r="J7199" s="1" t="n">
        <v>100003</v>
      </c>
      <c r="K7199" s="1" t="n">
        <v>4</v>
      </c>
      <c r="L7199" s="1" t="s">
        <v>2454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5" t="n">
        <v>46245</v>
      </c>
      <c r="C7200" s="1" t="n">
        <v>22</v>
      </c>
      <c r="D7200" s="1" t="s">
        <v>2436</v>
      </c>
      <c r="E7200" s="1" t="n">
        <v>42</v>
      </c>
      <c r="F7200" s="1" t="s">
        <v>80</v>
      </c>
      <c r="I7200" s="1" t="n">
        <v>4485</v>
      </c>
      <c r="J7200" s="1" t="n">
        <v>100004</v>
      </c>
      <c r="K7200" s="1" t="n">
        <v>5</v>
      </c>
      <c r="L7200" s="1" t="s">
        <v>2667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5" t="n">
        <v>46245</v>
      </c>
      <c r="C7201" s="1" t="n">
        <v>22</v>
      </c>
      <c r="D7201" s="1" t="s">
        <v>2436</v>
      </c>
      <c r="E7201" s="1" t="n">
        <v>42</v>
      </c>
      <c r="F7201" s="1" t="s">
        <v>80</v>
      </c>
      <c r="I7201" s="1" t="n">
        <v>4485</v>
      </c>
      <c r="J7201" s="1" t="n">
        <v>100004</v>
      </c>
      <c r="K7201" s="1" t="n">
        <v>5</v>
      </c>
      <c r="L7201" s="1" t="s">
        <v>2667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5" t="n">
        <v>46245</v>
      </c>
      <c r="C7202" s="1" t="n">
        <v>22</v>
      </c>
      <c r="D7202" s="1" t="s">
        <v>2436</v>
      </c>
      <c r="E7202" s="1" t="n">
        <v>42</v>
      </c>
      <c r="F7202" s="1" t="s">
        <v>80</v>
      </c>
      <c r="I7202" s="1" t="n">
        <v>4485</v>
      </c>
      <c r="J7202" s="1" t="n">
        <v>100006</v>
      </c>
      <c r="K7202" s="1" t="n">
        <v>7</v>
      </c>
      <c r="L7202" s="1" t="s">
        <v>2437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5" t="n">
        <v>46245</v>
      </c>
      <c r="C7203" s="1" t="n">
        <v>22</v>
      </c>
      <c r="D7203" s="1" t="s">
        <v>2436</v>
      </c>
      <c r="E7203" s="1" t="n">
        <v>42</v>
      </c>
      <c r="F7203" s="1" t="s">
        <v>80</v>
      </c>
      <c r="I7203" s="1" t="n">
        <v>4485</v>
      </c>
      <c r="J7203" s="1" t="n">
        <v>100006</v>
      </c>
      <c r="K7203" s="1" t="n">
        <v>7</v>
      </c>
      <c r="L7203" s="1" t="s">
        <v>2437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5" t="n">
        <v>46245</v>
      </c>
      <c r="C7204" s="1" t="n">
        <v>22</v>
      </c>
      <c r="D7204" s="1" t="s">
        <v>2436</v>
      </c>
      <c r="E7204" s="1" t="n">
        <v>42</v>
      </c>
      <c r="F7204" s="1" t="s">
        <v>80</v>
      </c>
      <c r="I7204" s="1" t="n">
        <v>4485</v>
      </c>
      <c r="J7204" s="1" t="n">
        <v>100007</v>
      </c>
      <c r="K7204" s="1" t="n">
        <v>8</v>
      </c>
      <c r="L7204" s="1" t="s">
        <v>2455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5" t="n">
        <v>46245</v>
      </c>
      <c r="C7205" s="1" t="n">
        <v>22</v>
      </c>
      <c r="D7205" s="1" t="s">
        <v>2436</v>
      </c>
      <c r="E7205" s="1" t="n">
        <v>42</v>
      </c>
      <c r="F7205" s="1" t="s">
        <v>80</v>
      </c>
      <c r="I7205" s="1" t="n">
        <v>4485</v>
      </c>
      <c r="J7205" s="1" t="n">
        <v>100007</v>
      </c>
      <c r="K7205" s="1" t="n">
        <v>8</v>
      </c>
      <c r="L7205" s="1" t="s">
        <v>2455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5" t="n">
        <v>46245</v>
      </c>
      <c r="C7206" s="1" t="n">
        <v>22</v>
      </c>
      <c r="D7206" s="1" t="s">
        <v>2436</v>
      </c>
      <c r="E7206" s="1" t="n">
        <v>42</v>
      </c>
      <c r="F7206" s="1" t="s">
        <v>80</v>
      </c>
      <c r="I7206" s="1" t="n">
        <v>4485</v>
      </c>
      <c r="J7206" s="1" t="n">
        <v>100007</v>
      </c>
      <c r="K7206" s="1" t="n">
        <v>8</v>
      </c>
      <c r="L7206" s="1" t="s">
        <v>2455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5" t="n">
        <v>46245</v>
      </c>
      <c r="C7207" s="1" t="n">
        <v>22</v>
      </c>
      <c r="D7207" s="1" t="s">
        <v>2436</v>
      </c>
      <c r="E7207" s="1" t="n">
        <v>42</v>
      </c>
      <c r="F7207" s="1" t="s">
        <v>80</v>
      </c>
      <c r="I7207" s="1" t="n">
        <v>4485</v>
      </c>
      <c r="J7207" s="1" t="n">
        <v>100007</v>
      </c>
      <c r="K7207" s="1" t="n">
        <v>8</v>
      </c>
      <c r="L7207" s="1" t="s">
        <v>2455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5" t="n">
        <v>46245</v>
      </c>
      <c r="C7208" s="1" t="n">
        <v>22</v>
      </c>
      <c r="D7208" s="1" t="s">
        <v>2436</v>
      </c>
      <c r="E7208" s="1" t="n">
        <v>42</v>
      </c>
      <c r="F7208" s="1" t="s">
        <v>80</v>
      </c>
      <c r="I7208" s="1" t="n">
        <v>4485</v>
      </c>
      <c r="J7208" s="1" t="n">
        <v>100008</v>
      </c>
      <c r="K7208" s="1" t="n">
        <v>9</v>
      </c>
      <c r="L7208" s="1" t="s">
        <v>2438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5" t="n">
        <v>46245</v>
      </c>
      <c r="C7209" s="1" t="n">
        <v>22</v>
      </c>
      <c r="D7209" s="1" t="s">
        <v>2436</v>
      </c>
      <c r="E7209" s="1" t="n">
        <v>42</v>
      </c>
      <c r="F7209" s="1" t="s">
        <v>80</v>
      </c>
      <c r="I7209" s="1" t="n">
        <v>4485</v>
      </c>
      <c r="J7209" s="1" t="n">
        <v>100008</v>
      </c>
      <c r="K7209" s="1" t="n">
        <v>9</v>
      </c>
      <c r="L7209" s="1" t="s">
        <v>2438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5" t="n">
        <v>46245</v>
      </c>
      <c r="C7210" s="1" t="n">
        <v>22</v>
      </c>
      <c r="D7210" s="1" t="s">
        <v>2436</v>
      </c>
      <c r="E7210" s="1" t="n">
        <v>42</v>
      </c>
      <c r="F7210" s="1" t="s">
        <v>80</v>
      </c>
      <c r="I7210" s="1" t="n">
        <v>4485</v>
      </c>
      <c r="J7210" s="1" t="n">
        <v>100010</v>
      </c>
      <c r="K7210" s="1" t="n">
        <v>11</v>
      </c>
      <c r="L7210" s="1" t="s">
        <v>2439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5" t="n">
        <v>46245</v>
      </c>
      <c r="C7211" s="1" t="n">
        <v>22</v>
      </c>
      <c r="D7211" s="1" t="s">
        <v>2436</v>
      </c>
      <c r="E7211" s="1" t="n">
        <v>42</v>
      </c>
      <c r="F7211" s="1" t="s">
        <v>80</v>
      </c>
      <c r="I7211" s="1" t="n">
        <v>4485</v>
      </c>
      <c r="J7211" s="1" t="n">
        <v>100011</v>
      </c>
      <c r="K7211" s="1" t="n">
        <v>12</v>
      </c>
      <c r="L7211" s="1" t="s">
        <v>2440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5" t="n">
        <v>46245</v>
      </c>
      <c r="C7212" s="1" t="n">
        <v>22</v>
      </c>
      <c r="D7212" s="1" t="s">
        <v>2436</v>
      </c>
      <c r="E7212" s="1" t="n">
        <v>42</v>
      </c>
      <c r="F7212" s="1" t="s">
        <v>80</v>
      </c>
      <c r="I7212" s="1" t="n">
        <v>4485</v>
      </c>
      <c r="J7212" s="1" t="n">
        <v>100012</v>
      </c>
      <c r="K7212" s="1" t="n">
        <v>13</v>
      </c>
      <c r="L7212" s="1" t="s">
        <v>2441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5" t="n">
        <v>46245</v>
      </c>
      <c r="C7213" s="1" t="n">
        <v>22</v>
      </c>
      <c r="D7213" s="1" t="s">
        <v>2436</v>
      </c>
      <c r="E7213" s="1" t="n">
        <v>42</v>
      </c>
      <c r="F7213" s="1" t="s">
        <v>80</v>
      </c>
      <c r="I7213" s="1" t="n">
        <v>4485</v>
      </c>
      <c r="J7213" s="1" t="n">
        <v>100013</v>
      </c>
      <c r="K7213" s="1" t="n">
        <v>14</v>
      </c>
      <c r="L7213" s="1" t="s">
        <v>2442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5" t="n">
        <v>46245</v>
      </c>
      <c r="C7214" s="1" t="n">
        <v>22</v>
      </c>
      <c r="D7214" s="1" t="s">
        <v>2436</v>
      </c>
      <c r="E7214" s="1" t="n">
        <v>42</v>
      </c>
      <c r="F7214" s="1" t="s">
        <v>80</v>
      </c>
      <c r="I7214" s="1" t="n">
        <v>4485</v>
      </c>
      <c r="J7214" s="1" t="n">
        <v>100014</v>
      </c>
      <c r="K7214" s="1" t="n">
        <v>15</v>
      </c>
      <c r="L7214" s="1" t="s">
        <v>2443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5" t="n">
        <v>46245</v>
      </c>
      <c r="C7215" s="1" t="n">
        <v>22</v>
      </c>
      <c r="D7215" s="1" t="s">
        <v>2436</v>
      </c>
      <c r="E7215" s="1" t="n">
        <v>42</v>
      </c>
      <c r="F7215" s="1" t="s">
        <v>80</v>
      </c>
      <c r="I7215" s="1" t="n">
        <v>4485</v>
      </c>
      <c r="J7215" s="1" t="n">
        <v>100015</v>
      </c>
      <c r="K7215" s="1" t="n">
        <v>16</v>
      </c>
      <c r="L7215" s="1" t="s">
        <v>2444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5" t="n">
        <v>46245</v>
      </c>
      <c r="C7216" s="1" t="n">
        <v>22</v>
      </c>
      <c r="D7216" s="1" t="s">
        <v>2436</v>
      </c>
      <c r="E7216" s="1" t="n">
        <v>42</v>
      </c>
      <c r="F7216" s="1" t="s">
        <v>80</v>
      </c>
      <c r="I7216" s="1" t="n">
        <v>4485</v>
      </c>
      <c r="J7216" s="1" t="n">
        <v>100016</v>
      </c>
      <c r="K7216" s="1" t="n">
        <v>17</v>
      </c>
      <c r="L7216" s="1" t="s">
        <v>2445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5" t="n">
        <v>46245</v>
      </c>
      <c r="C7217" s="1" t="n">
        <v>22</v>
      </c>
      <c r="D7217" s="1" t="s">
        <v>2436</v>
      </c>
      <c r="E7217" s="1" t="n">
        <v>42</v>
      </c>
      <c r="F7217" s="1" t="s">
        <v>80</v>
      </c>
      <c r="I7217" s="1" t="n">
        <v>4485</v>
      </c>
      <c r="J7217" s="1" t="n">
        <v>100016</v>
      </c>
      <c r="K7217" s="1" t="n">
        <v>17</v>
      </c>
      <c r="L7217" s="1" t="s">
        <v>2445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5" t="n">
        <v>46245</v>
      </c>
      <c r="C7218" s="1" t="n">
        <v>22</v>
      </c>
      <c r="D7218" s="1" t="s">
        <v>2436</v>
      </c>
      <c r="E7218" s="1" t="n">
        <v>42</v>
      </c>
      <c r="F7218" s="1" t="s">
        <v>80</v>
      </c>
      <c r="I7218" s="1" t="n">
        <v>4485</v>
      </c>
      <c r="J7218" s="1" t="n">
        <v>100017</v>
      </c>
      <c r="K7218" s="1" t="n">
        <v>18</v>
      </c>
      <c r="L7218" s="1" t="s">
        <v>2446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5" t="n">
        <v>46245</v>
      </c>
      <c r="C7219" s="1" t="n">
        <v>22</v>
      </c>
      <c r="D7219" s="1" t="s">
        <v>2436</v>
      </c>
      <c r="E7219" s="1" t="n">
        <v>42</v>
      </c>
      <c r="F7219" s="1" t="s">
        <v>80</v>
      </c>
      <c r="I7219" s="1" t="n">
        <v>4485</v>
      </c>
      <c r="J7219" s="1" t="n">
        <v>100018</v>
      </c>
      <c r="K7219" s="1" t="n">
        <v>19</v>
      </c>
      <c r="L7219" s="1" t="s">
        <v>4685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5" t="n">
        <v>46245</v>
      </c>
      <c r="C7220" s="1" t="n">
        <v>22</v>
      </c>
      <c r="D7220" s="1" t="s">
        <v>2436</v>
      </c>
      <c r="E7220" s="1" t="n">
        <v>42</v>
      </c>
      <c r="F7220" s="1" t="s">
        <v>80</v>
      </c>
      <c r="I7220" s="1" t="n">
        <v>4485</v>
      </c>
      <c r="J7220" s="1" t="n">
        <v>100019</v>
      </c>
      <c r="K7220" s="1" t="n">
        <v>20</v>
      </c>
      <c r="L7220" s="1" t="s">
        <v>4136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5" t="n">
        <v>46245</v>
      </c>
      <c r="C7221" s="1" t="n">
        <v>22</v>
      </c>
      <c r="D7221" s="1" t="s">
        <v>2436</v>
      </c>
      <c r="E7221" s="1" t="n">
        <v>42</v>
      </c>
      <c r="F7221" s="1" t="s">
        <v>80</v>
      </c>
      <c r="I7221" s="1" t="n">
        <v>4485</v>
      </c>
      <c r="J7221" s="1" t="n">
        <v>100020</v>
      </c>
      <c r="K7221" s="1" t="n">
        <v>21</v>
      </c>
      <c r="L7221" s="1" t="s">
        <v>2456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5" t="n">
        <v>46245</v>
      </c>
      <c r="C7222" s="1" t="n">
        <v>22</v>
      </c>
      <c r="D7222" s="1" t="s">
        <v>2436</v>
      </c>
      <c r="E7222" s="1" t="n">
        <v>42</v>
      </c>
      <c r="F7222" s="1" t="s">
        <v>80</v>
      </c>
      <c r="I7222" s="1" t="n">
        <v>4485</v>
      </c>
      <c r="J7222" s="1" t="n">
        <v>100053</v>
      </c>
      <c r="K7222" s="1" t="n">
        <v>54</v>
      </c>
      <c r="L7222" s="1" t="s">
        <v>2447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5" t="n">
        <v>46245</v>
      </c>
      <c r="C7223" s="1" t="n">
        <v>22</v>
      </c>
      <c r="D7223" s="1" t="s">
        <v>2436</v>
      </c>
      <c r="E7223" s="1" t="n">
        <v>42</v>
      </c>
      <c r="F7223" s="1" t="s">
        <v>80</v>
      </c>
      <c r="I7223" s="1" t="n">
        <v>4485</v>
      </c>
      <c r="J7223" s="1" t="n">
        <v>100053</v>
      </c>
      <c r="K7223" s="1" t="n">
        <v>54</v>
      </c>
      <c r="L7223" s="1" t="s">
        <v>2447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5" t="n">
        <v>46245</v>
      </c>
      <c r="C7224" s="1" t="n">
        <v>22</v>
      </c>
      <c r="D7224" s="1" t="s">
        <v>2436</v>
      </c>
      <c r="E7224" s="1" t="n">
        <v>42</v>
      </c>
      <c r="F7224" s="1" t="s">
        <v>80</v>
      </c>
      <c r="I7224" s="1" t="n">
        <v>4485</v>
      </c>
      <c r="J7224" s="1" t="n">
        <v>100057</v>
      </c>
      <c r="K7224" s="1" t="n">
        <v>58</v>
      </c>
      <c r="L7224" s="1" t="s">
        <v>4632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5" t="n">
        <v>46245</v>
      </c>
      <c r="C7225" s="1" t="n">
        <v>22</v>
      </c>
      <c r="D7225" s="1" t="s">
        <v>2436</v>
      </c>
      <c r="E7225" s="1" t="n">
        <v>42</v>
      </c>
      <c r="F7225" s="1" t="s">
        <v>80</v>
      </c>
      <c r="I7225" s="1" t="n">
        <v>4485</v>
      </c>
      <c r="J7225" s="1" t="n">
        <v>100638</v>
      </c>
      <c r="K7225" s="1" t="n">
        <v>508</v>
      </c>
      <c r="L7225" s="1" t="s">
        <v>2448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5" t="n">
        <v>46245</v>
      </c>
      <c r="C7226" s="1" t="n">
        <v>22</v>
      </c>
      <c r="D7226" s="1" t="s">
        <v>2436</v>
      </c>
      <c r="E7226" s="1" t="n">
        <v>42</v>
      </c>
      <c r="F7226" s="1" t="s">
        <v>80</v>
      </c>
      <c r="I7226" s="1" t="n">
        <v>4485</v>
      </c>
      <c r="J7226" s="1" t="n">
        <v>100638</v>
      </c>
      <c r="K7226" s="1" t="n">
        <v>508</v>
      </c>
      <c r="L7226" s="1" t="s">
        <v>2448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5" t="n">
        <v>46245</v>
      </c>
      <c r="C7227" s="1" t="n">
        <v>22</v>
      </c>
      <c r="D7227" s="1" t="s">
        <v>2436</v>
      </c>
      <c r="E7227" s="1" t="n">
        <v>42</v>
      </c>
      <c r="F7227" s="1" t="s">
        <v>80</v>
      </c>
      <c r="I7227" s="1" t="n">
        <v>4485</v>
      </c>
      <c r="J7227" s="1" t="n">
        <v>100638</v>
      </c>
      <c r="K7227" s="1" t="n">
        <v>508</v>
      </c>
      <c r="L7227" s="1" t="s">
        <v>2448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5" t="n">
        <v>46245</v>
      </c>
      <c r="C7228" s="1" t="n">
        <v>22</v>
      </c>
      <c r="D7228" s="1" t="s">
        <v>2436</v>
      </c>
      <c r="E7228" s="1" t="n">
        <v>42</v>
      </c>
      <c r="F7228" s="1" t="s">
        <v>80</v>
      </c>
      <c r="I7228" s="1" t="n">
        <v>4485</v>
      </c>
      <c r="J7228" s="1" t="n">
        <v>100638</v>
      </c>
      <c r="K7228" s="1" t="n">
        <v>508</v>
      </c>
      <c r="L7228" s="1" t="s">
        <v>2448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5" t="n">
        <v>46245</v>
      </c>
      <c r="C7229" s="1" t="n">
        <v>22</v>
      </c>
      <c r="D7229" s="1" t="s">
        <v>2436</v>
      </c>
      <c r="E7229" s="1" t="n">
        <v>42</v>
      </c>
      <c r="F7229" s="1" t="s">
        <v>80</v>
      </c>
      <c r="I7229" s="1" t="n">
        <v>4485</v>
      </c>
      <c r="J7229" s="1" t="n">
        <v>100520</v>
      </c>
      <c r="K7229" s="1" t="n">
        <v>507</v>
      </c>
      <c r="L7229" s="1" t="s">
        <v>2449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5" t="n">
        <v>46245</v>
      </c>
      <c r="C7230" s="1" t="n">
        <v>22</v>
      </c>
      <c r="D7230" s="1" t="s">
        <v>2436</v>
      </c>
      <c r="E7230" s="1" t="n">
        <v>42</v>
      </c>
      <c r="F7230" s="1" t="s">
        <v>80</v>
      </c>
      <c r="I7230" s="1" t="n">
        <v>4485</v>
      </c>
      <c r="J7230" s="1" t="n">
        <v>100520</v>
      </c>
      <c r="K7230" s="1" t="n">
        <v>507</v>
      </c>
      <c r="L7230" s="1" t="s">
        <v>2449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5" t="n">
        <v>46245</v>
      </c>
      <c r="C7231" s="1" t="n">
        <v>22</v>
      </c>
      <c r="D7231" s="1" t="s">
        <v>2436</v>
      </c>
      <c r="E7231" s="1" t="n">
        <v>42</v>
      </c>
      <c r="F7231" s="1" t="s">
        <v>80</v>
      </c>
      <c r="I7231" s="1" t="n">
        <v>4485</v>
      </c>
      <c r="J7231" s="1" t="n">
        <v>100520</v>
      </c>
      <c r="K7231" s="1" t="n">
        <v>507</v>
      </c>
      <c r="L7231" s="1" t="s">
        <v>2449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5" t="n">
        <v>46245</v>
      </c>
      <c r="C7232" s="1" t="n">
        <v>22</v>
      </c>
      <c r="D7232" s="1" t="s">
        <v>2436</v>
      </c>
      <c r="E7232" s="1" t="n">
        <v>42</v>
      </c>
      <c r="F7232" s="1" t="s">
        <v>80</v>
      </c>
      <c r="I7232" s="1" t="n">
        <v>4485</v>
      </c>
      <c r="J7232" s="1" t="n">
        <v>110455</v>
      </c>
      <c r="K7232" s="1" t="n">
        <v>53212</v>
      </c>
      <c r="L7232" s="1" t="s">
        <v>2450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5" t="n">
        <v>46245</v>
      </c>
      <c r="C7233" s="1" t="n">
        <v>22</v>
      </c>
      <c r="D7233" s="1" t="s">
        <v>2436</v>
      </c>
      <c r="E7233" s="1" t="n">
        <v>42</v>
      </c>
      <c r="F7233" s="1" t="s">
        <v>80</v>
      </c>
      <c r="I7233" s="1" t="n">
        <v>4485</v>
      </c>
      <c r="J7233" s="1" t="n">
        <v>110455</v>
      </c>
      <c r="K7233" s="1" t="n">
        <v>53212</v>
      </c>
      <c r="L7233" s="1" t="s">
        <v>2450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5" t="n">
        <v>46245</v>
      </c>
      <c r="C7234" s="1" t="n">
        <v>22</v>
      </c>
      <c r="D7234" s="1" t="s">
        <v>2436</v>
      </c>
      <c r="E7234" s="1" t="n">
        <v>42</v>
      </c>
      <c r="F7234" s="1" t="s">
        <v>80</v>
      </c>
      <c r="I7234" s="1" t="n">
        <v>4485</v>
      </c>
      <c r="J7234" s="1" t="n">
        <v>110455</v>
      </c>
      <c r="K7234" s="1" t="n">
        <v>53212</v>
      </c>
      <c r="L7234" s="1" t="s">
        <v>2450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5" t="n">
        <v>46245</v>
      </c>
      <c r="C7235" s="1" t="n">
        <v>22</v>
      </c>
      <c r="D7235" s="1" t="s">
        <v>2436</v>
      </c>
      <c r="E7235" s="1" t="n">
        <v>42</v>
      </c>
      <c r="F7235" s="1" t="s">
        <v>80</v>
      </c>
      <c r="I7235" s="1" t="n">
        <v>4485</v>
      </c>
      <c r="J7235" s="1" t="n">
        <v>110455</v>
      </c>
      <c r="K7235" s="1" t="n">
        <v>53212</v>
      </c>
      <c r="L7235" s="1" t="s">
        <v>2450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5" t="n">
        <v>46245</v>
      </c>
      <c r="C7236" s="1" t="n">
        <v>100</v>
      </c>
      <c r="D7236" s="1" t="s">
        <v>2457</v>
      </c>
      <c r="E7236" s="1" t="n">
        <v>42</v>
      </c>
      <c r="F7236" s="1" t="s">
        <v>80</v>
      </c>
      <c r="I7236" s="1" t="n">
        <v>1531857</v>
      </c>
      <c r="J7236" s="1" t="n">
        <v>100006</v>
      </c>
      <c r="K7236" s="1" t="n">
        <v>7</v>
      </c>
      <c r="L7236" s="1" t="s">
        <v>2437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5" t="n">
        <v>46245</v>
      </c>
      <c r="C7237" s="1" t="n">
        <v>100</v>
      </c>
      <c r="D7237" s="1" t="s">
        <v>2457</v>
      </c>
      <c r="E7237" s="1" t="n">
        <v>42</v>
      </c>
      <c r="F7237" s="1" t="s">
        <v>80</v>
      </c>
      <c r="I7237" s="1" t="n">
        <v>1531857</v>
      </c>
      <c r="J7237" s="1" t="n">
        <v>100008</v>
      </c>
      <c r="K7237" s="1" t="n">
        <v>9</v>
      </c>
      <c r="L7237" s="1" t="s">
        <v>2438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5" t="n">
        <v>46245</v>
      </c>
      <c r="C7238" s="1" t="n">
        <v>100</v>
      </c>
      <c r="D7238" s="1" t="s">
        <v>2457</v>
      </c>
      <c r="E7238" s="1" t="n">
        <v>42</v>
      </c>
      <c r="F7238" s="1" t="s">
        <v>80</v>
      </c>
      <c r="I7238" s="1" t="n">
        <v>1531857</v>
      </c>
      <c r="J7238" s="1" t="n">
        <v>100010</v>
      </c>
      <c r="K7238" s="1" t="n">
        <v>11</v>
      </c>
      <c r="L7238" s="1" t="s">
        <v>2439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5" t="n">
        <v>46245</v>
      </c>
      <c r="C7239" s="1" t="n">
        <v>100</v>
      </c>
      <c r="D7239" s="1" t="s">
        <v>2457</v>
      </c>
      <c r="E7239" s="1" t="n">
        <v>42</v>
      </c>
      <c r="F7239" s="1" t="s">
        <v>80</v>
      </c>
      <c r="I7239" s="1" t="n">
        <v>1531857</v>
      </c>
      <c r="J7239" s="1" t="n">
        <v>100011</v>
      </c>
      <c r="K7239" s="1" t="n">
        <v>12</v>
      </c>
      <c r="L7239" s="1" t="s">
        <v>2440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5" t="n">
        <v>46245</v>
      </c>
      <c r="C7240" s="1" t="n">
        <v>100</v>
      </c>
      <c r="D7240" s="1" t="s">
        <v>2457</v>
      </c>
      <c r="E7240" s="1" t="n">
        <v>42</v>
      </c>
      <c r="F7240" s="1" t="s">
        <v>80</v>
      </c>
      <c r="I7240" s="1" t="n">
        <v>1531857</v>
      </c>
      <c r="J7240" s="1" t="n">
        <v>100012</v>
      </c>
      <c r="K7240" s="1" t="n">
        <v>13</v>
      </c>
      <c r="L7240" s="1" t="s">
        <v>2441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5" t="n">
        <v>46245</v>
      </c>
      <c r="C7241" s="1" t="n">
        <v>100</v>
      </c>
      <c r="D7241" s="1" t="s">
        <v>2457</v>
      </c>
      <c r="E7241" s="1" t="n">
        <v>42</v>
      </c>
      <c r="F7241" s="1" t="s">
        <v>80</v>
      </c>
      <c r="I7241" s="1" t="n">
        <v>1531857</v>
      </c>
      <c r="J7241" s="1" t="n">
        <v>100013</v>
      </c>
      <c r="K7241" s="1" t="n">
        <v>14</v>
      </c>
      <c r="L7241" s="1" t="s">
        <v>2442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5" t="n">
        <v>46245</v>
      </c>
      <c r="C7242" s="1" t="n">
        <v>100</v>
      </c>
      <c r="D7242" s="1" t="s">
        <v>2457</v>
      </c>
      <c r="E7242" s="1" t="n">
        <v>42</v>
      </c>
      <c r="F7242" s="1" t="s">
        <v>80</v>
      </c>
      <c r="I7242" s="1" t="n">
        <v>1531857</v>
      </c>
      <c r="J7242" s="1" t="n">
        <v>100014</v>
      </c>
      <c r="K7242" s="1" t="n">
        <v>15</v>
      </c>
      <c r="L7242" s="1" t="s">
        <v>2443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5" t="n">
        <v>46245</v>
      </c>
      <c r="C7243" s="1" t="n">
        <v>100</v>
      </c>
      <c r="D7243" s="1" t="s">
        <v>2457</v>
      </c>
      <c r="E7243" s="1" t="n">
        <v>42</v>
      </c>
      <c r="F7243" s="1" t="s">
        <v>80</v>
      </c>
      <c r="I7243" s="1" t="n">
        <v>1531857</v>
      </c>
      <c r="J7243" s="1" t="n">
        <v>100015</v>
      </c>
      <c r="K7243" s="1" t="n">
        <v>16</v>
      </c>
      <c r="L7243" s="1" t="s">
        <v>2444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5" t="n">
        <v>46245</v>
      </c>
      <c r="C7244" s="1" t="n">
        <v>100</v>
      </c>
      <c r="D7244" s="1" t="s">
        <v>2457</v>
      </c>
      <c r="E7244" s="1" t="n">
        <v>42</v>
      </c>
      <c r="F7244" s="1" t="s">
        <v>80</v>
      </c>
      <c r="I7244" s="1" t="n">
        <v>1531857</v>
      </c>
      <c r="J7244" s="1" t="n">
        <v>100016</v>
      </c>
      <c r="K7244" s="1" t="n">
        <v>17</v>
      </c>
      <c r="L7244" s="1" t="s">
        <v>2445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5" t="n">
        <v>46245</v>
      </c>
      <c r="C7245" s="1" t="n">
        <v>100</v>
      </c>
      <c r="D7245" s="1" t="s">
        <v>2457</v>
      </c>
      <c r="E7245" s="1" t="n">
        <v>42</v>
      </c>
      <c r="F7245" s="1" t="s">
        <v>80</v>
      </c>
      <c r="I7245" s="1" t="n">
        <v>1531857</v>
      </c>
      <c r="J7245" s="1" t="n">
        <v>100017</v>
      </c>
      <c r="K7245" s="1" t="n">
        <v>18</v>
      </c>
      <c r="L7245" s="1" t="s">
        <v>2446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5" t="n">
        <v>46245</v>
      </c>
      <c r="C7246" s="1" t="n">
        <v>100</v>
      </c>
      <c r="D7246" s="1" t="s">
        <v>2457</v>
      </c>
      <c r="E7246" s="1" t="n">
        <v>42</v>
      </c>
      <c r="F7246" s="1" t="s">
        <v>80</v>
      </c>
      <c r="I7246" s="1" t="n">
        <v>1531857</v>
      </c>
      <c r="J7246" s="1" t="n">
        <v>100019</v>
      </c>
      <c r="K7246" s="1" t="n">
        <v>20</v>
      </c>
      <c r="L7246" s="1" t="s">
        <v>4136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5" t="n">
        <v>46245</v>
      </c>
      <c r="C7247" s="1" t="n">
        <v>100</v>
      </c>
      <c r="D7247" s="1" t="s">
        <v>2457</v>
      </c>
      <c r="E7247" s="1" t="n">
        <v>42</v>
      </c>
      <c r="F7247" s="1" t="s">
        <v>80</v>
      </c>
      <c r="I7247" s="1" t="n">
        <v>1531857</v>
      </c>
      <c r="J7247" s="1" t="n">
        <v>100057</v>
      </c>
      <c r="K7247" s="1" t="n">
        <v>58</v>
      </c>
      <c r="L7247" s="1" t="s">
        <v>4632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5" t="n">
        <v>46245</v>
      </c>
      <c r="C7248" s="1" t="n">
        <v>100</v>
      </c>
      <c r="D7248" s="1" t="s">
        <v>2457</v>
      </c>
      <c r="E7248" s="1" t="n">
        <v>42</v>
      </c>
      <c r="F7248" s="1" t="s">
        <v>80</v>
      </c>
      <c r="I7248" s="1" t="n">
        <v>1531857</v>
      </c>
      <c r="J7248" s="1" t="n">
        <v>100638</v>
      </c>
      <c r="K7248" s="1" t="n">
        <v>508</v>
      </c>
      <c r="L7248" s="1" t="s">
        <v>2448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5" t="n">
        <v>46245</v>
      </c>
      <c r="C7249" s="1" t="n">
        <v>100</v>
      </c>
      <c r="D7249" s="1" t="s">
        <v>2457</v>
      </c>
      <c r="E7249" s="1" t="n">
        <v>42</v>
      </c>
      <c r="F7249" s="1" t="s">
        <v>80</v>
      </c>
      <c r="I7249" s="1" t="n">
        <v>1531857</v>
      </c>
      <c r="J7249" s="1" t="n">
        <v>100520</v>
      </c>
      <c r="K7249" s="1" t="n">
        <v>507</v>
      </c>
      <c r="L7249" s="1" t="s">
        <v>2449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5" t="n">
        <v>46245</v>
      </c>
      <c r="C7250" s="1" t="n">
        <v>100</v>
      </c>
      <c r="D7250" s="1" t="s">
        <v>2457</v>
      </c>
      <c r="E7250" s="1" t="n">
        <v>42</v>
      </c>
      <c r="F7250" s="1" t="s">
        <v>80</v>
      </c>
      <c r="I7250" s="1" t="n">
        <v>1531857</v>
      </c>
      <c r="J7250" s="1" t="n">
        <v>110455</v>
      </c>
      <c r="K7250" s="1" t="n">
        <v>53212</v>
      </c>
      <c r="L7250" s="1" t="s">
        <v>2450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5" t="n">
        <v>46245</v>
      </c>
      <c r="C7251" s="1" t="n">
        <v>100</v>
      </c>
      <c r="D7251" s="1" t="s">
        <v>2457</v>
      </c>
      <c r="E7251" s="1" t="n">
        <v>42</v>
      </c>
      <c r="F7251" s="1" t="s">
        <v>80</v>
      </c>
      <c r="I7251" s="1" t="n">
        <v>1531860</v>
      </c>
      <c r="J7251" s="1" t="n">
        <v>100006</v>
      </c>
      <c r="K7251" s="1" t="n">
        <v>7</v>
      </c>
      <c r="L7251" s="1" t="s">
        <v>2437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5" t="n">
        <v>46245</v>
      </c>
      <c r="C7252" s="1" t="n">
        <v>100</v>
      </c>
      <c r="D7252" s="1" t="s">
        <v>2457</v>
      </c>
      <c r="E7252" s="1" t="n">
        <v>42</v>
      </c>
      <c r="F7252" s="1" t="s">
        <v>80</v>
      </c>
      <c r="I7252" s="1" t="n">
        <v>1531860</v>
      </c>
      <c r="J7252" s="1" t="n">
        <v>100007</v>
      </c>
      <c r="K7252" s="1" t="n">
        <v>8</v>
      </c>
      <c r="L7252" s="1" t="s">
        <v>2455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5" t="n">
        <v>46245</v>
      </c>
      <c r="C7253" s="1" t="n">
        <v>100</v>
      </c>
      <c r="D7253" s="1" t="s">
        <v>2457</v>
      </c>
      <c r="E7253" s="1" t="n">
        <v>42</v>
      </c>
      <c r="F7253" s="1" t="s">
        <v>80</v>
      </c>
      <c r="I7253" s="1" t="n">
        <v>1531860</v>
      </c>
      <c r="J7253" s="1" t="n">
        <v>100010</v>
      </c>
      <c r="K7253" s="1" t="n">
        <v>11</v>
      </c>
      <c r="L7253" s="1" t="s">
        <v>2439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5" t="n">
        <v>46245</v>
      </c>
      <c r="C7254" s="1" t="n">
        <v>100</v>
      </c>
      <c r="D7254" s="1" t="s">
        <v>2457</v>
      </c>
      <c r="E7254" s="1" t="n">
        <v>42</v>
      </c>
      <c r="F7254" s="1" t="s">
        <v>80</v>
      </c>
      <c r="I7254" s="1" t="n">
        <v>1531860</v>
      </c>
      <c r="J7254" s="1" t="n">
        <v>100011</v>
      </c>
      <c r="K7254" s="1" t="n">
        <v>12</v>
      </c>
      <c r="L7254" s="1" t="s">
        <v>2440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5" t="n">
        <v>46245</v>
      </c>
      <c r="C7255" s="1" t="n">
        <v>100</v>
      </c>
      <c r="D7255" s="1" t="s">
        <v>2457</v>
      </c>
      <c r="E7255" s="1" t="n">
        <v>42</v>
      </c>
      <c r="F7255" s="1" t="s">
        <v>80</v>
      </c>
      <c r="I7255" s="1" t="n">
        <v>1531860</v>
      </c>
      <c r="J7255" s="1" t="n">
        <v>100012</v>
      </c>
      <c r="K7255" s="1" t="n">
        <v>13</v>
      </c>
      <c r="L7255" s="1" t="s">
        <v>2441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5" t="n">
        <v>46245</v>
      </c>
      <c r="C7256" s="1" t="n">
        <v>100</v>
      </c>
      <c r="D7256" s="1" t="s">
        <v>2457</v>
      </c>
      <c r="E7256" s="1" t="n">
        <v>42</v>
      </c>
      <c r="F7256" s="1" t="s">
        <v>80</v>
      </c>
      <c r="I7256" s="1" t="n">
        <v>1531860</v>
      </c>
      <c r="J7256" s="1" t="n">
        <v>100013</v>
      </c>
      <c r="K7256" s="1" t="n">
        <v>14</v>
      </c>
      <c r="L7256" s="1" t="s">
        <v>2442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5" t="n">
        <v>46245</v>
      </c>
      <c r="C7257" s="1" t="n">
        <v>100</v>
      </c>
      <c r="D7257" s="1" t="s">
        <v>2457</v>
      </c>
      <c r="E7257" s="1" t="n">
        <v>42</v>
      </c>
      <c r="F7257" s="1" t="s">
        <v>80</v>
      </c>
      <c r="I7257" s="1" t="n">
        <v>1531860</v>
      </c>
      <c r="J7257" s="1" t="n">
        <v>100014</v>
      </c>
      <c r="K7257" s="1" t="n">
        <v>15</v>
      </c>
      <c r="L7257" s="1" t="s">
        <v>2443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5" t="n">
        <v>46245</v>
      </c>
      <c r="C7258" s="1" t="n">
        <v>100</v>
      </c>
      <c r="D7258" s="1" t="s">
        <v>2457</v>
      </c>
      <c r="E7258" s="1" t="n">
        <v>42</v>
      </c>
      <c r="F7258" s="1" t="s">
        <v>80</v>
      </c>
      <c r="I7258" s="1" t="n">
        <v>1531860</v>
      </c>
      <c r="J7258" s="1" t="n">
        <v>100015</v>
      </c>
      <c r="K7258" s="1" t="n">
        <v>16</v>
      </c>
      <c r="L7258" s="1" t="s">
        <v>2444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5" t="n">
        <v>46245</v>
      </c>
      <c r="C7259" s="1" t="n">
        <v>100</v>
      </c>
      <c r="D7259" s="1" t="s">
        <v>2457</v>
      </c>
      <c r="E7259" s="1" t="n">
        <v>42</v>
      </c>
      <c r="F7259" s="1" t="s">
        <v>80</v>
      </c>
      <c r="I7259" s="1" t="n">
        <v>1531860</v>
      </c>
      <c r="J7259" s="1" t="n">
        <v>100016</v>
      </c>
      <c r="K7259" s="1" t="n">
        <v>17</v>
      </c>
      <c r="L7259" s="1" t="s">
        <v>2445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5" t="n">
        <v>46245</v>
      </c>
      <c r="C7260" s="1" t="n">
        <v>100</v>
      </c>
      <c r="D7260" s="1" t="s">
        <v>2457</v>
      </c>
      <c r="E7260" s="1" t="n">
        <v>42</v>
      </c>
      <c r="F7260" s="1" t="s">
        <v>80</v>
      </c>
      <c r="I7260" s="1" t="n">
        <v>1531860</v>
      </c>
      <c r="J7260" s="1" t="n">
        <v>100017</v>
      </c>
      <c r="K7260" s="1" t="n">
        <v>18</v>
      </c>
      <c r="L7260" s="1" t="s">
        <v>2446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5" t="n">
        <v>46245</v>
      </c>
      <c r="C7261" s="1" t="n">
        <v>100</v>
      </c>
      <c r="D7261" s="1" t="s">
        <v>2457</v>
      </c>
      <c r="E7261" s="1" t="n">
        <v>42</v>
      </c>
      <c r="F7261" s="1" t="s">
        <v>80</v>
      </c>
      <c r="I7261" s="1" t="n">
        <v>1531860</v>
      </c>
      <c r="J7261" s="1" t="n">
        <v>100018</v>
      </c>
      <c r="K7261" s="1" t="n">
        <v>19</v>
      </c>
      <c r="L7261" s="1" t="s">
        <v>4685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5" t="n">
        <v>46245</v>
      </c>
      <c r="C7262" s="1" t="n">
        <v>100</v>
      </c>
      <c r="D7262" s="1" t="s">
        <v>2457</v>
      </c>
      <c r="E7262" s="1" t="n">
        <v>42</v>
      </c>
      <c r="F7262" s="1" t="s">
        <v>80</v>
      </c>
      <c r="I7262" s="1" t="n">
        <v>1531860</v>
      </c>
      <c r="J7262" s="1" t="n">
        <v>100019</v>
      </c>
      <c r="K7262" s="1" t="n">
        <v>20</v>
      </c>
      <c r="L7262" s="1" t="s">
        <v>4136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5" t="n">
        <v>46245</v>
      </c>
      <c r="C7263" s="1" t="n">
        <v>100</v>
      </c>
      <c r="D7263" s="1" t="s">
        <v>2457</v>
      </c>
      <c r="E7263" s="1" t="n">
        <v>42</v>
      </c>
      <c r="F7263" s="1" t="s">
        <v>80</v>
      </c>
      <c r="I7263" s="1" t="n">
        <v>1531860</v>
      </c>
      <c r="J7263" s="1" t="n">
        <v>100053</v>
      </c>
      <c r="K7263" s="1" t="n">
        <v>54</v>
      </c>
      <c r="L7263" s="1" t="s">
        <v>2447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5" t="n">
        <v>46245</v>
      </c>
      <c r="C7264" s="1" t="n">
        <v>100</v>
      </c>
      <c r="D7264" s="1" t="s">
        <v>2457</v>
      </c>
      <c r="E7264" s="1" t="n">
        <v>42</v>
      </c>
      <c r="F7264" s="1" t="s">
        <v>80</v>
      </c>
      <c r="I7264" s="1" t="n">
        <v>1531860</v>
      </c>
      <c r="J7264" s="1" t="n">
        <v>100638</v>
      </c>
      <c r="K7264" s="1" t="n">
        <v>508</v>
      </c>
      <c r="L7264" s="1" t="s">
        <v>2448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5" t="n">
        <v>46245</v>
      </c>
      <c r="C7265" s="1" t="n">
        <v>100</v>
      </c>
      <c r="D7265" s="1" t="s">
        <v>2457</v>
      </c>
      <c r="E7265" s="1" t="n">
        <v>42</v>
      </c>
      <c r="F7265" s="1" t="s">
        <v>80</v>
      </c>
      <c r="I7265" s="1" t="n">
        <v>1531860</v>
      </c>
      <c r="J7265" s="1" t="n">
        <v>100520</v>
      </c>
      <c r="K7265" s="1" t="n">
        <v>507</v>
      </c>
      <c r="L7265" s="1" t="s">
        <v>2449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5" t="n">
        <v>46245</v>
      </c>
      <c r="C7266" s="1" t="n">
        <v>100</v>
      </c>
      <c r="D7266" s="1" t="s">
        <v>2457</v>
      </c>
      <c r="E7266" s="1" t="n">
        <v>42</v>
      </c>
      <c r="F7266" s="1" t="s">
        <v>80</v>
      </c>
      <c r="I7266" s="1" t="n">
        <v>1531860</v>
      </c>
      <c r="J7266" s="1" t="n">
        <v>110455</v>
      </c>
      <c r="K7266" s="1" t="n">
        <v>53212</v>
      </c>
      <c r="L7266" s="1" t="s">
        <v>2450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5" t="n">
        <v>46245</v>
      </c>
      <c r="C7267" s="1" t="n">
        <v>100</v>
      </c>
      <c r="D7267" s="1" t="s">
        <v>2457</v>
      </c>
      <c r="E7267" s="1" t="n">
        <v>42</v>
      </c>
      <c r="F7267" s="1" t="s">
        <v>80</v>
      </c>
      <c r="I7267" s="1" t="n">
        <v>1531862</v>
      </c>
      <c r="J7267" s="1" t="n">
        <v>100000</v>
      </c>
      <c r="K7267" s="1" t="n">
        <v>1</v>
      </c>
      <c r="L7267" s="1" t="s">
        <v>2451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5" t="n">
        <v>46245</v>
      </c>
      <c r="C7268" s="1" t="n">
        <v>100</v>
      </c>
      <c r="D7268" s="1" t="s">
        <v>2457</v>
      </c>
      <c r="E7268" s="1" t="n">
        <v>42</v>
      </c>
      <c r="F7268" s="1" t="s">
        <v>80</v>
      </c>
      <c r="I7268" s="1" t="n">
        <v>1531862</v>
      </c>
      <c r="J7268" s="1" t="n">
        <v>100001</v>
      </c>
      <c r="K7268" s="1" t="n">
        <v>2</v>
      </c>
      <c r="L7268" s="1" t="s">
        <v>2452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5" t="n">
        <v>46245</v>
      </c>
      <c r="C7269" s="1" t="n">
        <v>100</v>
      </c>
      <c r="D7269" s="1" t="s">
        <v>2457</v>
      </c>
      <c r="E7269" s="1" t="n">
        <v>42</v>
      </c>
      <c r="F7269" s="1" t="s">
        <v>80</v>
      </c>
      <c r="I7269" s="1" t="n">
        <v>1531862</v>
      </c>
      <c r="J7269" s="1" t="n">
        <v>100002</v>
      </c>
      <c r="K7269" s="1" t="n">
        <v>3</v>
      </c>
      <c r="L7269" s="1" t="s">
        <v>2453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5" t="n">
        <v>46245</v>
      </c>
      <c r="C7270" s="1" t="n">
        <v>100</v>
      </c>
      <c r="D7270" s="1" t="s">
        <v>2457</v>
      </c>
      <c r="E7270" s="1" t="n">
        <v>42</v>
      </c>
      <c r="F7270" s="1" t="s">
        <v>80</v>
      </c>
      <c r="I7270" s="1" t="n">
        <v>1531862</v>
      </c>
      <c r="J7270" s="1" t="n">
        <v>100003</v>
      </c>
      <c r="K7270" s="1" t="n">
        <v>4</v>
      </c>
      <c r="L7270" s="1" t="s">
        <v>2454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5" t="n">
        <v>46245</v>
      </c>
      <c r="C7271" s="1" t="n">
        <v>100</v>
      </c>
      <c r="D7271" s="1" t="s">
        <v>2457</v>
      </c>
      <c r="E7271" s="1" t="n">
        <v>42</v>
      </c>
      <c r="F7271" s="1" t="s">
        <v>80</v>
      </c>
      <c r="I7271" s="1" t="n">
        <v>1531862</v>
      </c>
      <c r="J7271" s="1" t="n">
        <v>100004</v>
      </c>
      <c r="K7271" s="1" t="n">
        <v>5</v>
      </c>
      <c r="L7271" s="1" t="s">
        <v>2667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5" t="n">
        <v>46245</v>
      </c>
      <c r="C7272" s="1" t="n">
        <v>100</v>
      </c>
      <c r="D7272" s="1" t="s">
        <v>2457</v>
      </c>
      <c r="E7272" s="1" t="n">
        <v>42</v>
      </c>
      <c r="F7272" s="1" t="s">
        <v>80</v>
      </c>
      <c r="I7272" s="1" t="n">
        <v>1531862</v>
      </c>
      <c r="J7272" s="1" t="n">
        <v>100007</v>
      </c>
      <c r="K7272" s="1" t="n">
        <v>8</v>
      </c>
      <c r="L7272" s="1" t="s">
        <v>2455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5" t="n">
        <v>46245</v>
      </c>
      <c r="C7273" s="1" t="n">
        <v>100</v>
      </c>
      <c r="D7273" s="1" t="s">
        <v>2457</v>
      </c>
      <c r="E7273" s="1" t="n">
        <v>42</v>
      </c>
      <c r="F7273" s="1" t="s">
        <v>80</v>
      </c>
      <c r="I7273" s="1" t="n">
        <v>1531862</v>
      </c>
      <c r="J7273" s="1" t="n">
        <v>100638</v>
      </c>
      <c r="K7273" s="1" t="n">
        <v>508</v>
      </c>
      <c r="L7273" s="1" t="s">
        <v>2448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5" t="n">
        <v>46245</v>
      </c>
      <c r="C7274" s="1" t="n">
        <v>100</v>
      </c>
      <c r="D7274" s="1" t="s">
        <v>2457</v>
      </c>
      <c r="E7274" s="1" t="n">
        <v>42</v>
      </c>
      <c r="F7274" s="1" t="s">
        <v>80</v>
      </c>
      <c r="I7274" s="1" t="n">
        <v>1531862</v>
      </c>
      <c r="J7274" s="1" t="n">
        <v>100520</v>
      </c>
      <c r="K7274" s="1" t="n">
        <v>507</v>
      </c>
      <c r="L7274" s="1" t="s">
        <v>2449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5" t="n">
        <v>46245</v>
      </c>
      <c r="C7275" s="1" t="n">
        <v>100</v>
      </c>
      <c r="D7275" s="1" t="s">
        <v>2457</v>
      </c>
      <c r="E7275" s="1" t="n">
        <v>42</v>
      </c>
      <c r="F7275" s="1" t="s">
        <v>80</v>
      </c>
      <c r="I7275" s="1" t="n">
        <v>1531862</v>
      </c>
      <c r="J7275" s="1" t="n">
        <v>110455</v>
      </c>
      <c r="K7275" s="1" t="n">
        <v>53212</v>
      </c>
      <c r="L7275" s="1" t="s">
        <v>2450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5" t="n">
        <v>46245</v>
      </c>
      <c r="C7276" s="1" t="n">
        <v>100</v>
      </c>
      <c r="D7276" s="1" t="s">
        <v>2457</v>
      </c>
      <c r="E7276" s="1" t="n">
        <v>42</v>
      </c>
      <c r="F7276" s="1" t="s">
        <v>80</v>
      </c>
      <c r="I7276" s="1" t="n">
        <v>1531865</v>
      </c>
      <c r="J7276" s="1" t="n">
        <v>100004</v>
      </c>
      <c r="K7276" s="1" t="n">
        <v>5</v>
      </c>
      <c r="L7276" s="1" t="s">
        <v>2667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5" t="n">
        <v>46245</v>
      </c>
      <c r="C7277" s="1" t="n">
        <v>100</v>
      </c>
      <c r="D7277" s="1" t="s">
        <v>2457</v>
      </c>
      <c r="E7277" s="1" t="n">
        <v>42</v>
      </c>
      <c r="F7277" s="1" t="s">
        <v>80</v>
      </c>
      <c r="I7277" s="1" t="n">
        <v>1531865</v>
      </c>
      <c r="J7277" s="1" t="n">
        <v>100007</v>
      </c>
      <c r="K7277" s="1" t="n">
        <v>8</v>
      </c>
      <c r="L7277" s="1" t="s">
        <v>2455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5" t="n">
        <v>46245</v>
      </c>
      <c r="C7278" s="1" t="n">
        <v>100</v>
      </c>
      <c r="D7278" s="1" t="s">
        <v>2457</v>
      </c>
      <c r="E7278" s="1" t="n">
        <v>42</v>
      </c>
      <c r="F7278" s="1" t="s">
        <v>80</v>
      </c>
      <c r="I7278" s="1" t="n">
        <v>1531865</v>
      </c>
      <c r="J7278" s="1" t="n">
        <v>100020</v>
      </c>
      <c r="K7278" s="1" t="n">
        <v>21</v>
      </c>
      <c r="L7278" s="1" t="s">
        <v>2456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5" t="n">
        <v>46245</v>
      </c>
      <c r="C7279" s="1" t="n">
        <v>100</v>
      </c>
      <c r="D7279" s="1" t="s">
        <v>2457</v>
      </c>
      <c r="E7279" s="1" t="n">
        <v>42</v>
      </c>
      <c r="F7279" s="1" t="s">
        <v>80</v>
      </c>
      <c r="I7279" s="1" t="n">
        <v>1531865</v>
      </c>
      <c r="J7279" s="1" t="n">
        <v>100638</v>
      </c>
      <c r="K7279" s="1" t="n">
        <v>508</v>
      </c>
      <c r="L7279" s="1" t="s">
        <v>2448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5" t="n">
        <v>46245</v>
      </c>
      <c r="C7280" s="1" t="n">
        <v>100</v>
      </c>
      <c r="D7280" s="1" t="s">
        <v>2457</v>
      </c>
      <c r="E7280" s="1" t="n">
        <v>42</v>
      </c>
      <c r="F7280" s="1" t="s">
        <v>80</v>
      </c>
      <c r="I7280" s="1" t="n">
        <v>1531865</v>
      </c>
      <c r="J7280" s="1" t="n">
        <v>110455</v>
      </c>
      <c r="K7280" s="1" t="n">
        <v>53212</v>
      </c>
      <c r="L7280" s="1" t="s">
        <v>2450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5" t="n">
        <v>46245</v>
      </c>
      <c r="C7281" s="1" t="n">
        <v>100</v>
      </c>
      <c r="D7281" s="1" t="s">
        <v>2457</v>
      </c>
      <c r="E7281" s="1" t="n">
        <v>42</v>
      </c>
      <c r="F7281" s="1" t="s">
        <v>80</v>
      </c>
      <c r="I7281" s="1" t="n">
        <v>1531868</v>
      </c>
      <c r="J7281" s="1" t="n">
        <v>100006</v>
      </c>
      <c r="K7281" s="1" t="n">
        <v>7</v>
      </c>
      <c r="L7281" s="1" t="s">
        <v>2437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5" t="n">
        <v>46245</v>
      </c>
      <c r="C7282" s="1" t="n">
        <v>100</v>
      </c>
      <c r="D7282" s="1" t="s">
        <v>2457</v>
      </c>
      <c r="E7282" s="1" t="n">
        <v>42</v>
      </c>
      <c r="F7282" s="1" t="s">
        <v>80</v>
      </c>
      <c r="I7282" s="1" t="n">
        <v>1531868</v>
      </c>
      <c r="J7282" s="1" t="n">
        <v>100007</v>
      </c>
      <c r="K7282" s="1" t="n">
        <v>8</v>
      </c>
      <c r="L7282" s="1" t="s">
        <v>2455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5" t="n">
        <v>46245</v>
      </c>
      <c r="C7283" s="1" t="n">
        <v>100</v>
      </c>
      <c r="D7283" s="1" t="s">
        <v>2457</v>
      </c>
      <c r="E7283" s="1" t="n">
        <v>42</v>
      </c>
      <c r="F7283" s="1" t="s">
        <v>80</v>
      </c>
      <c r="I7283" s="1" t="n">
        <v>1531868</v>
      </c>
      <c r="J7283" s="1" t="n">
        <v>100008</v>
      </c>
      <c r="K7283" s="1" t="n">
        <v>9</v>
      </c>
      <c r="L7283" s="1" t="s">
        <v>2438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5" t="n">
        <v>46245</v>
      </c>
      <c r="C7284" s="1" t="n">
        <v>100</v>
      </c>
      <c r="D7284" s="1" t="s">
        <v>2457</v>
      </c>
      <c r="E7284" s="1" t="n">
        <v>42</v>
      </c>
      <c r="F7284" s="1" t="s">
        <v>80</v>
      </c>
      <c r="I7284" s="1" t="n">
        <v>1531868</v>
      </c>
      <c r="J7284" s="1" t="n">
        <v>100016</v>
      </c>
      <c r="K7284" s="1" t="n">
        <v>17</v>
      </c>
      <c r="L7284" s="1" t="s">
        <v>2445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5" t="n">
        <v>46245</v>
      </c>
      <c r="C7285" s="1" t="n">
        <v>100</v>
      </c>
      <c r="D7285" s="1" t="s">
        <v>2457</v>
      </c>
      <c r="E7285" s="1" t="n">
        <v>42</v>
      </c>
      <c r="F7285" s="1" t="s">
        <v>80</v>
      </c>
      <c r="I7285" s="1" t="n">
        <v>1531868</v>
      </c>
      <c r="J7285" s="1" t="n">
        <v>100053</v>
      </c>
      <c r="K7285" s="1" t="n">
        <v>54</v>
      </c>
      <c r="L7285" s="1" t="s">
        <v>2447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5" t="n">
        <v>46245</v>
      </c>
      <c r="C7286" s="1" t="n">
        <v>100</v>
      </c>
      <c r="D7286" s="1" t="s">
        <v>2457</v>
      </c>
      <c r="E7286" s="1" t="n">
        <v>42</v>
      </c>
      <c r="F7286" s="1" t="s">
        <v>80</v>
      </c>
      <c r="I7286" s="1" t="n">
        <v>1531868</v>
      </c>
      <c r="J7286" s="1" t="n">
        <v>100638</v>
      </c>
      <c r="K7286" s="1" t="n">
        <v>508</v>
      </c>
      <c r="L7286" s="1" t="s">
        <v>2448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5" t="n">
        <v>46245</v>
      </c>
      <c r="C7287" s="1" t="n">
        <v>100</v>
      </c>
      <c r="D7287" s="1" t="s">
        <v>2457</v>
      </c>
      <c r="E7287" s="1" t="n">
        <v>42</v>
      </c>
      <c r="F7287" s="1" t="s">
        <v>80</v>
      </c>
      <c r="I7287" s="1" t="n">
        <v>1531868</v>
      </c>
      <c r="J7287" s="1" t="n">
        <v>100520</v>
      </c>
      <c r="K7287" s="1" t="n">
        <v>507</v>
      </c>
      <c r="L7287" s="1" t="s">
        <v>2449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5" t="n">
        <v>46245</v>
      </c>
      <c r="C7288" s="1" t="n">
        <v>100</v>
      </c>
      <c r="D7288" s="1" t="s">
        <v>2457</v>
      </c>
      <c r="E7288" s="1" t="n">
        <v>42</v>
      </c>
      <c r="F7288" s="1" t="s">
        <v>80</v>
      </c>
      <c r="I7288" s="1" t="n">
        <v>1531868</v>
      </c>
      <c r="J7288" s="1" t="n">
        <v>110455</v>
      </c>
      <c r="K7288" s="1" t="n">
        <v>53212</v>
      </c>
      <c r="L7288" s="1" t="s">
        <v>2450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5" t="n">
        <v>46245</v>
      </c>
      <c r="C7289" s="1" t="n">
        <v>100</v>
      </c>
      <c r="D7289" s="1" t="s">
        <v>2457</v>
      </c>
      <c r="E7289" s="1" t="n">
        <v>42</v>
      </c>
      <c r="F7289" s="1" t="s">
        <v>80</v>
      </c>
      <c r="I7289" s="1" t="n">
        <v>1531870</v>
      </c>
      <c r="J7289" s="1" t="n">
        <v>100006</v>
      </c>
      <c r="K7289" s="1" t="n">
        <v>7</v>
      </c>
      <c r="L7289" s="1" t="s">
        <v>2437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5" t="n">
        <v>46245</v>
      </c>
      <c r="C7290" s="1" t="n">
        <v>100</v>
      </c>
      <c r="D7290" s="1" t="s">
        <v>2457</v>
      </c>
      <c r="E7290" s="1" t="n">
        <v>42</v>
      </c>
      <c r="F7290" s="1" t="s">
        <v>80</v>
      </c>
      <c r="I7290" s="1" t="n">
        <v>1531870</v>
      </c>
      <c r="J7290" s="1" t="n">
        <v>100007</v>
      </c>
      <c r="K7290" s="1" t="n">
        <v>8</v>
      </c>
      <c r="L7290" s="1" t="s">
        <v>2455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5" t="n">
        <v>46245</v>
      </c>
      <c r="C7291" s="1" t="n">
        <v>100</v>
      </c>
      <c r="D7291" s="1" t="s">
        <v>2457</v>
      </c>
      <c r="E7291" s="1" t="n">
        <v>42</v>
      </c>
      <c r="F7291" s="1" t="s">
        <v>80</v>
      </c>
      <c r="I7291" s="1" t="n">
        <v>1531870</v>
      </c>
      <c r="J7291" s="1" t="n">
        <v>100008</v>
      </c>
      <c r="K7291" s="1" t="n">
        <v>9</v>
      </c>
      <c r="L7291" s="1" t="s">
        <v>2438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5" t="n">
        <v>46245</v>
      </c>
      <c r="C7292" s="1" t="n">
        <v>100</v>
      </c>
      <c r="D7292" s="1" t="s">
        <v>2457</v>
      </c>
      <c r="E7292" s="1" t="n">
        <v>42</v>
      </c>
      <c r="F7292" s="1" t="s">
        <v>80</v>
      </c>
      <c r="I7292" s="1" t="n">
        <v>1531870</v>
      </c>
      <c r="J7292" s="1" t="n">
        <v>100016</v>
      </c>
      <c r="K7292" s="1" t="n">
        <v>17</v>
      </c>
      <c r="L7292" s="1" t="s">
        <v>2445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5" t="n">
        <v>46245</v>
      </c>
      <c r="C7293" s="1" t="n">
        <v>100</v>
      </c>
      <c r="D7293" s="1" t="s">
        <v>2457</v>
      </c>
      <c r="E7293" s="1" t="n">
        <v>42</v>
      </c>
      <c r="F7293" s="1" t="s">
        <v>80</v>
      </c>
      <c r="I7293" s="1" t="n">
        <v>1531870</v>
      </c>
      <c r="J7293" s="1" t="n">
        <v>100053</v>
      </c>
      <c r="K7293" s="1" t="n">
        <v>54</v>
      </c>
      <c r="L7293" s="1" t="s">
        <v>2447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5" t="n">
        <v>46245</v>
      </c>
      <c r="C7294" s="1" t="n">
        <v>100</v>
      </c>
      <c r="D7294" s="1" t="s">
        <v>2457</v>
      </c>
      <c r="E7294" s="1" t="n">
        <v>42</v>
      </c>
      <c r="F7294" s="1" t="s">
        <v>80</v>
      </c>
      <c r="I7294" s="1" t="n">
        <v>1531870</v>
      </c>
      <c r="J7294" s="1" t="n">
        <v>100638</v>
      </c>
      <c r="K7294" s="1" t="n">
        <v>508</v>
      </c>
      <c r="L7294" s="1" t="s">
        <v>2448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5" t="n">
        <v>46245</v>
      </c>
      <c r="C7295" s="1" t="n">
        <v>100</v>
      </c>
      <c r="D7295" s="1" t="s">
        <v>2457</v>
      </c>
      <c r="E7295" s="1" t="n">
        <v>42</v>
      </c>
      <c r="F7295" s="1" t="s">
        <v>80</v>
      </c>
      <c r="I7295" s="1" t="n">
        <v>1531870</v>
      </c>
      <c r="J7295" s="1" t="n">
        <v>100520</v>
      </c>
      <c r="K7295" s="1" t="n">
        <v>507</v>
      </c>
      <c r="L7295" s="1" t="s">
        <v>2449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5" t="n">
        <v>46245</v>
      </c>
      <c r="C7296" s="1" t="n">
        <v>100</v>
      </c>
      <c r="D7296" s="1" t="s">
        <v>2457</v>
      </c>
      <c r="E7296" s="1" t="n">
        <v>42</v>
      </c>
      <c r="F7296" s="1" t="s">
        <v>80</v>
      </c>
      <c r="I7296" s="1" t="n">
        <v>1531870</v>
      </c>
      <c r="J7296" s="1" t="n">
        <v>110455</v>
      </c>
      <c r="K7296" s="1" t="n">
        <v>53212</v>
      </c>
      <c r="L7296" s="1" t="s">
        <v>2450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5" t="n">
        <v>46245</v>
      </c>
      <c r="C7297" s="1" t="n">
        <v>107</v>
      </c>
      <c r="D7297" s="1" t="s">
        <v>2735</v>
      </c>
      <c r="E7297" s="1" t="n">
        <v>1705</v>
      </c>
      <c r="F7297" s="1" t="s">
        <v>122</v>
      </c>
      <c r="I7297" s="1" t="n">
        <v>1972829</v>
      </c>
      <c r="J7297" s="1" t="n">
        <v>32086</v>
      </c>
      <c r="K7297" s="1" t="n">
        <v>7894900027037</v>
      </c>
      <c r="L7297" s="1" t="s">
        <v>2311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5" t="n">
        <v>46246</v>
      </c>
      <c r="C7298" s="1" t="n">
        <v>1</v>
      </c>
      <c r="D7298" s="1" t="s">
        <v>2317</v>
      </c>
      <c r="E7298" s="1" t="n">
        <v>10043</v>
      </c>
      <c r="F7298" s="1" t="s">
        <v>112</v>
      </c>
      <c r="I7298" s="1" t="n">
        <v>863</v>
      </c>
      <c r="J7298" s="1" t="n">
        <v>52096</v>
      </c>
      <c r="K7298" s="1" t="n">
        <v>144315</v>
      </c>
      <c r="L7298" s="1" t="s">
        <v>2318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5" t="n">
        <v>46246</v>
      </c>
      <c r="C7299" s="1" t="n">
        <v>6</v>
      </c>
      <c r="D7299" s="1" t="s">
        <v>2289</v>
      </c>
      <c r="E7299" s="1" t="n">
        <v>42</v>
      </c>
      <c r="F7299" s="1" t="s">
        <v>80</v>
      </c>
      <c r="I7299" s="1" t="n">
        <v>4490</v>
      </c>
      <c r="J7299" s="1" t="n">
        <v>109791</v>
      </c>
      <c r="K7299" s="1" t="n">
        <v>9667</v>
      </c>
      <c r="L7299" s="1" t="s">
        <v>2284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5" t="n">
        <v>46246</v>
      </c>
      <c r="C7300" s="1" t="n">
        <v>6</v>
      </c>
      <c r="D7300" s="1" t="s">
        <v>2289</v>
      </c>
      <c r="E7300" s="1" t="n">
        <v>42</v>
      </c>
      <c r="F7300" s="1" t="s">
        <v>80</v>
      </c>
      <c r="I7300" s="1" t="n">
        <v>4490</v>
      </c>
      <c r="J7300" s="1" t="n">
        <v>37361</v>
      </c>
      <c r="K7300" s="1" t="n">
        <v>2240817</v>
      </c>
      <c r="L7300" s="1" t="s">
        <v>2286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5" t="n">
        <v>46246</v>
      </c>
      <c r="C7301" s="1" t="n">
        <v>11</v>
      </c>
      <c r="D7301" s="1" t="s">
        <v>2290</v>
      </c>
      <c r="E7301" s="1" t="n">
        <v>10096</v>
      </c>
      <c r="F7301" s="1" t="s">
        <v>1232</v>
      </c>
      <c r="I7301" s="1" t="n">
        <v>149</v>
      </c>
      <c r="J7301" s="1" t="n">
        <v>61580</v>
      </c>
      <c r="K7301" s="1" t="n">
        <v>2258157</v>
      </c>
      <c r="L7301" s="1" t="s">
        <v>2339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5" t="n">
        <v>46246</v>
      </c>
      <c r="C7302" s="1" t="n">
        <v>11</v>
      </c>
      <c r="D7302" s="1" t="s">
        <v>2290</v>
      </c>
      <c r="E7302" s="1" t="n">
        <v>642</v>
      </c>
      <c r="F7302" s="1" t="s">
        <v>135</v>
      </c>
      <c r="I7302" s="1" t="n">
        <v>597</v>
      </c>
      <c r="J7302" s="1" t="n">
        <v>71766</v>
      </c>
      <c r="K7302" s="1" t="n">
        <v>779180</v>
      </c>
      <c r="L7302" s="1" t="s">
        <v>2566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5" t="n">
        <v>46246</v>
      </c>
      <c r="C7303" s="1" t="n">
        <v>11</v>
      </c>
      <c r="D7303" s="1" t="s">
        <v>2290</v>
      </c>
      <c r="E7303" s="1" t="n">
        <v>1609</v>
      </c>
      <c r="F7303" s="1" t="s">
        <v>410</v>
      </c>
      <c r="I7303" s="1" t="n">
        <v>5961</v>
      </c>
      <c r="J7303" s="1" t="n">
        <v>13225</v>
      </c>
      <c r="K7303" s="1" t="n">
        <v>7896981601151</v>
      </c>
      <c r="L7303" s="1" t="s">
        <v>2522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5" t="n">
        <v>46246</v>
      </c>
      <c r="C7304" s="1" t="n">
        <v>11</v>
      </c>
      <c r="D7304" s="1" t="s">
        <v>2290</v>
      </c>
      <c r="E7304" s="1" t="n">
        <v>1609</v>
      </c>
      <c r="F7304" s="1" t="s">
        <v>410</v>
      </c>
      <c r="I7304" s="1" t="n">
        <v>5961</v>
      </c>
      <c r="J7304" s="1" t="n">
        <v>13720</v>
      </c>
      <c r="K7304" s="1" t="n">
        <v>7896981600307</v>
      </c>
      <c r="L7304" s="1" t="s">
        <v>2523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5" t="n">
        <v>46246</v>
      </c>
      <c r="C7305" s="1" t="n">
        <v>11</v>
      </c>
      <c r="D7305" s="1" t="s">
        <v>2290</v>
      </c>
      <c r="E7305" s="1" t="n">
        <v>1609</v>
      </c>
      <c r="F7305" s="1" t="s">
        <v>410</v>
      </c>
      <c r="I7305" s="1" t="n">
        <v>5961</v>
      </c>
      <c r="J7305" s="1" t="n">
        <v>17163</v>
      </c>
      <c r="K7305" s="1" t="n">
        <v>7896981600567</v>
      </c>
      <c r="L7305" s="1" t="s">
        <v>2524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5" t="n">
        <v>46246</v>
      </c>
      <c r="C7306" s="1" t="n">
        <v>11</v>
      </c>
      <c r="D7306" s="1" t="s">
        <v>2290</v>
      </c>
      <c r="E7306" s="1" t="n">
        <v>1609</v>
      </c>
      <c r="F7306" s="1" t="s">
        <v>410</v>
      </c>
      <c r="I7306" s="1" t="n">
        <v>5961</v>
      </c>
      <c r="J7306" s="1" t="n">
        <v>18382</v>
      </c>
      <c r="K7306" s="1" t="n">
        <v>7896878801190</v>
      </c>
      <c r="L7306" s="1" t="s">
        <v>2525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5" t="n">
        <v>46246</v>
      </c>
      <c r="C7307" s="1" t="n">
        <v>11</v>
      </c>
      <c r="D7307" s="1" t="s">
        <v>2290</v>
      </c>
      <c r="E7307" s="1" t="n">
        <v>1609</v>
      </c>
      <c r="F7307" s="1" t="s">
        <v>410</v>
      </c>
      <c r="I7307" s="1" t="n">
        <v>5961</v>
      </c>
      <c r="J7307" s="1" t="n">
        <v>18384</v>
      </c>
      <c r="K7307" s="1" t="n">
        <v>7896878801206</v>
      </c>
      <c r="L7307" s="1" t="s">
        <v>2526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5" t="n">
        <v>46246</v>
      </c>
      <c r="C7308" s="1" t="n">
        <v>11</v>
      </c>
      <c r="D7308" s="1" t="s">
        <v>2290</v>
      </c>
      <c r="E7308" s="1" t="n">
        <v>1609</v>
      </c>
      <c r="F7308" s="1" t="s">
        <v>410</v>
      </c>
      <c r="I7308" s="1" t="n">
        <v>5961</v>
      </c>
      <c r="J7308" s="1" t="n">
        <v>18385</v>
      </c>
      <c r="K7308" s="1" t="n">
        <v>7896878801220</v>
      </c>
      <c r="L7308" s="1" t="s">
        <v>2527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5" t="n">
        <v>46246</v>
      </c>
      <c r="C7309" s="1" t="n">
        <v>11</v>
      </c>
      <c r="D7309" s="1" t="s">
        <v>2290</v>
      </c>
      <c r="E7309" s="1" t="n">
        <v>1609</v>
      </c>
      <c r="F7309" s="1" t="s">
        <v>410</v>
      </c>
      <c r="I7309" s="1" t="n">
        <v>5961</v>
      </c>
      <c r="J7309" s="1" t="n">
        <v>18775</v>
      </c>
      <c r="K7309" s="1" t="n">
        <v>7896878801237</v>
      </c>
      <c r="L7309" s="1" t="s">
        <v>2528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5" t="n">
        <v>46246</v>
      </c>
      <c r="C7310" s="1" t="n">
        <v>11</v>
      </c>
      <c r="D7310" s="1" t="s">
        <v>2290</v>
      </c>
      <c r="E7310" s="1" t="n">
        <v>1609</v>
      </c>
      <c r="F7310" s="1" t="s">
        <v>410</v>
      </c>
      <c r="I7310" s="1" t="n">
        <v>5961</v>
      </c>
      <c r="J7310" s="1" t="n">
        <v>18968</v>
      </c>
      <c r="K7310" s="1" t="n">
        <v>7896878801244</v>
      </c>
      <c r="L7310" s="1" t="s">
        <v>2529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5" t="n">
        <v>46246</v>
      </c>
      <c r="C7311" s="1" t="n">
        <v>11</v>
      </c>
      <c r="D7311" s="1" t="s">
        <v>2290</v>
      </c>
      <c r="E7311" s="1" t="n">
        <v>1609</v>
      </c>
      <c r="F7311" s="1" t="s">
        <v>410</v>
      </c>
      <c r="I7311" s="1" t="n">
        <v>5961</v>
      </c>
      <c r="J7311" s="1" t="n">
        <v>24963</v>
      </c>
      <c r="K7311" s="1" t="n">
        <v>7896878801060</v>
      </c>
      <c r="L7311" s="1" t="s">
        <v>4204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5" t="n">
        <v>46246</v>
      </c>
      <c r="C7312" s="1" t="n">
        <v>11</v>
      </c>
      <c r="D7312" s="1" t="s">
        <v>2290</v>
      </c>
      <c r="E7312" s="1" t="n">
        <v>1609</v>
      </c>
      <c r="F7312" s="1" t="s">
        <v>410</v>
      </c>
      <c r="I7312" s="1" t="n">
        <v>5961</v>
      </c>
      <c r="J7312" s="1" t="n">
        <v>24964</v>
      </c>
      <c r="K7312" s="1" t="n">
        <v>7896878801183</v>
      </c>
      <c r="L7312" s="1" t="s">
        <v>4205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5" t="n">
        <v>46246</v>
      </c>
      <c r="C7313" s="1" t="n">
        <v>11</v>
      </c>
      <c r="D7313" s="1" t="s">
        <v>2290</v>
      </c>
      <c r="E7313" s="1" t="n">
        <v>1609</v>
      </c>
      <c r="F7313" s="1" t="s">
        <v>410</v>
      </c>
      <c r="I7313" s="1" t="n">
        <v>5961</v>
      </c>
      <c r="J7313" s="1" t="n">
        <v>32861</v>
      </c>
      <c r="K7313" s="1" t="n">
        <v>7896878801145</v>
      </c>
      <c r="L7313" s="1" t="s">
        <v>4207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15" t="n">
        <v>46246</v>
      </c>
      <c r="C7314" s="1" t="n">
        <v>11</v>
      </c>
      <c r="D7314" s="1" t="s">
        <v>2290</v>
      </c>
      <c r="E7314" s="1" t="n">
        <v>1609</v>
      </c>
      <c r="F7314" s="1" t="s">
        <v>410</v>
      </c>
      <c r="I7314" s="1" t="n">
        <v>5961</v>
      </c>
      <c r="J7314" s="1" t="n">
        <v>41614</v>
      </c>
      <c r="K7314" s="1" t="n">
        <v>7896878801213</v>
      </c>
      <c r="L7314" s="1" t="s">
        <v>2530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15" t="n">
        <v>46246</v>
      </c>
      <c r="C7315" s="1" t="n">
        <v>11</v>
      </c>
      <c r="D7315" s="1" t="s">
        <v>2290</v>
      </c>
      <c r="E7315" s="1" t="n">
        <v>1378</v>
      </c>
      <c r="F7315" s="1" t="s">
        <v>120</v>
      </c>
      <c r="I7315" s="1" t="n">
        <v>18630</v>
      </c>
      <c r="J7315" s="1" t="n">
        <v>74063</v>
      </c>
      <c r="K7315" s="1" t="n">
        <v>42882264262</v>
      </c>
      <c r="L7315" s="1" t="s">
        <v>2341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5" t="n">
        <v>46246</v>
      </c>
      <c r="C7316" s="1" t="n">
        <v>11</v>
      </c>
      <c r="D7316" s="1" t="s">
        <v>2290</v>
      </c>
      <c r="E7316" s="1" t="n">
        <v>1378</v>
      </c>
      <c r="F7316" s="1" t="s">
        <v>120</v>
      </c>
      <c r="I7316" s="1" t="n">
        <v>18630</v>
      </c>
      <c r="J7316" s="1" t="n">
        <v>77994</v>
      </c>
      <c r="K7316" s="1" t="n">
        <v>780117</v>
      </c>
      <c r="L7316" s="1" t="s">
        <v>2344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5" t="n">
        <v>46246</v>
      </c>
      <c r="C7317" s="1" t="n">
        <v>11</v>
      </c>
      <c r="D7317" s="1" t="s">
        <v>2290</v>
      </c>
      <c r="E7317" s="1" t="n">
        <v>1723</v>
      </c>
      <c r="F7317" s="1" t="s">
        <v>76</v>
      </c>
      <c r="I7317" s="1" t="n">
        <v>174666</v>
      </c>
      <c r="J7317" s="1" t="n">
        <v>29079</v>
      </c>
      <c r="K7317" s="1" t="n">
        <v>55515</v>
      </c>
      <c r="L7317" s="1" t="s">
        <v>2360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5" t="n">
        <v>46246</v>
      </c>
      <c r="C7318" s="1" t="n">
        <v>11</v>
      </c>
      <c r="D7318" s="1" t="s">
        <v>2290</v>
      </c>
      <c r="E7318" s="1" t="n">
        <v>1734</v>
      </c>
      <c r="F7318" s="1" t="s">
        <v>125</v>
      </c>
      <c r="I7318" s="1" t="n">
        <v>257521</v>
      </c>
      <c r="J7318" s="1" t="n">
        <v>38209</v>
      </c>
      <c r="K7318" s="1" t="n">
        <v>7898055451761</v>
      </c>
      <c r="L7318" s="1" t="s">
        <v>2381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5" t="n">
        <v>46246</v>
      </c>
      <c r="C7319" s="1" t="n">
        <v>11</v>
      </c>
      <c r="D7319" s="1" t="s">
        <v>2290</v>
      </c>
      <c r="E7319" s="1" t="n">
        <v>1734</v>
      </c>
      <c r="F7319" s="1" t="s">
        <v>125</v>
      </c>
      <c r="I7319" s="1" t="n">
        <v>257521</v>
      </c>
      <c r="J7319" s="1" t="n">
        <v>38212</v>
      </c>
      <c r="K7319" s="1" t="n">
        <v>7898055451624</v>
      </c>
      <c r="L7319" s="1" t="s">
        <v>2701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5" t="n">
        <v>46246</v>
      </c>
      <c r="C7320" s="1" t="n">
        <v>11</v>
      </c>
      <c r="D7320" s="1" t="s">
        <v>2290</v>
      </c>
      <c r="E7320" s="1" t="n">
        <v>1734</v>
      </c>
      <c r="F7320" s="1" t="s">
        <v>125</v>
      </c>
      <c r="I7320" s="1" t="n">
        <v>257521</v>
      </c>
      <c r="J7320" s="1" t="n">
        <v>38213</v>
      </c>
      <c r="K7320" s="1" t="n">
        <v>7898055450023</v>
      </c>
      <c r="L7320" s="1" t="s">
        <v>2382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5" t="n">
        <v>46246</v>
      </c>
      <c r="C7321" s="1" t="n">
        <v>11</v>
      </c>
      <c r="D7321" s="1" t="s">
        <v>2290</v>
      </c>
      <c r="E7321" s="1" t="n">
        <v>1734</v>
      </c>
      <c r="F7321" s="1" t="s">
        <v>125</v>
      </c>
      <c r="I7321" s="1" t="n">
        <v>257521</v>
      </c>
      <c r="J7321" s="1" t="n">
        <v>38214</v>
      </c>
      <c r="K7321" s="1" t="n">
        <v>7898055452249</v>
      </c>
      <c r="L7321" s="1" t="s">
        <v>2702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5" t="n">
        <v>46246</v>
      </c>
      <c r="C7322" s="1" t="n">
        <v>11</v>
      </c>
      <c r="D7322" s="1" t="s">
        <v>2290</v>
      </c>
      <c r="E7322" s="1" t="n">
        <v>1734</v>
      </c>
      <c r="F7322" s="1" t="s">
        <v>125</v>
      </c>
      <c r="I7322" s="1" t="n">
        <v>257521</v>
      </c>
      <c r="J7322" s="1" t="n">
        <v>38216</v>
      </c>
      <c r="K7322" s="1" t="n">
        <v>7898055454281</v>
      </c>
      <c r="L7322" s="1" t="s">
        <v>2703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5" t="n">
        <v>46246</v>
      </c>
      <c r="C7323" s="1" t="n">
        <v>11</v>
      </c>
      <c r="D7323" s="1" t="s">
        <v>2290</v>
      </c>
      <c r="E7323" s="1" t="n">
        <v>1734</v>
      </c>
      <c r="F7323" s="1" t="s">
        <v>125</v>
      </c>
      <c r="I7323" s="1" t="n">
        <v>257521</v>
      </c>
      <c r="J7323" s="1" t="n">
        <v>38219</v>
      </c>
      <c r="K7323" s="1" t="n">
        <v>7898055452348</v>
      </c>
      <c r="L7323" s="1" t="s">
        <v>3835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5" t="n">
        <v>46246</v>
      </c>
      <c r="C7324" s="1" t="n">
        <v>11</v>
      </c>
      <c r="D7324" s="1" t="s">
        <v>2290</v>
      </c>
      <c r="E7324" s="1" t="n">
        <v>1734</v>
      </c>
      <c r="F7324" s="1" t="s">
        <v>125</v>
      </c>
      <c r="I7324" s="1" t="n">
        <v>257521</v>
      </c>
      <c r="J7324" s="1" t="n">
        <v>38220</v>
      </c>
      <c r="K7324" s="1" t="n">
        <v>7898055452355</v>
      </c>
      <c r="L7324" s="1" t="s">
        <v>2382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5" t="n">
        <v>46246</v>
      </c>
      <c r="C7325" s="1" t="n">
        <v>11</v>
      </c>
      <c r="D7325" s="1" t="s">
        <v>2290</v>
      </c>
      <c r="E7325" s="1" t="n">
        <v>1734</v>
      </c>
      <c r="F7325" s="1" t="s">
        <v>125</v>
      </c>
      <c r="I7325" s="1" t="n">
        <v>257521</v>
      </c>
      <c r="J7325" s="1" t="n">
        <v>39450</v>
      </c>
      <c r="K7325" s="1" t="n">
        <v>7898055450030</v>
      </c>
      <c r="L7325" s="1" t="s">
        <v>2707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5" t="n">
        <v>46246</v>
      </c>
      <c r="C7326" s="1" t="n">
        <v>11</v>
      </c>
      <c r="D7326" s="1" t="s">
        <v>2290</v>
      </c>
      <c r="E7326" s="1" t="n">
        <v>1734</v>
      </c>
      <c r="F7326" s="1" t="s">
        <v>125</v>
      </c>
      <c r="I7326" s="1" t="n">
        <v>257521</v>
      </c>
      <c r="J7326" s="1" t="n">
        <v>56815</v>
      </c>
      <c r="K7326" s="1" t="n">
        <v>7898055455165</v>
      </c>
      <c r="L7326" s="1" t="s">
        <v>2387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5" t="n">
        <v>46246</v>
      </c>
      <c r="C7327" s="1" t="n">
        <v>11</v>
      </c>
      <c r="D7327" s="1" t="s">
        <v>2290</v>
      </c>
      <c r="E7327" s="1" t="n">
        <v>1734</v>
      </c>
      <c r="F7327" s="1" t="s">
        <v>125</v>
      </c>
      <c r="I7327" s="1" t="n">
        <v>257521</v>
      </c>
      <c r="J7327" s="1" t="n">
        <v>57021</v>
      </c>
      <c r="K7327" s="1" t="n">
        <v>7898055455189</v>
      </c>
      <c r="L7327" s="1" t="s">
        <v>2388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5" t="n">
        <v>46246</v>
      </c>
      <c r="C7328" s="1" t="n">
        <v>11</v>
      </c>
      <c r="D7328" s="1" t="s">
        <v>2290</v>
      </c>
      <c r="E7328" s="1" t="n">
        <v>1734</v>
      </c>
      <c r="F7328" s="1" t="s">
        <v>125</v>
      </c>
      <c r="I7328" s="1" t="n">
        <v>257521</v>
      </c>
      <c r="J7328" s="1" t="n">
        <v>57024</v>
      </c>
      <c r="K7328" s="1" t="n">
        <v>7898055455172</v>
      </c>
      <c r="L7328" s="1" t="s">
        <v>3237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5" t="n">
        <v>46246</v>
      </c>
      <c r="C7329" s="1" t="n">
        <v>11</v>
      </c>
      <c r="D7329" s="1" t="s">
        <v>2290</v>
      </c>
      <c r="E7329" s="1" t="n">
        <v>1734</v>
      </c>
      <c r="F7329" s="1" t="s">
        <v>125</v>
      </c>
      <c r="I7329" s="1" t="n">
        <v>257521</v>
      </c>
      <c r="J7329" s="1" t="n">
        <v>59560</v>
      </c>
      <c r="K7329" s="1" t="n">
        <v>7898055455332</v>
      </c>
      <c r="L7329" s="1" t="s">
        <v>4686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5" t="n">
        <v>46246</v>
      </c>
      <c r="C7330" s="1" t="n">
        <v>11</v>
      </c>
      <c r="D7330" s="1" t="s">
        <v>2290</v>
      </c>
      <c r="E7330" s="1" t="n">
        <v>1734</v>
      </c>
      <c r="F7330" s="1" t="s">
        <v>125</v>
      </c>
      <c r="I7330" s="1" t="n">
        <v>257522</v>
      </c>
      <c r="J7330" s="1" t="n">
        <v>40039</v>
      </c>
      <c r="K7330" s="1" t="n">
        <v>7898055451570</v>
      </c>
      <c r="L7330" s="1" t="s">
        <v>4687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5" t="n">
        <v>46246</v>
      </c>
      <c r="C7331" s="1" t="n">
        <v>11</v>
      </c>
      <c r="D7331" s="1" t="s">
        <v>2290</v>
      </c>
      <c r="E7331" s="1" t="n">
        <v>1734</v>
      </c>
      <c r="F7331" s="1" t="s">
        <v>125</v>
      </c>
      <c r="I7331" s="1" t="n">
        <v>257522</v>
      </c>
      <c r="J7331" s="1" t="n">
        <v>38215</v>
      </c>
      <c r="K7331" s="1" t="n">
        <v>7898055450474</v>
      </c>
      <c r="L7331" s="1" t="s">
        <v>2719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5" t="n">
        <v>46246</v>
      </c>
      <c r="C7332" s="1" t="n">
        <v>11</v>
      </c>
      <c r="D7332" s="1" t="s">
        <v>2290</v>
      </c>
      <c r="E7332" s="1" t="n">
        <v>1734</v>
      </c>
      <c r="F7332" s="1" t="s">
        <v>125</v>
      </c>
      <c r="I7332" s="1" t="n">
        <v>257522</v>
      </c>
      <c r="J7332" s="1" t="n">
        <v>38782</v>
      </c>
      <c r="K7332" s="1" t="n">
        <v>7898055450306</v>
      </c>
      <c r="L7332" s="1" t="s">
        <v>2720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5" t="n">
        <v>46246</v>
      </c>
      <c r="C7333" s="1" t="n">
        <v>11</v>
      </c>
      <c r="D7333" s="1" t="s">
        <v>2290</v>
      </c>
      <c r="E7333" s="1" t="n">
        <v>1734</v>
      </c>
      <c r="F7333" s="1" t="s">
        <v>125</v>
      </c>
      <c r="I7333" s="1" t="n">
        <v>257522</v>
      </c>
      <c r="J7333" s="1" t="n">
        <v>38783</v>
      </c>
      <c r="K7333" s="1" t="n">
        <v>7898055450481</v>
      </c>
      <c r="L7333" s="1" t="s">
        <v>3200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5" t="n">
        <v>46246</v>
      </c>
      <c r="C7334" s="1" t="n">
        <v>11</v>
      </c>
      <c r="D7334" s="1" t="s">
        <v>2290</v>
      </c>
      <c r="E7334" s="1" t="n">
        <v>1734</v>
      </c>
      <c r="F7334" s="1" t="s">
        <v>125</v>
      </c>
      <c r="I7334" s="1" t="n">
        <v>257522</v>
      </c>
      <c r="J7334" s="1" t="n">
        <v>39028</v>
      </c>
      <c r="K7334" s="1" t="n">
        <v>7898055450368</v>
      </c>
      <c r="L7334" s="1" t="s">
        <v>2378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5" t="n">
        <v>46246</v>
      </c>
      <c r="C7335" s="1" t="n">
        <v>11</v>
      </c>
      <c r="D7335" s="1" t="s">
        <v>2290</v>
      </c>
      <c r="E7335" s="1" t="n">
        <v>1734</v>
      </c>
      <c r="F7335" s="1" t="s">
        <v>125</v>
      </c>
      <c r="I7335" s="1" t="n">
        <v>257522</v>
      </c>
      <c r="J7335" s="1" t="n">
        <v>40277</v>
      </c>
      <c r="K7335" s="1" t="n">
        <v>7898055450467</v>
      </c>
      <c r="L7335" s="1" t="s">
        <v>2723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5" t="n">
        <v>46246</v>
      </c>
      <c r="C7336" s="1" t="n">
        <v>11</v>
      </c>
      <c r="D7336" s="1" t="s">
        <v>2290</v>
      </c>
      <c r="E7336" s="1" t="n">
        <v>1734</v>
      </c>
      <c r="F7336" s="1" t="s">
        <v>125</v>
      </c>
      <c r="I7336" s="1" t="n">
        <v>257522</v>
      </c>
      <c r="J7336" s="1" t="n">
        <v>48214</v>
      </c>
      <c r="K7336" s="1" t="n">
        <v>7898055451211</v>
      </c>
      <c r="L7336" s="1" t="s">
        <v>2725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5" t="n">
        <v>46246</v>
      </c>
      <c r="C7337" s="1" t="n">
        <v>11</v>
      </c>
      <c r="D7337" s="1" t="s">
        <v>2290</v>
      </c>
      <c r="E7337" s="1" t="n">
        <v>1734</v>
      </c>
      <c r="F7337" s="1" t="s">
        <v>125</v>
      </c>
      <c r="I7337" s="1" t="n">
        <v>257522</v>
      </c>
      <c r="J7337" s="1" t="n">
        <v>81026</v>
      </c>
      <c r="K7337" s="1" t="n">
        <v>7898055455745</v>
      </c>
      <c r="L7337" s="1" t="s">
        <v>2726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5" t="n">
        <v>46246</v>
      </c>
      <c r="C7338" s="1" t="n">
        <v>11</v>
      </c>
      <c r="D7338" s="1" t="s">
        <v>2290</v>
      </c>
      <c r="E7338" s="1" t="n">
        <v>1699</v>
      </c>
      <c r="F7338" s="1" t="s">
        <v>60</v>
      </c>
      <c r="I7338" s="1" t="n">
        <v>310741</v>
      </c>
      <c r="J7338" s="1" t="n">
        <v>100073</v>
      </c>
      <c r="K7338" s="1" t="n">
        <v>74</v>
      </c>
      <c r="L7338" s="1" t="s">
        <v>2793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5" t="n">
        <v>46246</v>
      </c>
      <c r="C7339" s="1" t="n">
        <v>11</v>
      </c>
      <c r="D7339" s="1" t="s">
        <v>2290</v>
      </c>
      <c r="E7339" s="1" t="n">
        <v>1699</v>
      </c>
      <c r="F7339" s="1" t="s">
        <v>60</v>
      </c>
      <c r="I7339" s="1" t="n">
        <v>310741</v>
      </c>
      <c r="J7339" s="1" t="n">
        <v>102300</v>
      </c>
      <c r="K7339" s="1" t="n">
        <v>7898062920014</v>
      </c>
      <c r="L7339" s="1" t="s">
        <v>3842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5" t="n">
        <v>46246</v>
      </c>
      <c r="C7340" s="1" t="n">
        <v>11</v>
      </c>
      <c r="D7340" s="1" t="s">
        <v>2290</v>
      </c>
      <c r="E7340" s="1" t="n">
        <v>1699</v>
      </c>
      <c r="F7340" s="1" t="s">
        <v>60</v>
      </c>
      <c r="I7340" s="1" t="n">
        <v>310741</v>
      </c>
      <c r="J7340" s="1" t="n">
        <v>13188</v>
      </c>
      <c r="K7340" s="1" t="n">
        <v>7896393601046</v>
      </c>
      <c r="L7340" s="1" t="s">
        <v>3293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5" t="n">
        <v>46246</v>
      </c>
      <c r="C7341" s="1" t="n">
        <v>11</v>
      </c>
      <c r="D7341" s="1" t="s">
        <v>2290</v>
      </c>
      <c r="E7341" s="1" t="n">
        <v>1699</v>
      </c>
      <c r="F7341" s="1" t="s">
        <v>60</v>
      </c>
      <c r="I7341" s="1" t="n">
        <v>310741</v>
      </c>
      <c r="J7341" s="1" t="n">
        <v>13677</v>
      </c>
      <c r="K7341" s="1" t="n">
        <v>7896393601039</v>
      </c>
      <c r="L7341" s="1" t="s">
        <v>2800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5" t="n">
        <v>46246</v>
      </c>
      <c r="C7342" s="1" t="n">
        <v>11</v>
      </c>
      <c r="D7342" s="1" t="s">
        <v>2290</v>
      </c>
      <c r="E7342" s="1" t="n">
        <v>1699</v>
      </c>
      <c r="F7342" s="1" t="s">
        <v>60</v>
      </c>
      <c r="I7342" s="1" t="n">
        <v>310741</v>
      </c>
      <c r="J7342" s="1" t="n">
        <v>23413</v>
      </c>
      <c r="K7342" s="1" t="n">
        <v>7898542022900</v>
      </c>
      <c r="L7342" s="1" t="s">
        <v>2586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5" t="n">
        <v>46246</v>
      </c>
      <c r="C7343" s="1" t="n">
        <v>11</v>
      </c>
      <c r="D7343" s="1" t="s">
        <v>2290</v>
      </c>
      <c r="E7343" s="1" t="n">
        <v>1699</v>
      </c>
      <c r="F7343" s="1" t="s">
        <v>60</v>
      </c>
      <c r="I7343" s="1" t="n">
        <v>310741</v>
      </c>
      <c r="J7343" s="1" t="n">
        <v>25964</v>
      </c>
      <c r="K7343" s="1" t="n">
        <v>7896763621858</v>
      </c>
      <c r="L7343" s="1" t="s">
        <v>3295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5" t="n">
        <v>46246</v>
      </c>
      <c r="C7344" s="1" t="n">
        <v>11</v>
      </c>
      <c r="D7344" s="1" t="s">
        <v>2290</v>
      </c>
      <c r="E7344" s="1" t="n">
        <v>1699</v>
      </c>
      <c r="F7344" s="1" t="s">
        <v>60</v>
      </c>
      <c r="I7344" s="1" t="n">
        <v>310741</v>
      </c>
      <c r="J7344" s="1" t="n">
        <v>31195</v>
      </c>
      <c r="K7344" s="1" t="n">
        <v>7898955964750</v>
      </c>
      <c r="L7344" s="1" t="s">
        <v>2812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5" t="n">
        <v>46246</v>
      </c>
      <c r="C7345" s="1" t="n">
        <v>11</v>
      </c>
      <c r="D7345" s="1" t="s">
        <v>2290</v>
      </c>
      <c r="E7345" s="1" t="n">
        <v>1699</v>
      </c>
      <c r="F7345" s="1" t="s">
        <v>60</v>
      </c>
      <c r="I7345" s="1" t="n">
        <v>310741</v>
      </c>
      <c r="J7345" s="1" t="n">
        <v>32805</v>
      </c>
      <c r="K7345" s="1" t="n">
        <v>7896433800378</v>
      </c>
      <c r="L7345" s="1" t="s">
        <v>3296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5" t="n">
        <v>46246</v>
      </c>
      <c r="C7346" s="1" t="n">
        <v>11</v>
      </c>
      <c r="D7346" s="1" t="s">
        <v>2290</v>
      </c>
      <c r="E7346" s="1" t="n">
        <v>1699</v>
      </c>
      <c r="F7346" s="1" t="s">
        <v>60</v>
      </c>
      <c r="I7346" s="1" t="n">
        <v>310741</v>
      </c>
      <c r="J7346" s="1" t="n">
        <v>36969</v>
      </c>
      <c r="K7346" s="1" t="n">
        <v>7891000325858</v>
      </c>
      <c r="L7346" s="1" t="s">
        <v>2815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5" t="n">
        <v>46246</v>
      </c>
      <c r="C7347" s="1" t="n">
        <v>11</v>
      </c>
      <c r="D7347" s="1" t="s">
        <v>2290</v>
      </c>
      <c r="E7347" s="1" t="n">
        <v>1699</v>
      </c>
      <c r="F7347" s="1" t="s">
        <v>60</v>
      </c>
      <c r="I7347" s="1" t="n">
        <v>310741</v>
      </c>
      <c r="J7347" s="1" t="n">
        <v>69309</v>
      </c>
      <c r="K7347" s="1" t="n">
        <v>7897556000850</v>
      </c>
      <c r="L7347" s="1" t="s">
        <v>4688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5" t="n">
        <v>46246</v>
      </c>
      <c r="C7348" s="1" t="n">
        <v>11</v>
      </c>
      <c r="D7348" s="1" t="s">
        <v>2290</v>
      </c>
      <c r="E7348" s="1" t="n">
        <v>1024</v>
      </c>
      <c r="F7348" s="1" t="s">
        <v>161</v>
      </c>
      <c r="I7348" s="1" t="n">
        <v>620570</v>
      </c>
      <c r="J7348" s="1" t="n">
        <v>103169</v>
      </c>
      <c r="K7348" s="1" t="n">
        <v>7898919635016</v>
      </c>
      <c r="L7348" s="1" t="s">
        <v>3145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5" t="n">
        <v>46246</v>
      </c>
      <c r="C7349" s="1" t="n">
        <v>11</v>
      </c>
      <c r="D7349" s="1" t="s">
        <v>2290</v>
      </c>
      <c r="E7349" s="1" t="n">
        <v>1024</v>
      </c>
      <c r="F7349" s="1" t="s">
        <v>161</v>
      </c>
      <c r="I7349" s="1" t="n">
        <v>620570</v>
      </c>
      <c r="J7349" s="1" t="n">
        <v>103170</v>
      </c>
      <c r="K7349" s="1" t="n">
        <v>7896792000020</v>
      </c>
      <c r="L7349" s="1" t="s">
        <v>3146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5" t="n">
        <v>46246</v>
      </c>
      <c r="C7350" s="1" t="n">
        <v>11</v>
      </c>
      <c r="D7350" s="1" t="s">
        <v>2290</v>
      </c>
      <c r="E7350" s="1" t="n">
        <v>1024</v>
      </c>
      <c r="F7350" s="1" t="s">
        <v>161</v>
      </c>
      <c r="I7350" s="1" t="n">
        <v>620570</v>
      </c>
      <c r="J7350" s="1" t="n">
        <v>104359</v>
      </c>
      <c r="K7350" s="1" t="n">
        <v>7896792350071</v>
      </c>
      <c r="L7350" s="1" t="s">
        <v>3147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5" t="n">
        <v>46246</v>
      </c>
      <c r="C7351" s="1" t="n">
        <v>22</v>
      </c>
      <c r="D7351" s="1" t="s">
        <v>2436</v>
      </c>
      <c r="E7351" s="1" t="n">
        <v>42</v>
      </c>
      <c r="F7351" s="1" t="s">
        <v>80</v>
      </c>
      <c r="I7351" s="1" t="n">
        <v>4492</v>
      </c>
      <c r="J7351" s="1" t="n">
        <v>100006</v>
      </c>
      <c r="K7351" s="1" t="n">
        <v>7</v>
      </c>
      <c r="L7351" s="1" t="s">
        <v>2437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5" t="n">
        <v>46246</v>
      </c>
      <c r="C7352" s="1" t="n">
        <v>22</v>
      </c>
      <c r="D7352" s="1" t="s">
        <v>2436</v>
      </c>
      <c r="E7352" s="1" t="n">
        <v>42</v>
      </c>
      <c r="F7352" s="1" t="s">
        <v>80</v>
      </c>
      <c r="I7352" s="1" t="n">
        <v>4492</v>
      </c>
      <c r="J7352" s="1" t="n">
        <v>100007</v>
      </c>
      <c r="K7352" s="1" t="n">
        <v>8</v>
      </c>
      <c r="L7352" s="1" t="s">
        <v>2455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5" t="n">
        <v>46246</v>
      </c>
      <c r="C7353" s="1" t="n">
        <v>22</v>
      </c>
      <c r="D7353" s="1" t="s">
        <v>2436</v>
      </c>
      <c r="E7353" s="1" t="n">
        <v>42</v>
      </c>
      <c r="F7353" s="1" t="s">
        <v>80</v>
      </c>
      <c r="I7353" s="1" t="n">
        <v>4492</v>
      </c>
      <c r="J7353" s="1" t="n">
        <v>100008</v>
      </c>
      <c r="K7353" s="1" t="n">
        <v>9</v>
      </c>
      <c r="L7353" s="1" t="s">
        <v>2438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5" t="n">
        <v>46246</v>
      </c>
      <c r="C7354" s="1" t="n">
        <v>22</v>
      </c>
      <c r="D7354" s="1" t="s">
        <v>2436</v>
      </c>
      <c r="E7354" s="1" t="n">
        <v>42</v>
      </c>
      <c r="F7354" s="1" t="s">
        <v>80</v>
      </c>
      <c r="I7354" s="1" t="n">
        <v>4492</v>
      </c>
      <c r="J7354" s="1" t="n">
        <v>100011</v>
      </c>
      <c r="K7354" s="1" t="n">
        <v>12</v>
      </c>
      <c r="L7354" s="1" t="s">
        <v>2440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5" t="n">
        <v>46246</v>
      </c>
      <c r="C7355" s="1" t="n">
        <v>22</v>
      </c>
      <c r="D7355" s="1" t="s">
        <v>2436</v>
      </c>
      <c r="E7355" s="1" t="n">
        <v>42</v>
      </c>
      <c r="F7355" s="1" t="s">
        <v>80</v>
      </c>
      <c r="I7355" s="1" t="n">
        <v>4492</v>
      </c>
      <c r="J7355" s="1" t="n">
        <v>100012</v>
      </c>
      <c r="K7355" s="1" t="n">
        <v>13</v>
      </c>
      <c r="L7355" s="1" t="s">
        <v>2441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5" t="n">
        <v>46246</v>
      </c>
      <c r="C7356" s="1" t="n">
        <v>22</v>
      </c>
      <c r="D7356" s="1" t="s">
        <v>2436</v>
      </c>
      <c r="E7356" s="1" t="n">
        <v>42</v>
      </c>
      <c r="F7356" s="1" t="s">
        <v>80</v>
      </c>
      <c r="I7356" s="1" t="n">
        <v>4492</v>
      </c>
      <c r="J7356" s="1" t="n">
        <v>100013</v>
      </c>
      <c r="K7356" s="1" t="n">
        <v>14</v>
      </c>
      <c r="L7356" s="1" t="s">
        <v>2442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5" t="n">
        <v>46246</v>
      </c>
      <c r="C7357" s="1" t="n">
        <v>22</v>
      </c>
      <c r="D7357" s="1" t="s">
        <v>2436</v>
      </c>
      <c r="E7357" s="1" t="n">
        <v>42</v>
      </c>
      <c r="F7357" s="1" t="s">
        <v>80</v>
      </c>
      <c r="I7357" s="1" t="n">
        <v>4492</v>
      </c>
      <c r="J7357" s="1" t="n">
        <v>100014</v>
      </c>
      <c r="K7357" s="1" t="n">
        <v>15</v>
      </c>
      <c r="L7357" s="1" t="s">
        <v>2443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5" t="n">
        <v>46246</v>
      </c>
      <c r="C7358" s="1" t="n">
        <v>22</v>
      </c>
      <c r="D7358" s="1" t="s">
        <v>2436</v>
      </c>
      <c r="E7358" s="1" t="n">
        <v>42</v>
      </c>
      <c r="F7358" s="1" t="s">
        <v>80</v>
      </c>
      <c r="I7358" s="1" t="n">
        <v>4492</v>
      </c>
      <c r="J7358" s="1" t="n">
        <v>100015</v>
      </c>
      <c r="K7358" s="1" t="n">
        <v>16</v>
      </c>
      <c r="L7358" s="1" t="s">
        <v>2444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5" t="n">
        <v>46246</v>
      </c>
      <c r="C7359" s="1" t="n">
        <v>22</v>
      </c>
      <c r="D7359" s="1" t="s">
        <v>2436</v>
      </c>
      <c r="E7359" s="1" t="n">
        <v>42</v>
      </c>
      <c r="F7359" s="1" t="s">
        <v>80</v>
      </c>
      <c r="I7359" s="1" t="n">
        <v>4492</v>
      </c>
      <c r="J7359" s="1" t="n">
        <v>100016</v>
      </c>
      <c r="K7359" s="1" t="n">
        <v>17</v>
      </c>
      <c r="L7359" s="1" t="s">
        <v>2445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5" t="n">
        <v>46246</v>
      </c>
      <c r="C7360" s="1" t="n">
        <v>22</v>
      </c>
      <c r="D7360" s="1" t="s">
        <v>2436</v>
      </c>
      <c r="E7360" s="1" t="n">
        <v>42</v>
      </c>
      <c r="F7360" s="1" t="s">
        <v>80</v>
      </c>
      <c r="I7360" s="1" t="n">
        <v>4492</v>
      </c>
      <c r="J7360" s="1" t="n">
        <v>100017</v>
      </c>
      <c r="K7360" s="1" t="n">
        <v>18</v>
      </c>
      <c r="L7360" s="1" t="s">
        <v>2446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5" t="n">
        <v>46246</v>
      </c>
      <c r="C7361" s="1" t="n">
        <v>22</v>
      </c>
      <c r="D7361" s="1" t="s">
        <v>2436</v>
      </c>
      <c r="E7361" s="1" t="n">
        <v>42</v>
      </c>
      <c r="F7361" s="1" t="s">
        <v>80</v>
      </c>
      <c r="I7361" s="1" t="n">
        <v>4492</v>
      </c>
      <c r="J7361" s="1" t="n">
        <v>100053</v>
      </c>
      <c r="K7361" s="1" t="n">
        <v>54</v>
      </c>
      <c r="L7361" s="1" t="s">
        <v>2447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5" t="n">
        <v>46246</v>
      </c>
      <c r="C7362" s="1" t="n">
        <v>22</v>
      </c>
      <c r="D7362" s="1" t="s">
        <v>2436</v>
      </c>
      <c r="E7362" s="1" t="n">
        <v>42</v>
      </c>
      <c r="F7362" s="1" t="s">
        <v>80</v>
      </c>
      <c r="I7362" s="1" t="n">
        <v>4492</v>
      </c>
      <c r="J7362" s="1" t="n">
        <v>100638</v>
      </c>
      <c r="K7362" s="1" t="n">
        <v>508</v>
      </c>
      <c r="L7362" s="1" t="s">
        <v>2448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5" t="n">
        <v>46246</v>
      </c>
      <c r="C7363" s="1" t="n">
        <v>22</v>
      </c>
      <c r="D7363" s="1" t="s">
        <v>2436</v>
      </c>
      <c r="E7363" s="1" t="n">
        <v>42</v>
      </c>
      <c r="F7363" s="1" t="s">
        <v>80</v>
      </c>
      <c r="I7363" s="1" t="n">
        <v>4492</v>
      </c>
      <c r="J7363" s="1" t="n">
        <v>100520</v>
      </c>
      <c r="K7363" s="1" t="n">
        <v>507</v>
      </c>
      <c r="L7363" s="1" t="s">
        <v>2449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5" t="n">
        <v>46246</v>
      </c>
      <c r="C7364" s="1" t="n">
        <v>22</v>
      </c>
      <c r="D7364" s="1" t="s">
        <v>2436</v>
      </c>
      <c r="E7364" s="1" t="n">
        <v>42</v>
      </c>
      <c r="F7364" s="1" t="s">
        <v>80</v>
      </c>
      <c r="I7364" s="1" t="n">
        <v>4492</v>
      </c>
      <c r="J7364" s="1" t="n">
        <v>110455</v>
      </c>
      <c r="K7364" s="1" t="n">
        <v>53212</v>
      </c>
      <c r="L7364" s="1" t="s">
        <v>2450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5" t="n">
        <v>46246</v>
      </c>
      <c r="C7365" s="1" t="n">
        <v>100</v>
      </c>
      <c r="D7365" s="1" t="s">
        <v>2457</v>
      </c>
      <c r="E7365" s="1" t="n">
        <v>42</v>
      </c>
      <c r="F7365" s="1" t="s">
        <v>80</v>
      </c>
      <c r="I7365" s="1" t="n">
        <v>1537248</v>
      </c>
      <c r="J7365" s="1" t="n">
        <v>100006</v>
      </c>
      <c r="K7365" s="1" t="n">
        <v>7</v>
      </c>
      <c r="L7365" s="1" t="s">
        <v>2437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5" t="n">
        <v>46246</v>
      </c>
      <c r="C7366" s="1" t="n">
        <v>100</v>
      </c>
      <c r="D7366" s="1" t="s">
        <v>2457</v>
      </c>
      <c r="E7366" s="1" t="n">
        <v>42</v>
      </c>
      <c r="F7366" s="1" t="s">
        <v>80</v>
      </c>
      <c r="I7366" s="1" t="n">
        <v>1537248</v>
      </c>
      <c r="J7366" s="1" t="n">
        <v>100007</v>
      </c>
      <c r="K7366" s="1" t="n">
        <v>8</v>
      </c>
      <c r="L7366" s="1" t="s">
        <v>2455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5" t="n">
        <v>46246</v>
      </c>
      <c r="C7367" s="1" t="n">
        <v>100</v>
      </c>
      <c r="D7367" s="1" t="s">
        <v>2457</v>
      </c>
      <c r="E7367" s="1" t="n">
        <v>42</v>
      </c>
      <c r="F7367" s="1" t="s">
        <v>80</v>
      </c>
      <c r="I7367" s="1" t="n">
        <v>1537248</v>
      </c>
      <c r="J7367" s="1" t="n">
        <v>100008</v>
      </c>
      <c r="K7367" s="1" t="n">
        <v>9</v>
      </c>
      <c r="L7367" s="1" t="s">
        <v>2438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5" t="n">
        <v>46246</v>
      </c>
      <c r="C7368" s="1" t="n">
        <v>100</v>
      </c>
      <c r="D7368" s="1" t="s">
        <v>2457</v>
      </c>
      <c r="E7368" s="1" t="n">
        <v>42</v>
      </c>
      <c r="F7368" s="1" t="s">
        <v>80</v>
      </c>
      <c r="I7368" s="1" t="n">
        <v>1537248</v>
      </c>
      <c r="J7368" s="1" t="n">
        <v>100011</v>
      </c>
      <c r="K7368" s="1" t="n">
        <v>12</v>
      </c>
      <c r="L7368" s="1" t="s">
        <v>2440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5" t="n">
        <v>46246</v>
      </c>
      <c r="C7369" s="1" t="n">
        <v>100</v>
      </c>
      <c r="D7369" s="1" t="s">
        <v>2457</v>
      </c>
      <c r="E7369" s="1" t="n">
        <v>42</v>
      </c>
      <c r="F7369" s="1" t="s">
        <v>80</v>
      </c>
      <c r="I7369" s="1" t="n">
        <v>1537248</v>
      </c>
      <c r="J7369" s="1" t="n">
        <v>100012</v>
      </c>
      <c r="K7369" s="1" t="n">
        <v>13</v>
      </c>
      <c r="L7369" s="1" t="s">
        <v>2441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5" t="n">
        <v>46246</v>
      </c>
      <c r="C7370" s="1" t="n">
        <v>100</v>
      </c>
      <c r="D7370" s="1" t="s">
        <v>2457</v>
      </c>
      <c r="E7370" s="1" t="n">
        <v>42</v>
      </c>
      <c r="F7370" s="1" t="s">
        <v>80</v>
      </c>
      <c r="I7370" s="1" t="n">
        <v>1537248</v>
      </c>
      <c r="J7370" s="1" t="n">
        <v>100013</v>
      </c>
      <c r="K7370" s="1" t="n">
        <v>14</v>
      </c>
      <c r="L7370" s="1" t="s">
        <v>2442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5" t="n">
        <v>46246</v>
      </c>
      <c r="C7371" s="1" t="n">
        <v>100</v>
      </c>
      <c r="D7371" s="1" t="s">
        <v>2457</v>
      </c>
      <c r="E7371" s="1" t="n">
        <v>42</v>
      </c>
      <c r="F7371" s="1" t="s">
        <v>80</v>
      </c>
      <c r="I7371" s="1" t="n">
        <v>1537248</v>
      </c>
      <c r="J7371" s="1" t="n">
        <v>100014</v>
      </c>
      <c r="K7371" s="1" t="n">
        <v>15</v>
      </c>
      <c r="L7371" s="1" t="s">
        <v>2443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5" t="n">
        <v>46246</v>
      </c>
      <c r="C7372" s="1" t="n">
        <v>100</v>
      </c>
      <c r="D7372" s="1" t="s">
        <v>2457</v>
      </c>
      <c r="E7372" s="1" t="n">
        <v>42</v>
      </c>
      <c r="F7372" s="1" t="s">
        <v>80</v>
      </c>
      <c r="I7372" s="1" t="n">
        <v>1537248</v>
      </c>
      <c r="J7372" s="1" t="n">
        <v>100015</v>
      </c>
      <c r="K7372" s="1" t="n">
        <v>16</v>
      </c>
      <c r="L7372" s="1" t="s">
        <v>2444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5" t="n">
        <v>46246</v>
      </c>
      <c r="C7373" s="1" t="n">
        <v>100</v>
      </c>
      <c r="D7373" s="1" t="s">
        <v>2457</v>
      </c>
      <c r="E7373" s="1" t="n">
        <v>42</v>
      </c>
      <c r="F7373" s="1" t="s">
        <v>80</v>
      </c>
      <c r="I7373" s="1" t="n">
        <v>1537248</v>
      </c>
      <c r="J7373" s="1" t="n">
        <v>100016</v>
      </c>
      <c r="K7373" s="1" t="n">
        <v>17</v>
      </c>
      <c r="L7373" s="1" t="s">
        <v>2445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5" t="n">
        <v>46246</v>
      </c>
      <c r="C7374" s="1" t="n">
        <v>100</v>
      </c>
      <c r="D7374" s="1" t="s">
        <v>2457</v>
      </c>
      <c r="E7374" s="1" t="n">
        <v>42</v>
      </c>
      <c r="F7374" s="1" t="s">
        <v>80</v>
      </c>
      <c r="I7374" s="1" t="n">
        <v>1537248</v>
      </c>
      <c r="J7374" s="1" t="n">
        <v>100017</v>
      </c>
      <c r="K7374" s="1" t="n">
        <v>18</v>
      </c>
      <c r="L7374" s="1" t="s">
        <v>2446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5" t="n">
        <v>46246</v>
      </c>
      <c r="C7375" s="1" t="n">
        <v>100</v>
      </c>
      <c r="D7375" s="1" t="s">
        <v>2457</v>
      </c>
      <c r="E7375" s="1" t="n">
        <v>42</v>
      </c>
      <c r="F7375" s="1" t="s">
        <v>80</v>
      </c>
      <c r="I7375" s="1" t="n">
        <v>1537248</v>
      </c>
      <c r="J7375" s="1" t="n">
        <v>100053</v>
      </c>
      <c r="K7375" s="1" t="n">
        <v>54</v>
      </c>
      <c r="L7375" s="1" t="s">
        <v>2447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5" t="n">
        <v>46246</v>
      </c>
      <c r="C7376" s="1" t="n">
        <v>100</v>
      </c>
      <c r="D7376" s="1" t="s">
        <v>2457</v>
      </c>
      <c r="E7376" s="1" t="n">
        <v>42</v>
      </c>
      <c r="F7376" s="1" t="s">
        <v>80</v>
      </c>
      <c r="I7376" s="1" t="n">
        <v>1537248</v>
      </c>
      <c r="J7376" s="1" t="n">
        <v>100638</v>
      </c>
      <c r="K7376" s="1" t="n">
        <v>508</v>
      </c>
      <c r="L7376" s="1" t="s">
        <v>2448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5" t="n">
        <v>46246</v>
      </c>
      <c r="C7377" s="1" t="n">
        <v>100</v>
      </c>
      <c r="D7377" s="1" t="s">
        <v>2457</v>
      </c>
      <c r="E7377" s="1" t="n">
        <v>42</v>
      </c>
      <c r="F7377" s="1" t="s">
        <v>80</v>
      </c>
      <c r="I7377" s="1" t="n">
        <v>1537248</v>
      </c>
      <c r="J7377" s="1" t="n">
        <v>100520</v>
      </c>
      <c r="K7377" s="1" t="n">
        <v>507</v>
      </c>
      <c r="L7377" s="1" t="s">
        <v>2449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5" t="n">
        <v>46246</v>
      </c>
      <c r="C7378" s="1" t="n">
        <v>100</v>
      </c>
      <c r="D7378" s="1" t="s">
        <v>2457</v>
      </c>
      <c r="E7378" s="1" t="n">
        <v>42</v>
      </c>
      <c r="F7378" s="1" t="s">
        <v>80</v>
      </c>
      <c r="I7378" s="1" t="n">
        <v>1537248</v>
      </c>
      <c r="J7378" s="1" t="n">
        <v>110455</v>
      </c>
      <c r="K7378" s="1" t="n">
        <v>53212</v>
      </c>
      <c r="L7378" s="1" t="s">
        <v>2450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5" t="n">
        <v>46247</v>
      </c>
      <c r="C7379" s="1" t="n">
        <v>6</v>
      </c>
      <c r="D7379" s="1" t="s">
        <v>2289</v>
      </c>
      <c r="E7379" s="1" t="n">
        <v>42</v>
      </c>
      <c r="F7379" s="1" t="s">
        <v>80</v>
      </c>
      <c r="I7379" s="1" t="n">
        <v>4494</v>
      </c>
      <c r="J7379" s="1" t="n">
        <v>27510</v>
      </c>
      <c r="K7379" s="1" t="n">
        <v>7898306020241</v>
      </c>
      <c r="L7379" s="1" t="s">
        <v>2917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5" t="n">
        <v>46247</v>
      </c>
      <c r="C7380" s="1" t="n">
        <v>6</v>
      </c>
      <c r="D7380" s="1" t="s">
        <v>2289</v>
      </c>
      <c r="E7380" s="1" t="n">
        <v>42</v>
      </c>
      <c r="F7380" s="1" t="s">
        <v>80</v>
      </c>
      <c r="I7380" s="1" t="n">
        <v>4494</v>
      </c>
      <c r="J7380" s="1" t="n">
        <v>74674</v>
      </c>
      <c r="K7380" s="1" t="n">
        <v>741</v>
      </c>
      <c r="L7380" s="1" t="s">
        <v>2919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5" t="n">
        <v>46247</v>
      </c>
      <c r="C7381" s="1" t="n">
        <v>6</v>
      </c>
      <c r="D7381" s="1" t="s">
        <v>2289</v>
      </c>
      <c r="E7381" s="1" t="n">
        <v>42</v>
      </c>
      <c r="F7381" s="1" t="s">
        <v>80</v>
      </c>
      <c r="I7381" s="1" t="n">
        <v>4494</v>
      </c>
      <c r="J7381" s="1" t="n">
        <v>75374</v>
      </c>
      <c r="K7381" s="1" t="n">
        <v>7898996471521</v>
      </c>
      <c r="L7381" s="1" t="s">
        <v>2920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5" t="n">
        <v>46247</v>
      </c>
      <c r="C7382" s="1" t="n">
        <v>6</v>
      </c>
      <c r="D7382" s="1" t="s">
        <v>2289</v>
      </c>
      <c r="E7382" s="1" t="n">
        <v>42</v>
      </c>
      <c r="F7382" s="1" t="s">
        <v>80</v>
      </c>
      <c r="I7382" s="1" t="n">
        <v>4495</v>
      </c>
      <c r="J7382" s="1" t="n">
        <v>100103</v>
      </c>
      <c r="K7382" s="1" t="n">
        <v>104</v>
      </c>
      <c r="L7382" s="1" t="s">
        <v>2287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5" t="n">
        <v>46247</v>
      </c>
      <c r="C7383" s="1" t="n">
        <v>6</v>
      </c>
      <c r="D7383" s="1" t="s">
        <v>2289</v>
      </c>
      <c r="E7383" s="1" t="n">
        <v>42</v>
      </c>
      <c r="F7383" s="1" t="s">
        <v>80</v>
      </c>
      <c r="I7383" s="1" t="n">
        <v>4496</v>
      </c>
      <c r="J7383" s="1" t="n">
        <v>109791</v>
      </c>
      <c r="K7383" s="1" t="n">
        <v>9667</v>
      </c>
      <c r="L7383" s="1" t="s">
        <v>2284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5" t="n">
        <v>46247</v>
      </c>
      <c r="C7384" s="1" t="n">
        <v>6</v>
      </c>
      <c r="D7384" s="1" t="s">
        <v>2289</v>
      </c>
      <c r="E7384" s="1" t="n">
        <v>42</v>
      </c>
      <c r="F7384" s="1" t="s">
        <v>80</v>
      </c>
      <c r="I7384" s="1" t="n">
        <v>4496</v>
      </c>
      <c r="J7384" s="1" t="n">
        <v>37359</v>
      </c>
      <c r="K7384" s="1" t="n">
        <v>55526</v>
      </c>
      <c r="L7384" s="1" t="s">
        <v>2285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5" t="n">
        <v>46247</v>
      </c>
      <c r="C7385" s="1" t="n">
        <v>6</v>
      </c>
      <c r="D7385" s="1" t="s">
        <v>2289</v>
      </c>
      <c r="E7385" s="1" t="n">
        <v>42</v>
      </c>
      <c r="F7385" s="1" t="s">
        <v>80</v>
      </c>
      <c r="I7385" s="1" t="n">
        <v>4496</v>
      </c>
      <c r="J7385" s="1" t="n">
        <v>37361</v>
      </c>
      <c r="K7385" s="1" t="n">
        <v>2240817</v>
      </c>
      <c r="L7385" s="1" t="s">
        <v>2286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5" t="n">
        <v>46247</v>
      </c>
      <c r="C7386" s="1" t="n">
        <v>11</v>
      </c>
      <c r="D7386" s="1" t="s">
        <v>2290</v>
      </c>
      <c r="E7386" s="1" t="n">
        <v>1814</v>
      </c>
      <c r="F7386" s="1" t="s">
        <v>339</v>
      </c>
      <c r="I7386" s="1" t="n">
        <v>28353</v>
      </c>
      <c r="J7386" s="1" t="n">
        <v>25090</v>
      </c>
      <c r="K7386" s="1" t="n">
        <v>7898951519152</v>
      </c>
      <c r="L7386" s="1" t="s">
        <v>2345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5" t="n">
        <v>46247</v>
      </c>
      <c r="C7387" s="1" t="n">
        <v>11</v>
      </c>
      <c r="D7387" s="1" t="s">
        <v>2290</v>
      </c>
      <c r="E7387" s="1" t="n">
        <v>1814</v>
      </c>
      <c r="F7387" s="1" t="s">
        <v>339</v>
      </c>
      <c r="I7387" s="1" t="n">
        <v>28353</v>
      </c>
      <c r="J7387" s="1" t="n">
        <v>25091</v>
      </c>
      <c r="K7387" s="1" t="n">
        <v>7898951519176</v>
      </c>
      <c r="L7387" s="1" t="s">
        <v>2346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5" t="n">
        <v>46247</v>
      </c>
      <c r="C7388" s="1" t="n">
        <v>11</v>
      </c>
      <c r="D7388" s="1" t="s">
        <v>2290</v>
      </c>
      <c r="E7388" s="1" t="n">
        <v>1814</v>
      </c>
      <c r="F7388" s="1" t="s">
        <v>339</v>
      </c>
      <c r="I7388" s="1" t="n">
        <v>28353</v>
      </c>
      <c r="J7388" s="1" t="n">
        <v>25092</v>
      </c>
      <c r="K7388" s="1" t="n">
        <v>7896883601105</v>
      </c>
      <c r="L7388" s="1" t="s">
        <v>3230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5" t="n">
        <v>46247</v>
      </c>
      <c r="C7389" s="1" t="n">
        <v>11</v>
      </c>
      <c r="D7389" s="1" t="s">
        <v>2290</v>
      </c>
      <c r="E7389" s="1" t="n">
        <v>1814</v>
      </c>
      <c r="F7389" s="1" t="s">
        <v>339</v>
      </c>
      <c r="I7389" s="1" t="n">
        <v>28353</v>
      </c>
      <c r="J7389" s="1" t="n">
        <v>25093</v>
      </c>
      <c r="K7389" s="1" t="n">
        <v>7898951519169</v>
      </c>
      <c r="L7389" s="1" t="s">
        <v>2347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5" t="n">
        <v>46247</v>
      </c>
      <c r="C7390" s="1" t="n">
        <v>11</v>
      </c>
      <c r="D7390" s="1" t="s">
        <v>2290</v>
      </c>
      <c r="E7390" s="1" t="n">
        <v>1814</v>
      </c>
      <c r="F7390" s="1" t="s">
        <v>339</v>
      </c>
      <c r="I7390" s="1" t="n">
        <v>28353</v>
      </c>
      <c r="J7390" s="1" t="n">
        <v>25095</v>
      </c>
      <c r="K7390" s="1" t="n">
        <v>7898951519145</v>
      </c>
      <c r="L7390" s="1" t="s">
        <v>2348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5" t="n">
        <v>46247</v>
      </c>
      <c r="C7391" s="1" t="n">
        <v>11</v>
      </c>
      <c r="D7391" s="1" t="s">
        <v>2290</v>
      </c>
      <c r="E7391" s="1" t="n">
        <v>1814</v>
      </c>
      <c r="F7391" s="1" t="s">
        <v>339</v>
      </c>
      <c r="I7391" s="1" t="n">
        <v>28353</v>
      </c>
      <c r="J7391" s="1" t="n">
        <v>25096</v>
      </c>
      <c r="K7391" s="1" t="n">
        <v>7898951519138</v>
      </c>
      <c r="L7391" s="1" t="s">
        <v>3231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5" t="n">
        <v>46247</v>
      </c>
      <c r="C7392" s="1" t="n">
        <v>11</v>
      </c>
      <c r="D7392" s="1" t="s">
        <v>2290</v>
      </c>
      <c r="E7392" s="1" t="n">
        <v>1814</v>
      </c>
      <c r="F7392" s="1" t="s">
        <v>339</v>
      </c>
      <c r="I7392" s="1" t="n">
        <v>28353</v>
      </c>
      <c r="J7392" s="1" t="n">
        <v>25097</v>
      </c>
      <c r="K7392" s="1" t="n">
        <v>7898951519121</v>
      </c>
      <c r="L7392" s="1" t="s">
        <v>2349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5" t="n">
        <v>46247</v>
      </c>
      <c r="C7393" s="1" t="n">
        <v>11</v>
      </c>
      <c r="D7393" s="1" t="s">
        <v>2290</v>
      </c>
      <c r="E7393" s="1" t="n">
        <v>1814</v>
      </c>
      <c r="F7393" s="1" t="s">
        <v>339</v>
      </c>
      <c r="I7393" s="1" t="n">
        <v>28353</v>
      </c>
      <c r="J7393" s="1" t="n">
        <v>25134</v>
      </c>
      <c r="K7393" s="1" t="n">
        <v>7898951519114</v>
      </c>
      <c r="L7393" s="1" t="s">
        <v>2350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5" t="n">
        <v>46247</v>
      </c>
      <c r="C7394" s="1" t="n">
        <v>11</v>
      </c>
      <c r="D7394" s="1" t="s">
        <v>2290</v>
      </c>
      <c r="E7394" s="1" t="n">
        <v>1814</v>
      </c>
      <c r="F7394" s="1" t="s">
        <v>339</v>
      </c>
      <c r="I7394" s="1" t="n">
        <v>28353</v>
      </c>
      <c r="J7394" s="1" t="n">
        <v>39927</v>
      </c>
      <c r="K7394" s="1" t="n">
        <v>7898951519077</v>
      </c>
      <c r="L7394" s="1" t="s">
        <v>2352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5" t="n">
        <v>46247</v>
      </c>
      <c r="C7395" s="1" t="n">
        <v>11</v>
      </c>
      <c r="D7395" s="1" t="s">
        <v>2290</v>
      </c>
      <c r="E7395" s="1" t="n">
        <v>1814</v>
      </c>
      <c r="F7395" s="1" t="s">
        <v>339</v>
      </c>
      <c r="I7395" s="1" t="n">
        <v>28353</v>
      </c>
      <c r="J7395" s="1" t="n">
        <v>39930</v>
      </c>
      <c r="K7395" s="1" t="n">
        <v>7898951519060</v>
      </c>
      <c r="L7395" s="1" t="s">
        <v>2355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5" t="n">
        <v>46247</v>
      </c>
      <c r="C7396" s="1" t="n">
        <v>11</v>
      </c>
      <c r="D7396" s="1" t="s">
        <v>2290</v>
      </c>
      <c r="E7396" s="1" t="n">
        <v>1814</v>
      </c>
      <c r="F7396" s="1" t="s">
        <v>339</v>
      </c>
      <c r="I7396" s="1" t="n">
        <v>28353</v>
      </c>
      <c r="J7396" s="1" t="n">
        <v>39932</v>
      </c>
      <c r="K7396" s="1" t="n">
        <v>7898951519091</v>
      </c>
      <c r="L7396" s="1" t="s">
        <v>2356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5" t="n">
        <v>46247</v>
      </c>
      <c r="C7397" s="1" t="n">
        <v>11</v>
      </c>
      <c r="D7397" s="1" t="s">
        <v>2290</v>
      </c>
      <c r="E7397" s="1" t="n">
        <v>1814</v>
      </c>
      <c r="F7397" s="1" t="s">
        <v>339</v>
      </c>
      <c r="I7397" s="1" t="n">
        <v>28353</v>
      </c>
      <c r="J7397" s="1" t="n">
        <v>39933</v>
      </c>
      <c r="K7397" s="1" t="n">
        <v>7898951519046</v>
      </c>
      <c r="L7397" s="1" t="s">
        <v>3885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5" t="n">
        <v>46247</v>
      </c>
      <c r="C7398" s="1" t="n">
        <v>11</v>
      </c>
      <c r="D7398" s="1" t="s">
        <v>2290</v>
      </c>
      <c r="E7398" s="1" t="n">
        <v>1814</v>
      </c>
      <c r="F7398" s="1" t="s">
        <v>339</v>
      </c>
      <c r="I7398" s="1" t="n">
        <v>28353</v>
      </c>
      <c r="J7398" s="1" t="n">
        <v>39935</v>
      </c>
      <c r="K7398" s="1" t="n">
        <v>7898951519053</v>
      </c>
      <c r="L7398" s="1" t="s">
        <v>2357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5" t="n">
        <v>46247</v>
      </c>
      <c r="C7399" s="1" t="n">
        <v>11</v>
      </c>
      <c r="D7399" s="1" t="s">
        <v>2290</v>
      </c>
      <c r="E7399" s="1" t="n">
        <v>1814</v>
      </c>
      <c r="F7399" s="1" t="s">
        <v>339</v>
      </c>
      <c r="I7399" s="1" t="n">
        <v>28353</v>
      </c>
      <c r="J7399" s="1" t="n">
        <v>39937</v>
      </c>
      <c r="K7399" s="1" t="n">
        <v>7898951519022</v>
      </c>
      <c r="L7399" s="1" t="s">
        <v>2359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5" t="n">
        <v>46247</v>
      </c>
      <c r="C7400" s="1" t="n">
        <v>11</v>
      </c>
      <c r="D7400" s="1" t="s">
        <v>2290</v>
      </c>
      <c r="E7400" s="1" t="n">
        <v>1814</v>
      </c>
      <c r="F7400" s="1" t="s">
        <v>339</v>
      </c>
      <c r="I7400" s="1" t="n">
        <v>28353</v>
      </c>
      <c r="J7400" s="1" t="n">
        <v>81422</v>
      </c>
      <c r="K7400" s="1" t="n">
        <v>7898951519336</v>
      </c>
      <c r="L7400" s="1" t="s">
        <v>3232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5" t="n">
        <v>46247</v>
      </c>
      <c r="C7401" s="1" t="n">
        <v>11</v>
      </c>
      <c r="D7401" s="1" t="s">
        <v>2290</v>
      </c>
      <c r="E7401" s="1" t="n">
        <v>1605</v>
      </c>
      <c r="F7401" s="1" t="s">
        <v>113</v>
      </c>
      <c r="I7401" s="1" t="n">
        <v>222948</v>
      </c>
      <c r="J7401" s="1" t="n">
        <v>102577</v>
      </c>
      <c r="K7401" s="1" t="n">
        <v>7898080640222</v>
      </c>
      <c r="L7401" s="1" t="s">
        <v>2368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5" t="n">
        <v>46247</v>
      </c>
      <c r="C7402" s="1" t="n">
        <v>11</v>
      </c>
      <c r="D7402" s="1" t="s">
        <v>2290</v>
      </c>
      <c r="E7402" s="1" t="n">
        <v>1605</v>
      </c>
      <c r="F7402" s="1" t="s">
        <v>113</v>
      </c>
      <c r="I7402" s="1" t="n">
        <v>222948</v>
      </c>
      <c r="J7402" s="1" t="n">
        <v>26145</v>
      </c>
      <c r="K7402" s="1" t="n">
        <v>7896096007688</v>
      </c>
      <c r="L7402" s="1" t="s">
        <v>2373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5" t="n">
        <v>46247</v>
      </c>
      <c r="C7403" s="1" t="n">
        <v>11</v>
      </c>
      <c r="D7403" s="1" t="s">
        <v>2290</v>
      </c>
      <c r="E7403" s="1" t="n">
        <v>1657</v>
      </c>
      <c r="F7403" s="1" t="s">
        <v>255</v>
      </c>
      <c r="I7403" s="1" t="n">
        <v>297049</v>
      </c>
      <c r="J7403" s="1" t="n">
        <v>100453</v>
      </c>
      <c r="K7403" s="1" t="n">
        <v>7896806700076</v>
      </c>
      <c r="L7403" s="1" t="s">
        <v>4689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5" t="n">
        <v>46247</v>
      </c>
      <c r="C7404" s="1" t="n">
        <v>11</v>
      </c>
      <c r="D7404" s="1" t="s">
        <v>2290</v>
      </c>
      <c r="E7404" s="1" t="n">
        <v>1657</v>
      </c>
      <c r="F7404" s="1" t="s">
        <v>255</v>
      </c>
      <c r="I7404" s="1" t="n">
        <v>297049</v>
      </c>
      <c r="J7404" s="1" t="n">
        <v>100454</v>
      </c>
      <c r="K7404" s="1" t="n">
        <v>7896806700069</v>
      </c>
      <c r="L7404" s="1" t="s">
        <v>4674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5" t="n">
        <v>46247</v>
      </c>
      <c r="C7405" s="1" t="n">
        <v>11</v>
      </c>
      <c r="D7405" s="1" t="s">
        <v>2290</v>
      </c>
      <c r="E7405" s="1" t="n">
        <v>1657</v>
      </c>
      <c r="F7405" s="1" t="s">
        <v>255</v>
      </c>
      <c r="I7405" s="1" t="n">
        <v>297049</v>
      </c>
      <c r="J7405" s="1" t="n">
        <v>102096</v>
      </c>
      <c r="K7405" s="1" t="n">
        <v>7896104993835</v>
      </c>
      <c r="L7405" s="1" t="s">
        <v>4690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5" t="n">
        <v>46247</v>
      </c>
      <c r="C7406" s="1" t="n">
        <v>11</v>
      </c>
      <c r="D7406" s="1" t="s">
        <v>2290</v>
      </c>
      <c r="E7406" s="1" t="n">
        <v>1657</v>
      </c>
      <c r="F7406" s="1" t="s">
        <v>255</v>
      </c>
      <c r="I7406" s="1" t="n">
        <v>297049</v>
      </c>
      <c r="J7406" s="1" t="n">
        <v>102260</v>
      </c>
      <c r="K7406" s="1" t="n">
        <v>7898916462028</v>
      </c>
      <c r="L7406" s="1" t="s">
        <v>2761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5" t="n">
        <v>46247</v>
      </c>
      <c r="C7407" s="1" t="n">
        <v>11</v>
      </c>
      <c r="D7407" s="1" t="s">
        <v>2290</v>
      </c>
      <c r="E7407" s="1" t="n">
        <v>1657</v>
      </c>
      <c r="F7407" s="1" t="s">
        <v>255</v>
      </c>
      <c r="I7407" s="1" t="n">
        <v>297049</v>
      </c>
      <c r="J7407" s="1" t="n">
        <v>104137</v>
      </c>
      <c r="K7407" s="1" t="n">
        <v>7896369611093</v>
      </c>
      <c r="L7407" s="1" t="s">
        <v>4691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5" t="n">
        <v>46247</v>
      </c>
      <c r="C7408" s="1" t="n">
        <v>11</v>
      </c>
      <c r="D7408" s="1" t="s">
        <v>2290</v>
      </c>
      <c r="E7408" s="1" t="n">
        <v>1657</v>
      </c>
      <c r="F7408" s="1" t="s">
        <v>255</v>
      </c>
      <c r="I7408" s="1" t="n">
        <v>297049</v>
      </c>
      <c r="J7408" s="1" t="n">
        <v>104845</v>
      </c>
      <c r="K7408" s="1" t="n">
        <v>70330909229</v>
      </c>
      <c r="L7408" s="1" t="s">
        <v>3499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5" t="n">
        <v>46247</v>
      </c>
      <c r="C7409" s="1" t="n">
        <v>11</v>
      </c>
      <c r="D7409" s="1" t="s">
        <v>2290</v>
      </c>
      <c r="E7409" s="1" t="n">
        <v>1657</v>
      </c>
      <c r="F7409" s="1" t="s">
        <v>255</v>
      </c>
      <c r="I7409" s="1" t="n">
        <v>297049</v>
      </c>
      <c r="J7409" s="1" t="n">
        <v>108113</v>
      </c>
      <c r="K7409" s="1" t="n">
        <v>7896050500071</v>
      </c>
      <c r="L7409" s="1" t="s">
        <v>3468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5" t="n">
        <v>46247</v>
      </c>
      <c r="C7410" s="1" t="n">
        <v>11</v>
      </c>
      <c r="D7410" s="1" t="s">
        <v>2290</v>
      </c>
      <c r="E7410" s="1" t="n">
        <v>1657</v>
      </c>
      <c r="F7410" s="1" t="s">
        <v>255</v>
      </c>
      <c r="I7410" s="1" t="n">
        <v>297049</v>
      </c>
      <c r="J7410" s="1" t="n">
        <v>108996</v>
      </c>
      <c r="K7410" s="1" t="n">
        <v>7891200007899</v>
      </c>
      <c r="L7410" s="1" t="s">
        <v>3471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5" t="n">
        <v>46247</v>
      </c>
      <c r="C7411" s="1" t="n">
        <v>11</v>
      </c>
      <c r="D7411" s="1" t="s">
        <v>2290</v>
      </c>
      <c r="E7411" s="1" t="n">
        <v>1657</v>
      </c>
      <c r="F7411" s="1" t="s">
        <v>255</v>
      </c>
      <c r="I7411" s="1" t="n">
        <v>297049</v>
      </c>
      <c r="J7411" s="1" t="n">
        <v>110051</v>
      </c>
      <c r="K7411" s="1" t="n">
        <v>7896481130267</v>
      </c>
      <c r="L7411" s="1" t="s">
        <v>3577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5" t="n">
        <v>46247</v>
      </c>
      <c r="C7412" s="1" t="n">
        <v>11</v>
      </c>
      <c r="D7412" s="1" t="s">
        <v>2290</v>
      </c>
      <c r="E7412" s="1" t="n">
        <v>1657</v>
      </c>
      <c r="F7412" s="1" t="s">
        <v>255</v>
      </c>
      <c r="I7412" s="1" t="n">
        <v>297049</v>
      </c>
      <c r="J7412" s="1" t="n">
        <v>12541</v>
      </c>
      <c r="K7412" s="1" t="n">
        <v>7896180782392</v>
      </c>
      <c r="L7412" s="1" t="s">
        <v>3473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5" t="n">
        <v>46247</v>
      </c>
      <c r="C7413" s="1" t="n">
        <v>11</v>
      </c>
      <c r="D7413" s="1" t="s">
        <v>2290</v>
      </c>
      <c r="E7413" s="1" t="n">
        <v>1657</v>
      </c>
      <c r="F7413" s="1" t="s">
        <v>255</v>
      </c>
      <c r="I7413" s="1" t="n">
        <v>297049</v>
      </c>
      <c r="J7413" s="1" t="n">
        <v>12703</v>
      </c>
      <c r="K7413" s="1" t="n">
        <v>70330710221</v>
      </c>
      <c r="L7413" s="1" t="s">
        <v>3578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5" t="n">
        <v>46247</v>
      </c>
      <c r="C7414" s="1" t="n">
        <v>11</v>
      </c>
      <c r="D7414" s="1" t="s">
        <v>2290</v>
      </c>
      <c r="E7414" s="1" t="n">
        <v>1657</v>
      </c>
      <c r="F7414" s="1" t="s">
        <v>255</v>
      </c>
      <c r="I7414" s="1" t="n">
        <v>297049</v>
      </c>
      <c r="J7414" s="1" t="n">
        <v>15397</v>
      </c>
      <c r="K7414" s="1" t="n">
        <v>7898927045012</v>
      </c>
      <c r="L7414" s="1" t="s">
        <v>2966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5" t="n">
        <v>46247</v>
      </c>
      <c r="C7415" s="1" t="n">
        <v>11</v>
      </c>
      <c r="D7415" s="1" t="s">
        <v>2290</v>
      </c>
      <c r="E7415" s="1" t="n">
        <v>1657</v>
      </c>
      <c r="F7415" s="1" t="s">
        <v>255</v>
      </c>
      <c r="I7415" s="1" t="n">
        <v>297049</v>
      </c>
      <c r="J7415" s="1" t="n">
        <v>18957</v>
      </c>
      <c r="K7415" s="1" t="n">
        <v>7896072902921</v>
      </c>
      <c r="L7415" s="1" t="s">
        <v>4692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5" t="n">
        <v>46247</v>
      </c>
      <c r="C7416" s="1" t="n">
        <v>11</v>
      </c>
      <c r="D7416" s="1" t="s">
        <v>2290</v>
      </c>
      <c r="E7416" s="1" t="n">
        <v>1657</v>
      </c>
      <c r="F7416" s="1" t="s">
        <v>255</v>
      </c>
      <c r="I7416" s="1" t="n">
        <v>297049</v>
      </c>
      <c r="J7416" s="1" t="n">
        <v>21479</v>
      </c>
      <c r="K7416" s="1" t="n">
        <v>7898956358077</v>
      </c>
      <c r="L7416" s="1" t="s">
        <v>3475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5" t="n">
        <v>46247</v>
      </c>
      <c r="C7417" s="1" t="n">
        <v>11</v>
      </c>
      <c r="D7417" s="1" t="s">
        <v>2290</v>
      </c>
      <c r="E7417" s="1" t="n">
        <v>1657</v>
      </c>
      <c r="F7417" s="1" t="s">
        <v>255</v>
      </c>
      <c r="I7417" s="1" t="n">
        <v>297049</v>
      </c>
      <c r="J7417" s="1" t="n">
        <v>21781</v>
      </c>
      <c r="K7417" s="1" t="n">
        <v>7896547500171</v>
      </c>
      <c r="L7417" s="1" t="s">
        <v>4693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5" t="n">
        <v>46247</v>
      </c>
      <c r="C7418" s="1" t="n">
        <v>11</v>
      </c>
      <c r="D7418" s="1" t="s">
        <v>2290</v>
      </c>
      <c r="E7418" s="1" t="n">
        <v>1657</v>
      </c>
      <c r="F7418" s="1" t="s">
        <v>255</v>
      </c>
      <c r="I7418" s="1" t="n">
        <v>297049</v>
      </c>
      <c r="J7418" s="1" t="n">
        <v>27196</v>
      </c>
      <c r="K7418" s="1" t="n">
        <v>7896180783795</v>
      </c>
      <c r="L7418" s="1" t="s">
        <v>3478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5" t="n">
        <v>46247</v>
      </c>
      <c r="C7419" s="1" t="n">
        <v>11</v>
      </c>
      <c r="D7419" s="1" t="s">
        <v>2290</v>
      </c>
      <c r="E7419" s="1" t="n">
        <v>1657</v>
      </c>
      <c r="F7419" s="1" t="s">
        <v>255</v>
      </c>
      <c r="I7419" s="1" t="n">
        <v>297049</v>
      </c>
      <c r="J7419" s="1" t="n">
        <v>29497</v>
      </c>
      <c r="K7419" s="1" t="n">
        <v>7891030300207</v>
      </c>
      <c r="L7419" s="1" t="s">
        <v>4694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5" t="n">
        <v>46247</v>
      </c>
      <c r="C7420" s="1" t="n">
        <v>11</v>
      </c>
      <c r="D7420" s="1" t="s">
        <v>2290</v>
      </c>
      <c r="E7420" s="1" t="n">
        <v>1657</v>
      </c>
      <c r="F7420" s="1" t="s">
        <v>255</v>
      </c>
      <c r="I7420" s="1" t="n">
        <v>297049</v>
      </c>
      <c r="J7420" s="1" t="n">
        <v>31312</v>
      </c>
      <c r="K7420" s="1" t="n">
        <v>7891030300306</v>
      </c>
      <c r="L7420" s="1" t="s">
        <v>3721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5" t="n">
        <v>46247</v>
      </c>
      <c r="C7421" s="1" t="n">
        <v>11</v>
      </c>
      <c r="D7421" s="1" t="s">
        <v>2290</v>
      </c>
      <c r="E7421" s="1" t="n">
        <v>1657</v>
      </c>
      <c r="F7421" s="1" t="s">
        <v>255</v>
      </c>
      <c r="I7421" s="1" t="n">
        <v>297049</v>
      </c>
      <c r="J7421" s="1" t="n">
        <v>34936</v>
      </c>
      <c r="K7421" s="1" t="n">
        <v>7898916462127</v>
      </c>
      <c r="L7421" s="1" t="s">
        <v>2769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5" t="n">
        <v>46247</v>
      </c>
      <c r="C7422" s="1" t="n">
        <v>11</v>
      </c>
      <c r="D7422" s="1" t="s">
        <v>2290</v>
      </c>
      <c r="E7422" s="1" t="n">
        <v>1657</v>
      </c>
      <c r="F7422" s="1" t="s">
        <v>255</v>
      </c>
      <c r="I7422" s="1" t="n">
        <v>297049</v>
      </c>
      <c r="J7422" s="1" t="n">
        <v>41880</v>
      </c>
      <c r="K7422" s="1" t="n">
        <v>70330631328</v>
      </c>
      <c r="L7422" s="1" t="s">
        <v>3584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5" t="n">
        <v>46247</v>
      </c>
      <c r="C7423" s="1" t="n">
        <v>11</v>
      </c>
      <c r="D7423" s="1" t="s">
        <v>2290</v>
      </c>
      <c r="E7423" s="1" t="n">
        <v>1657</v>
      </c>
      <c r="F7423" s="1" t="s">
        <v>255</v>
      </c>
      <c r="I7423" s="1" t="n">
        <v>297049</v>
      </c>
      <c r="J7423" s="1" t="n">
        <v>48072</v>
      </c>
      <c r="K7423" s="1" t="n">
        <v>7896090100101</v>
      </c>
      <c r="L7423" s="1" t="s">
        <v>4695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5" t="n">
        <v>46247</v>
      </c>
      <c r="C7424" s="1" t="n">
        <v>11</v>
      </c>
      <c r="D7424" s="1" t="s">
        <v>2290</v>
      </c>
      <c r="E7424" s="1" t="n">
        <v>1657</v>
      </c>
      <c r="F7424" s="1" t="s">
        <v>255</v>
      </c>
      <c r="I7424" s="1" t="n">
        <v>297049</v>
      </c>
      <c r="J7424" s="1" t="n">
        <v>64788</v>
      </c>
      <c r="K7424" s="1" t="n">
        <v>7898029650022</v>
      </c>
      <c r="L7424" s="1" t="s">
        <v>4412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5" t="n">
        <v>46247</v>
      </c>
      <c r="C7425" s="1" t="n">
        <v>11</v>
      </c>
      <c r="D7425" s="1" t="s">
        <v>2290</v>
      </c>
      <c r="E7425" s="1" t="n">
        <v>1657</v>
      </c>
      <c r="F7425" s="1" t="s">
        <v>255</v>
      </c>
      <c r="I7425" s="1" t="n">
        <v>297049</v>
      </c>
      <c r="J7425" s="1" t="n">
        <v>77034</v>
      </c>
      <c r="K7425" s="1" t="n">
        <v>27896104993891</v>
      </c>
      <c r="L7425" s="1" t="s">
        <v>4696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5" t="n">
        <v>46247</v>
      </c>
      <c r="C7426" s="1" t="n">
        <v>11</v>
      </c>
      <c r="D7426" s="1" t="s">
        <v>2290</v>
      </c>
      <c r="E7426" s="1" t="n">
        <v>1616</v>
      </c>
      <c r="F7426" s="1" t="s">
        <v>697</v>
      </c>
      <c r="I7426" s="1" t="n">
        <v>654077</v>
      </c>
      <c r="J7426" s="1" t="n">
        <v>17883</v>
      </c>
      <c r="K7426" s="1" t="n">
        <v>7898142853720</v>
      </c>
      <c r="L7426" s="1" t="s">
        <v>4697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5" t="n">
        <v>46247</v>
      </c>
      <c r="C7427" s="1" t="n">
        <v>11</v>
      </c>
      <c r="D7427" s="1" t="s">
        <v>2290</v>
      </c>
      <c r="E7427" s="1" t="n">
        <v>1616</v>
      </c>
      <c r="F7427" s="1" t="s">
        <v>697</v>
      </c>
      <c r="I7427" s="1" t="n">
        <v>654077</v>
      </c>
      <c r="J7427" s="1" t="n">
        <v>26648</v>
      </c>
      <c r="K7427" s="1" t="n">
        <v>7896058257670</v>
      </c>
      <c r="L7427" s="1" t="s">
        <v>4698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5" t="n">
        <v>46247</v>
      </c>
      <c r="C7428" s="1" t="n">
        <v>11</v>
      </c>
      <c r="D7428" s="1" t="s">
        <v>2290</v>
      </c>
      <c r="E7428" s="1" t="n">
        <v>1616</v>
      </c>
      <c r="F7428" s="1" t="s">
        <v>697</v>
      </c>
      <c r="I7428" s="1" t="n">
        <v>654077</v>
      </c>
      <c r="J7428" s="1" t="n">
        <v>26649</v>
      </c>
      <c r="K7428" s="1" t="n">
        <v>7896058257656</v>
      </c>
      <c r="L7428" s="1" t="s">
        <v>4699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5" t="n">
        <v>46247</v>
      </c>
      <c r="C7429" s="1" t="n">
        <v>11</v>
      </c>
      <c r="D7429" s="1" t="s">
        <v>2290</v>
      </c>
      <c r="E7429" s="1" t="n">
        <v>1616</v>
      </c>
      <c r="F7429" s="1" t="s">
        <v>697</v>
      </c>
      <c r="I7429" s="1" t="n">
        <v>654077</v>
      </c>
      <c r="J7429" s="1" t="n">
        <v>27322</v>
      </c>
      <c r="K7429" s="1" t="n">
        <v>7896058257663</v>
      </c>
      <c r="L7429" s="1" t="s">
        <v>4700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5" t="n">
        <v>46247</v>
      </c>
      <c r="C7430" s="1" t="n">
        <v>11</v>
      </c>
      <c r="D7430" s="1" t="s">
        <v>2290</v>
      </c>
      <c r="E7430" s="1" t="n">
        <v>1616</v>
      </c>
      <c r="F7430" s="1" t="s">
        <v>697</v>
      </c>
      <c r="I7430" s="1" t="n">
        <v>654077</v>
      </c>
      <c r="J7430" s="1" t="n">
        <v>29289</v>
      </c>
      <c r="K7430" s="1" t="n">
        <v>7896058256406</v>
      </c>
      <c r="L7430" s="1" t="s">
        <v>4701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5" t="n">
        <v>46247</v>
      </c>
      <c r="C7431" s="1" t="n">
        <v>11</v>
      </c>
      <c r="D7431" s="1" t="s">
        <v>2290</v>
      </c>
      <c r="E7431" s="1" t="n">
        <v>1616</v>
      </c>
      <c r="F7431" s="1" t="s">
        <v>697</v>
      </c>
      <c r="I7431" s="1" t="n">
        <v>654077</v>
      </c>
      <c r="J7431" s="1" t="n">
        <v>31641</v>
      </c>
      <c r="K7431" s="1" t="n">
        <v>7898142853638</v>
      </c>
      <c r="L7431" s="1" t="s">
        <v>4702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5" t="n">
        <v>46247</v>
      </c>
      <c r="C7432" s="1" t="n">
        <v>11</v>
      </c>
      <c r="D7432" s="1" t="s">
        <v>2290</v>
      </c>
      <c r="E7432" s="1" t="n">
        <v>1616</v>
      </c>
      <c r="F7432" s="1" t="s">
        <v>697</v>
      </c>
      <c r="I7432" s="1" t="n">
        <v>654077</v>
      </c>
      <c r="J7432" s="1" t="n">
        <v>45713</v>
      </c>
      <c r="K7432" s="1" t="n">
        <v>7896058200485</v>
      </c>
      <c r="L7432" s="1" t="s">
        <v>4703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5" t="n">
        <v>46247</v>
      </c>
      <c r="C7433" s="1" t="n">
        <v>11</v>
      </c>
      <c r="D7433" s="1" t="s">
        <v>2290</v>
      </c>
      <c r="E7433" s="1" t="n">
        <v>1616</v>
      </c>
      <c r="F7433" s="1" t="s">
        <v>697</v>
      </c>
      <c r="I7433" s="1" t="n">
        <v>654077</v>
      </c>
      <c r="J7433" s="1" t="n">
        <v>45714</v>
      </c>
      <c r="K7433" s="1" t="n">
        <v>7896058200492</v>
      </c>
      <c r="L7433" s="1" t="s">
        <v>4704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5" t="n">
        <v>46247</v>
      </c>
      <c r="C7434" s="1" t="n">
        <v>11</v>
      </c>
      <c r="D7434" s="1" t="s">
        <v>2290</v>
      </c>
      <c r="E7434" s="1" t="n">
        <v>1616</v>
      </c>
      <c r="F7434" s="1" t="s">
        <v>697</v>
      </c>
      <c r="I7434" s="1" t="n">
        <v>654077</v>
      </c>
      <c r="J7434" s="1" t="n">
        <v>47296</v>
      </c>
      <c r="K7434" s="1" t="n">
        <v>7891118025664</v>
      </c>
      <c r="L7434" s="1" t="s">
        <v>4705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5" t="n">
        <v>46247</v>
      </c>
      <c r="C7435" s="1" t="n">
        <v>11</v>
      </c>
      <c r="D7435" s="1" t="s">
        <v>2290</v>
      </c>
      <c r="E7435" s="1" t="n">
        <v>1616</v>
      </c>
      <c r="F7435" s="1" t="s">
        <v>697</v>
      </c>
      <c r="I7435" s="1" t="n">
        <v>654077</v>
      </c>
      <c r="J7435" s="1" t="n">
        <v>48988</v>
      </c>
      <c r="K7435" s="1" t="n">
        <v>7898142863132</v>
      </c>
      <c r="L7435" s="1" t="s">
        <v>4706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5" t="n">
        <v>46247</v>
      </c>
      <c r="C7436" s="1" t="n">
        <v>11</v>
      </c>
      <c r="D7436" s="1" t="s">
        <v>2290</v>
      </c>
      <c r="E7436" s="1" t="n">
        <v>1616</v>
      </c>
      <c r="F7436" s="1" t="s">
        <v>697</v>
      </c>
      <c r="I7436" s="1" t="n">
        <v>654077</v>
      </c>
      <c r="J7436" s="1" t="n">
        <v>50281</v>
      </c>
      <c r="K7436" s="1" t="n">
        <v>7891022860863</v>
      </c>
      <c r="L7436" s="1" t="s">
        <v>4707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5" t="n">
        <v>46247</v>
      </c>
      <c r="C7437" s="1" t="n">
        <v>11</v>
      </c>
      <c r="D7437" s="1" t="s">
        <v>2290</v>
      </c>
      <c r="E7437" s="1" t="n">
        <v>1616</v>
      </c>
      <c r="F7437" s="1" t="s">
        <v>697</v>
      </c>
      <c r="I7437" s="1" t="n">
        <v>654077</v>
      </c>
      <c r="J7437" s="1" t="n">
        <v>52407</v>
      </c>
      <c r="K7437" s="1" t="n">
        <v>7891022860870</v>
      </c>
      <c r="L7437" s="1" t="s">
        <v>3178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5" t="n">
        <v>46247</v>
      </c>
      <c r="C7438" s="1" t="n">
        <v>11</v>
      </c>
      <c r="D7438" s="1" t="s">
        <v>2290</v>
      </c>
      <c r="E7438" s="1" t="n">
        <v>1616</v>
      </c>
      <c r="F7438" s="1" t="s">
        <v>697</v>
      </c>
      <c r="I7438" s="1" t="n">
        <v>654077</v>
      </c>
      <c r="J7438" s="1" t="n">
        <v>52408</v>
      </c>
      <c r="K7438" s="1" t="n">
        <v>7891022860887</v>
      </c>
      <c r="L7438" s="1" t="s">
        <v>3179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5" t="n">
        <v>46247</v>
      </c>
      <c r="C7439" s="1" t="n">
        <v>11</v>
      </c>
      <c r="D7439" s="1" t="s">
        <v>2290</v>
      </c>
      <c r="E7439" s="1" t="n">
        <v>1616</v>
      </c>
      <c r="F7439" s="1" t="s">
        <v>697</v>
      </c>
      <c r="I7439" s="1" t="n">
        <v>654077</v>
      </c>
      <c r="J7439" s="1" t="n">
        <v>78487</v>
      </c>
      <c r="K7439" s="1" t="n">
        <v>7891022867794</v>
      </c>
      <c r="L7439" s="1" t="s">
        <v>3183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5" t="n">
        <v>46247</v>
      </c>
      <c r="C7440" s="1" t="n">
        <v>11</v>
      </c>
      <c r="D7440" s="1" t="s">
        <v>2290</v>
      </c>
      <c r="E7440" s="1" t="n">
        <v>1642</v>
      </c>
      <c r="F7440" s="1" t="s">
        <v>274</v>
      </c>
      <c r="I7440" s="1" t="n">
        <v>1036555</v>
      </c>
      <c r="J7440" s="1" t="n">
        <v>105780</v>
      </c>
      <c r="K7440" s="1" t="n">
        <v>7896289210017</v>
      </c>
      <c r="L7440" s="1" t="s">
        <v>2467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5" t="n">
        <v>46247</v>
      </c>
      <c r="C7441" s="1" t="n">
        <v>11</v>
      </c>
      <c r="D7441" s="1" t="s">
        <v>2290</v>
      </c>
      <c r="E7441" s="1" t="n">
        <v>1642</v>
      </c>
      <c r="F7441" s="1" t="s">
        <v>274</v>
      </c>
      <c r="I7441" s="1" t="n">
        <v>1036555</v>
      </c>
      <c r="J7441" s="1" t="n">
        <v>105782</v>
      </c>
      <c r="K7441" s="1" t="n">
        <v>7896289210352</v>
      </c>
      <c r="L7441" s="1" t="s">
        <v>2468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5" t="n">
        <v>46247</v>
      </c>
      <c r="C7442" s="1" t="n">
        <v>11</v>
      </c>
      <c r="D7442" s="1" t="s">
        <v>2290</v>
      </c>
      <c r="E7442" s="1" t="n">
        <v>1642</v>
      </c>
      <c r="F7442" s="1" t="s">
        <v>274</v>
      </c>
      <c r="I7442" s="1" t="n">
        <v>1036555</v>
      </c>
      <c r="J7442" s="1" t="n">
        <v>106079</v>
      </c>
      <c r="K7442" s="1" t="n">
        <v>7896289210130</v>
      </c>
      <c r="L7442" s="1" t="s">
        <v>2469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5" t="n">
        <v>46247</v>
      </c>
      <c r="C7443" s="1" t="n">
        <v>11</v>
      </c>
      <c r="D7443" s="1" t="s">
        <v>2290</v>
      </c>
      <c r="E7443" s="1" t="n">
        <v>1642</v>
      </c>
      <c r="F7443" s="1" t="s">
        <v>274</v>
      </c>
      <c r="I7443" s="1" t="n">
        <v>1036555</v>
      </c>
      <c r="J7443" s="1" t="n">
        <v>106274</v>
      </c>
      <c r="K7443" s="1" t="n">
        <v>7896289210086</v>
      </c>
      <c r="L7443" s="1" t="s">
        <v>2470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5" t="n">
        <v>46247</v>
      </c>
      <c r="C7444" s="1" t="n">
        <v>11</v>
      </c>
      <c r="D7444" s="1" t="s">
        <v>2290</v>
      </c>
      <c r="E7444" s="1" t="n">
        <v>1642</v>
      </c>
      <c r="F7444" s="1" t="s">
        <v>274</v>
      </c>
      <c r="I7444" s="1" t="n">
        <v>1036555</v>
      </c>
      <c r="J7444" s="1" t="n">
        <v>106280</v>
      </c>
      <c r="K7444" s="1" t="n">
        <v>7896289210062</v>
      </c>
      <c r="L7444" s="1" t="s">
        <v>2471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5" t="n">
        <v>46247</v>
      </c>
      <c r="C7445" s="1" t="n">
        <v>11</v>
      </c>
      <c r="D7445" s="1" t="s">
        <v>2290</v>
      </c>
      <c r="E7445" s="1" t="n">
        <v>1642</v>
      </c>
      <c r="F7445" s="1" t="s">
        <v>274</v>
      </c>
      <c r="I7445" s="1" t="n">
        <v>1036555</v>
      </c>
      <c r="J7445" s="1" t="n">
        <v>106407</v>
      </c>
      <c r="K7445" s="1" t="n">
        <v>7896289210031</v>
      </c>
      <c r="L7445" s="1" t="s">
        <v>2472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5" t="n">
        <v>46247</v>
      </c>
      <c r="C7446" s="1" t="n">
        <v>11</v>
      </c>
      <c r="D7446" s="1" t="s">
        <v>2290</v>
      </c>
      <c r="E7446" s="1" t="n">
        <v>1740</v>
      </c>
      <c r="F7446" s="1" t="s">
        <v>170</v>
      </c>
      <c r="I7446" s="1" t="n">
        <v>1258988</v>
      </c>
      <c r="J7446" s="1" t="n">
        <v>106130</v>
      </c>
      <c r="K7446" s="1" t="n">
        <v>7891000340004</v>
      </c>
      <c r="L7446" s="1" t="s">
        <v>2484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5" t="n">
        <v>46247</v>
      </c>
      <c r="C7447" s="1" t="n">
        <v>11</v>
      </c>
      <c r="D7447" s="1" t="s">
        <v>2290</v>
      </c>
      <c r="E7447" s="1" t="n">
        <v>1740</v>
      </c>
      <c r="F7447" s="1" t="s">
        <v>170</v>
      </c>
      <c r="I7447" s="1" t="n">
        <v>1258988</v>
      </c>
      <c r="J7447" s="1" t="n">
        <v>14218</v>
      </c>
      <c r="K7447" s="1" t="n">
        <v>7891000072974</v>
      </c>
      <c r="L7447" s="1" t="s">
        <v>4708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5" t="n">
        <v>46247</v>
      </c>
      <c r="C7448" s="1" t="n">
        <v>11</v>
      </c>
      <c r="D7448" s="1" t="s">
        <v>2290</v>
      </c>
      <c r="E7448" s="1" t="n">
        <v>1740</v>
      </c>
      <c r="F7448" s="1" t="s">
        <v>170</v>
      </c>
      <c r="I7448" s="1" t="n">
        <v>1258988</v>
      </c>
      <c r="J7448" s="1" t="n">
        <v>14284</v>
      </c>
      <c r="K7448" s="1" t="n">
        <v>7891000073018</v>
      </c>
      <c r="L7448" s="1" t="s">
        <v>4709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5" t="n">
        <v>46247</v>
      </c>
      <c r="C7449" s="1" t="n">
        <v>11</v>
      </c>
      <c r="D7449" s="1" t="s">
        <v>2290</v>
      </c>
      <c r="E7449" s="1" t="n">
        <v>1740</v>
      </c>
      <c r="F7449" s="1" t="s">
        <v>170</v>
      </c>
      <c r="I7449" s="1" t="n">
        <v>1258988</v>
      </c>
      <c r="J7449" s="1" t="n">
        <v>16602</v>
      </c>
      <c r="K7449" s="1" t="n">
        <v>7891000084649</v>
      </c>
      <c r="L7449" s="1" t="s">
        <v>3088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5" t="n">
        <v>46247</v>
      </c>
      <c r="C7450" s="1" t="n">
        <v>11</v>
      </c>
      <c r="D7450" s="1" t="s">
        <v>2290</v>
      </c>
      <c r="E7450" s="1" t="n">
        <v>1740</v>
      </c>
      <c r="F7450" s="1" t="s">
        <v>170</v>
      </c>
      <c r="I7450" s="1" t="n">
        <v>1258988</v>
      </c>
      <c r="J7450" s="1" t="n">
        <v>16644</v>
      </c>
      <c r="K7450" s="1" t="n">
        <v>7891000084663</v>
      </c>
      <c r="L7450" s="1" t="s">
        <v>2518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5" t="n">
        <v>46247</v>
      </c>
      <c r="C7451" s="1" t="n">
        <v>11</v>
      </c>
      <c r="D7451" s="1" t="s">
        <v>2290</v>
      </c>
      <c r="E7451" s="1" t="n">
        <v>1740</v>
      </c>
      <c r="F7451" s="1" t="s">
        <v>170</v>
      </c>
      <c r="I7451" s="1" t="n">
        <v>1258988</v>
      </c>
      <c r="J7451" s="1" t="n">
        <v>20583</v>
      </c>
      <c r="K7451" s="1" t="n">
        <v>7891000103852</v>
      </c>
      <c r="L7451" s="1" t="s">
        <v>3193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5" t="n">
        <v>46247</v>
      </c>
      <c r="C7452" s="1" t="n">
        <v>11</v>
      </c>
      <c r="D7452" s="1" t="s">
        <v>2290</v>
      </c>
      <c r="E7452" s="1" t="n">
        <v>1740</v>
      </c>
      <c r="F7452" s="1" t="s">
        <v>170</v>
      </c>
      <c r="I7452" s="1" t="n">
        <v>1258988</v>
      </c>
      <c r="J7452" s="1" t="n">
        <v>20584</v>
      </c>
      <c r="K7452" s="1" t="n">
        <v>7891000103876</v>
      </c>
      <c r="L7452" s="1" t="s">
        <v>3089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5" t="n">
        <v>46247</v>
      </c>
      <c r="C7453" s="1" t="n">
        <v>11</v>
      </c>
      <c r="D7453" s="1" t="s">
        <v>2290</v>
      </c>
      <c r="E7453" s="1" t="n">
        <v>1740</v>
      </c>
      <c r="F7453" s="1" t="s">
        <v>170</v>
      </c>
      <c r="I7453" s="1" t="n">
        <v>1258988</v>
      </c>
      <c r="J7453" s="1" t="n">
        <v>25112</v>
      </c>
      <c r="K7453" s="1" t="n">
        <v>7891000244425</v>
      </c>
      <c r="L7453" s="1" t="s">
        <v>2487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5" t="n">
        <v>46247</v>
      </c>
      <c r="C7454" s="1" t="n">
        <v>11</v>
      </c>
      <c r="D7454" s="1" t="s">
        <v>2290</v>
      </c>
      <c r="E7454" s="1" t="n">
        <v>1740</v>
      </c>
      <c r="F7454" s="1" t="s">
        <v>170</v>
      </c>
      <c r="I7454" s="1" t="n">
        <v>1258988</v>
      </c>
      <c r="J7454" s="1" t="n">
        <v>25113</v>
      </c>
      <c r="K7454" s="1" t="n">
        <v>7891000244265</v>
      </c>
      <c r="L7454" s="1" t="s">
        <v>3090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5" t="n">
        <v>46247</v>
      </c>
      <c r="C7455" s="1" t="n">
        <v>11</v>
      </c>
      <c r="D7455" s="1" t="s">
        <v>2290</v>
      </c>
      <c r="E7455" s="1" t="n">
        <v>1740</v>
      </c>
      <c r="F7455" s="1" t="s">
        <v>170</v>
      </c>
      <c r="I7455" s="1" t="n">
        <v>1258988</v>
      </c>
      <c r="J7455" s="1" t="n">
        <v>27874</v>
      </c>
      <c r="K7455" s="1" t="n">
        <v>7891000260609</v>
      </c>
      <c r="L7455" s="1" t="s">
        <v>4710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5" t="n">
        <v>46247</v>
      </c>
      <c r="C7456" s="1" t="n">
        <v>11</v>
      </c>
      <c r="D7456" s="1" t="s">
        <v>2290</v>
      </c>
      <c r="E7456" s="1" t="n">
        <v>1740</v>
      </c>
      <c r="F7456" s="1" t="s">
        <v>170</v>
      </c>
      <c r="I7456" s="1" t="n">
        <v>1258988</v>
      </c>
      <c r="J7456" s="1" t="n">
        <v>27878</v>
      </c>
      <c r="K7456" s="1" t="n">
        <v>7891000261026</v>
      </c>
      <c r="L7456" s="1" t="s">
        <v>2489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5" t="n">
        <v>46247</v>
      </c>
      <c r="C7457" s="1" t="n">
        <v>11</v>
      </c>
      <c r="D7457" s="1" t="s">
        <v>2290</v>
      </c>
      <c r="E7457" s="1" t="n">
        <v>1740</v>
      </c>
      <c r="F7457" s="1" t="s">
        <v>170</v>
      </c>
      <c r="I7457" s="1" t="n">
        <v>1258988</v>
      </c>
      <c r="J7457" s="1" t="n">
        <v>47788</v>
      </c>
      <c r="K7457" s="1" t="n">
        <v>7891000363256</v>
      </c>
      <c r="L7457" s="1" t="s">
        <v>3839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5" t="n">
        <v>46247</v>
      </c>
      <c r="C7458" s="1" t="n">
        <v>11</v>
      </c>
      <c r="D7458" s="1" t="s">
        <v>2290</v>
      </c>
      <c r="E7458" s="1" t="n">
        <v>1740</v>
      </c>
      <c r="F7458" s="1" t="s">
        <v>170</v>
      </c>
      <c r="I7458" s="1" t="n">
        <v>1258988</v>
      </c>
      <c r="J7458" s="1" t="n">
        <v>47983</v>
      </c>
      <c r="K7458" s="1" t="n">
        <v>7891000360323</v>
      </c>
      <c r="L7458" s="1" t="s">
        <v>4711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5" t="n">
        <v>46247</v>
      </c>
      <c r="C7459" s="1" t="n">
        <v>11</v>
      </c>
      <c r="D7459" s="1" t="s">
        <v>2290</v>
      </c>
      <c r="E7459" s="1" t="n">
        <v>1740</v>
      </c>
      <c r="F7459" s="1" t="s">
        <v>170</v>
      </c>
      <c r="I7459" s="1" t="n">
        <v>1258988</v>
      </c>
      <c r="J7459" s="1" t="n">
        <v>50424</v>
      </c>
      <c r="K7459" s="1" t="n">
        <v>7898953148169</v>
      </c>
      <c r="L7459" s="1" t="s">
        <v>2492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5" t="n">
        <v>46247</v>
      </c>
      <c r="C7460" s="1" t="n">
        <v>11</v>
      </c>
      <c r="D7460" s="1" t="s">
        <v>2290</v>
      </c>
      <c r="E7460" s="1" t="n">
        <v>1740</v>
      </c>
      <c r="F7460" s="1" t="s">
        <v>170</v>
      </c>
      <c r="I7460" s="1" t="n">
        <v>1258988</v>
      </c>
      <c r="J7460" s="1" t="n">
        <v>62472</v>
      </c>
      <c r="K7460" s="1" t="n">
        <v>7891000390078</v>
      </c>
      <c r="L7460" s="1" t="s">
        <v>4712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5" t="n">
        <v>46247</v>
      </c>
      <c r="C7461" s="1" t="n">
        <v>11</v>
      </c>
      <c r="D7461" s="1" t="s">
        <v>2290</v>
      </c>
      <c r="E7461" s="1" t="n">
        <v>1740</v>
      </c>
      <c r="F7461" s="1" t="s">
        <v>170</v>
      </c>
      <c r="I7461" s="1" t="n">
        <v>1258988</v>
      </c>
      <c r="J7461" s="1" t="n">
        <v>64165</v>
      </c>
      <c r="K7461" s="1" t="n">
        <v>7891000396452</v>
      </c>
      <c r="L7461" s="1" t="s">
        <v>4713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5" t="n">
        <v>46247</v>
      </c>
      <c r="C7462" s="1" t="n">
        <v>11</v>
      </c>
      <c r="D7462" s="1" t="s">
        <v>2290</v>
      </c>
      <c r="E7462" s="1" t="n">
        <v>1740</v>
      </c>
      <c r="F7462" s="1" t="s">
        <v>170</v>
      </c>
      <c r="I7462" s="1" t="n">
        <v>1258988</v>
      </c>
      <c r="J7462" s="1" t="n">
        <v>64795</v>
      </c>
      <c r="K7462" s="1" t="n">
        <v>7891097105739</v>
      </c>
      <c r="L7462" s="1" t="s">
        <v>4071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5" t="n">
        <v>46247</v>
      </c>
      <c r="C7463" s="1" t="n">
        <v>11</v>
      </c>
      <c r="D7463" s="1" t="s">
        <v>2290</v>
      </c>
      <c r="E7463" s="1" t="n">
        <v>1740</v>
      </c>
      <c r="F7463" s="1" t="s">
        <v>170</v>
      </c>
      <c r="I7463" s="1" t="n">
        <v>1258988</v>
      </c>
      <c r="J7463" s="1" t="n">
        <v>69214</v>
      </c>
      <c r="K7463" s="1" t="n">
        <v>7898755200041</v>
      </c>
      <c r="L7463" s="1" t="s">
        <v>3095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5" t="n">
        <v>46247</v>
      </c>
      <c r="C7464" s="1" t="n">
        <v>11</v>
      </c>
      <c r="D7464" s="1" t="s">
        <v>2290</v>
      </c>
      <c r="E7464" s="1" t="n">
        <v>1740</v>
      </c>
      <c r="F7464" s="1" t="s">
        <v>170</v>
      </c>
      <c r="I7464" s="1" t="n">
        <v>1258988</v>
      </c>
      <c r="J7464" s="1" t="n">
        <v>75890</v>
      </c>
      <c r="K7464" s="1" t="n">
        <v>7898953148879</v>
      </c>
      <c r="L7464" s="1" t="s">
        <v>2492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5" t="n">
        <v>46247</v>
      </c>
      <c r="C7465" s="1" t="n">
        <v>11</v>
      </c>
      <c r="D7465" s="1" t="s">
        <v>2290</v>
      </c>
      <c r="E7465" s="1" t="n">
        <v>1740</v>
      </c>
      <c r="F7465" s="1" t="s">
        <v>170</v>
      </c>
      <c r="I7465" s="1" t="n">
        <v>1258988</v>
      </c>
      <c r="J7465" s="1" t="n">
        <v>81553</v>
      </c>
      <c r="K7465" s="1" t="n">
        <v>7891000027974</v>
      </c>
      <c r="L7465" s="1" t="s">
        <v>4714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5" t="n">
        <v>46247</v>
      </c>
      <c r="C7466" s="1" t="n">
        <v>11</v>
      </c>
      <c r="D7466" s="1" t="s">
        <v>2290</v>
      </c>
      <c r="E7466" s="1" t="n">
        <v>1672</v>
      </c>
      <c r="F7466" s="1" t="s">
        <v>67</v>
      </c>
      <c r="I7466" s="1" t="n">
        <v>1417319</v>
      </c>
      <c r="J7466" s="1" t="n">
        <v>101308</v>
      </c>
      <c r="K7466" s="1" t="n">
        <v>7896579330098</v>
      </c>
      <c r="L7466" s="1" t="s">
        <v>2434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5" t="n">
        <v>46247</v>
      </c>
      <c r="C7467" s="1" t="n">
        <v>11</v>
      </c>
      <c r="D7467" s="1" t="s">
        <v>2290</v>
      </c>
      <c r="E7467" s="1" t="n">
        <v>1672</v>
      </c>
      <c r="F7467" s="1" t="s">
        <v>67</v>
      </c>
      <c r="I7467" s="1" t="n">
        <v>1417319</v>
      </c>
      <c r="J7467" s="1" t="n">
        <v>37507</v>
      </c>
      <c r="K7467" s="1" t="n">
        <v>7896579310854</v>
      </c>
      <c r="L7467" s="1" t="s">
        <v>2435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5" t="n">
        <v>46247</v>
      </c>
      <c r="C7468" s="1" t="n">
        <v>11</v>
      </c>
      <c r="D7468" s="1" t="s">
        <v>2290</v>
      </c>
      <c r="E7468" s="1" t="n">
        <v>1636</v>
      </c>
      <c r="F7468" s="1" t="s">
        <v>49</v>
      </c>
      <c r="I7468" s="1" t="n">
        <v>3234932</v>
      </c>
      <c r="J7468" s="1" t="n">
        <v>100838</v>
      </c>
      <c r="K7468" s="1" t="n">
        <v>7897664130012</v>
      </c>
      <c r="L7468" s="1" t="s">
        <v>4715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5" t="n">
        <v>46247</v>
      </c>
      <c r="C7469" s="1" t="n">
        <v>11</v>
      </c>
      <c r="D7469" s="1" t="s">
        <v>2290</v>
      </c>
      <c r="E7469" s="1" t="n">
        <v>1636</v>
      </c>
      <c r="F7469" s="1" t="s">
        <v>49</v>
      </c>
      <c r="I7469" s="1" t="n">
        <v>3234932</v>
      </c>
      <c r="J7469" s="1" t="n">
        <v>100841</v>
      </c>
      <c r="K7469" s="1" t="n">
        <v>7897664130319</v>
      </c>
      <c r="L7469" s="1" t="s">
        <v>4716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5" t="n">
        <v>46247</v>
      </c>
      <c r="C7470" s="1" t="n">
        <v>11</v>
      </c>
      <c r="D7470" s="1" t="s">
        <v>2290</v>
      </c>
      <c r="E7470" s="1" t="n">
        <v>1636</v>
      </c>
      <c r="F7470" s="1" t="s">
        <v>49</v>
      </c>
      <c r="I7470" s="1" t="n">
        <v>3234932</v>
      </c>
      <c r="J7470" s="1" t="n">
        <v>103451</v>
      </c>
      <c r="K7470" s="1" t="n">
        <v>7897664130036</v>
      </c>
      <c r="L7470" s="1" t="s">
        <v>4717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5" t="n">
        <v>46247</v>
      </c>
      <c r="C7471" s="1" t="n">
        <v>11</v>
      </c>
      <c r="D7471" s="1" t="s">
        <v>2290</v>
      </c>
      <c r="E7471" s="1" t="n">
        <v>1636</v>
      </c>
      <c r="F7471" s="1" t="s">
        <v>49</v>
      </c>
      <c r="I7471" s="1" t="n">
        <v>3234932</v>
      </c>
      <c r="J7471" s="1" t="n">
        <v>103468</v>
      </c>
      <c r="K7471" s="1" t="n">
        <v>7897664130029</v>
      </c>
      <c r="L7471" s="1" t="s">
        <v>4718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5" t="n">
        <v>46247</v>
      </c>
      <c r="C7472" s="1" t="n">
        <v>11</v>
      </c>
      <c r="D7472" s="1" t="s">
        <v>2290</v>
      </c>
      <c r="E7472" s="1" t="n">
        <v>1636</v>
      </c>
      <c r="F7472" s="1" t="s">
        <v>49</v>
      </c>
      <c r="I7472" s="1" t="n">
        <v>3234933</v>
      </c>
      <c r="J7472" s="1" t="n">
        <v>20236</v>
      </c>
      <c r="K7472" s="1" t="n">
        <v>7896036096437</v>
      </c>
      <c r="L7472" s="1" t="s">
        <v>3413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5" t="n">
        <v>46247</v>
      </c>
      <c r="C7473" s="1" t="n">
        <v>11</v>
      </c>
      <c r="D7473" s="1" t="s">
        <v>2290</v>
      </c>
      <c r="E7473" s="1" t="n">
        <v>1636</v>
      </c>
      <c r="F7473" s="1" t="s">
        <v>49</v>
      </c>
      <c r="I7473" s="1" t="n">
        <v>3234933</v>
      </c>
      <c r="J7473" s="1" t="n">
        <v>102446</v>
      </c>
      <c r="K7473" s="1" t="n">
        <v>7891167011748</v>
      </c>
      <c r="L7473" s="1" t="s">
        <v>4719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5" t="n">
        <v>46247</v>
      </c>
      <c r="C7474" s="1" t="n">
        <v>11</v>
      </c>
      <c r="D7474" s="1" t="s">
        <v>2290</v>
      </c>
      <c r="E7474" s="1" t="n">
        <v>1636</v>
      </c>
      <c r="F7474" s="1" t="s">
        <v>49</v>
      </c>
      <c r="I7474" s="1" t="n">
        <v>3234933</v>
      </c>
      <c r="J7474" s="1" t="n">
        <v>104145</v>
      </c>
      <c r="K7474" s="1" t="n">
        <v>7896031224583</v>
      </c>
      <c r="L7474" s="1" t="s">
        <v>4720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5" t="n">
        <v>46247</v>
      </c>
      <c r="C7475" s="1" t="n">
        <v>11</v>
      </c>
      <c r="D7475" s="1" t="s">
        <v>2290</v>
      </c>
      <c r="E7475" s="1" t="n">
        <v>1636</v>
      </c>
      <c r="F7475" s="1" t="s">
        <v>49</v>
      </c>
      <c r="I7475" s="1" t="n">
        <v>3234933</v>
      </c>
      <c r="J7475" s="1" t="n">
        <v>13723</v>
      </c>
      <c r="K7475" s="1" t="n">
        <v>7891167011953</v>
      </c>
      <c r="L7475" s="1" t="s">
        <v>4721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5" t="n">
        <v>46247</v>
      </c>
      <c r="C7476" s="1" t="n">
        <v>11</v>
      </c>
      <c r="D7476" s="1" t="s">
        <v>2290</v>
      </c>
      <c r="E7476" s="1" t="n">
        <v>1636</v>
      </c>
      <c r="F7476" s="1" t="s">
        <v>49</v>
      </c>
      <c r="I7476" s="1" t="n">
        <v>3234933</v>
      </c>
      <c r="J7476" s="1" t="n">
        <v>15633</v>
      </c>
      <c r="K7476" s="1" t="n">
        <v>7896036090619</v>
      </c>
      <c r="L7476" s="1" t="s">
        <v>3419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5" t="n">
        <v>46247</v>
      </c>
      <c r="C7477" s="1" t="n">
        <v>11</v>
      </c>
      <c r="D7477" s="1" t="s">
        <v>2290</v>
      </c>
      <c r="E7477" s="1" t="n">
        <v>1636</v>
      </c>
      <c r="F7477" s="1" t="s">
        <v>49</v>
      </c>
      <c r="I7477" s="1" t="n">
        <v>3234933</v>
      </c>
      <c r="J7477" s="1" t="n">
        <v>18509</v>
      </c>
      <c r="K7477" s="1" t="n">
        <v>7896036094815</v>
      </c>
      <c r="L7477" s="1" t="s">
        <v>4187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5" t="n">
        <v>46247</v>
      </c>
      <c r="C7478" s="1" t="n">
        <v>11</v>
      </c>
      <c r="D7478" s="1" t="s">
        <v>2290</v>
      </c>
      <c r="E7478" s="1" t="n">
        <v>1636</v>
      </c>
      <c r="F7478" s="1" t="s">
        <v>49</v>
      </c>
      <c r="I7478" s="1" t="n">
        <v>3234933</v>
      </c>
      <c r="J7478" s="1" t="n">
        <v>18806</v>
      </c>
      <c r="K7478" s="1" t="n">
        <v>7891167011779</v>
      </c>
      <c r="L7478" s="1" t="s">
        <v>4722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5" t="n">
        <v>46247</v>
      </c>
      <c r="C7479" s="1" t="n">
        <v>11</v>
      </c>
      <c r="D7479" s="1" t="s">
        <v>2290</v>
      </c>
      <c r="E7479" s="1" t="n">
        <v>1636</v>
      </c>
      <c r="F7479" s="1" t="s">
        <v>49</v>
      </c>
      <c r="I7479" s="1" t="n">
        <v>3234933</v>
      </c>
      <c r="J7479" s="1" t="n">
        <v>29032</v>
      </c>
      <c r="K7479" s="1" t="n">
        <v>7896423419276</v>
      </c>
      <c r="L7479" s="1" t="s">
        <v>3427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5" t="n">
        <v>46247</v>
      </c>
      <c r="C7480" s="1" t="n">
        <v>11</v>
      </c>
      <c r="D7480" s="1" t="s">
        <v>2290</v>
      </c>
      <c r="E7480" s="1" t="n">
        <v>1636</v>
      </c>
      <c r="F7480" s="1" t="s">
        <v>49</v>
      </c>
      <c r="I7480" s="1" t="n">
        <v>3234933</v>
      </c>
      <c r="J7480" s="1" t="n">
        <v>30015</v>
      </c>
      <c r="K7480" s="1" t="n">
        <v>7896423420180</v>
      </c>
      <c r="L7480" s="1" t="s">
        <v>3428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5" t="n">
        <v>46247</v>
      </c>
      <c r="C7481" s="1" t="n">
        <v>11</v>
      </c>
      <c r="D7481" s="1" t="s">
        <v>2290</v>
      </c>
      <c r="E7481" s="1" t="n">
        <v>1636</v>
      </c>
      <c r="F7481" s="1" t="s">
        <v>49</v>
      </c>
      <c r="I7481" s="1" t="n">
        <v>3234933</v>
      </c>
      <c r="J7481" s="1" t="n">
        <v>37688</v>
      </c>
      <c r="K7481" s="1" t="n">
        <v>7896423481853</v>
      </c>
      <c r="L7481" s="1" t="s">
        <v>3430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5" t="n">
        <v>46247</v>
      </c>
      <c r="C7482" s="1" t="n">
        <v>11</v>
      </c>
      <c r="D7482" s="1" t="s">
        <v>2290</v>
      </c>
      <c r="E7482" s="1" t="n">
        <v>1636</v>
      </c>
      <c r="F7482" s="1" t="s">
        <v>49</v>
      </c>
      <c r="I7482" s="1" t="n">
        <v>3234933</v>
      </c>
      <c r="J7482" s="1" t="n">
        <v>41237</v>
      </c>
      <c r="K7482" s="1" t="n">
        <v>7899567248559</v>
      </c>
      <c r="L7482" s="1" t="s">
        <v>3431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5" t="n">
        <v>46247</v>
      </c>
      <c r="C7483" s="1" t="n">
        <v>11</v>
      </c>
      <c r="D7483" s="1" t="s">
        <v>2290</v>
      </c>
      <c r="E7483" s="1" t="n">
        <v>1636</v>
      </c>
      <c r="F7483" s="1" t="s">
        <v>49</v>
      </c>
      <c r="I7483" s="1" t="n">
        <v>3234933</v>
      </c>
      <c r="J7483" s="1" t="n">
        <v>45365</v>
      </c>
      <c r="K7483" s="1" t="n">
        <v>7896036098981</v>
      </c>
      <c r="L7483" s="1" t="s">
        <v>3433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5" t="n">
        <v>46247</v>
      </c>
      <c r="C7484" s="1" t="n">
        <v>11</v>
      </c>
      <c r="D7484" s="1" t="s">
        <v>2290</v>
      </c>
      <c r="E7484" s="1" t="n">
        <v>1636</v>
      </c>
      <c r="F7484" s="1" t="s">
        <v>49</v>
      </c>
      <c r="I7484" s="1" t="n">
        <v>3234933</v>
      </c>
      <c r="J7484" s="1" t="n">
        <v>48493</v>
      </c>
      <c r="K7484" s="1" t="n">
        <v>7896036099544</v>
      </c>
      <c r="L7484" s="1" t="s">
        <v>3434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5" t="n">
        <v>46247</v>
      </c>
      <c r="C7485" s="1" t="n">
        <v>11</v>
      </c>
      <c r="D7485" s="1" t="s">
        <v>2290</v>
      </c>
      <c r="E7485" s="1" t="n">
        <v>1636</v>
      </c>
      <c r="F7485" s="1" t="s">
        <v>49</v>
      </c>
      <c r="I7485" s="1" t="n">
        <v>3234933</v>
      </c>
      <c r="J7485" s="1" t="n">
        <v>57653</v>
      </c>
      <c r="K7485" s="1" t="n">
        <v>7896036000809</v>
      </c>
      <c r="L7485" s="1" t="s">
        <v>4723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5" t="n">
        <v>46247</v>
      </c>
      <c r="C7486" s="1" t="n">
        <v>11</v>
      </c>
      <c r="D7486" s="1" t="s">
        <v>2290</v>
      </c>
      <c r="E7486" s="1" t="n">
        <v>1636</v>
      </c>
      <c r="F7486" s="1" t="s">
        <v>49</v>
      </c>
      <c r="I7486" s="1" t="n">
        <v>3234933</v>
      </c>
      <c r="J7486" s="1" t="n">
        <v>71380</v>
      </c>
      <c r="K7486" s="1" t="n">
        <v>7896423488883</v>
      </c>
      <c r="L7486" s="1" t="s">
        <v>3444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5" t="n">
        <v>46247</v>
      </c>
      <c r="C7487" s="1" t="n">
        <v>11</v>
      </c>
      <c r="D7487" s="1" t="s">
        <v>2290</v>
      </c>
      <c r="E7487" s="1" t="n">
        <v>1636</v>
      </c>
      <c r="F7487" s="1" t="s">
        <v>49</v>
      </c>
      <c r="I7487" s="1" t="n">
        <v>3234933</v>
      </c>
      <c r="J7487" s="1" t="n">
        <v>78138</v>
      </c>
      <c r="K7487" s="1" t="n">
        <v>7896423438703</v>
      </c>
      <c r="L7487" s="1" t="s">
        <v>4198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5" t="n">
        <v>46247</v>
      </c>
      <c r="C7488" s="1" t="n">
        <v>11</v>
      </c>
      <c r="D7488" s="1" t="s">
        <v>2290</v>
      </c>
      <c r="E7488" s="1" t="n">
        <v>1636</v>
      </c>
      <c r="F7488" s="1" t="s">
        <v>49</v>
      </c>
      <c r="I7488" s="1" t="n">
        <v>3234933</v>
      </c>
      <c r="J7488" s="1" t="n">
        <v>78481</v>
      </c>
      <c r="K7488" s="1" t="n">
        <v>7896423438727</v>
      </c>
      <c r="L7488" s="1" t="s">
        <v>3445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5" t="n">
        <v>46247</v>
      </c>
      <c r="C7489" s="1" t="n">
        <v>171</v>
      </c>
      <c r="D7489" s="1" t="s">
        <v>2517</v>
      </c>
      <c r="E7489" s="1" t="n">
        <v>1678</v>
      </c>
      <c r="F7489" s="1" t="s">
        <v>190</v>
      </c>
      <c r="I7489" s="1" t="n">
        <v>163829</v>
      </c>
      <c r="J7489" s="1" t="n">
        <v>40246</v>
      </c>
      <c r="K7489" s="1" t="n">
        <v>7898927045654</v>
      </c>
      <c r="L7489" s="1" t="s">
        <v>4724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5" t="n">
        <v>46247</v>
      </c>
      <c r="C7490" s="1" t="n">
        <v>171</v>
      </c>
      <c r="D7490" s="1" t="s">
        <v>2517</v>
      </c>
      <c r="E7490" s="1" t="n">
        <v>1636</v>
      </c>
      <c r="F7490" s="1" t="s">
        <v>49</v>
      </c>
      <c r="I7490" s="1" t="n">
        <v>3234934</v>
      </c>
      <c r="J7490" s="1" t="n">
        <v>61667</v>
      </c>
      <c r="K7490" s="1" t="n">
        <v>7896004006284</v>
      </c>
      <c r="L7490" s="1" t="s">
        <v>2365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5" t="n">
        <v>46248</v>
      </c>
      <c r="C7491" s="1" t="n">
        <v>1</v>
      </c>
      <c r="D7491" s="1" t="s">
        <v>2317</v>
      </c>
      <c r="E7491" s="1" t="n">
        <v>10035</v>
      </c>
      <c r="F7491" s="1" t="s">
        <v>227</v>
      </c>
      <c r="I7491" s="1" t="n">
        <v>400</v>
      </c>
      <c r="J7491" s="1" t="n">
        <v>38652</v>
      </c>
      <c r="K7491" s="1" t="n">
        <v>7898994684220</v>
      </c>
      <c r="L7491" s="1" t="s">
        <v>2458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5" t="n">
        <v>46248</v>
      </c>
      <c r="C7492" s="1" t="n">
        <v>1</v>
      </c>
      <c r="D7492" s="1" t="s">
        <v>2317</v>
      </c>
      <c r="E7492" s="1" t="n">
        <v>10035</v>
      </c>
      <c r="F7492" s="1" t="s">
        <v>227</v>
      </c>
      <c r="I7492" s="1" t="n">
        <v>400</v>
      </c>
      <c r="J7492" s="1" t="n">
        <v>38653</v>
      </c>
      <c r="K7492" s="1" t="n">
        <v>7898994684275</v>
      </c>
      <c r="L7492" s="1" t="s">
        <v>2459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5" t="n">
        <v>46248</v>
      </c>
      <c r="C7493" s="1" t="n">
        <v>1</v>
      </c>
      <c r="D7493" s="1" t="s">
        <v>2317</v>
      </c>
      <c r="E7493" s="1" t="n">
        <v>10035</v>
      </c>
      <c r="F7493" s="1" t="s">
        <v>227</v>
      </c>
      <c r="I7493" s="1" t="n">
        <v>400</v>
      </c>
      <c r="J7493" s="1" t="n">
        <v>43726</v>
      </c>
      <c r="K7493" s="1" t="n">
        <v>2245461</v>
      </c>
      <c r="L7493" s="1" t="s">
        <v>2460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5" t="n">
        <v>46248</v>
      </c>
      <c r="C7494" s="1" t="n">
        <v>1</v>
      </c>
      <c r="D7494" s="1" t="s">
        <v>2317</v>
      </c>
      <c r="E7494" s="1" t="n">
        <v>978</v>
      </c>
      <c r="F7494" s="1" t="s">
        <v>183</v>
      </c>
      <c r="I7494" s="1" t="n">
        <v>478</v>
      </c>
      <c r="J7494" s="1" t="n">
        <v>61368</v>
      </c>
      <c r="K7494" s="1" t="n">
        <v>2257907</v>
      </c>
      <c r="L7494" s="1" t="s">
        <v>2335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5" t="n">
        <v>46248</v>
      </c>
      <c r="C7495" s="1" t="n">
        <v>1</v>
      </c>
      <c r="D7495" s="1" t="s">
        <v>2317</v>
      </c>
      <c r="E7495" s="1" t="n">
        <v>978</v>
      </c>
      <c r="F7495" s="1" t="s">
        <v>183</v>
      </c>
      <c r="I7495" s="1" t="n">
        <v>478</v>
      </c>
      <c r="J7495" s="1" t="n">
        <v>61378</v>
      </c>
      <c r="K7495" s="1" t="n">
        <v>2257914</v>
      </c>
      <c r="L7495" s="1" t="s">
        <v>2336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5" t="n">
        <v>46248</v>
      </c>
      <c r="C7496" s="1" t="n">
        <v>1</v>
      </c>
      <c r="D7496" s="1" t="s">
        <v>2317</v>
      </c>
      <c r="E7496" s="1" t="n">
        <v>978</v>
      </c>
      <c r="F7496" s="1" t="s">
        <v>183</v>
      </c>
      <c r="I7496" s="1" t="n">
        <v>478</v>
      </c>
      <c r="J7496" s="1" t="n">
        <v>61379</v>
      </c>
      <c r="K7496" s="1" t="n">
        <v>2257921</v>
      </c>
      <c r="L7496" s="1" t="s">
        <v>2337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5" t="n">
        <v>46248</v>
      </c>
      <c r="C7497" s="1" t="n">
        <v>1</v>
      </c>
      <c r="D7497" s="1" t="s">
        <v>2317</v>
      </c>
      <c r="E7497" s="1" t="n">
        <v>978</v>
      </c>
      <c r="F7497" s="1" t="s">
        <v>183</v>
      </c>
      <c r="I7497" s="1" t="n">
        <v>478</v>
      </c>
      <c r="J7497" s="1" t="n">
        <v>62178</v>
      </c>
      <c r="K7497" s="1" t="n">
        <v>144599</v>
      </c>
      <c r="L7497" s="1" t="s">
        <v>2338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5" t="n">
        <v>46248</v>
      </c>
      <c r="C7498" s="1" t="n">
        <v>6</v>
      </c>
      <c r="D7498" s="1" t="s">
        <v>2289</v>
      </c>
      <c r="E7498" s="1" t="n">
        <v>42</v>
      </c>
      <c r="F7498" s="1" t="s">
        <v>80</v>
      </c>
      <c r="I7498" s="1" t="n">
        <v>4497</v>
      </c>
      <c r="J7498" s="1" t="n">
        <v>37359</v>
      </c>
      <c r="K7498" s="1" t="n">
        <v>55526</v>
      </c>
      <c r="L7498" s="1" t="s">
        <v>2285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5" t="n">
        <v>46248</v>
      </c>
      <c r="C7499" s="1" t="n">
        <v>6</v>
      </c>
      <c r="D7499" s="1" t="s">
        <v>2289</v>
      </c>
      <c r="E7499" s="1" t="n">
        <v>42</v>
      </c>
      <c r="F7499" s="1" t="s">
        <v>80</v>
      </c>
      <c r="I7499" s="1" t="n">
        <v>4497</v>
      </c>
      <c r="J7499" s="1" t="n">
        <v>37361</v>
      </c>
      <c r="K7499" s="1" t="n">
        <v>2240817</v>
      </c>
      <c r="L7499" s="1" t="s">
        <v>2286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5" t="n">
        <v>46248</v>
      </c>
      <c r="C7500" s="1" t="n">
        <v>6</v>
      </c>
      <c r="D7500" s="1" t="s">
        <v>2289</v>
      </c>
      <c r="E7500" s="1" t="n">
        <v>42</v>
      </c>
      <c r="F7500" s="1" t="s">
        <v>80</v>
      </c>
      <c r="I7500" s="1" t="n">
        <v>4498</v>
      </c>
      <c r="J7500" s="1" t="n">
        <v>100103</v>
      </c>
      <c r="K7500" s="1" t="n">
        <v>104</v>
      </c>
      <c r="L7500" s="1" t="s">
        <v>2287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5" t="n">
        <v>46248</v>
      </c>
      <c r="C7501" s="1" t="n">
        <v>6</v>
      </c>
      <c r="D7501" s="1" t="s">
        <v>2289</v>
      </c>
      <c r="E7501" s="1" t="n">
        <v>42</v>
      </c>
      <c r="F7501" s="1" t="s">
        <v>80</v>
      </c>
      <c r="I7501" s="1" t="n">
        <v>4501</v>
      </c>
      <c r="J7501" s="1" t="n">
        <v>72679</v>
      </c>
      <c r="K7501" s="1" t="n">
        <v>246</v>
      </c>
      <c r="L7501" s="1" t="s">
        <v>2288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5" t="n">
        <v>46248</v>
      </c>
      <c r="C7502" s="1" t="n">
        <v>6</v>
      </c>
      <c r="D7502" s="1" t="s">
        <v>2289</v>
      </c>
      <c r="E7502" s="1" t="n">
        <v>42</v>
      </c>
      <c r="F7502" s="1" t="s">
        <v>80</v>
      </c>
      <c r="I7502" s="1" t="n">
        <v>4502</v>
      </c>
      <c r="J7502" s="1" t="n">
        <v>100062</v>
      </c>
      <c r="K7502" s="1" t="n">
        <v>63</v>
      </c>
      <c r="L7502" s="1" t="s">
        <v>2320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5" t="n">
        <v>46248</v>
      </c>
      <c r="C7503" s="1" t="n">
        <v>6</v>
      </c>
      <c r="D7503" s="1" t="s">
        <v>2289</v>
      </c>
      <c r="E7503" s="1" t="n">
        <v>42</v>
      </c>
      <c r="F7503" s="1" t="s">
        <v>80</v>
      </c>
      <c r="I7503" s="1" t="n">
        <v>4502</v>
      </c>
      <c r="J7503" s="1" t="n">
        <v>100104</v>
      </c>
      <c r="K7503" s="1" t="n">
        <v>105</v>
      </c>
      <c r="L7503" s="1" t="s">
        <v>2321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5" t="n">
        <v>46248</v>
      </c>
      <c r="C7504" s="1" t="n">
        <v>6</v>
      </c>
      <c r="D7504" s="1" t="s">
        <v>2289</v>
      </c>
      <c r="E7504" s="1" t="n">
        <v>42</v>
      </c>
      <c r="F7504" s="1" t="s">
        <v>80</v>
      </c>
      <c r="I7504" s="1" t="n">
        <v>4502</v>
      </c>
      <c r="J7504" s="1" t="n">
        <v>100105</v>
      </c>
      <c r="K7504" s="1" t="n">
        <v>106</v>
      </c>
      <c r="L7504" s="1" t="s">
        <v>2322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5" t="n">
        <v>46248</v>
      </c>
      <c r="C7505" s="1" t="n">
        <v>6</v>
      </c>
      <c r="D7505" s="1" t="s">
        <v>2289</v>
      </c>
      <c r="E7505" s="1" t="n">
        <v>42</v>
      </c>
      <c r="F7505" s="1" t="s">
        <v>80</v>
      </c>
      <c r="I7505" s="1" t="n">
        <v>4502</v>
      </c>
      <c r="J7505" s="1" t="n">
        <v>100107</v>
      </c>
      <c r="K7505" s="1" t="n">
        <v>108</v>
      </c>
      <c r="L7505" s="1" t="s">
        <v>2323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5" t="n">
        <v>46248</v>
      </c>
      <c r="C7506" s="1" t="n">
        <v>6</v>
      </c>
      <c r="D7506" s="1" t="s">
        <v>2289</v>
      </c>
      <c r="E7506" s="1" t="n">
        <v>42</v>
      </c>
      <c r="F7506" s="1" t="s">
        <v>80</v>
      </c>
      <c r="I7506" s="1" t="n">
        <v>4502</v>
      </c>
      <c r="J7506" s="1" t="n">
        <v>100109</v>
      </c>
      <c r="K7506" s="1" t="n">
        <v>110</v>
      </c>
      <c r="L7506" s="1" t="s">
        <v>2324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5" t="n">
        <v>46248</v>
      </c>
      <c r="C7507" s="1" t="n">
        <v>6</v>
      </c>
      <c r="D7507" s="1" t="s">
        <v>2289</v>
      </c>
      <c r="E7507" s="1" t="n">
        <v>42</v>
      </c>
      <c r="F7507" s="1" t="s">
        <v>80</v>
      </c>
      <c r="I7507" s="1" t="n">
        <v>4502</v>
      </c>
      <c r="J7507" s="1" t="n">
        <v>100110</v>
      </c>
      <c r="K7507" s="1" t="n">
        <v>111</v>
      </c>
      <c r="L7507" s="1" t="s">
        <v>2473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5" t="n">
        <v>46248</v>
      </c>
      <c r="C7508" s="1" t="n">
        <v>6</v>
      </c>
      <c r="D7508" s="1" t="s">
        <v>2289</v>
      </c>
      <c r="E7508" s="1" t="n">
        <v>42</v>
      </c>
      <c r="F7508" s="1" t="s">
        <v>80</v>
      </c>
      <c r="I7508" s="1" t="n">
        <v>4502</v>
      </c>
      <c r="J7508" s="1" t="n">
        <v>100113</v>
      </c>
      <c r="K7508" s="1" t="n">
        <v>114</v>
      </c>
      <c r="L7508" s="1" t="s">
        <v>2326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5" t="n">
        <v>46248</v>
      </c>
      <c r="C7509" s="1" t="n">
        <v>6</v>
      </c>
      <c r="D7509" s="1" t="s">
        <v>2289</v>
      </c>
      <c r="E7509" s="1" t="n">
        <v>42</v>
      </c>
      <c r="F7509" s="1" t="s">
        <v>80</v>
      </c>
      <c r="I7509" s="1" t="n">
        <v>4502</v>
      </c>
      <c r="J7509" s="1" t="n">
        <v>100115</v>
      </c>
      <c r="K7509" s="1" t="n">
        <v>116</v>
      </c>
      <c r="L7509" s="1" t="s">
        <v>2474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5" t="n">
        <v>46248</v>
      </c>
      <c r="C7510" s="1" t="n">
        <v>6</v>
      </c>
      <c r="D7510" s="1" t="s">
        <v>2289</v>
      </c>
      <c r="E7510" s="1" t="n">
        <v>42</v>
      </c>
      <c r="F7510" s="1" t="s">
        <v>80</v>
      </c>
      <c r="I7510" s="1" t="n">
        <v>4502</v>
      </c>
      <c r="J7510" s="1" t="n">
        <v>100118</v>
      </c>
      <c r="K7510" s="1" t="n">
        <v>119</v>
      </c>
      <c r="L7510" s="1" t="s">
        <v>2328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5" t="n">
        <v>46248</v>
      </c>
      <c r="C7511" s="1" t="n">
        <v>6</v>
      </c>
      <c r="D7511" s="1" t="s">
        <v>2289</v>
      </c>
      <c r="E7511" s="1" t="n">
        <v>42</v>
      </c>
      <c r="F7511" s="1" t="s">
        <v>80</v>
      </c>
      <c r="I7511" s="1" t="n">
        <v>4502</v>
      </c>
      <c r="J7511" s="1" t="n">
        <v>100121</v>
      </c>
      <c r="K7511" s="1" t="n">
        <v>122</v>
      </c>
      <c r="L7511" s="1" t="s">
        <v>2329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5" t="n">
        <v>46248</v>
      </c>
      <c r="C7512" s="1" t="n">
        <v>6</v>
      </c>
      <c r="D7512" s="1" t="s">
        <v>2289</v>
      </c>
      <c r="E7512" s="1" t="n">
        <v>42</v>
      </c>
      <c r="F7512" s="1" t="s">
        <v>80</v>
      </c>
      <c r="I7512" s="1" t="n">
        <v>4502</v>
      </c>
      <c r="J7512" s="1" t="n">
        <v>100122</v>
      </c>
      <c r="K7512" s="1" t="n">
        <v>123</v>
      </c>
      <c r="L7512" s="1" t="s">
        <v>2330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5" t="n">
        <v>46248</v>
      </c>
      <c r="C7513" s="1" t="n">
        <v>6</v>
      </c>
      <c r="D7513" s="1" t="s">
        <v>2289</v>
      </c>
      <c r="E7513" s="1" t="n">
        <v>42</v>
      </c>
      <c r="F7513" s="1" t="s">
        <v>80</v>
      </c>
      <c r="I7513" s="1" t="n">
        <v>4502</v>
      </c>
      <c r="J7513" s="1" t="n">
        <v>100124</v>
      </c>
      <c r="K7513" s="1" t="n">
        <v>125</v>
      </c>
      <c r="L7513" s="1" t="s">
        <v>2476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5" t="n">
        <v>46248</v>
      </c>
      <c r="C7514" s="1" t="n">
        <v>6</v>
      </c>
      <c r="D7514" s="1" t="s">
        <v>2289</v>
      </c>
      <c r="E7514" s="1" t="n">
        <v>42</v>
      </c>
      <c r="F7514" s="1" t="s">
        <v>80</v>
      </c>
      <c r="I7514" s="1" t="n">
        <v>4502</v>
      </c>
      <c r="J7514" s="1" t="n">
        <v>100125</v>
      </c>
      <c r="K7514" s="1" t="n">
        <v>126</v>
      </c>
      <c r="L7514" s="1" t="s">
        <v>2477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5" t="n">
        <v>46248</v>
      </c>
      <c r="C7515" s="1" t="n">
        <v>6</v>
      </c>
      <c r="D7515" s="1" t="s">
        <v>2289</v>
      </c>
      <c r="E7515" s="1" t="n">
        <v>42</v>
      </c>
      <c r="F7515" s="1" t="s">
        <v>80</v>
      </c>
      <c r="I7515" s="1" t="n">
        <v>4502</v>
      </c>
      <c r="J7515" s="1" t="n">
        <v>100130</v>
      </c>
      <c r="K7515" s="1" t="n">
        <v>131</v>
      </c>
      <c r="L7515" s="1" t="s">
        <v>2331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5" t="n">
        <v>46248</v>
      </c>
      <c r="C7516" s="1" t="n">
        <v>6</v>
      </c>
      <c r="D7516" s="1" t="s">
        <v>2289</v>
      </c>
      <c r="E7516" s="1" t="n">
        <v>42</v>
      </c>
      <c r="F7516" s="1" t="s">
        <v>80</v>
      </c>
      <c r="I7516" s="1" t="n">
        <v>4502</v>
      </c>
      <c r="J7516" s="1" t="n">
        <v>100133</v>
      </c>
      <c r="K7516" s="1" t="n">
        <v>134</v>
      </c>
      <c r="L7516" s="1" t="s">
        <v>2332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5" t="n">
        <v>46248</v>
      </c>
      <c r="C7517" s="1" t="n">
        <v>6</v>
      </c>
      <c r="D7517" s="1" t="s">
        <v>2289</v>
      </c>
      <c r="E7517" s="1" t="n">
        <v>42</v>
      </c>
      <c r="F7517" s="1" t="s">
        <v>80</v>
      </c>
      <c r="I7517" s="1" t="n">
        <v>4502</v>
      </c>
      <c r="J7517" s="1" t="n">
        <v>100148</v>
      </c>
      <c r="K7517" s="1" t="n">
        <v>149</v>
      </c>
      <c r="L7517" s="1" t="s">
        <v>2676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5" t="n">
        <v>46248</v>
      </c>
      <c r="C7518" s="1" t="n">
        <v>6</v>
      </c>
      <c r="D7518" s="1" t="s">
        <v>2289</v>
      </c>
      <c r="E7518" s="1" t="n">
        <v>42</v>
      </c>
      <c r="F7518" s="1" t="s">
        <v>80</v>
      </c>
      <c r="I7518" s="1" t="n">
        <v>4502</v>
      </c>
      <c r="J7518" s="1" t="n">
        <v>110265</v>
      </c>
      <c r="K7518" s="1" t="n">
        <v>41346</v>
      </c>
      <c r="L7518" s="1" t="s">
        <v>2478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5" t="n">
        <v>46248</v>
      </c>
      <c r="C7519" s="1" t="n">
        <v>6</v>
      </c>
      <c r="D7519" s="1" t="s">
        <v>2289</v>
      </c>
      <c r="E7519" s="1" t="n">
        <v>42</v>
      </c>
      <c r="F7519" s="1" t="s">
        <v>80</v>
      </c>
      <c r="I7519" s="1" t="n">
        <v>4505</v>
      </c>
      <c r="J7519" s="1" t="n">
        <v>100112</v>
      </c>
      <c r="K7519" s="1" t="n">
        <v>113</v>
      </c>
      <c r="L7519" s="1" t="s">
        <v>2325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5" t="n">
        <v>46248</v>
      </c>
      <c r="C7520" s="1" t="n">
        <v>6</v>
      </c>
      <c r="D7520" s="1" t="s">
        <v>2289</v>
      </c>
      <c r="E7520" s="1" t="n">
        <v>42</v>
      </c>
      <c r="F7520" s="1" t="s">
        <v>80</v>
      </c>
      <c r="I7520" s="1" t="n">
        <v>4505</v>
      </c>
      <c r="J7520" s="1" t="n">
        <v>100116</v>
      </c>
      <c r="K7520" s="1" t="n">
        <v>117</v>
      </c>
      <c r="L7520" s="1" t="s">
        <v>2327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5" t="n">
        <v>46248</v>
      </c>
      <c r="C7521" s="1" t="n">
        <v>11</v>
      </c>
      <c r="D7521" s="1" t="s">
        <v>2290</v>
      </c>
      <c r="E7521" s="1" t="n">
        <v>1916</v>
      </c>
      <c r="F7521" s="1" t="s">
        <v>351</v>
      </c>
      <c r="I7521" s="1" t="n">
        <v>111</v>
      </c>
      <c r="J7521" s="1" t="n">
        <v>43963</v>
      </c>
      <c r="K7521" s="1" t="n">
        <v>7890000002844</v>
      </c>
      <c r="L7521" s="1" t="s">
        <v>3449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5" t="n">
        <v>46248</v>
      </c>
      <c r="C7522" s="1" t="n">
        <v>11</v>
      </c>
      <c r="D7522" s="1" t="s">
        <v>2290</v>
      </c>
      <c r="E7522" s="1" t="n">
        <v>1916</v>
      </c>
      <c r="F7522" s="1" t="s">
        <v>351</v>
      </c>
      <c r="I7522" s="1" t="n">
        <v>111</v>
      </c>
      <c r="J7522" s="1" t="n">
        <v>43965</v>
      </c>
      <c r="K7522" s="1" t="n">
        <v>7898567710226</v>
      </c>
      <c r="L7522" s="1" t="s">
        <v>2571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5" t="n">
        <v>46248</v>
      </c>
      <c r="C7523" s="1" t="n">
        <v>11</v>
      </c>
      <c r="D7523" s="1" t="s">
        <v>2290</v>
      </c>
      <c r="E7523" s="1" t="n">
        <v>1828</v>
      </c>
      <c r="F7523" s="1" t="s">
        <v>278</v>
      </c>
      <c r="I7523" s="1" t="n">
        <v>1431</v>
      </c>
      <c r="J7523" s="1" t="n">
        <v>14247</v>
      </c>
      <c r="K7523" s="1" t="n">
        <v>2229416</v>
      </c>
      <c r="L7523" s="1" t="s">
        <v>2747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5" t="n">
        <v>46248</v>
      </c>
      <c r="C7524" s="1" t="n">
        <v>11</v>
      </c>
      <c r="D7524" s="1" t="s">
        <v>2290</v>
      </c>
      <c r="E7524" s="1" t="n">
        <v>1828</v>
      </c>
      <c r="F7524" s="1" t="s">
        <v>278</v>
      </c>
      <c r="I7524" s="1" t="n">
        <v>1431</v>
      </c>
      <c r="J7524" s="1" t="n">
        <v>14248</v>
      </c>
      <c r="K7524" s="1" t="n">
        <v>2229423</v>
      </c>
      <c r="L7524" s="1" t="s">
        <v>2748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5" t="n">
        <v>46248</v>
      </c>
      <c r="C7525" s="1" t="n">
        <v>11</v>
      </c>
      <c r="D7525" s="1" t="s">
        <v>2290</v>
      </c>
      <c r="E7525" s="1" t="n">
        <v>1828</v>
      </c>
      <c r="F7525" s="1" t="s">
        <v>278</v>
      </c>
      <c r="I7525" s="1" t="n">
        <v>1431</v>
      </c>
      <c r="J7525" s="1" t="n">
        <v>20541</v>
      </c>
      <c r="K7525" s="1" t="n">
        <v>2232829</v>
      </c>
      <c r="L7525" s="1" t="s">
        <v>2749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5" t="n">
        <v>46248</v>
      </c>
      <c r="C7526" s="1" t="n">
        <v>11</v>
      </c>
      <c r="D7526" s="1" t="s">
        <v>2290</v>
      </c>
      <c r="E7526" s="1" t="n">
        <v>1828</v>
      </c>
      <c r="F7526" s="1" t="s">
        <v>278</v>
      </c>
      <c r="I7526" s="1" t="n">
        <v>1431</v>
      </c>
      <c r="J7526" s="1" t="n">
        <v>81207</v>
      </c>
      <c r="K7526" s="1" t="n">
        <v>812085</v>
      </c>
      <c r="L7526" s="1" t="s">
        <v>2750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5" t="n">
        <v>46248</v>
      </c>
      <c r="C7527" s="1" t="n">
        <v>11</v>
      </c>
      <c r="D7527" s="1" t="s">
        <v>2290</v>
      </c>
      <c r="E7527" s="1" t="n">
        <v>10063</v>
      </c>
      <c r="F7527" s="1" t="s">
        <v>218</v>
      </c>
      <c r="I7527" s="1" t="n">
        <v>2703</v>
      </c>
      <c r="J7527" s="1" t="n">
        <v>100174</v>
      </c>
      <c r="K7527" s="1" t="n">
        <v>7898141930286</v>
      </c>
      <c r="L7527" s="1" t="s">
        <v>2519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5" t="n">
        <v>46248</v>
      </c>
      <c r="C7528" s="1" t="n">
        <v>11</v>
      </c>
      <c r="D7528" s="1" t="s">
        <v>2290</v>
      </c>
      <c r="E7528" s="1" t="n">
        <v>10063</v>
      </c>
      <c r="F7528" s="1" t="s">
        <v>218</v>
      </c>
      <c r="I7528" s="1" t="n">
        <v>2703</v>
      </c>
      <c r="J7528" s="1" t="n">
        <v>100933</v>
      </c>
      <c r="K7528" s="1" t="n">
        <v>7896982100059</v>
      </c>
      <c r="L7528" s="1" t="s">
        <v>2520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5" t="n">
        <v>46248</v>
      </c>
      <c r="C7529" s="1" t="n">
        <v>11</v>
      </c>
      <c r="D7529" s="1" t="s">
        <v>2290</v>
      </c>
      <c r="E7529" s="1" t="n">
        <v>10048</v>
      </c>
      <c r="F7529" s="1" t="s">
        <v>1623</v>
      </c>
      <c r="I7529" s="1" t="n">
        <v>3032</v>
      </c>
      <c r="J7529" s="1" t="n">
        <v>14127</v>
      </c>
      <c r="K7529" s="1" t="n">
        <v>7898080640635</v>
      </c>
      <c r="L7529" s="1" t="s">
        <v>3591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5" t="n">
        <v>46248</v>
      </c>
      <c r="C7530" s="1" t="n">
        <v>11</v>
      </c>
      <c r="D7530" s="1" t="s">
        <v>2290</v>
      </c>
      <c r="E7530" s="1" t="n">
        <v>10048</v>
      </c>
      <c r="F7530" s="1" t="s">
        <v>1623</v>
      </c>
      <c r="I7530" s="1" t="n">
        <v>3032</v>
      </c>
      <c r="J7530" s="1" t="n">
        <v>14128</v>
      </c>
      <c r="K7530" s="1" t="n">
        <v>7898080640611</v>
      </c>
      <c r="L7530" s="1" t="s">
        <v>2794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5" t="n">
        <v>46248</v>
      </c>
      <c r="C7531" s="1" t="n">
        <v>11</v>
      </c>
      <c r="D7531" s="1" t="s">
        <v>2290</v>
      </c>
      <c r="E7531" s="1" t="n">
        <v>1615</v>
      </c>
      <c r="F7531" s="1" t="s">
        <v>130</v>
      </c>
      <c r="I7531" s="1" t="n">
        <v>15115</v>
      </c>
      <c r="J7531" s="1" t="n">
        <v>100101</v>
      </c>
      <c r="K7531" s="1" t="n">
        <v>102</v>
      </c>
      <c r="L7531" s="1" t="s">
        <v>2671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5" t="n">
        <v>46248</v>
      </c>
      <c r="C7532" s="1" t="n">
        <v>11</v>
      </c>
      <c r="D7532" s="1" t="s">
        <v>2290</v>
      </c>
      <c r="E7532" s="1" t="n">
        <v>1615</v>
      </c>
      <c r="F7532" s="1" t="s">
        <v>130</v>
      </c>
      <c r="I7532" s="1" t="n">
        <v>15115</v>
      </c>
      <c r="J7532" s="1" t="n">
        <v>100114</v>
      </c>
      <c r="K7532" s="1" t="n">
        <v>115</v>
      </c>
      <c r="L7532" s="1" t="s">
        <v>2568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5" t="n">
        <v>46248</v>
      </c>
      <c r="C7533" s="1" t="n">
        <v>11</v>
      </c>
      <c r="D7533" s="1" t="s">
        <v>2290</v>
      </c>
      <c r="E7533" s="1" t="n">
        <v>1615</v>
      </c>
      <c r="F7533" s="1" t="s">
        <v>130</v>
      </c>
      <c r="I7533" s="1" t="n">
        <v>15115</v>
      </c>
      <c r="J7533" s="1" t="n">
        <v>100119</v>
      </c>
      <c r="K7533" s="1" t="n">
        <v>120</v>
      </c>
      <c r="L7533" s="1" t="s">
        <v>3728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5" t="n">
        <v>46248</v>
      </c>
      <c r="C7534" s="1" t="n">
        <v>11</v>
      </c>
      <c r="D7534" s="1" t="s">
        <v>2290</v>
      </c>
      <c r="E7534" s="1" t="n">
        <v>1921</v>
      </c>
      <c r="F7534" s="1" t="s">
        <v>247</v>
      </c>
      <c r="I7534" s="1" t="n">
        <v>21254</v>
      </c>
      <c r="J7534" s="1" t="n">
        <v>44581</v>
      </c>
      <c r="K7534" s="1" t="n">
        <v>144827</v>
      </c>
      <c r="L7534" s="1" t="s">
        <v>3204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5" t="n">
        <v>46248</v>
      </c>
      <c r="C7535" s="1" t="n">
        <v>11</v>
      </c>
      <c r="D7535" s="1" t="s">
        <v>2290</v>
      </c>
      <c r="E7535" s="1" t="n">
        <v>1921</v>
      </c>
      <c r="F7535" s="1" t="s">
        <v>247</v>
      </c>
      <c r="I7535" s="1" t="n">
        <v>21254</v>
      </c>
      <c r="J7535" s="1" t="n">
        <v>45856</v>
      </c>
      <c r="K7535" s="1" t="n">
        <v>7899085120443</v>
      </c>
      <c r="L7535" s="1" t="s">
        <v>3207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5" t="n">
        <v>46248</v>
      </c>
      <c r="C7536" s="1" t="n">
        <v>11</v>
      </c>
      <c r="D7536" s="1" t="s">
        <v>2290</v>
      </c>
      <c r="E7536" s="1" t="n">
        <v>1921</v>
      </c>
      <c r="F7536" s="1" t="s">
        <v>247</v>
      </c>
      <c r="I7536" s="1" t="n">
        <v>21254</v>
      </c>
      <c r="J7536" s="1" t="n">
        <v>46077</v>
      </c>
      <c r="K7536" s="1" t="n">
        <v>7899085120221</v>
      </c>
      <c r="L7536" s="1" t="s">
        <v>3208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5" t="n">
        <v>46248</v>
      </c>
      <c r="C7537" s="1" t="n">
        <v>11</v>
      </c>
      <c r="D7537" s="1" t="s">
        <v>2290</v>
      </c>
      <c r="E7537" s="1" t="n">
        <v>1921</v>
      </c>
      <c r="F7537" s="1" t="s">
        <v>247</v>
      </c>
      <c r="I7537" s="1" t="n">
        <v>21254</v>
      </c>
      <c r="J7537" s="1" t="n">
        <v>46078</v>
      </c>
      <c r="K7537" s="1" t="n">
        <v>7899085120016</v>
      </c>
      <c r="L7537" s="1" t="s">
        <v>3209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5" t="n">
        <v>46248</v>
      </c>
      <c r="C7538" s="1" t="n">
        <v>11</v>
      </c>
      <c r="D7538" s="1" t="s">
        <v>2290</v>
      </c>
      <c r="E7538" s="1" t="n">
        <v>1921</v>
      </c>
      <c r="F7538" s="1" t="s">
        <v>247</v>
      </c>
      <c r="I7538" s="1" t="n">
        <v>21254</v>
      </c>
      <c r="J7538" s="1" t="n">
        <v>46092</v>
      </c>
      <c r="K7538" s="1" t="n">
        <v>7899085120566</v>
      </c>
      <c r="L7538" s="1" t="s">
        <v>4725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5" t="n">
        <v>46248</v>
      </c>
      <c r="C7539" s="1" t="n">
        <v>11</v>
      </c>
      <c r="D7539" s="1" t="s">
        <v>2290</v>
      </c>
      <c r="E7539" s="1" t="n">
        <v>1921</v>
      </c>
      <c r="F7539" s="1" t="s">
        <v>247</v>
      </c>
      <c r="I7539" s="1" t="n">
        <v>21254</v>
      </c>
      <c r="J7539" s="1" t="n">
        <v>46093</v>
      </c>
      <c r="K7539" s="1" t="n">
        <v>7899085120597</v>
      </c>
      <c r="L7539" s="1" t="s">
        <v>4212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5" t="n">
        <v>46248</v>
      </c>
      <c r="C7540" s="1" t="n">
        <v>11</v>
      </c>
      <c r="D7540" s="1" t="s">
        <v>2290</v>
      </c>
      <c r="E7540" s="1" t="n">
        <v>1921</v>
      </c>
      <c r="F7540" s="1" t="s">
        <v>247</v>
      </c>
      <c r="I7540" s="1" t="n">
        <v>21254</v>
      </c>
      <c r="J7540" s="1" t="n">
        <v>46095</v>
      </c>
      <c r="K7540" s="1" t="n">
        <v>7899085120641</v>
      </c>
      <c r="L7540" s="1" t="s">
        <v>3214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5" t="n">
        <v>46248</v>
      </c>
      <c r="C7541" s="1" t="n">
        <v>11</v>
      </c>
      <c r="D7541" s="1" t="s">
        <v>2290</v>
      </c>
      <c r="E7541" s="1" t="n">
        <v>1921</v>
      </c>
      <c r="F7541" s="1" t="s">
        <v>247</v>
      </c>
      <c r="I7541" s="1" t="n">
        <v>21254</v>
      </c>
      <c r="J7541" s="1" t="n">
        <v>46588</v>
      </c>
      <c r="K7541" s="1" t="n">
        <v>7899085120924</v>
      </c>
      <c r="L7541" s="1" t="s">
        <v>3215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5" t="n">
        <v>46248</v>
      </c>
      <c r="C7542" s="1" t="n">
        <v>11</v>
      </c>
      <c r="D7542" s="1" t="s">
        <v>2290</v>
      </c>
      <c r="E7542" s="1" t="n">
        <v>1921</v>
      </c>
      <c r="F7542" s="1" t="s">
        <v>247</v>
      </c>
      <c r="I7542" s="1" t="n">
        <v>21254</v>
      </c>
      <c r="J7542" s="1" t="n">
        <v>47041</v>
      </c>
      <c r="K7542" s="1" t="n">
        <v>7899085120252</v>
      </c>
      <c r="L7542" s="1" t="s">
        <v>3217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5" t="n">
        <v>46248</v>
      </c>
      <c r="C7543" s="1" t="n">
        <v>11</v>
      </c>
      <c r="D7543" s="1" t="s">
        <v>2290</v>
      </c>
      <c r="E7543" s="1" t="n">
        <v>1921</v>
      </c>
      <c r="F7543" s="1" t="s">
        <v>247</v>
      </c>
      <c r="I7543" s="1" t="n">
        <v>21254</v>
      </c>
      <c r="J7543" s="1" t="n">
        <v>47043</v>
      </c>
      <c r="K7543" s="1" t="n">
        <v>7899085120276</v>
      </c>
      <c r="L7543" s="1" t="s">
        <v>4726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5" t="n">
        <v>46248</v>
      </c>
      <c r="C7544" s="1" t="n">
        <v>11</v>
      </c>
      <c r="D7544" s="1" t="s">
        <v>2290</v>
      </c>
      <c r="E7544" s="1" t="n">
        <v>1921</v>
      </c>
      <c r="F7544" s="1" t="s">
        <v>247</v>
      </c>
      <c r="I7544" s="1" t="n">
        <v>21254</v>
      </c>
      <c r="J7544" s="1" t="n">
        <v>47045</v>
      </c>
      <c r="K7544" s="1" t="n">
        <v>7899085120351</v>
      </c>
      <c r="L7544" s="1" t="s">
        <v>4727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5" t="n">
        <v>46248</v>
      </c>
      <c r="C7545" s="1" t="n">
        <v>11</v>
      </c>
      <c r="D7545" s="1" t="s">
        <v>2290</v>
      </c>
      <c r="E7545" s="1" t="n">
        <v>1921</v>
      </c>
      <c r="F7545" s="1" t="s">
        <v>247</v>
      </c>
      <c r="I7545" s="1" t="n">
        <v>21254</v>
      </c>
      <c r="J7545" s="1" t="n">
        <v>47046</v>
      </c>
      <c r="K7545" s="1" t="n">
        <v>7899085120436</v>
      </c>
      <c r="L7545" s="1" t="s">
        <v>4213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5" t="n">
        <v>46248</v>
      </c>
      <c r="C7546" s="1" t="n">
        <v>11</v>
      </c>
      <c r="D7546" s="1" t="s">
        <v>2290</v>
      </c>
      <c r="E7546" s="1" t="n">
        <v>1921</v>
      </c>
      <c r="F7546" s="1" t="s">
        <v>247</v>
      </c>
      <c r="I7546" s="1" t="n">
        <v>21254</v>
      </c>
      <c r="J7546" s="1" t="n">
        <v>47047</v>
      </c>
      <c r="K7546" s="1" t="n">
        <v>7899085120108</v>
      </c>
      <c r="L7546" s="1" t="s">
        <v>3219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5" t="n">
        <v>46248</v>
      </c>
      <c r="C7547" s="1" t="n">
        <v>11</v>
      </c>
      <c r="D7547" s="1" t="s">
        <v>2290</v>
      </c>
      <c r="E7547" s="1" t="n">
        <v>1921</v>
      </c>
      <c r="F7547" s="1" t="s">
        <v>247</v>
      </c>
      <c r="I7547" s="1" t="n">
        <v>21254</v>
      </c>
      <c r="J7547" s="1" t="n">
        <v>47049</v>
      </c>
      <c r="K7547" s="1" t="n">
        <v>7899085120474</v>
      </c>
      <c r="L7547" s="1" t="s">
        <v>3221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5" t="n">
        <v>46248</v>
      </c>
      <c r="C7548" s="1" t="n">
        <v>11</v>
      </c>
      <c r="D7548" s="1" t="s">
        <v>2290</v>
      </c>
      <c r="E7548" s="1" t="n">
        <v>1921</v>
      </c>
      <c r="F7548" s="1" t="s">
        <v>247</v>
      </c>
      <c r="I7548" s="1" t="n">
        <v>21254</v>
      </c>
      <c r="J7548" s="1" t="n">
        <v>47050</v>
      </c>
      <c r="K7548" s="1" t="n">
        <v>7899085120146</v>
      </c>
      <c r="L7548" s="1" t="s">
        <v>4214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5" t="n">
        <v>46248</v>
      </c>
      <c r="C7549" s="1" t="n">
        <v>11</v>
      </c>
      <c r="D7549" s="1" t="s">
        <v>2290</v>
      </c>
      <c r="E7549" s="1" t="n">
        <v>1921</v>
      </c>
      <c r="F7549" s="1" t="s">
        <v>247</v>
      </c>
      <c r="I7549" s="1" t="n">
        <v>21254</v>
      </c>
      <c r="J7549" s="1" t="n">
        <v>47062</v>
      </c>
      <c r="K7549" s="1" t="n">
        <v>7899085120375</v>
      </c>
      <c r="L7549" s="1" t="s">
        <v>4728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5" t="n">
        <v>46248</v>
      </c>
      <c r="C7550" s="1" t="n">
        <v>11</v>
      </c>
      <c r="D7550" s="1" t="s">
        <v>2290</v>
      </c>
      <c r="E7550" s="1" t="n">
        <v>1921</v>
      </c>
      <c r="F7550" s="1" t="s">
        <v>247</v>
      </c>
      <c r="I7550" s="1" t="n">
        <v>21254</v>
      </c>
      <c r="J7550" s="1" t="n">
        <v>47064</v>
      </c>
      <c r="K7550" s="1" t="n">
        <v>7899085120122</v>
      </c>
      <c r="L7550" s="1" t="s">
        <v>3223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5" t="n">
        <v>46248</v>
      </c>
      <c r="C7551" s="1" t="n">
        <v>11</v>
      </c>
      <c r="D7551" s="1" t="s">
        <v>2290</v>
      </c>
      <c r="E7551" s="1" t="n">
        <v>1921</v>
      </c>
      <c r="F7551" s="1" t="s">
        <v>247</v>
      </c>
      <c r="I7551" s="1" t="n">
        <v>21254</v>
      </c>
      <c r="J7551" s="1" t="n">
        <v>47065</v>
      </c>
      <c r="K7551" s="1" t="n">
        <v>7899085120320</v>
      </c>
      <c r="L7551" s="1" t="s">
        <v>4729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5" t="n">
        <v>46248</v>
      </c>
      <c r="C7552" s="1" t="n">
        <v>11</v>
      </c>
      <c r="D7552" s="1" t="s">
        <v>2290</v>
      </c>
      <c r="E7552" s="1" t="n">
        <v>1921</v>
      </c>
      <c r="F7552" s="1" t="s">
        <v>247</v>
      </c>
      <c r="I7552" s="1" t="n">
        <v>21254</v>
      </c>
      <c r="J7552" s="1" t="n">
        <v>47067</v>
      </c>
      <c r="K7552" s="1" t="n">
        <v>7899085120573</v>
      </c>
      <c r="L7552" s="1" t="s">
        <v>3224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5" t="n">
        <v>46248</v>
      </c>
      <c r="C7553" s="1" t="n">
        <v>11</v>
      </c>
      <c r="D7553" s="1" t="s">
        <v>2290</v>
      </c>
      <c r="E7553" s="1" t="n">
        <v>1921</v>
      </c>
      <c r="F7553" s="1" t="s">
        <v>247</v>
      </c>
      <c r="I7553" s="1" t="n">
        <v>21254</v>
      </c>
      <c r="J7553" s="1" t="n">
        <v>48073</v>
      </c>
      <c r="K7553" s="1" t="n">
        <v>7899085120634</v>
      </c>
      <c r="L7553" s="1" t="s">
        <v>4215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5" t="n">
        <v>46248</v>
      </c>
      <c r="C7554" s="1" t="n">
        <v>11</v>
      </c>
      <c r="D7554" s="1" t="s">
        <v>2290</v>
      </c>
      <c r="E7554" s="1" t="n">
        <v>1921</v>
      </c>
      <c r="F7554" s="1" t="s">
        <v>247</v>
      </c>
      <c r="I7554" s="1" t="n">
        <v>21254</v>
      </c>
      <c r="J7554" s="1" t="n">
        <v>49143</v>
      </c>
      <c r="K7554" s="1" t="n">
        <v>7899085120412</v>
      </c>
      <c r="L7554" s="1" t="s">
        <v>4730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5" t="n">
        <v>46248</v>
      </c>
      <c r="C7555" s="1" t="n">
        <v>11</v>
      </c>
      <c r="D7555" s="1" t="s">
        <v>2290</v>
      </c>
      <c r="E7555" s="1" t="n">
        <v>1921</v>
      </c>
      <c r="F7555" s="1" t="s">
        <v>247</v>
      </c>
      <c r="I7555" s="1" t="n">
        <v>21254</v>
      </c>
      <c r="J7555" s="1" t="n">
        <v>49811</v>
      </c>
      <c r="K7555" s="1" t="n">
        <v>7899085120917</v>
      </c>
      <c r="L7555" s="1" t="s">
        <v>3225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5" t="n">
        <v>46248</v>
      </c>
      <c r="C7556" s="1" t="n">
        <v>11</v>
      </c>
      <c r="D7556" s="1" t="s">
        <v>2290</v>
      </c>
      <c r="E7556" s="1" t="n">
        <v>1921</v>
      </c>
      <c r="F7556" s="1" t="s">
        <v>247</v>
      </c>
      <c r="I7556" s="1" t="n">
        <v>21254</v>
      </c>
      <c r="J7556" s="1" t="n">
        <v>50797</v>
      </c>
      <c r="K7556" s="1" t="n">
        <v>7899085120245</v>
      </c>
      <c r="L7556" s="1" t="s">
        <v>4731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5" t="n">
        <v>46248</v>
      </c>
      <c r="C7557" s="1" t="n">
        <v>11</v>
      </c>
      <c r="D7557" s="1" t="s">
        <v>2290</v>
      </c>
      <c r="E7557" s="1" t="n">
        <v>1804</v>
      </c>
      <c r="F7557" s="1" t="s">
        <v>699</v>
      </c>
      <c r="I7557" s="1" t="n">
        <v>26350</v>
      </c>
      <c r="J7557" s="1" t="n">
        <v>30309</v>
      </c>
      <c r="K7557" s="1" t="n">
        <v>7898146000038</v>
      </c>
      <c r="L7557" s="1" t="s">
        <v>4732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5" t="n">
        <v>46248</v>
      </c>
      <c r="C7558" s="1" t="n">
        <v>11</v>
      </c>
      <c r="D7558" s="1" t="s">
        <v>2290</v>
      </c>
      <c r="E7558" s="1" t="n">
        <v>1804</v>
      </c>
      <c r="F7558" s="1" t="s">
        <v>699</v>
      </c>
      <c r="I7558" s="1" t="n">
        <v>26350</v>
      </c>
      <c r="J7558" s="1" t="n">
        <v>15607</v>
      </c>
      <c r="K7558" s="1" t="n">
        <v>7891340303714</v>
      </c>
      <c r="L7558" s="1" t="s">
        <v>2762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5" t="n">
        <v>46248</v>
      </c>
      <c r="C7559" s="1" t="n">
        <v>11</v>
      </c>
      <c r="D7559" s="1" t="s">
        <v>2290</v>
      </c>
      <c r="E7559" s="1" t="n">
        <v>1804</v>
      </c>
      <c r="F7559" s="1" t="s">
        <v>699</v>
      </c>
      <c r="I7559" s="1" t="n">
        <v>26350</v>
      </c>
      <c r="J7559" s="1" t="n">
        <v>15608</v>
      </c>
      <c r="K7559" s="1" t="n">
        <v>7891340303233</v>
      </c>
      <c r="L7559" s="1" t="s">
        <v>2763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5" t="n">
        <v>46248</v>
      </c>
      <c r="C7560" s="1" t="n">
        <v>11</v>
      </c>
      <c r="D7560" s="1" t="s">
        <v>2290</v>
      </c>
      <c r="E7560" s="1" t="n">
        <v>1804</v>
      </c>
      <c r="F7560" s="1" t="s">
        <v>699</v>
      </c>
      <c r="I7560" s="1" t="n">
        <v>26350</v>
      </c>
      <c r="J7560" s="1" t="n">
        <v>15650</v>
      </c>
      <c r="K7560" s="1" t="n">
        <v>7891340303615</v>
      </c>
      <c r="L7560" s="1" t="s">
        <v>2764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5" t="n">
        <v>46248</v>
      </c>
      <c r="C7561" s="1" t="n">
        <v>11</v>
      </c>
      <c r="D7561" s="1" t="s">
        <v>2290</v>
      </c>
      <c r="E7561" s="1" t="n">
        <v>1804</v>
      </c>
      <c r="F7561" s="1" t="s">
        <v>699</v>
      </c>
      <c r="I7561" s="1" t="n">
        <v>26350</v>
      </c>
      <c r="J7561" s="1" t="n">
        <v>24703</v>
      </c>
      <c r="K7561" s="1" t="n">
        <v>7893515611198</v>
      </c>
      <c r="L7561" s="1" t="s">
        <v>2974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5" t="n">
        <v>46248</v>
      </c>
      <c r="C7562" s="1" t="n">
        <v>11</v>
      </c>
      <c r="D7562" s="1" t="s">
        <v>2290</v>
      </c>
      <c r="E7562" s="1" t="n">
        <v>1804</v>
      </c>
      <c r="F7562" s="1" t="s">
        <v>699</v>
      </c>
      <c r="I7562" s="1" t="n">
        <v>26350</v>
      </c>
      <c r="J7562" s="1" t="n">
        <v>37303</v>
      </c>
      <c r="K7562" s="1" t="n">
        <v>7891340365392</v>
      </c>
      <c r="L7562" s="1" t="s">
        <v>3981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5" t="n">
        <v>46248</v>
      </c>
      <c r="C7563" s="1" t="n">
        <v>11</v>
      </c>
      <c r="D7563" s="1" t="s">
        <v>2290</v>
      </c>
      <c r="E7563" s="1" t="n">
        <v>1804</v>
      </c>
      <c r="F7563" s="1" t="s">
        <v>699</v>
      </c>
      <c r="I7563" s="1" t="n">
        <v>26350</v>
      </c>
      <c r="J7563" s="1" t="n">
        <v>40402</v>
      </c>
      <c r="K7563" s="1" t="n">
        <v>7898146000021</v>
      </c>
      <c r="L7563" s="1" t="s">
        <v>4733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5" t="n">
        <v>46248</v>
      </c>
      <c r="C7564" s="1" t="n">
        <v>11</v>
      </c>
      <c r="D7564" s="1" t="s">
        <v>2290</v>
      </c>
      <c r="E7564" s="1" t="n">
        <v>1804</v>
      </c>
      <c r="F7564" s="1" t="s">
        <v>699</v>
      </c>
      <c r="I7564" s="1" t="n">
        <v>26350</v>
      </c>
      <c r="J7564" s="1" t="n">
        <v>40505</v>
      </c>
      <c r="K7564" s="1" t="n">
        <v>7898146000168</v>
      </c>
      <c r="L7564" s="1" t="s">
        <v>4734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5" t="n">
        <v>46248</v>
      </c>
      <c r="C7565" s="1" t="n">
        <v>11</v>
      </c>
      <c r="D7565" s="1" t="s">
        <v>2290</v>
      </c>
      <c r="E7565" s="1" t="n">
        <v>1804</v>
      </c>
      <c r="F7565" s="1" t="s">
        <v>699</v>
      </c>
      <c r="I7565" s="1" t="n">
        <v>26350</v>
      </c>
      <c r="J7565" s="1" t="n">
        <v>43694</v>
      </c>
      <c r="K7565" s="1" t="n">
        <v>7898146000762</v>
      </c>
      <c r="L7565" s="1" t="s">
        <v>4735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5" t="n">
        <v>46248</v>
      </c>
      <c r="C7566" s="1" t="n">
        <v>11</v>
      </c>
      <c r="D7566" s="1" t="s">
        <v>2290</v>
      </c>
      <c r="E7566" s="1" t="n">
        <v>1804</v>
      </c>
      <c r="F7566" s="1" t="s">
        <v>699</v>
      </c>
      <c r="I7566" s="1" t="n">
        <v>26350</v>
      </c>
      <c r="J7566" s="1" t="n">
        <v>43695</v>
      </c>
      <c r="K7566" s="1" t="n">
        <v>7898146000151</v>
      </c>
      <c r="L7566" s="1" t="s">
        <v>4736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5" t="n">
        <v>46248</v>
      </c>
      <c r="C7567" s="1" t="n">
        <v>11</v>
      </c>
      <c r="D7567" s="1" t="s">
        <v>2290</v>
      </c>
      <c r="E7567" s="1" t="n">
        <v>1804</v>
      </c>
      <c r="F7567" s="1" t="s">
        <v>699</v>
      </c>
      <c r="I7567" s="1" t="n">
        <v>26350</v>
      </c>
      <c r="J7567" s="1" t="n">
        <v>43696</v>
      </c>
      <c r="K7567" s="1" t="n">
        <v>7898146000144</v>
      </c>
      <c r="L7567" s="1" t="s">
        <v>4737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5" t="n">
        <v>46248</v>
      </c>
      <c r="C7568" s="1" t="n">
        <v>11</v>
      </c>
      <c r="D7568" s="1" t="s">
        <v>2290</v>
      </c>
      <c r="E7568" s="1" t="n">
        <v>1804</v>
      </c>
      <c r="F7568" s="1" t="s">
        <v>699</v>
      </c>
      <c r="I7568" s="1" t="n">
        <v>26350</v>
      </c>
      <c r="J7568" s="1" t="n">
        <v>47279</v>
      </c>
      <c r="K7568" s="1" t="n">
        <v>7898567700944</v>
      </c>
      <c r="L7568" s="1" t="s">
        <v>4738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5" t="n">
        <v>46248</v>
      </c>
      <c r="C7569" s="1" t="n">
        <v>11</v>
      </c>
      <c r="D7569" s="1" t="s">
        <v>2290</v>
      </c>
      <c r="E7569" s="1" t="n">
        <v>1804</v>
      </c>
      <c r="F7569" s="1" t="s">
        <v>699</v>
      </c>
      <c r="I7569" s="1" t="n">
        <v>26350</v>
      </c>
      <c r="J7569" s="1" t="n">
        <v>49142</v>
      </c>
      <c r="K7569" s="1" t="n">
        <v>7891340365576</v>
      </c>
      <c r="L7569" s="1" t="s">
        <v>2776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5" t="n">
        <v>46248</v>
      </c>
      <c r="C7570" s="1" t="n">
        <v>11</v>
      </c>
      <c r="D7570" s="1" t="s">
        <v>2290</v>
      </c>
      <c r="E7570" s="1" t="n">
        <v>1804</v>
      </c>
      <c r="F7570" s="1" t="s">
        <v>699</v>
      </c>
      <c r="I7570" s="1" t="n">
        <v>26350</v>
      </c>
      <c r="J7570" s="1" t="n">
        <v>51927</v>
      </c>
      <c r="K7570" s="1" t="n">
        <v>7898146000045</v>
      </c>
      <c r="L7570" s="1" t="s">
        <v>4739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5" t="n">
        <v>46248</v>
      </c>
      <c r="C7571" s="1" t="n">
        <v>11</v>
      </c>
      <c r="D7571" s="1" t="s">
        <v>2290</v>
      </c>
      <c r="E7571" s="1" t="n">
        <v>1804</v>
      </c>
      <c r="F7571" s="1" t="s">
        <v>699</v>
      </c>
      <c r="I7571" s="1" t="n">
        <v>26350</v>
      </c>
      <c r="J7571" s="1" t="n">
        <v>56843</v>
      </c>
      <c r="K7571" s="1" t="n">
        <v>7898567702900</v>
      </c>
      <c r="L7571" s="1" t="s">
        <v>4740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5" t="n">
        <v>46248</v>
      </c>
      <c r="C7572" s="1" t="n">
        <v>11</v>
      </c>
      <c r="D7572" s="1" t="s">
        <v>2290</v>
      </c>
      <c r="E7572" s="1" t="n">
        <v>1804</v>
      </c>
      <c r="F7572" s="1" t="s">
        <v>699</v>
      </c>
      <c r="I7572" s="1" t="n">
        <v>26350</v>
      </c>
      <c r="J7572" s="1" t="n">
        <v>64466</v>
      </c>
      <c r="K7572" s="1" t="n">
        <v>7908435500900</v>
      </c>
      <c r="L7572" s="1" t="s">
        <v>2922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5" t="n">
        <v>46248</v>
      </c>
      <c r="C7573" s="1" t="n">
        <v>11</v>
      </c>
      <c r="D7573" s="1" t="s">
        <v>2290</v>
      </c>
      <c r="E7573" s="1" t="n">
        <v>1804</v>
      </c>
      <c r="F7573" s="1" t="s">
        <v>699</v>
      </c>
      <c r="I7573" s="1" t="n">
        <v>26350</v>
      </c>
      <c r="J7573" s="1" t="n">
        <v>64768</v>
      </c>
      <c r="K7573" s="1" t="n">
        <v>7908435500917</v>
      </c>
      <c r="L7573" s="1" t="s">
        <v>2922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5" t="n">
        <v>46248</v>
      </c>
      <c r="C7574" s="1" t="n">
        <v>11</v>
      </c>
      <c r="D7574" s="1" t="s">
        <v>2290</v>
      </c>
      <c r="E7574" s="1" t="n">
        <v>1804</v>
      </c>
      <c r="F7574" s="1" t="s">
        <v>699</v>
      </c>
      <c r="I7574" s="1" t="n">
        <v>26350</v>
      </c>
      <c r="J7574" s="1" t="n">
        <v>66641</v>
      </c>
      <c r="K7574" s="1" t="n">
        <v>7896060402242</v>
      </c>
      <c r="L7574" s="1" t="s">
        <v>4741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5" t="n">
        <v>46248</v>
      </c>
      <c r="C7575" s="1" t="n">
        <v>11</v>
      </c>
      <c r="D7575" s="1" t="s">
        <v>2290</v>
      </c>
      <c r="E7575" s="1" t="n">
        <v>1804</v>
      </c>
      <c r="F7575" s="1" t="s">
        <v>699</v>
      </c>
      <c r="I7575" s="1" t="n">
        <v>26350</v>
      </c>
      <c r="J7575" s="1" t="n">
        <v>66642</v>
      </c>
      <c r="K7575" s="1" t="n">
        <v>7896060402167</v>
      </c>
      <c r="L7575" s="1" t="s">
        <v>4741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5" t="n">
        <v>46248</v>
      </c>
      <c r="C7576" s="1" t="n">
        <v>11</v>
      </c>
      <c r="D7576" s="1" t="s">
        <v>2290</v>
      </c>
      <c r="E7576" s="1" t="n">
        <v>1804</v>
      </c>
      <c r="F7576" s="1" t="s">
        <v>699</v>
      </c>
      <c r="I7576" s="1" t="n">
        <v>26350</v>
      </c>
      <c r="J7576" s="1" t="n">
        <v>66643</v>
      </c>
      <c r="K7576" s="1" t="n">
        <v>7896060402204</v>
      </c>
      <c r="L7576" s="1" t="s">
        <v>4741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5" t="n">
        <v>46248</v>
      </c>
      <c r="C7577" s="1" t="n">
        <v>11</v>
      </c>
      <c r="D7577" s="1" t="s">
        <v>2290</v>
      </c>
      <c r="E7577" s="1" t="n">
        <v>1804</v>
      </c>
      <c r="F7577" s="1" t="s">
        <v>699</v>
      </c>
      <c r="I7577" s="1" t="n">
        <v>26350</v>
      </c>
      <c r="J7577" s="1" t="n">
        <v>71645</v>
      </c>
      <c r="K7577" s="1" t="n">
        <v>7898567705987</v>
      </c>
      <c r="L7577" s="1" t="s">
        <v>4742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5" t="n">
        <v>46248</v>
      </c>
      <c r="C7578" s="1" t="n">
        <v>11</v>
      </c>
      <c r="D7578" s="1" t="s">
        <v>2290</v>
      </c>
      <c r="E7578" s="1" t="n">
        <v>1804</v>
      </c>
      <c r="F7578" s="1" t="s">
        <v>699</v>
      </c>
      <c r="I7578" s="1" t="n">
        <v>26350</v>
      </c>
      <c r="J7578" s="1" t="n">
        <v>76333</v>
      </c>
      <c r="K7578" s="1" t="n">
        <v>7891340365866</v>
      </c>
      <c r="L7578" s="1" t="s">
        <v>4743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5" t="n">
        <v>46248</v>
      </c>
      <c r="C7579" s="1" t="n">
        <v>11</v>
      </c>
      <c r="D7579" s="1" t="s">
        <v>2290</v>
      </c>
      <c r="E7579" s="1" t="n">
        <v>1804</v>
      </c>
      <c r="F7579" s="1" t="s">
        <v>699</v>
      </c>
      <c r="I7579" s="1" t="n">
        <v>26350</v>
      </c>
      <c r="J7579" s="1" t="n">
        <v>76336</v>
      </c>
      <c r="K7579" s="1" t="n">
        <v>7891340365835</v>
      </c>
      <c r="L7579" s="1" t="s">
        <v>4744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5" t="n">
        <v>46248</v>
      </c>
      <c r="C7580" s="1" t="n">
        <v>11</v>
      </c>
      <c r="D7580" s="1" t="s">
        <v>2290</v>
      </c>
      <c r="E7580" s="1" t="n">
        <v>1804</v>
      </c>
      <c r="F7580" s="1" t="s">
        <v>699</v>
      </c>
      <c r="I7580" s="1" t="n">
        <v>26350</v>
      </c>
      <c r="J7580" s="1" t="n">
        <v>76341</v>
      </c>
      <c r="K7580" s="1" t="n">
        <v>7891340365859</v>
      </c>
      <c r="L7580" s="1" t="s">
        <v>4745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5" t="n">
        <v>46248</v>
      </c>
      <c r="C7581" s="1" t="n">
        <v>11</v>
      </c>
      <c r="D7581" s="1" t="s">
        <v>2290</v>
      </c>
      <c r="E7581" s="1" t="n">
        <v>1804</v>
      </c>
      <c r="F7581" s="1" t="s">
        <v>699</v>
      </c>
      <c r="I7581" s="1" t="n">
        <v>26350</v>
      </c>
      <c r="J7581" s="1" t="n">
        <v>76342</v>
      </c>
      <c r="K7581" s="1" t="n">
        <v>7891340365842</v>
      </c>
      <c r="L7581" s="1" t="s">
        <v>4746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5" t="n">
        <v>46248</v>
      </c>
      <c r="C7582" s="1" t="n">
        <v>11</v>
      </c>
      <c r="D7582" s="1" t="s">
        <v>2290</v>
      </c>
      <c r="E7582" s="1" t="n">
        <v>1804</v>
      </c>
      <c r="F7582" s="1" t="s">
        <v>699</v>
      </c>
      <c r="I7582" s="1" t="n">
        <v>26350</v>
      </c>
      <c r="J7582" s="1" t="n">
        <v>76344</v>
      </c>
      <c r="K7582" s="1" t="n">
        <v>7891340365873</v>
      </c>
      <c r="L7582" s="1" t="s">
        <v>4747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5" t="n">
        <v>46248</v>
      </c>
      <c r="C7583" s="1" t="n">
        <v>11</v>
      </c>
      <c r="D7583" s="1" t="s">
        <v>2290</v>
      </c>
      <c r="E7583" s="1" t="n">
        <v>1804</v>
      </c>
      <c r="F7583" s="1" t="s">
        <v>699</v>
      </c>
      <c r="I7583" s="1" t="n">
        <v>26350</v>
      </c>
      <c r="J7583" s="1" t="n">
        <v>81766</v>
      </c>
      <c r="K7583" s="1" t="n">
        <v>7898979027004</v>
      </c>
      <c r="L7583" s="1" t="s">
        <v>4748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5" t="n">
        <v>46248</v>
      </c>
      <c r="C7584" s="1" t="n">
        <v>11</v>
      </c>
      <c r="D7584" s="1" t="s">
        <v>2290</v>
      </c>
      <c r="E7584" s="1" t="n">
        <v>1804</v>
      </c>
      <c r="F7584" s="1" t="s">
        <v>699</v>
      </c>
      <c r="I7584" s="1" t="n">
        <v>26350</v>
      </c>
      <c r="J7584" s="1" t="n">
        <v>81767</v>
      </c>
      <c r="K7584" s="1" t="n">
        <v>7898979027011</v>
      </c>
      <c r="L7584" s="1" t="s">
        <v>4749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5" t="n">
        <v>46248</v>
      </c>
      <c r="C7585" s="1" t="n">
        <v>11</v>
      </c>
      <c r="D7585" s="1" t="s">
        <v>2290</v>
      </c>
      <c r="E7585" s="1" t="n">
        <v>1804</v>
      </c>
      <c r="F7585" s="1" t="s">
        <v>699</v>
      </c>
      <c r="I7585" s="1" t="n">
        <v>26350</v>
      </c>
      <c r="J7585" s="1" t="n">
        <v>82058</v>
      </c>
      <c r="K7585" s="1" t="n">
        <v>7898959802225</v>
      </c>
      <c r="L7585" s="1" t="s">
        <v>4750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5" t="n">
        <v>46248</v>
      </c>
      <c r="C7586" s="1" t="n">
        <v>11</v>
      </c>
      <c r="D7586" s="1" t="s">
        <v>2290</v>
      </c>
      <c r="E7586" s="1" t="n">
        <v>1804</v>
      </c>
      <c r="F7586" s="1" t="s">
        <v>699</v>
      </c>
      <c r="I7586" s="1" t="n">
        <v>26350</v>
      </c>
      <c r="J7586" s="1" t="n">
        <v>82059</v>
      </c>
      <c r="K7586" s="1" t="n">
        <v>7898979027028</v>
      </c>
      <c r="L7586" s="1" t="s">
        <v>4751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5" t="n">
        <v>46248</v>
      </c>
      <c r="C7587" s="1" t="n">
        <v>11</v>
      </c>
      <c r="D7587" s="1" t="s">
        <v>2290</v>
      </c>
      <c r="E7587" s="1" t="n">
        <v>1678</v>
      </c>
      <c r="F7587" s="1" t="s">
        <v>190</v>
      </c>
      <c r="I7587" s="1" t="n">
        <v>163841</v>
      </c>
      <c r="J7587" s="1" t="n">
        <v>100192</v>
      </c>
      <c r="K7587" s="1" t="n">
        <v>7898437140023</v>
      </c>
      <c r="L7587" s="1" t="s">
        <v>4752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5" t="n">
        <v>46248</v>
      </c>
      <c r="C7588" s="1" t="n">
        <v>11</v>
      </c>
      <c r="D7588" s="1" t="s">
        <v>2290</v>
      </c>
      <c r="E7588" s="1" t="n">
        <v>1678</v>
      </c>
      <c r="F7588" s="1" t="s">
        <v>190</v>
      </c>
      <c r="I7588" s="1" t="n">
        <v>163841</v>
      </c>
      <c r="J7588" s="1" t="n">
        <v>100197</v>
      </c>
      <c r="K7588" s="1" t="n">
        <v>7898437140047</v>
      </c>
      <c r="L7588" s="1" t="s">
        <v>4753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5" t="n">
        <v>46248</v>
      </c>
      <c r="C7589" s="1" t="n">
        <v>11</v>
      </c>
      <c r="D7589" s="1" t="s">
        <v>2290</v>
      </c>
      <c r="E7589" s="1" t="n">
        <v>1678</v>
      </c>
      <c r="F7589" s="1" t="s">
        <v>190</v>
      </c>
      <c r="I7589" s="1" t="n">
        <v>163841</v>
      </c>
      <c r="J7589" s="1" t="n">
        <v>101367</v>
      </c>
      <c r="K7589" s="1" t="n">
        <v>7897057800034</v>
      </c>
      <c r="L7589" s="1" t="s">
        <v>4754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5" t="n">
        <v>46248</v>
      </c>
      <c r="C7590" s="1" t="n">
        <v>11</v>
      </c>
      <c r="D7590" s="1" t="s">
        <v>2290</v>
      </c>
      <c r="E7590" s="1" t="n">
        <v>1678</v>
      </c>
      <c r="F7590" s="1" t="s">
        <v>190</v>
      </c>
      <c r="I7590" s="1" t="n">
        <v>163841</v>
      </c>
      <c r="J7590" s="1" t="n">
        <v>105290</v>
      </c>
      <c r="K7590" s="1" t="n">
        <v>7898437140825</v>
      </c>
      <c r="L7590" s="1" t="s">
        <v>4755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5" t="n">
        <v>46248</v>
      </c>
      <c r="C7591" s="1" t="n">
        <v>11</v>
      </c>
      <c r="D7591" s="1" t="s">
        <v>2290</v>
      </c>
      <c r="E7591" s="1" t="n">
        <v>1678</v>
      </c>
      <c r="F7591" s="1" t="s">
        <v>190</v>
      </c>
      <c r="I7591" s="1" t="n">
        <v>163841</v>
      </c>
      <c r="J7591" s="1" t="n">
        <v>13190</v>
      </c>
      <c r="K7591" s="1" t="n">
        <v>7898437140085</v>
      </c>
      <c r="L7591" s="1" t="s">
        <v>4756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5" t="n">
        <v>46248</v>
      </c>
      <c r="C7592" s="1" t="n">
        <v>11</v>
      </c>
      <c r="D7592" s="1" t="s">
        <v>2290</v>
      </c>
      <c r="E7592" s="1" t="n">
        <v>1678</v>
      </c>
      <c r="F7592" s="1" t="s">
        <v>190</v>
      </c>
      <c r="I7592" s="1" t="n">
        <v>163841</v>
      </c>
      <c r="J7592" s="1" t="n">
        <v>13739</v>
      </c>
      <c r="K7592" s="1" t="n">
        <v>7898437140832</v>
      </c>
      <c r="L7592" s="1" t="s">
        <v>2961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5" t="n">
        <v>46248</v>
      </c>
      <c r="C7593" s="1" t="n">
        <v>11</v>
      </c>
      <c r="D7593" s="1" t="s">
        <v>2290</v>
      </c>
      <c r="E7593" s="1" t="n">
        <v>1678</v>
      </c>
      <c r="F7593" s="1" t="s">
        <v>190</v>
      </c>
      <c r="I7593" s="1" t="n">
        <v>163841</v>
      </c>
      <c r="J7593" s="1" t="n">
        <v>13740</v>
      </c>
      <c r="K7593" s="1" t="n">
        <v>7898437140894</v>
      </c>
      <c r="L7593" s="1" t="s">
        <v>4757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5" t="n">
        <v>46248</v>
      </c>
      <c r="C7594" s="1" t="n">
        <v>11</v>
      </c>
      <c r="D7594" s="1" t="s">
        <v>2290</v>
      </c>
      <c r="E7594" s="1" t="n">
        <v>1678</v>
      </c>
      <c r="F7594" s="1" t="s">
        <v>190</v>
      </c>
      <c r="I7594" s="1" t="n">
        <v>163841</v>
      </c>
      <c r="J7594" s="1" t="n">
        <v>13741</v>
      </c>
      <c r="K7594" s="1" t="n">
        <v>7898437140887</v>
      </c>
      <c r="L7594" s="1" t="s">
        <v>2962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5" t="n">
        <v>46248</v>
      </c>
      <c r="C7595" s="1" t="n">
        <v>11</v>
      </c>
      <c r="D7595" s="1" t="s">
        <v>2290</v>
      </c>
      <c r="E7595" s="1" t="n">
        <v>1678</v>
      </c>
      <c r="F7595" s="1" t="s">
        <v>190</v>
      </c>
      <c r="I7595" s="1" t="n">
        <v>163841</v>
      </c>
      <c r="J7595" s="1" t="n">
        <v>13951</v>
      </c>
      <c r="K7595" s="1" t="n">
        <v>7898437140870</v>
      </c>
      <c r="L7595" s="1" t="s">
        <v>4758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5" t="n">
        <v>46248</v>
      </c>
      <c r="C7596" s="1" t="n">
        <v>11</v>
      </c>
      <c r="D7596" s="1" t="s">
        <v>2290</v>
      </c>
      <c r="E7596" s="1" t="n">
        <v>1678</v>
      </c>
      <c r="F7596" s="1" t="s">
        <v>190</v>
      </c>
      <c r="I7596" s="1" t="n">
        <v>163841</v>
      </c>
      <c r="J7596" s="1" t="n">
        <v>13952</v>
      </c>
      <c r="K7596" s="1" t="n">
        <v>7898437140863</v>
      </c>
      <c r="L7596" s="1" t="s">
        <v>2963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5" t="n">
        <v>46248</v>
      </c>
      <c r="C7597" s="1" t="n">
        <v>11</v>
      </c>
      <c r="D7597" s="1" t="s">
        <v>2290</v>
      </c>
      <c r="E7597" s="1" t="n">
        <v>1678</v>
      </c>
      <c r="F7597" s="1" t="s">
        <v>190</v>
      </c>
      <c r="I7597" s="1" t="n">
        <v>163841</v>
      </c>
      <c r="J7597" s="1" t="n">
        <v>13953</v>
      </c>
      <c r="K7597" s="1" t="n">
        <v>7898437140764</v>
      </c>
      <c r="L7597" s="1" t="s">
        <v>4759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5" t="n">
        <v>46248</v>
      </c>
      <c r="C7598" s="1" t="n">
        <v>11</v>
      </c>
      <c r="D7598" s="1" t="s">
        <v>2290</v>
      </c>
      <c r="E7598" s="1" t="n">
        <v>1678</v>
      </c>
      <c r="F7598" s="1" t="s">
        <v>190</v>
      </c>
      <c r="I7598" s="1" t="n">
        <v>163841</v>
      </c>
      <c r="J7598" s="1" t="n">
        <v>15397</v>
      </c>
      <c r="K7598" s="1" t="n">
        <v>7898927045012</v>
      </c>
      <c r="L7598" s="1" t="s">
        <v>2966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5" t="n">
        <v>46248</v>
      </c>
      <c r="C7599" s="1" t="n">
        <v>11</v>
      </c>
      <c r="D7599" s="1" t="s">
        <v>2290</v>
      </c>
      <c r="E7599" s="1" t="n">
        <v>1678</v>
      </c>
      <c r="F7599" s="1" t="s">
        <v>190</v>
      </c>
      <c r="I7599" s="1" t="n">
        <v>163841</v>
      </c>
      <c r="J7599" s="1" t="n">
        <v>21210</v>
      </c>
      <c r="K7599" s="1" t="n">
        <v>7898437141280</v>
      </c>
      <c r="L7599" s="1" t="s">
        <v>4760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5" t="n">
        <v>46248</v>
      </c>
      <c r="C7600" s="1" t="n">
        <v>11</v>
      </c>
      <c r="D7600" s="1" t="s">
        <v>2290</v>
      </c>
      <c r="E7600" s="1" t="n">
        <v>1678</v>
      </c>
      <c r="F7600" s="1" t="s">
        <v>190</v>
      </c>
      <c r="I7600" s="1" t="n">
        <v>163841</v>
      </c>
      <c r="J7600" s="1" t="n">
        <v>21549</v>
      </c>
      <c r="K7600" s="1" t="n">
        <v>7898437140818</v>
      </c>
      <c r="L7600" s="1" t="s">
        <v>2971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5" t="n">
        <v>46248</v>
      </c>
      <c r="C7601" s="1" t="n">
        <v>11</v>
      </c>
      <c r="D7601" s="1" t="s">
        <v>2290</v>
      </c>
      <c r="E7601" s="1" t="n">
        <v>1678</v>
      </c>
      <c r="F7601" s="1" t="s">
        <v>190</v>
      </c>
      <c r="I7601" s="1" t="n">
        <v>163841</v>
      </c>
      <c r="J7601" s="1" t="n">
        <v>22890</v>
      </c>
      <c r="K7601" s="1" t="n">
        <v>7896020417156</v>
      </c>
      <c r="L7601" s="1" t="s">
        <v>2973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5" t="n">
        <v>46248</v>
      </c>
      <c r="C7602" s="1" t="n">
        <v>11</v>
      </c>
      <c r="D7602" s="1" t="s">
        <v>2290</v>
      </c>
      <c r="E7602" s="1" t="n">
        <v>1678</v>
      </c>
      <c r="F7602" s="1" t="s">
        <v>190</v>
      </c>
      <c r="I7602" s="1" t="n">
        <v>163841</v>
      </c>
      <c r="J7602" s="1" t="n">
        <v>24860</v>
      </c>
      <c r="K7602" s="1" t="n">
        <v>7893515615219</v>
      </c>
      <c r="L7602" s="1" t="s">
        <v>4761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5" t="n">
        <v>46248</v>
      </c>
      <c r="C7603" s="1" t="n">
        <v>11</v>
      </c>
      <c r="D7603" s="1" t="s">
        <v>2290</v>
      </c>
      <c r="E7603" s="1" t="n">
        <v>1678</v>
      </c>
      <c r="F7603" s="1" t="s">
        <v>190</v>
      </c>
      <c r="I7603" s="1" t="n">
        <v>163841</v>
      </c>
      <c r="J7603" s="1" t="n">
        <v>40246</v>
      </c>
      <c r="K7603" s="1" t="n">
        <v>7898927045654</v>
      </c>
      <c r="L7603" s="1" t="s">
        <v>4724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5" t="n">
        <v>46248</v>
      </c>
      <c r="C7604" s="1" t="n">
        <v>11</v>
      </c>
      <c r="D7604" s="1" t="s">
        <v>2290</v>
      </c>
      <c r="E7604" s="1" t="n">
        <v>1678</v>
      </c>
      <c r="F7604" s="1" t="s">
        <v>190</v>
      </c>
      <c r="I7604" s="1" t="n">
        <v>163841</v>
      </c>
      <c r="J7604" s="1" t="n">
        <v>40451</v>
      </c>
      <c r="K7604" s="1" t="n">
        <v>27898437140799</v>
      </c>
      <c r="L7604" s="1" t="s">
        <v>4762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5" t="n">
        <v>46248</v>
      </c>
      <c r="C7605" s="1" t="n">
        <v>11</v>
      </c>
      <c r="D7605" s="1" t="s">
        <v>2290</v>
      </c>
      <c r="E7605" s="1" t="n">
        <v>1678</v>
      </c>
      <c r="F7605" s="1" t="s">
        <v>190</v>
      </c>
      <c r="I7605" s="1" t="n">
        <v>163841</v>
      </c>
      <c r="J7605" s="1" t="n">
        <v>46235</v>
      </c>
      <c r="K7605" s="1" t="n">
        <v>7896020470120</v>
      </c>
      <c r="L7605" s="1" t="s">
        <v>2975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5" t="n">
        <v>46248</v>
      </c>
      <c r="C7606" s="1" t="n">
        <v>11</v>
      </c>
      <c r="D7606" s="1" t="s">
        <v>2290</v>
      </c>
      <c r="E7606" s="1" t="n">
        <v>1678</v>
      </c>
      <c r="F7606" s="1" t="s">
        <v>190</v>
      </c>
      <c r="I7606" s="1" t="n">
        <v>163841</v>
      </c>
      <c r="J7606" s="1" t="n">
        <v>52167</v>
      </c>
      <c r="K7606" s="1" t="n">
        <v>7898650900381</v>
      </c>
      <c r="L7606" s="1" t="s">
        <v>4763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5" t="n">
        <v>46248</v>
      </c>
      <c r="C7607" s="1" t="n">
        <v>11</v>
      </c>
      <c r="D7607" s="1" t="s">
        <v>2290</v>
      </c>
      <c r="E7607" s="1" t="n">
        <v>1678</v>
      </c>
      <c r="F7607" s="1" t="s">
        <v>190</v>
      </c>
      <c r="I7607" s="1" t="n">
        <v>163841</v>
      </c>
      <c r="J7607" s="1" t="n">
        <v>52234</v>
      </c>
      <c r="K7607" s="1" t="n">
        <v>7898650900329</v>
      </c>
      <c r="L7607" s="1" t="s">
        <v>2978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5" t="n">
        <v>46248</v>
      </c>
      <c r="C7608" s="1" t="n">
        <v>11</v>
      </c>
      <c r="D7608" s="1" t="s">
        <v>2290</v>
      </c>
      <c r="E7608" s="1" t="n">
        <v>1678</v>
      </c>
      <c r="F7608" s="1" t="s">
        <v>190</v>
      </c>
      <c r="I7608" s="1" t="n">
        <v>163841</v>
      </c>
      <c r="J7608" s="1" t="n">
        <v>53217</v>
      </c>
      <c r="K7608" s="1" t="n">
        <v>7501843501707</v>
      </c>
      <c r="L7608" s="1" t="s">
        <v>2979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5" t="n">
        <v>46248</v>
      </c>
      <c r="C7609" s="1" t="n">
        <v>11</v>
      </c>
      <c r="D7609" s="1" t="s">
        <v>2290</v>
      </c>
      <c r="E7609" s="1" t="n">
        <v>1678</v>
      </c>
      <c r="F7609" s="1" t="s">
        <v>190</v>
      </c>
      <c r="I7609" s="1" t="n">
        <v>163841</v>
      </c>
      <c r="J7609" s="1" t="n">
        <v>55649</v>
      </c>
      <c r="K7609" s="1" t="n">
        <v>7898558790947</v>
      </c>
      <c r="L7609" s="1" t="s">
        <v>4764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5" t="n">
        <v>46248</v>
      </c>
      <c r="C7610" s="1" t="n">
        <v>11</v>
      </c>
      <c r="D7610" s="1" t="s">
        <v>2290</v>
      </c>
      <c r="E7610" s="1" t="n">
        <v>1678</v>
      </c>
      <c r="F7610" s="1" t="s">
        <v>190</v>
      </c>
      <c r="I7610" s="1" t="n">
        <v>163841</v>
      </c>
      <c r="J7610" s="1" t="n">
        <v>63174</v>
      </c>
      <c r="K7610" s="1" t="n">
        <v>7898949961857</v>
      </c>
      <c r="L7610" s="1" t="s">
        <v>4765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5" t="n">
        <v>46248</v>
      </c>
      <c r="C7611" s="1" t="n">
        <v>11</v>
      </c>
      <c r="D7611" s="1" t="s">
        <v>2290</v>
      </c>
      <c r="E7611" s="1" t="n">
        <v>1678</v>
      </c>
      <c r="F7611" s="1" t="s">
        <v>190</v>
      </c>
      <c r="I7611" s="1" t="n">
        <v>163841</v>
      </c>
      <c r="J7611" s="1" t="n">
        <v>64701</v>
      </c>
      <c r="K7611" s="1" t="n">
        <v>7898650900367</v>
      </c>
      <c r="L7611" s="1" t="s">
        <v>4766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5" t="n">
        <v>46248</v>
      </c>
      <c r="C7612" s="1" t="n">
        <v>11</v>
      </c>
      <c r="D7612" s="1" t="s">
        <v>2290</v>
      </c>
      <c r="E7612" s="1" t="n">
        <v>1678</v>
      </c>
      <c r="F7612" s="1" t="s">
        <v>190</v>
      </c>
      <c r="I7612" s="1" t="n">
        <v>163841</v>
      </c>
      <c r="J7612" s="1" t="n">
        <v>68089</v>
      </c>
      <c r="K7612" s="1" t="n">
        <v>7898743960698</v>
      </c>
      <c r="L7612" s="1" t="s">
        <v>4767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5" t="n">
        <v>46248</v>
      </c>
      <c r="C7613" s="1" t="n">
        <v>11</v>
      </c>
      <c r="D7613" s="1" t="s">
        <v>2290</v>
      </c>
      <c r="E7613" s="1" t="n">
        <v>1723</v>
      </c>
      <c r="F7613" s="1" t="s">
        <v>76</v>
      </c>
      <c r="I7613" s="1" t="n">
        <v>174810</v>
      </c>
      <c r="J7613" s="1" t="n">
        <v>29080</v>
      </c>
      <c r="K7613" s="1" t="n">
        <v>55516</v>
      </c>
      <c r="L7613" s="1" t="s">
        <v>2362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5" t="n">
        <v>46248</v>
      </c>
      <c r="C7614" s="1" t="n">
        <v>11</v>
      </c>
      <c r="D7614" s="1" t="s">
        <v>2290</v>
      </c>
      <c r="E7614" s="1" t="n">
        <v>1723</v>
      </c>
      <c r="F7614" s="1" t="s">
        <v>76</v>
      </c>
      <c r="I7614" s="1" t="n">
        <v>174810</v>
      </c>
      <c r="J7614" s="1" t="n">
        <v>110231</v>
      </c>
      <c r="K7614" s="1" t="n">
        <v>38306</v>
      </c>
      <c r="L7614" s="1" t="s">
        <v>2363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5" t="n">
        <v>46248</v>
      </c>
      <c r="C7615" s="1" t="n">
        <v>11</v>
      </c>
      <c r="D7615" s="1" t="s">
        <v>2290</v>
      </c>
      <c r="E7615" s="1" t="n">
        <v>1723</v>
      </c>
      <c r="F7615" s="1" t="s">
        <v>76</v>
      </c>
      <c r="I7615" s="1" t="n">
        <v>174894</v>
      </c>
      <c r="J7615" s="1" t="n">
        <v>29080</v>
      </c>
      <c r="K7615" s="1" t="n">
        <v>55516</v>
      </c>
      <c r="L7615" s="1" t="s">
        <v>2362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5" t="n">
        <v>46248</v>
      </c>
      <c r="C7616" s="1" t="n">
        <v>22</v>
      </c>
      <c r="D7616" s="1" t="s">
        <v>2436</v>
      </c>
      <c r="E7616" s="1" t="n">
        <v>42</v>
      </c>
      <c r="F7616" s="1" t="s">
        <v>80</v>
      </c>
      <c r="I7616" s="1" t="n">
        <v>4500</v>
      </c>
      <c r="J7616" s="1" t="n">
        <v>100000</v>
      </c>
      <c r="K7616" s="1" t="n">
        <v>1</v>
      </c>
      <c r="L7616" s="1" t="s">
        <v>2451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5" t="n">
        <v>46248</v>
      </c>
      <c r="C7617" s="1" t="n">
        <v>22</v>
      </c>
      <c r="D7617" s="1" t="s">
        <v>2436</v>
      </c>
      <c r="E7617" s="1" t="n">
        <v>42</v>
      </c>
      <c r="F7617" s="1" t="s">
        <v>80</v>
      </c>
      <c r="I7617" s="1" t="n">
        <v>4500</v>
      </c>
      <c r="J7617" s="1" t="n">
        <v>100000</v>
      </c>
      <c r="K7617" s="1" t="n">
        <v>1</v>
      </c>
      <c r="L7617" s="1" t="s">
        <v>2451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5" t="n">
        <v>46248</v>
      </c>
      <c r="C7618" s="1" t="n">
        <v>22</v>
      </c>
      <c r="D7618" s="1" t="s">
        <v>2436</v>
      </c>
      <c r="E7618" s="1" t="n">
        <v>42</v>
      </c>
      <c r="F7618" s="1" t="s">
        <v>80</v>
      </c>
      <c r="I7618" s="1" t="n">
        <v>4500</v>
      </c>
      <c r="J7618" s="1" t="n">
        <v>100001</v>
      </c>
      <c r="K7618" s="1" t="n">
        <v>2</v>
      </c>
      <c r="L7618" s="1" t="s">
        <v>2452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5" t="n">
        <v>46248</v>
      </c>
      <c r="C7619" s="1" t="n">
        <v>22</v>
      </c>
      <c r="D7619" s="1" t="s">
        <v>2436</v>
      </c>
      <c r="E7619" s="1" t="n">
        <v>42</v>
      </c>
      <c r="F7619" s="1" t="s">
        <v>80</v>
      </c>
      <c r="I7619" s="1" t="n">
        <v>4500</v>
      </c>
      <c r="J7619" s="1" t="n">
        <v>100002</v>
      </c>
      <c r="K7619" s="1" t="n">
        <v>3</v>
      </c>
      <c r="L7619" s="1" t="s">
        <v>2453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5" t="n">
        <v>46248</v>
      </c>
      <c r="C7620" s="1" t="n">
        <v>22</v>
      </c>
      <c r="D7620" s="1" t="s">
        <v>2436</v>
      </c>
      <c r="E7620" s="1" t="n">
        <v>42</v>
      </c>
      <c r="F7620" s="1" t="s">
        <v>80</v>
      </c>
      <c r="I7620" s="1" t="n">
        <v>4500</v>
      </c>
      <c r="J7620" s="1" t="n">
        <v>100003</v>
      </c>
      <c r="K7620" s="1" t="n">
        <v>4</v>
      </c>
      <c r="L7620" s="1" t="s">
        <v>2454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5" t="n">
        <v>46248</v>
      </c>
      <c r="C7621" s="1" t="n">
        <v>22</v>
      </c>
      <c r="D7621" s="1" t="s">
        <v>2436</v>
      </c>
      <c r="E7621" s="1" t="n">
        <v>42</v>
      </c>
      <c r="F7621" s="1" t="s">
        <v>80</v>
      </c>
      <c r="I7621" s="1" t="n">
        <v>4500</v>
      </c>
      <c r="J7621" s="1" t="n">
        <v>100006</v>
      </c>
      <c r="K7621" s="1" t="n">
        <v>7</v>
      </c>
      <c r="L7621" s="1" t="s">
        <v>2437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5" t="n">
        <v>46248</v>
      </c>
      <c r="C7622" s="1" t="n">
        <v>22</v>
      </c>
      <c r="D7622" s="1" t="s">
        <v>2436</v>
      </c>
      <c r="E7622" s="1" t="n">
        <v>42</v>
      </c>
      <c r="F7622" s="1" t="s">
        <v>80</v>
      </c>
      <c r="I7622" s="1" t="n">
        <v>4500</v>
      </c>
      <c r="J7622" s="1" t="n">
        <v>100007</v>
      </c>
      <c r="K7622" s="1" t="n">
        <v>8</v>
      </c>
      <c r="L7622" s="1" t="s">
        <v>2455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5" t="n">
        <v>46248</v>
      </c>
      <c r="C7623" s="1" t="n">
        <v>22</v>
      </c>
      <c r="D7623" s="1" t="s">
        <v>2436</v>
      </c>
      <c r="E7623" s="1" t="n">
        <v>42</v>
      </c>
      <c r="F7623" s="1" t="s">
        <v>80</v>
      </c>
      <c r="I7623" s="1" t="n">
        <v>4500</v>
      </c>
      <c r="J7623" s="1" t="n">
        <v>100010</v>
      </c>
      <c r="K7623" s="1" t="n">
        <v>11</v>
      </c>
      <c r="L7623" s="1" t="s">
        <v>2439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5" t="n">
        <v>46248</v>
      </c>
      <c r="C7624" s="1" t="n">
        <v>22</v>
      </c>
      <c r="D7624" s="1" t="s">
        <v>2436</v>
      </c>
      <c r="E7624" s="1" t="n">
        <v>42</v>
      </c>
      <c r="F7624" s="1" t="s">
        <v>80</v>
      </c>
      <c r="I7624" s="1" t="n">
        <v>4500</v>
      </c>
      <c r="J7624" s="1" t="n">
        <v>100011</v>
      </c>
      <c r="K7624" s="1" t="n">
        <v>12</v>
      </c>
      <c r="L7624" s="1" t="s">
        <v>2440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5" t="n">
        <v>46248</v>
      </c>
      <c r="C7625" s="1" t="n">
        <v>22</v>
      </c>
      <c r="D7625" s="1" t="s">
        <v>2436</v>
      </c>
      <c r="E7625" s="1" t="n">
        <v>42</v>
      </c>
      <c r="F7625" s="1" t="s">
        <v>80</v>
      </c>
      <c r="I7625" s="1" t="n">
        <v>4500</v>
      </c>
      <c r="J7625" s="1" t="n">
        <v>100012</v>
      </c>
      <c r="K7625" s="1" t="n">
        <v>13</v>
      </c>
      <c r="L7625" s="1" t="s">
        <v>2441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5" t="n">
        <v>46248</v>
      </c>
      <c r="C7626" s="1" t="n">
        <v>22</v>
      </c>
      <c r="D7626" s="1" t="s">
        <v>2436</v>
      </c>
      <c r="E7626" s="1" t="n">
        <v>42</v>
      </c>
      <c r="F7626" s="1" t="s">
        <v>80</v>
      </c>
      <c r="I7626" s="1" t="n">
        <v>4500</v>
      </c>
      <c r="J7626" s="1" t="n">
        <v>100013</v>
      </c>
      <c r="K7626" s="1" t="n">
        <v>14</v>
      </c>
      <c r="L7626" s="1" t="s">
        <v>2442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5" t="n">
        <v>46248</v>
      </c>
      <c r="C7627" s="1" t="n">
        <v>22</v>
      </c>
      <c r="D7627" s="1" t="s">
        <v>2436</v>
      </c>
      <c r="E7627" s="1" t="n">
        <v>42</v>
      </c>
      <c r="F7627" s="1" t="s">
        <v>80</v>
      </c>
      <c r="I7627" s="1" t="n">
        <v>4500</v>
      </c>
      <c r="J7627" s="1" t="n">
        <v>100014</v>
      </c>
      <c r="K7627" s="1" t="n">
        <v>15</v>
      </c>
      <c r="L7627" s="1" t="s">
        <v>2443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5" t="n">
        <v>46248</v>
      </c>
      <c r="C7628" s="1" t="n">
        <v>22</v>
      </c>
      <c r="D7628" s="1" t="s">
        <v>2436</v>
      </c>
      <c r="E7628" s="1" t="n">
        <v>42</v>
      </c>
      <c r="F7628" s="1" t="s">
        <v>80</v>
      </c>
      <c r="I7628" s="1" t="n">
        <v>4500</v>
      </c>
      <c r="J7628" s="1" t="n">
        <v>100015</v>
      </c>
      <c r="K7628" s="1" t="n">
        <v>16</v>
      </c>
      <c r="L7628" s="1" t="s">
        <v>2444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5" t="n">
        <v>46248</v>
      </c>
      <c r="C7629" s="1" t="n">
        <v>22</v>
      </c>
      <c r="D7629" s="1" t="s">
        <v>2436</v>
      </c>
      <c r="E7629" s="1" t="n">
        <v>42</v>
      </c>
      <c r="F7629" s="1" t="s">
        <v>80</v>
      </c>
      <c r="I7629" s="1" t="n">
        <v>4500</v>
      </c>
      <c r="J7629" s="1" t="n">
        <v>100017</v>
      </c>
      <c r="K7629" s="1" t="n">
        <v>18</v>
      </c>
      <c r="L7629" s="1" t="s">
        <v>2446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5" t="n">
        <v>46248</v>
      </c>
      <c r="C7630" s="1" t="n">
        <v>22</v>
      </c>
      <c r="D7630" s="1" t="s">
        <v>2436</v>
      </c>
      <c r="E7630" s="1" t="n">
        <v>42</v>
      </c>
      <c r="F7630" s="1" t="s">
        <v>80</v>
      </c>
      <c r="I7630" s="1" t="n">
        <v>4500</v>
      </c>
      <c r="J7630" s="1" t="n">
        <v>100638</v>
      </c>
      <c r="K7630" s="1" t="n">
        <v>508</v>
      </c>
      <c r="L7630" s="1" t="s">
        <v>2448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5" t="n">
        <v>46248</v>
      </c>
      <c r="C7631" s="1" t="n">
        <v>22</v>
      </c>
      <c r="D7631" s="1" t="s">
        <v>2436</v>
      </c>
      <c r="E7631" s="1" t="n">
        <v>42</v>
      </c>
      <c r="F7631" s="1" t="s">
        <v>80</v>
      </c>
      <c r="I7631" s="1" t="n">
        <v>4500</v>
      </c>
      <c r="J7631" s="1" t="n">
        <v>100638</v>
      </c>
      <c r="K7631" s="1" t="n">
        <v>508</v>
      </c>
      <c r="L7631" s="1" t="s">
        <v>2448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5" t="n">
        <v>46248</v>
      </c>
      <c r="C7632" s="1" t="n">
        <v>22</v>
      </c>
      <c r="D7632" s="1" t="s">
        <v>2436</v>
      </c>
      <c r="E7632" s="1" t="n">
        <v>42</v>
      </c>
      <c r="F7632" s="1" t="s">
        <v>80</v>
      </c>
      <c r="I7632" s="1" t="n">
        <v>4500</v>
      </c>
      <c r="J7632" s="1" t="n">
        <v>100520</v>
      </c>
      <c r="K7632" s="1" t="n">
        <v>507</v>
      </c>
      <c r="L7632" s="1" t="s">
        <v>2449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5" t="n">
        <v>46248</v>
      </c>
      <c r="C7633" s="1" t="n">
        <v>22</v>
      </c>
      <c r="D7633" s="1" t="s">
        <v>2436</v>
      </c>
      <c r="E7633" s="1" t="n">
        <v>42</v>
      </c>
      <c r="F7633" s="1" t="s">
        <v>80</v>
      </c>
      <c r="I7633" s="1" t="n">
        <v>4500</v>
      </c>
      <c r="J7633" s="1" t="n">
        <v>100520</v>
      </c>
      <c r="K7633" s="1" t="n">
        <v>507</v>
      </c>
      <c r="L7633" s="1" t="s">
        <v>2449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5" t="n">
        <v>46248</v>
      </c>
      <c r="C7634" s="1" t="n">
        <v>22</v>
      </c>
      <c r="D7634" s="1" t="s">
        <v>2436</v>
      </c>
      <c r="E7634" s="1" t="n">
        <v>42</v>
      </c>
      <c r="F7634" s="1" t="s">
        <v>80</v>
      </c>
      <c r="I7634" s="1" t="n">
        <v>4500</v>
      </c>
      <c r="J7634" s="1" t="n">
        <v>110455</v>
      </c>
      <c r="K7634" s="1" t="n">
        <v>53212</v>
      </c>
      <c r="L7634" s="1" t="s">
        <v>2450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5" t="n">
        <v>46248</v>
      </c>
      <c r="C7635" s="1" t="n">
        <v>22</v>
      </c>
      <c r="D7635" s="1" t="s">
        <v>2436</v>
      </c>
      <c r="E7635" s="1" t="n">
        <v>42</v>
      </c>
      <c r="F7635" s="1" t="s">
        <v>80</v>
      </c>
      <c r="I7635" s="1" t="n">
        <v>4500</v>
      </c>
      <c r="J7635" s="1" t="n">
        <v>110455</v>
      </c>
      <c r="K7635" s="1" t="n">
        <v>53212</v>
      </c>
      <c r="L7635" s="1" t="s">
        <v>2450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5" t="n">
        <v>46248</v>
      </c>
      <c r="C7636" s="1" t="n">
        <v>22</v>
      </c>
      <c r="D7636" s="1" t="s">
        <v>2436</v>
      </c>
      <c r="E7636" s="1" t="n">
        <v>42</v>
      </c>
      <c r="F7636" s="1" t="s">
        <v>80</v>
      </c>
      <c r="I7636" s="1" t="n">
        <v>4504</v>
      </c>
      <c r="J7636" s="1" t="n">
        <v>100000</v>
      </c>
      <c r="K7636" s="1" t="n">
        <v>1</v>
      </c>
      <c r="L7636" s="1" t="s">
        <v>2451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5" t="n">
        <v>46248</v>
      </c>
      <c r="C7637" s="1" t="n">
        <v>22</v>
      </c>
      <c r="D7637" s="1" t="s">
        <v>2436</v>
      </c>
      <c r="E7637" s="1" t="n">
        <v>42</v>
      </c>
      <c r="F7637" s="1" t="s">
        <v>80</v>
      </c>
      <c r="I7637" s="1" t="n">
        <v>4504</v>
      </c>
      <c r="J7637" s="1" t="n">
        <v>100001</v>
      </c>
      <c r="K7637" s="1" t="n">
        <v>2</v>
      </c>
      <c r="L7637" s="1" t="s">
        <v>2452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5" t="n">
        <v>46248</v>
      </c>
      <c r="C7638" s="1" t="n">
        <v>22</v>
      </c>
      <c r="D7638" s="1" t="s">
        <v>2436</v>
      </c>
      <c r="E7638" s="1" t="n">
        <v>42</v>
      </c>
      <c r="F7638" s="1" t="s">
        <v>80</v>
      </c>
      <c r="I7638" s="1" t="n">
        <v>4504</v>
      </c>
      <c r="J7638" s="1" t="n">
        <v>100002</v>
      </c>
      <c r="K7638" s="1" t="n">
        <v>3</v>
      </c>
      <c r="L7638" s="1" t="s">
        <v>2453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5" t="n">
        <v>46248</v>
      </c>
      <c r="C7639" s="1" t="n">
        <v>22</v>
      </c>
      <c r="D7639" s="1" t="s">
        <v>2436</v>
      </c>
      <c r="E7639" s="1" t="n">
        <v>42</v>
      </c>
      <c r="F7639" s="1" t="s">
        <v>80</v>
      </c>
      <c r="I7639" s="1" t="n">
        <v>4504</v>
      </c>
      <c r="J7639" s="1" t="n">
        <v>100003</v>
      </c>
      <c r="K7639" s="1" t="n">
        <v>4</v>
      </c>
      <c r="L7639" s="1" t="s">
        <v>2454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5" t="n">
        <v>46248</v>
      </c>
      <c r="C7640" s="1" t="n">
        <v>22</v>
      </c>
      <c r="D7640" s="1" t="s">
        <v>2436</v>
      </c>
      <c r="E7640" s="1" t="n">
        <v>42</v>
      </c>
      <c r="F7640" s="1" t="s">
        <v>80</v>
      </c>
      <c r="I7640" s="1" t="n">
        <v>4504</v>
      </c>
      <c r="J7640" s="1" t="n">
        <v>100007</v>
      </c>
      <c r="K7640" s="1" t="n">
        <v>8</v>
      </c>
      <c r="L7640" s="1" t="s">
        <v>2455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5" t="n">
        <v>46248</v>
      </c>
      <c r="C7641" s="1" t="n">
        <v>22</v>
      </c>
      <c r="D7641" s="1" t="s">
        <v>2436</v>
      </c>
      <c r="E7641" s="1" t="n">
        <v>42</v>
      </c>
      <c r="F7641" s="1" t="s">
        <v>80</v>
      </c>
      <c r="I7641" s="1" t="n">
        <v>4504</v>
      </c>
      <c r="J7641" s="1" t="n">
        <v>100638</v>
      </c>
      <c r="K7641" s="1" t="n">
        <v>508</v>
      </c>
      <c r="L7641" s="1" t="s">
        <v>2448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5" t="n">
        <v>46248</v>
      </c>
      <c r="C7642" s="1" t="n">
        <v>22</v>
      </c>
      <c r="D7642" s="1" t="s">
        <v>2436</v>
      </c>
      <c r="E7642" s="1" t="n">
        <v>42</v>
      </c>
      <c r="F7642" s="1" t="s">
        <v>80</v>
      </c>
      <c r="I7642" s="1" t="n">
        <v>4504</v>
      </c>
      <c r="J7642" s="1" t="n">
        <v>100520</v>
      </c>
      <c r="K7642" s="1" t="n">
        <v>507</v>
      </c>
      <c r="L7642" s="1" t="s">
        <v>2449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5" t="n">
        <v>46248</v>
      </c>
      <c r="C7643" s="1" t="n">
        <v>22</v>
      </c>
      <c r="D7643" s="1" t="s">
        <v>2436</v>
      </c>
      <c r="E7643" s="1" t="n">
        <v>42</v>
      </c>
      <c r="F7643" s="1" t="s">
        <v>80</v>
      </c>
      <c r="I7643" s="1" t="n">
        <v>4504</v>
      </c>
      <c r="J7643" s="1" t="n">
        <v>110455</v>
      </c>
      <c r="K7643" s="1" t="n">
        <v>53212</v>
      </c>
      <c r="L7643" s="1" t="s">
        <v>2450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5" t="n">
        <v>46248</v>
      </c>
      <c r="C7644" s="1" t="n">
        <v>100</v>
      </c>
      <c r="D7644" s="1" t="s">
        <v>2457</v>
      </c>
      <c r="E7644" s="1" t="n">
        <v>42</v>
      </c>
      <c r="F7644" s="1" t="s">
        <v>80</v>
      </c>
      <c r="I7644" s="1" t="n">
        <v>1545658</v>
      </c>
      <c r="J7644" s="1" t="n">
        <v>100000</v>
      </c>
      <c r="K7644" s="1" t="n">
        <v>1</v>
      </c>
      <c r="L7644" s="1" t="s">
        <v>2451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5" t="n">
        <v>46248</v>
      </c>
      <c r="C7645" s="1" t="n">
        <v>100</v>
      </c>
      <c r="D7645" s="1" t="s">
        <v>2457</v>
      </c>
      <c r="E7645" s="1" t="n">
        <v>42</v>
      </c>
      <c r="F7645" s="1" t="s">
        <v>80</v>
      </c>
      <c r="I7645" s="1" t="n">
        <v>1545658</v>
      </c>
      <c r="J7645" s="1" t="n">
        <v>100001</v>
      </c>
      <c r="K7645" s="1" t="n">
        <v>2</v>
      </c>
      <c r="L7645" s="1" t="s">
        <v>2452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5" t="n">
        <v>46248</v>
      </c>
      <c r="C7646" s="1" t="n">
        <v>100</v>
      </c>
      <c r="D7646" s="1" t="s">
        <v>2457</v>
      </c>
      <c r="E7646" s="1" t="n">
        <v>42</v>
      </c>
      <c r="F7646" s="1" t="s">
        <v>80</v>
      </c>
      <c r="I7646" s="1" t="n">
        <v>1545658</v>
      </c>
      <c r="J7646" s="1" t="n">
        <v>100002</v>
      </c>
      <c r="K7646" s="1" t="n">
        <v>3</v>
      </c>
      <c r="L7646" s="1" t="s">
        <v>2453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5" t="n">
        <v>46248</v>
      </c>
      <c r="C7647" s="1" t="n">
        <v>100</v>
      </c>
      <c r="D7647" s="1" t="s">
        <v>2457</v>
      </c>
      <c r="E7647" s="1" t="n">
        <v>42</v>
      </c>
      <c r="F7647" s="1" t="s">
        <v>80</v>
      </c>
      <c r="I7647" s="1" t="n">
        <v>1545658</v>
      </c>
      <c r="J7647" s="1" t="n">
        <v>100003</v>
      </c>
      <c r="K7647" s="1" t="n">
        <v>4</v>
      </c>
      <c r="L7647" s="1" t="s">
        <v>2454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5" t="n">
        <v>46248</v>
      </c>
      <c r="C7648" s="1" t="n">
        <v>100</v>
      </c>
      <c r="D7648" s="1" t="s">
        <v>2457</v>
      </c>
      <c r="E7648" s="1" t="n">
        <v>42</v>
      </c>
      <c r="F7648" s="1" t="s">
        <v>80</v>
      </c>
      <c r="I7648" s="1" t="n">
        <v>1545658</v>
      </c>
      <c r="J7648" s="1" t="n">
        <v>100007</v>
      </c>
      <c r="K7648" s="1" t="n">
        <v>8</v>
      </c>
      <c r="L7648" s="1" t="s">
        <v>2455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5" t="n">
        <v>46248</v>
      </c>
      <c r="C7649" s="1" t="n">
        <v>100</v>
      </c>
      <c r="D7649" s="1" t="s">
        <v>2457</v>
      </c>
      <c r="E7649" s="1" t="n">
        <v>42</v>
      </c>
      <c r="F7649" s="1" t="s">
        <v>80</v>
      </c>
      <c r="I7649" s="1" t="n">
        <v>1545658</v>
      </c>
      <c r="J7649" s="1" t="n">
        <v>100638</v>
      </c>
      <c r="K7649" s="1" t="n">
        <v>508</v>
      </c>
      <c r="L7649" s="1" t="s">
        <v>2448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5" t="n">
        <v>46248</v>
      </c>
      <c r="C7650" s="1" t="n">
        <v>100</v>
      </c>
      <c r="D7650" s="1" t="s">
        <v>2457</v>
      </c>
      <c r="E7650" s="1" t="n">
        <v>42</v>
      </c>
      <c r="F7650" s="1" t="s">
        <v>80</v>
      </c>
      <c r="I7650" s="1" t="n">
        <v>1545658</v>
      </c>
      <c r="J7650" s="1" t="n">
        <v>100520</v>
      </c>
      <c r="K7650" s="1" t="n">
        <v>507</v>
      </c>
      <c r="L7650" s="1" t="s">
        <v>2449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5" t="n">
        <v>46248</v>
      </c>
      <c r="C7651" s="1" t="n">
        <v>100</v>
      </c>
      <c r="D7651" s="1" t="s">
        <v>2457</v>
      </c>
      <c r="E7651" s="1" t="n">
        <v>42</v>
      </c>
      <c r="F7651" s="1" t="s">
        <v>80</v>
      </c>
      <c r="I7651" s="1" t="n">
        <v>1545658</v>
      </c>
      <c r="J7651" s="1" t="n">
        <v>110455</v>
      </c>
      <c r="K7651" s="1" t="n">
        <v>53212</v>
      </c>
      <c r="L7651" s="1" t="s">
        <v>2450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5" t="n">
        <v>46248</v>
      </c>
      <c r="C7652" s="1" t="n">
        <v>100</v>
      </c>
      <c r="D7652" s="1" t="s">
        <v>2457</v>
      </c>
      <c r="E7652" s="1" t="n">
        <v>42</v>
      </c>
      <c r="F7652" s="1" t="s">
        <v>80</v>
      </c>
      <c r="I7652" s="1" t="n">
        <v>1545685</v>
      </c>
      <c r="J7652" s="1" t="n">
        <v>100000</v>
      </c>
      <c r="K7652" s="1" t="n">
        <v>1</v>
      </c>
      <c r="L7652" s="1" t="s">
        <v>2451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5" t="n">
        <v>46248</v>
      </c>
      <c r="C7653" s="1" t="n">
        <v>100</v>
      </c>
      <c r="D7653" s="1" t="s">
        <v>2457</v>
      </c>
      <c r="E7653" s="1" t="n">
        <v>42</v>
      </c>
      <c r="F7653" s="1" t="s">
        <v>80</v>
      </c>
      <c r="I7653" s="1" t="n">
        <v>1545685</v>
      </c>
      <c r="J7653" s="1" t="n">
        <v>100006</v>
      </c>
      <c r="K7653" s="1" t="n">
        <v>7</v>
      </c>
      <c r="L7653" s="1" t="s">
        <v>2437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5" t="n">
        <v>46248</v>
      </c>
      <c r="C7654" s="1" t="n">
        <v>100</v>
      </c>
      <c r="D7654" s="1" t="s">
        <v>2457</v>
      </c>
      <c r="E7654" s="1" t="n">
        <v>42</v>
      </c>
      <c r="F7654" s="1" t="s">
        <v>80</v>
      </c>
      <c r="I7654" s="1" t="n">
        <v>1545685</v>
      </c>
      <c r="J7654" s="1" t="n">
        <v>100010</v>
      </c>
      <c r="K7654" s="1" t="n">
        <v>11</v>
      </c>
      <c r="L7654" s="1" t="s">
        <v>2439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5" t="n">
        <v>46248</v>
      </c>
      <c r="C7655" s="1" t="n">
        <v>100</v>
      </c>
      <c r="D7655" s="1" t="s">
        <v>2457</v>
      </c>
      <c r="E7655" s="1" t="n">
        <v>42</v>
      </c>
      <c r="F7655" s="1" t="s">
        <v>80</v>
      </c>
      <c r="I7655" s="1" t="n">
        <v>1545685</v>
      </c>
      <c r="J7655" s="1" t="n">
        <v>100011</v>
      </c>
      <c r="K7655" s="1" t="n">
        <v>12</v>
      </c>
      <c r="L7655" s="1" t="s">
        <v>2440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5" t="n">
        <v>46248</v>
      </c>
      <c r="C7656" s="1" t="n">
        <v>100</v>
      </c>
      <c r="D7656" s="1" t="s">
        <v>2457</v>
      </c>
      <c r="E7656" s="1" t="n">
        <v>42</v>
      </c>
      <c r="F7656" s="1" t="s">
        <v>80</v>
      </c>
      <c r="I7656" s="1" t="n">
        <v>1545685</v>
      </c>
      <c r="J7656" s="1" t="n">
        <v>100012</v>
      </c>
      <c r="K7656" s="1" t="n">
        <v>13</v>
      </c>
      <c r="L7656" s="1" t="s">
        <v>2441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5" t="n">
        <v>46248</v>
      </c>
      <c r="C7657" s="1" t="n">
        <v>100</v>
      </c>
      <c r="D7657" s="1" t="s">
        <v>2457</v>
      </c>
      <c r="E7657" s="1" t="n">
        <v>42</v>
      </c>
      <c r="F7657" s="1" t="s">
        <v>80</v>
      </c>
      <c r="I7657" s="1" t="n">
        <v>1545685</v>
      </c>
      <c r="J7657" s="1" t="n">
        <v>100013</v>
      </c>
      <c r="K7657" s="1" t="n">
        <v>14</v>
      </c>
      <c r="L7657" s="1" t="s">
        <v>2442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5" t="n">
        <v>46248</v>
      </c>
      <c r="C7658" s="1" t="n">
        <v>100</v>
      </c>
      <c r="D7658" s="1" t="s">
        <v>2457</v>
      </c>
      <c r="E7658" s="1" t="n">
        <v>42</v>
      </c>
      <c r="F7658" s="1" t="s">
        <v>80</v>
      </c>
      <c r="I7658" s="1" t="n">
        <v>1545685</v>
      </c>
      <c r="J7658" s="1" t="n">
        <v>100014</v>
      </c>
      <c r="K7658" s="1" t="n">
        <v>15</v>
      </c>
      <c r="L7658" s="1" t="s">
        <v>2443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5" t="n">
        <v>46248</v>
      </c>
      <c r="C7659" s="1" t="n">
        <v>100</v>
      </c>
      <c r="D7659" s="1" t="s">
        <v>2457</v>
      </c>
      <c r="E7659" s="1" t="n">
        <v>42</v>
      </c>
      <c r="F7659" s="1" t="s">
        <v>80</v>
      </c>
      <c r="I7659" s="1" t="n">
        <v>1545685</v>
      </c>
      <c r="J7659" s="1" t="n">
        <v>100015</v>
      </c>
      <c r="K7659" s="1" t="n">
        <v>16</v>
      </c>
      <c r="L7659" s="1" t="s">
        <v>2444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5" t="n">
        <v>46248</v>
      </c>
      <c r="C7660" s="1" t="n">
        <v>100</v>
      </c>
      <c r="D7660" s="1" t="s">
        <v>2457</v>
      </c>
      <c r="E7660" s="1" t="n">
        <v>42</v>
      </c>
      <c r="F7660" s="1" t="s">
        <v>80</v>
      </c>
      <c r="I7660" s="1" t="n">
        <v>1545685</v>
      </c>
      <c r="J7660" s="1" t="n">
        <v>100017</v>
      </c>
      <c r="K7660" s="1" t="n">
        <v>18</v>
      </c>
      <c r="L7660" s="1" t="s">
        <v>2446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5" t="n">
        <v>46248</v>
      </c>
      <c r="C7661" s="1" t="n">
        <v>100</v>
      </c>
      <c r="D7661" s="1" t="s">
        <v>2457</v>
      </c>
      <c r="E7661" s="1" t="n">
        <v>42</v>
      </c>
      <c r="F7661" s="1" t="s">
        <v>80</v>
      </c>
      <c r="I7661" s="1" t="n">
        <v>1545685</v>
      </c>
      <c r="J7661" s="1" t="n">
        <v>100638</v>
      </c>
      <c r="K7661" s="1" t="n">
        <v>508</v>
      </c>
      <c r="L7661" s="1" t="s">
        <v>2448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5" t="n">
        <v>46248</v>
      </c>
      <c r="C7662" s="1" t="n">
        <v>100</v>
      </c>
      <c r="D7662" s="1" t="s">
        <v>2457</v>
      </c>
      <c r="E7662" s="1" t="n">
        <v>42</v>
      </c>
      <c r="F7662" s="1" t="s">
        <v>80</v>
      </c>
      <c r="I7662" s="1" t="n">
        <v>1545685</v>
      </c>
      <c r="J7662" s="1" t="n">
        <v>100520</v>
      </c>
      <c r="K7662" s="1" t="n">
        <v>507</v>
      </c>
      <c r="L7662" s="1" t="s">
        <v>2449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5" t="n">
        <v>46248</v>
      </c>
      <c r="C7663" s="1" t="n">
        <v>100</v>
      </c>
      <c r="D7663" s="1" t="s">
        <v>2457</v>
      </c>
      <c r="E7663" s="1" t="n">
        <v>42</v>
      </c>
      <c r="F7663" s="1" t="s">
        <v>80</v>
      </c>
      <c r="I7663" s="1" t="n">
        <v>1545685</v>
      </c>
      <c r="J7663" s="1" t="n">
        <v>110455</v>
      </c>
      <c r="K7663" s="1" t="n">
        <v>53212</v>
      </c>
      <c r="L7663" s="1" t="s">
        <v>2450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5" t="n">
        <v>46248</v>
      </c>
      <c r="C7664" s="1" t="n">
        <v>100</v>
      </c>
      <c r="D7664" s="1" t="s">
        <v>2457</v>
      </c>
      <c r="E7664" s="1" t="n">
        <v>42</v>
      </c>
      <c r="F7664" s="1" t="s">
        <v>80</v>
      </c>
      <c r="I7664" s="1" t="n">
        <v>1546727</v>
      </c>
      <c r="J7664" s="1" t="n">
        <v>100000</v>
      </c>
      <c r="K7664" s="1" t="n">
        <v>1</v>
      </c>
      <c r="L7664" s="1" t="s">
        <v>2451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5" t="n">
        <v>46248</v>
      </c>
      <c r="C7665" s="1" t="n">
        <v>100</v>
      </c>
      <c r="D7665" s="1" t="s">
        <v>2457</v>
      </c>
      <c r="E7665" s="1" t="n">
        <v>42</v>
      </c>
      <c r="F7665" s="1" t="s">
        <v>80</v>
      </c>
      <c r="I7665" s="1" t="n">
        <v>1546727</v>
      </c>
      <c r="J7665" s="1" t="n">
        <v>100001</v>
      </c>
      <c r="K7665" s="1" t="n">
        <v>2</v>
      </c>
      <c r="L7665" s="1" t="s">
        <v>2452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5" t="n">
        <v>46248</v>
      </c>
      <c r="C7666" s="1" t="n">
        <v>100</v>
      </c>
      <c r="D7666" s="1" t="s">
        <v>2457</v>
      </c>
      <c r="E7666" s="1" t="n">
        <v>42</v>
      </c>
      <c r="F7666" s="1" t="s">
        <v>80</v>
      </c>
      <c r="I7666" s="1" t="n">
        <v>1546727</v>
      </c>
      <c r="J7666" s="1" t="n">
        <v>100002</v>
      </c>
      <c r="K7666" s="1" t="n">
        <v>3</v>
      </c>
      <c r="L7666" s="1" t="s">
        <v>2453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5" t="n">
        <v>46248</v>
      </c>
      <c r="C7667" s="1" t="n">
        <v>100</v>
      </c>
      <c r="D7667" s="1" t="s">
        <v>2457</v>
      </c>
      <c r="E7667" s="1" t="n">
        <v>42</v>
      </c>
      <c r="F7667" s="1" t="s">
        <v>80</v>
      </c>
      <c r="I7667" s="1" t="n">
        <v>1546727</v>
      </c>
      <c r="J7667" s="1" t="n">
        <v>100003</v>
      </c>
      <c r="K7667" s="1" t="n">
        <v>4</v>
      </c>
      <c r="L7667" s="1" t="s">
        <v>2454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5" t="n">
        <v>46248</v>
      </c>
      <c r="C7668" s="1" t="n">
        <v>100</v>
      </c>
      <c r="D7668" s="1" t="s">
        <v>2457</v>
      </c>
      <c r="E7668" s="1" t="n">
        <v>42</v>
      </c>
      <c r="F7668" s="1" t="s">
        <v>80</v>
      </c>
      <c r="I7668" s="1" t="n">
        <v>1546727</v>
      </c>
      <c r="J7668" s="1" t="n">
        <v>100007</v>
      </c>
      <c r="K7668" s="1" t="n">
        <v>8</v>
      </c>
      <c r="L7668" s="1" t="s">
        <v>2455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5" t="n">
        <v>46248</v>
      </c>
      <c r="C7669" s="1" t="n">
        <v>100</v>
      </c>
      <c r="D7669" s="1" t="s">
        <v>2457</v>
      </c>
      <c r="E7669" s="1" t="n">
        <v>42</v>
      </c>
      <c r="F7669" s="1" t="s">
        <v>80</v>
      </c>
      <c r="I7669" s="1" t="n">
        <v>1546727</v>
      </c>
      <c r="J7669" s="1" t="n">
        <v>100638</v>
      </c>
      <c r="K7669" s="1" t="n">
        <v>508</v>
      </c>
      <c r="L7669" s="1" t="s">
        <v>2448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5" t="n">
        <v>46248</v>
      </c>
      <c r="C7670" s="1" t="n">
        <v>100</v>
      </c>
      <c r="D7670" s="1" t="s">
        <v>2457</v>
      </c>
      <c r="E7670" s="1" t="n">
        <v>42</v>
      </c>
      <c r="F7670" s="1" t="s">
        <v>80</v>
      </c>
      <c r="I7670" s="1" t="n">
        <v>1546727</v>
      </c>
      <c r="J7670" s="1" t="n">
        <v>100520</v>
      </c>
      <c r="K7670" s="1" t="n">
        <v>507</v>
      </c>
      <c r="L7670" s="1" t="s">
        <v>2449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5" t="n">
        <v>46248</v>
      </c>
      <c r="C7671" s="1" t="n">
        <v>100</v>
      </c>
      <c r="D7671" s="1" t="s">
        <v>2457</v>
      </c>
      <c r="E7671" s="1" t="n">
        <v>42</v>
      </c>
      <c r="F7671" s="1" t="s">
        <v>80</v>
      </c>
      <c r="I7671" s="1" t="n">
        <v>1546727</v>
      </c>
      <c r="J7671" s="1" t="n">
        <v>110455</v>
      </c>
      <c r="K7671" s="1" t="n">
        <v>53212</v>
      </c>
      <c r="L7671" s="1" t="s">
        <v>2450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5" t="n">
        <v>46249</v>
      </c>
      <c r="C7672" s="1" t="n">
        <v>6</v>
      </c>
      <c r="D7672" s="1" t="s">
        <v>2289</v>
      </c>
      <c r="E7672" s="1" t="n">
        <v>42</v>
      </c>
      <c r="F7672" s="1" t="s">
        <v>80</v>
      </c>
      <c r="I7672" s="1" t="n">
        <v>4506</v>
      </c>
      <c r="J7672" s="1" t="n">
        <v>109791</v>
      </c>
      <c r="K7672" s="1" t="n">
        <v>9667</v>
      </c>
      <c r="L7672" s="1" t="s">
        <v>2284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5" t="n">
        <v>46249</v>
      </c>
      <c r="C7673" s="1" t="n">
        <v>6</v>
      </c>
      <c r="D7673" s="1" t="s">
        <v>2289</v>
      </c>
      <c r="E7673" s="1" t="n">
        <v>42</v>
      </c>
      <c r="F7673" s="1" t="s">
        <v>80</v>
      </c>
      <c r="I7673" s="1" t="n">
        <v>4506</v>
      </c>
      <c r="J7673" s="1" t="n">
        <v>37359</v>
      </c>
      <c r="K7673" s="1" t="n">
        <v>55526</v>
      </c>
      <c r="L7673" s="1" t="s">
        <v>2285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5" t="n">
        <v>46249</v>
      </c>
      <c r="C7674" s="1" t="n">
        <v>6</v>
      </c>
      <c r="D7674" s="1" t="s">
        <v>2289</v>
      </c>
      <c r="E7674" s="1" t="n">
        <v>42</v>
      </c>
      <c r="F7674" s="1" t="s">
        <v>80</v>
      </c>
      <c r="I7674" s="1" t="n">
        <v>4506</v>
      </c>
      <c r="J7674" s="1" t="n">
        <v>37361</v>
      </c>
      <c r="K7674" s="1" t="n">
        <v>2240817</v>
      </c>
      <c r="L7674" s="1" t="s">
        <v>2286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5" t="n">
        <v>46249</v>
      </c>
      <c r="C7675" s="1" t="n">
        <v>11</v>
      </c>
      <c r="D7675" s="1" t="s">
        <v>2290</v>
      </c>
      <c r="E7675" s="1" t="n">
        <v>1378</v>
      </c>
      <c r="F7675" s="1" t="s">
        <v>120</v>
      </c>
      <c r="I7675" s="1" t="n">
        <v>18667</v>
      </c>
      <c r="J7675" s="1" t="n">
        <v>74061</v>
      </c>
      <c r="K7675" s="1" t="n">
        <v>42882264255</v>
      </c>
      <c r="L7675" s="1" t="s">
        <v>2340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5" t="n">
        <v>46249</v>
      </c>
      <c r="C7676" s="1" t="n">
        <v>11</v>
      </c>
      <c r="D7676" s="1" t="s">
        <v>2290</v>
      </c>
      <c r="E7676" s="1" t="n">
        <v>1378</v>
      </c>
      <c r="F7676" s="1" t="s">
        <v>120</v>
      </c>
      <c r="I7676" s="1" t="n">
        <v>18667</v>
      </c>
      <c r="J7676" s="1" t="n">
        <v>74063</v>
      </c>
      <c r="K7676" s="1" t="n">
        <v>42882264262</v>
      </c>
      <c r="L7676" s="1" t="s">
        <v>2341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5" t="n">
        <v>46249</v>
      </c>
      <c r="C7677" s="1" t="n">
        <v>11</v>
      </c>
      <c r="D7677" s="1" t="s">
        <v>2290</v>
      </c>
      <c r="E7677" s="1" t="n">
        <v>1378</v>
      </c>
      <c r="F7677" s="1" t="s">
        <v>120</v>
      </c>
      <c r="I7677" s="1" t="n">
        <v>18667</v>
      </c>
      <c r="J7677" s="1" t="n">
        <v>74064</v>
      </c>
      <c r="K7677" s="1" t="n">
        <v>42882264279</v>
      </c>
      <c r="L7677" s="1" t="s">
        <v>2342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5" t="n">
        <v>46249</v>
      </c>
      <c r="C7678" s="1" t="n">
        <v>11</v>
      </c>
      <c r="D7678" s="1" t="s">
        <v>2290</v>
      </c>
      <c r="E7678" s="1" t="n">
        <v>1378</v>
      </c>
      <c r="F7678" s="1" t="s">
        <v>120</v>
      </c>
      <c r="I7678" s="1" t="n">
        <v>18667</v>
      </c>
      <c r="J7678" s="1" t="n">
        <v>77994</v>
      </c>
      <c r="K7678" s="1" t="n">
        <v>780117</v>
      </c>
      <c r="L7678" s="1" t="s">
        <v>2344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5" t="n">
        <v>46249</v>
      </c>
      <c r="C7679" s="1" t="n">
        <v>11</v>
      </c>
      <c r="D7679" s="1" t="s">
        <v>2290</v>
      </c>
      <c r="E7679" s="1" t="n">
        <v>1815</v>
      </c>
      <c r="F7679" s="1" t="s">
        <v>53</v>
      </c>
      <c r="I7679" s="1" t="n">
        <v>398009</v>
      </c>
      <c r="J7679" s="1" t="n">
        <v>100024</v>
      </c>
      <c r="K7679" s="1" t="n">
        <v>25</v>
      </c>
      <c r="L7679" s="1" t="s">
        <v>2390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5" t="n">
        <v>46249</v>
      </c>
      <c r="C7680" s="1" t="n">
        <v>11</v>
      </c>
      <c r="D7680" s="1" t="s">
        <v>2290</v>
      </c>
      <c r="E7680" s="1" t="n">
        <v>1815</v>
      </c>
      <c r="F7680" s="1" t="s">
        <v>53</v>
      </c>
      <c r="I7680" s="1" t="n">
        <v>398009</v>
      </c>
      <c r="J7680" s="1" t="n">
        <v>100035</v>
      </c>
      <c r="K7680" s="1" t="n">
        <v>36</v>
      </c>
      <c r="L7680" s="1" t="s">
        <v>2391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5" t="n">
        <v>46249</v>
      </c>
      <c r="C7681" s="1" t="n">
        <v>11</v>
      </c>
      <c r="D7681" s="1" t="s">
        <v>2290</v>
      </c>
      <c r="E7681" s="1" t="n">
        <v>1815</v>
      </c>
      <c r="F7681" s="1" t="s">
        <v>53</v>
      </c>
      <c r="I7681" s="1" t="n">
        <v>398009</v>
      </c>
      <c r="J7681" s="1" t="n">
        <v>100054</v>
      </c>
      <c r="K7681" s="1" t="n">
        <v>55</v>
      </c>
      <c r="L7681" s="1" t="s">
        <v>2732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5" t="n">
        <v>46249</v>
      </c>
      <c r="C7682" s="1" t="n">
        <v>11</v>
      </c>
      <c r="D7682" s="1" t="s">
        <v>2290</v>
      </c>
      <c r="E7682" s="1" t="n">
        <v>1815</v>
      </c>
      <c r="F7682" s="1" t="s">
        <v>53</v>
      </c>
      <c r="I7682" s="1" t="n">
        <v>398009</v>
      </c>
      <c r="J7682" s="1" t="n">
        <v>29054</v>
      </c>
      <c r="K7682" s="1" t="n">
        <v>7893000018778</v>
      </c>
      <c r="L7682" s="1" t="s">
        <v>4133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5" t="n">
        <v>46249</v>
      </c>
      <c r="C7683" s="1" t="n">
        <v>11</v>
      </c>
      <c r="D7683" s="1" t="s">
        <v>2290</v>
      </c>
      <c r="E7683" s="1" t="n">
        <v>1659</v>
      </c>
      <c r="F7683" s="1" t="s">
        <v>251</v>
      </c>
      <c r="I7683" s="1" t="n">
        <v>890827</v>
      </c>
      <c r="J7683" s="1" t="n">
        <v>102350</v>
      </c>
      <c r="K7683" s="1" t="n">
        <v>7891030003016</v>
      </c>
      <c r="L7683" s="1" t="s">
        <v>3715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5" t="n">
        <v>46249</v>
      </c>
      <c r="C7684" s="1" t="n">
        <v>11</v>
      </c>
      <c r="D7684" s="1" t="s">
        <v>2290</v>
      </c>
      <c r="E7684" s="1" t="n">
        <v>1659</v>
      </c>
      <c r="F7684" s="1" t="s">
        <v>251</v>
      </c>
      <c r="I7684" s="1" t="n">
        <v>890827</v>
      </c>
      <c r="J7684" s="1" t="n">
        <v>102592</v>
      </c>
      <c r="K7684" s="1" t="n">
        <v>7891030003467</v>
      </c>
      <c r="L7684" s="1" t="s">
        <v>3716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5" t="n">
        <v>46249</v>
      </c>
      <c r="C7685" s="1" t="n">
        <v>11</v>
      </c>
      <c r="D7685" s="1" t="s">
        <v>2290</v>
      </c>
      <c r="E7685" s="1" t="n">
        <v>1659</v>
      </c>
      <c r="F7685" s="1" t="s">
        <v>251</v>
      </c>
      <c r="I7685" s="1" t="n">
        <v>890827</v>
      </c>
      <c r="J7685" s="1" t="n">
        <v>10644</v>
      </c>
      <c r="K7685" s="1" t="n">
        <v>7891030002033</v>
      </c>
      <c r="L7685" s="1" t="s">
        <v>4768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5" t="n">
        <v>46249</v>
      </c>
      <c r="C7686" s="1" t="n">
        <v>11</v>
      </c>
      <c r="D7686" s="1" t="s">
        <v>2290</v>
      </c>
      <c r="E7686" s="1" t="n">
        <v>1659</v>
      </c>
      <c r="F7686" s="1" t="s">
        <v>251</v>
      </c>
      <c r="I7686" s="1" t="n">
        <v>890827</v>
      </c>
      <c r="J7686" s="1" t="n">
        <v>21391</v>
      </c>
      <c r="K7686" s="1" t="n">
        <v>7898905153968</v>
      </c>
      <c r="L7686" s="1" t="s">
        <v>4769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5" t="n">
        <v>46249</v>
      </c>
      <c r="C7687" s="1" t="n">
        <v>11</v>
      </c>
      <c r="D7687" s="1" t="s">
        <v>2290</v>
      </c>
      <c r="E7687" s="1" t="n">
        <v>1659</v>
      </c>
      <c r="F7687" s="1" t="s">
        <v>251</v>
      </c>
      <c r="I7687" s="1" t="n">
        <v>890827</v>
      </c>
      <c r="J7687" s="1" t="n">
        <v>22957</v>
      </c>
      <c r="K7687" s="1" t="n">
        <v>7899659900266</v>
      </c>
      <c r="L7687" s="1" t="s">
        <v>3720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5" t="n">
        <v>46249</v>
      </c>
      <c r="C7688" s="1" t="n">
        <v>11</v>
      </c>
      <c r="D7688" s="1" t="s">
        <v>2290</v>
      </c>
      <c r="E7688" s="1" t="n">
        <v>1659</v>
      </c>
      <c r="F7688" s="1" t="s">
        <v>251</v>
      </c>
      <c r="I7688" s="1" t="n">
        <v>890827</v>
      </c>
      <c r="J7688" s="1" t="n">
        <v>27279</v>
      </c>
      <c r="K7688" s="1" t="n">
        <v>7898959504389</v>
      </c>
      <c r="L7688" s="1" t="s">
        <v>4770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5" t="n">
        <v>46249</v>
      </c>
      <c r="C7689" s="1" t="n">
        <v>11</v>
      </c>
      <c r="D7689" s="1" t="s">
        <v>2290</v>
      </c>
      <c r="E7689" s="1" t="n">
        <v>1659</v>
      </c>
      <c r="F7689" s="1" t="s">
        <v>251</v>
      </c>
      <c r="I7689" s="1" t="n">
        <v>890827</v>
      </c>
      <c r="J7689" s="1" t="n">
        <v>27534</v>
      </c>
      <c r="K7689" s="1" t="n">
        <v>7898959504068</v>
      </c>
      <c r="L7689" s="1" t="s">
        <v>2862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5" t="n">
        <v>46249</v>
      </c>
      <c r="C7690" s="1" t="n">
        <v>11</v>
      </c>
      <c r="D7690" s="1" t="s">
        <v>2290</v>
      </c>
      <c r="E7690" s="1" t="n">
        <v>1659</v>
      </c>
      <c r="F7690" s="1" t="s">
        <v>251</v>
      </c>
      <c r="I7690" s="1" t="n">
        <v>890827</v>
      </c>
      <c r="J7690" s="1" t="n">
        <v>29497</v>
      </c>
      <c r="K7690" s="1" t="n">
        <v>7891030300207</v>
      </c>
      <c r="L7690" s="1" t="s">
        <v>4694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5" t="n">
        <v>46249</v>
      </c>
      <c r="C7691" s="1" t="n">
        <v>11</v>
      </c>
      <c r="D7691" s="1" t="s">
        <v>2290</v>
      </c>
      <c r="E7691" s="1" t="n">
        <v>1659</v>
      </c>
      <c r="F7691" s="1" t="s">
        <v>251</v>
      </c>
      <c r="I7691" s="1" t="n">
        <v>890827</v>
      </c>
      <c r="J7691" s="1" t="n">
        <v>31312</v>
      </c>
      <c r="K7691" s="1" t="n">
        <v>7891030300306</v>
      </c>
      <c r="L7691" s="1" t="s">
        <v>3721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5" t="n">
        <v>46249</v>
      </c>
      <c r="C7692" s="1" t="n">
        <v>11</v>
      </c>
      <c r="D7692" s="1" t="s">
        <v>2290</v>
      </c>
      <c r="E7692" s="1" t="n">
        <v>1659</v>
      </c>
      <c r="F7692" s="1" t="s">
        <v>251</v>
      </c>
      <c r="I7692" s="1" t="n">
        <v>890827</v>
      </c>
      <c r="J7692" s="1" t="n">
        <v>32288</v>
      </c>
      <c r="K7692" s="1" t="n">
        <v>7898959504372</v>
      </c>
      <c r="L7692" s="1" t="s">
        <v>4771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5" t="n">
        <v>46249</v>
      </c>
      <c r="C7693" s="1" t="n">
        <v>11</v>
      </c>
      <c r="D7693" s="1" t="s">
        <v>2290</v>
      </c>
      <c r="E7693" s="1" t="n">
        <v>1659</v>
      </c>
      <c r="F7693" s="1" t="s">
        <v>251</v>
      </c>
      <c r="I7693" s="1" t="n">
        <v>890827</v>
      </c>
      <c r="J7693" s="1" t="n">
        <v>34806</v>
      </c>
      <c r="K7693" s="1" t="n">
        <v>7899659900785</v>
      </c>
      <c r="L7693" s="1" t="s">
        <v>3724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5" t="n">
        <v>46249</v>
      </c>
      <c r="C7694" s="1" t="n">
        <v>11</v>
      </c>
      <c r="D7694" s="1" t="s">
        <v>2290</v>
      </c>
      <c r="E7694" s="1" t="n">
        <v>1659</v>
      </c>
      <c r="F7694" s="1" t="s">
        <v>251</v>
      </c>
      <c r="I7694" s="1" t="n">
        <v>890827</v>
      </c>
      <c r="J7694" s="1" t="n">
        <v>45118</v>
      </c>
      <c r="K7694" s="1" t="n">
        <v>7899659900501</v>
      </c>
      <c r="L7694" s="1" t="s">
        <v>4772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5" t="n">
        <v>46249</v>
      </c>
      <c r="C7695" s="1" t="n">
        <v>11</v>
      </c>
      <c r="D7695" s="1" t="s">
        <v>2290</v>
      </c>
      <c r="E7695" s="1" t="n">
        <v>1659</v>
      </c>
      <c r="F7695" s="1" t="s">
        <v>251</v>
      </c>
      <c r="I7695" s="1" t="n">
        <v>890827</v>
      </c>
      <c r="J7695" s="1" t="n">
        <v>46882</v>
      </c>
      <c r="K7695" s="1" t="n">
        <v>7899659900099</v>
      </c>
      <c r="L7695" s="1" t="s">
        <v>4773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5" t="n">
        <v>46249</v>
      </c>
      <c r="C7696" s="1" t="n">
        <v>11</v>
      </c>
      <c r="D7696" s="1" t="s">
        <v>2290</v>
      </c>
      <c r="E7696" s="1" t="n">
        <v>1659</v>
      </c>
      <c r="F7696" s="1" t="s">
        <v>251</v>
      </c>
      <c r="I7696" s="1" t="n">
        <v>890827</v>
      </c>
      <c r="J7696" s="1" t="n">
        <v>50425</v>
      </c>
      <c r="K7696" s="1" t="n">
        <v>7899659901041</v>
      </c>
      <c r="L7696" s="1" t="s">
        <v>4774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5" t="n">
        <v>46249</v>
      </c>
      <c r="C7697" s="1" t="n">
        <v>11</v>
      </c>
      <c r="D7697" s="1" t="s">
        <v>2290</v>
      </c>
      <c r="E7697" s="1" t="n">
        <v>1659</v>
      </c>
      <c r="F7697" s="1" t="s">
        <v>251</v>
      </c>
      <c r="I7697" s="1" t="n">
        <v>890827</v>
      </c>
      <c r="J7697" s="1" t="n">
        <v>50426</v>
      </c>
      <c r="K7697" s="1" t="n">
        <v>7899659901065</v>
      </c>
      <c r="L7697" s="1" t="s">
        <v>4775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5" t="n">
        <v>46249</v>
      </c>
      <c r="C7698" s="1" t="n">
        <v>11</v>
      </c>
      <c r="D7698" s="1" t="s">
        <v>2290</v>
      </c>
      <c r="E7698" s="1" t="n">
        <v>1659</v>
      </c>
      <c r="F7698" s="1" t="s">
        <v>251</v>
      </c>
      <c r="I7698" s="1" t="n">
        <v>890827</v>
      </c>
      <c r="J7698" s="1" t="n">
        <v>52717</v>
      </c>
      <c r="K7698" s="1" t="n">
        <v>7899659901096</v>
      </c>
      <c r="L7698" s="1" t="s">
        <v>4776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5" t="n">
        <v>46249</v>
      </c>
      <c r="C7699" s="1" t="n">
        <v>11</v>
      </c>
      <c r="D7699" s="1" t="s">
        <v>2290</v>
      </c>
      <c r="E7699" s="1" t="n">
        <v>1659</v>
      </c>
      <c r="F7699" s="1" t="s">
        <v>251</v>
      </c>
      <c r="I7699" s="1" t="n">
        <v>890827</v>
      </c>
      <c r="J7699" s="1" t="n">
        <v>61012</v>
      </c>
      <c r="K7699" s="1" t="n">
        <v>7898617581271</v>
      </c>
      <c r="L7699" s="1" t="s">
        <v>3503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5" t="n">
        <v>46249</v>
      </c>
      <c r="C7700" s="1" t="n">
        <v>11</v>
      </c>
      <c r="D7700" s="1" t="s">
        <v>2290</v>
      </c>
      <c r="E7700" s="1" t="n">
        <v>1621</v>
      </c>
      <c r="F7700" s="1" t="s">
        <v>306</v>
      </c>
      <c r="I7700" s="1" t="n">
        <v>957023</v>
      </c>
      <c r="J7700" s="1" t="n">
        <v>20242</v>
      </c>
      <c r="K7700" s="1" t="n">
        <v>7891149104932</v>
      </c>
      <c r="L7700" s="1" t="s">
        <v>3454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5" t="n">
        <v>46249</v>
      </c>
      <c r="C7701" s="1" t="n">
        <v>11</v>
      </c>
      <c r="D7701" s="1" t="s">
        <v>2290</v>
      </c>
      <c r="E7701" s="1" t="n">
        <v>1621</v>
      </c>
      <c r="F7701" s="1" t="s">
        <v>306</v>
      </c>
      <c r="I7701" s="1" t="n">
        <v>957023</v>
      </c>
      <c r="J7701" s="1" t="n">
        <v>102383</v>
      </c>
      <c r="K7701" s="1" t="n">
        <v>9002490225100</v>
      </c>
      <c r="L7701" s="1" t="s">
        <v>2532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5" t="n">
        <v>46249</v>
      </c>
      <c r="C7702" s="1" t="n">
        <v>11</v>
      </c>
      <c r="D7702" s="1" t="s">
        <v>2290</v>
      </c>
      <c r="E7702" s="1" t="n">
        <v>1621</v>
      </c>
      <c r="F7702" s="1" t="s">
        <v>306</v>
      </c>
      <c r="I7702" s="1" t="n">
        <v>957023</v>
      </c>
      <c r="J7702" s="1" t="n">
        <v>103128</v>
      </c>
      <c r="K7702" s="1" t="n">
        <v>7891991000833</v>
      </c>
      <c r="L7702" s="1" t="s">
        <v>2534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5" t="n">
        <v>46249</v>
      </c>
      <c r="C7703" s="1" t="n">
        <v>11</v>
      </c>
      <c r="D7703" s="1" t="s">
        <v>2290</v>
      </c>
      <c r="E7703" s="1" t="n">
        <v>1621</v>
      </c>
      <c r="F7703" s="1" t="s">
        <v>306</v>
      </c>
      <c r="I7703" s="1" t="n">
        <v>957023</v>
      </c>
      <c r="J7703" s="1" t="n">
        <v>103129</v>
      </c>
      <c r="K7703" s="1" t="n">
        <v>7891991000840</v>
      </c>
      <c r="L7703" s="1" t="s">
        <v>3905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5" t="n">
        <v>46249</v>
      </c>
      <c r="C7704" s="1" t="n">
        <v>11</v>
      </c>
      <c r="D7704" s="1" t="s">
        <v>2290</v>
      </c>
      <c r="E7704" s="1" t="n">
        <v>1621</v>
      </c>
      <c r="F7704" s="1" t="s">
        <v>306</v>
      </c>
      <c r="I7704" s="1" t="n">
        <v>957023</v>
      </c>
      <c r="J7704" s="1" t="n">
        <v>103130</v>
      </c>
      <c r="K7704" s="1" t="n">
        <v>7891149440801</v>
      </c>
      <c r="L7704" s="1" t="s">
        <v>2535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5" t="n">
        <v>46249</v>
      </c>
      <c r="C7705" s="1" t="n">
        <v>11</v>
      </c>
      <c r="D7705" s="1" t="s">
        <v>2290</v>
      </c>
      <c r="E7705" s="1" t="n">
        <v>1621</v>
      </c>
      <c r="F7705" s="1" t="s">
        <v>306</v>
      </c>
      <c r="I7705" s="1" t="n">
        <v>957023</v>
      </c>
      <c r="J7705" s="1" t="n">
        <v>103630</v>
      </c>
      <c r="K7705" s="1" t="n">
        <v>7891991004107</v>
      </c>
      <c r="L7705" s="1" t="s">
        <v>2537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5" t="n">
        <v>46249</v>
      </c>
      <c r="C7706" s="1" t="n">
        <v>11</v>
      </c>
      <c r="D7706" s="1" t="s">
        <v>2290</v>
      </c>
      <c r="E7706" s="1" t="n">
        <v>1621</v>
      </c>
      <c r="F7706" s="1" t="s">
        <v>306</v>
      </c>
      <c r="I7706" s="1" t="n">
        <v>957023</v>
      </c>
      <c r="J7706" s="1" t="n">
        <v>103792</v>
      </c>
      <c r="K7706" s="1" t="n">
        <v>7891149010509</v>
      </c>
      <c r="L7706" s="1" t="s">
        <v>2898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5" t="n">
        <v>46249</v>
      </c>
      <c r="C7707" s="1" t="n">
        <v>11</v>
      </c>
      <c r="D7707" s="1" t="s">
        <v>2290</v>
      </c>
      <c r="E7707" s="1" t="n">
        <v>1621</v>
      </c>
      <c r="F7707" s="1" t="s">
        <v>306</v>
      </c>
      <c r="I7707" s="1" t="n">
        <v>957023</v>
      </c>
      <c r="J7707" s="1" t="n">
        <v>103943</v>
      </c>
      <c r="K7707" s="1" t="n">
        <v>7891149200504</v>
      </c>
      <c r="L7707" s="1" t="s">
        <v>2900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5" t="n">
        <v>46249</v>
      </c>
      <c r="C7708" s="1" t="n">
        <v>11</v>
      </c>
      <c r="D7708" s="1" t="s">
        <v>2290</v>
      </c>
      <c r="E7708" s="1" t="n">
        <v>1621</v>
      </c>
      <c r="F7708" s="1" t="s">
        <v>306</v>
      </c>
      <c r="I7708" s="1" t="n">
        <v>957023</v>
      </c>
      <c r="J7708" s="1" t="n">
        <v>104505</v>
      </c>
      <c r="K7708" s="1" t="n">
        <v>7892840800079</v>
      </c>
      <c r="L7708" s="1" t="s">
        <v>2539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5" t="n">
        <v>46249</v>
      </c>
      <c r="C7709" s="1" t="n">
        <v>11</v>
      </c>
      <c r="D7709" s="1" t="s">
        <v>2290</v>
      </c>
      <c r="E7709" s="1" t="n">
        <v>1621</v>
      </c>
      <c r="F7709" s="1" t="s">
        <v>306</v>
      </c>
      <c r="I7709" s="1" t="n">
        <v>957023</v>
      </c>
      <c r="J7709" s="1" t="n">
        <v>108599</v>
      </c>
      <c r="K7709" s="1" t="n">
        <v>7892840808051</v>
      </c>
      <c r="L7709" s="1" t="s">
        <v>3906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5" t="n">
        <v>46249</v>
      </c>
      <c r="C7710" s="1" t="n">
        <v>11</v>
      </c>
      <c r="D7710" s="1" t="s">
        <v>2290</v>
      </c>
      <c r="E7710" s="1" t="n">
        <v>1621</v>
      </c>
      <c r="F7710" s="1" t="s">
        <v>306</v>
      </c>
      <c r="I7710" s="1" t="n">
        <v>957023</v>
      </c>
      <c r="J7710" s="1" t="n">
        <v>13504</v>
      </c>
      <c r="K7710" s="1" t="n">
        <v>7892840808020</v>
      </c>
      <c r="L7710" s="1" t="s">
        <v>3908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5" t="n">
        <v>46249</v>
      </c>
      <c r="C7711" s="1" t="n">
        <v>11</v>
      </c>
      <c r="D7711" s="1" t="s">
        <v>2290</v>
      </c>
      <c r="E7711" s="1" t="n">
        <v>1621</v>
      </c>
      <c r="F7711" s="1" t="s">
        <v>306</v>
      </c>
      <c r="I7711" s="1" t="n">
        <v>957023</v>
      </c>
      <c r="J7711" s="1" t="n">
        <v>14352</v>
      </c>
      <c r="K7711" s="1" t="n">
        <v>7891149102853</v>
      </c>
      <c r="L7711" s="1" t="s">
        <v>2541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5" t="n">
        <v>46249</v>
      </c>
      <c r="C7712" s="1" t="n">
        <v>11</v>
      </c>
      <c r="D7712" s="1" t="s">
        <v>2290</v>
      </c>
      <c r="E7712" s="1" t="n">
        <v>1621</v>
      </c>
      <c r="F7712" s="1" t="s">
        <v>306</v>
      </c>
      <c r="I7712" s="1" t="n">
        <v>957023</v>
      </c>
      <c r="J7712" s="1" t="n">
        <v>14352</v>
      </c>
      <c r="K7712" s="1" t="n">
        <v>7891149102853</v>
      </c>
      <c r="L7712" s="1" t="s">
        <v>2541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5" t="n">
        <v>46249</v>
      </c>
      <c r="C7713" s="1" t="n">
        <v>11</v>
      </c>
      <c r="D7713" s="1" t="s">
        <v>2290</v>
      </c>
      <c r="E7713" s="1" t="n">
        <v>1621</v>
      </c>
      <c r="F7713" s="1" t="s">
        <v>306</v>
      </c>
      <c r="I7713" s="1" t="n">
        <v>957023</v>
      </c>
      <c r="J7713" s="1" t="n">
        <v>14353</v>
      </c>
      <c r="K7713" s="1" t="n">
        <v>7891149103041</v>
      </c>
      <c r="L7713" s="1" t="s">
        <v>3909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5" t="n">
        <v>46249</v>
      </c>
      <c r="C7714" s="1" t="n">
        <v>11</v>
      </c>
      <c r="D7714" s="1" t="s">
        <v>2290</v>
      </c>
      <c r="E7714" s="1" t="n">
        <v>1621</v>
      </c>
      <c r="F7714" s="1" t="s">
        <v>306</v>
      </c>
      <c r="I7714" s="1" t="n">
        <v>957023</v>
      </c>
      <c r="J7714" s="1" t="n">
        <v>16185</v>
      </c>
      <c r="K7714" s="1" t="n">
        <v>7891149103102</v>
      </c>
      <c r="L7714" s="1" t="s">
        <v>2542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5" t="n">
        <v>46249</v>
      </c>
      <c r="C7715" s="1" t="n">
        <v>11</v>
      </c>
      <c r="D7715" s="1" t="s">
        <v>2290</v>
      </c>
      <c r="E7715" s="1" t="n">
        <v>1621</v>
      </c>
      <c r="F7715" s="1" t="s">
        <v>306</v>
      </c>
      <c r="I7715" s="1" t="n">
        <v>957023</v>
      </c>
      <c r="J7715" s="1" t="n">
        <v>16653</v>
      </c>
      <c r="K7715" s="1" t="n">
        <v>7891149103065</v>
      </c>
      <c r="L7715" s="1" t="s">
        <v>2901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5" t="n">
        <v>46249</v>
      </c>
      <c r="C7716" s="1" t="n">
        <v>11</v>
      </c>
      <c r="D7716" s="1" t="s">
        <v>2290</v>
      </c>
      <c r="E7716" s="1" t="n">
        <v>1621</v>
      </c>
      <c r="F7716" s="1" t="s">
        <v>306</v>
      </c>
      <c r="I7716" s="1" t="n">
        <v>957023</v>
      </c>
      <c r="J7716" s="1" t="n">
        <v>16778</v>
      </c>
      <c r="K7716" s="1" t="n">
        <v>7895800304228</v>
      </c>
      <c r="L7716" s="1" t="s">
        <v>4329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5" t="n">
        <v>46249</v>
      </c>
      <c r="C7717" s="1" t="n">
        <v>11</v>
      </c>
      <c r="D7717" s="1" t="s">
        <v>2290</v>
      </c>
      <c r="E7717" s="1" t="n">
        <v>1621</v>
      </c>
      <c r="F7717" s="1" t="s">
        <v>306</v>
      </c>
      <c r="I7717" s="1" t="n">
        <v>957023</v>
      </c>
      <c r="J7717" s="1" t="n">
        <v>17277</v>
      </c>
      <c r="K7717" s="1" t="n">
        <v>7892840808174</v>
      </c>
      <c r="L7717" s="1" t="s">
        <v>3910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5" t="n">
        <v>46249</v>
      </c>
      <c r="C7718" s="1" t="n">
        <v>11</v>
      </c>
      <c r="D7718" s="1" t="s">
        <v>2290</v>
      </c>
      <c r="E7718" s="1" t="n">
        <v>1621</v>
      </c>
      <c r="F7718" s="1" t="s">
        <v>306</v>
      </c>
      <c r="I7718" s="1" t="n">
        <v>957023</v>
      </c>
      <c r="J7718" s="1" t="n">
        <v>17473</v>
      </c>
      <c r="K7718" s="1" t="n">
        <v>7891149103270</v>
      </c>
      <c r="L7718" s="1" t="s">
        <v>3911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5" t="n">
        <v>46249</v>
      </c>
      <c r="C7719" s="1" t="n">
        <v>11</v>
      </c>
      <c r="D7719" s="1" t="s">
        <v>2290</v>
      </c>
      <c r="E7719" s="1" t="n">
        <v>1621</v>
      </c>
      <c r="F7719" s="1" t="s">
        <v>306</v>
      </c>
      <c r="I7719" s="1" t="n">
        <v>957023</v>
      </c>
      <c r="J7719" s="1" t="n">
        <v>20610</v>
      </c>
      <c r="K7719" s="1" t="n">
        <v>7891149105564</v>
      </c>
      <c r="L7719" s="1" t="s">
        <v>2543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5" t="n">
        <v>46249</v>
      </c>
      <c r="C7720" s="1" t="n">
        <v>11</v>
      </c>
      <c r="D7720" s="1" t="s">
        <v>2290</v>
      </c>
      <c r="E7720" s="1" t="n">
        <v>1621</v>
      </c>
      <c r="F7720" s="1" t="s">
        <v>306</v>
      </c>
      <c r="I7720" s="1" t="n">
        <v>957023</v>
      </c>
      <c r="J7720" s="1" t="n">
        <v>26171</v>
      </c>
      <c r="K7720" s="1" t="n">
        <v>7891149000005</v>
      </c>
      <c r="L7720" s="1" t="s">
        <v>3912</v>
      </c>
      <c r="N7720" s="1" t="n">
        <v>108</v>
      </c>
      <c r="O7720" s="1" t="n">
        <v>480.129864</v>
      </c>
    </row>
    <row r="7721" customFormat="false" ht="15" hidden="false" customHeight="true" outlineLevel="0" collapsed="false">
      <c r="A7721" s="1" t="n">
        <v>3</v>
      </c>
      <c r="B7721" s="15" t="n">
        <v>46249</v>
      </c>
      <c r="C7721" s="1" t="n">
        <v>11</v>
      </c>
      <c r="D7721" s="1" t="s">
        <v>2290</v>
      </c>
      <c r="E7721" s="1" t="n">
        <v>1621</v>
      </c>
      <c r="F7721" s="1" t="s">
        <v>306</v>
      </c>
      <c r="I7721" s="1" t="n">
        <v>957023</v>
      </c>
      <c r="J7721" s="1" t="n">
        <v>26171</v>
      </c>
      <c r="K7721" s="1" t="n">
        <v>7891149000005</v>
      </c>
      <c r="L7721" s="1" t="s">
        <v>3912</v>
      </c>
      <c r="N7721" s="1" t="n">
        <v>12</v>
      </c>
      <c r="O7721" s="1" t="n">
        <v>50.689963</v>
      </c>
    </row>
    <row r="7722" customFormat="false" ht="15" hidden="false" customHeight="true" outlineLevel="0" collapsed="false">
      <c r="A7722" s="1" t="n">
        <v>3</v>
      </c>
      <c r="B7722" s="15" t="n">
        <v>46249</v>
      </c>
      <c r="C7722" s="1" t="n">
        <v>11</v>
      </c>
      <c r="D7722" s="1" t="s">
        <v>2290</v>
      </c>
      <c r="E7722" s="1" t="n">
        <v>1621</v>
      </c>
      <c r="F7722" s="1" t="s">
        <v>306</v>
      </c>
      <c r="I7722" s="1" t="n">
        <v>957023</v>
      </c>
      <c r="J7722" s="1" t="n">
        <v>26391</v>
      </c>
      <c r="K7722" s="1" t="n">
        <v>7891991010061</v>
      </c>
      <c r="L7722" s="1" t="s">
        <v>2902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5" t="n">
        <v>46249</v>
      </c>
      <c r="C7723" s="1" t="n">
        <v>11</v>
      </c>
      <c r="D7723" s="1" t="s">
        <v>2290</v>
      </c>
      <c r="E7723" s="1" t="n">
        <v>1621</v>
      </c>
      <c r="F7723" s="1" t="s">
        <v>306</v>
      </c>
      <c r="I7723" s="1" t="n">
        <v>957023</v>
      </c>
      <c r="J7723" s="1" t="n">
        <v>28304</v>
      </c>
      <c r="K7723" s="1" t="n">
        <v>7891991014762</v>
      </c>
      <c r="L7723" s="1" t="s">
        <v>2903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5" t="n">
        <v>46249</v>
      </c>
      <c r="C7724" s="1" t="n">
        <v>11</v>
      </c>
      <c r="D7724" s="1" t="s">
        <v>2290</v>
      </c>
      <c r="E7724" s="1" t="n">
        <v>1621</v>
      </c>
      <c r="F7724" s="1" t="s">
        <v>306</v>
      </c>
      <c r="I7724" s="1" t="n">
        <v>957023</v>
      </c>
      <c r="J7724" s="1" t="n">
        <v>29152</v>
      </c>
      <c r="K7724" s="1" t="n">
        <v>78938847</v>
      </c>
      <c r="L7724" s="1" t="s">
        <v>4335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5" t="n">
        <v>46249</v>
      </c>
      <c r="C7725" s="1" t="n">
        <v>11</v>
      </c>
      <c r="D7725" s="1" t="s">
        <v>2290</v>
      </c>
      <c r="E7725" s="1" t="n">
        <v>1621</v>
      </c>
      <c r="F7725" s="1" t="s">
        <v>306</v>
      </c>
      <c r="I7725" s="1" t="n">
        <v>957023</v>
      </c>
      <c r="J7725" s="1" t="n">
        <v>29153</v>
      </c>
      <c r="K7725" s="1" t="n">
        <v>78938793</v>
      </c>
      <c r="L7725" s="1" t="s">
        <v>4777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5" t="n">
        <v>46249</v>
      </c>
      <c r="C7726" s="1" t="n">
        <v>11</v>
      </c>
      <c r="D7726" s="1" t="s">
        <v>2290</v>
      </c>
      <c r="E7726" s="1" t="n">
        <v>1621</v>
      </c>
      <c r="F7726" s="1" t="s">
        <v>306</v>
      </c>
      <c r="I7726" s="1" t="n">
        <v>957023</v>
      </c>
      <c r="J7726" s="1" t="n">
        <v>31030</v>
      </c>
      <c r="K7726" s="1" t="n">
        <v>7891991014090</v>
      </c>
      <c r="L7726" s="1" t="s">
        <v>2904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5" t="n">
        <v>46249</v>
      </c>
      <c r="C7727" s="1" t="n">
        <v>11</v>
      </c>
      <c r="D7727" s="1" t="s">
        <v>2290</v>
      </c>
      <c r="E7727" s="1" t="n">
        <v>1621</v>
      </c>
      <c r="F7727" s="1" t="s">
        <v>306</v>
      </c>
      <c r="I7727" s="1" t="n">
        <v>957023</v>
      </c>
      <c r="J7727" s="1" t="n">
        <v>31031</v>
      </c>
      <c r="K7727" s="1" t="n">
        <v>7891149441204</v>
      </c>
      <c r="L7727" s="1" t="s">
        <v>3913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5" t="n">
        <v>46249</v>
      </c>
      <c r="C7728" s="1" t="n">
        <v>11</v>
      </c>
      <c r="D7728" s="1" t="s">
        <v>2290</v>
      </c>
      <c r="E7728" s="1" t="n">
        <v>1621</v>
      </c>
      <c r="F7728" s="1" t="s">
        <v>306</v>
      </c>
      <c r="I7728" s="1" t="n">
        <v>957023</v>
      </c>
      <c r="J7728" s="1" t="n">
        <v>32100</v>
      </c>
      <c r="K7728" s="1" t="n">
        <v>7891991015493</v>
      </c>
      <c r="L7728" s="1" t="s">
        <v>2905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5" t="n">
        <v>46249</v>
      </c>
      <c r="C7729" s="1" t="n">
        <v>11</v>
      </c>
      <c r="D7729" s="1" t="s">
        <v>2290</v>
      </c>
      <c r="E7729" s="1" t="n">
        <v>1621</v>
      </c>
      <c r="F7729" s="1" t="s">
        <v>306</v>
      </c>
      <c r="I7729" s="1" t="n">
        <v>957023</v>
      </c>
      <c r="J7729" s="1" t="n">
        <v>33355</v>
      </c>
      <c r="K7729" s="1" t="n">
        <v>7891991010177</v>
      </c>
      <c r="L7729" s="1" t="s">
        <v>2906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5" t="n">
        <v>46249</v>
      </c>
      <c r="C7730" s="1" t="n">
        <v>11</v>
      </c>
      <c r="D7730" s="1" t="s">
        <v>2290</v>
      </c>
      <c r="E7730" s="1" t="n">
        <v>1621</v>
      </c>
      <c r="F7730" s="1" t="s">
        <v>306</v>
      </c>
      <c r="I7730" s="1" t="n">
        <v>957023</v>
      </c>
      <c r="J7730" s="1" t="n">
        <v>33537</v>
      </c>
      <c r="K7730" s="1" t="n">
        <v>7891991294942</v>
      </c>
      <c r="L7730" s="1" t="s">
        <v>2907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5" t="n">
        <v>46249</v>
      </c>
      <c r="C7731" s="1" t="n">
        <v>11</v>
      </c>
      <c r="D7731" s="1" t="s">
        <v>2290</v>
      </c>
      <c r="E7731" s="1" t="n">
        <v>1621</v>
      </c>
      <c r="F7731" s="1" t="s">
        <v>306</v>
      </c>
      <c r="I7731" s="1" t="n">
        <v>957023</v>
      </c>
      <c r="J7731" s="1" t="n">
        <v>34937</v>
      </c>
      <c r="K7731" s="1" t="n">
        <v>7891991015462</v>
      </c>
      <c r="L7731" s="1" t="s">
        <v>3455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5" t="n">
        <v>46249</v>
      </c>
      <c r="C7732" s="1" t="n">
        <v>11</v>
      </c>
      <c r="D7732" s="1" t="s">
        <v>2290</v>
      </c>
      <c r="E7732" s="1" t="n">
        <v>1621</v>
      </c>
      <c r="F7732" s="1" t="s">
        <v>306</v>
      </c>
      <c r="I7732" s="1" t="n">
        <v>957023</v>
      </c>
      <c r="J7732" s="1" t="n">
        <v>36310</v>
      </c>
      <c r="K7732" s="1" t="n">
        <v>78938854</v>
      </c>
      <c r="L7732" s="1" t="s">
        <v>4778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5" t="n">
        <v>46249</v>
      </c>
      <c r="C7733" s="1" t="n">
        <v>11</v>
      </c>
      <c r="D7733" s="1" t="s">
        <v>2290</v>
      </c>
      <c r="E7733" s="1" t="n">
        <v>1621</v>
      </c>
      <c r="F7733" s="1" t="s">
        <v>306</v>
      </c>
      <c r="I7733" s="1" t="n">
        <v>957023</v>
      </c>
      <c r="J7733" s="1" t="n">
        <v>38561</v>
      </c>
      <c r="K7733" s="1" t="n">
        <v>7891991295086</v>
      </c>
      <c r="L7733" s="1" t="s">
        <v>2908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5" t="n">
        <v>46249</v>
      </c>
      <c r="C7734" s="1" t="n">
        <v>11</v>
      </c>
      <c r="D7734" s="1" t="s">
        <v>2290</v>
      </c>
      <c r="E7734" s="1" t="n">
        <v>1621</v>
      </c>
      <c r="F7734" s="1" t="s">
        <v>306</v>
      </c>
      <c r="I7734" s="1" t="n">
        <v>957023</v>
      </c>
      <c r="J7734" s="1" t="n">
        <v>40508</v>
      </c>
      <c r="K7734" s="1" t="n">
        <v>7891991301138</v>
      </c>
      <c r="L7734" s="1" t="s">
        <v>2549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5" t="n">
        <v>46249</v>
      </c>
      <c r="C7735" s="1" t="n">
        <v>11</v>
      </c>
      <c r="D7735" s="1" t="s">
        <v>2290</v>
      </c>
      <c r="E7735" s="1" t="n">
        <v>1621</v>
      </c>
      <c r="F7735" s="1" t="s">
        <v>306</v>
      </c>
      <c r="I7735" s="1" t="n">
        <v>957023</v>
      </c>
      <c r="J7735" s="1" t="n">
        <v>44674</v>
      </c>
      <c r="K7735" s="1" t="n">
        <v>7891991297424</v>
      </c>
      <c r="L7735" s="1" t="s">
        <v>3456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5" t="n">
        <v>46249</v>
      </c>
      <c r="C7736" s="1" t="n">
        <v>11</v>
      </c>
      <c r="D7736" s="1" t="s">
        <v>2290</v>
      </c>
      <c r="E7736" s="1" t="n">
        <v>1621</v>
      </c>
      <c r="F7736" s="1" t="s">
        <v>306</v>
      </c>
      <c r="I7736" s="1" t="n">
        <v>957023</v>
      </c>
      <c r="J7736" s="1" t="n">
        <v>46066</v>
      </c>
      <c r="K7736" s="1" t="n">
        <v>7891991295277</v>
      </c>
      <c r="L7736" s="1" t="s">
        <v>2909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5" t="n">
        <v>46249</v>
      </c>
      <c r="C7737" s="1" t="n">
        <v>11</v>
      </c>
      <c r="D7737" s="1" t="s">
        <v>2290</v>
      </c>
      <c r="E7737" s="1" t="n">
        <v>1621</v>
      </c>
      <c r="F7737" s="1" t="s">
        <v>306</v>
      </c>
      <c r="I7737" s="1" t="n">
        <v>957023</v>
      </c>
      <c r="J7737" s="1" t="n">
        <v>48997</v>
      </c>
      <c r="K7737" s="1" t="n">
        <v>7891991302029</v>
      </c>
      <c r="L7737" s="1" t="s">
        <v>2551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5" t="n">
        <v>46249</v>
      </c>
      <c r="C7738" s="1" t="n">
        <v>11</v>
      </c>
      <c r="D7738" s="1" t="s">
        <v>2290</v>
      </c>
      <c r="E7738" s="1" t="n">
        <v>1621</v>
      </c>
      <c r="F7738" s="1" t="s">
        <v>306</v>
      </c>
      <c r="I7738" s="1" t="n">
        <v>957023</v>
      </c>
      <c r="J7738" s="1" t="n">
        <v>48997</v>
      </c>
      <c r="K7738" s="1" t="n">
        <v>7891991302029</v>
      </c>
      <c r="L7738" s="1" t="s">
        <v>2551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5" t="n">
        <v>46249</v>
      </c>
      <c r="C7739" s="1" t="n">
        <v>11</v>
      </c>
      <c r="D7739" s="1" t="s">
        <v>2290</v>
      </c>
      <c r="E7739" s="1" t="n">
        <v>1621</v>
      </c>
      <c r="F7739" s="1" t="s">
        <v>306</v>
      </c>
      <c r="I7739" s="1" t="n">
        <v>957023</v>
      </c>
      <c r="J7739" s="1" t="n">
        <v>51810</v>
      </c>
      <c r="K7739" s="1" t="n">
        <v>7891991010900</v>
      </c>
      <c r="L7739" s="1" t="s">
        <v>2910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5" t="n">
        <v>46249</v>
      </c>
      <c r="C7740" s="1" t="n">
        <v>11</v>
      </c>
      <c r="D7740" s="1" t="s">
        <v>2290</v>
      </c>
      <c r="E7740" s="1" t="n">
        <v>1621</v>
      </c>
      <c r="F7740" s="1" t="s">
        <v>306</v>
      </c>
      <c r="I7740" s="1" t="n">
        <v>957023</v>
      </c>
      <c r="J7740" s="1" t="n">
        <v>52560</v>
      </c>
      <c r="K7740" s="1" t="n">
        <v>7891991299619</v>
      </c>
      <c r="L7740" s="1" t="s">
        <v>4135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5" t="n">
        <v>46249</v>
      </c>
      <c r="C7741" s="1" t="n">
        <v>11</v>
      </c>
      <c r="D7741" s="1" t="s">
        <v>2290</v>
      </c>
      <c r="E7741" s="1" t="n">
        <v>1621</v>
      </c>
      <c r="F7741" s="1" t="s">
        <v>306</v>
      </c>
      <c r="I7741" s="1" t="n">
        <v>957023</v>
      </c>
      <c r="J7741" s="1" t="n">
        <v>54120</v>
      </c>
      <c r="K7741" s="1" t="n">
        <v>7892840820862</v>
      </c>
      <c r="L7741" s="1" t="s">
        <v>2552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5" t="n">
        <v>46249</v>
      </c>
      <c r="C7742" s="1" t="n">
        <v>11</v>
      </c>
      <c r="D7742" s="1" t="s">
        <v>2290</v>
      </c>
      <c r="E7742" s="1" t="n">
        <v>1621</v>
      </c>
      <c r="F7742" s="1" t="s">
        <v>306</v>
      </c>
      <c r="I7742" s="1" t="n">
        <v>957023</v>
      </c>
      <c r="J7742" s="1" t="n">
        <v>55510</v>
      </c>
      <c r="K7742" s="1" t="n">
        <v>7891991303347</v>
      </c>
      <c r="L7742" s="1" t="s">
        <v>2911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5" t="n">
        <v>46249</v>
      </c>
      <c r="C7743" s="1" t="n">
        <v>11</v>
      </c>
      <c r="D7743" s="1" t="s">
        <v>2290</v>
      </c>
      <c r="E7743" s="1" t="n">
        <v>1621</v>
      </c>
      <c r="F7743" s="1" t="s">
        <v>306</v>
      </c>
      <c r="I7743" s="1" t="n">
        <v>957023</v>
      </c>
      <c r="J7743" s="1" t="n">
        <v>57246</v>
      </c>
      <c r="K7743" s="1" t="n">
        <v>7892840800406</v>
      </c>
      <c r="L7743" s="1" t="s">
        <v>2912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5" t="n">
        <v>46249</v>
      </c>
      <c r="C7744" s="1" t="n">
        <v>11</v>
      </c>
      <c r="D7744" s="1" t="s">
        <v>2290</v>
      </c>
      <c r="E7744" s="1" t="n">
        <v>1621</v>
      </c>
      <c r="F7744" s="1" t="s">
        <v>306</v>
      </c>
      <c r="I7744" s="1" t="n">
        <v>957023</v>
      </c>
      <c r="J7744" s="1" t="n">
        <v>63479</v>
      </c>
      <c r="K7744" s="1" t="n">
        <v>7891991295055</v>
      </c>
      <c r="L7744" s="1" t="s">
        <v>3916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5" t="n">
        <v>46249</v>
      </c>
      <c r="C7745" s="1" t="n">
        <v>11</v>
      </c>
      <c r="D7745" s="1" t="s">
        <v>2290</v>
      </c>
      <c r="E7745" s="1" t="n">
        <v>1621</v>
      </c>
      <c r="F7745" s="1" t="s">
        <v>306</v>
      </c>
      <c r="I7745" s="1" t="n">
        <v>957023</v>
      </c>
      <c r="J7745" s="1" t="n">
        <v>64674</v>
      </c>
      <c r="K7745" s="1" t="n">
        <v>7891991304870</v>
      </c>
      <c r="L7745" s="1" t="s">
        <v>2913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5" t="n">
        <v>46249</v>
      </c>
      <c r="C7746" s="1" t="n">
        <v>11</v>
      </c>
      <c r="D7746" s="1" t="s">
        <v>2290</v>
      </c>
      <c r="E7746" s="1" t="n">
        <v>1621</v>
      </c>
      <c r="F7746" s="1" t="s">
        <v>306</v>
      </c>
      <c r="I7746" s="1" t="n">
        <v>957023</v>
      </c>
      <c r="J7746" s="1" t="n">
        <v>71497</v>
      </c>
      <c r="K7746" s="1" t="n">
        <v>7891991304184</v>
      </c>
      <c r="L7746" s="1" t="s">
        <v>4779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5" t="n">
        <v>46249</v>
      </c>
      <c r="C7747" s="1" t="n">
        <v>11</v>
      </c>
      <c r="D7747" s="1" t="s">
        <v>2290</v>
      </c>
      <c r="E7747" s="1" t="n">
        <v>1621</v>
      </c>
      <c r="F7747" s="1" t="s">
        <v>306</v>
      </c>
      <c r="I7747" s="1" t="n">
        <v>957023</v>
      </c>
      <c r="J7747" s="1" t="n">
        <v>73036</v>
      </c>
      <c r="K7747" s="1" t="n">
        <v>7892840822019</v>
      </c>
      <c r="L7747" s="1" t="s">
        <v>2554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5" t="n">
        <v>46249</v>
      </c>
      <c r="C7748" s="1" t="n">
        <v>11</v>
      </c>
      <c r="D7748" s="1" t="s">
        <v>2290</v>
      </c>
      <c r="E7748" s="1" t="n">
        <v>1621</v>
      </c>
      <c r="F7748" s="1" t="s">
        <v>306</v>
      </c>
      <c r="I7748" s="1" t="n">
        <v>957023</v>
      </c>
      <c r="J7748" s="1" t="n">
        <v>73807</v>
      </c>
      <c r="K7748" s="1" t="n">
        <v>7891991306485</v>
      </c>
      <c r="L7748" s="1" t="s">
        <v>4780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5" t="n">
        <v>46249</v>
      </c>
      <c r="C7749" s="1" t="n">
        <v>11</v>
      </c>
      <c r="D7749" s="1" t="s">
        <v>2290</v>
      </c>
      <c r="E7749" s="1" t="n">
        <v>1621</v>
      </c>
      <c r="F7749" s="1" t="s">
        <v>306</v>
      </c>
      <c r="I7749" s="1" t="n">
        <v>957023</v>
      </c>
      <c r="J7749" s="1" t="n">
        <v>76646</v>
      </c>
      <c r="K7749" s="1" t="n">
        <v>7891991307208</v>
      </c>
      <c r="L7749" s="1" t="s">
        <v>3917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5" t="n">
        <v>46249</v>
      </c>
      <c r="C7750" s="1" t="n">
        <v>11</v>
      </c>
      <c r="D7750" s="1" t="s">
        <v>2290</v>
      </c>
      <c r="E7750" s="1" t="n">
        <v>1621</v>
      </c>
      <c r="F7750" s="1" t="s">
        <v>306</v>
      </c>
      <c r="I7750" s="1" t="n">
        <v>957023</v>
      </c>
      <c r="J7750" s="1" t="n">
        <v>78038</v>
      </c>
      <c r="K7750" s="1" t="n">
        <v>7891991010481</v>
      </c>
      <c r="L7750" s="1" t="s">
        <v>2556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5" t="n">
        <v>46249</v>
      </c>
      <c r="C7751" s="1" t="n">
        <v>11</v>
      </c>
      <c r="D7751" s="1" t="s">
        <v>2290</v>
      </c>
      <c r="E7751" s="1" t="n">
        <v>1621</v>
      </c>
      <c r="F7751" s="1" t="s">
        <v>306</v>
      </c>
      <c r="I7751" s="1" t="n">
        <v>957023</v>
      </c>
      <c r="J7751" s="1" t="n">
        <v>78062</v>
      </c>
      <c r="K7751" s="1" t="n">
        <v>7891991305440</v>
      </c>
      <c r="L7751" s="1" t="s">
        <v>3918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5" t="n">
        <v>46249</v>
      </c>
      <c r="C7752" s="1" t="n">
        <v>11</v>
      </c>
      <c r="D7752" s="1" t="s">
        <v>2290</v>
      </c>
      <c r="E7752" s="1" t="n">
        <v>1621</v>
      </c>
      <c r="F7752" s="1" t="s">
        <v>306</v>
      </c>
      <c r="I7752" s="1" t="n">
        <v>957023</v>
      </c>
      <c r="J7752" s="1" t="n">
        <v>78063</v>
      </c>
      <c r="K7752" s="1" t="n">
        <v>7891149108718</v>
      </c>
      <c r="L7752" s="1" t="s">
        <v>2914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5" t="n">
        <v>46249</v>
      </c>
      <c r="C7753" s="1" t="n">
        <v>11</v>
      </c>
      <c r="D7753" s="1" t="s">
        <v>2290</v>
      </c>
      <c r="E7753" s="1" t="n">
        <v>1621</v>
      </c>
      <c r="F7753" s="1" t="s">
        <v>306</v>
      </c>
      <c r="I7753" s="1" t="n">
        <v>957023</v>
      </c>
      <c r="J7753" s="1" t="n">
        <v>78502</v>
      </c>
      <c r="K7753" s="1" t="n">
        <v>7891991306461</v>
      </c>
      <c r="L7753" s="1" t="s">
        <v>4451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5" t="n">
        <v>46249</v>
      </c>
      <c r="C7754" s="1" t="n">
        <v>11</v>
      </c>
      <c r="D7754" s="1" t="s">
        <v>2290</v>
      </c>
      <c r="E7754" s="1" t="n">
        <v>1621</v>
      </c>
      <c r="F7754" s="1" t="s">
        <v>306</v>
      </c>
      <c r="I7754" s="1" t="n">
        <v>957023</v>
      </c>
      <c r="J7754" s="1" t="n">
        <v>80426</v>
      </c>
      <c r="K7754" s="1" t="n">
        <v>7891149109050</v>
      </c>
      <c r="L7754" s="1" t="s">
        <v>4781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5" t="n">
        <v>46249</v>
      </c>
      <c r="C7755" s="1" t="n">
        <v>11</v>
      </c>
      <c r="D7755" s="1" t="s">
        <v>2290</v>
      </c>
      <c r="E7755" s="1" t="n">
        <v>1621</v>
      </c>
      <c r="F7755" s="1" t="s">
        <v>306</v>
      </c>
      <c r="I7755" s="1" t="n">
        <v>957023</v>
      </c>
      <c r="J7755" s="1" t="n">
        <v>81970</v>
      </c>
      <c r="K7755" s="1" t="n">
        <v>7892840823986</v>
      </c>
      <c r="L7755" s="1" t="s">
        <v>4782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5" t="n">
        <v>46249</v>
      </c>
      <c r="C7756" s="1" t="n">
        <v>11</v>
      </c>
      <c r="D7756" s="1" t="s">
        <v>2290</v>
      </c>
      <c r="E7756" s="1" t="n">
        <v>1613</v>
      </c>
      <c r="F7756" s="1" t="s">
        <v>177</v>
      </c>
      <c r="I7756" s="1" t="n">
        <v>1619343</v>
      </c>
      <c r="J7756" s="1" t="n">
        <v>110883</v>
      </c>
      <c r="K7756" s="1" t="n">
        <v>45</v>
      </c>
      <c r="L7756" s="1" t="s">
        <v>3267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5" t="n">
        <v>46249</v>
      </c>
      <c r="C7757" s="1" t="n">
        <v>11</v>
      </c>
      <c r="D7757" s="1" t="s">
        <v>2290</v>
      </c>
      <c r="E7757" s="1" t="n">
        <v>1613</v>
      </c>
      <c r="F7757" s="1" t="s">
        <v>177</v>
      </c>
      <c r="I7757" s="1" t="n">
        <v>1619343</v>
      </c>
      <c r="J7757" s="1" t="n">
        <v>100045</v>
      </c>
      <c r="K7757" s="1" t="n">
        <v>46</v>
      </c>
      <c r="L7757" s="1" t="s">
        <v>3268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5" t="n">
        <v>46249</v>
      </c>
      <c r="C7758" s="1" t="n">
        <v>11</v>
      </c>
      <c r="D7758" s="1" t="s">
        <v>2290</v>
      </c>
      <c r="E7758" s="1" t="n">
        <v>1613</v>
      </c>
      <c r="F7758" s="1" t="s">
        <v>177</v>
      </c>
      <c r="I7758" s="1" t="n">
        <v>1619343</v>
      </c>
      <c r="J7758" s="1" t="n">
        <v>102408</v>
      </c>
      <c r="K7758" s="1" t="n">
        <v>7891515602918</v>
      </c>
      <c r="L7758" s="1" t="s">
        <v>2843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5" t="n">
        <v>46249</v>
      </c>
      <c r="C7759" s="1" t="n">
        <v>11</v>
      </c>
      <c r="D7759" s="1" t="s">
        <v>2290</v>
      </c>
      <c r="E7759" s="1" t="n">
        <v>1613</v>
      </c>
      <c r="F7759" s="1" t="s">
        <v>177</v>
      </c>
      <c r="I7759" s="1" t="n">
        <v>1619343</v>
      </c>
      <c r="J7759" s="1" t="n">
        <v>108591</v>
      </c>
      <c r="K7759" s="1" t="n">
        <v>8461</v>
      </c>
      <c r="L7759" s="1" t="s">
        <v>3269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5" t="n">
        <v>46249</v>
      </c>
      <c r="C7760" s="1" t="n">
        <v>11</v>
      </c>
      <c r="D7760" s="1" t="s">
        <v>2290</v>
      </c>
      <c r="E7760" s="1" t="n">
        <v>1613</v>
      </c>
      <c r="F7760" s="1" t="s">
        <v>177</v>
      </c>
      <c r="I7760" s="1" t="n">
        <v>1619343</v>
      </c>
      <c r="J7760" s="1" t="n">
        <v>23695</v>
      </c>
      <c r="K7760" s="1" t="n">
        <v>7891515474126</v>
      </c>
      <c r="L7760" s="1" t="s">
        <v>2995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5" t="n">
        <v>46249</v>
      </c>
      <c r="C7761" s="1" t="n">
        <v>11</v>
      </c>
      <c r="D7761" s="1" t="s">
        <v>2290</v>
      </c>
      <c r="E7761" s="1" t="n">
        <v>1613</v>
      </c>
      <c r="F7761" s="1" t="s">
        <v>177</v>
      </c>
      <c r="I7761" s="1" t="n">
        <v>1619343</v>
      </c>
      <c r="J7761" s="1" t="n">
        <v>110181</v>
      </c>
      <c r="K7761" s="1" t="n">
        <v>37389</v>
      </c>
      <c r="L7761" s="1" t="s">
        <v>3270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5" t="n">
        <v>46251</v>
      </c>
      <c r="C7762" s="1" t="n">
        <v>6</v>
      </c>
      <c r="D7762" s="1" t="s">
        <v>2289</v>
      </c>
      <c r="E7762" s="1" t="n">
        <v>42</v>
      </c>
      <c r="F7762" s="1" t="s">
        <v>80</v>
      </c>
      <c r="I7762" s="1" t="n">
        <v>4507</v>
      </c>
      <c r="J7762" s="1" t="n">
        <v>109791</v>
      </c>
      <c r="K7762" s="1" t="n">
        <v>9667</v>
      </c>
      <c r="L7762" s="1" t="s">
        <v>2284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5" t="n">
        <v>46251</v>
      </c>
      <c r="C7763" s="1" t="n">
        <v>6</v>
      </c>
      <c r="D7763" s="1" t="s">
        <v>2289</v>
      </c>
      <c r="E7763" s="1" t="n">
        <v>42</v>
      </c>
      <c r="F7763" s="1" t="s">
        <v>80</v>
      </c>
      <c r="I7763" s="1" t="n">
        <v>4507</v>
      </c>
      <c r="J7763" s="1" t="n">
        <v>37359</v>
      </c>
      <c r="K7763" s="1" t="n">
        <v>55526</v>
      </c>
      <c r="L7763" s="1" t="s">
        <v>2285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5" t="n">
        <v>46251</v>
      </c>
      <c r="C7764" s="1" t="n">
        <v>6</v>
      </c>
      <c r="D7764" s="1" t="s">
        <v>2289</v>
      </c>
      <c r="E7764" s="1" t="n">
        <v>42</v>
      </c>
      <c r="F7764" s="1" t="s">
        <v>80</v>
      </c>
      <c r="I7764" s="1" t="n">
        <v>4507</v>
      </c>
      <c r="J7764" s="1" t="n">
        <v>37361</v>
      </c>
      <c r="K7764" s="1" t="n">
        <v>2240817</v>
      </c>
      <c r="L7764" s="1" t="s">
        <v>2286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5" t="n">
        <v>46251</v>
      </c>
      <c r="C7765" s="1" t="n">
        <v>6</v>
      </c>
      <c r="D7765" s="1" t="s">
        <v>2289</v>
      </c>
      <c r="E7765" s="1" t="n">
        <v>42</v>
      </c>
      <c r="F7765" s="1" t="s">
        <v>80</v>
      </c>
      <c r="I7765" s="1" t="n">
        <v>4508</v>
      </c>
      <c r="J7765" s="1" t="n">
        <v>100103</v>
      </c>
      <c r="K7765" s="1" t="n">
        <v>104</v>
      </c>
      <c r="L7765" s="1" t="s">
        <v>2287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5" t="n">
        <v>46251</v>
      </c>
      <c r="C7766" s="1" t="n">
        <v>11</v>
      </c>
      <c r="D7766" s="1" t="s">
        <v>2290</v>
      </c>
      <c r="E7766" s="1" t="n">
        <v>10096</v>
      </c>
      <c r="F7766" s="1" t="s">
        <v>1232</v>
      </c>
      <c r="I7766" s="1" t="n">
        <v>171</v>
      </c>
      <c r="J7766" s="1" t="n">
        <v>61580</v>
      </c>
      <c r="K7766" s="1" t="n">
        <v>2258157</v>
      </c>
      <c r="L7766" s="1" t="s">
        <v>2339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5" t="n">
        <v>46251</v>
      </c>
      <c r="C7767" s="1" t="n">
        <v>11</v>
      </c>
      <c r="D7767" s="1" t="s">
        <v>2290</v>
      </c>
      <c r="E7767" s="1" t="n">
        <v>1723</v>
      </c>
      <c r="F7767" s="1" t="s">
        <v>76</v>
      </c>
      <c r="I7767" s="1" t="n">
        <v>174945</v>
      </c>
      <c r="J7767" s="1" t="n">
        <v>29079</v>
      </c>
      <c r="K7767" s="1" t="n">
        <v>55515</v>
      </c>
      <c r="L7767" s="1" t="s">
        <v>2360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5" t="n">
        <v>46251</v>
      </c>
      <c r="C7768" s="1" t="n">
        <v>11</v>
      </c>
      <c r="D7768" s="1" t="s">
        <v>2290</v>
      </c>
      <c r="E7768" s="1" t="n">
        <v>1723</v>
      </c>
      <c r="F7768" s="1" t="s">
        <v>76</v>
      </c>
      <c r="I7768" s="1" t="n">
        <v>174945</v>
      </c>
      <c r="J7768" s="1" t="n">
        <v>110184</v>
      </c>
      <c r="K7768" s="1" t="n">
        <v>37393</v>
      </c>
      <c r="L7768" s="1" t="s">
        <v>2584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5" t="n">
        <v>46251</v>
      </c>
      <c r="C7769" s="1" t="n">
        <v>11</v>
      </c>
      <c r="D7769" s="1" t="s">
        <v>2290</v>
      </c>
      <c r="E7769" s="1" t="n">
        <v>1723</v>
      </c>
      <c r="F7769" s="1" t="s">
        <v>76</v>
      </c>
      <c r="I7769" s="1" t="n">
        <v>174946</v>
      </c>
      <c r="J7769" s="1" t="n">
        <v>29079</v>
      </c>
      <c r="K7769" s="1" t="n">
        <v>55515</v>
      </c>
      <c r="L7769" s="1" t="s">
        <v>2360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5" t="n">
        <v>46251</v>
      </c>
      <c r="C7770" s="1" t="n">
        <v>11</v>
      </c>
      <c r="D7770" s="1" t="s">
        <v>2290</v>
      </c>
      <c r="E7770" s="1" t="n">
        <v>1723</v>
      </c>
      <c r="F7770" s="1" t="s">
        <v>76</v>
      </c>
      <c r="I7770" s="1" t="n">
        <v>174946</v>
      </c>
      <c r="J7770" s="1" t="n">
        <v>77455</v>
      </c>
      <c r="K7770" s="1" t="n">
        <v>774567</v>
      </c>
      <c r="L7770" s="1" t="s">
        <v>2361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5" t="n">
        <v>46251</v>
      </c>
      <c r="C7771" s="1" t="n">
        <v>11</v>
      </c>
      <c r="D7771" s="1" t="s">
        <v>2290</v>
      </c>
      <c r="E7771" s="1" t="n">
        <v>1723</v>
      </c>
      <c r="F7771" s="1" t="s">
        <v>76</v>
      </c>
      <c r="I7771" s="1" t="n">
        <v>174988</v>
      </c>
      <c r="J7771" s="1" t="n">
        <v>29080</v>
      </c>
      <c r="K7771" s="1" t="n">
        <v>55516</v>
      </c>
      <c r="L7771" s="1" t="s">
        <v>2362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5" t="n">
        <v>46251</v>
      </c>
      <c r="C7772" s="1" t="n">
        <v>22</v>
      </c>
      <c r="D7772" s="1" t="s">
        <v>2436</v>
      </c>
      <c r="E7772" s="1" t="n">
        <v>42</v>
      </c>
      <c r="F7772" s="1" t="s">
        <v>80</v>
      </c>
      <c r="I7772" s="1" t="n">
        <v>4510</v>
      </c>
      <c r="J7772" s="1" t="n">
        <v>100006</v>
      </c>
      <c r="K7772" s="1" t="n">
        <v>7</v>
      </c>
      <c r="L7772" s="1" t="s">
        <v>2437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5" t="n">
        <v>46251</v>
      </c>
      <c r="C7773" s="1" t="n">
        <v>22</v>
      </c>
      <c r="D7773" s="1" t="s">
        <v>2436</v>
      </c>
      <c r="E7773" s="1" t="n">
        <v>42</v>
      </c>
      <c r="F7773" s="1" t="s">
        <v>80</v>
      </c>
      <c r="I7773" s="1" t="n">
        <v>4510</v>
      </c>
      <c r="J7773" s="1" t="n">
        <v>100006</v>
      </c>
      <c r="K7773" s="1" t="n">
        <v>7</v>
      </c>
      <c r="L7773" s="1" t="s">
        <v>2437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5" t="n">
        <v>46251</v>
      </c>
      <c r="C7774" s="1" t="n">
        <v>22</v>
      </c>
      <c r="D7774" s="1" t="s">
        <v>2436</v>
      </c>
      <c r="E7774" s="1" t="n">
        <v>42</v>
      </c>
      <c r="F7774" s="1" t="s">
        <v>80</v>
      </c>
      <c r="I7774" s="1" t="n">
        <v>4510</v>
      </c>
      <c r="J7774" s="1" t="n">
        <v>100008</v>
      </c>
      <c r="K7774" s="1" t="n">
        <v>9</v>
      </c>
      <c r="L7774" s="1" t="s">
        <v>2438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5" t="n">
        <v>46251</v>
      </c>
      <c r="C7775" s="1" t="n">
        <v>22</v>
      </c>
      <c r="D7775" s="1" t="s">
        <v>2436</v>
      </c>
      <c r="E7775" s="1" t="n">
        <v>42</v>
      </c>
      <c r="F7775" s="1" t="s">
        <v>80</v>
      </c>
      <c r="I7775" s="1" t="n">
        <v>4510</v>
      </c>
      <c r="J7775" s="1" t="n">
        <v>100008</v>
      </c>
      <c r="K7775" s="1" t="n">
        <v>9</v>
      </c>
      <c r="L7775" s="1" t="s">
        <v>2438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5" t="n">
        <v>46251</v>
      </c>
      <c r="C7776" s="1" t="n">
        <v>22</v>
      </c>
      <c r="D7776" s="1" t="s">
        <v>2436</v>
      </c>
      <c r="E7776" s="1" t="n">
        <v>42</v>
      </c>
      <c r="F7776" s="1" t="s">
        <v>80</v>
      </c>
      <c r="I7776" s="1" t="n">
        <v>4510</v>
      </c>
      <c r="J7776" s="1" t="n">
        <v>100010</v>
      </c>
      <c r="K7776" s="1" t="n">
        <v>11</v>
      </c>
      <c r="L7776" s="1" t="s">
        <v>2439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5" t="n">
        <v>46251</v>
      </c>
      <c r="C7777" s="1" t="n">
        <v>22</v>
      </c>
      <c r="D7777" s="1" t="s">
        <v>2436</v>
      </c>
      <c r="E7777" s="1" t="n">
        <v>42</v>
      </c>
      <c r="F7777" s="1" t="s">
        <v>80</v>
      </c>
      <c r="I7777" s="1" t="n">
        <v>4510</v>
      </c>
      <c r="J7777" s="1" t="n">
        <v>100011</v>
      </c>
      <c r="K7777" s="1" t="n">
        <v>12</v>
      </c>
      <c r="L7777" s="1" t="s">
        <v>2440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5" t="n">
        <v>46251</v>
      </c>
      <c r="C7778" s="1" t="n">
        <v>22</v>
      </c>
      <c r="D7778" s="1" t="s">
        <v>2436</v>
      </c>
      <c r="E7778" s="1" t="n">
        <v>42</v>
      </c>
      <c r="F7778" s="1" t="s">
        <v>80</v>
      </c>
      <c r="I7778" s="1" t="n">
        <v>4510</v>
      </c>
      <c r="J7778" s="1" t="n">
        <v>100012</v>
      </c>
      <c r="K7778" s="1" t="n">
        <v>13</v>
      </c>
      <c r="L7778" s="1" t="s">
        <v>2441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5" t="n">
        <v>46251</v>
      </c>
      <c r="C7779" s="1" t="n">
        <v>22</v>
      </c>
      <c r="D7779" s="1" t="s">
        <v>2436</v>
      </c>
      <c r="E7779" s="1" t="n">
        <v>42</v>
      </c>
      <c r="F7779" s="1" t="s">
        <v>80</v>
      </c>
      <c r="I7779" s="1" t="n">
        <v>4510</v>
      </c>
      <c r="J7779" s="1" t="n">
        <v>100013</v>
      </c>
      <c r="K7779" s="1" t="n">
        <v>14</v>
      </c>
      <c r="L7779" s="1" t="s">
        <v>2442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5" t="n">
        <v>46251</v>
      </c>
      <c r="C7780" s="1" t="n">
        <v>22</v>
      </c>
      <c r="D7780" s="1" t="s">
        <v>2436</v>
      </c>
      <c r="E7780" s="1" t="n">
        <v>42</v>
      </c>
      <c r="F7780" s="1" t="s">
        <v>80</v>
      </c>
      <c r="I7780" s="1" t="n">
        <v>4510</v>
      </c>
      <c r="J7780" s="1" t="n">
        <v>100014</v>
      </c>
      <c r="K7780" s="1" t="n">
        <v>15</v>
      </c>
      <c r="L7780" s="1" t="s">
        <v>2443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5" t="n">
        <v>46251</v>
      </c>
      <c r="C7781" s="1" t="n">
        <v>22</v>
      </c>
      <c r="D7781" s="1" t="s">
        <v>2436</v>
      </c>
      <c r="E7781" s="1" t="n">
        <v>42</v>
      </c>
      <c r="F7781" s="1" t="s">
        <v>80</v>
      </c>
      <c r="I7781" s="1" t="n">
        <v>4510</v>
      </c>
      <c r="J7781" s="1" t="n">
        <v>100015</v>
      </c>
      <c r="K7781" s="1" t="n">
        <v>16</v>
      </c>
      <c r="L7781" s="1" t="s">
        <v>2444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5" t="n">
        <v>46251</v>
      </c>
      <c r="C7782" s="1" t="n">
        <v>22</v>
      </c>
      <c r="D7782" s="1" t="s">
        <v>2436</v>
      </c>
      <c r="E7782" s="1" t="n">
        <v>42</v>
      </c>
      <c r="F7782" s="1" t="s">
        <v>80</v>
      </c>
      <c r="I7782" s="1" t="n">
        <v>4510</v>
      </c>
      <c r="J7782" s="1" t="n">
        <v>100016</v>
      </c>
      <c r="K7782" s="1" t="n">
        <v>17</v>
      </c>
      <c r="L7782" s="1" t="s">
        <v>2445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5" t="n">
        <v>46251</v>
      </c>
      <c r="C7783" s="1" t="n">
        <v>22</v>
      </c>
      <c r="D7783" s="1" t="s">
        <v>2436</v>
      </c>
      <c r="E7783" s="1" t="n">
        <v>42</v>
      </c>
      <c r="F7783" s="1" t="s">
        <v>80</v>
      </c>
      <c r="I7783" s="1" t="n">
        <v>4510</v>
      </c>
      <c r="J7783" s="1" t="n">
        <v>100017</v>
      </c>
      <c r="K7783" s="1" t="n">
        <v>18</v>
      </c>
      <c r="L7783" s="1" t="s">
        <v>2446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5" t="n">
        <v>46251</v>
      </c>
      <c r="C7784" s="1" t="n">
        <v>22</v>
      </c>
      <c r="D7784" s="1" t="s">
        <v>2436</v>
      </c>
      <c r="E7784" s="1" t="n">
        <v>42</v>
      </c>
      <c r="F7784" s="1" t="s">
        <v>80</v>
      </c>
      <c r="I7784" s="1" t="n">
        <v>4510</v>
      </c>
      <c r="J7784" s="1" t="n">
        <v>100053</v>
      </c>
      <c r="K7784" s="1" t="n">
        <v>54</v>
      </c>
      <c r="L7784" s="1" t="s">
        <v>2447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5" t="n">
        <v>46251</v>
      </c>
      <c r="C7785" s="1" t="n">
        <v>22</v>
      </c>
      <c r="D7785" s="1" t="s">
        <v>2436</v>
      </c>
      <c r="E7785" s="1" t="n">
        <v>42</v>
      </c>
      <c r="F7785" s="1" t="s">
        <v>80</v>
      </c>
      <c r="I7785" s="1" t="n">
        <v>4510</v>
      </c>
      <c r="J7785" s="1" t="n">
        <v>100053</v>
      </c>
      <c r="K7785" s="1" t="n">
        <v>54</v>
      </c>
      <c r="L7785" s="1" t="s">
        <v>2447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5" t="n">
        <v>46251</v>
      </c>
      <c r="C7786" s="1" t="n">
        <v>22</v>
      </c>
      <c r="D7786" s="1" t="s">
        <v>2436</v>
      </c>
      <c r="E7786" s="1" t="n">
        <v>42</v>
      </c>
      <c r="F7786" s="1" t="s">
        <v>80</v>
      </c>
      <c r="I7786" s="1" t="n">
        <v>4510</v>
      </c>
      <c r="J7786" s="1" t="n">
        <v>100638</v>
      </c>
      <c r="K7786" s="1" t="n">
        <v>508</v>
      </c>
      <c r="L7786" s="1" t="s">
        <v>2448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5" t="n">
        <v>46251</v>
      </c>
      <c r="C7787" s="1" t="n">
        <v>22</v>
      </c>
      <c r="D7787" s="1" t="s">
        <v>2436</v>
      </c>
      <c r="E7787" s="1" t="n">
        <v>42</v>
      </c>
      <c r="F7787" s="1" t="s">
        <v>80</v>
      </c>
      <c r="I7787" s="1" t="n">
        <v>4510</v>
      </c>
      <c r="J7787" s="1" t="n">
        <v>100638</v>
      </c>
      <c r="K7787" s="1" t="n">
        <v>508</v>
      </c>
      <c r="L7787" s="1" t="s">
        <v>2448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5" t="n">
        <v>46251</v>
      </c>
      <c r="C7788" s="1" t="n">
        <v>22</v>
      </c>
      <c r="D7788" s="1" t="s">
        <v>2436</v>
      </c>
      <c r="E7788" s="1" t="n">
        <v>42</v>
      </c>
      <c r="F7788" s="1" t="s">
        <v>80</v>
      </c>
      <c r="I7788" s="1" t="n">
        <v>4510</v>
      </c>
      <c r="J7788" s="1" t="n">
        <v>100520</v>
      </c>
      <c r="K7788" s="1" t="n">
        <v>507</v>
      </c>
      <c r="L7788" s="1" t="s">
        <v>2449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5" t="n">
        <v>46251</v>
      </c>
      <c r="C7789" s="1" t="n">
        <v>22</v>
      </c>
      <c r="D7789" s="1" t="s">
        <v>2436</v>
      </c>
      <c r="E7789" s="1" t="n">
        <v>42</v>
      </c>
      <c r="F7789" s="1" t="s">
        <v>80</v>
      </c>
      <c r="I7789" s="1" t="n">
        <v>4510</v>
      </c>
      <c r="J7789" s="1" t="n">
        <v>100520</v>
      </c>
      <c r="K7789" s="1" t="n">
        <v>507</v>
      </c>
      <c r="L7789" s="1" t="s">
        <v>2449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5" t="n">
        <v>46251</v>
      </c>
      <c r="C7790" s="1" t="n">
        <v>22</v>
      </c>
      <c r="D7790" s="1" t="s">
        <v>2436</v>
      </c>
      <c r="E7790" s="1" t="n">
        <v>42</v>
      </c>
      <c r="F7790" s="1" t="s">
        <v>80</v>
      </c>
      <c r="I7790" s="1" t="n">
        <v>4510</v>
      </c>
      <c r="J7790" s="1" t="n">
        <v>110455</v>
      </c>
      <c r="K7790" s="1" t="n">
        <v>53212</v>
      </c>
      <c r="L7790" s="1" t="s">
        <v>2450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5" t="n">
        <v>46251</v>
      </c>
      <c r="C7791" s="1" t="n">
        <v>22</v>
      </c>
      <c r="D7791" s="1" t="s">
        <v>2436</v>
      </c>
      <c r="E7791" s="1" t="n">
        <v>42</v>
      </c>
      <c r="F7791" s="1" t="s">
        <v>80</v>
      </c>
      <c r="I7791" s="1" t="n">
        <v>4510</v>
      </c>
      <c r="J7791" s="1" t="n">
        <v>110455</v>
      </c>
      <c r="K7791" s="1" t="n">
        <v>53212</v>
      </c>
      <c r="L7791" s="1" t="s">
        <v>2450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5" t="n">
        <v>46251</v>
      </c>
      <c r="C7792" s="1" t="n">
        <v>22</v>
      </c>
      <c r="D7792" s="1" t="s">
        <v>2436</v>
      </c>
      <c r="E7792" s="1" t="n">
        <v>42</v>
      </c>
      <c r="F7792" s="1" t="s">
        <v>80</v>
      </c>
      <c r="I7792" s="1" t="n">
        <v>4512</v>
      </c>
      <c r="J7792" s="1" t="n">
        <v>100000</v>
      </c>
      <c r="K7792" s="1" t="n">
        <v>1</v>
      </c>
      <c r="L7792" s="1" t="s">
        <v>2451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5" t="n">
        <v>46251</v>
      </c>
      <c r="C7793" s="1" t="n">
        <v>22</v>
      </c>
      <c r="D7793" s="1" t="s">
        <v>2436</v>
      </c>
      <c r="E7793" s="1" t="n">
        <v>42</v>
      </c>
      <c r="F7793" s="1" t="s">
        <v>80</v>
      </c>
      <c r="I7793" s="1" t="n">
        <v>4512</v>
      </c>
      <c r="J7793" s="1" t="n">
        <v>100006</v>
      </c>
      <c r="K7793" s="1" t="n">
        <v>7</v>
      </c>
      <c r="L7793" s="1" t="s">
        <v>2437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5" t="n">
        <v>46251</v>
      </c>
      <c r="C7794" s="1" t="n">
        <v>22</v>
      </c>
      <c r="D7794" s="1" t="s">
        <v>2436</v>
      </c>
      <c r="E7794" s="1" t="n">
        <v>42</v>
      </c>
      <c r="F7794" s="1" t="s">
        <v>80</v>
      </c>
      <c r="I7794" s="1" t="n">
        <v>4512</v>
      </c>
      <c r="J7794" s="1" t="n">
        <v>100008</v>
      </c>
      <c r="K7794" s="1" t="n">
        <v>9</v>
      </c>
      <c r="L7794" s="1" t="s">
        <v>2438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5" t="n">
        <v>46251</v>
      </c>
      <c r="C7795" s="1" t="n">
        <v>22</v>
      </c>
      <c r="D7795" s="1" t="s">
        <v>2436</v>
      </c>
      <c r="E7795" s="1" t="n">
        <v>42</v>
      </c>
      <c r="F7795" s="1" t="s">
        <v>80</v>
      </c>
      <c r="I7795" s="1" t="n">
        <v>4512</v>
      </c>
      <c r="J7795" s="1" t="n">
        <v>100010</v>
      </c>
      <c r="K7795" s="1" t="n">
        <v>11</v>
      </c>
      <c r="L7795" s="1" t="s">
        <v>2439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5" t="n">
        <v>46251</v>
      </c>
      <c r="C7796" s="1" t="n">
        <v>22</v>
      </c>
      <c r="D7796" s="1" t="s">
        <v>2436</v>
      </c>
      <c r="E7796" s="1" t="n">
        <v>42</v>
      </c>
      <c r="F7796" s="1" t="s">
        <v>80</v>
      </c>
      <c r="I7796" s="1" t="n">
        <v>4512</v>
      </c>
      <c r="J7796" s="1" t="n">
        <v>100011</v>
      </c>
      <c r="K7796" s="1" t="n">
        <v>12</v>
      </c>
      <c r="L7796" s="1" t="s">
        <v>2440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5" t="n">
        <v>46251</v>
      </c>
      <c r="C7797" s="1" t="n">
        <v>22</v>
      </c>
      <c r="D7797" s="1" t="s">
        <v>2436</v>
      </c>
      <c r="E7797" s="1" t="n">
        <v>42</v>
      </c>
      <c r="F7797" s="1" t="s">
        <v>80</v>
      </c>
      <c r="I7797" s="1" t="n">
        <v>4512</v>
      </c>
      <c r="J7797" s="1" t="n">
        <v>100012</v>
      </c>
      <c r="K7797" s="1" t="n">
        <v>13</v>
      </c>
      <c r="L7797" s="1" t="s">
        <v>2441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5" t="n">
        <v>46251</v>
      </c>
      <c r="C7798" s="1" t="n">
        <v>22</v>
      </c>
      <c r="D7798" s="1" t="s">
        <v>2436</v>
      </c>
      <c r="E7798" s="1" t="n">
        <v>42</v>
      </c>
      <c r="F7798" s="1" t="s">
        <v>80</v>
      </c>
      <c r="I7798" s="1" t="n">
        <v>4512</v>
      </c>
      <c r="J7798" s="1" t="n">
        <v>100013</v>
      </c>
      <c r="K7798" s="1" t="n">
        <v>14</v>
      </c>
      <c r="L7798" s="1" t="s">
        <v>2442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5" t="n">
        <v>46251</v>
      </c>
      <c r="C7799" s="1" t="n">
        <v>22</v>
      </c>
      <c r="D7799" s="1" t="s">
        <v>2436</v>
      </c>
      <c r="E7799" s="1" t="n">
        <v>42</v>
      </c>
      <c r="F7799" s="1" t="s">
        <v>80</v>
      </c>
      <c r="I7799" s="1" t="n">
        <v>4512</v>
      </c>
      <c r="J7799" s="1" t="n">
        <v>100014</v>
      </c>
      <c r="K7799" s="1" t="n">
        <v>15</v>
      </c>
      <c r="L7799" s="1" t="s">
        <v>2443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5" t="n">
        <v>46251</v>
      </c>
      <c r="C7800" s="1" t="n">
        <v>22</v>
      </c>
      <c r="D7800" s="1" t="s">
        <v>2436</v>
      </c>
      <c r="E7800" s="1" t="n">
        <v>42</v>
      </c>
      <c r="F7800" s="1" t="s">
        <v>80</v>
      </c>
      <c r="I7800" s="1" t="n">
        <v>4512</v>
      </c>
      <c r="J7800" s="1" t="n">
        <v>100015</v>
      </c>
      <c r="K7800" s="1" t="n">
        <v>16</v>
      </c>
      <c r="L7800" s="1" t="s">
        <v>2444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5" t="n">
        <v>46251</v>
      </c>
      <c r="C7801" s="1" t="n">
        <v>22</v>
      </c>
      <c r="D7801" s="1" t="s">
        <v>2436</v>
      </c>
      <c r="E7801" s="1" t="n">
        <v>42</v>
      </c>
      <c r="F7801" s="1" t="s">
        <v>80</v>
      </c>
      <c r="I7801" s="1" t="n">
        <v>4512</v>
      </c>
      <c r="J7801" s="1" t="n">
        <v>100016</v>
      </c>
      <c r="K7801" s="1" t="n">
        <v>17</v>
      </c>
      <c r="L7801" s="1" t="s">
        <v>2445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5" t="n">
        <v>46251</v>
      </c>
      <c r="C7802" s="1" t="n">
        <v>22</v>
      </c>
      <c r="D7802" s="1" t="s">
        <v>2436</v>
      </c>
      <c r="E7802" s="1" t="n">
        <v>42</v>
      </c>
      <c r="F7802" s="1" t="s">
        <v>80</v>
      </c>
      <c r="I7802" s="1" t="n">
        <v>4512</v>
      </c>
      <c r="J7802" s="1" t="n">
        <v>100017</v>
      </c>
      <c r="K7802" s="1" t="n">
        <v>18</v>
      </c>
      <c r="L7802" s="1" t="s">
        <v>2446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5" t="n">
        <v>46251</v>
      </c>
      <c r="C7803" s="1" t="n">
        <v>22</v>
      </c>
      <c r="D7803" s="1" t="s">
        <v>2436</v>
      </c>
      <c r="E7803" s="1" t="n">
        <v>42</v>
      </c>
      <c r="F7803" s="1" t="s">
        <v>80</v>
      </c>
      <c r="I7803" s="1" t="n">
        <v>4512</v>
      </c>
      <c r="J7803" s="1" t="n">
        <v>100053</v>
      </c>
      <c r="K7803" s="1" t="n">
        <v>54</v>
      </c>
      <c r="L7803" s="1" t="s">
        <v>2447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5" t="n">
        <v>46251</v>
      </c>
      <c r="C7804" s="1" t="n">
        <v>22</v>
      </c>
      <c r="D7804" s="1" t="s">
        <v>2436</v>
      </c>
      <c r="E7804" s="1" t="n">
        <v>42</v>
      </c>
      <c r="F7804" s="1" t="s">
        <v>80</v>
      </c>
      <c r="I7804" s="1" t="n">
        <v>4512</v>
      </c>
      <c r="J7804" s="1" t="n">
        <v>100638</v>
      </c>
      <c r="K7804" s="1" t="n">
        <v>508</v>
      </c>
      <c r="L7804" s="1" t="s">
        <v>2448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5" t="n">
        <v>46251</v>
      </c>
      <c r="C7805" s="1" t="n">
        <v>22</v>
      </c>
      <c r="D7805" s="1" t="s">
        <v>2436</v>
      </c>
      <c r="E7805" s="1" t="n">
        <v>42</v>
      </c>
      <c r="F7805" s="1" t="s">
        <v>80</v>
      </c>
      <c r="I7805" s="1" t="n">
        <v>4512</v>
      </c>
      <c r="J7805" s="1" t="n">
        <v>100520</v>
      </c>
      <c r="K7805" s="1" t="n">
        <v>507</v>
      </c>
      <c r="L7805" s="1" t="s">
        <v>2449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5" t="n">
        <v>46251</v>
      </c>
      <c r="C7806" s="1" t="n">
        <v>22</v>
      </c>
      <c r="D7806" s="1" t="s">
        <v>2436</v>
      </c>
      <c r="E7806" s="1" t="n">
        <v>42</v>
      </c>
      <c r="F7806" s="1" t="s">
        <v>80</v>
      </c>
      <c r="I7806" s="1" t="n">
        <v>4512</v>
      </c>
      <c r="J7806" s="1" t="n">
        <v>110455</v>
      </c>
      <c r="K7806" s="1" t="n">
        <v>53212</v>
      </c>
      <c r="L7806" s="1" t="s">
        <v>2450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5" t="n">
        <v>46251</v>
      </c>
      <c r="C7807" s="1" t="n">
        <v>22</v>
      </c>
      <c r="D7807" s="1" t="s">
        <v>2436</v>
      </c>
      <c r="E7807" s="1" t="n">
        <v>42</v>
      </c>
      <c r="F7807" s="1" t="s">
        <v>80</v>
      </c>
      <c r="I7807" s="1" t="n">
        <v>4514</v>
      </c>
      <c r="J7807" s="1" t="n">
        <v>100000</v>
      </c>
      <c r="K7807" s="1" t="n">
        <v>1</v>
      </c>
      <c r="L7807" s="1" t="s">
        <v>2451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5" t="n">
        <v>46251</v>
      </c>
      <c r="C7808" s="1" t="n">
        <v>22</v>
      </c>
      <c r="D7808" s="1" t="s">
        <v>2436</v>
      </c>
      <c r="E7808" s="1" t="n">
        <v>42</v>
      </c>
      <c r="F7808" s="1" t="s">
        <v>80</v>
      </c>
      <c r="I7808" s="1" t="n">
        <v>4514</v>
      </c>
      <c r="J7808" s="1" t="n">
        <v>100001</v>
      </c>
      <c r="K7808" s="1" t="n">
        <v>2</v>
      </c>
      <c r="L7808" s="1" t="s">
        <v>2452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5" t="n">
        <v>46251</v>
      </c>
      <c r="C7809" s="1" t="n">
        <v>22</v>
      </c>
      <c r="D7809" s="1" t="s">
        <v>2436</v>
      </c>
      <c r="E7809" s="1" t="n">
        <v>42</v>
      </c>
      <c r="F7809" s="1" t="s">
        <v>80</v>
      </c>
      <c r="I7809" s="1" t="n">
        <v>4514</v>
      </c>
      <c r="J7809" s="1" t="n">
        <v>100002</v>
      </c>
      <c r="K7809" s="1" t="n">
        <v>3</v>
      </c>
      <c r="L7809" s="1" t="s">
        <v>2453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5" t="n">
        <v>46251</v>
      </c>
      <c r="C7810" s="1" t="n">
        <v>22</v>
      </c>
      <c r="D7810" s="1" t="s">
        <v>2436</v>
      </c>
      <c r="E7810" s="1" t="n">
        <v>42</v>
      </c>
      <c r="F7810" s="1" t="s">
        <v>80</v>
      </c>
      <c r="I7810" s="1" t="n">
        <v>4514</v>
      </c>
      <c r="J7810" s="1" t="n">
        <v>100003</v>
      </c>
      <c r="K7810" s="1" t="n">
        <v>4</v>
      </c>
      <c r="L7810" s="1" t="s">
        <v>2454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5" t="n">
        <v>46251</v>
      </c>
      <c r="C7811" s="1" t="n">
        <v>22</v>
      </c>
      <c r="D7811" s="1" t="s">
        <v>2436</v>
      </c>
      <c r="E7811" s="1" t="n">
        <v>42</v>
      </c>
      <c r="F7811" s="1" t="s">
        <v>80</v>
      </c>
      <c r="I7811" s="1" t="n">
        <v>4514</v>
      </c>
      <c r="J7811" s="1" t="n">
        <v>100007</v>
      </c>
      <c r="K7811" s="1" t="n">
        <v>8</v>
      </c>
      <c r="L7811" s="1" t="s">
        <v>2455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5" t="n">
        <v>46251</v>
      </c>
      <c r="C7812" s="1" t="n">
        <v>22</v>
      </c>
      <c r="D7812" s="1" t="s">
        <v>2436</v>
      </c>
      <c r="E7812" s="1" t="n">
        <v>42</v>
      </c>
      <c r="F7812" s="1" t="s">
        <v>80</v>
      </c>
      <c r="I7812" s="1" t="n">
        <v>4514</v>
      </c>
      <c r="J7812" s="1" t="n">
        <v>100638</v>
      </c>
      <c r="K7812" s="1" t="n">
        <v>508</v>
      </c>
      <c r="L7812" s="1" t="s">
        <v>2448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5" t="n">
        <v>46251</v>
      </c>
      <c r="C7813" s="1" t="n">
        <v>22</v>
      </c>
      <c r="D7813" s="1" t="s">
        <v>2436</v>
      </c>
      <c r="E7813" s="1" t="n">
        <v>42</v>
      </c>
      <c r="F7813" s="1" t="s">
        <v>80</v>
      </c>
      <c r="I7813" s="1" t="n">
        <v>4514</v>
      </c>
      <c r="J7813" s="1" t="n">
        <v>100520</v>
      </c>
      <c r="K7813" s="1" t="n">
        <v>507</v>
      </c>
      <c r="L7813" s="1" t="s">
        <v>2449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5" t="n">
        <v>46251</v>
      </c>
      <c r="C7814" s="1" t="n">
        <v>22</v>
      </c>
      <c r="D7814" s="1" t="s">
        <v>2436</v>
      </c>
      <c r="E7814" s="1" t="n">
        <v>42</v>
      </c>
      <c r="F7814" s="1" t="s">
        <v>80</v>
      </c>
      <c r="I7814" s="1" t="n">
        <v>4514</v>
      </c>
      <c r="J7814" s="1" t="n">
        <v>110455</v>
      </c>
      <c r="K7814" s="1" t="n">
        <v>53212</v>
      </c>
      <c r="L7814" s="1" t="s">
        <v>2450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5" t="n">
        <v>46251</v>
      </c>
      <c r="C7815" s="1" t="n">
        <v>100</v>
      </c>
      <c r="D7815" s="1" t="s">
        <v>2457</v>
      </c>
      <c r="E7815" s="1" t="n">
        <v>42</v>
      </c>
      <c r="F7815" s="1" t="s">
        <v>80</v>
      </c>
      <c r="I7815" s="1" t="n">
        <v>1562347</v>
      </c>
      <c r="J7815" s="1" t="n">
        <v>100006</v>
      </c>
      <c r="K7815" s="1" t="n">
        <v>7</v>
      </c>
      <c r="L7815" s="1" t="s">
        <v>2437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5" t="n">
        <v>46251</v>
      </c>
      <c r="C7816" s="1" t="n">
        <v>100</v>
      </c>
      <c r="D7816" s="1" t="s">
        <v>2457</v>
      </c>
      <c r="E7816" s="1" t="n">
        <v>42</v>
      </c>
      <c r="F7816" s="1" t="s">
        <v>80</v>
      </c>
      <c r="I7816" s="1" t="n">
        <v>1562347</v>
      </c>
      <c r="J7816" s="1" t="n">
        <v>100008</v>
      </c>
      <c r="K7816" s="1" t="n">
        <v>9</v>
      </c>
      <c r="L7816" s="1" t="s">
        <v>2438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5" t="n">
        <v>46251</v>
      </c>
      <c r="C7817" s="1" t="n">
        <v>100</v>
      </c>
      <c r="D7817" s="1" t="s">
        <v>2457</v>
      </c>
      <c r="E7817" s="1" t="n">
        <v>42</v>
      </c>
      <c r="F7817" s="1" t="s">
        <v>80</v>
      </c>
      <c r="I7817" s="1" t="n">
        <v>1562347</v>
      </c>
      <c r="J7817" s="1" t="n">
        <v>100053</v>
      </c>
      <c r="K7817" s="1" t="n">
        <v>54</v>
      </c>
      <c r="L7817" s="1" t="s">
        <v>2447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5" t="n">
        <v>46251</v>
      </c>
      <c r="C7818" s="1" t="n">
        <v>100</v>
      </c>
      <c r="D7818" s="1" t="s">
        <v>2457</v>
      </c>
      <c r="E7818" s="1" t="n">
        <v>42</v>
      </c>
      <c r="F7818" s="1" t="s">
        <v>80</v>
      </c>
      <c r="I7818" s="1" t="n">
        <v>1562347</v>
      </c>
      <c r="J7818" s="1" t="n">
        <v>100638</v>
      </c>
      <c r="K7818" s="1" t="n">
        <v>508</v>
      </c>
      <c r="L7818" s="1" t="s">
        <v>2448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5" t="n">
        <v>46251</v>
      </c>
      <c r="C7819" s="1" t="n">
        <v>100</v>
      </c>
      <c r="D7819" s="1" t="s">
        <v>2457</v>
      </c>
      <c r="E7819" s="1" t="n">
        <v>42</v>
      </c>
      <c r="F7819" s="1" t="s">
        <v>80</v>
      </c>
      <c r="I7819" s="1" t="n">
        <v>1562347</v>
      </c>
      <c r="J7819" s="1" t="n">
        <v>100520</v>
      </c>
      <c r="K7819" s="1" t="n">
        <v>507</v>
      </c>
      <c r="L7819" s="1" t="s">
        <v>2449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5" t="n">
        <v>46251</v>
      </c>
      <c r="C7820" s="1" t="n">
        <v>100</v>
      </c>
      <c r="D7820" s="1" t="s">
        <v>2457</v>
      </c>
      <c r="E7820" s="1" t="n">
        <v>42</v>
      </c>
      <c r="F7820" s="1" t="s">
        <v>80</v>
      </c>
      <c r="I7820" s="1" t="n">
        <v>1562347</v>
      </c>
      <c r="J7820" s="1" t="n">
        <v>110455</v>
      </c>
      <c r="K7820" s="1" t="n">
        <v>53212</v>
      </c>
      <c r="L7820" s="1" t="s">
        <v>2450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5" t="n">
        <v>46251</v>
      </c>
      <c r="C7821" s="1" t="n">
        <v>100</v>
      </c>
      <c r="D7821" s="1" t="s">
        <v>2457</v>
      </c>
      <c r="E7821" s="1" t="n">
        <v>42</v>
      </c>
      <c r="F7821" s="1" t="s">
        <v>80</v>
      </c>
      <c r="I7821" s="1" t="n">
        <v>1562352</v>
      </c>
      <c r="J7821" s="1" t="n">
        <v>100006</v>
      </c>
      <c r="K7821" s="1" t="n">
        <v>7</v>
      </c>
      <c r="L7821" s="1" t="s">
        <v>2437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5" t="n">
        <v>46251</v>
      </c>
      <c r="C7822" s="1" t="n">
        <v>100</v>
      </c>
      <c r="D7822" s="1" t="s">
        <v>2457</v>
      </c>
      <c r="E7822" s="1" t="n">
        <v>42</v>
      </c>
      <c r="F7822" s="1" t="s">
        <v>80</v>
      </c>
      <c r="I7822" s="1" t="n">
        <v>1562352</v>
      </c>
      <c r="J7822" s="1" t="n">
        <v>100008</v>
      </c>
      <c r="K7822" s="1" t="n">
        <v>9</v>
      </c>
      <c r="L7822" s="1" t="s">
        <v>2438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5" t="n">
        <v>46251</v>
      </c>
      <c r="C7823" s="1" t="n">
        <v>100</v>
      </c>
      <c r="D7823" s="1" t="s">
        <v>2457</v>
      </c>
      <c r="E7823" s="1" t="n">
        <v>42</v>
      </c>
      <c r="F7823" s="1" t="s">
        <v>80</v>
      </c>
      <c r="I7823" s="1" t="n">
        <v>1562352</v>
      </c>
      <c r="J7823" s="1" t="n">
        <v>100010</v>
      </c>
      <c r="K7823" s="1" t="n">
        <v>11</v>
      </c>
      <c r="L7823" s="1" t="s">
        <v>2439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5" t="n">
        <v>46251</v>
      </c>
      <c r="C7824" s="1" t="n">
        <v>100</v>
      </c>
      <c r="D7824" s="1" t="s">
        <v>2457</v>
      </c>
      <c r="E7824" s="1" t="n">
        <v>42</v>
      </c>
      <c r="F7824" s="1" t="s">
        <v>80</v>
      </c>
      <c r="I7824" s="1" t="n">
        <v>1562352</v>
      </c>
      <c r="J7824" s="1" t="n">
        <v>100011</v>
      </c>
      <c r="K7824" s="1" t="n">
        <v>12</v>
      </c>
      <c r="L7824" s="1" t="s">
        <v>2440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5" t="n">
        <v>46251</v>
      </c>
      <c r="C7825" s="1" t="n">
        <v>100</v>
      </c>
      <c r="D7825" s="1" t="s">
        <v>2457</v>
      </c>
      <c r="E7825" s="1" t="n">
        <v>42</v>
      </c>
      <c r="F7825" s="1" t="s">
        <v>80</v>
      </c>
      <c r="I7825" s="1" t="n">
        <v>1562352</v>
      </c>
      <c r="J7825" s="1" t="n">
        <v>100012</v>
      </c>
      <c r="K7825" s="1" t="n">
        <v>13</v>
      </c>
      <c r="L7825" s="1" t="s">
        <v>2441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5" t="n">
        <v>46251</v>
      </c>
      <c r="C7826" s="1" t="n">
        <v>100</v>
      </c>
      <c r="D7826" s="1" t="s">
        <v>2457</v>
      </c>
      <c r="E7826" s="1" t="n">
        <v>42</v>
      </c>
      <c r="F7826" s="1" t="s">
        <v>80</v>
      </c>
      <c r="I7826" s="1" t="n">
        <v>1562352</v>
      </c>
      <c r="J7826" s="1" t="n">
        <v>100013</v>
      </c>
      <c r="K7826" s="1" t="n">
        <v>14</v>
      </c>
      <c r="L7826" s="1" t="s">
        <v>2442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5" t="n">
        <v>46251</v>
      </c>
      <c r="C7827" s="1" t="n">
        <v>100</v>
      </c>
      <c r="D7827" s="1" t="s">
        <v>2457</v>
      </c>
      <c r="E7827" s="1" t="n">
        <v>42</v>
      </c>
      <c r="F7827" s="1" t="s">
        <v>80</v>
      </c>
      <c r="I7827" s="1" t="n">
        <v>1562352</v>
      </c>
      <c r="J7827" s="1" t="n">
        <v>100014</v>
      </c>
      <c r="K7827" s="1" t="n">
        <v>15</v>
      </c>
      <c r="L7827" s="1" t="s">
        <v>2443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5" t="n">
        <v>46251</v>
      </c>
      <c r="C7828" s="1" t="n">
        <v>100</v>
      </c>
      <c r="D7828" s="1" t="s">
        <v>2457</v>
      </c>
      <c r="E7828" s="1" t="n">
        <v>42</v>
      </c>
      <c r="F7828" s="1" t="s">
        <v>80</v>
      </c>
      <c r="I7828" s="1" t="n">
        <v>1562352</v>
      </c>
      <c r="J7828" s="1" t="n">
        <v>100015</v>
      </c>
      <c r="K7828" s="1" t="n">
        <v>16</v>
      </c>
      <c r="L7828" s="1" t="s">
        <v>2444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5" t="n">
        <v>46251</v>
      </c>
      <c r="C7829" s="1" t="n">
        <v>100</v>
      </c>
      <c r="D7829" s="1" t="s">
        <v>2457</v>
      </c>
      <c r="E7829" s="1" t="n">
        <v>42</v>
      </c>
      <c r="F7829" s="1" t="s">
        <v>80</v>
      </c>
      <c r="I7829" s="1" t="n">
        <v>1562352</v>
      </c>
      <c r="J7829" s="1" t="n">
        <v>100016</v>
      </c>
      <c r="K7829" s="1" t="n">
        <v>17</v>
      </c>
      <c r="L7829" s="1" t="s">
        <v>2445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5" t="n">
        <v>46251</v>
      </c>
      <c r="C7830" s="1" t="n">
        <v>100</v>
      </c>
      <c r="D7830" s="1" t="s">
        <v>2457</v>
      </c>
      <c r="E7830" s="1" t="n">
        <v>42</v>
      </c>
      <c r="F7830" s="1" t="s">
        <v>80</v>
      </c>
      <c r="I7830" s="1" t="n">
        <v>1562352</v>
      </c>
      <c r="J7830" s="1" t="n">
        <v>100017</v>
      </c>
      <c r="K7830" s="1" t="n">
        <v>18</v>
      </c>
      <c r="L7830" s="1" t="s">
        <v>2446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5" t="n">
        <v>46251</v>
      </c>
      <c r="C7831" s="1" t="n">
        <v>100</v>
      </c>
      <c r="D7831" s="1" t="s">
        <v>2457</v>
      </c>
      <c r="E7831" s="1" t="n">
        <v>42</v>
      </c>
      <c r="F7831" s="1" t="s">
        <v>80</v>
      </c>
      <c r="I7831" s="1" t="n">
        <v>1562352</v>
      </c>
      <c r="J7831" s="1" t="n">
        <v>100053</v>
      </c>
      <c r="K7831" s="1" t="n">
        <v>54</v>
      </c>
      <c r="L7831" s="1" t="s">
        <v>2447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5" t="n">
        <v>46251</v>
      </c>
      <c r="C7832" s="1" t="n">
        <v>100</v>
      </c>
      <c r="D7832" s="1" t="s">
        <v>2457</v>
      </c>
      <c r="E7832" s="1" t="n">
        <v>42</v>
      </c>
      <c r="F7832" s="1" t="s">
        <v>80</v>
      </c>
      <c r="I7832" s="1" t="n">
        <v>1562352</v>
      </c>
      <c r="J7832" s="1" t="n">
        <v>100638</v>
      </c>
      <c r="K7832" s="1" t="n">
        <v>508</v>
      </c>
      <c r="L7832" s="1" t="s">
        <v>2448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5" t="n">
        <v>46251</v>
      </c>
      <c r="C7833" s="1" t="n">
        <v>100</v>
      </c>
      <c r="D7833" s="1" t="s">
        <v>2457</v>
      </c>
      <c r="E7833" s="1" t="n">
        <v>42</v>
      </c>
      <c r="F7833" s="1" t="s">
        <v>80</v>
      </c>
      <c r="I7833" s="1" t="n">
        <v>1562352</v>
      </c>
      <c r="J7833" s="1" t="n">
        <v>100520</v>
      </c>
      <c r="K7833" s="1" t="n">
        <v>507</v>
      </c>
      <c r="L7833" s="1" t="s">
        <v>2449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5" t="n">
        <v>46251</v>
      </c>
      <c r="C7834" s="1" t="n">
        <v>100</v>
      </c>
      <c r="D7834" s="1" t="s">
        <v>2457</v>
      </c>
      <c r="E7834" s="1" t="n">
        <v>42</v>
      </c>
      <c r="F7834" s="1" t="s">
        <v>80</v>
      </c>
      <c r="I7834" s="1" t="n">
        <v>1562352</v>
      </c>
      <c r="J7834" s="1" t="n">
        <v>110455</v>
      </c>
      <c r="K7834" s="1" t="n">
        <v>53212</v>
      </c>
      <c r="L7834" s="1" t="s">
        <v>2450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5" t="n">
        <v>46251</v>
      </c>
      <c r="C7835" s="1" t="n">
        <v>100</v>
      </c>
      <c r="D7835" s="1" t="s">
        <v>2457</v>
      </c>
      <c r="E7835" s="1" t="n">
        <v>42</v>
      </c>
      <c r="F7835" s="1" t="s">
        <v>80</v>
      </c>
      <c r="I7835" s="1" t="n">
        <v>1562395</v>
      </c>
      <c r="J7835" s="1" t="n">
        <v>100000</v>
      </c>
      <c r="K7835" s="1" t="n">
        <v>1</v>
      </c>
      <c r="L7835" s="1" t="s">
        <v>2451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5" t="n">
        <v>46251</v>
      </c>
      <c r="C7836" s="1" t="n">
        <v>100</v>
      </c>
      <c r="D7836" s="1" t="s">
        <v>2457</v>
      </c>
      <c r="E7836" s="1" t="n">
        <v>42</v>
      </c>
      <c r="F7836" s="1" t="s">
        <v>80</v>
      </c>
      <c r="I7836" s="1" t="n">
        <v>1562395</v>
      </c>
      <c r="J7836" s="1" t="n">
        <v>100006</v>
      </c>
      <c r="K7836" s="1" t="n">
        <v>7</v>
      </c>
      <c r="L7836" s="1" t="s">
        <v>2437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5" t="n">
        <v>46251</v>
      </c>
      <c r="C7837" s="1" t="n">
        <v>100</v>
      </c>
      <c r="D7837" s="1" t="s">
        <v>2457</v>
      </c>
      <c r="E7837" s="1" t="n">
        <v>42</v>
      </c>
      <c r="F7837" s="1" t="s">
        <v>80</v>
      </c>
      <c r="I7837" s="1" t="n">
        <v>1562395</v>
      </c>
      <c r="J7837" s="1" t="n">
        <v>100008</v>
      </c>
      <c r="K7837" s="1" t="n">
        <v>9</v>
      </c>
      <c r="L7837" s="1" t="s">
        <v>2438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5" t="n">
        <v>46251</v>
      </c>
      <c r="C7838" s="1" t="n">
        <v>100</v>
      </c>
      <c r="D7838" s="1" t="s">
        <v>2457</v>
      </c>
      <c r="E7838" s="1" t="n">
        <v>42</v>
      </c>
      <c r="F7838" s="1" t="s">
        <v>80</v>
      </c>
      <c r="I7838" s="1" t="n">
        <v>1562395</v>
      </c>
      <c r="J7838" s="1" t="n">
        <v>100010</v>
      </c>
      <c r="K7838" s="1" t="n">
        <v>11</v>
      </c>
      <c r="L7838" s="1" t="s">
        <v>2439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5" t="n">
        <v>46251</v>
      </c>
      <c r="C7839" s="1" t="n">
        <v>100</v>
      </c>
      <c r="D7839" s="1" t="s">
        <v>2457</v>
      </c>
      <c r="E7839" s="1" t="n">
        <v>42</v>
      </c>
      <c r="F7839" s="1" t="s">
        <v>80</v>
      </c>
      <c r="I7839" s="1" t="n">
        <v>1562395</v>
      </c>
      <c r="J7839" s="1" t="n">
        <v>100011</v>
      </c>
      <c r="K7839" s="1" t="n">
        <v>12</v>
      </c>
      <c r="L7839" s="1" t="s">
        <v>2440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5" t="n">
        <v>46251</v>
      </c>
      <c r="C7840" s="1" t="n">
        <v>100</v>
      </c>
      <c r="D7840" s="1" t="s">
        <v>2457</v>
      </c>
      <c r="E7840" s="1" t="n">
        <v>42</v>
      </c>
      <c r="F7840" s="1" t="s">
        <v>80</v>
      </c>
      <c r="I7840" s="1" t="n">
        <v>1562395</v>
      </c>
      <c r="J7840" s="1" t="n">
        <v>100012</v>
      </c>
      <c r="K7840" s="1" t="n">
        <v>13</v>
      </c>
      <c r="L7840" s="1" t="s">
        <v>2441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5" t="n">
        <v>46251</v>
      </c>
      <c r="C7841" s="1" t="n">
        <v>100</v>
      </c>
      <c r="D7841" s="1" t="s">
        <v>2457</v>
      </c>
      <c r="E7841" s="1" t="n">
        <v>42</v>
      </c>
      <c r="F7841" s="1" t="s">
        <v>80</v>
      </c>
      <c r="I7841" s="1" t="n">
        <v>1562395</v>
      </c>
      <c r="J7841" s="1" t="n">
        <v>100013</v>
      </c>
      <c r="K7841" s="1" t="n">
        <v>14</v>
      </c>
      <c r="L7841" s="1" t="s">
        <v>2442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5" t="n">
        <v>46251</v>
      </c>
      <c r="C7842" s="1" t="n">
        <v>100</v>
      </c>
      <c r="D7842" s="1" t="s">
        <v>2457</v>
      </c>
      <c r="E7842" s="1" t="n">
        <v>42</v>
      </c>
      <c r="F7842" s="1" t="s">
        <v>80</v>
      </c>
      <c r="I7842" s="1" t="n">
        <v>1562395</v>
      </c>
      <c r="J7842" s="1" t="n">
        <v>100014</v>
      </c>
      <c r="K7842" s="1" t="n">
        <v>15</v>
      </c>
      <c r="L7842" s="1" t="s">
        <v>2443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5" t="n">
        <v>46251</v>
      </c>
      <c r="C7843" s="1" t="n">
        <v>100</v>
      </c>
      <c r="D7843" s="1" t="s">
        <v>2457</v>
      </c>
      <c r="E7843" s="1" t="n">
        <v>42</v>
      </c>
      <c r="F7843" s="1" t="s">
        <v>80</v>
      </c>
      <c r="I7843" s="1" t="n">
        <v>1562395</v>
      </c>
      <c r="J7843" s="1" t="n">
        <v>100015</v>
      </c>
      <c r="K7843" s="1" t="n">
        <v>16</v>
      </c>
      <c r="L7843" s="1" t="s">
        <v>2444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5" t="n">
        <v>46251</v>
      </c>
      <c r="C7844" s="1" t="n">
        <v>100</v>
      </c>
      <c r="D7844" s="1" t="s">
        <v>2457</v>
      </c>
      <c r="E7844" s="1" t="n">
        <v>42</v>
      </c>
      <c r="F7844" s="1" t="s">
        <v>80</v>
      </c>
      <c r="I7844" s="1" t="n">
        <v>1562395</v>
      </c>
      <c r="J7844" s="1" t="n">
        <v>100016</v>
      </c>
      <c r="K7844" s="1" t="n">
        <v>17</v>
      </c>
      <c r="L7844" s="1" t="s">
        <v>2445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5" t="n">
        <v>46251</v>
      </c>
      <c r="C7845" s="1" t="n">
        <v>100</v>
      </c>
      <c r="D7845" s="1" t="s">
        <v>2457</v>
      </c>
      <c r="E7845" s="1" t="n">
        <v>42</v>
      </c>
      <c r="F7845" s="1" t="s">
        <v>80</v>
      </c>
      <c r="I7845" s="1" t="n">
        <v>1562395</v>
      </c>
      <c r="J7845" s="1" t="n">
        <v>100017</v>
      </c>
      <c r="K7845" s="1" t="n">
        <v>18</v>
      </c>
      <c r="L7845" s="1" t="s">
        <v>2446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5" t="n">
        <v>46251</v>
      </c>
      <c r="C7846" s="1" t="n">
        <v>100</v>
      </c>
      <c r="D7846" s="1" t="s">
        <v>2457</v>
      </c>
      <c r="E7846" s="1" t="n">
        <v>42</v>
      </c>
      <c r="F7846" s="1" t="s">
        <v>80</v>
      </c>
      <c r="I7846" s="1" t="n">
        <v>1562395</v>
      </c>
      <c r="J7846" s="1" t="n">
        <v>100053</v>
      </c>
      <c r="K7846" s="1" t="n">
        <v>54</v>
      </c>
      <c r="L7846" s="1" t="s">
        <v>2447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5" t="n">
        <v>46251</v>
      </c>
      <c r="C7847" s="1" t="n">
        <v>100</v>
      </c>
      <c r="D7847" s="1" t="s">
        <v>2457</v>
      </c>
      <c r="E7847" s="1" t="n">
        <v>42</v>
      </c>
      <c r="F7847" s="1" t="s">
        <v>80</v>
      </c>
      <c r="I7847" s="1" t="n">
        <v>1562395</v>
      </c>
      <c r="J7847" s="1" t="n">
        <v>100638</v>
      </c>
      <c r="K7847" s="1" t="n">
        <v>508</v>
      </c>
      <c r="L7847" s="1" t="s">
        <v>2448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5" t="n">
        <v>46251</v>
      </c>
      <c r="C7848" s="1" t="n">
        <v>100</v>
      </c>
      <c r="D7848" s="1" t="s">
        <v>2457</v>
      </c>
      <c r="E7848" s="1" t="n">
        <v>42</v>
      </c>
      <c r="F7848" s="1" t="s">
        <v>80</v>
      </c>
      <c r="I7848" s="1" t="n">
        <v>1562395</v>
      </c>
      <c r="J7848" s="1" t="n">
        <v>100520</v>
      </c>
      <c r="K7848" s="1" t="n">
        <v>507</v>
      </c>
      <c r="L7848" s="1" t="s">
        <v>2449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5" t="n">
        <v>46251</v>
      </c>
      <c r="C7849" s="1" t="n">
        <v>100</v>
      </c>
      <c r="D7849" s="1" t="s">
        <v>2457</v>
      </c>
      <c r="E7849" s="1" t="n">
        <v>42</v>
      </c>
      <c r="F7849" s="1" t="s">
        <v>80</v>
      </c>
      <c r="I7849" s="1" t="n">
        <v>1562395</v>
      </c>
      <c r="J7849" s="1" t="n">
        <v>110455</v>
      </c>
      <c r="K7849" s="1" t="n">
        <v>53212</v>
      </c>
      <c r="L7849" s="1" t="s">
        <v>2450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5" t="n">
        <v>46251</v>
      </c>
      <c r="C7850" s="1" t="n">
        <v>100</v>
      </c>
      <c r="D7850" s="1" t="s">
        <v>2457</v>
      </c>
      <c r="E7850" s="1" t="n">
        <v>42</v>
      </c>
      <c r="F7850" s="1" t="s">
        <v>80</v>
      </c>
      <c r="I7850" s="1" t="n">
        <v>1562445</v>
      </c>
      <c r="J7850" s="1" t="n">
        <v>100000</v>
      </c>
      <c r="K7850" s="1" t="n">
        <v>1</v>
      </c>
      <c r="L7850" s="1" t="s">
        <v>2451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5" t="n">
        <v>46251</v>
      </c>
      <c r="C7851" s="1" t="n">
        <v>100</v>
      </c>
      <c r="D7851" s="1" t="s">
        <v>2457</v>
      </c>
      <c r="E7851" s="1" t="n">
        <v>42</v>
      </c>
      <c r="F7851" s="1" t="s">
        <v>80</v>
      </c>
      <c r="I7851" s="1" t="n">
        <v>1562445</v>
      </c>
      <c r="J7851" s="1" t="n">
        <v>100001</v>
      </c>
      <c r="K7851" s="1" t="n">
        <v>2</v>
      </c>
      <c r="L7851" s="1" t="s">
        <v>2452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5" t="n">
        <v>46251</v>
      </c>
      <c r="C7852" s="1" t="n">
        <v>100</v>
      </c>
      <c r="D7852" s="1" t="s">
        <v>2457</v>
      </c>
      <c r="E7852" s="1" t="n">
        <v>42</v>
      </c>
      <c r="F7852" s="1" t="s">
        <v>80</v>
      </c>
      <c r="I7852" s="1" t="n">
        <v>1562445</v>
      </c>
      <c r="J7852" s="1" t="n">
        <v>100002</v>
      </c>
      <c r="K7852" s="1" t="n">
        <v>3</v>
      </c>
      <c r="L7852" s="1" t="s">
        <v>2453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5" t="n">
        <v>46251</v>
      </c>
      <c r="C7853" s="1" t="n">
        <v>100</v>
      </c>
      <c r="D7853" s="1" t="s">
        <v>2457</v>
      </c>
      <c r="E7853" s="1" t="n">
        <v>42</v>
      </c>
      <c r="F7853" s="1" t="s">
        <v>80</v>
      </c>
      <c r="I7853" s="1" t="n">
        <v>1562445</v>
      </c>
      <c r="J7853" s="1" t="n">
        <v>100003</v>
      </c>
      <c r="K7853" s="1" t="n">
        <v>4</v>
      </c>
      <c r="L7853" s="1" t="s">
        <v>2454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5" t="n">
        <v>46251</v>
      </c>
      <c r="C7854" s="1" t="n">
        <v>100</v>
      </c>
      <c r="D7854" s="1" t="s">
        <v>2457</v>
      </c>
      <c r="E7854" s="1" t="n">
        <v>42</v>
      </c>
      <c r="F7854" s="1" t="s">
        <v>80</v>
      </c>
      <c r="I7854" s="1" t="n">
        <v>1562445</v>
      </c>
      <c r="J7854" s="1" t="n">
        <v>100007</v>
      </c>
      <c r="K7854" s="1" t="n">
        <v>8</v>
      </c>
      <c r="L7854" s="1" t="s">
        <v>2455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5" t="n">
        <v>46251</v>
      </c>
      <c r="C7855" s="1" t="n">
        <v>100</v>
      </c>
      <c r="D7855" s="1" t="s">
        <v>2457</v>
      </c>
      <c r="E7855" s="1" t="n">
        <v>42</v>
      </c>
      <c r="F7855" s="1" t="s">
        <v>80</v>
      </c>
      <c r="I7855" s="1" t="n">
        <v>1562445</v>
      </c>
      <c r="J7855" s="1" t="n">
        <v>100638</v>
      </c>
      <c r="K7855" s="1" t="n">
        <v>508</v>
      </c>
      <c r="L7855" s="1" t="s">
        <v>2448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5" t="n">
        <v>46251</v>
      </c>
      <c r="C7856" s="1" t="n">
        <v>100</v>
      </c>
      <c r="D7856" s="1" t="s">
        <v>2457</v>
      </c>
      <c r="E7856" s="1" t="n">
        <v>42</v>
      </c>
      <c r="F7856" s="1" t="s">
        <v>80</v>
      </c>
      <c r="I7856" s="1" t="n">
        <v>1562445</v>
      </c>
      <c r="J7856" s="1" t="n">
        <v>100520</v>
      </c>
      <c r="K7856" s="1" t="n">
        <v>507</v>
      </c>
      <c r="L7856" s="1" t="s">
        <v>2449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5" t="n">
        <v>46251</v>
      </c>
      <c r="C7857" s="1" t="n">
        <v>100</v>
      </c>
      <c r="D7857" s="1" t="s">
        <v>2457</v>
      </c>
      <c r="E7857" s="1" t="n">
        <v>42</v>
      </c>
      <c r="F7857" s="1" t="s">
        <v>80</v>
      </c>
      <c r="I7857" s="1" t="n">
        <v>1562445</v>
      </c>
      <c r="J7857" s="1" t="n">
        <v>110455</v>
      </c>
      <c r="K7857" s="1" t="n">
        <v>53212</v>
      </c>
      <c r="L7857" s="1" t="s">
        <v>2450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5" t="n">
        <v>46252</v>
      </c>
      <c r="C7858" s="1" t="n">
        <v>1</v>
      </c>
      <c r="D7858" s="1" t="s">
        <v>2317</v>
      </c>
      <c r="E7858" s="1" t="n">
        <v>476</v>
      </c>
      <c r="F7858" s="1" t="s">
        <v>1606</v>
      </c>
      <c r="I7858" s="1" t="n">
        <v>1666189</v>
      </c>
      <c r="J7858" s="1" t="n">
        <v>61126</v>
      </c>
      <c r="K7858" s="1" t="n">
        <v>9786556173931</v>
      </c>
      <c r="L7858" s="1" t="s">
        <v>4783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5" t="n">
        <v>46252</v>
      </c>
      <c r="C7859" s="1" t="n">
        <v>6</v>
      </c>
      <c r="D7859" s="1" t="s">
        <v>2289</v>
      </c>
      <c r="E7859" s="1" t="n">
        <v>42</v>
      </c>
      <c r="F7859" s="1" t="s">
        <v>80</v>
      </c>
      <c r="I7859" s="1" t="n">
        <v>4516</v>
      </c>
      <c r="J7859" s="1" t="n">
        <v>109791</v>
      </c>
      <c r="K7859" s="1" t="n">
        <v>9667</v>
      </c>
      <c r="L7859" s="1" t="s">
        <v>2284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5" t="n">
        <v>46252</v>
      </c>
      <c r="C7860" s="1" t="n">
        <v>6</v>
      </c>
      <c r="D7860" s="1" t="s">
        <v>2289</v>
      </c>
      <c r="E7860" s="1" t="n">
        <v>42</v>
      </c>
      <c r="F7860" s="1" t="s">
        <v>80</v>
      </c>
      <c r="I7860" s="1" t="n">
        <v>4516</v>
      </c>
      <c r="J7860" s="1" t="n">
        <v>37359</v>
      </c>
      <c r="K7860" s="1" t="n">
        <v>55526</v>
      </c>
      <c r="L7860" s="1" t="s">
        <v>2285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5" t="n">
        <v>46252</v>
      </c>
      <c r="C7861" s="1" t="n">
        <v>6</v>
      </c>
      <c r="D7861" s="1" t="s">
        <v>2289</v>
      </c>
      <c r="E7861" s="1" t="n">
        <v>42</v>
      </c>
      <c r="F7861" s="1" t="s">
        <v>80</v>
      </c>
      <c r="I7861" s="1" t="n">
        <v>4516</v>
      </c>
      <c r="J7861" s="1" t="n">
        <v>37361</v>
      </c>
      <c r="K7861" s="1" t="n">
        <v>2240817</v>
      </c>
      <c r="L7861" s="1" t="s">
        <v>2286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5" t="n">
        <v>46252</v>
      </c>
      <c r="C7862" s="1" t="n">
        <v>6</v>
      </c>
      <c r="D7862" s="1" t="s">
        <v>2289</v>
      </c>
      <c r="E7862" s="1" t="n">
        <v>42</v>
      </c>
      <c r="F7862" s="1" t="s">
        <v>80</v>
      </c>
      <c r="I7862" s="1" t="n">
        <v>4517</v>
      </c>
      <c r="J7862" s="1" t="n">
        <v>100062</v>
      </c>
      <c r="K7862" s="1" t="n">
        <v>63</v>
      </c>
      <c r="L7862" s="1" t="s">
        <v>2320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5" t="n">
        <v>46252</v>
      </c>
      <c r="C7863" s="1" t="n">
        <v>6</v>
      </c>
      <c r="D7863" s="1" t="s">
        <v>2289</v>
      </c>
      <c r="E7863" s="1" t="n">
        <v>42</v>
      </c>
      <c r="F7863" s="1" t="s">
        <v>80</v>
      </c>
      <c r="I7863" s="1" t="n">
        <v>4517</v>
      </c>
      <c r="J7863" s="1" t="n">
        <v>100105</v>
      </c>
      <c r="K7863" s="1" t="n">
        <v>106</v>
      </c>
      <c r="L7863" s="1" t="s">
        <v>2322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5" t="n">
        <v>46252</v>
      </c>
      <c r="C7864" s="1" t="n">
        <v>6</v>
      </c>
      <c r="D7864" s="1" t="s">
        <v>2289</v>
      </c>
      <c r="E7864" s="1" t="n">
        <v>42</v>
      </c>
      <c r="F7864" s="1" t="s">
        <v>80</v>
      </c>
      <c r="I7864" s="1" t="n">
        <v>4517</v>
      </c>
      <c r="J7864" s="1" t="n">
        <v>100107</v>
      </c>
      <c r="K7864" s="1" t="n">
        <v>108</v>
      </c>
      <c r="L7864" s="1" t="s">
        <v>2323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5" t="n">
        <v>46252</v>
      </c>
      <c r="C7865" s="1" t="n">
        <v>6</v>
      </c>
      <c r="D7865" s="1" t="s">
        <v>2289</v>
      </c>
      <c r="E7865" s="1" t="n">
        <v>42</v>
      </c>
      <c r="F7865" s="1" t="s">
        <v>80</v>
      </c>
      <c r="I7865" s="1" t="n">
        <v>4517</v>
      </c>
      <c r="J7865" s="1" t="n">
        <v>100109</v>
      </c>
      <c r="K7865" s="1" t="n">
        <v>110</v>
      </c>
      <c r="L7865" s="1" t="s">
        <v>2324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5" t="n">
        <v>46252</v>
      </c>
      <c r="C7866" s="1" t="n">
        <v>6</v>
      </c>
      <c r="D7866" s="1" t="s">
        <v>2289</v>
      </c>
      <c r="E7866" s="1" t="n">
        <v>42</v>
      </c>
      <c r="F7866" s="1" t="s">
        <v>80</v>
      </c>
      <c r="I7866" s="1" t="n">
        <v>4517</v>
      </c>
      <c r="J7866" s="1" t="n">
        <v>100113</v>
      </c>
      <c r="K7866" s="1" t="n">
        <v>114</v>
      </c>
      <c r="L7866" s="1" t="s">
        <v>2326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5" t="n">
        <v>46252</v>
      </c>
      <c r="C7867" s="1" t="n">
        <v>6</v>
      </c>
      <c r="D7867" s="1" t="s">
        <v>2289</v>
      </c>
      <c r="E7867" s="1" t="n">
        <v>42</v>
      </c>
      <c r="F7867" s="1" t="s">
        <v>80</v>
      </c>
      <c r="I7867" s="1" t="n">
        <v>4517</v>
      </c>
      <c r="J7867" s="1" t="n">
        <v>100115</v>
      </c>
      <c r="K7867" s="1" t="n">
        <v>116</v>
      </c>
      <c r="L7867" s="1" t="s">
        <v>2474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5" t="n">
        <v>46252</v>
      </c>
      <c r="C7868" s="1" t="n">
        <v>6</v>
      </c>
      <c r="D7868" s="1" t="s">
        <v>2289</v>
      </c>
      <c r="E7868" s="1" t="n">
        <v>42</v>
      </c>
      <c r="F7868" s="1" t="s">
        <v>80</v>
      </c>
      <c r="I7868" s="1" t="n">
        <v>4517</v>
      </c>
      <c r="J7868" s="1" t="n">
        <v>100121</v>
      </c>
      <c r="K7868" s="1" t="n">
        <v>122</v>
      </c>
      <c r="L7868" s="1" t="s">
        <v>2329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5" t="n">
        <v>46252</v>
      </c>
      <c r="C7869" s="1" t="n">
        <v>6</v>
      </c>
      <c r="D7869" s="1" t="s">
        <v>2289</v>
      </c>
      <c r="E7869" s="1" t="n">
        <v>42</v>
      </c>
      <c r="F7869" s="1" t="s">
        <v>80</v>
      </c>
      <c r="I7869" s="1" t="n">
        <v>4517</v>
      </c>
      <c r="J7869" s="1" t="n">
        <v>100122</v>
      </c>
      <c r="K7869" s="1" t="n">
        <v>123</v>
      </c>
      <c r="L7869" s="1" t="s">
        <v>2330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5" t="n">
        <v>46252</v>
      </c>
      <c r="C7870" s="1" t="n">
        <v>6</v>
      </c>
      <c r="D7870" s="1" t="s">
        <v>2289</v>
      </c>
      <c r="E7870" s="1" t="n">
        <v>42</v>
      </c>
      <c r="F7870" s="1" t="s">
        <v>80</v>
      </c>
      <c r="I7870" s="1" t="n">
        <v>4517</v>
      </c>
      <c r="J7870" s="1" t="n">
        <v>100124</v>
      </c>
      <c r="K7870" s="1" t="n">
        <v>125</v>
      </c>
      <c r="L7870" s="1" t="s">
        <v>2476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5" t="n">
        <v>46252</v>
      </c>
      <c r="C7871" s="1" t="n">
        <v>6</v>
      </c>
      <c r="D7871" s="1" t="s">
        <v>2289</v>
      </c>
      <c r="E7871" s="1" t="n">
        <v>42</v>
      </c>
      <c r="F7871" s="1" t="s">
        <v>80</v>
      </c>
      <c r="I7871" s="1" t="n">
        <v>4517</v>
      </c>
      <c r="J7871" s="1" t="n">
        <v>100125</v>
      </c>
      <c r="K7871" s="1" t="n">
        <v>126</v>
      </c>
      <c r="L7871" s="1" t="s">
        <v>2477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5" t="n">
        <v>46252</v>
      </c>
      <c r="C7872" s="1" t="n">
        <v>6</v>
      </c>
      <c r="D7872" s="1" t="s">
        <v>2289</v>
      </c>
      <c r="E7872" s="1" t="n">
        <v>42</v>
      </c>
      <c r="F7872" s="1" t="s">
        <v>80</v>
      </c>
      <c r="I7872" s="1" t="n">
        <v>4517</v>
      </c>
      <c r="J7872" s="1" t="n">
        <v>100130</v>
      </c>
      <c r="K7872" s="1" t="n">
        <v>131</v>
      </c>
      <c r="L7872" s="1" t="s">
        <v>2331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5" t="n">
        <v>46252</v>
      </c>
      <c r="C7873" s="1" t="n">
        <v>6</v>
      </c>
      <c r="D7873" s="1" t="s">
        <v>2289</v>
      </c>
      <c r="E7873" s="1" t="n">
        <v>42</v>
      </c>
      <c r="F7873" s="1" t="s">
        <v>80</v>
      </c>
      <c r="I7873" s="1" t="n">
        <v>4517</v>
      </c>
      <c r="J7873" s="1" t="n">
        <v>100132</v>
      </c>
      <c r="K7873" s="1" t="n">
        <v>133</v>
      </c>
      <c r="L7873" s="1" t="s">
        <v>3104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5" t="n">
        <v>46252</v>
      </c>
      <c r="C7874" s="1" t="n">
        <v>6</v>
      </c>
      <c r="D7874" s="1" t="s">
        <v>2289</v>
      </c>
      <c r="E7874" s="1" t="n">
        <v>42</v>
      </c>
      <c r="F7874" s="1" t="s">
        <v>80</v>
      </c>
      <c r="I7874" s="1" t="n">
        <v>4517</v>
      </c>
      <c r="J7874" s="1" t="n">
        <v>100133</v>
      </c>
      <c r="K7874" s="1" t="n">
        <v>134</v>
      </c>
      <c r="L7874" s="1" t="s">
        <v>2332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5" t="n">
        <v>46252</v>
      </c>
      <c r="C7875" s="1" t="n">
        <v>6</v>
      </c>
      <c r="D7875" s="1" t="s">
        <v>2289</v>
      </c>
      <c r="E7875" s="1" t="n">
        <v>42</v>
      </c>
      <c r="F7875" s="1" t="s">
        <v>80</v>
      </c>
      <c r="I7875" s="1" t="n">
        <v>4517</v>
      </c>
      <c r="J7875" s="1" t="n">
        <v>110265</v>
      </c>
      <c r="K7875" s="1" t="n">
        <v>41346</v>
      </c>
      <c r="L7875" s="1" t="s">
        <v>2478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5" t="n">
        <v>46252</v>
      </c>
      <c r="C7876" s="1" t="n">
        <v>6</v>
      </c>
      <c r="D7876" s="1" t="s">
        <v>2289</v>
      </c>
      <c r="E7876" s="1" t="n">
        <v>42</v>
      </c>
      <c r="F7876" s="1" t="s">
        <v>80</v>
      </c>
      <c r="I7876" s="1" t="n">
        <v>4518</v>
      </c>
      <c r="J7876" s="1" t="n">
        <v>100103</v>
      </c>
      <c r="K7876" s="1" t="n">
        <v>104</v>
      </c>
      <c r="L7876" s="1" t="s">
        <v>2287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5" t="n">
        <v>46252</v>
      </c>
      <c r="C7877" s="1" t="n">
        <v>11</v>
      </c>
      <c r="D7877" s="1" t="s">
        <v>2290</v>
      </c>
      <c r="E7877" s="1" t="n">
        <v>642</v>
      </c>
      <c r="F7877" s="1" t="s">
        <v>135</v>
      </c>
      <c r="I7877" s="1" t="n">
        <v>606</v>
      </c>
      <c r="J7877" s="1" t="n">
        <v>71766</v>
      </c>
      <c r="K7877" s="1" t="n">
        <v>779180</v>
      </c>
      <c r="L7877" s="1" t="s">
        <v>2566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5" t="n">
        <v>46252</v>
      </c>
      <c r="C7878" s="1" t="n">
        <v>11</v>
      </c>
      <c r="D7878" s="1" t="s">
        <v>2290</v>
      </c>
      <c r="E7878" s="1" t="n">
        <v>560</v>
      </c>
      <c r="F7878" s="1" t="s">
        <v>220</v>
      </c>
      <c r="I7878" s="1" t="n">
        <v>2015</v>
      </c>
      <c r="J7878" s="1" t="n">
        <v>72591</v>
      </c>
      <c r="K7878" s="1" t="n">
        <v>7891985925401</v>
      </c>
      <c r="L7878" s="1" t="s">
        <v>2736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5" t="n">
        <v>46252</v>
      </c>
      <c r="C7879" s="1" t="n">
        <v>11</v>
      </c>
      <c r="D7879" s="1" t="s">
        <v>2290</v>
      </c>
      <c r="E7879" s="1" t="n">
        <v>10048</v>
      </c>
      <c r="F7879" s="1" t="s">
        <v>1623</v>
      </c>
      <c r="I7879" s="1" t="n">
        <v>3017</v>
      </c>
      <c r="J7879" s="1" t="n">
        <v>12663</v>
      </c>
      <c r="K7879" s="1" t="n">
        <v>7891000061190</v>
      </c>
      <c r="L7879" s="1" t="s">
        <v>4784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5" t="n">
        <v>46252</v>
      </c>
      <c r="C7880" s="1" t="n">
        <v>11</v>
      </c>
      <c r="D7880" s="1" t="s">
        <v>2290</v>
      </c>
      <c r="E7880" s="1" t="n">
        <v>10048</v>
      </c>
      <c r="F7880" s="1" t="s">
        <v>1623</v>
      </c>
      <c r="I7880" s="1" t="n">
        <v>3017</v>
      </c>
      <c r="J7880" s="1" t="n">
        <v>18822</v>
      </c>
      <c r="K7880" s="1" t="n">
        <v>7898332870025</v>
      </c>
      <c r="L7880" s="1" t="s">
        <v>2668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5" t="n">
        <v>46252</v>
      </c>
      <c r="C7881" s="1" t="n">
        <v>11</v>
      </c>
      <c r="D7881" s="1" t="s">
        <v>2290</v>
      </c>
      <c r="E7881" s="1" t="n">
        <v>10048</v>
      </c>
      <c r="F7881" s="1" t="s">
        <v>1623</v>
      </c>
      <c r="I7881" s="1" t="n">
        <v>3017</v>
      </c>
      <c r="J7881" s="1" t="n">
        <v>18846</v>
      </c>
      <c r="K7881" s="1" t="n">
        <v>7898332870056</v>
      </c>
      <c r="L7881" s="1" t="s">
        <v>4044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5" t="n">
        <v>46252</v>
      </c>
      <c r="C7882" s="1" t="n">
        <v>11</v>
      </c>
      <c r="D7882" s="1" t="s">
        <v>2290</v>
      </c>
      <c r="E7882" s="1" t="n">
        <v>10048</v>
      </c>
      <c r="F7882" s="1" t="s">
        <v>1623</v>
      </c>
      <c r="I7882" s="1" t="n">
        <v>3017</v>
      </c>
      <c r="J7882" s="1" t="n">
        <v>40257</v>
      </c>
      <c r="K7882" s="1" t="n">
        <v>7898332870438</v>
      </c>
      <c r="L7882" s="1" t="s">
        <v>2670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5" t="n">
        <v>46252</v>
      </c>
      <c r="C7883" s="1" t="n">
        <v>11</v>
      </c>
      <c r="D7883" s="1" t="s">
        <v>2290</v>
      </c>
      <c r="E7883" s="1" t="n">
        <v>10048</v>
      </c>
      <c r="F7883" s="1" t="s">
        <v>1623</v>
      </c>
      <c r="I7883" s="1" t="n">
        <v>3017</v>
      </c>
      <c r="J7883" s="1" t="n">
        <v>70942</v>
      </c>
      <c r="K7883" s="1" t="n">
        <v>7891000412855</v>
      </c>
      <c r="L7883" s="1" t="s">
        <v>4219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5" t="n">
        <v>46252</v>
      </c>
      <c r="C7884" s="1" t="n">
        <v>11</v>
      </c>
      <c r="D7884" s="1" t="s">
        <v>2290</v>
      </c>
      <c r="E7884" s="1" t="n">
        <v>1432</v>
      </c>
      <c r="F7884" s="1" t="s">
        <v>953</v>
      </c>
      <c r="I7884" s="1" t="n">
        <v>3595</v>
      </c>
      <c r="J7884" s="1" t="n">
        <v>26881</v>
      </c>
      <c r="K7884" s="1" t="n">
        <v>7898951047044</v>
      </c>
      <c r="L7884" s="1" t="s">
        <v>3846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5" t="n">
        <v>46252</v>
      </c>
      <c r="C7885" s="1" t="n">
        <v>11</v>
      </c>
      <c r="D7885" s="1" t="s">
        <v>2290</v>
      </c>
      <c r="E7885" s="1" t="n">
        <v>1432</v>
      </c>
      <c r="F7885" s="1" t="s">
        <v>953</v>
      </c>
      <c r="I7885" s="1" t="n">
        <v>3595</v>
      </c>
      <c r="J7885" s="1" t="n">
        <v>26882</v>
      </c>
      <c r="K7885" s="1" t="n">
        <v>7898951047143</v>
      </c>
      <c r="L7885" s="1" t="s">
        <v>3846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5" t="n">
        <v>46252</v>
      </c>
      <c r="C7886" s="1" t="n">
        <v>11</v>
      </c>
      <c r="D7886" s="1" t="s">
        <v>2290</v>
      </c>
      <c r="E7886" s="1" t="n">
        <v>1432</v>
      </c>
      <c r="F7886" s="1" t="s">
        <v>953</v>
      </c>
      <c r="I7886" s="1" t="n">
        <v>3595</v>
      </c>
      <c r="J7886" s="1" t="n">
        <v>26883</v>
      </c>
      <c r="K7886" s="1" t="n">
        <v>7898951047136</v>
      </c>
      <c r="L7886" s="1" t="s">
        <v>3847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5" t="n">
        <v>46252</v>
      </c>
      <c r="C7887" s="1" t="n">
        <v>11</v>
      </c>
      <c r="D7887" s="1" t="s">
        <v>2290</v>
      </c>
      <c r="E7887" s="1" t="n">
        <v>1432</v>
      </c>
      <c r="F7887" s="1" t="s">
        <v>953</v>
      </c>
      <c r="I7887" s="1" t="n">
        <v>3595</v>
      </c>
      <c r="J7887" s="1" t="n">
        <v>36064</v>
      </c>
      <c r="K7887" s="1" t="n">
        <v>7898951047020</v>
      </c>
      <c r="L7887" s="1" t="s">
        <v>3849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5" t="n">
        <v>46252</v>
      </c>
      <c r="C7888" s="1" t="n">
        <v>11</v>
      </c>
      <c r="D7888" s="1" t="s">
        <v>2290</v>
      </c>
      <c r="E7888" s="1" t="n">
        <v>1432</v>
      </c>
      <c r="F7888" s="1" t="s">
        <v>953</v>
      </c>
      <c r="I7888" s="1" t="n">
        <v>3595</v>
      </c>
      <c r="J7888" s="1" t="n">
        <v>36356</v>
      </c>
      <c r="K7888" s="1" t="n">
        <v>7898951047037</v>
      </c>
      <c r="L7888" s="1" t="s">
        <v>3846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5" t="n">
        <v>46252</v>
      </c>
      <c r="C7889" s="1" t="n">
        <v>11</v>
      </c>
      <c r="D7889" s="1" t="s">
        <v>2290</v>
      </c>
      <c r="E7889" s="1" t="n">
        <v>1676</v>
      </c>
      <c r="F7889" s="1" t="s">
        <v>253</v>
      </c>
      <c r="I7889" s="1" t="n">
        <v>11361</v>
      </c>
      <c r="J7889" s="1" t="n">
        <v>109948</v>
      </c>
      <c r="K7889" s="1" t="n">
        <v>7891032013402</v>
      </c>
      <c r="L7889" s="1" t="s">
        <v>4401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5" t="n">
        <v>46252</v>
      </c>
      <c r="C7890" s="1" t="n">
        <v>11</v>
      </c>
      <c r="D7890" s="1" t="s">
        <v>2290</v>
      </c>
      <c r="E7890" s="1" t="n">
        <v>1676</v>
      </c>
      <c r="F7890" s="1" t="s">
        <v>253</v>
      </c>
      <c r="I7890" s="1" t="n">
        <v>11361</v>
      </c>
      <c r="J7890" s="1" t="n">
        <v>16057</v>
      </c>
      <c r="K7890" s="1" t="n">
        <v>7891032013303</v>
      </c>
      <c r="L7890" s="1" t="s">
        <v>4785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5" t="n">
        <v>46252</v>
      </c>
      <c r="C7891" s="1" t="n">
        <v>11</v>
      </c>
      <c r="D7891" s="1" t="s">
        <v>2290</v>
      </c>
      <c r="E7891" s="1" t="n">
        <v>1676</v>
      </c>
      <c r="F7891" s="1" t="s">
        <v>253</v>
      </c>
      <c r="I7891" s="1" t="n">
        <v>11361</v>
      </c>
      <c r="J7891" s="1" t="n">
        <v>16280</v>
      </c>
      <c r="K7891" s="1" t="n">
        <v>7898932838036</v>
      </c>
      <c r="L7891" s="1" t="s">
        <v>3977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5" t="n">
        <v>46252</v>
      </c>
      <c r="C7892" s="1" t="n">
        <v>11</v>
      </c>
      <c r="D7892" s="1" t="s">
        <v>2290</v>
      </c>
      <c r="E7892" s="1" t="n">
        <v>1676</v>
      </c>
      <c r="F7892" s="1" t="s">
        <v>253</v>
      </c>
      <c r="I7892" s="1" t="n">
        <v>11361</v>
      </c>
      <c r="J7892" s="1" t="n">
        <v>17770</v>
      </c>
      <c r="K7892" s="1" t="n">
        <v>7896327511984</v>
      </c>
      <c r="L7892" s="1" t="s">
        <v>2765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5" t="n">
        <v>46252</v>
      </c>
      <c r="C7893" s="1" t="n">
        <v>11</v>
      </c>
      <c r="D7893" s="1" t="s">
        <v>2290</v>
      </c>
      <c r="E7893" s="1" t="n">
        <v>1676</v>
      </c>
      <c r="F7893" s="1" t="s">
        <v>253</v>
      </c>
      <c r="I7893" s="1" t="n">
        <v>11361</v>
      </c>
      <c r="J7893" s="1" t="n">
        <v>46225</v>
      </c>
      <c r="K7893" s="1" t="n">
        <v>7891032014706</v>
      </c>
      <c r="L7893" s="1" t="s">
        <v>4786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5" t="n">
        <v>46252</v>
      </c>
      <c r="C7894" s="1" t="n">
        <v>11</v>
      </c>
      <c r="D7894" s="1" t="s">
        <v>2290</v>
      </c>
      <c r="E7894" s="1" t="n">
        <v>1676</v>
      </c>
      <c r="F7894" s="1" t="s">
        <v>253</v>
      </c>
      <c r="I7894" s="1" t="n">
        <v>11361</v>
      </c>
      <c r="J7894" s="1" t="n">
        <v>66251</v>
      </c>
      <c r="K7894" s="1" t="n">
        <v>7898961756073</v>
      </c>
      <c r="L7894" s="1" t="s">
        <v>2777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5" t="n">
        <v>46252</v>
      </c>
      <c r="C7895" s="1" t="n">
        <v>11</v>
      </c>
      <c r="D7895" s="1" t="s">
        <v>2290</v>
      </c>
      <c r="E7895" s="1" t="n">
        <v>1676</v>
      </c>
      <c r="F7895" s="1" t="s">
        <v>253</v>
      </c>
      <c r="I7895" s="1" t="n">
        <v>11361</v>
      </c>
      <c r="J7895" s="1" t="n">
        <v>74382</v>
      </c>
      <c r="K7895" s="1" t="n">
        <v>7896523109640</v>
      </c>
      <c r="L7895" s="1" t="s">
        <v>2778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5" t="n">
        <v>46252</v>
      </c>
      <c r="C7896" s="1" t="n">
        <v>11</v>
      </c>
      <c r="D7896" s="1" t="s">
        <v>2290</v>
      </c>
      <c r="E7896" s="1" t="n">
        <v>1676</v>
      </c>
      <c r="F7896" s="1" t="s">
        <v>253</v>
      </c>
      <c r="I7896" s="1" t="n">
        <v>11361</v>
      </c>
      <c r="J7896" s="1" t="n">
        <v>76653</v>
      </c>
      <c r="K7896" s="1" t="n">
        <v>7896552907484</v>
      </c>
      <c r="L7896" s="1" t="s">
        <v>3989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5" t="n">
        <v>46252</v>
      </c>
      <c r="C7897" s="1" t="n">
        <v>11</v>
      </c>
      <c r="D7897" s="1" t="s">
        <v>2290</v>
      </c>
      <c r="E7897" s="1" t="n">
        <v>1676</v>
      </c>
      <c r="F7897" s="1" t="s">
        <v>253</v>
      </c>
      <c r="I7897" s="1" t="n">
        <v>11361</v>
      </c>
      <c r="J7897" s="1" t="n">
        <v>81238</v>
      </c>
      <c r="K7897" s="1" t="n">
        <v>7898932839125</v>
      </c>
      <c r="L7897" s="1" t="s">
        <v>2790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5" t="n">
        <v>46252</v>
      </c>
      <c r="C7898" s="1" t="n">
        <v>11</v>
      </c>
      <c r="D7898" s="1" t="s">
        <v>2290</v>
      </c>
      <c r="E7898" s="1" t="n">
        <v>1676</v>
      </c>
      <c r="F7898" s="1" t="s">
        <v>253</v>
      </c>
      <c r="I7898" s="1" t="n">
        <v>11361</v>
      </c>
      <c r="J7898" s="1" t="n">
        <v>81239</v>
      </c>
      <c r="K7898" s="1" t="n">
        <v>7898932839132</v>
      </c>
      <c r="L7898" s="1" t="s">
        <v>2791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5" t="n">
        <v>46252</v>
      </c>
      <c r="C7899" s="1" t="n">
        <v>11</v>
      </c>
      <c r="D7899" s="1" t="s">
        <v>2290</v>
      </c>
      <c r="E7899" s="1" t="n">
        <v>1676</v>
      </c>
      <c r="F7899" s="1" t="s">
        <v>253</v>
      </c>
      <c r="I7899" s="1" t="n">
        <v>11361</v>
      </c>
      <c r="J7899" s="1" t="n">
        <v>81240</v>
      </c>
      <c r="K7899" s="1" t="n">
        <v>7896444211927</v>
      </c>
      <c r="L7899" s="1" t="s">
        <v>2792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5" t="n">
        <v>46252</v>
      </c>
      <c r="C7900" s="1" t="n">
        <v>11</v>
      </c>
      <c r="D7900" s="1" t="s">
        <v>2290</v>
      </c>
      <c r="E7900" s="1" t="n">
        <v>1676</v>
      </c>
      <c r="F7900" s="1" t="s">
        <v>253</v>
      </c>
      <c r="I7900" s="1" t="n">
        <v>11361</v>
      </c>
      <c r="J7900" s="1" t="n">
        <v>82100</v>
      </c>
      <c r="K7900" s="1" t="n">
        <v>7898932838609</v>
      </c>
      <c r="L7900" s="1" t="s">
        <v>4787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5" t="n">
        <v>46252</v>
      </c>
      <c r="C7901" s="1" t="n">
        <v>11</v>
      </c>
      <c r="D7901" s="1" t="s">
        <v>2290</v>
      </c>
      <c r="E7901" s="1" t="n">
        <v>1615</v>
      </c>
      <c r="F7901" s="1" t="s">
        <v>130</v>
      </c>
      <c r="I7901" s="1" t="n">
        <v>15134</v>
      </c>
      <c r="J7901" s="1" t="n">
        <v>100114</v>
      </c>
      <c r="K7901" s="1" t="n">
        <v>115</v>
      </c>
      <c r="L7901" s="1" t="s">
        <v>2568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5" t="n">
        <v>46252</v>
      </c>
      <c r="C7902" s="1" t="n">
        <v>11</v>
      </c>
      <c r="D7902" s="1" t="s">
        <v>2290</v>
      </c>
      <c r="E7902" s="1" t="n">
        <v>1615</v>
      </c>
      <c r="F7902" s="1" t="s">
        <v>130</v>
      </c>
      <c r="I7902" s="1" t="n">
        <v>15134</v>
      </c>
      <c r="J7902" s="1" t="n">
        <v>100119</v>
      </c>
      <c r="K7902" s="1" t="n">
        <v>120</v>
      </c>
      <c r="L7902" s="1" t="s">
        <v>3728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5" t="n">
        <v>46252</v>
      </c>
      <c r="C7903" s="1" t="n">
        <v>11</v>
      </c>
      <c r="D7903" s="1" t="s">
        <v>2290</v>
      </c>
      <c r="E7903" s="1" t="n">
        <v>1615</v>
      </c>
      <c r="F7903" s="1" t="s">
        <v>130</v>
      </c>
      <c r="I7903" s="1" t="n">
        <v>15134</v>
      </c>
      <c r="J7903" s="1" t="n">
        <v>37771</v>
      </c>
      <c r="K7903" s="1" t="n">
        <v>774574</v>
      </c>
      <c r="L7903" s="1" t="s">
        <v>2569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5" t="n">
        <v>46252</v>
      </c>
      <c r="C7904" s="1" t="n">
        <v>11</v>
      </c>
      <c r="D7904" s="1" t="s">
        <v>2290</v>
      </c>
      <c r="E7904" s="1" t="n">
        <v>1720</v>
      </c>
      <c r="F7904" s="1" t="s">
        <v>985</v>
      </c>
      <c r="I7904" s="1" t="n">
        <v>48211</v>
      </c>
      <c r="J7904" s="1" t="n">
        <v>101473</v>
      </c>
      <c r="K7904" s="1" t="n">
        <v>7897277300017</v>
      </c>
      <c r="L7904" s="1" t="s">
        <v>2888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5" t="n">
        <v>46252</v>
      </c>
      <c r="C7905" s="1" t="n">
        <v>11</v>
      </c>
      <c r="D7905" s="1" t="s">
        <v>2290</v>
      </c>
      <c r="E7905" s="1" t="n">
        <v>1720</v>
      </c>
      <c r="F7905" s="1" t="s">
        <v>985</v>
      </c>
      <c r="I7905" s="1" t="n">
        <v>48211</v>
      </c>
      <c r="J7905" s="1" t="n">
        <v>101475</v>
      </c>
      <c r="K7905" s="1" t="n">
        <v>7897277300062</v>
      </c>
      <c r="L7905" s="1" t="s">
        <v>4788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5" t="n">
        <v>46252</v>
      </c>
      <c r="C7906" s="1" t="n">
        <v>11</v>
      </c>
      <c r="D7906" s="1" t="s">
        <v>2290</v>
      </c>
      <c r="E7906" s="1" t="n">
        <v>1720</v>
      </c>
      <c r="F7906" s="1" t="s">
        <v>985</v>
      </c>
      <c r="I7906" s="1" t="n">
        <v>48211</v>
      </c>
      <c r="J7906" s="1" t="n">
        <v>101475</v>
      </c>
      <c r="K7906" s="1" t="n">
        <v>7897277300062</v>
      </c>
      <c r="L7906" s="1" t="s">
        <v>4788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5" t="n">
        <v>46252</v>
      </c>
      <c r="C7907" s="1" t="n">
        <v>11</v>
      </c>
      <c r="D7907" s="1" t="s">
        <v>2290</v>
      </c>
      <c r="E7907" s="1" t="n">
        <v>1720</v>
      </c>
      <c r="F7907" s="1" t="s">
        <v>985</v>
      </c>
      <c r="I7907" s="1" t="n">
        <v>48211</v>
      </c>
      <c r="J7907" s="1" t="n">
        <v>101477</v>
      </c>
      <c r="K7907" s="1" t="n">
        <v>7897277300956</v>
      </c>
      <c r="L7907" s="1" t="s">
        <v>4789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5" t="n">
        <v>46252</v>
      </c>
      <c r="C7908" s="1" t="n">
        <v>11</v>
      </c>
      <c r="D7908" s="1" t="s">
        <v>2290</v>
      </c>
      <c r="E7908" s="1" t="n">
        <v>1720</v>
      </c>
      <c r="F7908" s="1" t="s">
        <v>985</v>
      </c>
      <c r="I7908" s="1" t="n">
        <v>48211</v>
      </c>
      <c r="J7908" s="1" t="n">
        <v>103387</v>
      </c>
      <c r="K7908" s="1" t="n">
        <v>7897277300352</v>
      </c>
      <c r="L7908" s="1" t="s">
        <v>4790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5" t="n">
        <v>46252</v>
      </c>
      <c r="C7909" s="1" t="n">
        <v>11</v>
      </c>
      <c r="D7909" s="1" t="s">
        <v>2290</v>
      </c>
      <c r="E7909" s="1" t="n">
        <v>1720</v>
      </c>
      <c r="F7909" s="1" t="s">
        <v>985</v>
      </c>
      <c r="I7909" s="1" t="n">
        <v>48211</v>
      </c>
      <c r="J7909" s="1" t="n">
        <v>104343</v>
      </c>
      <c r="K7909" s="1" t="n">
        <v>7897277300116</v>
      </c>
      <c r="L7909" s="1" t="s">
        <v>4791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5" t="n">
        <v>46252</v>
      </c>
      <c r="C7910" s="1" t="n">
        <v>11</v>
      </c>
      <c r="D7910" s="1" t="s">
        <v>2290</v>
      </c>
      <c r="E7910" s="1" t="n">
        <v>1720</v>
      </c>
      <c r="F7910" s="1" t="s">
        <v>985</v>
      </c>
      <c r="I7910" s="1" t="n">
        <v>48211</v>
      </c>
      <c r="J7910" s="1" t="n">
        <v>105167</v>
      </c>
      <c r="K7910" s="1" t="n">
        <v>7897277300390</v>
      </c>
      <c r="L7910" s="1" t="s">
        <v>2889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5" t="n">
        <v>46252</v>
      </c>
      <c r="C7911" s="1" t="n">
        <v>11</v>
      </c>
      <c r="D7911" s="1" t="s">
        <v>2290</v>
      </c>
      <c r="E7911" s="1" t="n">
        <v>1720</v>
      </c>
      <c r="F7911" s="1" t="s">
        <v>985</v>
      </c>
      <c r="I7911" s="1" t="n">
        <v>48211</v>
      </c>
      <c r="J7911" s="1" t="n">
        <v>108038</v>
      </c>
      <c r="K7911" s="1" t="n">
        <v>7897277300123</v>
      </c>
      <c r="L7911" s="1" t="s">
        <v>2890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5" t="n">
        <v>46252</v>
      </c>
      <c r="C7912" s="1" t="n">
        <v>11</v>
      </c>
      <c r="D7912" s="1" t="s">
        <v>2290</v>
      </c>
      <c r="E7912" s="1" t="n">
        <v>1720</v>
      </c>
      <c r="F7912" s="1" t="s">
        <v>985</v>
      </c>
      <c r="I7912" s="1" t="n">
        <v>48211</v>
      </c>
      <c r="J7912" s="1" t="n">
        <v>108046</v>
      </c>
      <c r="K7912" s="1" t="n">
        <v>7897277300093</v>
      </c>
      <c r="L7912" s="1" t="s">
        <v>4792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5" t="n">
        <v>46252</v>
      </c>
      <c r="C7913" s="1" t="n">
        <v>11</v>
      </c>
      <c r="D7913" s="1" t="s">
        <v>2290</v>
      </c>
      <c r="E7913" s="1" t="n">
        <v>1720</v>
      </c>
      <c r="F7913" s="1" t="s">
        <v>985</v>
      </c>
      <c r="I7913" s="1" t="n">
        <v>48211</v>
      </c>
      <c r="J7913" s="1" t="n">
        <v>108048</v>
      </c>
      <c r="K7913" s="1" t="n">
        <v>7897277300031</v>
      </c>
      <c r="L7913" s="1" t="s">
        <v>2891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5" t="n">
        <v>46252</v>
      </c>
      <c r="C7914" s="1" t="n">
        <v>11</v>
      </c>
      <c r="D7914" s="1" t="s">
        <v>2290</v>
      </c>
      <c r="E7914" s="1" t="n">
        <v>1720</v>
      </c>
      <c r="F7914" s="1" t="s">
        <v>985</v>
      </c>
      <c r="I7914" s="1" t="n">
        <v>48211</v>
      </c>
      <c r="J7914" s="1" t="n">
        <v>12004</v>
      </c>
      <c r="K7914" s="1" t="n">
        <v>7897277300055</v>
      </c>
      <c r="L7914" s="1" t="s">
        <v>4793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5" t="n">
        <v>46252</v>
      </c>
      <c r="C7915" s="1" t="n">
        <v>11</v>
      </c>
      <c r="D7915" s="1" t="s">
        <v>2290</v>
      </c>
      <c r="E7915" s="1" t="n">
        <v>1720</v>
      </c>
      <c r="F7915" s="1" t="s">
        <v>985</v>
      </c>
      <c r="I7915" s="1" t="n">
        <v>48211</v>
      </c>
      <c r="J7915" s="1" t="n">
        <v>21553</v>
      </c>
      <c r="K7915" s="1" t="n">
        <v>7897277300970</v>
      </c>
      <c r="L7915" s="1" t="s">
        <v>2892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5" t="n">
        <v>46252</v>
      </c>
      <c r="C7916" s="1" t="n">
        <v>11</v>
      </c>
      <c r="D7916" s="1" t="s">
        <v>2290</v>
      </c>
      <c r="E7916" s="1" t="n">
        <v>1720</v>
      </c>
      <c r="F7916" s="1" t="s">
        <v>985</v>
      </c>
      <c r="I7916" s="1" t="n">
        <v>48211</v>
      </c>
      <c r="J7916" s="1" t="n">
        <v>21553</v>
      </c>
      <c r="K7916" s="1" t="n">
        <v>7897277300970</v>
      </c>
      <c r="L7916" s="1" t="s">
        <v>2892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5" t="n">
        <v>46252</v>
      </c>
      <c r="C7917" s="1" t="n">
        <v>11</v>
      </c>
      <c r="D7917" s="1" t="s">
        <v>2290</v>
      </c>
      <c r="E7917" s="1" t="n">
        <v>1720</v>
      </c>
      <c r="F7917" s="1" t="s">
        <v>985</v>
      </c>
      <c r="I7917" s="1" t="n">
        <v>48211</v>
      </c>
      <c r="J7917" s="1" t="n">
        <v>40316</v>
      </c>
      <c r="K7917" s="1" t="n">
        <v>7897277300130</v>
      </c>
      <c r="L7917" s="1" t="s">
        <v>4794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5" t="n">
        <v>46252</v>
      </c>
      <c r="C7918" s="1" t="n">
        <v>11</v>
      </c>
      <c r="D7918" s="1" t="s">
        <v>2290</v>
      </c>
      <c r="E7918" s="1" t="n">
        <v>1720</v>
      </c>
      <c r="F7918" s="1" t="s">
        <v>985</v>
      </c>
      <c r="I7918" s="1" t="n">
        <v>48211</v>
      </c>
      <c r="J7918" s="1" t="n">
        <v>55703</v>
      </c>
      <c r="K7918" s="1" t="n">
        <v>7897277300024</v>
      </c>
      <c r="L7918" s="1" t="s">
        <v>2893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5" t="n">
        <v>46252</v>
      </c>
      <c r="C7919" s="1" t="n">
        <v>11</v>
      </c>
      <c r="D7919" s="1" t="s">
        <v>2290</v>
      </c>
      <c r="E7919" s="1" t="n">
        <v>1720</v>
      </c>
      <c r="F7919" s="1" t="s">
        <v>985</v>
      </c>
      <c r="I7919" s="1" t="n">
        <v>48211</v>
      </c>
      <c r="J7919" s="1" t="n">
        <v>80222</v>
      </c>
      <c r="K7919" s="1" t="n">
        <v>802239</v>
      </c>
      <c r="L7919" s="1" t="s">
        <v>4795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5" t="n">
        <v>46252</v>
      </c>
      <c r="C7920" s="1" t="n">
        <v>11</v>
      </c>
      <c r="D7920" s="1" t="s">
        <v>2290</v>
      </c>
      <c r="E7920" s="1" t="n">
        <v>1720</v>
      </c>
      <c r="F7920" s="1" t="s">
        <v>985</v>
      </c>
      <c r="I7920" s="1" t="n">
        <v>48211</v>
      </c>
      <c r="J7920" s="1" t="n">
        <v>80224</v>
      </c>
      <c r="K7920" s="1" t="n">
        <v>802253</v>
      </c>
      <c r="L7920" s="1" t="s">
        <v>2895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5" t="n">
        <v>46252</v>
      </c>
      <c r="C7921" s="1" t="n">
        <v>11</v>
      </c>
      <c r="D7921" s="1" t="s">
        <v>2290</v>
      </c>
      <c r="E7921" s="1" t="n">
        <v>1739</v>
      </c>
      <c r="F7921" s="1" t="s">
        <v>1919</v>
      </c>
      <c r="I7921" s="1" t="n">
        <v>255147</v>
      </c>
      <c r="J7921" s="1" t="n">
        <v>50117</v>
      </c>
      <c r="K7921" s="1" t="n">
        <v>7898556850643</v>
      </c>
      <c r="L7921" s="1" t="s">
        <v>4796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5" t="n">
        <v>46252</v>
      </c>
      <c r="C7922" s="1" t="n">
        <v>11</v>
      </c>
      <c r="D7922" s="1" t="s">
        <v>2290</v>
      </c>
      <c r="E7922" s="1" t="n">
        <v>1739</v>
      </c>
      <c r="F7922" s="1" t="s">
        <v>1919</v>
      </c>
      <c r="I7922" s="1" t="n">
        <v>255147</v>
      </c>
      <c r="J7922" s="1" t="n">
        <v>100367</v>
      </c>
      <c r="K7922" s="1" t="n">
        <v>7896806700014</v>
      </c>
      <c r="L7922" s="1" t="s">
        <v>4797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5" t="n">
        <v>46252</v>
      </c>
      <c r="C7923" s="1" t="n">
        <v>11</v>
      </c>
      <c r="D7923" s="1" t="s">
        <v>2290</v>
      </c>
      <c r="E7923" s="1" t="n">
        <v>1739</v>
      </c>
      <c r="F7923" s="1" t="s">
        <v>1919</v>
      </c>
      <c r="I7923" s="1" t="n">
        <v>255147</v>
      </c>
      <c r="J7923" s="1" t="n">
        <v>100370</v>
      </c>
      <c r="K7923" s="1" t="n">
        <v>7896806700038</v>
      </c>
      <c r="L7923" s="1" t="s">
        <v>4798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5" t="n">
        <v>46252</v>
      </c>
      <c r="C7924" s="1" t="n">
        <v>11</v>
      </c>
      <c r="D7924" s="1" t="s">
        <v>2290</v>
      </c>
      <c r="E7924" s="1" t="n">
        <v>1739</v>
      </c>
      <c r="F7924" s="1" t="s">
        <v>1919</v>
      </c>
      <c r="I7924" s="1" t="n">
        <v>255147</v>
      </c>
      <c r="J7924" s="1" t="n">
        <v>100371</v>
      </c>
      <c r="K7924" s="1" t="n">
        <v>7896806700021</v>
      </c>
      <c r="L7924" s="1" t="s">
        <v>4799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5" t="n">
        <v>46252</v>
      </c>
      <c r="C7925" s="1" t="n">
        <v>11</v>
      </c>
      <c r="D7925" s="1" t="s">
        <v>2290</v>
      </c>
      <c r="E7925" s="1" t="n">
        <v>1739</v>
      </c>
      <c r="F7925" s="1" t="s">
        <v>1919</v>
      </c>
      <c r="I7925" s="1" t="n">
        <v>255147</v>
      </c>
      <c r="J7925" s="1" t="n">
        <v>100559</v>
      </c>
      <c r="K7925" s="1" t="n">
        <v>7896013501022</v>
      </c>
      <c r="L7925" s="1" t="s">
        <v>4800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5" t="n">
        <v>46252</v>
      </c>
      <c r="C7926" s="1" t="n">
        <v>11</v>
      </c>
      <c r="D7926" s="1" t="s">
        <v>2290</v>
      </c>
      <c r="E7926" s="1" t="n">
        <v>1739</v>
      </c>
      <c r="F7926" s="1" t="s">
        <v>1919</v>
      </c>
      <c r="I7926" s="1" t="n">
        <v>255147</v>
      </c>
      <c r="J7926" s="1" t="n">
        <v>100560</v>
      </c>
      <c r="K7926" s="1" t="n">
        <v>7896013514817</v>
      </c>
      <c r="L7926" s="1" t="s">
        <v>4801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5" t="n">
        <v>46252</v>
      </c>
      <c r="C7927" s="1" t="n">
        <v>11</v>
      </c>
      <c r="D7927" s="1" t="s">
        <v>2290</v>
      </c>
      <c r="E7927" s="1" t="n">
        <v>1739</v>
      </c>
      <c r="F7927" s="1" t="s">
        <v>1919</v>
      </c>
      <c r="I7927" s="1" t="n">
        <v>255147</v>
      </c>
      <c r="J7927" s="1" t="n">
        <v>100561</v>
      </c>
      <c r="K7927" s="1" t="n">
        <v>7896013501039</v>
      </c>
      <c r="L7927" s="1" t="s">
        <v>4802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5" t="n">
        <v>46252</v>
      </c>
      <c r="C7928" s="1" t="n">
        <v>11</v>
      </c>
      <c r="D7928" s="1" t="s">
        <v>2290</v>
      </c>
      <c r="E7928" s="1" t="n">
        <v>1739</v>
      </c>
      <c r="F7928" s="1" t="s">
        <v>1919</v>
      </c>
      <c r="I7928" s="1" t="n">
        <v>255147</v>
      </c>
      <c r="J7928" s="1" t="n">
        <v>100562</v>
      </c>
      <c r="K7928" s="1" t="n">
        <v>7896013502111</v>
      </c>
      <c r="L7928" s="1" t="s">
        <v>4803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5" t="n">
        <v>46252</v>
      </c>
      <c r="C7929" s="1" t="n">
        <v>11</v>
      </c>
      <c r="D7929" s="1" t="s">
        <v>2290</v>
      </c>
      <c r="E7929" s="1" t="n">
        <v>1739</v>
      </c>
      <c r="F7929" s="1" t="s">
        <v>1919</v>
      </c>
      <c r="I7929" s="1" t="n">
        <v>255147</v>
      </c>
      <c r="J7929" s="1" t="n">
        <v>100563</v>
      </c>
      <c r="K7929" s="1" t="n">
        <v>7896013500643</v>
      </c>
      <c r="L7929" s="1" t="s">
        <v>4804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5" t="n">
        <v>46252</v>
      </c>
      <c r="C7930" s="1" t="n">
        <v>11</v>
      </c>
      <c r="D7930" s="1" t="s">
        <v>2290</v>
      </c>
      <c r="E7930" s="1" t="n">
        <v>1739</v>
      </c>
      <c r="F7930" s="1" t="s">
        <v>1919</v>
      </c>
      <c r="I7930" s="1" t="n">
        <v>255147</v>
      </c>
      <c r="J7930" s="1" t="n">
        <v>100619</v>
      </c>
      <c r="K7930" s="1" t="n">
        <v>7891176113044</v>
      </c>
      <c r="L7930" s="1" t="s">
        <v>4805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5" t="n">
        <v>46252</v>
      </c>
      <c r="C7931" s="1" t="n">
        <v>11</v>
      </c>
      <c r="D7931" s="1" t="s">
        <v>2290</v>
      </c>
      <c r="E7931" s="1" t="n">
        <v>1739</v>
      </c>
      <c r="F7931" s="1" t="s">
        <v>1919</v>
      </c>
      <c r="I7931" s="1" t="n">
        <v>255147</v>
      </c>
      <c r="J7931" s="1" t="n">
        <v>105208</v>
      </c>
      <c r="K7931" s="1" t="n">
        <v>7891176113068</v>
      </c>
      <c r="L7931" s="1" t="s">
        <v>4806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5" t="n">
        <v>46252</v>
      </c>
      <c r="C7932" s="1" t="n">
        <v>11</v>
      </c>
      <c r="D7932" s="1" t="s">
        <v>2290</v>
      </c>
      <c r="E7932" s="1" t="n">
        <v>1739</v>
      </c>
      <c r="F7932" s="1" t="s">
        <v>1919</v>
      </c>
      <c r="I7932" s="1" t="n">
        <v>255147</v>
      </c>
      <c r="J7932" s="1" t="n">
        <v>109119</v>
      </c>
      <c r="K7932" s="1" t="n">
        <v>7897042005048</v>
      </c>
      <c r="L7932" s="1" t="s">
        <v>4807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5" t="n">
        <v>46252</v>
      </c>
      <c r="C7933" s="1" t="n">
        <v>11</v>
      </c>
      <c r="D7933" s="1" t="s">
        <v>2290</v>
      </c>
      <c r="E7933" s="1" t="n">
        <v>1739</v>
      </c>
      <c r="F7933" s="1" t="s">
        <v>1919</v>
      </c>
      <c r="I7933" s="1" t="n">
        <v>255147</v>
      </c>
      <c r="J7933" s="1" t="n">
        <v>109120</v>
      </c>
      <c r="K7933" s="1" t="n">
        <v>7897042007226</v>
      </c>
      <c r="L7933" s="1" t="s">
        <v>4808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5" t="n">
        <v>46252</v>
      </c>
      <c r="C7934" s="1" t="n">
        <v>11</v>
      </c>
      <c r="D7934" s="1" t="s">
        <v>2290</v>
      </c>
      <c r="E7934" s="1" t="n">
        <v>1739</v>
      </c>
      <c r="F7934" s="1" t="s">
        <v>1919</v>
      </c>
      <c r="I7934" s="1" t="n">
        <v>255147</v>
      </c>
      <c r="J7934" s="1" t="n">
        <v>14709</v>
      </c>
      <c r="K7934" s="1" t="n">
        <v>7898095296476</v>
      </c>
      <c r="L7934" s="1" t="s">
        <v>4809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5" t="n">
        <v>46252</v>
      </c>
      <c r="C7935" s="1" t="n">
        <v>11</v>
      </c>
      <c r="D7935" s="1" t="s">
        <v>2290</v>
      </c>
      <c r="E7935" s="1" t="n">
        <v>1739</v>
      </c>
      <c r="F7935" s="1" t="s">
        <v>1919</v>
      </c>
      <c r="I7935" s="1" t="n">
        <v>255147</v>
      </c>
      <c r="J7935" s="1" t="n">
        <v>14742</v>
      </c>
      <c r="K7935" s="1" t="n">
        <v>7898148110407</v>
      </c>
      <c r="L7935" s="1" t="s">
        <v>4810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5" t="n">
        <v>46252</v>
      </c>
      <c r="C7936" s="1" t="n">
        <v>11</v>
      </c>
      <c r="D7936" s="1" t="s">
        <v>2290</v>
      </c>
      <c r="E7936" s="1" t="n">
        <v>1739</v>
      </c>
      <c r="F7936" s="1" t="s">
        <v>1919</v>
      </c>
      <c r="I7936" s="1" t="n">
        <v>255147</v>
      </c>
      <c r="J7936" s="1" t="n">
        <v>15911</v>
      </c>
      <c r="K7936" s="1" t="n">
        <v>7898095296452</v>
      </c>
      <c r="L7936" s="1" t="s">
        <v>4811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15" t="n">
        <v>46252</v>
      </c>
      <c r="C7937" s="1" t="n">
        <v>11</v>
      </c>
      <c r="D7937" s="1" t="s">
        <v>2290</v>
      </c>
      <c r="E7937" s="1" t="n">
        <v>1739</v>
      </c>
      <c r="F7937" s="1" t="s">
        <v>1919</v>
      </c>
      <c r="I7937" s="1" t="n">
        <v>255147</v>
      </c>
      <c r="J7937" s="1" t="n">
        <v>16689</v>
      </c>
      <c r="K7937" s="1" t="n">
        <v>7896013549604</v>
      </c>
      <c r="L7937" s="1" t="s">
        <v>4812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15" t="n">
        <v>46252</v>
      </c>
      <c r="C7938" s="1" t="n">
        <v>11</v>
      </c>
      <c r="D7938" s="1" t="s">
        <v>2290</v>
      </c>
      <c r="E7938" s="1" t="n">
        <v>1739</v>
      </c>
      <c r="F7938" s="1" t="s">
        <v>1919</v>
      </c>
      <c r="I7938" s="1" t="n">
        <v>255147</v>
      </c>
      <c r="J7938" s="1" t="n">
        <v>21613</v>
      </c>
      <c r="K7938" s="1" t="n">
        <v>7896902209114</v>
      </c>
      <c r="L7938" s="1" t="s">
        <v>4813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15" t="n">
        <v>46252</v>
      </c>
      <c r="C7939" s="1" t="n">
        <v>11</v>
      </c>
      <c r="D7939" s="1" t="s">
        <v>2290</v>
      </c>
      <c r="E7939" s="1" t="n">
        <v>1739</v>
      </c>
      <c r="F7939" s="1" t="s">
        <v>1919</v>
      </c>
      <c r="I7939" s="1" t="n">
        <v>255147</v>
      </c>
      <c r="J7939" s="1" t="n">
        <v>22110</v>
      </c>
      <c r="K7939" s="1" t="n">
        <v>7897161371024</v>
      </c>
      <c r="L7939" s="1" t="s">
        <v>4814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15" t="n">
        <v>46252</v>
      </c>
      <c r="C7940" s="1" t="n">
        <v>11</v>
      </c>
      <c r="D7940" s="1" t="s">
        <v>2290</v>
      </c>
      <c r="E7940" s="1" t="n">
        <v>1739</v>
      </c>
      <c r="F7940" s="1" t="s">
        <v>1919</v>
      </c>
      <c r="I7940" s="1" t="n">
        <v>255147</v>
      </c>
      <c r="J7940" s="1" t="n">
        <v>22548</v>
      </c>
      <c r="K7940" s="1" t="n">
        <v>7897161371031</v>
      </c>
      <c r="L7940" s="1" t="s">
        <v>4815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15" t="n">
        <v>46252</v>
      </c>
      <c r="C7941" s="1" t="n">
        <v>11</v>
      </c>
      <c r="D7941" s="1" t="s">
        <v>2290</v>
      </c>
      <c r="E7941" s="1" t="n">
        <v>1739</v>
      </c>
      <c r="F7941" s="1" t="s">
        <v>1919</v>
      </c>
      <c r="I7941" s="1" t="n">
        <v>255147</v>
      </c>
      <c r="J7941" s="1" t="n">
        <v>22549</v>
      </c>
      <c r="K7941" s="1" t="n">
        <v>7897161371055</v>
      </c>
      <c r="L7941" s="1" t="s">
        <v>4816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5" t="n">
        <v>46252</v>
      </c>
      <c r="C7942" s="1" t="n">
        <v>11</v>
      </c>
      <c r="D7942" s="1" t="s">
        <v>2290</v>
      </c>
      <c r="E7942" s="1" t="n">
        <v>1739</v>
      </c>
      <c r="F7942" s="1" t="s">
        <v>1919</v>
      </c>
      <c r="I7942" s="1" t="n">
        <v>255147</v>
      </c>
      <c r="J7942" s="1" t="n">
        <v>22550</v>
      </c>
      <c r="K7942" s="1" t="n">
        <v>7897161371048</v>
      </c>
      <c r="L7942" s="1" t="s">
        <v>4817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5" t="n">
        <v>46252</v>
      </c>
      <c r="C7943" s="1" t="n">
        <v>11</v>
      </c>
      <c r="D7943" s="1" t="s">
        <v>2290</v>
      </c>
      <c r="E7943" s="1" t="n">
        <v>1739</v>
      </c>
      <c r="F7943" s="1" t="s">
        <v>1919</v>
      </c>
      <c r="I7943" s="1" t="n">
        <v>255147</v>
      </c>
      <c r="J7943" s="1" t="n">
        <v>23254</v>
      </c>
      <c r="K7943" s="1" t="n">
        <v>7897161371017</v>
      </c>
      <c r="L7943" s="1" t="s">
        <v>4818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15" t="n">
        <v>46252</v>
      </c>
      <c r="C7944" s="1" t="n">
        <v>11</v>
      </c>
      <c r="D7944" s="1" t="s">
        <v>2290</v>
      </c>
      <c r="E7944" s="1" t="n">
        <v>1739</v>
      </c>
      <c r="F7944" s="1" t="s">
        <v>1919</v>
      </c>
      <c r="I7944" s="1" t="n">
        <v>255147</v>
      </c>
      <c r="J7944" s="1" t="n">
        <v>23706</v>
      </c>
      <c r="K7944" s="1" t="n">
        <v>7896902210561</v>
      </c>
      <c r="L7944" s="1" t="s">
        <v>4819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15" t="n">
        <v>46252</v>
      </c>
      <c r="C7945" s="1" t="n">
        <v>11</v>
      </c>
      <c r="D7945" s="1" t="s">
        <v>2290</v>
      </c>
      <c r="E7945" s="1" t="n">
        <v>1739</v>
      </c>
      <c r="F7945" s="1" t="s">
        <v>1919</v>
      </c>
      <c r="I7945" s="1" t="n">
        <v>255147</v>
      </c>
      <c r="J7945" s="1" t="n">
        <v>23707</v>
      </c>
      <c r="K7945" s="1" t="n">
        <v>7896902210608</v>
      </c>
      <c r="L7945" s="1" t="s">
        <v>4820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5" t="n">
        <v>46252</v>
      </c>
      <c r="C7946" s="1" t="n">
        <v>11</v>
      </c>
      <c r="D7946" s="1" t="s">
        <v>2290</v>
      </c>
      <c r="E7946" s="1" t="n">
        <v>1739</v>
      </c>
      <c r="F7946" s="1" t="s">
        <v>1919</v>
      </c>
      <c r="I7946" s="1" t="n">
        <v>255147</v>
      </c>
      <c r="J7946" s="1" t="n">
        <v>23708</v>
      </c>
      <c r="K7946" s="1" t="n">
        <v>7896902210646</v>
      </c>
      <c r="L7946" s="1" t="s">
        <v>4821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5" t="n">
        <v>46252</v>
      </c>
      <c r="C7947" s="1" t="n">
        <v>11</v>
      </c>
      <c r="D7947" s="1" t="s">
        <v>2290</v>
      </c>
      <c r="E7947" s="1" t="n">
        <v>1739</v>
      </c>
      <c r="F7947" s="1" t="s">
        <v>1919</v>
      </c>
      <c r="I7947" s="1" t="n">
        <v>255147</v>
      </c>
      <c r="J7947" s="1" t="n">
        <v>24604</v>
      </c>
      <c r="K7947" s="1" t="n">
        <v>7896902210530</v>
      </c>
      <c r="L7947" s="1" t="s">
        <v>4822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5" t="n">
        <v>46252</v>
      </c>
      <c r="C7948" s="1" t="n">
        <v>11</v>
      </c>
      <c r="D7948" s="1" t="s">
        <v>2290</v>
      </c>
      <c r="E7948" s="1" t="n">
        <v>1739</v>
      </c>
      <c r="F7948" s="1" t="s">
        <v>1919</v>
      </c>
      <c r="I7948" s="1" t="n">
        <v>255147</v>
      </c>
      <c r="J7948" s="1" t="n">
        <v>25235</v>
      </c>
      <c r="K7948" s="1" t="n">
        <v>7898148110360</v>
      </c>
      <c r="L7948" s="1" t="s">
        <v>4823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15" t="n">
        <v>46252</v>
      </c>
      <c r="C7949" s="1" t="n">
        <v>11</v>
      </c>
      <c r="D7949" s="1" t="s">
        <v>2290</v>
      </c>
      <c r="E7949" s="1" t="n">
        <v>1739</v>
      </c>
      <c r="F7949" s="1" t="s">
        <v>1919</v>
      </c>
      <c r="I7949" s="1" t="n">
        <v>255147</v>
      </c>
      <c r="J7949" s="1" t="n">
        <v>25236</v>
      </c>
      <c r="K7949" s="1" t="n">
        <v>7898148110384</v>
      </c>
      <c r="L7949" s="1" t="s">
        <v>4824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5" t="n">
        <v>46252</v>
      </c>
      <c r="C7950" s="1" t="n">
        <v>11</v>
      </c>
      <c r="D7950" s="1" t="s">
        <v>2290</v>
      </c>
      <c r="E7950" s="1" t="n">
        <v>1739</v>
      </c>
      <c r="F7950" s="1" t="s">
        <v>1919</v>
      </c>
      <c r="I7950" s="1" t="n">
        <v>255147</v>
      </c>
      <c r="J7950" s="1" t="n">
        <v>25237</v>
      </c>
      <c r="K7950" s="1" t="n">
        <v>7898148110377</v>
      </c>
      <c r="L7950" s="1" t="s">
        <v>4825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5" t="n">
        <v>46252</v>
      </c>
      <c r="C7951" s="1" t="n">
        <v>11</v>
      </c>
      <c r="D7951" s="1" t="s">
        <v>2290</v>
      </c>
      <c r="E7951" s="1" t="n">
        <v>1739</v>
      </c>
      <c r="F7951" s="1" t="s">
        <v>1919</v>
      </c>
      <c r="I7951" s="1" t="n">
        <v>255147</v>
      </c>
      <c r="J7951" s="1" t="n">
        <v>25454</v>
      </c>
      <c r="K7951" s="1" t="n">
        <v>7897042009121</v>
      </c>
      <c r="L7951" s="1" t="s">
        <v>4826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5" t="n">
        <v>46252</v>
      </c>
      <c r="C7952" s="1" t="n">
        <v>11</v>
      </c>
      <c r="D7952" s="1" t="s">
        <v>2290</v>
      </c>
      <c r="E7952" s="1" t="n">
        <v>1739</v>
      </c>
      <c r="F7952" s="1" t="s">
        <v>1919</v>
      </c>
      <c r="I7952" s="1" t="n">
        <v>255147</v>
      </c>
      <c r="J7952" s="1" t="n">
        <v>25697</v>
      </c>
      <c r="K7952" s="1" t="n">
        <v>7897161371000</v>
      </c>
      <c r="L7952" s="1" t="s">
        <v>4827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5" t="n">
        <v>46252</v>
      </c>
      <c r="C7953" s="1" t="n">
        <v>11</v>
      </c>
      <c r="D7953" s="1" t="s">
        <v>2290</v>
      </c>
      <c r="E7953" s="1" t="n">
        <v>1739</v>
      </c>
      <c r="F7953" s="1" t="s">
        <v>1919</v>
      </c>
      <c r="I7953" s="1" t="n">
        <v>255147</v>
      </c>
      <c r="J7953" s="1" t="n">
        <v>27285</v>
      </c>
      <c r="K7953" s="1" t="n">
        <v>7896902210554</v>
      </c>
      <c r="L7953" s="1" t="s">
        <v>4828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5" t="n">
        <v>46252</v>
      </c>
      <c r="C7954" s="1" t="n">
        <v>11</v>
      </c>
      <c r="D7954" s="1" t="s">
        <v>2290</v>
      </c>
      <c r="E7954" s="1" t="n">
        <v>1739</v>
      </c>
      <c r="F7954" s="1" t="s">
        <v>1919</v>
      </c>
      <c r="I7954" s="1" t="n">
        <v>255147</v>
      </c>
      <c r="J7954" s="1" t="n">
        <v>27316</v>
      </c>
      <c r="K7954" s="1" t="n">
        <v>7897042012312</v>
      </c>
      <c r="L7954" s="1" t="s">
        <v>4829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5" t="n">
        <v>46252</v>
      </c>
      <c r="C7955" s="1" t="n">
        <v>11</v>
      </c>
      <c r="D7955" s="1" t="s">
        <v>2290</v>
      </c>
      <c r="E7955" s="1" t="n">
        <v>1739</v>
      </c>
      <c r="F7955" s="1" t="s">
        <v>1919</v>
      </c>
      <c r="I7955" s="1" t="n">
        <v>255147</v>
      </c>
      <c r="J7955" s="1" t="n">
        <v>31813</v>
      </c>
      <c r="K7955" s="1" t="n">
        <v>7898148110353</v>
      </c>
      <c r="L7955" s="1" t="s">
        <v>4830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5" t="n">
        <v>46252</v>
      </c>
      <c r="C7956" s="1" t="n">
        <v>11</v>
      </c>
      <c r="D7956" s="1" t="s">
        <v>2290</v>
      </c>
      <c r="E7956" s="1" t="n">
        <v>1739</v>
      </c>
      <c r="F7956" s="1" t="s">
        <v>1919</v>
      </c>
      <c r="I7956" s="1" t="n">
        <v>255147</v>
      </c>
      <c r="J7956" s="1" t="n">
        <v>33595</v>
      </c>
      <c r="K7956" s="1" t="n">
        <v>7898148110346</v>
      </c>
      <c r="L7956" s="1" t="s">
        <v>4831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5" t="n">
        <v>46252</v>
      </c>
      <c r="C7957" s="1" t="n">
        <v>11</v>
      </c>
      <c r="D7957" s="1" t="s">
        <v>2290</v>
      </c>
      <c r="E7957" s="1" t="n">
        <v>1739</v>
      </c>
      <c r="F7957" s="1" t="s">
        <v>1919</v>
      </c>
      <c r="I7957" s="1" t="n">
        <v>255147</v>
      </c>
      <c r="J7957" s="1" t="n">
        <v>33837</v>
      </c>
      <c r="K7957" s="1" t="n">
        <v>7896902210639</v>
      </c>
      <c r="L7957" s="1" t="s">
        <v>4820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5" t="n">
        <v>46252</v>
      </c>
      <c r="C7958" s="1" t="n">
        <v>11</v>
      </c>
      <c r="D7958" s="1" t="s">
        <v>2290</v>
      </c>
      <c r="E7958" s="1" t="n">
        <v>1739</v>
      </c>
      <c r="F7958" s="1" t="s">
        <v>1919</v>
      </c>
      <c r="I7958" s="1" t="n">
        <v>255147</v>
      </c>
      <c r="J7958" s="1" t="n">
        <v>34154</v>
      </c>
      <c r="K7958" s="1" t="n">
        <v>7896902210677</v>
      </c>
      <c r="L7958" s="1" t="s">
        <v>4820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5" t="n">
        <v>46252</v>
      </c>
      <c r="C7959" s="1" t="n">
        <v>11</v>
      </c>
      <c r="D7959" s="1" t="s">
        <v>2290</v>
      </c>
      <c r="E7959" s="1" t="n">
        <v>1739</v>
      </c>
      <c r="F7959" s="1" t="s">
        <v>1919</v>
      </c>
      <c r="I7959" s="1" t="n">
        <v>255147</v>
      </c>
      <c r="J7959" s="1" t="n">
        <v>35217</v>
      </c>
      <c r="K7959" s="1" t="n">
        <v>7897042012473</v>
      </c>
      <c r="L7959" s="1" t="s">
        <v>4832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5" t="n">
        <v>46252</v>
      </c>
      <c r="C7960" s="1" t="n">
        <v>11</v>
      </c>
      <c r="D7960" s="1" t="s">
        <v>2290</v>
      </c>
      <c r="E7960" s="1" t="n">
        <v>1739</v>
      </c>
      <c r="F7960" s="1" t="s">
        <v>1919</v>
      </c>
      <c r="I7960" s="1" t="n">
        <v>255147</v>
      </c>
      <c r="J7960" s="1" t="n">
        <v>39134</v>
      </c>
      <c r="K7960" s="1" t="n">
        <v>7896085872648</v>
      </c>
      <c r="L7960" s="1" t="s">
        <v>4833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5" t="n">
        <v>46252</v>
      </c>
      <c r="C7961" s="1" t="n">
        <v>11</v>
      </c>
      <c r="D7961" s="1" t="s">
        <v>2290</v>
      </c>
      <c r="E7961" s="1" t="n">
        <v>1739</v>
      </c>
      <c r="F7961" s="1" t="s">
        <v>1919</v>
      </c>
      <c r="I7961" s="1" t="n">
        <v>255147</v>
      </c>
      <c r="J7961" s="1" t="n">
        <v>39137</v>
      </c>
      <c r="K7961" s="1" t="n">
        <v>7896085872679</v>
      </c>
      <c r="L7961" s="1" t="s">
        <v>4833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5" t="n">
        <v>46252</v>
      </c>
      <c r="C7962" s="1" t="n">
        <v>11</v>
      </c>
      <c r="D7962" s="1" t="s">
        <v>2290</v>
      </c>
      <c r="E7962" s="1" t="n">
        <v>1739</v>
      </c>
      <c r="F7962" s="1" t="s">
        <v>1919</v>
      </c>
      <c r="I7962" s="1" t="n">
        <v>255147</v>
      </c>
      <c r="J7962" s="1" t="n">
        <v>40514</v>
      </c>
      <c r="K7962" s="1" t="n">
        <v>7896902210592</v>
      </c>
      <c r="L7962" s="1" t="s">
        <v>4834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5" t="n">
        <v>46252</v>
      </c>
      <c r="C7963" s="1" t="n">
        <v>11</v>
      </c>
      <c r="D7963" s="1" t="s">
        <v>2290</v>
      </c>
      <c r="E7963" s="1" t="n">
        <v>1739</v>
      </c>
      <c r="F7963" s="1" t="s">
        <v>1919</v>
      </c>
      <c r="I7963" s="1" t="n">
        <v>255147</v>
      </c>
      <c r="J7963" s="1" t="n">
        <v>42446</v>
      </c>
      <c r="K7963" s="1" t="n">
        <v>7896183307004</v>
      </c>
      <c r="L7963" s="1" t="s">
        <v>4835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5" t="n">
        <v>46252</v>
      </c>
      <c r="C7964" s="1" t="n">
        <v>11</v>
      </c>
      <c r="D7964" s="1" t="s">
        <v>2290</v>
      </c>
      <c r="E7964" s="1" t="n">
        <v>1739</v>
      </c>
      <c r="F7964" s="1" t="s">
        <v>1919</v>
      </c>
      <c r="I7964" s="1" t="n">
        <v>255147</v>
      </c>
      <c r="J7964" s="1" t="n">
        <v>42572</v>
      </c>
      <c r="K7964" s="1" t="n">
        <v>7896085872549</v>
      </c>
      <c r="L7964" s="1" t="s">
        <v>4836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5" t="n">
        <v>46252</v>
      </c>
      <c r="C7965" s="1" t="n">
        <v>11</v>
      </c>
      <c r="D7965" s="1" t="s">
        <v>2290</v>
      </c>
      <c r="E7965" s="1" t="n">
        <v>1739</v>
      </c>
      <c r="F7965" s="1" t="s">
        <v>1919</v>
      </c>
      <c r="I7965" s="1" t="n">
        <v>255147</v>
      </c>
      <c r="J7965" s="1" t="n">
        <v>43049</v>
      </c>
      <c r="K7965" s="1" t="n">
        <v>7898556850049</v>
      </c>
      <c r="L7965" s="1" t="s">
        <v>4837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5" t="n">
        <v>46252</v>
      </c>
      <c r="C7966" s="1" t="n">
        <v>11</v>
      </c>
      <c r="D7966" s="1" t="s">
        <v>2290</v>
      </c>
      <c r="E7966" s="1" t="n">
        <v>1739</v>
      </c>
      <c r="F7966" s="1" t="s">
        <v>1919</v>
      </c>
      <c r="I7966" s="1" t="n">
        <v>255147</v>
      </c>
      <c r="J7966" s="1" t="n">
        <v>45554</v>
      </c>
      <c r="K7966" s="1" t="n">
        <v>7897042012732</v>
      </c>
      <c r="L7966" s="1" t="s">
        <v>4838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5" t="n">
        <v>46252</v>
      </c>
      <c r="C7967" s="1" t="n">
        <v>11</v>
      </c>
      <c r="D7967" s="1" t="s">
        <v>2290</v>
      </c>
      <c r="E7967" s="1" t="n">
        <v>1739</v>
      </c>
      <c r="F7967" s="1" t="s">
        <v>1919</v>
      </c>
      <c r="I7967" s="1" t="n">
        <v>255147</v>
      </c>
      <c r="J7967" s="1" t="n">
        <v>46046</v>
      </c>
      <c r="K7967" s="1" t="n">
        <v>7897042010714</v>
      </c>
      <c r="L7967" s="1" t="s">
        <v>4839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5" t="n">
        <v>46252</v>
      </c>
      <c r="C7968" s="1" t="n">
        <v>11</v>
      </c>
      <c r="D7968" s="1" t="s">
        <v>2290</v>
      </c>
      <c r="E7968" s="1" t="n">
        <v>1739</v>
      </c>
      <c r="F7968" s="1" t="s">
        <v>1919</v>
      </c>
      <c r="I7968" s="1" t="n">
        <v>255147</v>
      </c>
      <c r="J7968" s="1" t="n">
        <v>46914</v>
      </c>
      <c r="K7968" s="1" t="n">
        <v>7896085873126</v>
      </c>
      <c r="L7968" s="1" t="s">
        <v>4840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5" t="n">
        <v>46252</v>
      </c>
      <c r="C7969" s="1" t="n">
        <v>11</v>
      </c>
      <c r="D7969" s="1" t="s">
        <v>2290</v>
      </c>
      <c r="E7969" s="1" t="n">
        <v>1739</v>
      </c>
      <c r="F7969" s="1" t="s">
        <v>1919</v>
      </c>
      <c r="I7969" s="1" t="n">
        <v>255147</v>
      </c>
      <c r="J7969" s="1" t="n">
        <v>46915</v>
      </c>
      <c r="K7969" s="1" t="n">
        <v>7896085873072</v>
      </c>
      <c r="L7969" s="1" t="s">
        <v>4841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5" t="n">
        <v>46252</v>
      </c>
      <c r="C7970" s="1" t="n">
        <v>11</v>
      </c>
      <c r="D7970" s="1" t="s">
        <v>2290</v>
      </c>
      <c r="E7970" s="1" t="n">
        <v>1739</v>
      </c>
      <c r="F7970" s="1" t="s">
        <v>1919</v>
      </c>
      <c r="I7970" s="1" t="n">
        <v>255147</v>
      </c>
      <c r="J7970" s="1" t="n">
        <v>46916</v>
      </c>
      <c r="K7970" s="1" t="n">
        <v>7896085873119</v>
      </c>
      <c r="L7970" s="1" t="s">
        <v>4842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5" t="n">
        <v>46252</v>
      </c>
      <c r="C7971" s="1" t="n">
        <v>11</v>
      </c>
      <c r="D7971" s="1" t="s">
        <v>2290</v>
      </c>
      <c r="E7971" s="1" t="n">
        <v>1739</v>
      </c>
      <c r="F7971" s="1" t="s">
        <v>1919</v>
      </c>
      <c r="I7971" s="1" t="n">
        <v>255147</v>
      </c>
      <c r="J7971" s="1" t="n">
        <v>47751</v>
      </c>
      <c r="K7971" s="1" t="n">
        <v>7896085873140</v>
      </c>
      <c r="L7971" s="1" t="s">
        <v>4843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5" t="n">
        <v>46252</v>
      </c>
      <c r="C7972" s="1" t="n">
        <v>11</v>
      </c>
      <c r="D7972" s="1" t="s">
        <v>2290</v>
      </c>
      <c r="E7972" s="1" t="n">
        <v>1739</v>
      </c>
      <c r="F7972" s="1" t="s">
        <v>1919</v>
      </c>
      <c r="I7972" s="1" t="n">
        <v>255147</v>
      </c>
      <c r="J7972" s="1" t="n">
        <v>48201</v>
      </c>
      <c r="K7972" s="1" t="n">
        <v>7898556850551</v>
      </c>
      <c r="L7972" s="1" t="s">
        <v>4844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5" t="n">
        <v>46252</v>
      </c>
      <c r="C7973" s="1" t="n">
        <v>11</v>
      </c>
      <c r="D7973" s="1" t="s">
        <v>2290</v>
      </c>
      <c r="E7973" s="1" t="n">
        <v>1739</v>
      </c>
      <c r="F7973" s="1" t="s">
        <v>1919</v>
      </c>
      <c r="I7973" s="1" t="n">
        <v>255147</v>
      </c>
      <c r="J7973" s="1" t="n">
        <v>50003</v>
      </c>
      <c r="K7973" s="1" t="n">
        <v>7898556850636</v>
      </c>
      <c r="L7973" s="1" t="s">
        <v>4845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5" t="n">
        <v>46252</v>
      </c>
      <c r="C7974" s="1" t="n">
        <v>11</v>
      </c>
      <c r="D7974" s="1" t="s">
        <v>2290</v>
      </c>
      <c r="E7974" s="1" t="n">
        <v>1739</v>
      </c>
      <c r="F7974" s="1" t="s">
        <v>1919</v>
      </c>
      <c r="I7974" s="1" t="n">
        <v>255147</v>
      </c>
      <c r="J7974" s="1" t="n">
        <v>50008</v>
      </c>
      <c r="K7974" s="1" t="n">
        <v>7898556850650</v>
      </c>
      <c r="L7974" s="1" t="s">
        <v>4846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5" t="n">
        <v>46252</v>
      </c>
      <c r="C7975" s="1" t="n">
        <v>11</v>
      </c>
      <c r="D7975" s="1" t="s">
        <v>2290</v>
      </c>
      <c r="E7975" s="1" t="n">
        <v>1739</v>
      </c>
      <c r="F7975" s="1" t="s">
        <v>1919</v>
      </c>
      <c r="I7975" s="1" t="n">
        <v>255147</v>
      </c>
      <c r="J7975" s="1" t="n">
        <v>51587</v>
      </c>
      <c r="K7975" s="1" t="n">
        <v>7896085873089</v>
      </c>
      <c r="L7975" s="1" t="s">
        <v>4847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5" t="n">
        <v>46252</v>
      </c>
      <c r="C7976" s="1" t="n">
        <v>11</v>
      </c>
      <c r="D7976" s="1" t="s">
        <v>2290</v>
      </c>
      <c r="E7976" s="1" t="n">
        <v>1739</v>
      </c>
      <c r="F7976" s="1" t="s">
        <v>1919</v>
      </c>
      <c r="I7976" s="1" t="n">
        <v>255147</v>
      </c>
      <c r="J7976" s="1" t="n">
        <v>52822</v>
      </c>
      <c r="K7976" s="1" t="n">
        <v>7898903991951</v>
      </c>
      <c r="L7976" s="1" t="s">
        <v>4848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5" t="n">
        <v>46252</v>
      </c>
      <c r="C7977" s="1" t="n">
        <v>11</v>
      </c>
      <c r="D7977" s="1" t="s">
        <v>2290</v>
      </c>
      <c r="E7977" s="1" t="n">
        <v>1739</v>
      </c>
      <c r="F7977" s="1" t="s">
        <v>1919</v>
      </c>
      <c r="I7977" s="1" t="n">
        <v>255147</v>
      </c>
      <c r="J7977" s="1" t="n">
        <v>69567</v>
      </c>
      <c r="K7977" s="1" t="n">
        <v>7897042019304</v>
      </c>
      <c r="L7977" s="1" t="s">
        <v>4849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5" t="n">
        <v>46252</v>
      </c>
      <c r="C7978" s="1" t="n">
        <v>11</v>
      </c>
      <c r="D7978" s="1" t="s">
        <v>2290</v>
      </c>
      <c r="E7978" s="1" t="n">
        <v>1739</v>
      </c>
      <c r="F7978" s="1" t="s">
        <v>1919</v>
      </c>
      <c r="I7978" s="1" t="n">
        <v>255147</v>
      </c>
      <c r="J7978" s="1" t="n">
        <v>69568</v>
      </c>
      <c r="K7978" s="1" t="n">
        <v>7897042019328</v>
      </c>
      <c r="L7978" s="1" t="s">
        <v>4850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5" t="n">
        <v>46252</v>
      </c>
      <c r="C7979" s="1" t="n">
        <v>11</v>
      </c>
      <c r="D7979" s="1" t="s">
        <v>2290</v>
      </c>
      <c r="E7979" s="1" t="n">
        <v>1739</v>
      </c>
      <c r="F7979" s="1" t="s">
        <v>1919</v>
      </c>
      <c r="I7979" s="1" t="n">
        <v>255147</v>
      </c>
      <c r="J7979" s="1" t="n">
        <v>71282</v>
      </c>
      <c r="K7979" s="1" t="n">
        <v>7897042019311</v>
      </c>
      <c r="L7979" s="1" t="s">
        <v>4851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5" t="n">
        <v>46252</v>
      </c>
      <c r="C7980" s="1" t="n">
        <v>11</v>
      </c>
      <c r="D7980" s="1" t="s">
        <v>2290</v>
      </c>
      <c r="E7980" s="1" t="n">
        <v>1739</v>
      </c>
      <c r="F7980" s="1" t="s">
        <v>1919</v>
      </c>
      <c r="I7980" s="1" t="n">
        <v>255147</v>
      </c>
      <c r="J7980" s="1" t="n">
        <v>75274</v>
      </c>
      <c r="K7980" s="1" t="n">
        <v>7896085874307</v>
      </c>
      <c r="L7980" s="1" t="s">
        <v>4852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5" t="n">
        <v>46252</v>
      </c>
      <c r="C7981" s="1" t="n">
        <v>11</v>
      </c>
      <c r="D7981" s="1" t="s">
        <v>2290</v>
      </c>
      <c r="E7981" s="1" t="n">
        <v>1739</v>
      </c>
      <c r="F7981" s="1" t="s">
        <v>1919</v>
      </c>
      <c r="I7981" s="1" t="n">
        <v>255147</v>
      </c>
      <c r="J7981" s="1" t="n">
        <v>77457</v>
      </c>
      <c r="K7981" s="1" t="n">
        <v>7896085875892</v>
      </c>
      <c r="L7981" s="1" t="s">
        <v>4853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5" t="n">
        <v>46252</v>
      </c>
      <c r="C7982" s="1" t="n">
        <v>11</v>
      </c>
      <c r="D7982" s="1" t="s">
        <v>2290</v>
      </c>
      <c r="E7982" s="1" t="n">
        <v>1739</v>
      </c>
      <c r="F7982" s="1" t="s">
        <v>1919</v>
      </c>
      <c r="I7982" s="1" t="n">
        <v>255147</v>
      </c>
      <c r="J7982" s="1" t="n">
        <v>110908</v>
      </c>
      <c r="K7982" s="1" t="n">
        <v>7896085875861</v>
      </c>
      <c r="L7982" s="1" t="s">
        <v>4853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5" t="n">
        <v>46252</v>
      </c>
      <c r="C7983" s="1" t="n">
        <v>11</v>
      </c>
      <c r="D7983" s="1" t="s">
        <v>2290</v>
      </c>
      <c r="E7983" s="1" t="n">
        <v>1739</v>
      </c>
      <c r="F7983" s="1" t="s">
        <v>1919</v>
      </c>
      <c r="I7983" s="1" t="n">
        <v>255147</v>
      </c>
      <c r="J7983" s="1" t="n">
        <v>79375</v>
      </c>
      <c r="K7983" s="1" t="n">
        <v>7897042020355</v>
      </c>
      <c r="L7983" s="1" t="s">
        <v>4854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5" t="n">
        <v>46252</v>
      </c>
      <c r="C7984" s="1" t="n">
        <v>11</v>
      </c>
      <c r="D7984" s="1" t="s">
        <v>2290</v>
      </c>
      <c r="E7984" s="1" t="n">
        <v>1739</v>
      </c>
      <c r="F7984" s="1" t="s">
        <v>1919</v>
      </c>
      <c r="I7984" s="1" t="n">
        <v>255147</v>
      </c>
      <c r="J7984" s="1" t="n">
        <v>79376</v>
      </c>
      <c r="K7984" s="1" t="n">
        <v>7897042020171</v>
      </c>
      <c r="L7984" s="1" t="s">
        <v>4855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5" t="n">
        <v>46252</v>
      </c>
      <c r="C7985" s="1" t="n">
        <v>11</v>
      </c>
      <c r="D7985" s="1" t="s">
        <v>2290</v>
      </c>
      <c r="E7985" s="1" t="n">
        <v>1739</v>
      </c>
      <c r="F7985" s="1" t="s">
        <v>1919</v>
      </c>
      <c r="I7985" s="1" t="n">
        <v>255147</v>
      </c>
      <c r="J7985" s="1" t="n">
        <v>79378</v>
      </c>
      <c r="K7985" s="1" t="n">
        <v>7897042020324</v>
      </c>
      <c r="L7985" s="1" t="s">
        <v>4856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5" t="n">
        <v>46252</v>
      </c>
      <c r="C7986" s="1" t="n">
        <v>11</v>
      </c>
      <c r="D7986" s="1" t="s">
        <v>2290</v>
      </c>
      <c r="E7986" s="1" t="n">
        <v>1739</v>
      </c>
      <c r="F7986" s="1" t="s">
        <v>1919</v>
      </c>
      <c r="I7986" s="1" t="n">
        <v>255147</v>
      </c>
      <c r="J7986" s="1" t="n">
        <v>80798</v>
      </c>
      <c r="K7986" s="1" t="n">
        <v>7897042020690</v>
      </c>
      <c r="L7986" s="1" t="s">
        <v>4857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5" t="n">
        <v>46252</v>
      </c>
      <c r="C7987" s="1" t="n">
        <v>11</v>
      </c>
      <c r="D7987" s="1" t="s">
        <v>2290</v>
      </c>
      <c r="E7987" s="1" t="n">
        <v>1739</v>
      </c>
      <c r="F7987" s="1" t="s">
        <v>1919</v>
      </c>
      <c r="I7987" s="1" t="n">
        <v>255147</v>
      </c>
      <c r="J7987" s="1" t="n">
        <v>80799</v>
      </c>
      <c r="K7987" s="1" t="n">
        <v>7897042020683</v>
      </c>
      <c r="L7987" s="1" t="s">
        <v>4858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5" t="n">
        <v>46252</v>
      </c>
      <c r="C7988" s="1" t="n">
        <v>11</v>
      </c>
      <c r="D7988" s="1" t="s">
        <v>2290</v>
      </c>
      <c r="E7988" s="1" t="n">
        <v>1739</v>
      </c>
      <c r="F7988" s="1" t="s">
        <v>1919</v>
      </c>
      <c r="I7988" s="1" t="n">
        <v>255147</v>
      </c>
      <c r="J7988" s="1" t="n">
        <v>82102</v>
      </c>
      <c r="K7988" s="1" t="n">
        <v>7896049501621</v>
      </c>
      <c r="L7988" s="1" t="s">
        <v>4859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5" t="n">
        <v>46252</v>
      </c>
      <c r="C7989" s="1" t="n">
        <v>11</v>
      </c>
      <c r="D7989" s="1" t="s">
        <v>2290</v>
      </c>
      <c r="E7989" s="1" t="n">
        <v>1739</v>
      </c>
      <c r="F7989" s="1" t="s">
        <v>1919</v>
      </c>
      <c r="I7989" s="1" t="n">
        <v>255147</v>
      </c>
      <c r="J7989" s="1" t="n">
        <v>82103</v>
      </c>
      <c r="K7989" s="1" t="n">
        <v>7896049501638</v>
      </c>
      <c r="L7989" s="1" t="s">
        <v>4860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5" t="n">
        <v>46252</v>
      </c>
      <c r="C7990" s="1" t="n">
        <v>11</v>
      </c>
      <c r="D7990" s="1" t="s">
        <v>2290</v>
      </c>
      <c r="E7990" s="1" t="n">
        <v>1739</v>
      </c>
      <c r="F7990" s="1" t="s">
        <v>1919</v>
      </c>
      <c r="I7990" s="1" t="n">
        <v>255147</v>
      </c>
      <c r="J7990" s="1" t="n">
        <v>82104</v>
      </c>
      <c r="K7990" s="1" t="n">
        <v>7896049501645</v>
      </c>
      <c r="L7990" s="1" t="s">
        <v>4861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5" t="n">
        <v>46252</v>
      </c>
      <c r="C7991" s="1" t="n">
        <v>11</v>
      </c>
      <c r="D7991" s="1" t="s">
        <v>2290</v>
      </c>
      <c r="E7991" s="1" t="n">
        <v>1739</v>
      </c>
      <c r="F7991" s="1" t="s">
        <v>1919</v>
      </c>
      <c r="I7991" s="1" t="n">
        <v>255147</v>
      </c>
      <c r="J7991" s="1" t="n">
        <v>82105</v>
      </c>
      <c r="K7991" s="1" t="n">
        <v>7898556851091</v>
      </c>
      <c r="L7991" s="1" t="s">
        <v>4862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5" t="n">
        <v>46252</v>
      </c>
      <c r="C7992" s="1" t="n">
        <v>11</v>
      </c>
      <c r="D7992" s="1" t="s">
        <v>2290</v>
      </c>
      <c r="E7992" s="1" t="n">
        <v>1739</v>
      </c>
      <c r="F7992" s="1" t="s">
        <v>1919</v>
      </c>
      <c r="I7992" s="1" t="n">
        <v>255147</v>
      </c>
      <c r="J7992" s="1" t="n">
        <v>82106</v>
      </c>
      <c r="K7992" s="1" t="n">
        <v>7898670904390</v>
      </c>
      <c r="L7992" s="1" t="s">
        <v>4863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5" t="n">
        <v>46252</v>
      </c>
      <c r="C7993" s="1" t="n">
        <v>11</v>
      </c>
      <c r="D7993" s="1" t="s">
        <v>2290</v>
      </c>
      <c r="E7993" s="1" t="n">
        <v>1739</v>
      </c>
      <c r="F7993" s="1" t="s">
        <v>1919</v>
      </c>
      <c r="I7993" s="1" t="n">
        <v>255147</v>
      </c>
      <c r="J7993" s="1" t="n">
        <v>82107</v>
      </c>
      <c r="K7993" s="1" t="n">
        <v>7898670904413</v>
      </c>
      <c r="L7993" s="1" t="s">
        <v>4864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5" t="n">
        <v>46252</v>
      </c>
      <c r="C7994" s="1" t="n">
        <v>11</v>
      </c>
      <c r="D7994" s="1" t="s">
        <v>2290</v>
      </c>
      <c r="E7994" s="1" t="n">
        <v>1739</v>
      </c>
      <c r="F7994" s="1" t="s">
        <v>1919</v>
      </c>
      <c r="I7994" s="1" t="n">
        <v>255147</v>
      </c>
      <c r="J7994" s="1" t="n">
        <v>82108</v>
      </c>
      <c r="K7994" s="1" t="n">
        <v>7897042020195</v>
      </c>
      <c r="L7994" s="1" t="s">
        <v>4865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5" t="n">
        <v>46252</v>
      </c>
      <c r="C7995" s="1" t="n">
        <v>11</v>
      </c>
      <c r="D7995" s="1" t="s">
        <v>2290</v>
      </c>
      <c r="E7995" s="1" t="n">
        <v>1739</v>
      </c>
      <c r="F7995" s="1" t="s">
        <v>1919</v>
      </c>
      <c r="I7995" s="1" t="n">
        <v>255147</v>
      </c>
      <c r="J7995" s="1" t="n">
        <v>82109</v>
      </c>
      <c r="K7995" s="1" t="n">
        <v>7897042020201</v>
      </c>
      <c r="L7995" s="1" t="s">
        <v>4866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5" t="n">
        <v>46252</v>
      </c>
      <c r="C7996" s="1" t="n">
        <v>11</v>
      </c>
      <c r="D7996" s="1" t="s">
        <v>2290</v>
      </c>
      <c r="E7996" s="1" t="n">
        <v>1739</v>
      </c>
      <c r="F7996" s="1" t="s">
        <v>1919</v>
      </c>
      <c r="I7996" s="1" t="n">
        <v>255147</v>
      </c>
      <c r="J7996" s="1" t="n">
        <v>82110</v>
      </c>
      <c r="K7996" s="1" t="n">
        <v>7897042020249</v>
      </c>
      <c r="L7996" s="1" t="s">
        <v>4867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5" t="n">
        <v>46252</v>
      </c>
      <c r="C7997" s="1" t="n">
        <v>11</v>
      </c>
      <c r="D7997" s="1" t="s">
        <v>2290</v>
      </c>
      <c r="E7997" s="1" t="n">
        <v>1739</v>
      </c>
      <c r="F7997" s="1" t="s">
        <v>1919</v>
      </c>
      <c r="I7997" s="1" t="n">
        <v>255147</v>
      </c>
      <c r="J7997" s="1" t="n">
        <v>82111</v>
      </c>
      <c r="K7997" s="1" t="n">
        <v>7898136151290</v>
      </c>
      <c r="L7997" s="1" t="s">
        <v>4868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5" t="n">
        <v>46252</v>
      </c>
      <c r="C7998" s="1" t="n">
        <v>11</v>
      </c>
      <c r="D7998" s="1" t="s">
        <v>2290</v>
      </c>
      <c r="E7998" s="1" t="n">
        <v>1739</v>
      </c>
      <c r="F7998" s="1" t="s">
        <v>1919</v>
      </c>
      <c r="I7998" s="1" t="n">
        <v>255147</v>
      </c>
      <c r="J7998" s="1" t="n">
        <v>82112</v>
      </c>
      <c r="K7998" s="1" t="n">
        <v>7896049501607</v>
      </c>
      <c r="L7998" s="1" t="s">
        <v>4869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5" t="n">
        <v>46252</v>
      </c>
      <c r="C7999" s="1" t="n">
        <v>11</v>
      </c>
      <c r="D7999" s="1" t="s">
        <v>2290</v>
      </c>
      <c r="E7999" s="1" t="n">
        <v>1107</v>
      </c>
      <c r="F7999" s="1" t="s">
        <v>165</v>
      </c>
      <c r="I7999" s="1" t="n">
        <v>443784</v>
      </c>
      <c r="J7999" s="1" t="n">
        <v>14911</v>
      </c>
      <c r="K7999" s="1" t="n">
        <v>7896029022252</v>
      </c>
      <c r="L7999" s="1" t="s">
        <v>4009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5" t="n">
        <v>46252</v>
      </c>
      <c r="C8000" s="1" t="n">
        <v>11</v>
      </c>
      <c r="D8000" s="1" t="s">
        <v>2290</v>
      </c>
      <c r="E8000" s="1" t="n">
        <v>1107</v>
      </c>
      <c r="F8000" s="1" t="s">
        <v>165</v>
      </c>
      <c r="I8000" s="1" t="n">
        <v>443784</v>
      </c>
      <c r="J8000" s="1" t="n">
        <v>15432</v>
      </c>
      <c r="K8000" s="1" t="n">
        <v>7896029022276</v>
      </c>
      <c r="L8000" s="1" t="s">
        <v>4010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5" t="n">
        <v>46252</v>
      </c>
      <c r="C8001" s="1" t="n">
        <v>11</v>
      </c>
      <c r="D8001" s="1" t="s">
        <v>2290</v>
      </c>
      <c r="E8001" s="1" t="n">
        <v>1107</v>
      </c>
      <c r="F8001" s="1" t="s">
        <v>165</v>
      </c>
      <c r="I8001" s="1" t="n">
        <v>443784</v>
      </c>
      <c r="J8001" s="1" t="n">
        <v>22563</v>
      </c>
      <c r="K8001" s="1" t="n">
        <v>7896029015001</v>
      </c>
      <c r="L8001" s="1" t="s">
        <v>4012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5" t="n">
        <v>46252</v>
      </c>
      <c r="C8002" s="1" t="n">
        <v>11</v>
      </c>
      <c r="D8002" s="1" t="s">
        <v>2290</v>
      </c>
      <c r="E8002" s="1" t="n">
        <v>1107</v>
      </c>
      <c r="F8002" s="1" t="s">
        <v>165</v>
      </c>
      <c r="I8002" s="1" t="n">
        <v>443784</v>
      </c>
      <c r="J8002" s="1" t="n">
        <v>23310</v>
      </c>
      <c r="K8002" s="1" t="n">
        <v>7896029018958</v>
      </c>
      <c r="L8002" s="1" t="s">
        <v>4013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5" t="n">
        <v>46252</v>
      </c>
      <c r="C8003" s="1" t="n">
        <v>11</v>
      </c>
      <c r="D8003" s="1" t="s">
        <v>2290</v>
      </c>
      <c r="E8003" s="1" t="n">
        <v>1107</v>
      </c>
      <c r="F8003" s="1" t="s">
        <v>165</v>
      </c>
      <c r="I8003" s="1" t="n">
        <v>443784</v>
      </c>
      <c r="J8003" s="1" t="n">
        <v>23404</v>
      </c>
      <c r="K8003" s="1" t="n">
        <v>7896029014981</v>
      </c>
      <c r="L8003" s="1" t="s">
        <v>4870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5" t="n">
        <v>46252</v>
      </c>
      <c r="C8004" s="1" t="n">
        <v>11</v>
      </c>
      <c r="D8004" s="1" t="s">
        <v>2290</v>
      </c>
      <c r="E8004" s="1" t="n">
        <v>1107</v>
      </c>
      <c r="F8004" s="1" t="s">
        <v>165</v>
      </c>
      <c r="I8004" s="1" t="n">
        <v>443784</v>
      </c>
      <c r="J8004" s="1" t="n">
        <v>23405</v>
      </c>
      <c r="K8004" s="1" t="n">
        <v>7896029019009</v>
      </c>
      <c r="L8004" s="1" t="s">
        <v>4871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5" t="n">
        <v>46252</v>
      </c>
      <c r="C8005" s="1" t="n">
        <v>11</v>
      </c>
      <c r="D8005" s="1" t="s">
        <v>2290</v>
      </c>
      <c r="E8005" s="1" t="n">
        <v>1107</v>
      </c>
      <c r="F8005" s="1" t="s">
        <v>165</v>
      </c>
      <c r="I8005" s="1" t="n">
        <v>443784</v>
      </c>
      <c r="J8005" s="1" t="n">
        <v>57700</v>
      </c>
      <c r="K8005" s="1" t="n">
        <v>7896029056387</v>
      </c>
      <c r="L8005" s="1" t="s">
        <v>4872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5" t="n">
        <v>46252</v>
      </c>
      <c r="C8006" s="1" t="n">
        <v>11</v>
      </c>
      <c r="D8006" s="1" t="s">
        <v>2290</v>
      </c>
      <c r="E8006" s="1" t="n">
        <v>1107</v>
      </c>
      <c r="F8006" s="1" t="s">
        <v>165</v>
      </c>
      <c r="I8006" s="1" t="n">
        <v>443784</v>
      </c>
      <c r="J8006" s="1" t="n">
        <v>57701</v>
      </c>
      <c r="K8006" s="1" t="n">
        <v>7896029056394</v>
      </c>
      <c r="L8006" s="1" t="s">
        <v>4873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5" t="n">
        <v>46252</v>
      </c>
      <c r="C8007" s="1" t="n">
        <v>11</v>
      </c>
      <c r="D8007" s="1" t="s">
        <v>2290</v>
      </c>
      <c r="E8007" s="1" t="n">
        <v>1107</v>
      </c>
      <c r="F8007" s="1" t="s">
        <v>165</v>
      </c>
      <c r="I8007" s="1" t="n">
        <v>443784</v>
      </c>
      <c r="J8007" s="1" t="n">
        <v>57702</v>
      </c>
      <c r="K8007" s="1" t="n">
        <v>7896029056400</v>
      </c>
      <c r="L8007" s="1" t="s">
        <v>4874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5" t="n">
        <v>46252</v>
      </c>
      <c r="C8008" s="1" t="n">
        <v>11</v>
      </c>
      <c r="D8008" s="1" t="s">
        <v>2290</v>
      </c>
      <c r="E8008" s="1" t="n">
        <v>1668</v>
      </c>
      <c r="F8008" s="1" t="s">
        <v>159</v>
      </c>
      <c r="I8008" s="1" t="n">
        <v>745592</v>
      </c>
      <c r="J8008" s="1" t="n">
        <v>20298</v>
      </c>
      <c r="K8008" s="1" t="n">
        <v>7898202616036</v>
      </c>
      <c r="L8008" s="1" t="s">
        <v>4875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5" t="n">
        <v>46252</v>
      </c>
      <c r="C8009" s="1" t="n">
        <v>11</v>
      </c>
      <c r="D8009" s="1" t="s">
        <v>2290</v>
      </c>
      <c r="E8009" s="1" t="n">
        <v>1668</v>
      </c>
      <c r="F8009" s="1" t="s">
        <v>159</v>
      </c>
      <c r="I8009" s="1" t="n">
        <v>745592</v>
      </c>
      <c r="J8009" s="1" t="n">
        <v>101282</v>
      </c>
      <c r="K8009" s="1" t="n">
        <v>7898202616029</v>
      </c>
      <c r="L8009" s="1" t="s">
        <v>4876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5" t="n">
        <v>46252</v>
      </c>
      <c r="C8010" s="1" t="n">
        <v>11</v>
      </c>
      <c r="D8010" s="1" t="s">
        <v>2290</v>
      </c>
      <c r="E8010" s="1" t="n">
        <v>1668</v>
      </c>
      <c r="F8010" s="1" t="s">
        <v>159</v>
      </c>
      <c r="I8010" s="1" t="n">
        <v>745592</v>
      </c>
      <c r="J8010" s="1" t="n">
        <v>103381</v>
      </c>
      <c r="K8010" s="1" t="n">
        <v>7896006412656</v>
      </c>
      <c r="L8010" s="1" t="s">
        <v>2424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5" t="n">
        <v>46252</v>
      </c>
      <c r="C8011" s="1" t="n">
        <v>11</v>
      </c>
      <c r="D8011" s="1" t="s">
        <v>2290</v>
      </c>
      <c r="E8011" s="1" t="n">
        <v>1668</v>
      </c>
      <c r="F8011" s="1" t="s">
        <v>159</v>
      </c>
      <c r="I8011" s="1" t="n">
        <v>745592</v>
      </c>
      <c r="J8011" s="1" t="n">
        <v>103382</v>
      </c>
      <c r="K8011" s="1" t="n">
        <v>7896006400035</v>
      </c>
      <c r="L8011" s="1" t="s">
        <v>2425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5" t="n">
        <v>46252</v>
      </c>
      <c r="C8012" s="1" t="n">
        <v>11</v>
      </c>
      <c r="D8012" s="1" t="s">
        <v>2290</v>
      </c>
      <c r="E8012" s="1" t="n">
        <v>1668</v>
      </c>
      <c r="F8012" s="1" t="s">
        <v>159</v>
      </c>
      <c r="I8012" s="1" t="n">
        <v>745592</v>
      </c>
      <c r="J8012" s="1" t="n">
        <v>103386</v>
      </c>
      <c r="K8012" s="1" t="n">
        <v>7896006413851</v>
      </c>
      <c r="L8012" s="1" t="s">
        <v>2426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5" t="n">
        <v>46252</v>
      </c>
      <c r="C8013" s="1" t="n">
        <v>11</v>
      </c>
      <c r="D8013" s="1" t="s">
        <v>2290</v>
      </c>
      <c r="E8013" s="1" t="n">
        <v>1668</v>
      </c>
      <c r="F8013" s="1" t="s">
        <v>159</v>
      </c>
      <c r="I8013" s="1" t="n">
        <v>745592</v>
      </c>
      <c r="J8013" s="1" t="n">
        <v>103661</v>
      </c>
      <c r="K8013" s="1" t="n">
        <v>7891334150010</v>
      </c>
      <c r="L8013" s="1" t="s">
        <v>4877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5" t="n">
        <v>46252</v>
      </c>
      <c r="C8014" s="1" t="n">
        <v>11</v>
      </c>
      <c r="D8014" s="1" t="s">
        <v>2290</v>
      </c>
      <c r="E8014" s="1" t="n">
        <v>1668</v>
      </c>
      <c r="F8014" s="1" t="s">
        <v>159</v>
      </c>
      <c r="I8014" s="1" t="n">
        <v>745592</v>
      </c>
      <c r="J8014" s="1" t="n">
        <v>103817</v>
      </c>
      <c r="K8014" s="1" t="n">
        <v>7896030801822</v>
      </c>
      <c r="L8014" s="1" t="s">
        <v>2727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5" t="n">
        <v>46252</v>
      </c>
      <c r="C8015" s="1" t="n">
        <v>11</v>
      </c>
      <c r="D8015" s="1" t="s">
        <v>2290</v>
      </c>
      <c r="E8015" s="1" t="n">
        <v>1668</v>
      </c>
      <c r="F8015" s="1" t="s">
        <v>159</v>
      </c>
      <c r="I8015" s="1" t="n">
        <v>745592</v>
      </c>
      <c r="J8015" s="1" t="n">
        <v>11843</v>
      </c>
      <c r="K8015" s="1" t="n">
        <v>7898930672434</v>
      </c>
      <c r="L8015" s="1" t="s">
        <v>4878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5" t="n">
        <v>46252</v>
      </c>
      <c r="C8016" s="1" t="n">
        <v>11</v>
      </c>
      <c r="D8016" s="1" t="s">
        <v>2290</v>
      </c>
      <c r="E8016" s="1" t="n">
        <v>1668</v>
      </c>
      <c r="F8016" s="1" t="s">
        <v>159</v>
      </c>
      <c r="I8016" s="1" t="n">
        <v>745592</v>
      </c>
      <c r="J8016" s="1" t="n">
        <v>17755</v>
      </c>
      <c r="K8016" s="1" t="n">
        <v>7898934651053</v>
      </c>
      <c r="L8016" s="1" t="s">
        <v>4879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5" t="n">
        <v>46252</v>
      </c>
      <c r="C8017" s="1" t="n">
        <v>11</v>
      </c>
      <c r="D8017" s="1" t="s">
        <v>2290</v>
      </c>
      <c r="E8017" s="1" t="n">
        <v>1668</v>
      </c>
      <c r="F8017" s="1" t="s">
        <v>159</v>
      </c>
      <c r="I8017" s="1" t="n">
        <v>745592</v>
      </c>
      <c r="J8017" s="1" t="n">
        <v>23090</v>
      </c>
      <c r="K8017" s="1" t="n">
        <v>7898934651176</v>
      </c>
      <c r="L8017" s="1" t="s">
        <v>4880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5" t="n">
        <v>46252</v>
      </c>
      <c r="C8018" s="1" t="n">
        <v>11</v>
      </c>
      <c r="D8018" s="1" t="s">
        <v>2290</v>
      </c>
      <c r="E8018" s="1" t="n">
        <v>1668</v>
      </c>
      <c r="F8018" s="1" t="s">
        <v>159</v>
      </c>
      <c r="I8018" s="1" t="n">
        <v>745592</v>
      </c>
      <c r="J8018" s="1" t="n">
        <v>23792</v>
      </c>
      <c r="K8018" s="1" t="n">
        <v>7898934651183</v>
      </c>
      <c r="L8018" s="1" t="s">
        <v>4881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5" t="n">
        <v>46252</v>
      </c>
      <c r="C8019" s="1" t="n">
        <v>11</v>
      </c>
      <c r="D8019" s="1" t="s">
        <v>2290</v>
      </c>
      <c r="E8019" s="1" t="n">
        <v>1668</v>
      </c>
      <c r="F8019" s="1" t="s">
        <v>159</v>
      </c>
      <c r="I8019" s="1" t="n">
        <v>745592</v>
      </c>
      <c r="J8019" s="1" t="n">
        <v>35192</v>
      </c>
      <c r="K8019" s="1" t="n">
        <v>7898939720136</v>
      </c>
      <c r="L8019" s="1" t="s">
        <v>4882</v>
      </c>
      <c r="N8019" s="1" t="n">
        <v>100</v>
      </c>
      <c r="O8019" s="1" t="n">
        <v>182.42</v>
      </c>
    </row>
    <row r="8020" customFormat="false" ht="15" hidden="false" customHeight="true" outlineLevel="0" collapsed="false">
      <c r="A8020" s="1" t="n">
        <v>3</v>
      </c>
      <c r="B8020" s="15" t="n">
        <v>46252</v>
      </c>
      <c r="C8020" s="1" t="n">
        <v>11</v>
      </c>
      <c r="D8020" s="1" t="s">
        <v>2290</v>
      </c>
      <c r="E8020" s="1" t="n">
        <v>1668</v>
      </c>
      <c r="F8020" s="1" t="s">
        <v>159</v>
      </c>
      <c r="I8020" s="1" t="n">
        <v>745592</v>
      </c>
      <c r="J8020" s="1" t="n">
        <v>29057</v>
      </c>
      <c r="K8020" s="1" t="n">
        <v>7908099900955</v>
      </c>
      <c r="L8020" s="1" t="s">
        <v>4883</v>
      </c>
      <c r="N8020" s="1" t="n">
        <v>100</v>
      </c>
      <c r="O8020" s="1" t="n">
        <v>346.4</v>
      </c>
    </row>
    <row r="8021" customFormat="false" ht="15" hidden="false" customHeight="true" outlineLevel="0" collapsed="false">
      <c r="A8021" s="1" t="n">
        <v>3</v>
      </c>
      <c r="B8021" s="15" t="n">
        <v>46252</v>
      </c>
      <c r="C8021" s="1" t="n">
        <v>11</v>
      </c>
      <c r="D8021" s="1" t="s">
        <v>2290</v>
      </c>
      <c r="E8021" s="1" t="n">
        <v>1668</v>
      </c>
      <c r="F8021" s="1" t="s">
        <v>159</v>
      </c>
      <c r="I8021" s="1" t="n">
        <v>745592</v>
      </c>
      <c r="J8021" s="1" t="n">
        <v>31243</v>
      </c>
      <c r="K8021" s="1" t="n">
        <v>7898963539032</v>
      </c>
      <c r="L8021" s="1" t="s">
        <v>4884</v>
      </c>
      <c r="N8021" s="1" t="n">
        <v>50</v>
      </c>
      <c r="O8021" s="1" t="n">
        <v>131.97</v>
      </c>
    </row>
    <row r="8022" customFormat="false" ht="15" hidden="false" customHeight="true" outlineLevel="0" collapsed="false">
      <c r="A8022" s="1" t="n">
        <v>3</v>
      </c>
      <c r="B8022" s="15" t="n">
        <v>46252</v>
      </c>
      <c r="C8022" s="1" t="n">
        <v>11</v>
      </c>
      <c r="D8022" s="1" t="s">
        <v>2290</v>
      </c>
      <c r="E8022" s="1" t="n">
        <v>1668</v>
      </c>
      <c r="F8022" s="1" t="s">
        <v>159</v>
      </c>
      <c r="I8022" s="1" t="n">
        <v>745592</v>
      </c>
      <c r="J8022" s="1" t="n">
        <v>34565</v>
      </c>
      <c r="K8022" s="1" t="n">
        <v>7898597031469</v>
      </c>
      <c r="L8022" s="1" t="s">
        <v>4885</v>
      </c>
      <c r="N8022" s="1" t="n">
        <v>25</v>
      </c>
      <c r="O8022" s="1" t="n">
        <v>165.35</v>
      </c>
    </row>
    <row r="8023" customFormat="false" ht="15" hidden="false" customHeight="true" outlineLevel="0" collapsed="false">
      <c r="A8023" s="1" t="n">
        <v>3</v>
      </c>
      <c r="B8023" s="15" t="n">
        <v>46252</v>
      </c>
      <c r="C8023" s="1" t="n">
        <v>11</v>
      </c>
      <c r="D8023" s="1" t="s">
        <v>2290</v>
      </c>
      <c r="E8023" s="1" t="n">
        <v>1668</v>
      </c>
      <c r="F8023" s="1" t="s">
        <v>159</v>
      </c>
      <c r="I8023" s="1" t="n">
        <v>745592</v>
      </c>
      <c r="J8023" s="1" t="n">
        <v>35191</v>
      </c>
      <c r="K8023" s="1" t="n">
        <v>7898939720112</v>
      </c>
      <c r="L8023" s="1" t="s">
        <v>4886</v>
      </c>
      <c r="N8023" s="1" t="n">
        <v>50</v>
      </c>
      <c r="O8023" s="1" t="n">
        <v>188.03</v>
      </c>
    </row>
    <row r="8024" customFormat="false" ht="15" hidden="false" customHeight="true" outlineLevel="0" collapsed="false">
      <c r="A8024" s="1" t="n">
        <v>3</v>
      </c>
      <c r="B8024" s="15" t="n">
        <v>46252</v>
      </c>
      <c r="C8024" s="1" t="n">
        <v>11</v>
      </c>
      <c r="D8024" s="1" t="s">
        <v>2290</v>
      </c>
      <c r="E8024" s="1" t="n">
        <v>1668</v>
      </c>
      <c r="F8024" s="1" t="s">
        <v>159</v>
      </c>
      <c r="I8024" s="1" t="n">
        <v>745592</v>
      </c>
      <c r="J8024" s="1" t="n">
        <v>36562</v>
      </c>
      <c r="K8024" s="1" t="n">
        <v>7896006420347</v>
      </c>
      <c r="L8024" s="1" t="s">
        <v>4887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5" t="n">
        <v>46252</v>
      </c>
      <c r="C8025" s="1" t="n">
        <v>11</v>
      </c>
      <c r="D8025" s="1" t="s">
        <v>2290</v>
      </c>
      <c r="E8025" s="1" t="n">
        <v>1668</v>
      </c>
      <c r="F8025" s="1" t="s">
        <v>159</v>
      </c>
      <c r="I8025" s="1" t="n">
        <v>745592</v>
      </c>
      <c r="J8025" s="1" t="n">
        <v>41062</v>
      </c>
      <c r="K8025" s="1" t="n">
        <v>7898934651756</v>
      </c>
      <c r="L8025" s="1" t="s">
        <v>4888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5" t="n">
        <v>46252</v>
      </c>
      <c r="C8026" s="1" t="n">
        <v>11</v>
      </c>
      <c r="D8026" s="1" t="s">
        <v>2290</v>
      </c>
      <c r="E8026" s="1" t="n">
        <v>1668</v>
      </c>
      <c r="F8026" s="1" t="s">
        <v>159</v>
      </c>
      <c r="I8026" s="1" t="n">
        <v>745592</v>
      </c>
      <c r="J8026" s="1" t="n">
        <v>44625</v>
      </c>
      <c r="K8026" s="1" t="n">
        <v>7897511736893</v>
      </c>
      <c r="L8026" s="1" t="s">
        <v>4889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5" t="n">
        <v>46252</v>
      </c>
      <c r="C8027" s="1" t="n">
        <v>11</v>
      </c>
      <c r="D8027" s="1" t="s">
        <v>2290</v>
      </c>
      <c r="E8027" s="1" t="n">
        <v>1668</v>
      </c>
      <c r="F8027" s="1" t="s">
        <v>159</v>
      </c>
      <c r="I8027" s="1" t="n">
        <v>745592</v>
      </c>
      <c r="J8027" s="1" t="n">
        <v>45181</v>
      </c>
      <c r="K8027" s="1" t="n">
        <v>7897511731102</v>
      </c>
      <c r="L8027" s="1" t="s">
        <v>4890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5" t="n">
        <v>46252</v>
      </c>
      <c r="C8028" s="1" t="n">
        <v>11</v>
      </c>
      <c r="D8028" s="1" t="s">
        <v>2290</v>
      </c>
      <c r="E8028" s="1" t="n">
        <v>1668</v>
      </c>
      <c r="F8028" s="1" t="s">
        <v>159</v>
      </c>
      <c r="I8028" s="1" t="n">
        <v>745592</v>
      </c>
      <c r="J8028" s="1" t="n">
        <v>45320</v>
      </c>
      <c r="K8028" s="1" t="n">
        <v>7899348506342</v>
      </c>
      <c r="L8028" s="1" t="s">
        <v>4891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5" t="n">
        <v>46252</v>
      </c>
      <c r="C8029" s="1" t="n">
        <v>11</v>
      </c>
      <c r="D8029" s="1" t="s">
        <v>2290</v>
      </c>
      <c r="E8029" s="1" t="n">
        <v>1668</v>
      </c>
      <c r="F8029" s="1" t="s">
        <v>159</v>
      </c>
      <c r="I8029" s="1" t="n">
        <v>745592</v>
      </c>
      <c r="J8029" s="1" t="n">
        <v>45321</v>
      </c>
      <c r="K8029" s="1" t="n">
        <v>7899348506366</v>
      </c>
      <c r="L8029" s="1" t="s">
        <v>4892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5" t="n">
        <v>46252</v>
      </c>
      <c r="C8030" s="1" t="n">
        <v>11</v>
      </c>
      <c r="D8030" s="1" t="s">
        <v>2290</v>
      </c>
      <c r="E8030" s="1" t="n">
        <v>1668</v>
      </c>
      <c r="F8030" s="1" t="s">
        <v>159</v>
      </c>
      <c r="I8030" s="1" t="n">
        <v>745592</v>
      </c>
      <c r="J8030" s="1" t="n">
        <v>48896</v>
      </c>
      <c r="K8030" s="1" t="n">
        <v>7899348506359</v>
      </c>
      <c r="L8030" s="1" t="s">
        <v>4893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5" t="n">
        <v>46252</v>
      </c>
      <c r="C8031" s="1" t="n">
        <v>11</v>
      </c>
      <c r="D8031" s="1" t="s">
        <v>2290</v>
      </c>
      <c r="E8031" s="1" t="n">
        <v>1668</v>
      </c>
      <c r="F8031" s="1" t="s">
        <v>159</v>
      </c>
      <c r="I8031" s="1" t="n">
        <v>745592</v>
      </c>
      <c r="J8031" s="1" t="n">
        <v>49819</v>
      </c>
      <c r="K8031" s="1" t="n">
        <v>7898939720372</v>
      </c>
      <c r="L8031" s="1" t="s">
        <v>4894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5" t="n">
        <v>46252</v>
      </c>
      <c r="C8032" s="1" t="n">
        <v>11</v>
      </c>
      <c r="D8032" s="1" t="s">
        <v>2290</v>
      </c>
      <c r="E8032" s="1" t="n">
        <v>1668</v>
      </c>
      <c r="F8032" s="1" t="s">
        <v>159</v>
      </c>
      <c r="I8032" s="1" t="n">
        <v>745592</v>
      </c>
      <c r="J8032" s="1" t="n">
        <v>59389</v>
      </c>
      <c r="K8032" s="1" t="n">
        <v>7898934651947</v>
      </c>
      <c r="L8032" s="1" t="s">
        <v>4895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5" t="n">
        <v>46252</v>
      </c>
      <c r="C8033" s="1" t="n">
        <v>11</v>
      </c>
      <c r="D8033" s="1" t="s">
        <v>2290</v>
      </c>
      <c r="E8033" s="1" t="n">
        <v>1668</v>
      </c>
      <c r="F8033" s="1" t="s">
        <v>159</v>
      </c>
      <c r="I8033" s="1" t="n">
        <v>745592</v>
      </c>
      <c r="J8033" s="1" t="n">
        <v>82005</v>
      </c>
      <c r="K8033" s="1" t="n">
        <v>820066</v>
      </c>
      <c r="L8033" s="1" t="s">
        <v>4896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5" t="n">
        <v>46252</v>
      </c>
      <c r="C8034" s="1" t="n">
        <v>11</v>
      </c>
      <c r="D8034" s="1" t="s">
        <v>2290</v>
      </c>
      <c r="E8034" s="1" t="n">
        <v>1740</v>
      </c>
      <c r="F8034" s="1" t="s">
        <v>170</v>
      </c>
      <c r="I8034" s="1" t="n">
        <v>1260091</v>
      </c>
      <c r="J8034" s="1" t="n">
        <v>100036</v>
      </c>
      <c r="K8034" s="1" t="n">
        <v>37</v>
      </c>
      <c r="L8034" s="1" t="s">
        <v>2432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5" t="n">
        <v>46252</v>
      </c>
      <c r="C8035" s="1" t="n">
        <v>11</v>
      </c>
      <c r="D8035" s="1" t="s">
        <v>2290</v>
      </c>
      <c r="E8035" s="1" t="n">
        <v>1740</v>
      </c>
      <c r="F8035" s="1" t="s">
        <v>170</v>
      </c>
      <c r="I8035" s="1" t="n">
        <v>1260091</v>
      </c>
      <c r="J8035" s="1" t="n">
        <v>110530</v>
      </c>
      <c r="K8035" s="1" t="n">
        <v>57638</v>
      </c>
      <c r="L8035" s="1" t="s">
        <v>2433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5" t="n">
        <v>46252</v>
      </c>
      <c r="C8036" s="1" t="n">
        <v>11</v>
      </c>
      <c r="D8036" s="1" t="s">
        <v>2290</v>
      </c>
      <c r="E8036" s="1" t="n">
        <v>10009</v>
      </c>
      <c r="F8036" s="1" t="s">
        <v>373</v>
      </c>
      <c r="I8036" s="1" t="n">
        <v>1438570</v>
      </c>
      <c r="J8036" s="1" t="n">
        <v>101932</v>
      </c>
      <c r="K8036" s="1" t="n">
        <v>7891000582107</v>
      </c>
      <c r="L8036" s="1" t="s">
        <v>2617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5" t="n">
        <v>46252</v>
      </c>
      <c r="C8037" s="1" t="n">
        <v>11</v>
      </c>
      <c r="D8037" s="1" t="s">
        <v>2290</v>
      </c>
      <c r="E8037" s="1" t="n">
        <v>10009</v>
      </c>
      <c r="F8037" s="1" t="s">
        <v>373</v>
      </c>
      <c r="I8037" s="1" t="n">
        <v>1438570</v>
      </c>
      <c r="J8037" s="1" t="n">
        <v>103473</v>
      </c>
      <c r="K8037" s="1" t="n">
        <v>7891000367506</v>
      </c>
      <c r="L8037" s="1" t="s">
        <v>3891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5" t="n">
        <v>46252</v>
      </c>
      <c r="C8038" s="1" t="n">
        <v>11</v>
      </c>
      <c r="D8038" s="1" t="s">
        <v>2290</v>
      </c>
      <c r="E8038" s="1" t="n">
        <v>10009</v>
      </c>
      <c r="F8038" s="1" t="s">
        <v>373</v>
      </c>
      <c r="I8038" s="1" t="n">
        <v>1438570</v>
      </c>
      <c r="J8038" s="1" t="n">
        <v>104126</v>
      </c>
      <c r="K8038" s="1" t="n">
        <v>7891000582008</v>
      </c>
      <c r="L8038" s="1" t="s">
        <v>4897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5" t="n">
        <v>46252</v>
      </c>
      <c r="C8039" s="1" t="n">
        <v>11</v>
      </c>
      <c r="D8039" s="1" t="s">
        <v>2290</v>
      </c>
      <c r="E8039" s="1" t="n">
        <v>10009</v>
      </c>
      <c r="F8039" s="1" t="s">
        <v>373</v>
      </c>
      <c r="I8039" s="1" t="n">
        <v>1438570</v>
      </c>
      <c r="J8039" s="1" t="n">
        <v>107339</v>
      </c>
      <c r="K8039" s="1" t="n">
        <v>7896015603236</v>
      </c>
      <c r="L8039" s="1" t="s">
        <v>3496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5" t="n">
        <v>46252</v>
      </c>
      <c r="C8040" s="1" t="n">
        <v>11</v>
      </c>
      <c r="D8040" s="1" t="s">
        <v>2290</v>
      </c>
      <c r="E8040" s="1" t="n">
        <v>10009</v>
      </c>
      <c r="F8040" s="1" t="s">
        <v>373</v>
      </c>
      <c r="I8040" s="1" t="n">
        <v>1438570</v>
      </c>
      <c r="J8040" s="1" t="n">
        <v>107341</v>
      </c>
      <c r="K8040" s="1" t="n">
        <v>7896015605193</v>
      </c>
      <c r="L8040" s="1" t="s">
        <v>2916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5" t="n">
        <v>46252</v>
      </c>
      <c r="C8041" s="1" t="n">
        <v>11</v>
      </c>
      <c r="D8041" s="1" t="s">
        <v>2290</v>
      </c>
      <c r="E8041" s="1" t="n">
        <v>10009</v>
      </c>
      <c r="F8041" s="1" t="s">
        <v>373</v>
      </c>
      <c r="I8041" s="1" t="n">
        <v>1438570</v>
      </c>
      <c r="J8041" s="1" t="n">
        <v>18833</v>
      </c>
      <c r="K8041" s="1" t="n">
        <v>7891000098950</v>
      </c>
      <c r="L8041" s="1" t="s">
        <v>3501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5" t="n">
        <v>46252</v>
      </c>
      <c r="C8042" s="1" t="n">
        <v>11</v>
      </c>
      <c r="D8042" s="1" t="s">
        <v>2290</v>
      </c>
      <c r="E8042" s="1" t="n">
        <v>10009</v>
      </c>
      <c r="F8042" s="1" t="s">
        <v>373</v>
      </c>
      <c r="I8042" s="1" t="n">
        <v>1438570</v>
      </c>
      <c r="J8042" s="1" t="n">
        <v>24768</v>
      </c>
      <c r="K8042" s="1" t="n">
        <v>78912366</v>
      </c>
      <c r="L8042" s="1" t="s">
        <v>4080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5" t="n">
        <v>46252</v>
      </c>
      <c r="C8043" s="1" t="n">
        <v>11</v>
      </c>
      <c r="D8043" s="1" t="s">
        <v>2290</v>
      </c>
      <c r="E8043" s="1" t="n">
        <v>10009</v>
      </c>
      <c r="F8043" s="1" t="s">
        <v>373</v>
      </c>
      <c r="I8043" s="1" t="n">
        <v>1438570</v>
      </c>
      <c r="J8043" s="1" t="n">
        <v>47560</v>
      </c>
      <c r="K8043" s="1" t="n">
        <v>7891000319505</v>
      </c>
      <c r="L8043" s="1" t="s">
        <v>2625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5" t="n">
        <v>46252</v>
      </c>
      <c r="C8044" s="1" t="n">
        <v>11</v>
      </c>
      <c r="D8044" s="1" t="s">
        <v>2290</v>
      </c>
      <c r="E8044" s="1" t="n">
        <v>10009</v>
      </c>
      <c r="F8044" s="1" t="s">
        <v>373</v>
      </c>
      <c r="I8044" s="1" t="n">
        <v>1438570</v>
      </c>
      <c r="J8044" s="1" t="n">
        <v>47563</v>
      </c>
      <c r="K8044" s="1" t="n">
        <v>7891000319543</v>
      </c>
      <c r="L8044" s="1" t="s">
        <v>2626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5" t="n">
        <v>46252</v>
      </c>
      <c r="C8045" s="1" t="n">
        <v>11</v>
      </c>
      <c r="D8045" s="1" t="s">
        <v>2290</v>
      </c>
      <c r="E8045" s="1" t="n">
        <v>10009</v>
      </c>
      <c r="F8045" s="1" t="s">
        <v>373</v>
      </c>
      <c r="I8045" s="1" t="n">
        <v>1438570</v>
      </c>
      <c r="J8045" s="1" t="n">
        <v>81985</v>
      </c>
      <c r="K8045" s="1" t="n">
        <v>7891000477274</v>
      </c>
      <c r="L8045" s="1" t="s">
        <v>4494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5" t="n">
        <v>46252</v>
      </c>
      <c r="C8046" s="1" t="n">
        <v>11</v>
      </c>
      <c r="D8046" s="1" t="s">
        <v>2290</v>
      </c>
      <c r="E8046" s="1" t="n">
        <v>10009</v>
      </c>
      <c r="F8046" s="1" t="s">
        <v>373</v>
      </c>
      <c r="I8046" s="1" t="n">
        <v>1439013</v>
      </c>
      <c r="J8046" s="1" t="n">
        <v>20267</v>
      </c>
      <c r="K8046" s="1" t="n">
        <v>7891000104101</v>
      </c>
      <c r="L8046" s="1" t="s">
        <v>4898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5" t="n">
        <v>46252</v>
      </c>
      <c r="C8047" s="1" t="n">
        <v>11</v>
      </c>
      <c r="D8047" s="1" t="s">
        <v>2290</v>
      </c>
      <c r="E8047" s="1" t="n">
        <v>10009</v>
      </c>
      <c r="F8047" s="1" t="s">
        <v>373</v>
      </c>
      <c r="I8047" s="1" t="n">
        <v>1439013</v>
      </c>
      <c r="J8047" s="1" t="n">
        <v>102412</v>
      </c>
      <c r="K8047" s="1" t="n">
        <v>78912359</v>
      </c>
      <c r="L8047" s="1" t="s">
        <v>3114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5" t="n">
        <v>46252</v>
      </c>
      <c r="C8048" s="1" t="n">
        <v>11</v>
      </c>
      <c r="D8048" s="1" t="s">
        <v>2290</v>
      </c>
      <c r="E8048" s="1" t="n">
        <v>10009</v>
      </c>
      <c r="F8048" s="1" t="s">
        <v>373</v>
      </c>
      <c r="I8048" s="1" t="n">
        <v>1439013</v>
      </c>
      <c r="J8048" s="1" t="n">
        <v>11844</v>
      </c>
      <c r="K8048" s="1" t="n">
        <v>7891000070673</v>
      </c>
      <c r="L8048" s="1" t="s">
        <v>4439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15" t="n">
        <v>46252</v>
      </c>
      <c r="C8049" s="1" t="n">
        <v>11</v>
      </c>
      <c r="D8049" s="1" t="s">
        <v>2290</v>
      </c>
      <c r="E8049" s="1" t="n">
        <v>10009</v>
      </c>
      <c r="F8049" s="1" t="s">
        <v>373</v>
      </c>
      <c r="I8049" s="1" t="n">
        <v>1439013</v>
      </c>
      <c r="J8049" s="1" t="n">
        <v>15573</v>
      </c>
      <c r="K8049" s="1" t="n">
        <v>7891000089194</v>
      </c>
      <c r="L8049" s="1" t="s">
        <v>3892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15" t="n">
        <v>46252</v>
      </c>
      <c r="C8050" s="1" t="n">
        <v>11</v>
      </c>
      <c r="D8050" s="1" t="s">
        <v>2290</v>
      </c>
      <c r="E8050" s="1" t="n">
        <v>10009</v>
      </c>
      <c r="F8050" s="1" t="s">
        <v>373</v>
      </c>
      <c r="I8050" s="1" t="n">
        <v>1439013</v>
      </c>
      <c r="J8050" s="1" t="n">
        <v>15716</v>
      </c>
      <c r="K8050" s="1" t="n">
        <v>7891000089231</v>
      </c>
      <c r="L8050" s="1" t="s">
        <v>3888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5" t="n">
        <v>46252</v>
      </c>
      <c r="C8051" s="1" t="n">
        <v>11</v>
      </c>
      <c r="D8051" s="1" t="s">
        <v>2290</v>
      </c>
      <c r="E8051" s="1" t="n">
        <v>10009</v>
      </c>
      <c r="F8051" s="1" t="s">
        <v>373</v>
      </c>
      <c r="I8051" s="1" t="n">
        <v>1439013</v>
      </c>
      <c r="J8051" s="1" t="n">
        <v>15717</v>
      </c>
      <c r="K8051" s="1" t="n">
        <v>7891000089255</v>
      </c>
      <c r="L8051" s="1" t="s">
        <v>2604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5" t="n">
        <v>46252</v>
      </c>
      <c r="C8052" s="1" t="n">
        <v>11</v>
      </c>
      <c r="D8052" s="1" t="s">
        <v>2290</v>
      </c>
      <c r="E8052" s="1" t="n">
        <v>10009</v>
      </c>
      <c r="F8052" s="1" t="s">
        <v>373</v>
      </c>
      <c r="I8052" s="1" t="n">
        <v>1439013</v>
      </c>
      <c r="J8052" s="1" t="n">
        <v>15718</v>
      </c>
      <c r="K8052" s="1" t="n">
        <v>7891000089279</v>
      </c>
      <c r="L8052" s="1" t="s">
        <v>2629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5" t="n">
        <v>46252</v>
      </c>
      <c r="C8053" s="1" t="n">
        <v>11</v>
      </c>
      <c r="D8053" s="1" t="s">
        <v>2290</v>
      </c>
      <c r="E8053" s="1" t="n">
        <v>10009</v>
      </c>
      <c r="F8053" s="1" t="s">
        <v>373</v>
      </c>
      <c r="I8053" s="1" t="n">
        <v>1439013</v>
      </c>
      <c r="J8053" s="1" t="n">
        <v>16667</v>
      </c>
      <c r="K8053" s="1" t="n">
        <v>7891000090732</v>
      </c>
      <c r="L8053" s="1" t="s">
        <v>2630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5" t="n">
        <v>46252</v>
      </c>
      <c r="C8054" s="1" t="n">
        <v>11</v>
      </c>
      <c r="D8054" s="1" t="s">
        <v>2290</v>
      </c>
      <c r="E8054" s="1" t="n">
        <v>10009</v>
      </c>
      <c r="F8054" s="1" t="s">
        <v>373</v>
      </c>
      <c r="I8054" s="1" t="n">
        <v>1439013</v>
      </c>
      <c r="J8054" s="1" t="n">
        <v>19961</v>
      </c>
      <c r="K8054" s="1" t="n">
        <v>7891000102640</v>
      </c>
      <c r="L8054" s="1" t="s">
        <v>4899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5" t="n">
        <v>46252</v>
      </c>
      <c r="C8055" s="1" t="n">
        <v>11</v>
      </c>
      <c r="D8055" s="1" t="s">
        <v>2290</v>
      </c>
      <c r="E8055" s="1" t="n">
        <v>10009</v>
      </c>
      <c r="F8055" s="1" t="s">
        <v>373</v>
      </c>
      <c r="I8055" s="1" t="n">
        <v>1439013</v>
      </c>
      <c r="J8055" s="1" t="n">
        <v>19987</v>
      </c>
      <c r="K8055" s="1" t="n">
        <v>7891000101926</v>
      </c>
      <c r="L8055" s="1" t="s">
        <v>2618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5" t="n">
        <v>46252</v>
      </c>
      <c r="C8056" s="1" t="n">
        <v>11</v>
      </c>
      <c r="D8056" s="1" t="s">
        <v>2290</v>
      </c>
      <c r="E8056" s="1" t="n">
        <v>10009</v>
      </c>
      <c r="F8056" s="1" t="s">
        <v>373</v>
      </c>
      <c r="I8056" s="1" t="n">
        <v>1439013</v>
      </c>
      <c r="J8056" s="1" t="n">
        <v>81985</v>
      </c>
      <c r="K8056" s="1" t="n">
        <v>7891000477274</v>
      </c>
      <c r="L8056" s="1" t="s">
        <v>4494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5" t="n">
        <v>46252</v>
      </c>
      <c r="C8057" s="1" t="n">
        <v>11</v>
      </c>
      <c r="D8057" s="1" t="s">
        <v>2290</v>
      </c>
      <c r="E8057" s="1" t="n">
        <v>10009</v>
      </c>
      <c r="F8057" s="1" t="s">
        <v>373</v>
      </c>
      <c r="I8057" s="1" t="n">
        <v>1439755</v>
      </c>
      <c r="J8057" s="1" t="n">
        <v>20346</v>
      </c>
      <c r="K8057" s="1" t="n">
        <v>7891000102626</v>
      </c>
      <c r="L8057" s="1" t="s">
        <v>4431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5" t="n">
        <v>46252</v>
      </c>
      <c r="C8058" s="1" t="n">
        <v>11</v>
      </c>
      <c r="D8058" s="1" t="s">
        <v>2290</v>
      </c>
      <c r="E8058" s="1" t="n">
        <v>10009</v>
      </c>
      <c r="F8058" s="1" t="s">
        <v>373</v>
      </c>
      <c r="I8058" s="1" t="n">
        <v>1439755</v>
      </c>
      <c r="J8058" s="1" t="n">
        <v>12411</v>
      </c>
      <c r="K8058" s="1" t="n">
        <v>7891000050927</v>
      </c>
      <c r="L8058" s="1" t="s">
        <v>3886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5" t="n">
        <v>46252</v>
      </c>
      <c r="C8059" s="1" t="n">
        <v>11</v>
      </c>
      <c r="D8059" s="1" t="s">
        <v>2290</v>
      </c>
      <c r="E8059" s="1" t="n">
        <v>10009</v>
      </c>
      <c r="F8059" s="1" t="s">
        <v>373</v>
      </c>
      <c r="I8059" s="1" t="n">
        <v>1439755</v>
      </c>
      <c r="J8059" s="1" t="n">
        <v>12803</v>
      </c>
      <c r="K8059" s="1" t="n">
        <v>7891000050880</v>
      </c>
      <c r="L8059" s="1" t="s">
        <v>3887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5" t="n">
        <v>46252</v>
      </c>
      <c r="C8060" s="1" t="n">
        <v>11</v>
      </c>
      <c r="D8060" s="1" t="s">
        <v>2290</v>
      </c>
      <c r="E8060" s="1" t="n">
        <v>10009</v>
      </c>
      <c r="F8060" s="1" t="s">
        <v>373</v>
      </c>
      <c r="I8060" s="1" t="n">
        <v>1439755</v>
      </c>
      <c r="J8060" s="1" t="n">
        <v>24216</v>
      </c>
      <c r="K8060" s="1" t="n">
        <v>7891000086131</v>
      </c>
      <c r="L8060" s="1" t="s">
        <v>4900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5" t="n">
        <v>46252</v>
      </c>
      <c r="C8061" s="1" t="n">
        <v>11</v>
      </c>
      <c r="D8061" s="1" t="s">
        <v>2290</v>
      </c>
      <c r="E8061" s="1" t="n">
        <v>10009</v>
      </c>
      <c r="F8061" s="1" t="s">
        <v>373</v>
      </c>
      <c r="I8061" s="1" t="n">
        <v>1439755</v>
      </c>
      <c r="J8061" s="1" t="n">
        <v>26412</v>
      </c>
      <c r="K8061" s="1" t="n">
        <v>7891000248768</v>
      </c>
      <c r="L8061" s="1" t="s">
        <v>2613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5" t="n">
        <v>46252</v>
      </c>
      <c r="C8062" s="1" t="n">
        <v>11</v>
      </c>
      <c r="D8062" s="1" t="s">
        <v>2290</v>
      </c>
      <c r="E8062" s="1" t="n">
        <v>10009</v>
      </c>
      <c r="F8062" s="1" t="s">
        <v>373</v>
      </c>
      <c r="I8062" s="1" t="n">
        <v>1439755</v>
      </c>
      <c r="J8062" s="1" t="n">
        <v>47564</v>
      </c>
      <c r="K8062" s="1" t="n">
        <v>7891000319628</v>
      </c>
      <c r="L8062" s="1" t="s">
        <v>2620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5" t="n">
        <v>46252</v>
      </c>
      <c r="C8063" s="1" t="n">
        <v>11</v>
      </c>
      <c r="D8063" s="1" t="s">
        <v>2290</v>
      </c>
      <c r="E8063" s="1" t="n">
        <v>10009</v>
      </c>
      <c r="F8063" s="1" t="s">
        <v>373</v>
      </c>
      <c r="I8063" s="1" t="n">
        <v>1439755</v>
      </c>
      <c r="J8063" s="1" t="n">
        <v>48868</v>
      </c>
      <c r="K8063" s="1" t="n">
        <v>7891000359822</v>
      </c>
      <c r="L8063" s="1" t="s">
        <v>2621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5" t="n">
        <v>46252</v>
      </c>
      <c r="C8064" s="1" t="n">
        <v>11</v>
      </c>
      <c r="D8064" s="1" t="s">
        <v>2290</v>
      </c>
      <c r="E8064" s="1" t="n">
        <v>10009</v>
      </c>
      <c r="F8064" s="1" t="s">
        <v>373</v>
      </c>
      <c r="I8064" s="1" t="n">
        <v>1439755</v>
      </c>
      <c r="J8064" s="1" t="n">
        <v>50552</v>
      </c>
      <c r="K8064" s="1" t="n">
        <v>7891000369340</v>
      </c>
      <c r="L8064" s="1" t="s">
        <v>3502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5" t="n">
        <v>46252</v>
      </c>
      <c r="C8065" s="1" t="n">
        <v>11</v>
      </c>
      <c r="D8065" s="1" t="s">
        <v>2290</v>
      </c>
      <c r="E8065" s="1" t="n">
        <v>10009</v>
      </c>
      <c r="F8065" s="1" t="s">
        <v>373</v>
      </c>
      <c r="I8065" s="1" t="n">
        <v>1439755</v>
      </c>
      <c r="J8065" s="1" t="n">
        <v>82113</v>
      </c>
      <c r="K8065" s="1" t="n">
        <v>7891000459058</v>
      </c>
      <c r="L8065" s="1" t="s">
        <v>4901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5" t="n">
        <v>46252</v>
      </c>
      <c r="C8066" s="1" t="n">
        <v>11</v>
      </c>
      <c r="D8066" s="1" t="s">
        <v>2290</v>
      </c>
      <c r="E8066" s="1" t="n">
        <v>1608</v>
      </c>
      <c r="F8066" s="1" t="s">
        <v>41</v>
      </c>
      <c r="I8066" s="1" t="n">
        <v>1712626</v>
      </c>
      <c r="J8066" s="1" t="n">
        <v>102475</v>
      </c>
      <c r="K8066" s="1" t="n">
        <v>7891132019045</v>
      </c>
      <c r="L8066" s="1" t="s">
        <v>3616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5" t="n">
        <v>46252</v>
      </c>
      <c r="C8067" s="1" t="n">
        <v>11</v>
      </c>
      <c r="D8067" s="1" t="s">
        <v>2290</v>
      </c>
      <c r="E8067" s="1" t="n">
        <v>1608</v>
      </c>
      <c r="F8067" s="1" t="s">
        <v>41</v>
      </c>
      <c r="I8067" s="1" t="n">
        <v>1712626</v>
      </c>
      <c r="J8067" s="1" t="n">
        <v>102476</v>
      </c>
      <c r="K8067" s="1" t="n">
        <v>7891132019021</v>
      </c>
      <c r="L8067" s="1" t="s">
        <v>3617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5" t="n">
        <v>46252</v>
      </c>
      <c r="C8068" s="1" t="n">
        <v>11</v>
      </c>
      <c r="D8068" s="1" t="s">
        <v>2290</v>
      </c>
      <c r="E8068" s="1" t="n">
        <v>1608</v>
      </c>
      <c r="F8068" s="1" t="s">
        <v>41</v>
      </c>
      <c r="I8068" s="1" t="n">
        <v>1712626</v>
      </c>
      <c r="J8068" s="1" t="n">
        <v>102477</v>
      </c>
      <c r="K8068" s="1" t="n">
        <v>7891132019038</v>
      </c>
      <c r="L8068" s="1" t="s">
        <v>4250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5" t="n">
        <v>46252</v>
      </c>
      <c r="C8069" s="1" t="n">
        <v>11</v>
      </c>
      <c r="D8069" s="1" t="s">
        <v>2290</v>
      </c>
      <c r="E8069" s="1" t="n">
        <v>1608</v>
      </c>
      <c r="F8069" s="1" t="s">
        <v>41</v>
      </c>
      <c r="I8069" s="1" t="n">
        <v>1712626</v>
      </c>
      <c r="J8069" s="1" t="n">
        <v>102517</v>
      </c>
      <c r="K8069" s="1" t="n">
        <v>7891132019281</v>
      </c>
      <c r="L8069" s="1" t="s">
        <v>3620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5" t="n">
        <v>46252</v>
      </c>
      <c r="C8070" s="1" t="n">
        <v>11</v>
      </c>
      <c r="D8070" s="1" t="s">
        <v>2290</v>
      </c>
      <c r="E8070" s="1" t="n">
        <v>1608</v>
      </c>
      <c r="F8070" s="1" t="s">
        <v>41</v>
      </c>
      <c r="I8070" s="1" t="n">
        <v>1712626</v>
      </c>
      <c r="J8070" s="1" t="n">
        <v>11471</v>
      </c>
      <c r="K8070" s="1" t="n">
        <v>7896009725012</v>
      </c>
      <c r="L8070" s="1" t="s">
        <v>4902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5" t="n">
        <v>46252</v>
      </c>
      <c r="C8071" s="1" t="n">
        <v>11</v>
      </c>
      <c r="D8071" s="1" t="s">
        <v>2290</v>
      </c>
      <c r="E8071" s="1" t="n">
        <v>1608</v>
      </c>
      <c r="F8071" s="1" t="s">
        <v>41</v>
      </c>
      <c r="I8071" s="1" t="n">
        <v>1712626</v>
      </c>
      <c r="J8071" s="1" t="n">
        <v>20041</v>
      </c>
      <c r="K8071" s="1" t="n">
        <v>7891132008391</v>
      </c>
      <c r="L8071" s="1" t="s">
        <v>3624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5" t="n">
        <v>46252</v>
      </c>
      <c r="C8072" s="1" t="n">
        <v>11</v>
      </c>
      <c r="D8072" s="1" t="s">
        <v>2290</v>
      </c>
      <c r="E8072" s="1" t="n">
        <v>1608</v>
      </c>
      <c r="F8072" s="1" t="s">
        <v>41</v>
      </c>
      <c r="I8072" s="1" t="n">
        <v>1712626</v>
      </c>
      <c r="J8072" s="1" t="n">
        <v>29476</v>
      </c>
      <c r="K8072" s="1" t="n">
        <v>7891132009626</v>
      </c>
      <c r="L8072" s="1" t="s">
        <v>4903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5" t="n">
        <v>46252</v>
      </c>
      <c r="C8073" s="1" t="n">
        <v>11</v>
      </c>
      <c r="D8073" s="1" t="s">
        <v>2290</v>
      </c>
      <c r="E8073" s="1" t="n">
        <v>1608</v>
      </c>
      <c r="F8073" s="1" t="s">
        <v>41</v>
      </c>
      <c r="I8073" s="1" t="n">
        <v>1712626</v>
      </c>
      <c r="J8073" s="1" t="n">
        <v>37262</v>
      </c>
      <c r="K8073" s="1" t="n">
        <v>7891132009688</v>
      </c>
      <c r="L8073" s="1" t="s">
        <v>4904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5" t="n">
        <v>46252</v>
      </c>
      <c r="C8074" s="1" t="n">
        <v>11</v>
      </c>
      <c r="D8074" s="1" t="s">
        <v>2290</v>
      </c>
      <c r="E8074" s="1" t="n">
        <v>1608</v>
      </c>
      <c r="F8074" s="1" t="s">
        <v>41</v>
      </c>
      <c r="I8074" s="1" t="n">
        <v>1712626</v>
      </c>
      <c r="J8074" s="1" t="n">
        <v>57033</v>
      </c>
      <c r="K8074" s="1" t="n">
        <v>7891132009381</v>
      </c>
      <c r="L8074" s="1" t="s">
        <v>4905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5" t="n">
        <v>46252</v>
      </c>
      <c r="C8075" s="1" t="n">
        <v>11</v>
      </c>
      <c r="D8075" s="1" t="s">
        <v>2290</v>
      </c>
      <c r="E8075" s="1" t="n">
        <v>1608</v>
      </c>
      <c r="F8075" s="1" t="s">
        <v>41</v>
      </c>
      <c r="I8075" s="1" t="n">
        <v>1712626</v>
      </c>
      <c r="J8075" s="1" t="n">
        <v>69963</v>
      </c>
      <c r="K8075" s="1" t="n">
        <v>7891132165650</v>
      </c>
      <c r="L8075" s="1" t="s">
        <v>4906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5" t="n">
        <v>46252</v>
      </c>
      <c r="C8076" s="1" t="n">
        <v>11</v>
      </c>
      <c r="D8076" s="1" t="s">
        <v>2290</v>
      </c>
      <c r="E8076" s="1" t="n">
        <v>1608</v>
      </c>
      <c r="F8076" s="1" t="s">
        <v>41</v>
      </c>
      <c r="I8076" s="1" t="n">
        <v>1712626</v>
      </c>
      <c r="J8076" s="1" t="n">
        <v>75547</v>
      </c>
      <c r="K8076" s="1" t="n">
        <v>7891132165575</v>
      </c>
      <c r="L8076" s="1" t="s">
        <v>4907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5" t="n">
        <v>46253</v>
      </c>
      <c r="C8077" s="1" t="n">
        <v>6</v>
      </c>
      <c r="D8077" s="1" t="s">
        <v>2289</v>
      </c>
      <c r="E8077" s="1" t="n">
        <v>42</v>
      </c>
      <c r="F8077" s="1" t="s">
        <v>80</v>
      </c>
      <c r="I8077" s="1" t="n">
        <v>4519</v>
      </c>
      <c r="J8077" s="1" t="n">
        <v>100103</v>
      </c>
      <c r="K8077" s="1" t="n">
        <v>104</v>
      </c>
      <c r="L8077" s="1" t="s">
        <v>2287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5" t="n">
        <v>46253</v>
      </c>
      <c r="C8078" s="1" t="n">
        <v>6</v>
      </c>
      <c r="D8078" s="1" t="s">
        <v>2289</v>
      </c>
      <c r="E8078" s="1" t="n">
        <v>42</v>
      </c>
      <c r="F8078" s="1" t="s">
        <v>80</v>
      </c>
      <c r="I8078" s="1" t="n">
        <v>4520</v>
      </c>
      <c r="J8078" s="1" t="n">
        <v>37359</v>
      </c>
      <c r="K8078" s="1" t="n">
        <v>55526</v>
      </c>
      <c r="L8078" s="1" t="s">
        <v>2285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5" t="n">
        <v>46253</v>
      </c>
      <c r="C8079" s="1" t="n">
        <v>6</v>
      </c>
      <c r="D8079" s="1" t="s">
        <v>2289</v>
      </c>
      <c r="E8079" s="1" t="n">
        <v>42</v>
      </c>
      <c r="F8079" s="1" t="s">
        <v>80</v>
      </c>
      <c r="I8079" s="1" t="n">
        <v>4520</v>
      </c>
      <c r="J8079" s="1" t="n">
        <v>37361</v>
      </c>
      <c r="K8079" s="1" t="n">
        <v>2240817</v>
      </c>
      <c r="L8079" s="1" t="s">
        <v>2286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5" t="n">
        <v>46253</v>
      </c>
      <c r="C8080" s="1" t="n">
        <v>11</v>
      </c>
      <c r="D8080" s="1" t="s">
        <v>2290</v>
      </c>
      <c r="E8080" s="1" t="n">
        <v>10095</v>
      </c>
      <c r="F8080" s="1" t="s">
        <v>1114</v>
      </c>
      <c r="I8080" s="1" t="n">
        <v>940</v>
      </c>
      <c r="J8080" s="1" t="n">
        <v>81702</v>
      </c>
      <c r="K8080" s="1" t="n">
        <v>7897688801066</v>
      </c>
      <c r="L8080" s="1" t="s">
        <v>4041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5" t="n">
        <v>46253</v>
      </c>
      <c r="C8081" s="1" t="n">
        <v>11</v>
      </c>
      <c r="D8081" s="1" t="s">
        <v>2290</v>
      </c>
      <c r="E8081" s="1" t="n">
        <v>10095</v>
      </c>
      <c r="F8081" s="1" t="s">
        <v>1114</v>
      </c>
      <c r="I8081" s="1" t="n">
        <v>940</v>
      </c>
      <c r="J8081" s="1" t="n">
        <v>81703</v>
      </c>
      <c r="K8081" s="1" t="n">
        <v>7897688801042</v>
      </c>
      <c r="L8081" s="1" t="s">
        <v>4042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5" t="n">
        <v>46253</v>
      </c>
      <c r="C8082" s="1" t="n">
        <v>11</v>
      </c>
      <c r="D8082" s="1" t="s">
        <v>2290</v>
      </c>
      <c r="E8082" s="1" t="n">
        <v>10095</v>
      </c>
      <c r="F8082" s="1" t="s">
        <v>1114</v>
      </c>
      <c r="I8082" s="1" t="n">
        <v>940</v>
      </c>
      <c r="J8082" s="1" t="n">
        <v>81704</v>
      </c>
      <c r="K8082" s="1" t="n">
        <v>7897688801004</v>
      </c>
      <c r="L8082" s="1" t="s">
        <v>4043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5" t="n">
        <v>46253</v>
      </c>
      <c r="C8083" s="1" t="n">
        <v>11</v>
      </c>
      <c r="D8083" s="1" t="s">
        <v>2290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2737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5" t="n">
        <v>46253</v>
      </c>
      <c r="C8084" s="1" t="n">
        <v>11</v>
      </c>
      <c r="D8084" s="1" t="s">
        <v>2290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2738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5" t="n">
        <v>46253</v>
      </c>
      <c r="C8085" s="1" t="n">
        <v>11</v>
      </c>
      <c r="D8085" s="1" t="s">
        <v>2290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2739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5" t="n">
        <v>46253</v>
      </c>
      <c r="C8086" s="1" t="n">
        <v>11</v>
      </c>
      <c r="D8086" s="1" t="s">
        <v>2290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2740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5" t="n">
        <v>46253</v>
      </c>
      <c r="C8087" s="1" t="n">
        <v>11</v>
      </c>
      <c r="D8087" s="1" t="s">
        <v>2290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2481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5" t="n">
        <v>46253</v>
      </c>
      <c r="C8088" s="1" t="n">
        <v>11</v>
      </c>
      <c r="D8088" s="1" t="s">
        <v>2290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2741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5" t="n">
        <v>46253</v>
      </c>
      <c r="C8089" s="1" t="n">
        <v>11</v>
      </c>
      <c r="D8089" s="1" t="s">
        <v>2290</v>
      </c>
      <c r="E8089" s="1" t="n">
        <v>1625</v>
      </c>
      <c r="F8089" s="1" t="s">
        <v>320</v>
      </c>
      <c r="I8089" s="1" t="n">
        <v>15086</v>
      </c>
      <c r="J8089" s="1" t="n">
        <v>29079</v>
      </c>
      <c r="K8089" s="1" t="n">
        <v>55515</v>
      </c>
      <c r="L8089" s="1" t="s">
        <v>2360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5" t="n">
        <v>46253</v>
      </c>
      <c r="C8090" s="1" t="n">
        <v>11</v>
      </c>
      <c r="D8090" s="1" t="s">
        <v>2290</v>
      </c>
      <c r="E8090" s="1" t="n">
        <v>1625</v>
      </c>
      <c r="F8090" s="1" t="s">
        <v>320</v>
      </c>
      <c r="I8090" s="1" t="n">
        <v>15086</v>
      </c>
      <c r="J8090" s="1" t="n">
        <v>29080</v>
      </c>
      <c r="K8090" s="1" t="n">
        <v>55516</v>
      </c>
      <c r="L8090" s="1" t="s">
        <v>2362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5" t="n">
        <v>46253</v>
      </c>
      <c r="C8091" s="1" t="n">
        <v>11</v>
      </c>
      <c r="D8091" s="1" t="s">
        <v>2290</v>
      </c>
      <c r="E8091" s="1" t="n">
        <v>1625</v>
      </c>
      <c r="F8091" s="1" t="s">
        <v>320</v>
      </c>
      <c r="I8091" s="1" t="n">
        <v>15086</v>
      </c>
      <c r="J8091" s="1" t="n">
        <v>110231</v>
      </c>
      <c r="K8091" s="1" t="n">
        <v>38306</v>
      </c>
      <c r="L8091" s="1" t="s">
        <v>2363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5" t="n">
        <v>46253</v>
      </c>
      <c r="C8092" s="1" t="n">
        <v>11</v>
      </c>
      <c r="D8092" s="1" t="s">
        <v>2290</v>
      </c>
      <c r="E8092" s="1" t="n">
        <v>1681</v>
      </c>
      <c r="F8092" s="1" t="s">
        <v>1345</v>
      </c>
      <c r="I8092" s="1" t="n">
        <v>39504</v>
      </c>
      <c r="J8092" s="1" t="n">
        <v>101877</v>
      </c>
      <c r="K8092" s="1" t="n">
        <v>7896224813082</v>
      </c>
      <c r="L8092" s="1" t="s">
        <v>2819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5" t="n">
        <v>46253</v>
      </c>
      <c r="C8093" s="1" t="n">
        <v>11</v>
      </c>
      <c r="D8093" s="1" t="s">
        <v>2290</v>
      </c>
      <c r="E8093" s="1" t="n">
        <v>1681</v>
      </c>
      <c r="F8093" s="1" t="s">
        <v>1345</v>
      </c>
      <c r="I8093" s="1" t="n">
        <v>39504</v>
      </c>
      <c r="J8093" s="1" t="n">
        <v>102054</v>
      </c>
      <c r="K8093" s="1" t="n">
        <v>7894000030470</v>
      </c>
      <c r="L8093" s="1" t="s">
        <v>3264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5" t="n">
        <v>46253</v>
      </c>
      <c r="C8094" s="1" t="n">
        <v>11</v>
      </c>
      <c r="D8094" s="1" t="s">
        <v>2290</v>
      </c>
      <c r="E8094" s="1" t="n">
        <v>1681</v>
      </c>
      <c r="F8094" s="1" t="s">
        <v>1345</v>
      </c>
      <c r="I8094" s="1" t="n">
        <v>39504</v>
      </c>
      <c r="J8094" s="1" t="n">
        <v>103145</v>
      </c>
      <c r="K8094" s="1" t="n">
        <v>7894900051513</v>
      </c>
      <c r="L8094" s="1" t="s">
        <v>2306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5" t="n">
        <v>46253</v>
      </c>
      <c r="C8095" s="1" t="n">
        <v>11</v>
      </c>
      <c r="D8095" s="1" t="s">
        <v>2290</v>
      </c>
      <c r="E8095" s="1" t="n">
        <v>1681</v>
      </c>
      <c r="F8095" s="1" t="s">
        <v>1345</v>
      </c>
      <c r="I8095" s="1" t="n">
        <v>39504</v>
      </c>
      <c r="J8095" s="1" t="n">
        <v>103146</v>
      </c>
      <c r="K8095" s="1" t="n">
        <v>7894900031515</v>
      </c>
      <c r="L8095" s="1" t="s">
        <v>2876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5" t="n">
        <v>46253</v>
      </c>
      <c r="C8096" s="1" t="n">
        <v>11</v>
      </c>
      <c r="D8096" s="1" t="s">
        <v>2290</v>
      </c>
      <c r="E8096" s="1" t="n">
        <v>1681</v>
      </c>
      <c r="F8096" s="1" t="s">
        <v>1345</v>
      </c>
      <c r="I8096" s="1" t="n">
        <v>39504</v>
      </c>
      <c r="J8096" s="1" t="n">
        <v>103159</v>
      </c>
      <c r="K8096" s="1" t="n">
        <v>7894900050011</v>
      </c>
      <c r="L8096" s="1" t="s">
        <v>4126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5" t="n">
        <v>46253</v>
      </c>
      <c r="C8097" s="1" t="n">
        <v>11</v>
      </c>
      <c r="D8097" s="1" t="s">
        <v>2290</v>
      </c>
      <c r="E8097" s="1" t="n">
        <v>1681</v>
      </c>
      <c r="F8097" s="1" t="s">
        <v>1345</v>
      </c>
      <c r="I8097" s="1" t="n">
        <v>39504</v>
      </c>
      <c r="J8097" s="1" t="n">
        <v>103160</v>
      </c>
      <c r="K8097" s="1" t="n">
        <v>7894900030013</v>
      </c>
      <c r="L8097" s="1" t="s">
        <v>3632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5" t="n">
        <v>46253</v>
      </c>
      <c r="C8098" s="1" t="n">
        <v>11</v>
      </c>
      <c r="D8098" s="1" t="s">
        <v>2290</v>
      </c>
      <c r="E8098" s="1" t="n">
        <v>1681</v>
      </c>
      <c r="F8098" s="1" t="s">
        <v>1345</v>
      </c>
      <c r="I8098" s="1" t="n">
        <v>39504</v>
      </c>
      <c r="J8098" s="1" t="n">
        <v>103161</v>
      </c>
      <c r="K8098" s="1" t="n">
        <v>7894900010015</v>
      </c>
      <c r="L8098" s="1" t="s">
        <v>3192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5" t="n">
        <v>46253</v>
      </c>
      <c r="C8099" s="1" t="n">
        <v>11</v>
      </c>
      <c r="D8099" s="1" t="s">
        <v>2290</v>
      </c>
      <c r="E8099" s="1" t="n">
        <v>1681</v>
      </c>
      <c r="F8099" s="1" t="s">
        <v>1345</v>
      </c>
      <c r="I8099" s="1" t="n">
        <v>39504</v>
      </c>
      <c r="J8099" s="1" t="n">
        <v>105631</v>
      </c>
      <c r="K8099" s="1" t="n">
        <v>7894900011609</v>
      </c>
      <c r="L8099" s="1" t="s">
        <v>2877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5" t="n">
        <v>46253</v>
      </c>
      <c r="C8100" s="1" t="n">
        <v>11</v>
      </c>
      <c r="D8100" s="1" t="s">
        <v>2290</v>
      </c>
      <c r="E8100" s="1" t="n">
        <v>1681</v>
      </c>
      <c r="F8100" s="1" t="s">
        <v>1345</v>
      </c>
      <c r="I8100" s="1" t="n">
        <v>39504</v>
      </c>
      <c r="J8100" s="1" t="n">
        <v>107100</v>
      </c>
      <c r="K8100" s="1" t="n">
        <v>7894900700015</v>
      </c>
      <c r="L8100" s="1" t="s">
        <v>2878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5" t="n">
        <v>46253</v>
      </c>
      <c r="C8101" s="1" t="n">
        <v>11</v>
      </c>
      <c r="D8101" s="1" t="s">
        <v>2290</v>
      </c>
      <c r="E8101" s="1" t="n">
        <v>1681</v>
      </c>
      <c r="F8101" s="1" t="s">
        <v>1345</v>
      </c>
      <c r="I8101" s="1" t="n">
        <v>39504</v>
      </c>
      <c r="J8101" s="1" t="n">
        <v>10830</v>
      </c>
      <c r="K8101" s="1" t="n">
        <v>7894900701517</v>
      </c>
      <c r="L8101" s="1" t="s">
        <v>2879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5" t="n">
        <v>46253</v>
      </c>
      <c r="C8102" s="1" t="n">
        <v>11</v>
      </c>
      <c r="D8102" s="1" t="s">
        <v>2290</v>
      </c>
      <c r="E8102" s="1" t="n">
        <v>1681</v>
      </c>
      <c r="F8102" s="1" t="s">
        <v>1345</v>
      </c>
      <c r="I8102" s="1" t="n">
        <v>39504</v>
      </c>
      <c r="J8102" s="1" t="n">
        <v>14758</v>
      </c>
      <c r="K8102" s="1" t="n">
        <v>7896102509434</v>
      </c>
      <c r="L8102" s="1" t="s">
        <v>4908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5" t="n">
        <v>46253</v>
      </c>
      <c r="C8103" s="1" t="n">
        <v>11</v>
      </c>
      <c r="D8103" s="1" t="s">
        <v>2290</v>
      </c>
      <c r="E8103" s="1" t="n">
        <v>1681</v>
      </c>
      <c r="F8103" s="1" t="s">
        <v>1345</v>
      </c>
      <c r="I8103" s="1" t="n">
        <v>39504</v>
      </c>
      <c r="J8103" s="1" t="n">
        <v>27241</v>
      </c>
      <c r="K8103" s="1" t="n">
        <v>7898910758639</v>
      </c>
      <c r="L8103" s="1" t="s">
        <v>3142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5" t="n">
        <v>46253</v>
      </c>
      <c r="C8104" s="1" t="n">
        <v>11</v>
      </c>
      <c r="D8104" s="1" t="s">
        <v>2290</v>
      </c>
      <c r="E8104" s="1" t="n">
        <v>1681</v>
      </c>
      <c r="F8104" s="1" t="s">
        <v>1345</v>
      </c>
      <c r="I8104" s="1" t="n">
        <v>39504</v>
      </c>
      <c r="J8104" s="1" t="n">
        <v>27242</v>
      </c>
      <c r="K8104" s="1" t="n">
        <v>7898910758622</v>
      </c>
      <c r="L8104" s="1" t="s">
        <v>3143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5" t="n">
        <v>46253</v>
      </c>
      <c r="C8105" s="1" t="n">
        <v>11</v>
      </c>
      <c r="D8105" s="1" t="s">
        <v>2290</v>
      </c>
      <c r="E8105" s="1" t="n">
        <v>1681</v>
      </c>
      <c r="F8105" s="1" t="s">
        <v>1345</v>
      </c>
      <c r="I8105" s="1" t="n">
        <v>39504</v>
      </c>
      <c r="J8105" s="1" t="n">
        <v>27643</v>
      </c>
      <c r="K8105" s="1" t="n">
        <v>7894900031713</v>
      </c>
      <c r="L8105" s="1" t="s">
        <v>2881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5" t="n">
        <v>46253</v>
      </c>
      <c r="C8106" s="1" t="n">
        <v>11</v>
      </c>
      <c r="D8106" s="1" t="s">
        <v>2290</v>
      </c>
      <c r="E8106" s="1" t="n">
        <v>1681</v>
      </c>
      <c r="F8106" s="1" t="s">
        <v>1345</v>
      </c>
      <c r="I8106" s="1" t="n">
        <v>39504</v>
      </c>
      <c r="J8106" s="1" t="n">
        <v>28739</v>
      </c>
      <c r="K8106" s="1" t="n">
        <v>7894900027044</v>
      </c>
      <c r="L8106" s="1" t="s">
        <v>2883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5" t="n">
        <v>46253</v>
      </c>
      <c r="C8107" s="1" t="n">
        <v>11</v>
      </c>
      <c r="D8107" s="1" t="s">
        <v>2290</v>
      </c>
      <c r="E8107" s="1" t="n">
        <v>1681</v>
      </c>
      <c r="F8107" s="1" t="s">
        <v>1345</v>
      </c>
      <c r="I8107" s="1" t="n">
        <v>39504</v>
      </c>
      <c r="J8107" s="1" t="n">
        <v>37279</v>
      </c>
      <c r="K8107" s="1" t="n">
        <v>7894900027013</v>
      </c>
      <c r="L8107" s="1" t="s">
        <v>2305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5" t="n">
        <v>46253</v>
      </c>
      <c r="C8108" s="1" t="n">
        <v>11</v>
      </c>
      <c r="D8108" s="1" t="s">
        <v>2290</v>
      </c>
      <c r="E8108" s="1" t="n">
        <v>1681</v>
      </c>
      <c r="F8108" s="1" t="s">
        <v>1345</v>
      </c>
      <c r="I8108" s="1" t="n">
        <v>39504</v>
      </c>
      <c r="J8108" s="1" t="n">
        <v>37659</v>
      </c>
      <c r="K8108" s="1" t="n">
        <v>7898055454731</v>
      </c>
      <c r="L8108" s="1" t="s">
        <v>4909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5" t="n">
        <v>46253</v>
      </c>
      <c r="C8109" s="1" t="n">
        <v>11</v>
      </c>
      <c r="D8109" s="1" t="s">
        <v>2290</v>
      </c>
      <c r="E8109" s="1" t="n">
        <v>1681</v>
      </c>
      <c r="F8109" s="1" t="s">
        <v>1345</v>
      </c>
      <c r="I8109" s="1" t="n">
        <v>39504</v>
      </c>
      <c r="J8109" s="1" t="n">
        <v>38060</v>
      </c>
      <c r="K8109" s="1" t="n">
        <v>7894900701609</v>
      </c>
      <c r="L8109" s="1" t="s">
        <v>2884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5" t="n">
        <v>46253</v>
      </c>
      <c r="C8110" s="1" t="n">
        <v>11</v>
      </c>
      <c r="D8110" s="1" t="s">
        <v>2290</v>
      </c>
      <c r="E8110" s="1" t="n">
        <v>1681</v>
      </c>
      <c r="F8110" s="1" t="s">
        <v>1345</v>
      </c>
      <c r="I8110" s="1" t="n">
        <v>39504</v>
      </c>
      <c r="J8110" s="1" t="n">
        <v>41322</v>
      </c>
      <c r="K8110" s="1" t="n">
        <v>7897105200076</v>
      </c>
      <c r="L8110" s="1" t="s">
        <v>3639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5" t="n">
        <v>46253</v>
      </c>
      <c r="C8111" s="1" t="n">
        <v>11</v>
      </c>
      <c r="D8111" s="1" t="s">
        <v>2290</v>
      </c>
      <c r="E8111" s="1" t="n">
        <v>1681</v>
      </c>
      <c r="F8111" s="1" t="s">
        <v>1345</v>
      </c>
      <c r="I8111" s="1" t="n">
        <v>39504</v>
      </c>
      <c r="J8111" s="1" t="n">
        <v>43287</v>
      </c>
      <c r="K8111" s="1" t="n">
        <v>7898055454809</v>
      </c>
      <c r="L8111" s="1" t="s">
        <v>4910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5" t="n">
        <v>46253</v>
      </c>
      <c r="C8112" s="1" t="n">
        <v>11</v>
      </c>
      <c r="D8112" s="1" t="s">
        <v>2290</v>
      </c>
      <c r="E8112" s="1" t="n">
        <v>1681</v>
      </c>
      <c r="F8112" s="1" t="s">
        <v>1345</v>
      </c>
      <c r="I8112" s="1" t="n">
        <v>39504</v>
      </c>
      <c r="J8112" s="1" t="n">
        <v>43291</v>
      </c>
      <c r="K8112" s="1" t="n">
        <v>7898055454816</v>
      </c>
      <c r="L8112" s="1" t="s">
        <v>4911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5" t="n">
        <v>46253</v>
      </c>
      <c r="C8113" s="1" t="n">
        <v>11</v>
      </c>
      <c r="D8113" s="1" t="s">
        <v>2290</v>
      </c>
      <c r="E8113" s="1" t="n">
        <v>1681</v>
      </c>
      <c r="F8113" s="1" t="s">
        <v>1345</v>
      </c>
      <c r="I8113" s="1" t="n">
        <v>39504</v>
      </c>
      <c r="J8113" s="1" t="n">
        <v>43932</v>
      </c>
      <c r="K8113" s="1" t="n">
        <v>7898055454663</v>
      </c>
      <c r="L8113" s="1" t="s">
        <v>4912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5" t="n">
        <v>46253</v>
      </c>
      <c r="C8114" s="1" t="n">
        <v>11</v>
      </c>
      <c r="D8114" s="1" t="s">
        <v>2290</v>
      </c>
      <c r="E8114" s="1" t="n">
        <v>1681</v>
      </c>
      <c r="F8114" s="1" t="s">
        <v>1345</v>
      </c>
      <c r="I8114" s="1" t="n">
        <v>39504</v>
      </c>
      <c r="J8114" s="1" t="n">
        <v>57639</v>
      </c>
      <c r="K8114" s="1" t="n">
        <v>7896004006277</v>
      </c>
      <c r="L8114" s="1" t="s">
        <v>2364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5" t="n">
        <v>46253</v>
      </c>
      <c r="C8115" s="1" t="n">
        <v>11</v>
      </c>
      <c r="D8115" s="1" t="s">
        <v>2290</v>
      </c>
      <c r="E8115" s="1" t="n">
        <v>1645</v>
      </c>
      <c r="F8115" s="1" t="s">
        <v>1749</v>
      </c>
      <c r="I8115" s="1" t="n">
        <v>142650</v>
      </c>
      <c r="J8115" s="1" t="n">
        <v>101724</v>
      </c>
      <c r="K8115" s="1" t="n">
        <v>7897272900281</v>
      </c>
      <c r="L8115" s="1" t="s">
        <v>4913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5" t="n">
        <v>46253</v>
      </c>
      <c r="C8116" s="1" t="n">
        <v>11</v>
      </c>
      <c r="D8116" s="1" t="s">
        <v>2290</v>
      </c>
      <c r="E8116" s="1" t="n">
        <v>1645</v>
      </c>
      <c r="F8116" s="1" t="s">
        <v>1749</v>
      </c>
      <c r="I8116" s="1" t="n">
        <v>142650</v>
      </c>
      <c r="J8116" s="1" t="n">
        <v>101971</v>
      </c>
      <c r="K8116" s="1" t="n">
        <v>7897272900182</v>
      </c>
      <c r="L8116" s="1" t="s">
        <v>4914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5" t="n">
        <v>46253</v>
      </c>
      <c r="C8117" s="1" t="n">
        <v>11</v>
      </c>
      <c r="D8117" s="1" t="s">
        <v>2290</v>
      </c>
      <c r="E8117" s="1" t="n">
        <v>1645</v>
      </c>
      <c r="F8117" s="1" t="s">
        <v>1749</v>
      </c>
      <c r="I8117" s="1" t="n">
        <v>142650</v>
      </c>
      <c r="J8117" s="1" t="n">
        <v>101973</v>
      </c>
      <c r="K8117" s="1" t="n">
        <v>7897272900175</v>
      </c>
      <c r="L8117" s="1" t="s">
        <v>4915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5" t="n">
        <v>46253</v>
      </c>
      <c r="C8118" s="1" t="n">
        <v>11</v>
      </c>
      <c r="D8118" s="1" t="s">
        <v>2290</v>
      </c>
      <c r="E8118" s="1" t="n">
        <v>1645</v>
      </c>
      <c r="F8118" s="1" t="s">
        <v>1749</v>
      </c>
      <c r="I8118" s="1" t="n">
        <v>142650</v>
      </c>
      <c r="J8118" s="1" t="n">
        <v>101974</v>
      </c>
      <c r="K8118" s="1" t="n">
        <v>7897272900120</v>
      </c>
      <c r="L8118" s="1" t="s">
        <v>4314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5" t="n">
        <v>46253</v>
      </c>
      <c r="C8119" s="1" t="n">
        <v>11</v>
      </c>
      <c r="D8119" s="1" t="s">
        <v>2290</v>
      </c>
      <c r="E8119" s="1" t="n">
        <v>1645</v>
      </c>
      <c r="F8119" s="1" t="s">
        <v>1749</v>
      </c>
      <c r="I8119" s="1" t="n">
        <v>142650</v>
      </c>
      <c r="J8119" s="1" t="n">
        <v>101975</v>
      </c>
      <c r="K8119" s="1" t="n">
        <v>7897272900113</v>
      </c>
      <c r="L8119" s="1" t="s">
        <v>4315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5" t="n">
        <v>46253</v>
      </c>
      <c r="C8120" s="1" t="n">
        <v>11</v>
      </c>
      <c r="D8120" s="1" t="s">
        <v>2290</v>
      </c>
      <c r="E8120" s="1" t="n">
        <v>1645</v>
      </c>
      <c r="F8120" s="1" t="s">
        <v>1749</v>
      </c>
      <c r="I8120" s="1" t="n">
        <v>142650</v>
      </c>
      <c r="J8120" s="1" t="n">
        <v>101977</v>
      </c>
      <c r="K8120" s="1" t="n">
        <v>7897272900151</v>
      </c>
      <c r="L8120" s="1" t="s">
        <v>4316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5" t="n">
        <v>46253</v>
      </c>
      <c r="C8121" s="1" t="n">
        <v>11</v>
      </c>
      <c r="D8121" s="1" t="s">
        <v>2290</v>
      </c>
      <c r="E8121" s="1" t="n">
        <v>1645</v>
      </c>
      <c r="F8121" s="1" t="s">
        <v>1749</v>
      </c>
      <c r="I8121" s="1" t="n">
        <v>142650</v>
      </c>
      <c r="J8121" s="1" t="n">
        <v>101979</v>
      </c>
      <c r="K8121" s="1" t="n">
        <v>7897272900106</v>
      </c>
      <c r="L8121" s="1" t="s">
        <v>4317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5" t="n">
        <v>46253</v>
      </c>
      <c r="C8122" s="1" t="n">
        <v>11</v>
      </c>
      <c r="D8122" s="1" t="s">
        <v>2290</v>
      </c>
      <c r="E8122" s="1" t="n">
        <v>1645</v>
      </c>
      <c r="F8122" s="1" t="s">
        <v>1749</v>
      </c>
      <c r="I8122" s="1" t="n">
        <v>142650</v>
      </c>
      <c r="J8122" s="1" t="n">
        <v>103862</v>
      </c>
      <c r="K8122" s="1" t="n">
        <v>7897272900168</v>
      </c>
      <c r="L8122" s="1" t="s">
        <v>4916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5" t="n">
        <v>46253</v>
      </c>
      <c r="C8123" s="1" t="n">
        <v>11</v>
      </c>
      <c r="D8123" s="1" t="s">
        <v>2290</v>
      </c>
      <c r="E8123" s="1" t="n">
        <v>1645</v>
      </c>
      <c r="F8123" s="1" t="s">
        <v>1749</v>
      </c>
      <c r="I8123" s="1" t="n">
        <v>142650</v>
      </c>
      <c r="J8123" s="1" t="n">
        <v>27802</v>
      </c>
      <c r="K8123" s="1" t="n">
        <v>7897272900199</v>
      </c>
      <c r="L8123" s="1" t="s">
        <v>4917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5" t="n">
        <v>46253</v>
      </c>
      <c r="C8124" s="1" t="n">
        <v>11</v>
      </c>
      <c r="D8124" s="1" t="s">
        <v>2290</v>
      </c>
      <c r="E8124" s="1" t="n">
        <v>1734</v>
      </c>
      <c r="F8124" s="1" t="s">
        <v>125</v>
      </c>
      <c r="I8124" s="1" t="n">
        <v>258044</v>
      </c>
      <c r="J8124" s="1" t="n">
        <v>38212</v>
      </c>
      <c r="K8124" s="1" t="n">
        <v>7898055451624</v>
      </c>
      <c r="L8124" s="1" t="s">
        <v>2701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5" t="n">
        <v>46253</v>
      </c>
      <c r="C8125" s="1" t="n">
        <v>11</v>
      </c>
      <c r="D8125" s="1" t="s">
        <v>2290</v>
      </c>
      <c r="E8125" s="1" t="n">
        <v>1734</v>
      </c>
      <c r="F8125" s="1" t="s">
        <v>125</v>
      </c>
      <c r="I8125" s="1" t="n">
        <v>258044</v>
      </c>
      <c r="J8125" s="1" t="n">
        <v>38216</v>
      </c>
      <c r="K8125" s="1" t="n">
        <v>7898055454281</v>
      </c>
      <c r="L8125" s="1" t="s">
        <v>2703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5" t="n">
        <v>46253</v>
      </c>
      <c r="C8126" s="1" t="n">
        <v>11</v>
      </c>
      <c r="D8126" s="1" t="s">
        <v>2290</v>
      </c>
      <c r="E8126" s="1" t="n">
        <v>1734</v>
      </c>
      <c r="F8126" s="1" t="s">
        <v>125</v>
      </c>
      <c r="I8126" s="1" t="n">
        <v>258044</v>
      </c>
      <c r="J8126" s="1" t="n">
        <v>38218</v>
      </c>
      <c r="K8126" s="1" t="n">
        <v>7898055454298</v>
      </c>
      <c r="L8126" s="1" t="s">
        <v>4002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5" t="n">
        <v>46253</v>
      </c>
      <c r="C8127" s="1" t="n">
        <v>11</v>
      </c>
      <c r="D8127" s="1" t="s">
        <v>2290</v>
      </c>
      <c r="E8127" s="1" t="n">
        <v>1734</v>
      </c>
      <c r="F8127" s="1" t="s">
        <v>125</v>
      </c>
      <c r="I8127" s="1" t="n">
        <v>258044</v>
      </c>
      <c r="J8127" s="1" t="n">
        <v>38221</v>
      </c>
      <c r="K8127" s="1" t="n">
        <v>7898055452102</v>
      </c>
      <c r="L8127" s="1" t="s">
        <v>2704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5" t="n">
        <v>46253</v>
      </c>
      <c r="C8128" s="1" t="n">
        <v>11</v>
      </c>
      <c r="D8128" s="1" t="s">
        <v>2290</v>
      </c>
      <c r="E8128" s="1" t="n">
        <v>1734</v>
      </c>
      <c r="F8128" s="1" t="s">
        <v>125</v>
      </c>
      <c r="I8128" s="1" t="n">
        <v>258044</v>
      </c>
      <c r="J8128" s="1" t="n">
        <v>38789</v>
      </c>
      <c r="K8128" s="1" t="n">
        <v>7898055451754</v>
      </c>
      <c r="L8128" s="1" t="s">
        <v>4003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5" t="n">
        <v>46253</v>
      </c>
      <c r="C8129" s="1" t="n">
        <v>11</v>
      </c>
      <c r="D8129" s="1" t="s">
        <v>2290</v>
      </c>
      <c r="E8129" s="1" t="n">
        <v>1734</v>
      </c>
      <c r="F8129" s="1" t="s">
        <v>125</v>
      </c>
      <c r="I8129" s="1" t="n">
        <v>258044</v>
      </c>
      <c r="J8129" s="1" t="n">
        <v>38790</v>
      </c>
      <c r="K8129" s="1" t="n">
        <v>7898055453659</v>
      </c>
      <c r="L8129" s="1" t="s">
        <v>3669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5" t="n">
        <v>46253</v>
      </c>
      <c r="C8130" s="1" t="n">
        <v>11</v>
      </c>
      <c r="D8130" s="1" t="s">
        <v>2290</v>
      </c>
      <c r="E8130" s="1" t="n">
        <v>1734</v>
      </c>
      <c r="F8130" s="1" t="s">
        <v>125</v>
      </c>
      <c r="I8130" s="1" t="n">
        <v>258044</v>
      </c>
      <c r="J8130" s="1" t="n">
        <v>39440</v>
      </c>
      <c r="K8130" s="1" t="n">
        <v>7898055451662</v>
      </c>
      <c r="L8130" s="1" t="s">
        <v>2706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5" t="n">
        <v>46253</v>
      </c>
      <c r="C8131" s="1" t="n">
        <v>11</v>
      </c>
      <c r="D8131" s="1" t="s">
        <v>2290</v>
      </c>
      <c r="E8131" s="1" t="n">
        <v>1734</v>
      </c>
      <c r="F8131" s="1" t="s">
        <v>125</v>
      </c>
      <c r="I8131" s="1" t="n">
        <v>258044</v>
      </c>
      <c r="J8131" s="1" t="n">
        <v>57285</v>
      </c>
      <c r="K8131" s="1" t="n">
        <v>7898055455196</v>
      </c>
      <c r="L8131" s="1" t="s">
        <v>4918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5" t="n">
        <v>46253</v>
      </c>
      <c r="C8132" s="1" t="n">
        <v>11</v>
      </c>
      <c r="D8132" s="1" t="s">
        <v>2290</v>
      </c>
      <c r="E8132" s="1" t="n">
        <v>1734</v>
      </c>
      <c r="F8132" s="1" t="s">
        <v>125</v>
      </c>
      <c r="I8132" s="1" t="n">
        <v>258044</v>
      </c>
      <c r="J8132" s="1" t="n">
        <v>59560</v>
      </c>
      <c r="K8132" s="1" t="n">
        <v>7898055455332</v>
      </c>
      <c r="L8132" s="1" t="s">
        <v>4686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5" t="n">
        <v>46253</v>
      </c>
      <c r="C8133" s="1" t="n">
        <v>11</v>
      </c>
      <c r="D8133" s="1" t="s">
        <v>2290</v>
      </c>
      <c r="E8133" s="1" t="n">
        <v>1734</v>
      </c>
      <c r="F8133" s="1" t="s">
        <v>125</v>
      </c>
      <c r="I8133" s="1" t="n">
        <v>258044</v>
      </c>
      <c r="J8133" s="1" t="n">
        <v>78071</v>
      </c>
      <c r="K8133" s="1" t="n">
        <v>7898055455622</v>
      </c>
      <c r="L8133" s="1" t="s">
        <v>2389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5" t="n">
        <v>46253</v>
      </c>
      <c r="C8134" s="1" t="n">
        <v>11</v>
      </c>
      <c r="D8134" s="1" t="s">
        <v>2290</v>
      </c>
      <c r="E8134" s="1" t="n">
        <v>1734</v>
      </c>
      <c r="F8134" s="1" t="s">
        <v>125</v>
      </c>
      <c r="I8134" s="1" t="n">
        <v>258045</v>
      </c>
      <c r="J8134" s="1" t="n">
        <v>50149</v>
      </c>
      <c r="K8134" s="1" t="n">
        <v>7898055450870</v>
      </c>
      <c r="L8134" s="1" t="s">
        <v>4919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5" t="n">
        <v>46253</v>
      </c>
      <c r="C8135" s="1" t="n">
        <v>11</v>
      </c>
      <c r="D8135" s="1" t="s">
        <v>2290</v>
      </c>
      <c r="E8135" s="1" t="n">
        <v>1734</v>
      </c>
      <c r="F8135" s="1" t="s">
        <v>125</v>
      </c>
      <c r="I8135" s="1" t="n">
        <v>258045</v>
      </c>
      <c r="J8135" s="1" t="n">
        <v>38215</v>
      </c>
      <c r="K8135" s="1" t="n">
        <v>7898055450474</v>
      </c>
      <c r="L8135" s="1" t="s">
        <v>2719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5" t="n">
        <v>46253</v>
      </c>
      <c r="C8136" s="1" t="n">
        <v>11</v>
      </c>
      <c r="D8136" s="1" t="s">
        <v>2290</v>
      </c>
      <c r="E8136" s="1" t="n">
        <v>1734</v>
      </c>
      <c r="F8136" s="1" t="s">
        <v>125</v>
      </c>
      <c r="I8136" s="1" t="n">
        <v>258045</v>
      </c>
      <c r="J8136" s="1" t="n">
        <v>38783</v>
      </c>
      <c r="K8136" s="1" t="n">
        <v>7898055450481</v>
      </c>
      <c r="L8136" s="1" t="s">
        <v>3200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5" t="n">
        <v>46253</v>
      </c>
      <c r="C8137" s="1" t="n">
        <v>11</v>
      </c>
      <c r="D8137" s="1" t="s">
        <v>2290</v>
      </c>
      <c r="E8137" s="1" t="n">
        <v>1734</v>
      </c>
      <c r="F8137" s="1" t="s">
        <v>125</v>
      </c>
      <c r="I8137" s="1" t="n">
        <v>258045</v>
      </c>
      <c r="J8137" s="1" t="n">
        <v>38784</v>
      </c>
      <c r="K8137" s="1" t="n">
        <v>7898055450320</v>
      </c>
      <c r="L8137" s="1" t="s">
        <v>2721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5" t="n">
        <v>46253</v>
      </c>
      <c r="C8138" s="1" t="n">
        <v>11</v>
      </c>
      <c r="D8138" s="1" t="s">
        <v>2290</v>
      </c>
      <c r="E8138" s="1" t="n">
        <v>1734</v>
      </c>
      <c r="F8138" s="1" t="s">
        <v>125</v>
      </c>
      <c r="I8138" s="1" t="n">
        <v>258045</v>
      </c>
      <c r="J8138" s="1" t="n">
        <v>38791</v>
      </c>
      <c r="K8138" s="1" t="n">
        <v>7898055450931</v>
      </c>
      <c r="L8138" s="1" t="s">
        <v>2377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5" t="n">
        <v>46253</v>
      </c>
      <c r="C8139" s="1" t="n">
        <v>11</v>
      </c>
      <c r="D8139" s="1" t="s">
        <v>2290</v>
      </c>
      <c r="E8139" s="1" t="n">
        <v>1734</v>
      </c>
      <c r="F8139" s="1" t="s">
        <v>125</v>
      </c>
      <c r="I8139" s="1" t="n">
        <v>258045</v>
      </c>
      <c r="J8139" s="1" t="n">
        <v>38792</v>
      </c>
      <c r="K8139" s="1" t="n">
        <v>7898055450894</v>
      </c>
      <c r="L8139" s="1" t="s">
        <v>3201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5" t="n">
        <v>46253</v>
      </c>
      <c r="C8140" s="1" t="n">
        <v>11</v>
      </c>
      <c r="D8140" s="1" t="s">
        <v>2290</v>
      </c>
      <c r="E8140" s="1" t="n">
        <v>1734</v>
      </c>
      <c r="F8140" s="1" t="s">
        <v>125</v>
      </c>
      <c r="I8140" s="1" t="n">
        <v>258045</v>
      </c>
      <c r="J8140" s="1" t="n">
        <v>40713</v>
      </c>
      <c r="K8140" s="1" t="n">
        <v>7898055452294</v>
      </c>
      <c r="L8140" s="1" t="s">
        <v>3684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5" t="n">
        <v>46253</v>
      </c>
      <c r="C8141" s="1" t="n">
        <v>11</v>
      </c>
      <c r="D8141" s="1" t="s">
        <v>2290</v>
      </c>
      <c r="E8141" s="1" t="n">
        <v>1734</v>
      </c>
      <c r="F8141" s="1" t="s">
        <v>125</v>
      </c>
      <c r="I8141" s="1" t="n">
        <v>258045</v>
      </c>
      <c r="J8141" s="1" t="n">
        <v>46813</v>
      </c>
      <c r="K8141" s="1" t="n">
        <v>7898055450351</v>
      </c>
      <c r="L8141" s="1" t="s">
        <v>3203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5" t="n">
        <v>46253</v>
      </c>
      <c r="C8142" s="1" t="n">
        <v>11</v>
      </c>
      <c r="D8142" s="1" t="s">
        <v>2290</v>
      </c>
      <c r="E8142" s="1" t="n">
        <v>1734</v>
      </c>
      <c r="F8142" s="1" t="s">
        <v>125</v>
      </c>
      <c r="I8142" s="1" t="n">
        <v>258045</v>
      </c>
      <c r="J8142" s="1" t="n">
        <v>81026</v>
      </c>
      <c r="K8142" s="1" t="n">
        <v>7898055455745</v>
      </c>
      <c r="L8142" s="1" t="s">
        <v>2726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5" t="n">
        <v>46253</v>
      </c>
      <c r="C8143" s="1" t="n">
        <v>11</v>
      </c>
      <c r="D8143" s="1" t="s">
        <v>2290</v>
      </c>
      <c r="E8143" s="1" t="n">
        <v>1740</v>
      </c>
      <c r="F8143" s="1" t="s">
        <v>170</v>
      </c>
      <c r="I8143" s="1" t="n">
        <v>1260900</v>
      </c>
      <c r="J8143" s="1" t="n">
        <v>108591</v>
      </c>
      <c r="K8143" s="1" t="n">
        <v>8461</v>
      </c>
      <c r="L8143" s="1" t="s">
        <v>3269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5" t="n">
        <v>46253</v>
      </c>
      <c r="C8144" s="1" t="n">
        <v>11</v>
      </c>
      <c r="D8144" s="1" t="s">
        <v>2290</v>
      </c>
      <c r="E8144" s="1" t="n">
        <v>1740</v>
      </c>
      <c r="F8144" s="1" t="s">
        <v>170</v>
      </c>
      <c r="I8144" s="1" t="n">
        <v>1260900</v>
      </c>
      <c r="J8144" s="1" t="n">
        <v>57636</v>
      </c>
      <c r="K8144" s="1" t="n">
        <v>7891164026240</v>
      </c>
      <c r="L8144" s="1" t="s">
        <v>3098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5" t="n">
        <v>46253</v>
      </c>
      <c r="C8145" s="1" t="n">
        <v>11</v>
      </c>
      <c r="D8145" s="1" t="s">
        <v>2290</v>
      </c>
      <c r="E8145" s="1" t="n">
        <v>1740</v>
      </c>
      <c r="F8145" s="1" t="s">
        <v>170</v>
      </c>
      <c r="I8145" s="1" t="n">
        <v>1260900</v>
      </c>
      <c r="J8145" s="1" t="n">
        <v>63508</v>
      </c>
      <c r="K8145" s="1" t="n">
        <v>7891164110697</v>
      </c>
      <c r="L8145" s="1" t="s">
        <v>2850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5" t="n">
        <v>46253</v>
      </c>
      <c r="C8146" s="1" t="n">
        <v>11</v>
      </c>
      <c r="D8146" s="1" t="s">
        <v>2290</v>
      </c>
      <c r="E8146" s="1" t="n">
        <v>1740</v>
      </c>
      <c r="F8146" s="1" t="s">
        <v>170</v>
      </c>
      <c r="I8146" s="1" t="n">
        <v>1260900</v>
      </c>
      <c r="J8146" s="1" t="n">
        <v>64280</v>
      </c>
      <c r="K8146" s="1" t="n">
        <v>7891164007171</v>
      </c>
      <c r="L8146" s="1" t="s">
        <v>4920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5" t="n">
        <v>46253</v>
      </c>
      <c r="C8147" s="1" t="n">
        <v>11</v>
      </c>
      <c r="D8147" s="1" t="s">
        <v>2290</v>
      </c>
      <c r="E8147" s="1" t="n">
        <v>1740</v>
      </c>
      <c r="F8147" s="1" t="s">
        <v>170</v>
      </c>
      <c r="I8147" s="1" t="n">
        <v>1260900</v>
      </c>
      <c r="J8147" s="1" t="n">
        <v>81469</v>
      </c>
      <c r="K8147" s="1" t="n">
        <v>7898681940042</v>
      </c>
      <c r="L8147" s="1" t="s">
        <v>4029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5" t="n">
        <v>46253</v>
      </c>
      <c r="C8148" s="1" t="n">
        <v>11</v>
      </c>
      <c r="D8148" s="1" t="s">
        <v>2290</v>
      </c>
      <c r="E8148" s="1" t="n">
        <v>10009</v>
      </c>
      <c r="F8148" s="1" t="s">
        <v>373</v>
      </c>
      <c r="I8148" s="1" t="n">
        <v>1440073</v>
      </c>
      <c r="J8148" s="1" t="n">
        <v>40074</v>
      </c>
      <c r="K8148" s="1" t="n">
        <v>7891008121773</v>
      </c>
      <c r="L8148" s="1" t="s">
        <v>4083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5" t="n">
        <v>46253</v>
      </c>
      <c r="C8149" s="1" t="n">
        <v>11</v>
      </c>
      <c r="D8149" s="1" t="s">
        <v>2290</v>
      </c>
      <c r="E8149" s="1" t="n">
        <v>10009</v>
      </c>
      <c r="F8149" s="1" t="s">
        <v>373</v>
      </c>
      <c r="I8149" s="1" t="n">
        <v>1440073</v>
      </c>
      <c r="J8149" s="1" t="n">
        <v>40081</v>
      </c>
      <c r="K8149" s="1" t="n">
        <v>7891008121728</v>
      </c>
      <c r="L8149" s="1" t="s">
        <v>4084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5" t="n">
        <v>46253</v>
      </c>
      <c r="C8150" s="1" t="n">
        <v>11</v>
      </c>
      <c r="D8150" s="1" t="s">
        <v>2290</v>
      </c>
      <c r="E8150" s="1" t="n">
        <v>10009</v>
      </c>
      <c r="F8150" s="1" t="s">
        <v>373</v>
      </c>
      <c r="I8150" s="1" t="n">
        <v>1440073</v>
      </c>
      <c r="J8150" s="1" t="n">
        <v>40217</v>
      </c>
      <c r="K8150" s="1" t="n">
        <v>7891008121827</v>
      </c>
      <c r="L8150" s="1" t="s">
        <v>4085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5" t="n">
        <v>46253</v>
      </c>
      <c r="C8151" s="1" t="n">
        <v>11</v>
      </c>
      <c r="D8151" s="1" t="s">
        <v>2290</v>
      </c>
      <c r="E8151" s="1" t="n">
        <v>10009</v>
      </c>
      <c r="F8151" s="1" t="s">
        <v>373</v>
      </c>
      <c r="I8151" s="1" t="n">
        <v>1440073</v>
      </c>
      <c r="J8151" s="1" t="n">
        <v>26982</v>
      </c>
      <c r="K8151" s="1" t="n">
        <v>7891000255445</v>
      </c>
      <c r="L8151" s="1" t="s">
        <v>3895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5" t="n">
        <v>46253</v>
      </c>
      <c r="C8152" s="1" t="n">
        <v>11</v>
      </c>
      <c r="D8152" s="1" t="s">
        <v>2290</v>
      </c>
      <c r="E8152" s="1" t="n">
        <v>10009</v>
      </c>
      <c r="F8152" s="1" t="s">
        <v>373</v>
      </c>
      <c r="I8152" s="1" t="n">
        <v>1440073</v>
      </c>
      <c r="J8152" s="1" t="n">
        <v>54907</v>
      </c>
      <c r="K8152" s="1" t="n">
        <v>7891000376768</v>
      </c>
      <c r="L8152" s="1" t="s">
        <v>2608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5" t="n">
        <v>46253</v>
      </c>
      <c r="C8153" s="1" t="n">
        <v>11</v>
      </c>
      <c r="D8153" s="1" t="s">
        <v>2290</v>
      </c>
      <c r="E8153" s="1" t="n">
        <v>10009</v>
      </c>
      <c r="F8153" s="1" t="s">
        <v>373</v>
      </c>
      <c r="I8153" s="1" t="n">
        <v>1440073</v>
      </c>
      <c r="J8153" s="1" t="n">
        <v>66436</v>
      </c>
      <c r="K8153" s="1" t="n">
        <v>7891000389300</v>
      </c>
      <c r="L8153" s="1" t="s">
        <v>4921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5" t="n">
        <v>46253</v>
      </c>
      <c r="C8154" s="1" t="n">
        <v>22</v>
      </c>
      <c r="D8154" s="1" t="s">
        <v>2436</v>
      </c>
      <c r="E8154" s="1" t="n">
        <v>42</v>
      </c>
      <c r="F8154" s="1" t="s">
        <v>80</v>
      </c>
      <c r="I8154" s="1" t="n">
        <v>4522</v>
      </c>
      <c r="J8154" s="1" t="n">
        <v>100000</v>
      </c>
      <c r="K8154" s="1" t="n">
        <v>1</v>
      </c>
      <c r="L8154" s="1" t="s">
        <v>2451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5" t="n">
        <v>46253</v>
      </c>
      <c r="C8155" s="1" t="n">
        <v>22</v>
      </c>
      <c r="D8155" s="1" t="s">
        <v>2436</v>
      </c>
      <c r="E8155" s="1" t="n">
        <v>42</v>
      </c>
      <c r="F8155" s="1" t="s">
        <v>80</v>
      </c>
      <c r="I8155" s="1" t="n">
        <v>4522</v>
      </c>
      <c r="J8155" s="1" t="n">
        <v>100001</v>
      </c>
      <c r="K8155" s="1" t="n">
        <v>2</v>
      </c>
      <c r="L8155" s="1" t="s">
        <v>2452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5" t="n">
        <v>46253</v>
      </c>
      <c r="C8156" s="1" t="n">
        <v>22</v>
      </c>
      <c r="D8156" s="1" t="s">
        <v>2436</v>
      </c>
      <c r="E8156" s="1" t="n">
        <v>42</v>
      </c>
      <c r="F8156" s="1" t="s">
        <v>80</v>
      </c>
      <c r="I8156" s="1" t="n">
        <v>4522</v>
      </c>
      <c r="J8156" s="1" t="n">
        <v>100002</v>
      </c>
      <c r="K8156" s="1" t="n">
        <v>3</v>
      </c>
      <c r="L8156" s="1" t="s">
        <v>2453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5" t="n">
        <v>46253</v>
      </c>
      <c r="C8157" s="1" t="n">
        <v>22</v>
      </c>
      <c r="D8157" s="1" t="s">
        <v>2436</v>
      </c>
      <c r="E8157" s="1" t="n">
        <v>42</v>
      </c>
      <c r="F8157" s="1" t="s">
        <v>80</v>
      </c>
      <c r="I8157" s="1" t="n">
        <v>4522</v>
      </c>
      <c r="J8157" s="1" t="n">
        <v>100003</v>
      </c>
      <c r="K8157" s="1" t="n">
        <v>4</v>
      </c>
      <c r="L8157" s="1" t="s">
        <v>2454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5" t="n">
        <v>46253</v>
      </c>
      <c r="C8158" s="1" t="n">
        <v>22</v>
      </c>
      <c r="D8158" s="1" t="s">
        <v>2436</v>
      </c>
      <c r="E8158" s="1" t="n">
        <v>42</v>
      </c>
      <c r="F8158" s="1" t="s">
        <v>80</v>
      </c>
      <c r="I8158" s="1" t="n">
        <v>4522</v>
      </c>
      <c r="J8158" s="1" t="n">
        <v>100006</v>
      </c>
      <c r="K8158" s="1" t="n">
        <v>7</v>
      </c>
      <c r="L8158" s="1" t="s">
        <v>2437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5" t="n">
        <v>46253</v>
      </c>
      <c r="C8159" s="1" t="n">
        <v>22</v>
      </c>
      <c r="D8159" s="1" t="s">
        <v>2436</v>
      </c>
      <c r="E8159" s="1" t="n">
        <v>42</v>
      </c>
      <c r="F8159" s="1" t="s">
        <v>80</v>
      </c>
      <c r="I8159" s="1" t="n">
        <v>4522</v>
      </c>
      <c r="J8159" s="1" t="n">
        <v>100006</v>
      </c>
      <c r="K8159" s="1" t="n">
        <v>7</v>
      </c>
      <c r="L8159" s="1" t="s">
        <v>2437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5" t="n">
        <v>46253</v>
      </c>
      <c r="C8160" s="1" t="n">
        <v>22</v>
      </c>
      <c r="D8160" s="1" t="s">
        <v>2436</v>
      </c>
      <c r="E8160" s="1" t="n">
        <v>42</v>
      </c>
      <c r="F8160" s="1" t="s">
        <v>80</v>
      </c>
      <c r="I8160" s="1" t="n">
        <v>4522</v>
      </c>
      <c r="J8160" s="1" t="n">
        <v>100007</v>
      </c>
      <c r="K8160" s="1" t="n">
        <v>8</v>
      </c>
      <c r="L8160" s="1" t="s">
        <v>2455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5" t="n">
        <v>46253</v>
      </c>
      <c r="C8161" s="1" t="n">
        <v>22</v>
      </c>
      <c r="D8161" s="1" t="s">
        <v>2436</v>
      </c>
      <c r="E8161" s="1" t="n">
        <v>42</v>
      </c>
      <c r="F8161" s="1" t="s">
        <v>80</v>
      </c>
      <c r="I8161" s="1" t="n">
        <v>4522</v>
      </c>
      <c r="J8161" s="1" t="n">
        <v>100008</v>
      </c>
      <c r="K8161" s="1" t="n">
        <v>9</v>
      </c>
      <c r="L8161" s="1" t="s">
        <v>2438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5" t="n">
        <v>46253</v>
      </c>
      <c r="C8162" s="1" t="n">
        <v>22</v>
      </c>
      <c r="D8162" s="1" t="s">
        <v>2436</v>
      </c>
      <c r="E8162" s="1" t="n">
        <v>42</v>
      </c>
      <c r="F8162" s="1" t="s">
        <v>80</v>
      </c>
      <c r="I8162" s="1" t="n">
        <v>4522</v>
      </c>
      <c r="J8162" s="1" t="n">
        <v>100010</v>
      </c>
      <c r="K8162" s="1" t="n">
        <v>11</v>
      </c>
      <c r="L8162" s="1" t="s">
        <v>2439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5" t="n">
        <v>46253</v>
      </c>
      <c r="C8163" s="1" t="n">
        <v>22</v>
      </c>
      <c r="D8163" s="1" t="s">
        <v>2436</v>
      </c>
      <c r="E8163" s="1" t="n">
        <v>42</v>
      </c>
      <c r="F8163" s="1" t="s">
        <v>80</v>
      </c>
      <c r="I8163" s="1" t="n">
        <v>4522</v>
      </c>
      <c r="J8163" s="1" t="n">
        <v>100010</v>
      </c>
      <c r="K8163" s="1" t="n">
        <v>11</v>
      </c>
      <c r="L8163" s="1" t="s">
        <v>2439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5" t="n">
        <v>46253</v>
      </c>
      <c r="C8164" s="1" t="n">
        <v>22</v>
      </c>
      <c r="D8164" s="1" t="s">
        <v>2436</v>
      </c>
      <c r="E8164" s="1" t="n">
        <v>42</v>
      </c>
      <c r="F8164" s="1" t="s">
        <v>80</v>
      </c>
      <c r="I8164" s="1" t="n">
        <v>4522</v>
      </c>
      <c r="J8164" s="1" t="n">
        <v>100011</v>
      </c>
      <c r="K8164" s="1" t="n">
        <v>12</v>
      </c>
      <c r="L8164" s="1" t="s">
        <v>2440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5" t="n">
        <v>46253</v>
      </c>
      <c r="C8165" s="1" t="n">
        <v>22</v>
      </c>
      <c r="D8165" s="1" t="s">
        <v>2436</v>
      </c>
      <c r="E8165" s="1" t="n">
        <v>42</v>
      </c>
      <c r="F8165" s="1" t="s">
        <v>80</v>
      </c>
      <c r="I8165" s="1" t="n">
        <v>4522</v>
      </c>
      <c r="J8165" s="1" t="n">
        <v>100011</v>
      </c>
      <c r="K8165" s="1" t="n">
        <v>12</v>
      </c>
      <c r="L8165" s="1" t="s">
        <v>2440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5" t="n">
        <v>46253</v>
      </c>
      <c r="C8166" s="1" t="n">
        <v>22</v>
      </c>
      <c r="D8166" s="1" t="s">
        <v>2436</v>
      </c>
      <c r="E8166" s="1" t="n">
        <v>42</v>
      </c>
      <c r="F8166" s="1" t="s">
        <v>80</v>
      </c>
      <c r="I8166" s="1" t="n">
        <v>4522</v>
      </c>
      <c r="J8166" s="1" t="n">
        <v>100012</v>
      </c>
      <c r="K8166" s="1" t="n">
        <v>13</v>
      </c>
      <c r="L8166" s="1" t="s">
        <v>2441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5" t="n">
        <v>46253</v>
      </c>
      <c r="C8167" s="1" t="n">
        <v>22</v>
      </c>
      <c r="D8167" s="1" t="s">
        <v>2436</v>
      </c>
      <c r="E8167" s="1" t="n">
        <v>42</v>
      </c>
      <c r="F8167" s="1" t="s">
        <v>80</v>
      </c>
      <c r="I8167" s="1" t="n">
        <v>4522</v>
      </c>
      <c r="J8167" s="1" t="n">
        <v>100012</v>
      </c>
      <c r="K8167" s="1" t="n">
        <v>13</v>
      </c>
      <c r="L8167" s="1" t="s">
        <v>2441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5" t="n">
        <v>46253</v>
      </c>
      <c r="C8168" s="1" t="n">
        <v>22</v>
      </c>
      <c r="D8168" s="1" t="s">
        <v>2436</v>
      </c>
      <c r="E8168" s="1" t="n">
        <v>42</v>
      </c>
      <c r="F8168" s="1" t="s">
        <v>80</v>
      </c>
      <c r="I8168" s="1" t="n">
        <v>4522</v>
      </c>
      <c r="J8168" s="1" t="n">
        <v>100013</v>
      </c>
      <c r="K8168" s="1" t="n">
        <v>14</v>
      </c>
      <c r="L8168" s="1" t="s">
        <v>2442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5" t="n">
        <v>46253</v>
      </c>
      <c r="C8169" s="1" t="n">
        <v>22</v>
      </c>
      <c r="D8169" s="1" t="s">
        <v>2436</v>
      </c>
      <c r="E8169" s="1" t="n">
        <v>42</v>
      </c>
      <c r="F8169" s="1" t="s">
        <v>80</v>
      </c>
      <c r="I8169" s="1" t="n">
        <v>4522</v>
      </c>
      <c r="J8169" s="1" t="n">
        <v>100013</v>
      </c>
      <c r="K8169" s="1" t="n">
        <v>14</v>
      </c>
      <c r="L8169" s="1" t="s">
        <v>2442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5" t="n">
        <v>46253</v>
      </c>
      <c r="C8170" s="1" t="n">
        <v>22</v>
      </c>
      <c r="D8170" s="1" t="s">
        <v>2436</v>
      </c>
      <c r="E8170" s="1" t="n">
        <v>42</v>
      </c>
      <c r="F8170" s="1" t="s">
        <v>80</v>
      </c>
      <c r="I8170" s="1" t="n">
        <v>4522</v>
      </c>
      <c r="J8170" s="1" t="n">
        <v>100014</v>
      </c>
      <c r="K8170" s="1" t="n">
        <v>15</v>
      </c>
      <c r="L8170" s="1" t="s">
        <v>2443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5" t="n">
        <v>46253</v>
      </c>
      <c r="C8171" s="1" t="n">
        <v>22</v>
      </c>
      <c r="D8171" s="1" t="s">
        <v>2436</v>
      </c>
      <c r="E8171" s="1" t="n">
        <v>42</v>
      </c>
      <c r="F8171" s="1" t="s">
        <v>80</v>
      </c>
      <c r="I8171" s="1" t="n">
        <v>4522</v>
      </c>
      <c r="J8171" s="1" t="n">
        <v>100014</v>
      </c>
      <c r="K8171" s="1" t="n">
        <v>15</v>
      </c>
      <c r="L8171" s="1" t="s">
        <v>2443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5" t="n">
        <v>46253</v>
      </c>
      <c r="C8172" s="1" t="n">
        <v>22</v>
      </c>
      <c r="D8172" s="1" t="s">
        <v>2436</v>
      </c>
      <c r="E8172" s="1" t="n">
        <v>42</v>
      </c>
      <c r="F8172" s="1" t="s">
        <v>80</v>
      </c>
      <c r="I8172" s="1" t="n">
        <v>4522</v>
      </c>
      <c r="J8172" s="1" t="n">
        <v>100015</v>
      </c>
      <c r="K8172" s="1" t="n">
        <v>16</v>
      </c>
      <c r="L8172" s="1" t="s">
        <v>2444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5" t="n">
        <v>46253</v>
      </c>
      <c r="C8173" s="1" t="n">
        <v>22</v>
      </c>
      <c r="D8173" s="1" t="s">
        <v>2436</v>
      </c>
      <c r="E8173" s="1" t="n">
        <v>42</v>
      </c>
      <c r="F8173" s="1" t="s">
        <v>80</v>
      </c>
      <c r="I8173" s="1" t="n">
        <v>4522</v>
      </c>
      <c r="J8173" s="1" t="n">
        <v>100015</v>
      </c>
      <c r="K8173" s="1" t="n">
        <v>16</v>
      </c>
      <c r="L8173" s="1" t="s">
        <v>2444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5" t="n">
        <v>46253</v>
      </c>
      <c r="C8174" s="1" t="n">
        <v>22</v>
      </c>
      <c r="D8174" s="1" t="s">
        <v>2436</v>
      </c>
      <c r="E8174" s="1" t="n">
        <v>42</v>
      </c>
      <c r="F8174" s="1" t="s">
        <v>80</v>
      </c>
      <c r="I8174" s="1" t="n">
        <v>4522</v>
      </c>
      <c r="J8174" s="1" t="n">
        <v>100016</v>
      </c>
      <c r="K8174" s="1" t="n">
        <v>17</v>
      </c>
      <c r="L8174" s="1" t="s">
        <v>2445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5" t="n">
        <v>46253</v>
      </c>
      <c r="C8175" s="1" t="n">
        <v>22</v>
      </c>
      <c r="D8175" s="1" t="s">
        <v>2436</v>
      </c>
      <c r="E8175" s="1" t="n">
        <v>42</v>
      </c>
      <c r="F8175" s="1" t="s">
        <v>80</v>
      </c>
      <c r="I8175" s="1" t="n">
        <v>4522</v>
      </c>
      <c r="J8175" s="1" t="n">
        <v>100017</v>
      </c>
      <c r="K8175" s="1" t="n">
        <v>18</v>
      </c>
      <c r="L8175" s="1" t="s">
        <v>2446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5" t="n">
        <v>46253</v>
      </c>
      <c r="C8176" s="1" t="n">
        <v>22</v>
      </c>
      <c r="D8176" s="1" t="s">
        <v>2436</v>
      </c>
      <c r="E8176" s="1" t="n">
        <v>42</v>
      </c>
      <c r="F8176" s="1" t="s">
        <v>80</v>
      </c>
      <c r="I8176" s="1" t="n">
        <v>4522</v>
      </c>
      <c r="J8176" s="1" t="n">
        <v>100017</v>
      </c>
      <c r="K8176" s="1" t="n">
        <v>18</v>
      </c>
      <c r="L8176" s="1" t="s">
        <v>2446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5" t="n">
        <v>46253</v>
      </c>
      <c r="C8177" s="1" t="n">
        <v>22</v>
      </c>
      <c r="D8177" s="1" t="s">
        <v>2436</v>
      </c>
      <c r="E8177" s="1" t="n">
        <v>42</v>
      </c>
      <c r="F8177" s="1" t="s">
        <v>80</v>
      </c>
      <c r="I8177" s="1" t="n">
        <v>4522</v>
      </c>
      <c r="J8177" s="1" t="n">
        <v>100053</v>
      </c>
      <c r="K8177" s="1" t="n">
        <v>54</v>
      </c>
      <c r="L8177" s="1" t="s">
        <v>2447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5" t="n">
        <v>46253</v>
      </c>
      <c r="C8178" s="1" t="n">
        <v>22</v>
      </c>
      <c r="D8178" s="1" t="s">
        <v>2436</v>
      </c>
      <c r="E8178" s="1" t="n">
        <v>42</v>
      </c>
      <c r="F8178" s="1" t="s">
        <v>80</v>
      </c>
      <c r="I8178" s="1" t="n">
        <v>4522</v>
      </c>
      <c r="J8178" s="1" t="n">
        <v>100638</v>
      </c>
      <c r="K8178" s="1" t="n">
        <v>508</v>
      </c>
      <c r="L8178" s="1" t="s">
        <v>2448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5" t="n">
        <v>46253</v>
      </c>
      <c r="C8179" s="1" t="n">
        <v>22</v>
      </c>
      <c r="D8179" s="1" t="s">
        <v>2436</v>
      </c>
      <c r="E8179" s="1" t="n">
        <v>42</v>
      </c>
      <c r="F8179" s="1" t="s">
        <v>80</v>
      </c>
      <c r="I8179" s="1" t="n">
        <v>4522</v>
      </c>
      <c r="J8179" s="1" t="n">
        <v>100638</v>
      </c>
      <c r="K8179" s="1" t="n">
        <v>508</v>
      </c>
      <c r="L8179" s="1" t="s">
        <v>2448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5" t="n">
        <v>46253</v>
      </c>
      <c r="C8180" s="1" t="n">
        <v>22</v>
      </c>
      <c r="D8180" s="1" t="s">
        <v>2436</v>
      </c>
      <c r="E8180" s="1" t="n">
        <v>42</v>
      </c>
      <c r="F8180" s="1" t="s">
        <v>80</v>
      </c>
      <c r="I8180" s="1" t="n">
        <v>4522</v>
      </c>
      <c r="J8180" s="1" t="n">
        <v>100638</v>
      </c>
      <c r="K8180" s="1" t="n">
        <v>508</v>
      </c>
      <c r="L8180" s="1" t="s">
        <v>2448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5" t="n">
        <v>46253</v>
      </c>
      <c r="C8181" s="1" t="n">
        <v>22</v>
      </c>
      <c r="D8181" s="1" t="s">
        <v>2436</v>
      </c>
      <c r="E8181" s="1" t="n">
        <v>42</v>
      </c>
      <c r="F8181" s="1" t="s">
        <v>80</v>
      </c>
      <c r="I8181" s="1" t="n">
        <v>4522</v>
      </c>
      <c r="J8181" s="1" t="n">
        <v>100520</v>
      </c>
      <c r="K8181" s="1" t="n">
        <v>507</v>
      </c>
      <c r="L8181" s="1" t="s">
        <v>2449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5" t="n">
        <v>46253</v>
      </c>
      <c r="C8182" s="1" t="n">
        <v>22</v>
      </c>
      <c r="D8182" s="1" t="s">
        <v>2436</v>
      </c>
      <c r="E8182" s="1" t="n">
        <v>42</v>
      </c>
      <c r="F8182" s="1" t="s">
        <v>80</v>
      </c>
      <c r="I8182" s="1" t="n">
        <v>4522</v>
      </c>
      <c r="J8182" s="1" t="n">
        <v>100520</v>
      </c>
      <c r="K8182" s="1" t="n">
        <v>507</v>
      </c>
      <c r="L8182" s="1" t="s">
        <v>2449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5" t="n">
        <v>46253</v>
      </c>
      <c r="C8183" s="1" t="n">
        <v>22</v>
      </c>
      <c r="D8183" s="1" t="s">
        <v>2436</v>
      </c>
      <c r="E8183" s="1" t="n">
        <v>42</v>
      </c>
      <c r="F8183" s="1" t="s">
        <v>80</v>
      </c>
      <c r="I8183" s="1" t="n">
        <v>4522</v>
      </c>
      <c r="J8183" s="1" t="n">
        <v>100520</v>
      </c>
      <c r="K8183" s="1" t="n">
        <v>507</v>
      </c>
      <c r="L8183" s="1" t="s">
        <v>2449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5" t="n">
        <v>46253</v>
      </c>
      <c r="C8184" s="1" t="n">
        <v>22</v>
      </c>
      <c r="D8184" s="1" t="s">
        <v>2436</v>
      </c>
      <c r="E8184" s="1" t="n">
        <v>42</v>
      </c>
      <c r="F8184" s="1" t="s">
        <v>80</v>
      </c>
      <c r="I8184" s="1" t="n">
        <v>4522</v>
      </c>
      <c r="J8184" s="1" t="n">
        <v>110455</v>
      </c>
      <c r="K8184" s="1" t="n">
        <v>53212</v>
      </c>
      <c r="L8184" s="1" t="s">
        <v>2450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5" t="n">
        <v>46253</v>
      </c>
      <c r="C8185" s="1" t="n">
        <v>22</v>
      </c>
      <c r="D8185" s="1" t="s">
        <v>2436</v>
      </c>
      <c r="E8185" s="1" t="n">
        <v>42</v>
      </c>
      <c r="F8185" s="1" t="s">
        <v>80</v>
      </c>
      <c r="I8185" s="1" t="n">
        <v>4522</v>
      </c>
      <c r="J8185" s="1" t="n">
        <v>110455</v>
      </c>
      <c r="K8185" s="1" t="n">
        <v>53212</v>
      </c>
      <c r="L8185" s="1" t="s">
        <v>2450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5" t="n">
        <v>46253</v>
      </c>
      <c r="C8186" s="1" t="n">
        <v>22</v>
      </c>
      <c r="D8186" s="1" t="s">
        <v>2436</v>
      </c>
      <c r="E8186" s="1" t="n">
        <v>42</v>
      </c>
      <c r="F8186" s="1" t="s">
        <v>80</v>
      </c>
      <c r="I8186" s="1" t="n">
        <v>4522</v>
      </c>
      <c r="J8186" s="1" t="n">
        <v>110455</v>
      </c>
      <c r="K8186" s="1" t="n">
        <v>53212</v>
      </c>
      <c r="L8186" s="1" t="s">
        <v>2450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5" t="n">
        <v>46253</v>
      </c>
      <c r="C8187" s="1" t="n">
        <v>100</v>
      </c>
      <c r="D8187" s="1" t="s">
        <v>2457</v>
      </c>
      <c r="E8187" s="1" t="n">
        <v>42</v>
      </c>
      <c r="F8187" s="1" t="s">
        <v>80</v>
      </c>
      <c r="I8187" s="1" t="n">
        <v>1572742</v>
      </c>
      <c r="J8187" s="1" t="n">
        <v>100000</v>
      </c>
      <c r="K8187" s="1" t="n">
        <v>1</v>
      </c>
      <c r="L8187" s="1" t="s">
        <v>2451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5" t="n">
        <v>46253</v>
      </c>
      <c r="C8188" s="1" t="n">
        <v>100</v>
      </c>
      <c r="D8188" s="1" t="s">
        <v>2457</v>
      </c>
      <c r="E8188" s="1" t="n">
        <v>42</v>
      </c>
      <c r="F8188" s="1" t="s">
        <v>80</v>
      </c>
      <c r="I8188" s="1" t="n">
        <v>1572742</v>
      </c>
      <c r="J8188" s="1" t="n">
        <v>100001</v>
      </c>
      <c r="K8188" s="1" t="n">
        <v>2</v>
      </c>
      <c r="L8188" s="1" t="s">
        <v>2452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5" t="n">
        <v>46253</v>
      </c>
      <c r="C8189" s="1" t="n">
        <v>100</v>
      </c>
      <c r="D8189" s="1" t="s">
        <v>2457</v>
      </c>
      <c r="E8189" s="1" t="n">
        <v>42</v>
      </c>
      <c r="F8189" s="1" t="s">
        <v>80</v>
      </c>
      <c r="I8189" s="1" t="n">
        <v>1572742</v>
      </c>
      <c r="J8189" s="1" t="n">
        <v>100002</v>
      </c>
      <c r="K8189" s="1" t="n">
        <v>3</v>
      </c>
      <c r="L8189" s="1" t="s">
        <v>2453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5" t="n">
        <v>46253</v>
      </c>
      <c r="C8190" s="1" t="n">
        <v>100</v>
      </c>
      <c r="D8190" s="1" t="s">
        <v>2457</v>
      </c>
      <c r="E8190" s="1" t="n">
        <v>42</v>
      </c>
      <c r="F8190" s="1" t="s">
        <v>80</v>
      </c>
      <c r="I8190" s="1" t="n">
        <v>1572742</v>
      </c>
      <c r="J8190" s="1" t="n">
        <v>100003</v>
      </c>
      <c r="K8190" s="1" t="n">
        <v>4</v>
      </c>
      <c r="L8190" s="1" t="s">
        <v>2454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5" t="n">
        <v>46253</v>
      </c>
      <c r="C8191" s="1" t="n">
        <v>100</v>
      </c>
      <c r="D8191" s="1" t="s">
        <v>2457</v>
      </c>
      <c r="E8191" s="1" t="n">
        <v>42</v>
      </c>
      <c r="F8191" s="1" t="s">
        <v>80</v>
      </c>
      <c r="I8191" s="1" t="n">
        <v>1572742</v>
      </c>
      <c r="J8191" s="1" t="n">
        <v>100007</v>
      </c>
      <c r="K8191" s="1" t="n">
        <v>8</v>
      </c>
      <c r="L8191" s="1" t="s">
        <v>2455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5" t="n">
        <v>46253</v>
      </c>
      <c r="C8192" s="1" t="n">
        <v>100</v>
      </c>
      <c r="D8192" s="1" t="s">
        <v>2457</v>
      </c>
      <c r="E8192" s="1" t="n">
        <v>42</v>
      </c>
      <c r="F8192" s="1" t="s">
        <v>80</v>
      </c>
      <c r="I8192" s="1" t="n">
        <v>1572742</v>
      </c>
      <c r="J8192" s="1" t="n">
        <v>100638</v>
      </c>
      <c r="K8192" s="1" t="n">
        <v>508</v>
      </c>
      <c r="L8192" s="1" t="s">
        <v>2448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5" t="n">
        <v>46253</v>
      </c>
      <c r="C8193" s="1" t="n">
        <v>100</v>
      </c>
      <c r="D8193" s="1" t="s">
        <v>2457</v>
      </c>
      <c r="E8193" s="1" t="n">
        <v>42</v>
      </c>
      <c r="F8193" s="1" t="s">
        <v>80</v>
      </c>
      <c r="I8193" s="1" t="n">
        <v>1572742</v>
      </c>
      <c r="J8193" s="1" t="n">
        <v>100520</v>
      </c>
      <c r="K8193" s="1" t="n">
        <v>507</v>
      </c>
      <c r="L8193" s="1" t="s">
        <v>2449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5" t="n">
        <v>46253</v>
      </c>
      <c r="C8194" s="1" t="n">
        <v>100</v>
      </c>
      <c r="D8194" s="1" t="s">
        <v>2457</v>
      </c>
      <c r="E8194" s="1" t="n">
        <v>42</v>
      </c>
      <c r="F8194" s="1" t="s">
        <v>80</v>
      </c>
      <c r="I8194" s="1" t="n">
        <v>1572742</v>
      </c>
      <c r="J8194" s="1" t="n">
        <v>110455</v>
      </c>
      <c r="K8194" s="1" t="n">
        <v>53212</v>
      </c>
      <c r="L8194" s="1" t="s">
        <v>2450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5" t="n">
        <v>46253</v>
      </c>
      <c r="C8195" s="1" t="n">
        <v>100</v>
      </c>
      <c r="D8195" s="1" t="s">
        <v>2457</v>
      </c>
      <c r="E8195" s="1" t="n">
        <v>42</v>
      </c>
      <c r="F8195" s="1" t="s">
        <v>80</v>
      </c>
      <c r="I8195" s="1" t="n">
        <v>1572746</v>
      </c>
      <c r="J8195" s="1" t="n">
        <v>100006</v>
      </c>
      <c r="K8195" s="1" t="n">
        <v>7</v>
      </c>
      <c r="L8195" s="1" t="s">
        <v>2437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5" t="n">
        <v>46253</v>
      </c>
      <c r="C8196" s="1" t="n">
        <v>100</v>
      </c>
      <c r="D8196" s="1" t="s">
        <v>2457</v>
      </c>
      <c r="E8196" s="1" t="n">
        <v>42</v>
      </c>
      <c r="F8196" s="1" t="s">
        <v>80</v>
      </c>
      <c r="I8196" s="1" t="n">
        <v>1572746</v>
      </c>
      <c r="J8196" s="1" t="n">
        <v>100010</v>
      </c>
      <c r="K8196" s="1" t="n">
        <v>11</v>
      </c>
      <c r="L8196" s="1" t="s">
        <v>2439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5" t="n">
        <v>46253</v>
      </c>
      <c r="C8197" s="1" t="n">
        <v>100</v>
      </c>
      <c r="D8197" s="1" t="s">
        <v>2457</v>
      </c>
      <c r="E8197" s="1" t="n">
        <v>42</v>
      </c>
      <c r="F8197" s="1" t="s">
        <v>80</v>
      </c>
      <c r="I8197" s="1" t="n">
        <v>1572746</v>
      </c>
      <c r="J8197" s="1" t="n">
        <v>100011</v>
      </c>
      <c r="K8197" s="1" t="n">
        <v>12</v>
      </c>
      <c r="L8197" s="1" t="s">
        <v>2440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5" t="n">
        <v>46253</v>
      </c>
      <c r="C8198" s="1" t="n">
        <v>100</v>
      </c>
      <c r="D8198" s="1" t="s">
        <v>2457</v>
      </c>
      <c r="E8198" s="1" t="n">
        <v>42</v>
      </c>
      <c r="F8198" s="1" t="s">
        <v>80</v>
      </c>
      <c r="I8198" s="1" t="n">
        <v>1572746</v>
      </c>
      <c r="J8198" s="1" t="n">
        <v>100012</v>
      </c>
      <c r="K8198" s="1" t="n">
        <v>13</v>
      </c>
      <c r="L8198" s="1" t="s">
        <v>2441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5" t="n">
        <v>46253</v>
      </c>
      <c r="C8199" s="1" t="n">
        <v>100</v>
      </c>
      <c r="D8199" s="1" t="s">
        <v>2457</v>
      </c>
      <c r="E8199" s="1" t="n">
        <v>42</v>
      </c>
      <c r="F8199" s="1" t="s">
        <v>80</v>
      </c>
      <c r="I8199" s="1" t="n">
        <v>1572746</v>
      </c>
      <c r="J8199" s="1" t="n">
        <v>100013</v>
      </c>
      <c r="K8199" s="1" t="n">
        <v>14</v>
      </c>
      <c r="L8199" s="1" t="s">
        <v>2442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5" t="n">
        <v>46253</v>
      </c>
      <c r="C8200" s="1" t="n">
        <v>100</v>
      </c>
      <c r="D8200" s="1" t="s">
        <v>2457</v>
      </c>
      <c r="E8200" s="1" t="n">
        <v>42</v>
      </c>
      <c r="F8200" s="1" t="s">
        <v>80</v>
      </c>
      <c r="I8200" s="1" t="n">
        <v>1572746</v>
      </c>
      <c r="J8200" s="1" t="n">
        <v>100014</v>
      </c>
      <c r="K8200" s="1" t="n">
        <v>15</v>
      </c>
      <c r="L8200" s="1" t="s">
        <v>2443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5" t="n">
        <v>46253</v>
      </c>
      <c r="C8201" s="1" t="n">
        <v>100</v>
      </c>
      <c r="D8201" s="1" t="s">
        <v>2457</v>
      </c>
      <c r="E8201" s="1" t="n">
        <v>42</v>
      </c>
      <c r="F8201" s="1" t="s">
        <v>80</v>
      </c>
      <c r="I8201" s="1" t="n">
        <v>1572746</v>
      </c>
      <c r="J8201" s="1" t="n">
        <v>100015</v>
      </c>
      <c r="K8201" s="1" t="n">
        <v>16</v>
      </c>
      <c r="L8201" s="1" t="s">
        <v>2444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5" t="n">
        <v>46253</v>
      </c>
      <c r="C8202" s="1" t="n">
        <v>100</v>
      </c>
      <c r="D8202" s="1" t="s">
        <v>2457</v>
      </c>
      <c r="E8202" s="1" t="n">
        <v>42</v>
      </c>
      <c r="F8202" s="1" t="s">
        <v>80</v>
      </c>
      <c r="I8202" s="1" t="n">
        <v>1572746</v>
      </c>
      <c r="J8202" s="1" t="n">
        <v>100017</v>
      </c>
      <c r="K8202" s="1" t="n">
        <v>18</v>
      </c>
      <c r="L8202" s="1" t="s">
        <v>2446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5" t="n">
        <v>46253</v>
      </c>
      <c r="C8203" s="1" t="n">
        <v>100</v>
      </c>
      <c r="D8203" s="1" t="s">
        <v>2457</v>
      </c>
      <c r="E8203" s="1" t="n">
        <v>42</v>
      </c>
      <c r="F8203" s="1" t="s">
        <v>80</v>
      </c>
      <c r="I8203" s="1" t="n">
        <v>1572746</v>
      </c>
      <c r="J8203" s="1" t="n">
        <v>100638</v>
      </c>
      <c r="K8203" s="1" t="n">
        <v>508</v>
      </c>
      <c r="L8203" s="1" t="s">
        <v>2448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5" t="n">
        <v>46253</v>
      </c>
      <c r="C8204" s="1" t="n">
        <v>100</v>
      </c>
      <c r="D8204" s="1" t="s">
        <v>2457</v>
      </c>
      <c r="E8204" s="1" t="n">
        <v>42</v>
      </c>
      <c r="F8204" s="1" t="s">
        <v>80</v>
      </c>
      <c r="I8204" s="1" t="n">
        <v>1572746</v>
      </c>
      <c r="J8204" s="1" t="n">
        <v>100520</v>
      </c>
      <c r="K8204" s="1" t="n">
        <v>507</v>
      </c>
      <c r="L8204" s="1" t="s">
        <v>2449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5" t="n">
        <v>46253</v>
      </c>
      <c r="C8205" s="1" t="n">
        <v>100</v>
      </c>
      <c r="D8205" s="1" t="s">
        <v>2457</v>
      </c>
      <c r="E8205" s="1" t="n">
        <v>42</v>
      </c>
      <c r="F8205" s="1" t="s">
        <v>80</v>
      </c>
      <c r="I8205" s="1" t="n">
        <v>1572746</v>
      </c>
      <c r="J8205" s="1" t="n">
        <v>110455</v>
      </c>
      <c r="K8205" s="1" t="n">
        <v>53212</v>
      </c>
      <c r="L8205" s="1" t="s">
        <v>2450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5" t="n">
        <v>46253</v>
      </c>
      <c r="C8206" s="1" t="n">
        <v>100</v>
      </c>
      <c r="D8206" s="1" t="s">
        <v>2457</v>
      </c>
      <c r="E8206" s="1" t="n">
        <v>42</v>
      </c>
      <c r="F8206" s="1" t="s">
        <v>80</v>
      </c>
      <c r="I8206" s="1" t="n">
        <v>1572759</v>
      </c>
      <c r="J8206" s="1" t="n">
        <v>100006</v>
      </c>
      <c r="K8206" s="1" t="n">
        <v>7</v>
      </c>
      <c r="L8206" s="1" t="s">
        <v>2437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5" t="n">
        <v>46253</v>
      </c>
      <c r="C8207" s="1" t="n">
        <v>100</v>
      </c>
      <c r="D8207" s="1" t="s">
        <v>2457</v>
      </c>
      <c r="E8207" s="1" t="n">
        <v>42</v>
      </c>
      <c r="F8207" s="1" t="s">
        <v>80</v>
      </c>
      <c r="I8207" s="1" t="n">
        <v>1572759</v>
      </c>
      <c r="J8207" s="1" t="n">
        <v>100008</v>
      </c>
      <c r="K8207" s="1" t="n">
        <v>9</v>
      </c>
      <c r="L8207" s="1" t="s">
        <v>2438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5" t="n">
        <v>46253</v>
      </c>
      <c r="C8208" s="1" t="n">
        <v>100</v>
      </c>
      <c r="D8208" s="1" t="s">
        <v>2457</v>
      </c>
      <c r="E8208" s="1" t="n">
        <v>42</v>
      </c>
      <c r="F8208" s="1" t="s">
        <v>80</v>
      </c>
      <c r="I8208" s="1" t="n">
        <v>1572759</v>
      </c>
      <c r="J8208" s="1" t="n">
        <v>100010</v>
      </c>
      <c r="K8208" s="1" t="n">
        <v>11</v>
      </c>
      <c r="L8208" s="1" t="s">
        <v>2439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5" t="n">
        <v>46253</v>
      </c>
      <c r="C8209" s="1" t="n">
        <v>100</v>
      </c>
      <c r="D8209" s="1" t="s">
        <v>2457</v>
      </c>
      <c r="E8209" s="1" t="n">
        <v>42</v>
      </c>
      <c r="F8209" s="1" t="s">
        <v>80</v>
      </c>
      <c r="I8209" s="1" t="n">
        <v>1572759</v>
      </c>
      <c r="J8209" s="1" t="n">
        <v>100011</v>
      </c>
      <c r="K8209" s="1" t="n">
        <v>12</v>
      </c>
      <c r="L8209" s="1" t="s">
        <v>2440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5" t="n">
        <v>46253</v>
      </c>
      <c r="C8210" s="1" t="n">
        <v>100</v>
      </c>
      <c r="D8210" s="1" t="s">
        <v>2457</v>
      </c>
      <c r="E8210" s="1" t="n">
        <v>42</v>
      </c>
      <c r="F8210" s="1" t="s">
        <v>80</v>
      </c>
      <c r="I8210" s="1" t="n">
        <v>1572759</v>
      </c>
      <c r="J8210" s="1" t="n">
        <v>100012</v>
      </c>
      <c r="K8210" s="1" t="n">
        <v>13</v>
      </c>
      <c r="L8210" s="1" t="s">
        <v>2441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5" t="n">
        <v>46253</v>
      </c>
      <c r="C8211" s="1" t="n">
        <v>100</v>
      </c>
      <c r="D8211" s="1" t="s">
        <v>2457</v>
      </c>
      <c r="E8211" s="1" t="n">
        <v>42</v>
      </c>
      <c r="F8211" s="1" t="s">
        <v>80</v>
      </c>
      <c r="I8211" s="1" t="n">
        <v>1572759</v>
      </c>
      <c r="J8211" s="1" t="n">
        <v>100013</v>
      </c>
      <c r="K8211" s="1" t="n">
        <v>14</v>
      </c>
      <c r="L8211" s="1" t="s">
        <v>2442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5" t="n">
        <v>46253</v>
      </c>
      <c r="C8212" s="1" t="n">
        <v>100</v>
      </c>
      <c r="D8212" s="1" t="s">
        <v>2457</v>
      </c>
      <c r="E8212" s="1" t="n">
        <v>42</v>
      </c>
      <c r="F8212" s="1" t="s">
        <v>80</v>
      </c>
      <c r="I8212" s="1" t="n">
        <v>1572759</v>
      </c>
      <c r="J8212" s="1" t="n">
        <v>100014</v>
      </c>
      <c r="K8212" s="1" t="n">
        <v>15</v>
      </c>
      <c r="L8212" s="1" t="s">
        <v>2443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5" t="n">
        <v>46253</v>
      </c>
      <c r="C8213" s="1" t="n">
        <v>100</v>
      </c>
      <c r="D8213" s="1" t="s">
        <v>2457</v>
      </c>
      <c r="E8213" s="1" t="n">
        <v>42</v>
      </c>
      <c r="F8213" s="1" t="s">
        <v>80</v>
      </c>
      <c r="I8213" s="1" t="n">
        <v>1572759</v>
      </c>
      <c r="J8213" s="1" t="n">
        <v>100015</v>
      </c>
      <c r="K8213" s="1" t="n">
        <v>16</v>
      </c>
      <c r="L8213" s="1" t="s">
        <v>2444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5" t="n">
        <v>46253</v>
      </c>
      <c r="C8214" s="1" t="n">
        <v>100</v>
      </c>
      <c r="D8214" s="1" t="s">
        <v>2457</v>
      </c>
      <c r="E8214" s="1" t="n">
        <v>42</v>
      </c>
      <c r="F8214" s="1" t="s">
        <v>80</v>
      </c>
      <c r="I8214" s="1" t="n">
        <v>1572759</v>
      </c>
      <c r="J8214" s="1" t="n">
        <v>100016</v>
      </c>
      <c r="K8214" s="1" t="n">
        <v>17</v>
      </c>
      <c r="L8214" s="1" t="s">
        <v>2445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5" t="n">
        <v>46253</v>
      </c>
      <c r="C8215" s="1" t="n">
        <v>100</v>
      </c>
      <c r="D8215" s="1" t="s">
        <v>2457</v>
      </c>
      <c r="E8215" s="1" t="n">
        <v>42</v>
      </c>
      <c r="F8215" s="1" t="s">
        <v>80</v>
      </c>
      <c r="I8215" s="1" t="n">
        <v>1572759</v>
      </c>
      <c r="J8215" s="1" t="n">
        <v>100017</v>
      </c>
      <c r="K8215" s="1" t="n">
        <v>18</v>
      </c>
      <c r="L8215" s="1" t="s">
        <v>2446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5" t="n">
        <v>46253</v>
      </c>
      <c r="C8216" s="1" t="n">
        <v>100</v>
      </c>
      <c r="D8216" s="1" t="s">
        <v>2457</v>
      </c>
      <c r="E8216" s="1" t="n">
        <v>42</v>
      </c>
      <c r="F8216" s="1" t="s">
        <v>80</v>
      </c>
      <c r="I8216" s="1" t="n">
        <v>1572759</v>
      </c>
      <c r="J8216" s="1" t="n">
        <v>100053</v>
      </c>
      <c r="K8216" s="1" t="n">
        <v>54</v>
      </c>
      <c r="L8216" s="1" t="s">
        <v>2447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5" t="n">
        <v>46253</v>
      </c>
      <c r="C8217" s="1" t="n">
        <v>100</v>
      </c>
      <c r="D8217" s="1" t="s">
        <v>2457</v>
      </c>
      <c r="E8217" s="1" t="n">
        <v>42</v>
      </c>
      <c r="F8217" s="1" t="s">
        <v>80</v>
      </c>
      <c r="I8217" s="1" t="n">
        <v>1572759</v>
      </c>
      <c r="J8217" s="1" t="n">
        <v>100638</v>
      </c>
      <c r="K8217" s="1" t="n">
        <v>508</v>
      </c>
      <c r="L8217" s="1" t="s">
        <v>2448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5" t="n">
        <v>46253</v>
      </c>
      <c r="C8218" s="1" t="n">
        <v>100</v>
      </c>
      <c r="D8218" s="1" t="s">
        <v>2457</v>
      </c>
      <c r="E8218" s="1" t="n">
        <v>42</v>
      </c>
      <c r="F8218" s="1" t="s">
        <v>80</v>
      </c>
      <c r="I8218" s="1" t="n">
        <v>1572759</v>
      </c>
      <c r="J8218" s="1" t="n">
        <v>100520</v>
      </c>
      <c r="K8218" s="1" t="n">
        <v>507</v>
      </c>
      <c r="L8218" s="1" t="s">
        <v>2449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5" t="n">
        <v>46253</v>
      </c>
      <c r="C8219" s="1" t="n">
        <v>100</v>
      </c>
      <c r="D8219" s="1" t="s">
        <v>2457</v>
      </c>
      <c r="E8219" s="1" t="n">
        <v>42</v>
      </c>
      <c r="F8219" s="1" t="s">
        <v>80</v>
      </c>
      <c r="I8219" s="1" t="n">
        <v>1572759</v>
      </c>
      <c r="J8219" s="1" t="n">
        <v>110455</v>
      </c>
      <c r="K8219" s="1" t="n">
        <v>53212</v>
      </c>
      <c r="L8219" s="1" t="s">
        <v>2450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5" t="n">
        <v>46254</v>
      </c>
      <c r="C8220" s="1" t="n">
        <v>6</v>
      </c>
      <c r="D8220" s="1" t="s">
        <v>2289</v>
      </c>
      <c r="E8220" s="1" t="n">
        <v>42</v>
      </c>
      <c r="F8220" s="1" t="s">
        <v>80</v>
      </c>
      <c r="I8220" s="1" t="n">
        <v>4523</v>
      </c>
      <c r="J8220" s="1" t="n">
        <v>109791</v>
      </c>
      <c r="K8220" s="1" t="n">
        <v>9667</v>
      </c>
      <c r="L8220" s="1" t="s">
        <v>2284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5" t="n">
        <v>46254</v>
      </c>
      <c r="C8221" s="1" t="n">
        <v>6</v>
      </c>
      <c r="D8221" s="1" t="s">
        <v>2289</v>
      </c>
      <c r="E8221" s="1" t="n">
        <v>42</v>
      </c>
      <c r="F8221" s="1" t="s">
        <v>80</v>
      </c>
      <c r="I8221" s="1" t="n">
        <v>4523</v>
      </c>
      <c r="J8221" s="1" t="n">
        <v>37359</v>
      </c>
      <c r="K8221" s="1" t="n">
        <v>55526</v>
      </c>
      <c r="L8221" s="1" t="s">
        <v>2285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5" t="n">
        <v>46254</v>
      </c>
      <c r="C8222" s="1" t="n">
        <v>6</v>
      </c>
      <c r="D8222" s="1" t="s">
        <v>2289</v>
      </c>
      <c r="E8222" s="1" t="n">
        <v>42</v>
      </c>
      <c r="F8222" s="1" t="s">
        <v>80</v>
      </c>
      <c r="I8222" s="1" t="n">
        <v>4523</v>
      </c>
      <c r="J8222" s="1" t="n">
        <v>37361</v>
      </c>
      <c r="K8222" s="1" t="n">
        <v>2240817</v>
      </c>
      <c r="L8222" s="1" t="s">
        <v>2286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5" t="n">
        <v>46254</v>
      </c>
      <c r="C8223" s="1" t="n">
        <v>6</v>
      </c>
      <c r="D8223" s="1" t="s">
        <v>2289</v>
      </c>
      <c r="E8223" s="1" t="n">
        <v>42</v>
      </c>
      <c r="F8223" s="1" t="s">
        <v>80</v>
      </c>
      <c r="I8223" s="1" t="n">
        <v>4524</v>
      </c>
      <c r="J8223" s="1" t="n">
        <v>100103</v>
      </c>
      <c r="K8223" s="1" t="n">
        <v>104</v>
      </c>
      <c r="L8223" s="1" t="s">
        <v>2287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5" t="n">
        <v>46254</v>
      </c>
      <c r="C8224" s="1" t="n">
        <v>6</v>
      </c>
      <c r="D8224" s="1" t="s">
        <v>2289</v>
      </c>
      <c r="E8224" s="1" t="n">
        <v>42</v>
      </c>
      <c r="F8224" s="1" t="s">
        <v>80</v>
      </c>
      <c r="I8224" s="1" t="n">
        <v>4525</v>
      </c>
      <c r="J8224" s="1" t="n">
        <v>74674</v>
      </c>
      <c r="K8224" s="1" t="n">
        <v>741</v>
      </c>
      <c r="L8224" s="1" t="s">
        <v>2919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5" t="n">
        <v>46254</v>
      </c>
      <c r="C8225" s="1" t="n">
        <v>6</v>
      </c>
      <c r="D8225" s="1" t="s">
        <v>2289</v>
      </c>
      <c r="E8225" s="1" t="n">
        <v>42</v>
      </c>
      <c r="F8225" s="1" t="s">
        <v>80</v>
      </c>
      <c r="I8225" s="1" t="n">
        <v>4526</v>
      </c>
      <c r="J8225" s="1" t="n">
        <v>100112</v>
      </c>
      <c r="K8225" s="1" t="n">
        <v>113</v>
      </c>
      <c r="L8225" s="1" t="s">
        <v>2325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5" t="n">
        <v>46254</v>
      </c>
      <c r="C8226" s="1" t="n">
        <v>11</v>
      </c>
      <c r="D8226" s="1" t="s">
        <v>2290</v>
      </c>
      <c r="E8226" s="1" t="n">
        <v>10096</v>
      </c>
      <c r="F8226" s="1" t="s">
        <v>1232</v>
      </c>
      <c r="I8226" s="1" t="n">
        <v>183</v>
      </c>
      <c r="J8226" s="1" t="n">
        <v>61580</v>
      </c>
      <c r="K8226" s="1" t="n">
        <v>2258157</v>
      </c>
      <c r="L8226" s="1" t="s">
        <v>2339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5" t="n">
        <v>46254</v>
      </c>
      <c r="C8227" s="1" t="n">
        <v>11</v>
      </c>
      <c r="D8227" s="1" t="s">
        <v>2290</v>
      </c>
      <c r="E8227" s="1" t="n">
        <v>736</v>
      </c>
      <c r="F8227" s="1" t="s">
        <v>1603</v>
      </c>
      <c r="I8227" s="1" t="n">
        <v>195</v>
      </c>
      <c r="J8227" s="1" t="n">
        <v>53774</v>
      </c>
      <c r="K8227" s="1" t="n">
        <v>7898931445990</v>
      </c>
      <c r="L8227" s="1" t="s">
        <v>4922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5" t="n">
        <v>46254</v>
      </c>
      <c r="C8228" s="1" t="n">
        <v>11</v>
      </c>
      <c r="D8228" s="1" t="s">
        <v>2290</v>
      </c>
      <c r="E8228" s="1" t="n">
        <v>736</v>
      </c>
      <c r="F8228" s="1" t="s">
        <v>1603</v>
      </c>
      <c r="I8228" s="1" t="n">
        <v>195</v>
      </c>
      <c r="J8228" s="1" t="n">
        <v>72211</v>
      </c>
      <c r="K8228" s="1" t="n">
        <v>7453038481205</v>
      </c>
      <c r="L8228" s="1" t="s">
        <v>4923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5" t="n">
        <v>46254</v>
      </c>
      <c r="C8229" s="1" t="n">
        <v>11</v>
      </c>
      <c r="D8229" s="1" t="s">
        <v>2290</v>
      </c>
      <c r="E8229" s="1" t="n">
        <v>1668</v>
      </c>
      <c r="F8229" s="1" t="s">
        <v>159</v>
      </c>
      <c r="I8229" s="1" t="n">
        <v>746264</v>
      </c>
      <c r="J8229" s="1" t="n">
        <v>38862</v>
      </c>
      <c r="K8229" s="1" t="n">
        <v>2242361</v>
      </c>
      <c r="L8229" s="1" t="s">
        <v>4924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5" t="n">
        <v>46254</v>
      </c>
      <c r="C8230" s="1" t="n">
        <v>11</v>
      </c>
      <c r="D8230" s="1" t="s">
        <v>2290</v>
      </c>
      <c r="E8230" s="1" t="n">
        <v>1642</v>
      </c>
      <c r="F8230" s="1" t="s">
        <v>274</v>
      </c>
      <c r="I8230" s="1" t="n">
        <v>1037767</v>
      </c>
      <c r="J8230" s="1" t="n">
        <v>104335</v>
      </c>
      <c r="K8230" s="1" t="n">
        <v>7896289210512</v>
      </c>
      <c r="L8230" s="1" t="s">
        <v>2466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5" t="n">
        <v>46254</v>
      </c>
      <c r="C8231" s="1" t="n">
        <v>11</v>
      </c>
      <c r="D8231" s="1" t="s">
        <v>2290</v>
      </c>
      <c r="E8231" s="1" t="n">
        <v>1642</v>
      </c>
      <c r="F8231" s="1" t="s">
        <v>274</v>
      </c>
      <c r="I8231" s="1" t="n">
        <v>1037767</v>
      </c>
      <c r="J8231" s="1" t="n">
        <v>105780</v>
      </c>
      <c r="K8231" s="1" t="n">
        <v>7896289210017</v>
      </c>
      <c r="L8231" s="1" t="s">
        <v>2467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5" t="n">
        <v>46254</v>
      </c>
      <c r="C8232" s="1" t="n">
        <v>11</v>
      </c>
      <c r="D8232" s="1" t="s">
        <v>2290</v>
      </c>
      <c r="E8232" s="1" t="n">
        <v>1642</v>
      </c>
      <c r="F8232" s="1" t="s">
        <v>274</v>
      </c>
      <c r="I8232" s="1" t="n">
        <v>1037767</v>
      </c>
      <c r="J8232" s="1" t="n">
        <v>105782</v>
      </c>
      <c r="K8232" s="1" t="n">
        <v>7896289210352</v>
      </c>
      <c r="L8232" s="1" t="s">
        <v>2468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5" t="n">
        <v>46254</v>
      </c>
      <c r="C8233" s="1" t="n">
        <v>11</v>
      </c>
      <c r="D8233" s="1" t="s">
        <v>2290</v>
      </c>
      <c r="E8233" s="1" t="n">
        <v>1642</v>
      </c>
      <c r="F8233" s="1" t="s">
        <v>274</v>
      </c>
      <c r="I8233" s="1" t="n">
        <v>1037767</v>
      </c>
      <c r="J8233" s="1" t="n">
        <v>106079</v>
      </c>
      <c r="K8233" s="1" t="n">
        <v>7896289210130</v>
      </c>
      <c r="L8233" s="1" t="s">
        <v>2469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5" t="n">
        <v>46254</v>
      </c>
      <c r="C8234" s="1" t="n">
        <v>11</v>
      </c>
      <c r="D8234" s="1" t="s">
        <v>2290</v>
      </c>
      <c r="E8234" s="1" t="n">
        <v>1642</v>
      </c>
      <c r="F8234" s="1" t="s">
        <v>274</v>
      </c>
      <c r="I8234" s="1" t="n">
        <v>1037767</v>
      </c>
      <c r="J8234" s="1" t="n">
        <v>106274</v>
      </c>
      <c r="K8234" s="1" t="n">
        <v>7896289210086</v>
      </c>
      <c r="L8234" s="1" t="s">
        <v>2470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5" t="n">
        <v>46254</v>
      </c>
      <c r="C8235" s="1" t="n">
        <v>11</v>
      </c>
      <c r="D8235" s="1" t="s">
        <v>2290</v>
      </c>
      <c r="E8235" s="1" t="n">
        <v>1642</v>
      </c>
      <c r="F8235" s="1" t="s">
        <v>274</v>
      </c>
      <c r="I8235" s="1" t="n">
        <v>1037767</v>
      </c>
      <c r="J8235" s="1" t="n">
        <v>106280</v>
      </c>
      <c r="K8235" s="1" t="n">
        <v>7896289210062</v>
      </c>
      <c r="L8235" s="1" t="s">
        <v>2471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5" t="n">
        <v>46254</v>
      </c>
      <c r="C8236" s="1" t="n">
        <v>11</v>
      </c>
      <c r="D8236" s="1" t="s">
        <v>2290</v>
      </c>
      <c r="E8236" s="1" t="n">
        <v>1642</v>
      </c>
      <c r="F8236" s="1" t="s">
        <v>274</v>
      </c>
      <c r="I8236" s="1" t="n">
        <v>1037767</v>
      </c>
      <c r="J8236" s="1" t="n">
        <v>106407</v>
      </c>
      <c r="K8236" s="1" t="n">
        <v>7896289210031</v>
      </c>
      <c r="L8236" s="1" t="s">
        <v>2472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5" t="n">
        <v>46254</v>
      </c>
      <c r="C8237" s="1" t="n">
        <v>11</v>
      </c>
      <c r="D8237" s="1" t="s">
        <v>2290</v>
      </c>
      <c r="E8237" s="1" t="n">
        <v>1608</v>
      </c>
      <c r="F8237" s="1" t="s">
        <v>41</v>
      </c>
      <c r="I8237" s="1" t="n">
        <v>1715032</v>
      </c>
      <c r="J8237" s="1" t="n">
        <v>102366</v>
      </c>
      <c r="K8237" s="1" t="n">
        <v>7894321722016</v>
      </c>
      <c r="L8237" s="1" t="s">
        <v>2493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5" t="n">
        <v>46254</v>
      </c>
      <c r="C8238" s="1" t="n">
        <v>11</v>
      </c>
      <c r="D8238" s="1" t="s">
        <v>2290</v>
      </c>
      <c r="E8238" s="1" t="n">
        <v>1608</v>
      </c>
      <c r="F8238" s="1" t="s">
        <v>41</v>
      </c>
      <c r="I8238" s="1" t="n">
        <v>1715032</v>
      </c>
      <c r="J8238" s="1" t="n">
        <v>104454</v>
      </c>
      <c r="K8238" s="1" t="n">
        <v>7892840142124</v>
      </c>
      <c r="L8238" s="1" t="s">
        <v>2494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5" t="n">
        <v>46254</v>
      </c>
      <c r="C8239" s="1" t="n">
        <v>11</v>
      </c>
      <c r="D8239" s="1" t="s">
        <v>2290</v>
      </c>
      <c r="E8239" s="1" t="n">
        <v>1608</v>
      </c>
      <c r="F8239" s="1" t="s">
        <v>41</v>
      </c>
      <c r="I8239" s="1" t="n">
        <v>1715032</v>
      </c>
      <c r="J8239" s="1" t="n">
        <v>107088</v>
      </c>
      <c r="K8239" s="1" t="n">
        <v>7896828000482</v>
      </c>
      <c r="L8239" s="1" t="s">
        <v>4925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5" t="n">
        <v>46254</v>
      </c>
      <c r="C8240" s="1" t="n">
        <v>11</v>
      </c>
      <c r="D8240" s="1" t="s">
        <v>2290</v>
      </c>
      <c r="E8240" s="1" t="n">
        <v>1608</v>
      </c>
      <c r="F8240" s="1" t="s">
        <v>41</v>
      </c>
      <c r="I8240" s="1" t="n">
        <v>1715032</v>
      </c>
      <c r="J8240" s="1" t="n">
        <v>11626</v>
      </c>
      <c r="K8240" s="1" t="n">
        <v>7896828000239</v>
      </c>
      <c r="L8240" s="1" t="s">
        <v>4926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5" t="n">
        <v>46254</v>
      </c>
      <c r="C8241" s="1" t="n">
        <v>11</v>
      </c>
      <c r="D8241" s="1" t="s">
        <v>2290</v>
      </c>
      <c r="E8241" s="1" t="n">
        <v>1608</v>
      </c>
      <c r="F8241" s="1" t="s">
        <v>41</v>
      </c>
      <c r="I8241" s="1" t="n">
        <v>1715032</v>
      </c>
      <c r="J8241" s="1" t="n">
        <v>36474</v>
      </c>
      <c r="K8241" s="1" t="n">
        <v>7892840815745</v>
      </c>
      <c r="L8241" s="1" t="s">
        <v>2497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5" t="n">
        <v>46254</v>
      </c>
      <c r="C8242" s="1" t="n">
        <v>11</v>
      </c>
      <c r="D8242" s="1" t="s">
        <v>2290</v>
      </c>
      <c r="E8242" s="1" t="n">
        <v>1608</v>
      </c>
      <c r="F8242" s="1" t="s">
        <v>41</v>
      </c>
      <c r="I8242" s="1" t="n">
        <v>1715032</v>
      </c>
      <c r="J8242" s="1" t="n">
        <v>65341</v>
      </c>
      <c r="K8242" s="1" t="n">
        <v>7892840822309</v>
      </c>
      <c r="L8242" s="1" t="s">
        <v>2498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15" t="n">
        <v>46254</v>
      </c>
      <c r="C8243" s="1" t="n">
        <v>11</v>
      </c>
      <c r="D8243" s="1" t="s">
        <v>2290</v>
      </c>
      <c r="E8243" s="1" t="n">
        <v>1608</v>
      </c>
      <c r="F8243" s="1" t="s">
        <v>41</v>
      </c>
      <c r="I8243" s="1" t="n">
        <v>1715032</v>
      </c>
      <c r="J8243" s="1" t="n">
        <v>65342</v>
      </c>
      <c r="K8243" s="1" t="n">
        <v>7892840822446</v>
      </c>
      <c r="L8243" s="1" t="s">
        <v>2499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15" t="n">
        <v>46254</v>
      </c>
      <c r="C8244" s="1" t="n">
        <v>11</v>
      </c>
      <c r="D8244" s="1" t="s">
        <v>2290</v>
      </c>
      <c r="E8244" s="1" t="n">
        <v>1608</v>
      </c>
      <c r="F8244" s="1" t="s">
        <v>41</v>
      </c>
      <c r="I8244" s="1" t="n">
        <v>1715032</v>
      </c>
      <c r="J8244" s="1" t="n">
        <v>65383</v>
      </c>
      <c r="K8244" s="1" t="n">
        <v>7892840822859</v>
      </c>
      <c r="L8244" s="1" t="s">
        <v>2500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15" t="n">
        <v>46254</v>
      </c>
      <c r="C8245" s="1" t="n">
        <v>11</v>
      </c>
      <c r="D8245" s="1" t="s">
        <v>2290</v>
      </c>
      <c r="E8245" s="1" t="n">
        <v>1608</v>
      </c>
      <c r="F8245" s="1" t="s">
        <v>41</v>
      </c>
      <c r="I8245" s="1" t="n">
        <v>1715032</v>
      </c>
      <c r="J8245" s="1" t="n">
        <v>65592</v>
      </c>
      <c r="K8245" s="1" t="n">
        <v>7892840822286</v>
      </c>
      <c r="L8245" s="1" t="s">
        <v>4286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5" t="n">
        <v>46254</v>
      </c>
      <c r="C8246" s="1" t="n">
        <v>11</v>
      </c>
      <c r="D8246" s="1" t="s">
        <v>2290</v>
      </c>
      <c r="E8246" s="1" t="n">
        <v>1608</v>
      </c>
      <c r="F8246" s="1" t="s">
        <v>41</v>
      </c>
      <c r="I8246" s="1" t="n">
        <v>1715032</v>
      </c>
      <c r="J8246" s="1" t="n">
        <v>65597</v>
      </c>
      <c r="K8246" s="1" t="n">
        <v>7892840822736</v>
      </c>
      <c r="L8246" s="1" t="s">
        <v>2501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5" t="n">
        <v>46254</v>
      </c>
      <c r="C8247" s="1" t="n">
        <v>11</v>
      </c>
      <c r="D8247" s="1" t="s">
        <v>2290</v>
      </c>
      <c r="E8247" s="1" t="n">
        <v>1608</v>
      </c>
      <c r="F8247" s="1" t="s">
        <v>41</v>
      </c>
      <c r="I8247" s="1" t="n">
        <v>1715032</v>
      </c>
      <c r="J8247" s="1" t="n">
        <v>65725</v>
      </c>
      <c r="K8247" s="1" t="n">
        <v>7892840822866</v>
      </c>
      <c r="L8247" s="1" t="s">
        <v>4287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5" t="n">
        <v>46254</v>
      </c>
      <c r="C8248" s="1" t="n">
        <v>11</v>
      </c>
      <c r="D8248" s="1" t="s">
        <v>2290</v>
      </c>
      <c r="E8248" s="1" t="n">
        <v>1608</v>
      </c>
      <c r="F8248" s="1" t="s">
        <v>41</v>
      </c>
      <c r="I8248" s="1" t="n">
        <v>1715032</v>
      </c>
      <c r="J8248" s="1" t="n">
        <v>65734</v>
      </c>
      <c r="K8248" s="1" t="n">
        <v>7892840823047</v>
      </c>
      <c r="L8248" s="1" t="s">
        <v>2503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5" t="n">
        <v>46254</v>
      </c>
      <c r="C8249" s="1" t="n">
        <v>11</v>
      </c>
      <c r="D8249" s="1" t="s">
        <v>2290</v>
      </c>
      <c r="E8249" s="1" t="n">
        <v>1608</v>
      </c>
      <c r="F8249" s="1" t="s">
        <v>41</v>
      </c>
      <c r="I8249" s="1" t="n">
        <v>1715032</v>
      </c>
      <c r="J8249" s="1" t="n">
        <v>65736</v>
      </c>
      <c r="K8249" s="1" t="n">
        <v>7892840823054</v>
      </c>
      <c r="L8249" s="1" t="s">
        <v>2504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5" t="n">
        <v>46254</v>
      </c>
      <c r="C8250" s="1" t="n">
        <v>11</v>
      </c>
      <c r="D8250" s="1" t="s">
        <v>2290</v>
      </c>
      <c r="E8250" s="1" t="n">
        <v>1608</v>
      </c>
      <c r="F8250" s="1" t="s">
        <v>41</v>
      </c>
      <c r="I8250" s="1" t="n">
        <v>1715032</v>
      </c>
      <c r="J8250" s="1" t="n">
        <v>65799</v>
      </c>
      <c r="K8250" s="1" t="n">
        <v>7892840822385</v>
      </c>
      <c r="L8250" s="1" t="s">
        <v>2505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5" t="n">
        <v>46254</v>
      </c>
      <c r="C8251" s="1" t="n">
        <v>11</v>
      </c>
      <c r="D8251" s="1" t="s">
        <v>2290</v>
      </c>
      <c r="E8251" s="1" t="n">
        <v>1608</v>
      </c>
      <c r="F8251" s="1" t="s">
        <v>41</v>
      </c>
      <c r="I8251" s="1" t="n">
        <v>1715032</v>
      </c>
      <c r="J8251" s="1" t="n">
        <v>66002</v>
      </c>
      <c r="K8251" s="1" t="n">
        <v>7892840823481</v>
      </c>
      <c r="L8251" s="1" t="s">
        <v>2507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5" t="n">
        <v>46254</v>
      </c>
      <c r="C8252" s="1" t="n">
        <v>11</v>
      </c>
      <c r="D8252" s="1" t="s">
        <v>2290</v>
      </c>
      <c r="E8252" s="1" t="n">
        <v>1608</v>
      </c>
      <c r="F8252" s="1" t="s">
        <v>41</v>
      </c>
      <c r="I8252" s="1" t="n">
        <v>1715032</v>
      </c>
      <c r="J8252" s="1" t="n">
        <v>66089</v>
      </c>
      <c r="K8252" s="1" t="n">
        <v>7892840822323</v>
      </c>
      <c r="L8252" s="1" t="s">
        <v>2508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5" t="n">
        <v>46254</v>
      </c>
      <c r="C8253" s="1" t="n">
        <v>11</v>
      </c>
      <c r="D8253" s="1" t="s">
        <v>2290</v>
      </c>
      <c r="E8253" s="1" t="n">
        <v>1608</v>
      </c>
      <c r="F8253" s="1" t="s">
        <v>41</v>
      </c>
      <c r="I8253" s="1" t="n">
        <v>1715032</v>
      </c>
      <c r="J8253" s="1" t="n">
        <v>66366</v>
      </c>
      <c r="K8253" s="1" t="n">
        <v>7892840822378</v>
      </c>
      <c r="L8253" s="1" t="s">
        <v>2509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5" t="n">
        <v>46254</v>
      </c>
      <c r="C8254" s="1" t="n">
        <v>11</v>
      </c>
      <c r="D8254" s="1" t="s">
        <v>2290</v>
      </c>
      <c r="E8254" s="1" t="n">
        <v>1608</v>
      </c>
      <c r="F8254" s="1" t="s">
        <v>41</v>
      </c>
      <c r="I8254" s="1" t="n">
        <v>1715032</v>
      </c>
      <c r="J8254" s="1" t="n">
        <v>66764</v>
      </c>
      <c r="K8254" s="1" t="n">
        <v>7892840822293</v>
      </c>
      <c r="L8254" s="1" t="s">
        <v>2510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5" t="n">
        <v>46254</v>
      </c>
      <c r="C8255" s="1" t="n">
        <v>11</v>
      </c>
      <c r="D8255" s="1" t="s">
        <v>2290</v>
      </c>
      <c r="E8255" s="1" t="n">
        <v>1608</v>
      </c>
      <c r="F8255" s="1" t="s">
        <v>41</v>
      </c>
      <c r="I8255" s="1" t="n">
        <v>1715032</v>
      </c>
      <c r="J8255" s="1" t="n">
        <v>66993</v>
      </c>
      <c r="K8255" s="1" t="n">
        <v>7892840822347</v>
      </c>
      <c r="L8255" s="1" t="s">
        <v>2499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5" t="n">
        <v>46254</v>
      </c>
      <c r="C8256" s="1" t="n">
        <v>11</v>
      </c>
      <c r="D8256" s="1" t="s">
        <v>2290</v>
      </c>
      <c r="E8256" s="1" t="n">
        <v>1608</v>
      </c>
      <c r="F8256" s="1" t="s">
        <v>41</v>
      </c>
      <c r="I8256" s="1" t="n">
        <v>1715032</v>
      </c>
      <c r="J8256" s="1" t="n">
        <v>68927</v>
      </c>
      <c r="K8256" s="1" t="n">
        <v>7892840823030</v>
      </c>
      <c r="L8256" s="1" t="s">
        <v>2511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5" t="n">
        <v>46254</v>
      </c>
      <c r="C8257" s="1" t="n">
        <v>11</v>
      </c>
      <c r="D8257" s="1" t="s">
        <v>2290</v>
      </c>
      <c r="E8257" s="1" t="n">
        <v>1608</v>
      </c>
      <c r="F8257" s="1" t="s">
        <v>41</v>
      </c>
      <c r="I8257" s="1" t="n">
        <v>1715032</v>
      </c>
      <c r="J8257" s="1" t="n">
        <v>69425</v>
      </c>
      <c r="K8257" s="1" t="n">
        <v>7892840823610</v>
      </c>
      <c r="L8257" s="1" t="s">
        <v>4291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5" t="n">
        <v>46254</v>
      </c>
      <c r="C8258" s="1" t="n">
        <v>11</v>
      </c>
      <c r="D8258" s="1" t="s">
        <v>2290</v>
      </c>
      <c r="E8258" s="1" t="n">
        <v>1608</v>
      </c>
      <c r="F8258" s="1" t="s">
        <v>41</v>
      </c>
      <c r="I8258" s="1" t="n">
        <v>1715032</v>
      </c>
      <c r="J8258" s="1" t="n">
        <v>80195</v>
      </c>
      <c r="K8258" s="1" t="n">
        <v>7892840824976</v>
      </c>
      <c r="L8258" s="1" t="s">
        <v>2512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5" t="n">
        <v>46254</v>
      </c>
      <c r="C8259" s="1" t="n">
        <v>11</v>
      </c>
      <c r="D8259" s="1" t="s">
        <v>2290</v>
      </c>
      <c r="E8259" s="1" t="n">
        <v>1608</v>
      </c>
      <c r="F8259" s="1" t="s">
        <v>41</v>
      </c>
      <c r="I8259" s="1" t="n">
        <v>1715032</v>
      </c>
      <c r="J8259" s="1" t="n">
        <v>80196</v>
      </c>
      <c r="K8259" s="1" t="n">
        <v>7892840824662</v>
      </c>
      <c r="L8259" s="1" t="s">
        <v>4293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5" t="n">
        <v>46254</v>
      </c>
      <c r="C8260" s="1" t="n">
        <v>11</v>
      </c>
      <c r="D8260" s="1" t="s">
        <v>2290</v>
      </c>
      <c r="E8260" s="1" t="n">
        <v>1608</v>
      </c>
      <c r="F8260" s="1" t="s">
        <v>41</v>
      </c>
      <c r="I8260" s="1" t="n">
        <v>1715032</v>
      </c>
      <c r="J8260" s="1" t="n">
        <v>80197</v>
      </c>
      <c r="K8260" s="1" t="n">
        <v>7892840824648</v>
      </c>
      <c r="L8260" s="1" t="s">
        <v>4294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5" t="n">
        <v>46254</v>
      </c>
      <c r="C8261" s="1" t="n">
        <v>11</v>
      </c>
      <c r="D8261" s="1" t="s">
        <v>2290</v>
      </c>
      <c r="E8261" s="1" t="n">
        <v>1608</v>
      </c>
      <c r="F8261" s="1" t="s">
        <v>41</v>
      </c>
      <c r="I8261" s="1" t="n">
        <v>1715032</v>
      </c>
      <c r="J8261" s="1" t="n">
        <v>80198</v>
      </c>
      <c r="K8261" s="1" t="n">
        <v>7892840824693</v>
      </c>
      <c r="L8261" s="1" t="s">
        <v>2513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5" t="n">
        <v>46254</v>
      </c>
      <c r="C8262" s="1" t="n">
        <v>11</v>
      </c>
      <c r="D8262" s="1" t="s">
        <v>2290</v>
      </c>
      <c r="E8262" s="1" t="n">
        <v>1608</v>
      </c>
      <c r="F8262" s="1" t="s">
        <v>41</v>
      </c>
      <c r="I8262" s="1" t="n">
        <v>1715032</v>
      </c>
      <c r="J8262" s="1" t="n">
        <v>80207</v>
      </c>
      <c r="K8262" s="1" t="n">
        <v>7892840825317</v>
      </c>
      <c r="L8262" s="1" t="s">
        <v>2514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5" t="n">
        <v>46254</v>
      </c>
      <c r="C8263" s="1" t="n">
        <v>11</v>
      </c>
      <c r="D8263" s="1" t="s">
        <v>2290</v>
      </c>
      <c r="E8263" s="1" t="n">
        <v>1608</v>
      </c>
      <c r="F8263" s="1" t="s">
        <v>41</v>
      </c>
      <c r="I8263" s="1" t="n">
        <v>1715032</v>
      </c>
      <c r="J8263" s="1" t="n">
        <v>80464</v>
      </c>
      <c r="K8263" s="1" t="n">
        <v>7892840825126</v>
      </c>
      <c r="L8263" s="1" t="s">
        <v>3589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5" t="n">
        <v>46254</v>
      </c>
      <c r="C8264" s="1" t="n">
        <v>11</v>
      </c>
      <c r="D8264" s="1" t="s">
        <v>2290</v>
      </c>
      <c r="E8264" s="1" t="n">
        <v>1636</v>
      </c>
      <c r="F8264" s="1" t="s">
        <v>49</v>
      </c>
      <c r="I8264" s="1" t="n">
        <v>3238686</v>
      </c>
      <c r="J8264" s="1" t="n">
        <v>10245</v>
      </c>
      <c r="K8264" s="1" t="n">
        <v>7891010793463</v>
      </c>
      <c r="L8264" s="1" t="s">
        <v>4927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5" t="n">
        <v>46254</v>
      </c>
      <c r="C8265" s="1" t="n">
        <v>11</v>
      </c>
      <c r="D8265" s="1" t="s">
        <v>2290</v>
      </c>
      <c r="E8265" s="1" t="n">
        <v>1636</v>
      </c>
      <c r="F8265" s="1" t="s">
        <v>49</v>
      </c>
      <c r="I8265" s="1" t="n">
        <v>3238686</v>
      </c>
      <c r="J8265" s="1" t="n">
        <v>20161</v>
      </c>
      <c r="K8265" s="1" t="n">
        <v>7898587774314</v>
      </c>
      <c r="L8265" s="1" t="s">
        <v>4928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5" t="n">
        <v>46254</v>
      </c>
      <c r="C8266" s="1" t="n">
        <v>11</v>
      </c>
      <c r="D8266" s="1" t="s">
        <v>2290</v>
      </c>
      <c r="E8266" s="1" t="n">
        <v>1636</v>
      </c>
      <c r="F8266" s="1" t="s">
        <v>49</v>
      </c>
      <c r="I8266" s="1" t="n">
        <v>3238686</v>
      </c>
      <c r="J8266" s="1" t="n">
        <v>100418</v>
      </c>
      <c r="K8266" s="1" t="n">
        <v>7891010560737</v>
      </c>
      <c r="L8266" s="1" t="s">
        <v>4929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5" t="n">
        <v>46254</v>
      </c>
      <c r="C8267" s="1" t="n">
        <v>11</v>
      </c>
      <c r="D8267" s="1" t="s">
        <v>2290</v>
      </c>
      <c r="E8267" s="1" t="n">
        <v>1636</v>
      </c>
      <c r="F8267" s="1" t="s">
        <v>49</v>
      </c>
      <c r="I8267" s="1" t="n">
        <v>3238686</v>
      </c>
      <c r="J8267" s="1" t="n">
        <v>101378</v>
      </c>
      <c r="K8267" s="1" t="n">
        <v>7891010015268</v>
      </c>
      <c r="L8267" s="1" t="s">
        <v>4930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5" t="n">
        <v>46254</v>
      </c>
      <c r="C8268" s="1" t="n">
        <v>11</v>
      </c>
      <c r="D8268" s="1" t="s">
        <v>2290</v>
      </c>
      <c r="E8268" s="1" t="n">
        <v>1636</v>
      </c>
      <c r="F8268" s="1" t="s">
        <v>49</v>
      </c>
      <c r="I8268" s="1" t="n">
        <v>3238686</v>
      </c>
      <c r="J8268" s="1" t="n">
        <v>101407</v>
      </c>
      <c r="K8268" s="1" t="n">
        <v>7891010503024</v>
      </c>
      <c r="L8268" s="1" t="s">
        <v>4931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5" t="n">
        <v>46254</v>
      </c>
      <c r="C8269" s="1" t="n">
        <v>11</v>
      </c>
      <c r="D8269" s="1" t="s">
        <v>2290</v>
      </c>
      <c r="E8269" s="1" t="n">
        <v>1636</v>
      </c>
      <c r="F8269" s="1" t="s">
        <v>49</v>
      </c>
      <c r="I8269" s="1" t="n">
        <v>3238686</v>
      </c>
      <c r="J8269" s="1" t="n">
        <v>101410</v>
      </c>
      <c r="K8269" s="1" t="n">
        <v>7891010035631</v>
      </c>
      <c r="L8269" s="1" t="s">
        <v>4932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5" t="n">
        <v>46254</v>
      </c>
      <c r="C8270" s="1" t="n">
        <v>11</v>
      </c>
      <c r="D8270" s="1" t="s">
        <v>2290</v>
      </c>
      <c r="E8270" s="1" t="n">
        <v>1636</v>
      </c>
      <c r="F8270" s="1" t="s">
        <v>49</v>
      </c>
      <c r="I8270" s="1" t="n">
        <v>3238686</v>
      </c>
      <c r="J8270" s="1" t="n">
        <v>103504</v>
      </c>
      <c r="K8270" s="1" t="n">
        <v>7891010032906</v>
      </c>
      <c r="L8270" s="1" t="s">
        <v>4933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5" t="n">
        <v>46254</v>
      </c>
      <c r="C8271" s="1" t="n">
        <v>11</v>
      </c>
      <c r="D8271" s="1" t="s">
        <v>2290</v>
      </c>
      <c r="E8271" s="1" t="n">
        <v>1636</v>
      </c>
      <c r="F8271" s="1" t="s">
        <v>49</v>
      </c>
      <c r="I8271" s="1" t="n">
        <v>3238686</v>
      </c>
      <c r="J8271" s="1" t="n">
        <v>107123</v>
      </c>
      <c r="K8271" s="1" t="n">
        <v>7899026400849</v>
      </c>
      <c r="L8271" s="1" t="s">
        <v>4934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5" t="n">
        <v>46254</v>
      </c>
      <c r="C8272" s="1" t="n">
        <v>11</v>
      </c>
      <c r="D8272" s="1" t="s">
        <v>2290</v>
      </c>
      <c r="E8272" s="1" t="n">
        <v>1636</v>
      </c>
      <c r="F8272" s="1" t="s">
        <v>49</v>
      </c>
      <c r="I8272" s="1" t="n">
        <v>3238686</v>
      </c>
      <c r="J8272" s="1" t="n">
        <v>11213</v>
      </c>
      <c r="K8272" s="1" t="n">
        <v>7896000713186</v>
      </c>
      <c r="L8272" s="1" t="s">
        <v>4935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5" t="n">
        <v>46254</v>
      </c>
      <c r="C8273" s="1" t="n">
        <v>11</v>
      </c>
      <c r="D8273" s="1" t="s">
        <v>2290</v>
      </c>
      <c r="E8273" s="1" t="n">
        <v>1636</v>
      </c>
      <c r="F8273" s="1" t="s">
        <v>49</v>
      </c>
      <c r="I8273" s="1" t="n">
        <v>3238686</v>
      </c>
      <c r="J8273" s="1" t="n">
        <v>11348</v>
      </c>
      <c r="K8273" s="1" t="n">
        <v>7891010501105</v>
      </c>
      <c r="L8273" s="1" t="s">
        <v>4936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5" t="n">
        <v>46254</v>
      </c>
      <c r="C8274" s="1" t="n">
        <v>11</v>
      </c>
      <c r="D8274" s="1" t="s">
        <v>2290</v>
      </c>
      <c r="E8274" s="1" t="n">
        <v>1636</v>
      </c>
      <c r="F8274" s="1" t="s">
        <v>49</v>
      </c>
      <c r="I8274" s="1" t="n">
        <v>3238686</v>
      </c>
      <c r="J8274" s="1" t="n">
        <v>16380</v>
      </c>
      <c r="K8274" s="1" t="n">
        <v>7896000717658</v>
      </c>
      <c r="L8274" s="1" t="s">
        <v>4937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5" t="n">
        <v>46254</v>
      </c>
      <c r="C8275" s="1" t="n">
        <v>11</v>
      </c>
      <c r="D8275" s="1" t="s">
        <v>2290</v>
      </c>
      <c r="E8275" s="1" t="n">
        <v>1636</v>
      </c>
      <c r="F8275" s="1" t="s">
        <v>49</v>
      </c>
      <c r="I8275" s="1" t="n">
        <v>3238686</v>
      </c>
      <c r="J8275" s="1" t="n">
        <v>16710</v>
      </c>
      <c r="K8275" s="1" t="n">
        <v>7894650003787</v>
      </c>
      <c r="L8275" s="1" t="s">
        <v>4938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5" t="n">
        <v>46254</v>
      </c>
      <c r="C8276" s="1" t="n">
        <v>11</v>
      </c>
      <c r="D8276" s="1" t="s">
        <v>2290</v>
      </c>
      <c r="E8276" s="1" t="n">
        <v>1636</v>
      </c>
      <c r="F8276" s="1" t="s">
        <v>49</v>
      </c>
      <c r="I8276" s="1" t="n">
        <v>3238686</v>
      </c>
      <c r="J8276" s="1" t="n">
        <v>17976</v>
      </c>
      <c r="K8276" s="1" t="n">
        <v>7894650003848</v>
      </c>
      <c r="L8276" s="1" t="s">
        <v>3340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5" t="n">
        <v>46254</v>
      </c>
      <c r="C8277" s="1" t="n">
        <v>11</v>
      </c>
      <c r="D8277" s="1" t="s">
        <v>2290</v>
      </c>
      <c r="E8277" s="1" t="n">
        <v>1636</v>
      </c>
      <c r="F8277" s="1" t="s">
        <v>49</v>
      </c>
      <c r="I8277" s="1" t="n">
        <v>3238686</v>
      </c>
      <c r="J8277" s="1" t="n">
        <v>20841</v>
      </c>
      <c r="K8277" s="1" t="n">
        <v>7891010973902</v>
      </c>
      <c r="L8277" s="1" t="s">
        <v>4939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5" t="n">
        <v>46254</v>
      </c>
      <c r="C8278" s="1" t="n">
        <v>11</v>
      </c>
      <c r="D8278" s="1" t="s">
        <v>2290</v>
      </c>
      <c r="E8278" s="1" t="n">
        <v>1636</v>
      </c>
      <c r="F8278" s="1" t="s">
        <v>49</v>
      </c>
      <c r="I8278" s="1" t="n">
        <v>3238686</v>
      </c>
      <c r="J8278" s="1" t="n">
        <v>22241</v>
      </c>
      <c r="K8278" s="1" t="n">
        <v>7896000722577</v>
      </c>
      <c r="L8278" s="1" t="s">
        <v>4940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5" t="n">
        <v>46254</v>
      </c>
      <c r="C8279" s="1" t="n">
        <v>11</v>
      </c>
      <c r="D8279" s="1" t="s">
        <v>2290</v>
      </c>
      <c r="E8279" s="1" t="n">
        <v>1636</v>
      </c>
      <c r="F8279" s="1" t="s">
        <v>49</v>
      </c>
      <c r="I8279" s="1" t="n">
        <v>3238686</v>
      </c>
      <c r="J8279" s="1" t="n">
        <v>22246</v>
      </c>
      <c r="K8279" s="1" t="n">
        <v>7896000705952</v>
      </c>
      <c r="L8279" s="1" t="s">
        <v>4941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5" t="n">
        <v>46254</v>
      </c>
      <c r="C8280" s="1" t="n">
        <v>11</v>
      </c>
      <c r="D8280" s="1" t="s">
        <v>2290</v>
      </c>
      <c r="E8280" s="1" t="n">
        <v>1636</v>
      </c>
      <c r="F8280" s="1" t="s">
        <v>49</v>
      </c>
      <c r="I8280" s="1" t="n">
        <v>3238686</v>
      </c>
      <c r="J8280" s="1" t="n">
        <v>22247</v>
      </c>
      <c r="K8280" s="1" t="n">
        <v>7896000705983</v>
      </c>
      <c r="L8280" s="1" t="s">
        <v>4942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5" t="n">
        <v>46254</v>
      </c>
      <c r="C8281" s="1" t="n">
        <v>11</v>
      </c>
      <c r="D8281" s="1" t="s">
        <v>2290</v>
      </c>
      <c r="E8281" s="1" t="n">
        <v>1636</v>
      </c>
      <c r="F8281" s="1" t="s">
        <v>49</v>
      </c>
      <c r="I8281" s="1" t="n">
        <v>3238686</v>
      </c>
      <c r="J8281" s="1" t="n">
        <v>22253</v>
      </c>
      <c r="K8281" s="1" t="n">
        <v>7896000705969</v>
      </c>
      <c r="L8281" s="1" t="s">
        <v>4943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5" t="n">
        <v>46254</v>
      </c>
      <c r="C8282" s="1" t="n">
        <v>11</v>
      </c>
      <c r="D8282" s="1" t="s">
        <v>2290</v>
      </c>
      <c r="E8282" s="1" t="n">
        <v>1636</v>
      </c>
      <c r="F8282" s="1" t="s">
        <v>49</v>
      </c>
      <c r="I8282" s="1" t="n">
        <v>3238686</v>
      </c>
      <c r="J8282" s="1" t="n">
        <v>22257</v>
      </c>
      <c r="K8282" s="1" t="n">
        <v>7896000705945</v>
      </c>
      <c r="L8282" s="1" t="s">
        <v>4944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5" t="n">
        <v>46254</v>
      </c>
      <c r="C8283" s="1" t="n">
        <v>11</v>
      </c>
      <c r="D8283" s="1" t="s">
        <v>2290</v>
      </c>
      <c r="E8283" s="1" t="n">
        <v>1636</v>
      </c>
      <c r="F8283" s="1" t="s">
        <v>49</v>
      </c>
      <c r="I8283" s="1" t="n">
        <v>3238686</v>
      </c>
      <c r="J8283" s="1" t="n">
        <v>22259</v>
      </c>
      <c r="K8283" s="1" t="n">
        <v>7896000705976</v>
      </c>
      <c r="L8283" s="1" t="s">
        <v>4945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5" t="n">
        <v>46254</v>
      </c>
      <c r="C8284" s="1" t="n">
        <v>11</v>
      </c>
      <c r="D8284" s="1" t="s">
        <v>2290</v>
      </c>
      <c r="E8284" s="1" t="n">
        <v>1636</v>
      </c>
      <c r="F8284" s="1" t="s">
        <v>49</v>
      </c>
      <c r="I8284" s="1" t="n">
        <v>3238686</v>
      </c>
      <c r="J8284" s="1" t="n">
        <v>23113</v>
      </c>
      <c r="K8284" s="1" t="n">
        <v>7894650004241</v>
      </c>
      <c r="L8284" s="1" t="s">
        <v>4946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5" t="n">
        <v>46254</v>
      </c>
      <c r="C8285" s="1" t="n">
        <v>11</v>
      </c>
      <c r="D8285" s="1" t="s">
        <v>2290</v>
      </c>
      <c r="E8285" s="1" t="n">
        <v>1636</v>
      </c>
      <c r="F8285" s="1" t="s">
        <v>49</v>
      </c>
      <c r="I8285" s="1" t="n">
        <v>3238686</v>
      </c>
      <c r="J8285" s="1" t="n">
        <v>25921</v>
      </c>
      <c r="K8285" s="1" t="n">
        <v>7891010607135</v>
      </c>
      <c r="L8285" s="1" t="s">
        <v>4947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5" t="n">
        <v>46254</v>
      </c>
      <c r="C8286" s="1" t="n">
        <v>11</v>
      </c>
      <c r="D8286" s="1" t="s">
        <v>2290</v>
      </c>
      <c r="E8286" s="1" t="n">
        <v>1636</v>
      </c>
      <c r="F8286" s="1" t="s">
        <v>49</v>
      </c>
      <c r="I8286" s="1" t="n">
        <v>3238686</v>
      </c>
      <c r="J8286" s="1" t="n">
        <v>26544</v>
      </c>
      <c r="K8286" s="1" t="n">
        <v>7894650013861</v>
      </c>
      <c r="L8286" s="1" t="s">
        <v>3344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5" t="n">
        <v>46254</v>
      </c>
      <c r="C8287" s="1" t="n">
        <v>11</v>
      </c>
      <c r="D8287" s="1" t="s">
        <v>2290</v>
      </c>
      <c r="E8287" s="1" t="n">
        <v>1636</v>
      </c>
      <c r="F8287" s="1" t="s">
        <v>49</v>
      </c>
      <c r="I8287" s="1" t="n">
        <v>3238686</v>
      </c>
      <c r="J8287" s="1" t="n">
        <v>28018</v>
      </c>
      <c r="K8287" s="1" t="n">
        <v>7894650013502</v>
      </c>
      <c r="L8287" s="1" t="s">
        <v>4948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5" t="n">
        <v>46254</v>
      </c>
      <c r="C8288" s="1" t="n">
        <v>11</v>
      </c>
      <c r="D8288" s="1" t="s">
        <v>2290</v>
      </c>
      <c r="E8288" s="1" t="n">
        <v>1636</v>
      </c>
      <c r="F8288" s="1" t="s">
        <v>49</v>
      </c>
      <c r="I8288" s="1" t="n">
        <v>3238686</v>
      </c>
      <c r="J8288" s="1" t="n">
        <v>28076</v>
      </c>
      <c r="K8288" s="1" t="n">
        <v>7894650014448</v>
      </c>
      <c r="L8288" s="1" t="s">
        <v>4949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5" t="n">
        <v>46254</v>
      </c>
      <c r="C8289" s="1" t="n">
        <v>11</v>
      </c>
      <c r="D8289" s="1" t="s">
        <v>2290</v>
      </c>
      <c r="E8289" s="1" t="n">
        <v>1636</v>
      </c>
      <c r="F8289" s="1" t="s">
        <v>49</v>
      </c>
      <c r="I8289" s="1" t="n">
        <v>3238686</v>
      </c>
      <c r="J8289" s="1" t="n">
        <v>29651</v>
      </c>
      <c r="K8289" s="1" t="n">
        <v>7896000727527</v>
      </c>
      <c r="L8289" s="1" t="s">
        <v>4950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5" t="n">
        <v>46254</v>
      </c>
      <c r="C8290" s="1" t="n">
        <v>11</v>
      </c>
      <c r="D8290" s="1" t="s">
        <v>2290</v>
      </c>
      <c r="E8290" s="1" t="n">
        <v>1636</v>
      </c>
      <c r="F8290" s="1" t="s">
        <v>49</v>
      </c>
      <c r="I8290" s="1" t="n">
        <v>3238686</v>
      </c>
      <c r="J8290" s="1" t="n">
        <v>29684</v>
      </c>
      <c r="K8290" s="1" t="n">
        <v>7891010245603</v>
      </c>
      <c r="L8290" s="1" t="s">
        <v>4951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5" t="n">
        <v>46254</v>
      </c>
      <c r="C8291" s="1" t="n">
        <v>11</v>
      </c>
      <c r="D8291" s="1" t="s">
        <v>2290</v>
      </c>
      <c r="E8291" s="1" t="n">
        <v>1636</v>
      </c>
      <c r="F8291" s="1" t="s">
        <v>49</v>
      </c>
      <c r="I8291" s="1" t="n">
        <v>3238686</v>
      </c>
      <c r="J8291" s="1" t="n">
        <v>30437</v>
      </c>
      <c r="K8291" s="1" t="n">
        <v>7896000727534</v>
      </c>
      <c r="L8291" s="1" t="s">
        <v>4952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5" t="n">
        <v>46254</v>
      </c>
      <c r="C8292" s="1" t="n">
        <v>11</v>
      </c>
      <c r="D8292" s="1" t="s">
        <v>2290</v>
      </c>
      <c r="E8292" s="1" t="n">
        <v>1636</v>
      </c>
      <c r="F8292" s="1" t="s">
        <v>49</v>
      </c>
      <c r="I8292" s="1" t="n">
        <v>3238686</v>
      </c>
      <c r="J8292" s="1" t="n">
        <v>31305</v>
      </c>
      <c r="K8292" s="1" t="n">
        <v>7899706170833</v>
      </c>
      <c r="L8292" s="1" t="s">
        <v>4953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5" t="n">
        <v>46254</v>
      </c>
      <c r="C8293" s="1" t="n">
        <v>11</v>
      </c>
      <c r="D8293" s="1" t="s">
        <v>2290</v>
      </c>
      <c r="E8293" s="1" t="n">
        <v>1636</v>
      </c>
      <c r="F8293" s="1" t="s">
        <v>49</v>
      </c>
      <c r="I8293" s="1" t="n">
        <v>3238686</v>
      </c>
      <c r="J8293" s="1" t="n">
        <v>31329</v>
      </c>
      <c r="K8293" s="1" t="n">
        <v>7894650938430</v>
      </c>
      <c r="L8293" s="1" t="s">
        <v>3345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5" t="n">
        <v>46254</v>
      </c>
      <c r="C8294" s="1" t="n">
        <v>11</v>
      </c>
      <c r="D8294" s="1" t="s">
        <v>2290</v>
      </c>
      <c r="E8294" s="1" t="n">
        <v>1636</v>
      </c>
      <c r="F8294" s="1" t="s">
        <v>49</v>
      </c>
      <c r="I8294" s="1" t="n">
        <v>3238686</v>
      </c>
      <c r="J8294" s="1" t="n">
        <v>33964</v>
      </c>
      <c r="K8294" s="1" t="n">
        <v>7894650014288</v>
      </c>
      <c r="L8294" s="1" t="s">
        <v>4954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5" t="n">
        <v>46254</v>
      </c>
      <c r="C8295" s="1" t="n">
        <v>11</v>
      </c>
      <c r="D8295" s="1" t="s">
        <v>2290</v>
      </c>
      <c r="E8295" s="1" t="n">
        <v>1636</v>
      </c>
      <c r="F8295" s="1" t="s">
        <v>49</v>
      </c>
      <c r="I8295" s="1" t="n">
        <v>3238686</v>
      </c>
      <c r="J8295" s="1" t="n">
        <v>35542</v>
      </c>
      <c r="K8295" s="1" t="n">
        <v>7894650014264</v>
      </c>
      <c r="L8295" s="1" t="s">
        <v>4955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5" t="n">
        <v>46254</v>
      </c>
      <c r="C8296" s="1" t="n">
        <v>11</v>
      </c>
      <c r="D8296" s="1" t="s">
        <v>2290</v>
      </c>
      <c r="E8296" s="1" t="n">
        <v>1636</v>
      </c>
      <c r="F8296" s="1" t="s">
        <v>49</v>
      </c>
      <c r="I8296" s="1" t="n">
        <v>3238686</v>
      </c>
      <c r="J8296" s="1" t="n">
        <v>37037</v>
      </c>
      <c r="K8296" s="1" t="n">
        <v>7899706187404</v>
      </c>
      <c r="L8296" s="1" t="s">
        <v>3347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5" t="n">
        <v>46254</v>
      </c>
      <c r="C8297" s="1" t="n">
        <v>11</v>
      </c>
      <c r="D8297" s="1" t="s">
        <v>2290</v>
      </c>
      <c r="E8297" s="1" t="n">
        <v>1636</v>
      </c>
      <c r="F8297" s="1" t="s">
        <v>49</v>
      </c>
      <c r="I8297" s="1" t="n">
        <v>3238686</v>
      </c>
      <c r="J8297" s="1" t="n">
        <v>37930</v>
      </c>
      <c r="K8297" s="1" t="n">
        <v>7894650939598</v>
      </c>
      <c r="L8297" s="1" t="s">
        <v>4954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5" t="n">
        <v>46254</v>
      </c>
      <c r="C8298" s="1" t="n">
        <v>11</v>
      </c>
      <c r="D8298" s="1" t="s">
        <v>2290</v>
      </c>
      <c r="E8298" s="1" t="n">
        <v>1636</v>
      </c>
      <c r="F8298" s="1" t="s">
        <v>49</v>
      </c>
      <c r="I8298" s="1" t="n">
        <v>3238686</v>
      </c>
      <c r="J8298" s="1" t="n">
        <v>43807</v>
      </c>
      <c r="K8298" s="1" t="n">
        <v>7894650940129</v>
      </c>
      <c r="L8298" s="1" t="s">
        <v>4956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5" t="n">
        <v>46254</v>
      </c>
      <c r="C8299" s="1" t="n">
        <v>11</v>
      </c>
      <c r="D8299" s="1" t="s">
        <v>2290</v>
      </c>
      <c r="E8299" s="1" t="n">
        <v>1636</v>
      </c>
      <c r="F8299" s="1" t="s">
        <v>49</v>
      </c>
      <c r="I8299" s="1" t="n">
        <v>3238686</v>
      </c>
      <c r="J8299" s="1" t="n">
        <v>47718</v>
      </c>
      <c r="K8299" s="1" t="n">
        <v>7896044928539</v>
      </c>
      <c r="L8299" s="1" t="s">
        <v>4957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5" t="n">
        <v>46254</v>
      </c>
      <c r="C8300" s="1" t="n">
        <v>11</v>
      </c>
      <c r="D8300" s="1" t="s">
        <v>2290</v>
      </c>
      <c r="E8300" s="1" t="n">
        <v>1636</v>
      </c>
      <c r="F8300" s="1" t="s">
        <v>49</v>
      </c>
      <c r="I8300" s="1" t="n">
        <v>3238686</v>
      </c>
      <c r="J8300" s="1" t="n">
        <v>52951</v>
      </c>
      <c r="K8300" s="1" t="n">
        <v>7896044963530</v>
      </c>
      <c r="L8300" s="1" t="s">
        <v>4958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5" t="n">
        <v>46254</v>
      </c>
      <c r="C8301" s="1" t="n">
        <v>11</v>
      </c>
      <c r="D8301" s="1" t="s">
        <v>2290</v>
      </c>
      <c r="E8301" s="1" t="n">
        <v>1636</v>
      </c>
      <c r="F8301" s="1" t="s">
        <v>49</v>
      </c>
      <c r="I8301" s="1" t="n">
        <v>3238686</v>
      </c>
      <c r="J8301" s="1" t="n">
        <v>57941</v>
      </c>
      <c r="K8301" s="1" t="n">
        <v>7896044942023</v>
      </c>
      <c r="L8301" s="1" t="s">
        <v>4959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5" t="n">
        <v>46254</v>
      </c>
      <c r="C8302" s="1" t="n">
        <v>11</v>
      </c>
      <c r="D8302" s="1" t="s">
        <v>2290</v>
      </c>
      <c r="E8302" s="1" t="n">
        <v>1636</v>
      </c>
      <c r="F8302" s="1" t="s">
        <v>49</v>
      </c>
      <c r="I8302" s="1" t="n">
        <v>3238686</v>
      </c>
      <c r="J8302" s="1" t="n">
        <v>58863</v>
      </c>
      <c r="K8302" s="1" t="n">
        <v>7908615017297</v>
      </c>
      <c r="L8302" s="1" t="s">
        <v>4960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5" t="n">
        <v>46254</v>
      </c>
      <c r="C8303" s="1" t="n">
        <v>11</v>
      </c>
      <c r="D8303" s="1" t="s">
        <v>2290</v>
      </c>
      <c r="E8303" s="1" t="n">
        <v>1636</v>
      </c>
      <c r="F8303" s="1" t="s">
        <v>49</v>
      </c>
      <c r="I8303" s="1" t="n">
        <v>3238686</v>
      </c>
      <c r="J8303" s="1" t="n">
        <v>60898</v>
      </c>
      <c r="K8303" s="1" t="n">
        <v>7899026478909</v>
      </c>
      <c r="L8303" s="1" t="s">
        <v>4961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5" t="n">
        <v>46254</v>
      </c>
      <c r="C8304" s="1" t="n">
        <v>11</v>
      </c>
      <c r="D8304" s="1" t="s">
        <v>2290</v>
      </c>
      <c r="E8304" s="1" t="n">
        <v>1636</v>
      </c>
      <c r="F8304" s="1" t="s">
        <v>49</v>
      </c>
      <c r="I8304" s="1" t="n">
        <v>3238686</v>
      </c>
      <c r="J8304" s="1" t="n">
        <v>62365</v>
      </c>
      <c r="K8304" s="1" t="n">
        <v>7908615062457</v>
      </c>
      <c r="L8304" s="1" t="s">
        <v>4962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5" t="n">
        <v>46254</v>
      </c>
      <c r="C8305" s="1" t="n">
        <v>11</v>
      </c>
      <c r="D8305" s="1" t="s">
        <v>2290</v>
      </c>
      <c r="E8305" s="1" t="n">
        <v>1636</v>
      </c>
      <c r="F8305" s="1" t="s">
        <v>49</v>
      </c>
      <c r="I8305" s="1" t="n">
        <v>3238686</v>
      </c>
      <c r="J8305" s="1" t="n">
        <v>62920</v>
      </c>
      <c r="K8305" s="1" t="n">
        <v>7908615000190</v>
      </c>
      <c r="L8305" s="1" t="s">
        <v>4963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5" t="n">
        <v>46254</v>
      </c>
      <c r="C8306" s="1" t="n">
        <v>11</v>
      </c>
      <c r="D8306" s="1" t="s">
        <v>2290</v>
      </c>
      <c r="E8306" s="1" t="n">
        <v>1636</v>
      </c>
      <c r="F8306" s="1" t="s">
        <v>49</v>
      </c>
      <c r="I8306" s="1" t="n">
        <v>3238686</v>
      </c>
      <c r="J8306" s="1" t="n">
        <v>64122</v>
      </c>
      <c r="K8306" s="1" t="n">
        <v>7908615055145</v>
      </c>
      <c r="L8306" s="1" t="s">
        <v>3354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5" t="n">
        <v>46254</v>
      </c>
      <c r="C8307" s="1" t="n">
        <v>11</v>
      </c>
      <c r="D8307" s="1" t="s">
        <v>2290</v>
      </c>
      <c r="E8307" s="1" t="n">
        <v>1636</v>
      </c>
      <c r="F8307" s="1" t="s">
        <v>49</v>
      </c>
      <c r="I8307" s="1" t="n">
        <v>3238686</v>
      </c>
      <c r="J8307" s="1" t="n">
        <v>64126</v>
      </c>
      <c r="K8307" s="1" t="n">
        <v>7908615060385</v>
      </c>
      <c r="L8307" s="1" t="s">
        <v>4964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5" t="n">
        <v>46254</v>
      </c>
      <c r="C8308" s="1" t="n">
        <v>11</v>
      </c>
      <c r="D8308" s="1" t="s">
        <v>2290</v>
      </c>
      <c r="E8308" s="1" t="n">
        <v>1636</v>
      </c>
      <c r="F8308" s="1" t="s">
        <v>49</v>
      </c>
      <c r="I8308" s="1" t="n">
        <v>3238686</v>
      </c>
      <c r="J8308" s="1" t="n">
        <v>65737</v>
      </c>
      <c r="K8308" s="1" t="n">
        <v>7894650008539</v>
      </c>
      <c r="L8308" s="1" t="s">
        <v>3352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5" t="n">
        <v>46254</v>
      </c>
      <c r="C8309" s="1" t="n">
        <v>11</v>
      </c>
      <c r="D8309" s="1" t="s">
        <v>2290</v>
      </c>
      <c r="E8309" s="1" t="n">
        <v>1636</v>
      </c>
      <c r="F8309" s="1" t="s">
        <v>49</v>
      </c>
      <c r="I8309" s="1" t="n">
        <v>3238686</v>
      </c>
      <c r="J8309" s="1" t="n">
        <v>66112</v>
      </c>
      <c r="K8309" s="1" t="n">
        <v>7896914002505</v>
      </c>
      <c r="L8309" s="1" t="s">
        <v>4965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5" t="n">
        <v>46254</v>
      </c>
      <c r="C8310" s="1" t="n">
        <v>11</v>
      </c>
      <c r="D8310" s="1" t="s">
        <v>2290</v>
      </c>
      <c r="E8310" s="1" t="n">
        <v>1636</v>
      </c>
      <c r="F8310" s="1" t="s">
        <v>49</v>
      </c>
      <c r="I8310" s="1" t="n">
        <v>3238686</v>
      </c>
      <c r="J8310" s="1" t="n">
        <v>66205</v>
      </c>
      <c r="K8310" s="1" t="n">
        <v>7908615077079</v>
      </c>
      <c r="L8310" s="1" t="s">
        <v>4966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5" t="n">
        <v>46254</v>
      </c>
      <c r="C8311" s="1" t="n">
        <v>11</v>
      </c>
      <c r="D8311" s="1" t="s">
        <v>2290</v>
      </c>
      <c r="E8311" s="1" t="n">
        <v>1636</v>
      </c>
      <c r="F8311" s="1" t="s">
        <v>49</v>
      </c>
      <c r="I8311" s="1" t="n">
        <v>3238686</v>
      </c>
      <c r="J8311" s="1" t="n">
        <v>68021</v>
      </c>
      <c r="K8311" s="1" t="n">
        <v>7899026422308</v>
      </c>
      <c r="L8311" s="1" t="s">
        <v>4967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5" t="n">
        <v>46254</v>
      </c>
      <c r="C8312" s="1" t="n">
        <v>11</v>
      </c>
      <c r="D8312" s="1" t="s">
        <v>2290</v>
      </c>
      <c r="E8312" s="1" t="n">
        <v>1636</v>
      </c>
      <c r="F8312" s="1" t="s">
        <v>49</v>
      </c>
      <c r="I8312" s="1" t="n">
        <v>3238686</v>
      </c>
      <c r="J8312" s="1" t="n">
        <v>72984</v>
      </c>
      <c r="K8312" s="1" t="n">
        <v>7908785461654</v>
      </c>
      <c r="L8312" s="1" t="s">
        <v>3355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5" t="n">
        <v>46254</v>
      </c>
      <c r="C8313" s="1" t="n">
        <v>11</v>
      </c>
      <c r="D8313" s="1" t="s">
        <v>2290</v>
      </c>
      <c r="E8313" s="1" t="n">
        <v>1636</v>
      </c>
      <c r="F8313" s="1" t="s">
        <v>49</v>
      </c>
      <c r="I8313" s="1" t="n">
        <v>3238686</v>
      </c>
      <c r="J8313" s="1" t="n">
        <v>72985</v>
      </c>
      <c r="K8313" s="1" t="n">
        <v>7908785461753</v>
      </c>
      <c r="L8313" s="1" t="s">
        <v>3356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5" t="n">
        <v>46254</v>
      </c>
      <c r="C8314" s="1" t="n">
        <v>11</v>
      </c>
      <c r="D8314" s="1" t="s">
        <v>2290</v>
      </c>
      <c r="E8314" s="1" t="n">
        <v>1636</v>
      </c>
      <c r="F8314" s="1" t="s">
        <v>49</v>
      </c>
      <c r="I8314" s="1" t="n">
        <v>3238686</v>
      </c>
      <c r="J8314" s="1" t="n">
        <v>77163</v>
      </c>
      <c r="K8314" s="1" t="n">
        <v>7908785482659</v>
      </c>
      <c r="L8314" s="1" t="s">
        <v>4682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5" t="n">
        <v>46254</v>
      </c>
      <c r="C8315" s="1" t="n">
        <v>11</v>
      </c>
      <c r="D8315" s="1" t="s">
        <v>2290</v>
      </c>
      <c r="E8315" s="1" t="n">
        <v>1636</v>
      </c>
      <c r="F8315" s="1" t="s">
        <v>49</v>
      </c>
      <c r="I8315" s="1" t="n">
        <v>3238686</v>
      </c>
      <c r="J8315" s="1" t="n">
        <v>78155</v>
      </c>
      <c r="K8315" s="1" t="n">
        <v>7899026413764</v>
      </c>
      <c r="L8315" s="1" t="s">
        <v>4968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5" t="n">
        <v>46254</v>
      </c>
      <c r="C8316" s="1" t="n">
        <v>11</v>
      </c>
      <c r="D8316" s="1" t="s">
        <v>2290</v>
      </c>
      <c r="E8316" s="1" t="n">
        <v>1636</v>
      </c>
      <c r="F8316" s="1" t="s">
        <v>49</v>
      </c>
      <c r="I8316" s="1" t="n">
        <v>3238686</v>
      </c>
      <c r="J8316" s="1" t="n">
        <v>78158</v>
      </c>
      <c r="K8316" s="1" t="n">
        <v>7899026408289</v>
      </c>
      <c r="L8316" s="1" t="s">
        <v>4969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5" t="n">
        <v>46254</v>
      </c>
      <c r="C8317" s="1" t="n">
        <v>11</v>
      </c>
      <c r="D8317" s="1" t="s">
        <v>2290</v>
      </c>
      <c r="E8317" s="1" t="n">
        <v>1636</v>
      </c>
      <c r="F8317" s="1" t="s">
        <v>49</v>
      </c>
      <c r="I8317" s="1" t="n">
        <v>3238686</v>
      </c>
      <c r="J8317" s="1" t="n">
        <v>78214</v>
      </c>
      <c r="K8317" s="1" t="n">
        <v>7908785490166</v>
      </c>
      <c r="L8317" s="1" t="s">
        <v>4970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5" t="n">
        <v>46254</v>
      </c>
      <c r="C8318" s="1" t="n">
        <v>11</v>
      </c>
      <c r="D8318" s="1" t="s">
        <v>2290</v>
      </c>
      <c r="E8318" s="1" t="n">
        <v>1636</v>
      </c>
      <c r="F8318" s="1" t="s">
        <v>49</v>
      </c>
      <c r="I8318" s="1" t="n">
        <v>3238686</v>
      </c>
      <c r="J8318" s="1" t="n">
        <v>78215</v>
      </c>
      <c r="K8318" s="1" t="n">
        <v>7908785482697</v>
      </c>
      <c r="L8318" s="1" t="s">
        <v>4971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5" t="n">
        <v>46254</v>
      </c>
      <c r="C8319" s="1" t="n">
        <v>11</v>
      </c>
      <c r="D8319" s="1" t="s">
        <v>2290</v>
      </c>
      <c r="E8319" s="1" t="n">
        <v>1636</v>
      </c>
      <c r="F8319" s="1" t="s">
        <v>49</v>
      </c>
      <c r="I8319" s="1" t="n">
        <v>3238686</v>
      </c>
      <c r="J8319" s="1" t="n">
        <v>79797</v>
      </c>
      <c r="K8319" s="1" t="n">
        <v>7908966527117</v>
      </c>
      <c r="L8319" s="1" t="s">
        <v>4972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5" t="n">
        <v>46254</v>
      </c>
      <c r="C8320" s="1" t="n">
        <v>11</v>
      </c>
      <c r="D8320" s="1" t="s">
        <v>2290</v>
      </c>
      <c r="E8320" s="1" t="n">
        <v>1636</v>
      </c>
      <c r="F8320" s="1" t="s">
        <v>49</v>
      </c>
      <c r="I8320" s="1" t="n">
        <v>3238686</v>
      </c>
      <c r="J8320" s="1" t="n">
        <v>79798</v>
      </c>
      <c r="K8320" s="1" t="n">
        <v>7908966528404</v>
      </c>
      <c r="L8320" s="1" t="s">
        <v>4973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5" t="n">
        <v>46254</v>
      </c>
      <c r="C8321" s="1" t="n">
        <v>11</v>
      </c>
      <c r="D8321" s="1" t="s">
        <v>2290</v>
      </c>
      <c r="E8321" s="1" t="n">
        <v>1636</v>
      </c>
      <c r="F8321" s="1" t="s">
        <v>49</v>
      </c>
      <c r="I8321" s="1" t="n">
        <v>3238686</v>
      </c>
      <c r="J8321" s="1" t="n">
        <v>79807</v>
      </c>
      <c r="K8321" s="1" t="n">
        <v>7908966528367</v>
      </c>
      <c r="L8321" s="1" t="s">
        <v>4974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5" t="n">
        <v>46254</v>
      </c>
      <c r="C8322" s="1" t="n">
        <v>11</v>
      </c>
      <c r="D8322" s="1" t="s">
        <v>2290</v>
      </c>
      <c r="E8322" s="1" t="n">
        <v>1636</v>
      </c>
      <c r="F8322" s="1" t="s">
        <v>49</v>
      </c>
      <c r="I8322" s="1" t="n">
        <v>3238686</v>
      </c>
      <c r="J8322" s="1" t="n">
        <v>80797</v>
      </c>
      <c r="K8322" s="1" t="n">
        <v>7894650015667</v>
      </c>
      <c r="L8322" s="1" t="s">
        <v>4975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5" t="n">
        <v>46254</v>
      </c>
      <c r="C8323" s="1" t="n">
        <v>11</v>
      </c>
      <c r="D8323" s="1" t="s">
        <v>2290</v>
      </c>
      <c r="E8323" s="1" t="n">
        <v>1636</v>
      </c>
      <c r="F8323" s="1" t="s">
        <v>49</v>
      </c>
      <c r="I8323" s="1" t="n">
        <v>3238686</v>
      </c>
      <c r="J8323" s="1" t="n">
        <v>81435</v>
      </c>
      <c r="K8323" s="1" t="n">
        <v>7896914002536</v>
      </c>
      <c r="L8323" s="1" t="s">
        <v>3362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5" t="n">
        <v>46254</v>
      </c>
      <c r="C8324" s="1" t="n">
        <v>11</v>
      </c>
      <c r="D8324" s="1" t="s">
        <v>2290</v>
      </c>
      <c r="E8324" s="1" t="n">
        <v>1636</v>
      </c>
      <c r="F8324" s="1" t="s">
        <v>49</v>
      </c>
      <c r="I8324" s="1" t="n">
        <v>3238686</v>
      </c>
      <c r="J8324" s="1" t="n">
        <v>82096</v>
      </c>
      <c r="K8324" s="1" t="n">
        <v>7894650016435</v>
      </c>
      <c r="L8324" s="1" t="s">
        <v>4976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5" t="n">
        <v>46254</v>
      </c>
      <c r="C8325" s="1" t="n">
        <v>11</v>
      </c>
      <c r="D8325" s="1" t="s">
        <v>2290</v>
      </c>
      <c r="E8325" s="1" t="n">
        <v>1636</v>
      </c>
      <c r="F8325" s="1" t="s">
        <v>49</v>
      </c>
      <c r="I8325" s="1" t="n">
        <v>3238686</v>
      </c>
      <c r="J8325" s="1" t="n">
        <v>82140</v>
      </c>
      <c r="K8325" s="1" t="n">
        <v>7894650002667</v>
      </c>
      <c r="L8325" s="1" t="s">
        <v>4977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5" t="n">
        <v>46254</v>
      </c>
      <c r="C8326" s="1" t="n">
        <v>11</v>
      </c>
      <c r="D8326" s="1" t="s">
        <v>2290</v>
      </c>
      <c r="E8326" s="1" t="n">
        <v>1636</v>
      </c>
      <c r="F8326" s="1" t="s">
        <v>49</v>
      </c>
      <c r="I8326" s="1" t="n">
        <v>3238686</v>
      </c>
      <c r="J8326" s="1" t="n">
        <v>82147</v>
      </c>
      <c r="K8326" s="1" t="n">
        <v>7908966556735</v>
      </c>
      <c r="L8326" s="1" t="s">
        <v>4978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5" t="n">
        <v>46254</v>
      </c>
      <c r="C8327" s="1" t="n">
        <v>11</v>
      </c>
      <c r="D8327" s="1" t="s">
        <v>2290</v>
      </c>
      <c r="E8327" s="1" t="n">
        <v>1636</v>
      </c>
      <c r="F8327" s="1" t="s">
        <v>49</v>
      </c>
      <c r="I8327" s="1" t="n">
        <v>3238686</v>
      </c>
      <c r="J8327" s="1" t="n">
        <v>82148</v>
      </c>
      <c r="K8327" s="1" t="n">
        <v>7908966556773</v>
      </c>
      <c r="L8327" s="1" t="s">
        <v>4979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5" t="n">
        <v>46254</v>
      </c>
      <c r="C8328" s="1" t="n">
        <v>11</v>
      </c>
      <c r="D8328" s="1" t="s">
        <v>2290</v>
      </c>
      <c r="E8328" s="1" t="n">
        <v>1636</v>
      </c>
      <c r="F8328" s="1" t="s">
        <v>49</v>
      </c>
      <c r="I8328" s="1" t="n">
        <v>3238686</v>
      </c>
      <c r="J8328" s="1" t="n">
        <v>82149</v>
      </c>
      <c r="K8328" s="1" t="n">
        <v>7908966556858</v>
      </c>
      <c r="L8328" s="1" t="s">
        <v>4980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5" t="n">
        <v>46254</v>
      </c>
      <c r="C8329" s="1" t="n">
        <v>11</v>
      </c>
      <c r="D8329" s="1" t="s">
        <v>2290</v>
      </c>
      <c r="E8329" s="1" t="n">
        <v>1636</v>
      </c>
      <c r="F8329" s="1" t="s">
        <v>49</v>
      </c>
      <c r="I8329" s="1" t="n">
        <v>3238686</v>
      </c>
      <c r="J8329" s="1" t="n">
        <v>82150</v>
      </c>
      <c r="K8329" s="1" t="n">
        <v>7908966556810</v>
      </c>
      <c r="L8329" s="1" t="s">
        <v>4981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5" t="n">
        <v>46254</v>
      </c>
      <c r="C8330" s="1" t="n">
        <v>171</v>
      </c>
      <c r="D8330" s="1" t="s">
        <v>2517</v>
      </c>
      <c r="E8330" s="1" t="n">
        <v>1739</v>
      </c>
      <c r="F8330" s="1" t="s">
        <v>1919</v>
      </c>
      <c r="I8330" s="1" t="n">
        <v>255146</v>
      </c>
      <c r="J8330" s="1" t="n">
        <v>31711</v>
      </c>
      <c r="K8330" s="1" t="n">
        <v>7897169236868</v>
      </c>
      <c r="L8330" s="1" t="s">
        <v>4982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5" t="n">
        <v>46254</v>
      </c>
      <c r="C8331" s="1" t="n">
        <v>171</v>
      </c>
      <c r="D8331" s="1" t="s">
        <v>2517</v>
      </c>
      <c r="E8331" s="1" t="n">
        <v>1739</v>
      </c>
      <c r="F8331" s="1" t="s">
        <v>1919</v>
      </c>
      <c r="I8331" s="1" t="n">
        <v>255146</v>
      </c>
      <c r="J8331" s="1" t="n">
        <v>39198</v>
      </c>
      <c r="K8331" s="1" t="n">
        <v>7896509975443</v>
      </c>
      <c r="L8331" s="1" t="s">
        <v>4983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5" t="n">
        <v>46254</v>
      </c>
      <c r="C8332" s="1" t="n">
        <v>171</v>
      </c>
      <c r="D8332" s="1" t="s">
        <v>2517</v>
      </c>
      <c r="E8332" s="1" t="n">
        <v>1739</v>
      </c>
      <c r="F8332" s="1" t="s">
        <v>1919</v>
      </c>
      <c r="I8332" s="1" t="n">
        <v>255146</v>
      </c>
      <c r="J8332" s="1" t="n">
        <v>41971</v>
      </c>
      <c r="K8332" s="1" t="n">
        <v>7896509972077</v>
      </c>
      <c r="L8332" s="1" t="s">
        <v>4984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5" t="n">
        <v>46254</v>
      </c>
      <c r="C8333" s="1" t="n">
        <v>171</v>
      </c>
      <c r="D8333" s="1" t="s">
        <v>2517</v>
      </c>
      <c r="E8333" s="1" t="n">
        <v>1739</v>
      </c>
      <c r="F8333" s="1" t="s">
        <v>1919</v>
      </c>
      <c r="I8333" s="1" t="n">
        <v>255146</v>
      </c>
      <c r="J8333" s="1" t="n">
        <v>54500</v>
      </c>
      <c r="K8333" s="1" t="n">
        <v>7897169207356</v>
      </c>
      <c r="L8333" s="1" t="s">
        <v>4985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5" t="n">
        <v>46254</v>
      </c>
      <c r="C8334" s="1" t="n">
        <v>171</v>
      </c>
      <c r="D8334" s="1" t="s">
        <v>2517</v>
      </c>
      <c r="E8334" s="1" t="n">
        <v>1740</v>
      </c>
      <c r="F8334" s="1" t="s">
        <v>170</v>
      </c>
      <c r="I8334" s="1" t="n">
        <v>1260901</v>
      </c>
      <c r="J8334" s="1" t="n">
        <v>81470</v>
      </c>
      <c r="K8334" s="1" t="n">
        <v>7898681940059</v>
      </c>
      <c r="L8334" s="1" t="s">
        <v>4986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5" t="n">
        <v>46255</v>
      </c>
      <c r="C8335" s="1" t="n">
        <v>1</v>
      </c>
      <c r="D8335" s="1" t="s">
        <v>2317</v>
      </c>
      <c r="E8335" s="1" t="n">
        <v>10035</v>
      </c>
      <c r="F8335" s="1" t="s">
        <v>227</v>
      </c>
      <c r="I8335" s="1" t="n">
        <v>409</v>
      </c>
      <c r="J8335" s="1" t="n">
        <v>38652</v>
      </c>
      <c r="K8335" s="1" t="n">
        <v>7898994684220</v>
      </c>
      <c r="L8335" s="1" t="s">
        <v>2458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5" t="n">
        <v>46255</v>
      </c>
      <c r="C8336" s="1" t="n">
        <v>1</v>
      </c>
      <c r="D8336" s="1" t="s">
        <v>2317</v>
      </c>
      <c r="E8336" s="1" t="n">
        <v>10035</v>
      </c>
      <c r="F8336" s="1" t="s">
        <v>227</v>
      </c>
      <c r="I8336" s="1" t="n">
        <v>409</v>
      </c>
      <c r="J8336" s="1" t="n">
        <v>38653</v>
      </c>
      <c r="K8336" s="1" t="n">
        <v>7898994684275</v>
      </c>
      <c r="L8336" s="1" t="s">
        <v>2459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5" t="n">
        <v>46255</v>
      </c>
      <c r="C8337" s="1" t="n">
        <v>1</v>
      </c>
      <c r="D8337" s="1" t="s">
        <v>2317</v>
      </c>
      <c r="E8337" s="1" t="n">
        <v>10035</v>
      </c>
      <c r="F8337" s="1" t="s">
        <v>227</v>
      </c>
      <c r="I8337" s="1" t="n">
        <v>409</v>
      </c>
      <c r="J8337" s="1" t="n">
        <v>43726</v>
      </c>
      <c r="K8337" s="1" t="n">
        <v>2245461</v>
      </c>
      <c r="L8337" s="1" t="s">
        <v>2460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5" t="n">
        <v>46255</v>
      </c>
      <c r="C8338" s="1" t="n">
        <v>1</v>
      </c>
      <c r="D8338" s="1" t="s">
        <v>2317</v>
      </c>
      <c r="E8338" s="1" t="n">
        <v>10043</v>
      </c>
      <c r="F8338" s="1" t="s">
        <v>112</v>
      </c>
      <c r="I8338" s="1" t="n">
        <v>893</v>
      </c>
      <c r="J8338" s="1" t="n">
        <v>52096</v>
      </c>
      <c r="K8338" s="1" t="n">
        <v>144315</v>
      </c>
      <c r="L8338" s="1" t="s">
        <v>2318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5" t="n">
        <v>46255</v>
      </c>
      <c r="C8339" s="1" t="n">
        <v>6</v>
      </c>
      <c r="D8339" s="1" t="s">
        <v>2289</v>
      </c>
      <c r="E8339" s="1" t="n">
        <v>42</v>
      </c>
      <c r="F8339" s="1" t="s">
        <v>80</v>
      </c>
      <c r="I8339" s="1" t="n">
        <v>4529</v>
      </c>
      <c r="J8339" s="1" t="n">
        <v>100104</v>
      </c>
      <c r="K8339" s="1" t="n">
        <v>105</v>
      </c>
      <c r="L8339" s="1" t="s">
        <v>2321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5" t="n">
        <v>46255</v>
      </c>
      <c r="C8340" s="1" t="n">
        <v>6</v>
      </c>
      <c r="D8340" s="1" t="s">
        <v>2289</v>
      </c>
      <c r="E8340" s="1" t="n">
        <v>42</v>
      </c>
      <c r="F8340" s="1" t="s">
        <v>80</v>
      </c>
      <c r="I8340" s="1" t="n">
        <v>4529</v>
      </c>
      <c r="J8340" s="1" t="n">
        <v>100105</v>
      </c>
      <c r="K8340" s="1" t="n">
        <v>106</v>
      </c>
      <c r="L8340" s="1" t="s">
        <v>2322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5" t="n">
        <v>46255</v>
      </c>
      <c r="C8341" s="1" t="n">
        <v>6</v>
      </c>
      <c r="D8341" s="1" t="s">
        <v>2289</v>
      </c>
      <c r="E8341" s="1" t="n">
        <v>42</v>
      </c>
      <c r="F8341" s="1" t="s">
        <v>80</v>
      </c>
      <c r="I8341" s="1" t="n">
        <v>4529</v>
      </c>
      <c r="J8341" s="1" t="n">
        <v>100109</v>
      </c>
      <c r="K8341" s="1" t="n">
        <v>110</v>
      </c>
      <c r="L8341" s="1" t="s">
        <v>2324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5" t="n">
        <v>46255</v>
      </c>
      <c r="C8342" s="1" t="n">
        <v>6</v>
      </c>
      <c r="D8342" s="1" t="s">
        <v>2289</v>
      </c>
      <c r="E8342" s="1" t="n">
        <v>42</v>
      </c>
      <c r="F8342" s="1" t="s">
        <v>80</v>
      </c>
      <c r="I8342" s="1" t="n">
        <v>4529</v>
      </c>
      <c r="J8342" s="1" t="n">
        <v>100110</v>
      </c>
      <c r="K8342" s="1" t="n">
        <v>111</v>
      </c>
      <c r="L8342" s="1" t="s">
        <v>2473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5" t="n">
        <v>46255</v>
      </c>
      <c r="C8343" s="1" t="n">
        <v>6</v>
      </c>
      <c r="D8343" s="1" t="s">
        <v>2289</v>
      </c>
      <c r="E8343" s="1" t="n">
        <v>42</v>
      </c>
      <c r="F8343" s="1" t="s">
        <v>80</v>
      </c>
      <c r="I8343" s="1" t="n">
        <v>4529</v>
      </c>
      <c r="J8343" s="1" t="n">
        <v>100113</v>
      </c>
      <c r="K8343" s="1" t="n">
        <v>114</v>
      </c>
      <c r="L8343" s="1" t="s">
        <v>2326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5" t="n">
        <v>46255</v>
      </c>
      <c r="C8344" s="1" t="n">
        <v>6</v>
      </c>
      <c r="D8344" s="1" t="s">
        <v>2289</v>
      </c>
      <c r="E8344" s="1" t="n">
        <v>42</v>
      </c>
      <c r="F8344" s="1" t="s">
        <v>80</v>
      </c>
      <c r="I8344" s="1" t="n">
        <v>4529</v>
      </c>
      <c r="J8344" s="1" t="n">
        <v>100118</v>
      </c>
      <c r="K8344" s="1" t="n">
        <v>119</v>
      </c>
      <c r="L8344" s="1" t="s">
        <v>2328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5" t="n">
        <v>46255</v>
      </c>
      <c r="C8345" s="1" t="n">
        <v>6</v>
      </c>
      <c r="D8345" s="1" t="s">
        <v>2289</v>
      </c>
      <c r="E8345" s="1" t="n">
        <v>42</v>
      </c>
      <c r="F8345" s="1" t="s">
        <v>80</v>
      </c>
      <c r="I8345" s="1" t="n">
        <v>4529</v>
      </c>
      <c r="J8345" s="1" t="n">
        <v>100121</v>
      </c>
      <c r="K8345" s="1" t="n">
        <v>122</v>
      </c>
      <c r="L8345" s="1" t="s">
        <v>2329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5" t="n">
        <v>46255</v>
      </c>
      <c r="C8346" s="1" t="n">
        <v>6</v>
      </c>
      <c r="D8346" s="1" t="s">
        <v>2289</v>
      </c>
      <c r="E8346" s="1" t="n">
        <v>42</v>
      </c>
      <c r="F8346" s="1" t="s">
        <v>80</v>
      </c>
      <c r="I8346" s="1" t="n">
        <v>4529</v>
      </c>
      <c r="J8346" s="1" t="n">
        <v>100122</v>
      </c>
      <c r="K8346" s="1" t="n">
        <v>123</v>
      </c>
      <c r="L8346" s="1" t="s">
        <v>2330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5" t="n">
        <v>46255</v>
      </c>
      <c r="C8347" s="1" t="n">
        <v>6</v>
      </c>
      <c r="D8347" s="1" t="s">
        <v>2289</v>
      </c>
      <c r="E8347" s="1" t="n">
        <v>42</v>
      </c>
      <c r="F8347" s="1" t="s">
        <v>80</v>
      </c>
      <c r="I8347" s="1" t="n">
        <v>4529</v>
      </c>
      <c r="J8347" s="1" t="n">
        <v>100124</v>
      </c>
      <c r="K8347" s="1" t="n">
        <v>125</v>
      </c>
      <c r="L8347" s="1" t="s">
        <v>2476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5" t="n">
        <v>46255</v>
      </c>
      <c r="C8348" s="1" t="n">
        <v>6</v>
      </c>
      <c r="D8348" s="1" t="s">
        <v>2289</v>
      </c>
      <c r="E8348" s="1" t="n">
        <v>42</v>
      </c>
      <c r="F8348" s="1" t="s">
        <v>80</v>
      </c>
      <c r="I8348" s="1" t="n">
        <v>4529</v>
      </c>
      <c r="J8348" s="1" t="n">
        <v>100125</v>
      </c>
      <c r="K8348" s="1" t="n">
        <v>126</v>
      </c>
      <c r="L8348" s="1" t="s">
        <v>2477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5" t="n">
        <v>46255</v>
      </c>
      <c r="C8349" s="1" t="n">
        <v>6</v>
      </c>
      <c r="D8349" s="1" t="s">
        <v>2289</v>
      </c>
      <c r="E8349" s="1" t="n">
        <v>42</v>
      </c>
      <c r="F8349" s="1" t="s">
        <v>80</v>
      </c>
      <c r="I8349" s="1" t="n">
        <v>4529</v>
      </c>
      <c r="J8349" s="1" t="n">
        <v>100132</v>
      </c>
      <c r="K8349" s="1" t="n">
        <v>133</v>
      </c>
      <c r="L8349" s="1" t="s">
        <v>3104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5" t="n">
        <v>46255</v>
      </c>
      <c r="C8350" s="1" t="n">
        <v>6</v>
      </c>
      <c r="D8350" s="1" t="s">
        <v>2289</v>
      </c>
      <c r="E8350" s="1" t="n">
        <v>42</v>
      </c>
      <c r="F8350" s="1" t="s">
        <v>80</v>
      </c>
      <c r="I8350" s="1" t="n">
        <v>4529</v>
      </c>
      <c r="J8350" s="1" t="n">
        <v>100133</v>
      </c>
      <c r="K8350" s="1" t="n">
        <v>134</v>
      </c>
      <c r="L8350" s="1" t="s">
        <v>2332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5" t="n">
        <v>46255</v>
      </c>
      <c r="C8351" s="1" t="n">
        <v>6</v>
      </c>
      <c r="D8351" s="1" t="s">
        <v>2289</v>
      </c>
      <c r="E8351" s="1" t="n">
        <v>42</v>
      </c>
      <c r="F8351" s="1" t="s">
        <v>80</v>
      </c>
      <c r="I8351" s="1" t="n">
        <v>4529</v>
      </c>
      <c r="J8351" s="1" t="n">
        <v>110142</v>
      </c>
      <c r="K8351" s="1" t="n">
        <v>16699</v>
      </c>
      <c r="L8351" s="1" t="s">
        <v>2334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5" t="n">
        <v>46255</v>
      </c>
      <c r="C8352" s="1" t="n">
        <v>6</v>
      </c>
      <c r="D8352" s="1" t="s">
        <v>2289</v>
      </c>
      <c r="E8352" s="1" t="n">
        <v>42</v>
      </c>
      <c r="F8352" s="1" t="s">
        <v>80</v>
      </c>
      <c r="I8352" s="1" t="n">
        <v>4529</v>
      </c>
      <c r="J8352" s="1" t="n">
        <v>110160</v>
      </c>
      <c r="K8352" s="1" t="n">
        <v>38562</v>
      </c>
      <c r="L8352" s="1" t="s">
        <v>3283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5" t="n">
        <v>46255</v>
      </c>
      <c r="C8353" s="1" t="n">
        <v>6</v>
      </c>
      <c r="D8353" s="1" t="s">
        <v>2289</v>
      </c>
      <c r="E8353" s="1" t="n">
        <v>42</v>
      </c>
      <c r="F8353" s="1" t="s">
        <v>80</v>
      </c>
      <c r="I8353" s="1" t="n">
        <v>4529</v>
      </c>
      <c r="J8353" s="1" t="n">
        <v>110265</v>
      </c>
      <c r="K8353" s="1" t="n">
        <v>41346</v>
      </c>
      <c r="L8353" s="1" t="s">
        <v>2478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5" t="n">
        <v>46255</v>
      </c>
      <c r="C8354" s="1" t="n">
        <v>6</v>
      </c>
      <c r="D8354" s="1" t="s">
        <v>2289</v>
      </c>
      <c r="E8354" s="1" t="n">
        <v>42</v>
      </c>
      <c r="F8354" s="1" t="s">
        <v>80</v>
      </c>
      <c r="I8354" s="1" t="n">
        <v>4530</v>
      </c>
      <c r="J8354" s="1" t="n">
        <v>100103</v>
      </c>
      <c r="K8354" s="1" t="n">
        <v>104</v>
      </c>
      <c r="L8354" s="1" t="s">
        <v>2287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5" t="n">
        <v>46255</v>
      </c>
      <c r="C8355" s="1" t="n">
        <v>6</v>
      </c>
      <c r="D8355" s="1" t="s">
        <v>2289</v>
      </c>
      <c r="E8355" s="1" t="n">
        <v>42</v>
      </c>
      <c r="F8355" s="1" t="s">
        <v>80</v>
      </c>
      <c r="I8355" s="1" t="n">
        <v>4531</v>
      </c>
      <c r="J8355" s="1" t="n">
        <v>100116</v>
      </c>
      <c r="K8355" s="1" t="n">
        <v>117</v>
      </c>
      <c r="L8355" s="1" t="s">
        <v>2327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5" t="n">
        <v>46255</v>
      </c>
      <c r="C8356" s="1" t="n">
        <v>6</v>
      </c>
      <c r="D8356" s="1" t="s">
        <v>2289</v>
      </c>
      <c r="E8356" s="1" t="n">
        <v>42</v>
      </c>
      <c r="F8356" s="1" t="s">
        <v>80</v>
      </c>
      <c r="I8356" s="1" t="n">
        <v>4532</v>
      </c>
      <c r="J8356" s="1" t="n">
        <v>37359</v>
      </c>
      <c r="K8356" s="1" t="n">
        <v>55526</v>
      </c>
      <c r="L8356" s="1" t="s">
        <v>2285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5" t="n">
        <v>46255</v>
      </c>
      <c r="C8357" s="1" t="n">
        <v>6</v>
      </c>
      <c r="D8357" s="1" t="s">
        <v>2289</v>
      </c>
      <c r="E8357" s="1" t="n">
        <v>42</v>
      </c>
      <c r="F8357" s="1" t="s">
        <v>80</v>
      </c>
      <c r="I8357" s="1" t="n">
        <v>4532</v>
      </c>
      <c r="J8357" s="1" t="n">
        <v>37361</v>
      </c>
      <c r="K8357" s="1" t="n">
        <v>2240817</v>
      </c>
      <c r="L8357" s="1" t="s">
        <v>2286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5" t="n">
        <v>46255</v>
      </c>
      <c r="C8358" s="1" t="n">
        <v>6</v>
      </c>
      <c r="D8358" s="1" t="s">
        <v>2289</v>
      </c>
      <c r="E8358" s="1" t="n">
        <v>42</v>
      </c>
      <c r="F8358" s="1" t="s">
        <v>80</v>
      </c>
      <c r="I8358" s="1" t="n">
        <v>4533</v>
      </c>
      <c r="J8358" s="1" t="n">
        <v>72679</v>
      </c>
      <c r="K8358" s="1" t="n">
        <v>246</v>
      </c>
      <c r="L8358" s="1" t="s">
        <v>2288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5" t="n">
        <v>46255</v>
      </c>
      <c r="C8359" s="1" t="n">
        <v>11</v>
      </c>
      <c r="D8359" s="1" t="s">
        <v>2290</v>
      </c>
      <c r="E8359" s="1" t="n">
        <v>1828</v>
      </c>
      <c r="F8359" s="1" t="s">
        <v>278</v>
      </c>
      <c r="I8359" s="1" t="n">
        <v>1441</v>
      </c>
      <c r="J8359" s="1" t="n">
        <v>14247</v>
      </c>
      <c r="K8359" s="1" t="n">
        <v>2229416</v>
      </c>
      <c r="L8359" s="1" t="s">
        <v>2747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5" t="n">
        <v>46255</v>
      </c>
      <c r="C8360" s="1" t="n">
        <v>11</v>
      </c>
      <c r="D8360" s="1" t="s">
        <v>2290</v>
      </c>
      <c r="E8360" s="1" t="n">
        <v>1828</v>
      </c>
      <c r="F8360" s="1" t="s">
        <v>278</v>
      </c>
      <c r="I8360" s="1" t="n">
        <v>1441</v>
      </c>
      <c r="J8360" s="1" t="n">
        <v>14248</v>
      </c>
      <c r="K8360" s="1" t="n">
        <v>2229423</v>
      </c>
      <c r="L8360" s="1" t="s">
        <v>2748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5" t="n">
        <v>46255</v>
      </c>
      <c r="C8361" s="1" t="n">
        <v>11</v>
      </c>
      <c r="D8361" s="1" t="s">
        <v>2290</v>
      </c>
      <c r="E8361" s="1" t="n">
        <v>1828</v>
      </c>
      <c r="F8361" s="1" t="s">
        <v>278</v>
      </c>
      <c r="I8361" s="1" t="n">
        <v>1441</v>
      </c>
      <c r="J8361" s="1" t="n">
        <v>20541</v>
      </c>
      <c r="K8361" s="1" t="n">
        <v>2232829</v>
      </c>
      <c r="L8361" s="1" t="s">
        <v>2749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5" t="n">
        <v>46255</v>
      </c>
      <c r="C8362" s="1" t="n">
        <v>11</v>
      </c>
      <c r="D8362" s="1" t="s">
        <v>2290</v>
      </c>
      <c r="E8362" s="1" t="n">
        <v>1828</v>
      </c>
      <c r="F8362" s="1" t="s">
        <v>278</v>
      </c>
      <c r="I8362" s="1" t="n">
        <v>1441</v>
      </c>
      <c r="J8362" s="1" t="n">
        <v>81207</v>
      </c>
      <c r="K8362" s="1" t="n">
        <v>812085</v>
      </c>
      <c r="L8362" s="1" t="s">
        <v>2750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5" t="n">
        <v>46255</v>
      </c>
      <c r="C8363" s="1" t="n">
        <v>11</v>
      </c>
      <c r="D8363" s="1" t="s">
        <v>2290</v>
      </c>
      <c r="E8363" s="1" t="n">
        <v>1643</v>
      </c>
      <c r="F8363" s="1" t="s">
        <v>198</v>
      </c>
      <c r="I8363" s="1" t="n">
        <v>10923</v>
      </c>
      <c r="J8363" s="1" t="n">
        <v>63172</v>
      </c>
      <c r="K8363" s="1" t="n">
        <v>7898928536526</v>
      </c>
      <c r="L8363" s="1" t="s">
        <v>2464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5" t="n">
        <v>46255</v>
      </c>
      <c r="C8364" s="1" t="n">
        <v>11</v>
      </c>
      <c r="D8364" s="1" t="s">
        <v>2290</v>
      </c>
      <c r="E8364" s="1" t="n">
        <v>1643</v>
      </c>
      <c r="F8364" s="1" t="s">
        <v>198</v>
      </c>
      <c r="I8364" s="1" t="n">
        <v>10923</v>
      </c>
      <c r="J8364" s="1" t="n">
        <v>63904</v>
      </c>
      <c r="K8364" s="1" t="n">
        <v>7898928536595</v>
      </c>
      <c r="L8364" s="1" t="s">
        <v>2465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5" t="n">
        <v>46255</v>
      </c>
      <c r="C8365" s="1" t="n">
        <v>11</v>
      </c>
      <c r="D8365" s="1" t="s">
        <v>2290</v>
      </c>
      <c r="E8365" s="1" t="n">
        <v>1643</v>
      </c>
      <c r="F8365" s="1" t="s">
        <v>198</v>
      </c>
      <c r="I8365" s="1" t="n">
        <v>10923</v>
      </c>
      <c r="J8365" s="1" t="n">
        <v>64175</v>
      </c>
      <c r="K8365" s="1" t="n">
        <v>7898928536533</v>
      </c>
      <c r="L8365" s="1" t="s">
        <v>2465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5" t="n">
        <v>46255</v>
      </c>
      <c r="C8366" s="1" t="n">
        <v>11</v>
      </c>
      <c r="D8366" s="1" t="s">
        <v>2290</v>
      </c>
      <c r="E8366" s="1" t="n">
        <v>1615</v>
      </c>
      <c r="F8366" s="1" t="s">
        <v>130</v>
      </c>
      <c r="I8366" s="1" t="n">
        <v>15159</v>
      </c>
      <c r="J8366" s="1" t="n">
        <v>37771</v>
      </c>
      <c r="K8366" s="1" t="n">
        <v>774574</v>
      </c>
      <c r="L8366" s="1" t="s">
        <v>2569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5" t="n">
        <v>46255</v>
      </c>
      <c r="C8367" s="1" t="n">
        <v>11</v>
      </c>
      <c r="D8367" s="1" t="s">
        <v>2290</v>
      </c>
      <c r="E8367" s="1" t="n">
        <v>1695</v>
      </c>
      <c r="F8367" s="1" t="s">
        <v>269</v>
      </c>
      <c r="I8367" s="1" t="n">
        <v>19986</v>
      </c>
      <c r="J8367" s="1" t="n">
        <v>101262</v>
      </c>
      <c r="K8367" s="1" t="n">
        <v>7896179500013</v>
      </c>
      <c r="L8367" s="1" t="s">
        <v>4131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5" t="n">
        <v>46255</v>
      </c>
      <c r="C8368" s="1" t="n">
        <v>11</v>
      </c>
      <c r="D8368" s="1" t="s">
        <v>2290</v>
      </c>
      <c r="E8368" s="1" t="n">
        <v>1695</v>
      </c>
      <c r="F8368" s="1" t="s">
        <v>269</v>
      </c>
      <c r="I8368" s="1" t="n">
        <v>19986</v>
      </c>
      <c r="J8368" s="1" t="n">
        <v>101759</v>
      </c>
      <c r="K8368" s="1" t="n">
        <v>7896179500037</v>
      </c>
      <c r="L8368" s="1" t="s">
        <v>4164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5" t="n">
        <v>46255</v>
      </c>
      <c r="C8369" s="1" t="n">
        <v>11</v>
      </c>
      <c r="D8369" s="1" t="s">
        <v>2290</v>
      </c>
      <c r="E8369" s="1" t="n">
        <v>1695</v>
      </c>
      <c r="F8369" s="1" t="s">
        <v>269</v>
      </c>
      <c r="I8369" s="1" t="n">
        <v>19986</v>
      </c>
      <c r="J8369" s="1" t="n">
        <v>101947</v>
      </c>
      <c r="K8369" s="1" t="n">
        <v>7891079001028</v>
      </c>
      <c r="L8369" s="1" t="s">
        <v>2634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5" t="n">
        <v>46255</v>
      </c>
      <c r="C8370" s="1" t="n">
        <v>11</v>
      </c>
      <c r="D8370" s="1" t="s">
        <v>2290</v>
      </c>
      <c r="E8370" s="1" t="n">
        <v>1695</v>
      </c>
      <c r="F8370" s="1" t="s">
        <v>269</v>
      </c>
      <c r="I8370" s="1" t="n">
        <v>19986</v>
      </c>
      <c r="J8370" s="1" t="n">
        <v>101953</v>
      </c>
      <c r="K8370" s="1" t="n">
        <v>7891079000229</v>
      </c>
      <c r="L8370" s="1" t="s">
        <v>2637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5" t="n">
        <v>46255</v>
      </c>
      <c r="C8371" s="1" t="n">
        <v>11</v>
      </c>
      <c r="D8371" s="1" t="s">
        <v>2290</v>
      </c>
      <c r="E8371" s="1" t="n">
        <v>1695</v>
      </c>
      <c r="F8371" s="1" t="s">
        <v>269</v>
      </c>
      <c r="I8371" s="1" t="n">
        <v>19986</v>
      </c>
      <c r="J8371" s="1" t="n">
        <v>102206</v>
      </c>
      <c r="K8371" s="1" t="n">
        <v>7896028014494</v>
      </c>
      <c r="L8371" s="1" t="s">
        <v>4165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5" t="n">
        <v>46255</v>
      </c>
      <c r="C8372" s="1" t="n">
        <v>11</v>
      </c>
      <c r="D8372" s="1" t="s">
        <v>2290</v>
      </c>
      <c r="E8372" s="1" t="n">
        <v>1695</v>
      </c>
      <c r="F8372" s="1" t="s">
        <v>269</v>
      </c>
      <c r="I8372" s="1" t="n">
        <v>19986</v>
      </c>
      <c r="J8372" s="1" t="n">
        <v>102208</v>
      </c>
      <c r="K8372" s="1" t="n">
        <v>7896004400075</v>
      </c>
      <c r="L8372" s="1" t="s">
        <v>4399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5" t="n">
        <v>46255</v>
      </c>
      <c r="C8373" s="1" t="n">
        <v>11</v>
      </c>
      <c r="D8373" s="1" t="s">
        <v>2290</v>
      </c>
      <c r="E8373" s="1" t="n">
        <v>1695</v>
      </c>
      <c r="F8373" s="1" t="s">
        <v>269</v>
      </c>
      <c r="I8373" s="1" t="n">
        <v>19986</v>
      </c>
      <c r="J8373" s="1" t="n">
        <v>102209</v>
      </c>
      <c r="K8373" s="1" t="n">
        <v>7896004400082</v>
      </c>
      <c r="L8373" s="1" t="s">
        <v>4987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5" t="n">
        <v>46255</v>
      </c>
      <c r="C8374" s="1" t="n">
        <v>11</v>
      </c>
      <c r="D8374" s="1" t="s">
        <v>2290</v>
      </c>
      <c r="E8374" s="1" t="n">
        <v>1695</v>
      </c>
      <c r="F8374" s="1" t="s">
        <v>269</v>
      </c>
      <c r="I8374" s="1" t="n">
        <v>19986</v>
      </c>
      <c r="J8374" s="1" t="n">
        <v>102287</v>
      </c>
      <c r="K8374" s="1" t="n">
        <v>7896593500026</v>
      </c>
      <c r="L8374" s="1" t="s">
        <v>2744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5" t="n">
        <v>46255</v>
      </c>
      <c r="C8375" s="1" t="n">
        <v>11</v>
      </c>
      <c r="D8375" s="1" t="s">
        <v>2290</v>
      </c>
      <c r="E8375" s="1" t="n">
        <v>1695</v>
      </c>
      <c r="F8375" s="1" t="s">
        <v>269</v>
      </c>
      <c r="I8375" s="1" t="n">
        <v>19986</v>
      </c>
      <c r="J8375" s="1" t="n">
        <v>102290</v>
      </c>
      <c r="K8375" s="1" t="n">
        <v>7896593500019</v>
      </c>
      <c r="L8375" s="1" t="s">
        <v>2745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5" t="n">
        <v>46255</v>
      </c>
      <c r="C8376" s="1" t="n">
        <v>11</v>
      </c>
      <c r="D8376" s="1" t="s">
        <v>2290</v>
      </c>
      <c r="E8376" s="1" t="n">
        <v>1695</v>
      </c>
      <c r="F8376" s="1" t="s">
        <v>269</v>
      </c>
      <c r="I8376" s="1" t="n">
        <v>19986</v>
      </c>
      <c r="J8376" s="1" t="n">
        <v>102457</v>
      </c>
      <c r="K8376" s="1" t="n">
        <v>7896031253347</v>
      </c>
      <c r="L8376" s="1" t="s">
        <v>2797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5" t="n">
        <v>46255</v>
      </c>
      <c r="C8377" s="1" t="n">
        <v>11</v>
      </c>
      <c r="D8377" s="1" t="s">
        <v>2290</v>
      </c>
      <c r="E8377" s="1" t="n">
        <v>1695</v>
      </c>
      <c r="F8377" s="1" t="s">
        <v>269</v>
      </c>
      <c r="I8377" s="1" t="n">
        <v>19986</v>
      </c>
      <c r="J8377" s="1" t="n">
        <v>103344</v>
      </c>
      <c r="K8377" s="1" t="n">
        <v>7896490288775</v>
      </c>
      <c r="L8377" s="1" t="s">
        <v>4111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5" t="n">
        <v>46255</v>
      </c>
      <c r="C8378" s="1" t="n">
        <v>11</v>
      </c>
      <c r="D8378" s="1" t="s">
        <v>2290</v>
      </c>
      <c r="E8378" s="1" t="n">
        <v>1695</v>
      </c>
      <c r="F8378" s="1" t="s">
        <v>269</v>
      </c>
      <c r="I8378" s="1" t="n">
        <v>19986</v>
      </c>
      <c r="J8378" s="1" t="n">
        <v>104029</v>
      </c>
      <c r="K8378" s="1" t="n">
        <v>7896045512317</v>
      </c>
      <c r="L8378" s="1" t="s">
        <v>2291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5" t="n">
        <v>46255</v>
      </c>
      <c r="C8379" s="1" t="n">
        <v>11</v>
      </c>
      <c r="D8379" s="1" t="s">
        <v>2290</v>
      </c>
      <c r="E8379" s="1" t="n">
        <v>1695</v>
      </c>
      <c r="F8379" s="1" t="s">
        <v>269</v>
      </c>
      <c r="I8379" s="1" t="n">
        <v>19986</v>
      </c>
      <c r="J8379" s="1" t="n">
        <v>105388</v>
      </c>
      <c r="K8379" s="1" t="n">
        <v>7891167021013</v>
      </c>
      <c r="L8379" s="1" t="s">
        <v>3415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5" t="n">
        <v>46255</v>
      </c>
      <c r="C8380" s="1" t="n">
        <v>11</v>
      </c>
      <c r="D8380" s="1" t="s">
        <v>2290</v>
      </c>
      <c r="E8380" s="1" t="n">
        <v>1695</v>
      </c>
      <c r="F8380" s="1" t="s">
        <v>269</v>
      </c>
      <c r="I8380" s="1" t="n">
        <v>19986</v>
      </c>
      <c r="J8380" s="1" t="n">
        <v>107754</v>
      </c>
      <c r="K8380" s="1" t="n">
        <v>7898366930351</v>
      </c>
      <c r="L8380" s="1" t="s">
        <v>4268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5" t="n">
        <v>46255</v>
      </c>
      <c r="C8381" s="1" t="n">
        <v>11</v>
      </c>
      <c r="D8381" s="1" t="s">
        <v>2290</v>
      </c>
      <c r="E8381" s="1" t="n">
        <v>1695</v>
      </c>
      <c r="F8381" s="1" t="s">
        <v>269</v>
      </c>
      <c r="I8381" s="1" t="n">
        <v>19986</v>
      </c>
      <c r="J8381" s="1" t="n">
        <v>107858</v>
      </c>
      <c r="K8381" s="1" t="n">
        <v>7896707341590</v>
      </c>
      <c r="L8381" s="1" t="s">
        <v>4444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5" t="n">
        <v>46255</v>
      </c>
      <c r="C8382" s="1" t="n">
        <v>11</v>
      </c>
      <c r="D8382" s="1" t="s">
        <v>2290</v>
      </c>
      <c r="E8382" s="1" t="n">
        <v>1695</v>
      </c>
      <c r="F8382" s="1" t="s">
        <v>269</v>
      </c>
      <c r="I8382" s="1" t="n">
        <v>19986</v>
      </c>
      <c r="J8382" s="1" t="n">
        <v>11153</v>
      </c>
      <c r="K8382" s="1" t="n">
        <v>7897412400152</v>
      </c>
      <c r="L8382" s="1" t="s">
        <v>3196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5" t="n">
        <v>46255</v>
      </c>
      <c r="C8383" s="1" t="n">
        <v>11</v>
      </c>
      <c r="D8383" s="1" t="s">
        <v>2290</v>
      </c>
      <c r="E8383" s="1" t="n">
        <v>1695</v>
      </c>
      <c r="F8383" s="1" t="s">
        <v>269</v>
      </c>
      <c r="I8383" s="1" t="n">
        <v>19986</v>
      </c>
      <c r="J8383" s="1" t="n">
        <v>11881</v>
      </c>
      <c r="K8383" s="1" t="n">
        <v>7892300030688</v>
      </c>
      <c r="L8383" s="1" t="s">
        <v>3472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5" t="n">
        <v>46255</v>
      </c>
      <c r="C8384" s="1" t="n">
        <v>11</v>
      </c>
      <c r="D8384" s="1" t="s">
        <v>2290</v>
      </c>
      <c r="E8384" s="1" t="n">
        <v>1695</v>
      </c>
      <c r="F8384" s="1" t="s">
        <v>269</v>
      </c>
      <c r="I8384" s="1" t="n">
        <v>19986</v>
      </c>
      <c r="J8384" s="1" t="n">
        <v>12122</v>
      </c>
      <c r="K8384" s="1" t="n">
        <v>7898286190354</v>
      </c>
      <c r="L8384" s="1" t="s">
        <v>4174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5" t="n">
        <v>46255</v>
      </c>
      <c r="C8385" s="1" t="n">
        <v>11</v>
      </c>
      <c r="D8385" s="1" t="s">
        <v>2290</v>
      </c>
      <c r="E8385" s="1" t="n">
        <v>1695</v>
      </c>
      <c r="F8385" s="1" t="s">
        <v>269</v>
      </c>
      <c r="I8385" s="1" t="n">
        <v>19986</v>
      </c>
      <c r="J8385" s="1" t="n">
        <v>14290</v>
      </c>
      <c r="K8385" s="1" t="n">
        <v>7506195143834</v>
      </c>
      <c r="L8385" s="1" t="s">
        <v>3548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5" t="n">
        <v>46255</v>
      </c>
      <c r="C8386" s="1" t="n">
        <v>11</v>
      </c>
      <c r="D8386" s="1" t="s">
        <v>2290</v>
      </c>
      <c r="E8386" s="1" t="n">
        <v>1695</v>
      </c>
      <c r="F8386" s="1" t="s">
        <v>269</v>
      </c>
      <c r="I8386" s="1" t="n">
        <v>19986</v>
      </c>
      <c r="J8386" s="1" t="n">
        <v>14494</v>
      </c>
      <c r="K8386" s="1" t="n">
        <v>7506195143872</v>
      </c>
      <c r="L8386" s="1" t="s">
        <v>3549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5" t="n">
        <v>46255</v>
      </c>
      <c r="C8387" s="1" t="n">
        <v>11</v>
      </c>
      <c r="D8387" s="1" t="s">
        <v>2290</v>
      </c>
      <c r="E8387" s="1" t="n">
        <v>1695</v>
      </c>
      <c r="F8387" s="1" t="s">
        <v>269</v>
      </c>
      <c r="I8387" s="1" t="n">
        <v>19986</v>
      </c>
      <c r="J8387" s="1" t="n">
        <v>14670</v>
      </c>
      <c r="K8387" s="1" t="n">
        <v>7506195143858</v>
      </c>
      <c r="L8387" s="1" t="s">
        <v>3550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5" t="n">
        <v>46255</v>
      </c>
      <c r="C8388" s="1" t="n">
        <v>11</v>
      </c>
      <c r="D8388" s="1" t="s">
        <v>2290</v>
      </c>
      <c r="E8388" s="1" t="n">
        <v>1695</v>
      </c>
      <c r="F8388" s="1" t="s">
        <v>269</v>
      </c>
      <c r="I8388" s="1" t="n">
        <v>19986</v>
      </c>
      <c r="J8388" s="1" t="n">
        <v>15013</v>
      </c>
      <c r="K8388" s="1" t="n">
        <v>7897395040307</v>
      </c>
      <c r="L8388" s="1" t="s">
        <v>3102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5" t="n">
        <v>46255</v>
      </c>
      <c r="C8389" s="1" t="n">
        <v>11</v>
      </c>
      <c r="D8389" s="1" t="s">
        <v>2290</v>
      </c>
      <c r="E8389" s="1" t="n">
        <v>1695</v>
      </c>
      <c r="F8389" s="1" t="s">
        <v>269</v>
      </c>
      <c r="I8389" s="1" t="n">
        <v>19986</v>
      </c>
      <c r="J8389" s="1" t="n">
        <v>20485</v>
      </c>
      <c r="K8389" s="1" t="n">
        <v>7898342050240</v>
      </c>
      <c r="L8389" s="1" t="s">
        <v>3294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5" t="n">
        <v>46255</v>
      </c>
      <c r="C8390" s="1" t="n">
        <v>11</v>
      </c>
      <c r="D8390" s="1" t="s">
        <v>2290</v>
      </c>
      <c r="E8390" s="1" t="n">
        <v>1695</v>
      </c>
      <c r="F8390" s="1" t="s">
        <v>269</v>
      </c>
      <c r="I8390" s="1" t="n">
        <v>19986</v>
      </c>
      <c r="J8390" s="1" t="n">
        <v>21655</v>
      </c>
      <c r="K8390" s="1" t="n">
        <v>7896102502763</v>
      </c>
      <c r="L8390" s="1" t="s">
        <v>2852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5" t="n">
        <v>46255</v>
      </c>
      <c r="C8391" s="1" t="n">
        <v>11</v>
      </c>
      <c r="D8391" s="1" t="s">
        <v>2290</v>
      </c>
      <c r="E8391" s="1" t="n">
        <v>1695</v>
      </c>
      <c r="F8391" s="1" t="s">
        <v>269</v>
      </c>
      <c r="I8391" s="1" t="n">
        <v>19986</v>
      </c>
      <c r="J8391" s="1" t="n">
        <v>22079</v>
      </c>
      <c r="K8391" s="1" t="n">
        <v>7896102502756</v>
      </c>
      <c r="L8391" s="1" t="s">
        <v>4269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5" t="n">
        <v>46255</v>
      </c>
      <c r="C8392" s="1" t="n">
        <v>11</v>
      </c>
      <c r="D8392" s="1" t="s">
        <v>2290</v>
      </c>
      <c r="E8392" s="1" t="n">
        <v>1695</v>
      </c>
      <c r="F8392" s="1" t="s">
        <v>269</v>
      </c>
      <c r="I8392" s="1" t="n">
        <v>19986</v>
      </c>
      <c r="J8392" s="1" t="n">
        <v>27241</v>
      </c>
      <c r="K8392" s="1" t="n">
        <v>7898910758639</v>
      </c>
      <c r="L8392" s="1" t="s">
        <v>3142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5" t="n">
        <v>46255</v>
      </c>
      <c r="C8393" s="1" t="n">
        <v>11</v>
      </c>
      <c r="D8393" s="1" t="s">
        <v>2290</v>
      </c>
      <c r="E8393" s="1" t="n">
        <v>1695</v>
      </c>
      <c r="F8393" s="1" t="s">
        <v>269</v>
      </c>
      <c r="I8393" s="1" t="n">
        <v>19986</v>
      </c>
      <c r="J8393" s="1" t="n">
        <v>27242</v>
      </c>
      <c r="K8393" s="1" t="n">
        <v>7898910758622</v>
      </c>
      <c r="L8393" s="1" t="s">
        <v>3143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5" t="n">
        <v>46255</v>
      </c>
      <c r="C8394" s="1" t="n">
        <v>11</v>
      </c>
      <c r="D8394" s="1" t="s">
        <v>2290</v>
      </c>
      <c r="E8394" s="1" t="n">
        <v>1695</v>
      </c>
      <c r="F8394" s="1" t="s">
        <v>269</v>
      </c>
      <c r="I8394" s="1" t="n">
        <v>19986</v>
      </c>
      <c r="J8394" s="1" t="n">
        <v>28032</v>
      </c>
      <c r="K8394" s="1" t="n">
        <v>7891079013038</v>
      </c>
      <c r="L8394" s="1" t="s">
        <v>2646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5" t="n">
        <v>46255</v>
      </c>
      <c r="C8395" s="1" t="n">
        <v>11</v>
      </c>
      <c r="D8395" s="1" t="s">
        <v>2290</v>
      </c>
      <c r="E8395" s="1" t="n">
        <v>1695</v>
      </c>
      <c r="F8395" s="1" t="s">
        <v>269</v>
      </c>
      <c r="I8395" s="1" t="n">
        <v>19986</v>
      </c>
      <c r="J8395" s="1" t="n">
        <v>28035</v>
      </c>
      <c r="K8395" s="1" t="n">
        <v>7891079013052</v>
      </c>
      <c r="L8395" s="1" t="s">
        <v>2649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5" t="n">
        <v>46255</v>
      </c>
      <c r="C8396" s="1" t="n">
        <v>11</v>
      </c>
      <c r="D8396" s="1" t="s">
        <v>2290</v>
      </c>
      <c r="E8396" s="1" t="n">
        <v>1695</v>
      </c>
      <c r="F8396" s="1" t="s">
        <v>269</v>
      </c>
      <c r="I8396" s="1" t="n">
        <v>19986</v>
      </c>
      <c r="J8396" s="1" t="n">
        <v>29846</v>
      </c>
      <c r="K8396" s="1" t="n">
        <v>7891097102059</v>
      </c>
      <c r="L8396" s="1" t="s">
        <v>3843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5" t="n">
        <v>46255</v>
      </c>
      <c r="C8397" s="1" t="n">
        <v>11</v>
      </c>
      <c r="D8397" s="1" t="s">
        <v>2290</v>
      </c>
      <c r="E8397" s="1" t="n">
        <v>1695</v>
      </c>
      <c r="F8397" s="1" t="s">
        <v>269</v>
      </c>
      <c r="I8397" s="1" t="n">
        <v>19986</v>
      </c>
      <c r="J8397" s="1" t="n">
        <v>30152</v>
      </c>
      <c r="K8397" s="1" t="n">
        <v>7891150064522</v>
      </c>
      <c r="L8397" s="1" t="s">
        <v>2689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5" t="n">
        <v>46255</v>
      </c>
      <c r="C8398" s="1" t="n">
        <v>11</v>
      </c>
      <c r="D8398" s="1" t="s">
        <v>2290</v>
      </c>
      <c r="E8398" s="1" t="n">
        <v>1695</v>
      </c>
      <c r="F8398" s="1" t="s">
        <v>269</v>
      </c>
      <c r="I8398" s="1" t="n">
        <v>19986</v>
      </c>
      <c r="J8398" s="1" t="n">
        <v>31500</v>
      </c>
      <c r="K8398" s="1" t="n">
        <v>7898922012378</v>
      </c>
      <c r="L8398" s="1" t="s">
        <v>3937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5" t="n">
        <v>46255</v>
      </c>
      <c r="C8399" s="1" t="n">
        <v>11</v>
      </c>
      <c r="D8399" s="1" t="s">
        <v>2290</v>
      </c>
      <c r="E8399" s="1" t="n">
        <v>1695</v>
      </c>
      <c r="F8399" s="1" t="s">
        <v>269</v>
      </c>
      <c r="I8399" s="1" t="n">
        <v>19986</v>
      </c>
      <c r="J8399" s="1" t="n">
        <v>31798</v>
      </c>
      <c r="K8399" s="1" t="n">
        <v>7898922012392</v>
      </c>
      <c r="L8399" s="1" t="s">
        <v>2394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5" t="n">
        <v>46255</v>
      </c>
      <c r="C8400" s="1" t="n">
        <v>11</v>
      </c>
      <c r="D8400" s="1" t="s">
        <v>2290</v>
      </c>
      <c r="E8400" s="1" t="n">
        <v>1695</v>
      </c>
      <c r="F8400" s="1" t="s">
        <v>269</v>
      </c>
      <c r="I8400" s="1" t="n">
        <v>19986</v>
      </c>
      <c r="J8400" s="1" t="n">
        <v>57639</v>
      </c>
      <c r="K8400" s="1" t="n">
        <v>7896004006277</v>
      </c>
      <c r="L8400" s="1" t="s">
        <v>2364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5" t="n">
        <v>46255</v>
      </c>
      <c r="C8401" s="1" t="n">
        <v>11</v>
      </c>
      <c r="D8401" s="1" t="s">
        <v>2290</v>
      </c>
      <c r="E8401" s="1" t="n">
        <v>1695</v>
      </c>
      <c r="F8401" s="1" t="s">
        <v>269</v>
      </c>
      <c r="I8401" s="1" t="n">
        <v>19986</v>
      </c>
      <c r="J8401" s="1" t="n">
        <v>71373</v>
      </c>
      <c r="K8401" s="1" t="n">
        <v>7891150097575</v>
      </c>
      <c r="L8401" s="1" t="s">
        <v>2697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5" t="n">
        <v>46255</v>
      </c>
      <c r="C8402" s="1" t="n">
        <v>11</v>
      </c>
      <c r="D8402" s="1" t="s">
        <v>2290</v>
      </c>
      <c r="E8402" s="1" t="n">
        <v>1695</v>
      </c>
      <c r="F8402" s="1" t="s">
        <v>269</v>
      </c>
      <c r="I8402" s="1" t="n">
        <v>19986</v>
      </c>
      <c r="J8402" s="1" t="n">
        <v>71624</v>
      </c>
      <c r="K8402" s="1" t="n">
        <v>7891150097568</v>
      </c>
      <c r="L8402" s="1" t="s">
        <v>4116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5" t="n">
        <v>46255</v>
      </c>
      <c r="C8403" s="1" t="n">
        <v>11</v>
      </c>
      <c r="D8403" s="1" t="s">
        <v>2290</v>
      </c>
      <c r="E8403" s="1" t="n">
        <v>1695</v>
      </c>
      <c r="F8403" s="1" t="s">
        <v>269</v>
      </c>
      <c r="I8403" s="1" t="n">
        <v>19986</v>
      </c>
      <c r="J8403" s="1" t="n">
        <v>78099</v>
      </c>
      <c r="K8403" s="1" t="n">
        <v>7896306100109</v>
      </c>
      <c r="L8403" s="1" t="s">
        <v>4988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5" t="n">
        <v>46255</v>
      </c>
      <c r="C8404" s="1" t="n">
        <v>11</v>
      </c>
      <c r="D8404" s="1" t="s">
        <v>2290</v>
      </c>
      <c r="E8404" s="1" t="n">
        <v>10010</v>
      </c>
      <c r="F8404" s="1" t="s">
        <v>1951</v>
      </c>
      <c r="I8404" s="1" t="n">
        <v>44501</v>
      </c>
      <c r="J8404" s="1" t="n">
        <v>69537</v>
      </c>
      <c r="K8404" s="1" t="n">
        <v>7898969820257</v>
      </c>
      <c r="L8404" s="1" t="s">
        <v>4989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5" t="n">
        <v>46255</v>
      </c>
      <c r="C8405" s="1" t="n">
        <v>11</v>
      </c>
      <c r="D8405" s="1" t="s">
        <v>2290</v>
      </c>
      <c r="E8405" s="1" t="n">
        <v>1723</v>
      </c>
      <c r="F8405" s="1" t="s">
        <v>76</v>
      </c>
      <c r="I8405" s="1" t="n">
        <v>175182</v>
      </c>
      <c r="J8405" s="1" t="n">
        <v>29079</v>
      </c>
      <c r="K8405" s="1" t="n">
        <v>55515</v>
      </c>
      <c r="L8405" s="1" t="s">
        <v>2360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5" t="n">
        <v>46255</v>
      </c>
      <c r="C8406" s="1" t="n">
        <v>11</v>
      </c>
      <c r="D8406" s="1" t="s">
        <v>2290</v>
      </c>
      <c r="E8406" s="1" t="n">
        <v>1723</v>
      </c>
      <c r="F8406" s="1" t="s">
        <v>76</v>
      </c>
      <c r="I8406" s="1" t="n">
        <v>175182</v>
      </c>
      <c r="J8406" s="1" t="n">
        <v>29080</v>
      </c>
      <c r="K8406" s="1" t="n">
        <v>55516</v>
      </c>
      <c r="L8406" s="1" t="s">
        <v>2362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5" t="n">
        <v>46255</v>
      </c>
      <c r="C8407" s="1" t="n">
        <v>11</v>
      </c>
      <c r="D8407" s="1" t="s">
        <v>2290</v>
      </c>
      <c r="E8407" s="1" t="n">
        <v>1723</v>
      </c>
      <c r="F8407" s="1" t="s">
        <v>76</v>
      </c>
      <c r="I8407" s="1" t="n">
        <v>175219</v>
      </c>
      <c r="J8407" s="1" t="n">
        <v>110184</v>
      </c>
      <c r="K8407" s="1" t="n">
        <v>37393</v>
      </c>
      <c r="L8407" s="1" t="s">
        <v>2584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5" t="n">
        <v>46255</v>
      </c>
      <c r="C8408" s="1" t="n">
        <v>11</v>
      </c>
      <c r="D8408" s="1" t="s">
        <v>2290</v>
      </c>
      <c r="E8408" s="1" t="n">
        <v>1605</v>
      </c>
      <c r="F8408" s="1" t="s">
        <v>113</v>
      </c>
      <c r="I8408" s="1" t="n">
        <v>223956</v>
      </c>
      <c r="J8408" s="1" t="n">
        <v>10811</v>
      </c>
      <c r="K8408" s="1" t="n">
        <v>7891999941879</v>
      </c>
      <c r="L8408" s="1" t="s">
        <v>2370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5" t="n">
        <v>46255</v>
      </c>
      <c r="C8409" s="1" t="n">
        <v>11</v>
      </c>
      <c r="D8409" s="1" t="s">
        <v>2290</v>
      </c>
      <c r="E8409" s="1" t="n">
        <v>1605</v>
      </c>
      <c r="F8409" s="1" t="s">
        <v>113</v>
      </c>
      <c r="I8409" s="1" t="n">
        <v>223956</v>
      </c>
      <c r="J8409" s="1" t="n">
        <v>10812</v>
      </c>
      <c r="K8409" s="1" t="n">
        <v>7891999100047</v>
      </c>
      <c r="L8409" s="1" t="s">
        <v>2371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5" t="n">
        <v>46255</v>
      </c>
      <c r="C8410" s="1" t="n">
        <v>11</v>
      </c>
      <c r="D8410" s="1" t="s">
        <v>2290</v>
      </c>
      <c r="E8410" s="1" t="n">
        <v>1605</v>
      </c>
      <c r="F8410" s="1" t="s">
        <v>113</v>
      </c>
      <c r="I8410" s="1" t="n">
        <v>223956</v>
      </c>
      <c r="J8410" s="1" t="n">
        <v>11158</v>
      </c>
      <c r="K8410" s="1" t="n">
        <v>7891999340108</v>
      </c>
      <c r="L8410" s="1" t="s">
        <v>2372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5" t="n">
        <v>46255</v>
      </c>
      <c r="C8411" s="1" t="n">
        <v>11</v>
      </c>
      <c r="D8411" s="1" t="s">
        <v>2290</v>
      </c>
      <c r="E8411" s="1" t="n">
        <v>1605</v>
      </c>
      <c r="F8411" s="1" t="s">
        <v>113</v>
      </c>
      <c r="I8411" s="1" t="n">
        <v>223956</v>
      </c>
      <c r="J8411" s="1" t="n">
        <v>14127</v>
      </c>
      <c r="K8411" s="1" t="n">
        <v>7898080640635</v>
      </c>
      <c r="L8411" s="1" t="s">
        <v>3591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5" t="n">
        <v>46255</v>
      </c>
      <c r="C8412" s="1" t="n">
        <v>11</v>
      </c>
      <c r="D8412" s="1" t="s">
        <v>2290</v>
      </c>
      <c r="E8412" s="1" t="n">
        <v>1605</v>
      </c>
      <c r="F8412" s="1" t="s">
        <v>113</v>
      </c>
      <c r="I8412" s="1" t="n">
        <v>223956</v>
      </c>
      <c r="J8412" s="1" t="n">
        <v>22022</v>
      </c>
      <c r="K8412" s="1" t="n">
        <v>7891999100023</v>
      </c>
      <c r="L8412" s="1" t="s">
        <v>3993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5" t="n">
        <v>46255</v>
      </c>
      <c r="C8413" s="1" t="n">
        <v>11</v>
      </c>
      <c r="D8413" s="1" t="s">
        <v>2290</v>
      </c>
      <c r="E8413" s="1" t="n">
        <v>1605</v>
      </c>
      <c r="F8413" s="1" t="s">
        <v>113</v>
      </c>
      <c r="I8413" s="1" t="n">
        <v>223956</v>
      </c>
      <c r="J8413" s="1" t="n">
        <v>28453</v>
      </c>
      <c r="K8413" s="1" t="n">
        <v>7891999100016</v>
      </c>
      <c r="L8413" s="1" t="s">
        <v>2374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5" t="n">
        <v>46255</v>
      </c>
      <c r="C8414" s="1" t="n">
        <v>11</v>
      </c>
      <c r="D8414" s="1" t="s">
        <v>2290</v>
      </c>
      <c r="E8414" s="1" t="n">
        <v>1601</v>
      </c>
      <c r="F8414" s="1" t="s">
        <v>155</v>
      </c>
      <c r="I8414" s="1" t="n">
        <v>865043</v>
      </c>
      <c r="J8414" s="1" t="n">
        <v>20224</v>
      </c>
      <c r="K8414" s="1" t="n">
        <v>7896102503708</v>
      </c>
      <c r="L8414" s="1" t="s">
        <v>4990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5" t="n">
        <v>46255</v>
      </c>
      <c r="C8415" s="1" t="n">
        <v>11</v>
      </c>
      <c r="D8415" s="1" t="s">
        <v>2290</v>
      </c>
      <c r="E8415" s="1" t="n">
        <v>1601</v>
      </c>
      <c r="F8415" s="1" t="s">
        <v>155</v>
      </c>
      <c r="I8415" s="1" t="n">
        <v>865043</v>
      </c>
      <c r="J8415" s="1" t="n">
        <v>105543</v>
      </c>
      <c r="K8415" s="1" t="n">
        <v>7896382500725</v>
      </c>
      <c r="L8415" s="1" t="s">
        <v>4991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5" t="n">
        <v>46255</v>
      </c>
      <c r="C8416" s="1" t="n">
        <v>11</v>
      </c>
      <c r="D8416" s="1" t="s">
        <v>2290</v>
      </c>
      <c r="E8416" s="1" t="n">
        <v>1601</v>
      </c>
      <c r="F8416" s="1" t="s">
        <v>155</v>
      </c>
      <c r="I8416" s="1" t="n">
        <v>865043</v>
      </c>
      <c r="J8416" s="1" t="n">
        <v>105794</v>
      </c>
      <c r="K8416" s="1" t="n">
        <v>7896382505898</v>
      </c>
      <c r="L8416" s="1" t="s">
        <v>3574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5" t="n">
        <v>46255</v>
      </c>
      <c r="C8417" s="1" t="n">
        <v>11</v>
      </c>
      <c r="D8417" s="1" t="s">
        <v>2290</v>
      </c>
      <c r="E8417" s="1" t="n">
        <v>1601</v>
      </c>
      <c r="F8417" s="1" t="s">
        <v>155</v>
      </c>
      <c r="I8417" s="1" t="n">
        <v>865043</v>
      </c>
      <c r="J8417" s="1" t="n">
        <v>14758</v>
      </c>
      <c r="K8417" s="1" t="n">
        <v>7896102509434</v>
      </c>
      <c r="L8417" s="1" t="s">
        <v>4908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5" t="n">
        <v>46255</v>
      </c>
      <c r="C8418" s="1" t="n">
        <v>11</v>
      </c>
      <c r="D8418" s="1" t="s">
        <v>2290</v>
      </c>
      <c r="E8418" s="1" t="n">
        <v>1601</v>
      </c>
      <c r="F8418" s="1" t="s">
        <v>155</v>
      </c>
      <c r="I8418" s="1" t="n">
        <v>865043</v>
      </c>
      <c r="J8418" s="1" t="n">
        <v>15332</v>
      </c>
      <c r="K8418" s="1" t="n">
        <v>7896102502534</v>
      </c>
      <c r="L8418" s="1" t="s">
        <v>4992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5" t="n">
        <v>46255</v>
      </c>
      <c r="C8419" s="1" t="n">
        <v>11</v>
      </c>
      <c r="D8419" s="1" t="s">
        <v>2290</v>
      </c>
      <c r="E8419" s="1" t="n">
        <v>1601</v>
      </c>
      <c r="F8419" s="1" t="s">
        <v>155</v>
      </c>
      <c r="I8419" s="1" t="n">
        <v>865043</v>
      </c>
      <c r="J8419" s="1" t="n">
        <v>15891</v>
      </c>
      <c r="K8419" s="1" t="n">
        <v>7896102502909</v>
      </c>
      <c r="L8419" s="1" t="s">
        <v>2851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5" t="n">
        <v>46255</v>
      </c>
      <c r="C8420" s="1" t="n">
        <v>11</v>
      </c>
      <c r="D8420" s="1" t="s">
        <v>2290</v>
      </c>
      <c r="E8420" s="1" t="n">
        <v>1601</v>
      </c>
      <c r="F8420" s="1" t="s">
        <v>155</v>
      </c>
      <c r="I8420" s="1" t="n">
        <v>865043</v>
      </c>
      <c r="J8420" s="1" t="n">
        <v>21946</v>
      </c>
      <c r="K8420" s="1" t="n">
        <v>7896102509496</v>
      </c>
      <c r="L8420" s="1" t="s">
        <v>4993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5" t="n">
        <v>46255</v>
      </c>
      <c r="C8421" s="1" t="n">
        <v>11</v>
      </c>
      <c r="D8421" s="1" t="s">
        <v>2290</v>
      </c>
      <c r="E8421" s="1" t="n">
        <v>1601</v>
      </c>
      <c r="F8421" s="1" t="s">
        <v>155</v>
      </c>
      <c r="I8421" s="1" t="n">
        <v>865043</v>
      </c>
      <c r="J8421" s="1" t="n">
        <v>21997</v>
      </c>
      <c r="K8421" s="1" t="n">
        <v>7896382500732</v>
      </c>
      <c r="L8421" s="1" t="s">
        <v>4994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5" t="n">
        <v>46255</v>
      </c>
      <c r="C8422" s="1" t="n">
        <v>11</v>
      </c>
      <c r="D8422" s="1" t="s">
        <v>2290</v>
      </c>
      <c r="E8422" s="1" t="n">
        <v>1601</v>
      </c>
      <c r="F8422" s="1" t="s">
        <v>155</v>
      </c>
      <c r="I8422" s="1" t="n">
        <v>865043</v>
      </c>
      <c r="J8422" s="1" t="n">
        <v>22074</v>
      </c>
      <c r="K8422" s="1" t="n">
        <v>7896102502787</v>
      </c>
      <c r="L8422" s="1" t="s">
        <v>2855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5" t="n">
        <v>46255</v>
      </c>
      <c r="C8423" s="1" t="n">
        <v>11</v>
      </c>
      <c r="D8423" s="1" t="s">
        <v>2290</v>
      </c>
      <c r="E8423" s="1" t="n">
        <v>1601</v>
      </c>
      <c r="F8423" s="1" t="s">
        <v>155</v>
      </c>
      <c r="I8423" s="1" t="n">
        <v>865043</v>
      </c>
      <c r="J8423" s="1" t="n">
        <v>23709</v>
      </c>
      <c r="K8423" s="1" t="n">
        <v>7896102583182</v>
      </c>
      <c r="L8423" s="1" t="s">
        <v>2560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5" t="n">
        <v>46255</v>
      </c>
      <c r="C8424" s="1" t="n">
        <v>11</v>
      </c>
      <c r="D8424" s="1" t="s">
        <v>2290</v>
      </c>
      <c r="E8424" s="1" t="n">
        <v>1601</v>
      </c>
      <c r="F8424" s="1" t="s">
        <v>155</v>
      </c>
      <c r="I8424" s="1" t="n">
        <v>865043</v>
      </c>
      <c r="J8424" s="1" t="n">
        <v>24152</v>
      </c>
      <c r="K8424" s="1" t="n">
        <v>7896102584189</v>
      </c>
      <c r="L8424" s="1" t="s">
        <v>2561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5" t="n">
        <v>46255</v>
      </c>
      <c r="C8425" s="1" t="n">
        <v>11</v>
      </c>
      <c r="D8425" s="1" t="s">
        <v>2290</v>
      </c>
      <c r="E8425" s="1" t="n">
        <v>1601</v>
      </c>
      <c r="F8425" s="1" t="s">
        <v>155</v>
      </c>
      <c r="I8425" s="1" t="n">
        <v>865043</v>
      </c>
      <c r="J8425" s="1" t="n">
        <v>29515</v>
      </c>
      <c r="K8425" s="1" t="n">
        <v>7896102000382</v>
      </c>
      <c r="L8425" s="1" t="s">
        <v>4995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5" t="n">
        <v>46255</v>
      </c>
      <c r="C8426" s="1" t="n">
        <v>11</v>
      </c>
      <c r="D8426" s="1" t="s">
        <v>2290</v>
      </c>
      <c r="E8426" s="1" t="n">
        <v>1601</v>
      </c>
      <c r="F8426" s="1" t="s">
        <v>155</v>
      </c>
      <c r="I8426" s="1" t="n">
        <v>865043</v>
      </c>
      <c r="J8426" s="1" t="n">
        <v>56869</v>
      </c>
      <c r="K8426" s="1" t="n">
        <v>7896382505621</v>
      </c>
      <c r="L8426" s="1" t="s">
        <v>4996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5" t="n">
        <v>46255</v>
      </c>
      <c r="C8427" s="1" t="n">
        <v>11</v>
      </c>
      <c r="D8427" s="1" t="s">
        <v>2290</v>
      </c>
      <c r="E8427" s="1" t="n">
        <v>1601</v>
      </c>
      <c r="F8427" s="1" t="s">
        <v>155</v>
      </c>
      <c r="I8427" s="1" t="n">
        <v>865043</v>
      </c>
      <c r="J8427" s="1" t="n">
        <v>58210</v>
      </c>
      <c r="K8427" s="1" t="n">
        <v>7896382505591</v>
      </c>
      <c r="L8427" s="1" t="s">
        <v>4997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5" t="n">
        <v>46255</v>
      </c>
      <c r="C8428" s="1" t="n">
        <v>11</v>
      </c>
      <c r="D8428" s="1" t="s">
        <v>2290</v>
      </c>
      <c r="E8428" s="1" t="n">
        <v>1601</v>
      </c>
      <c r="F8428" s="1" t="s">
        <v>155</v>
      </c>
      <c r="I8428" s="1" t="n">
        <v>865043</v>
      </c>
      <c r="J8428" s="1" t="n">
        <v>64831</v>
      </c>
      <c r="K8428" s="1" t="n">
        <v>7896382505690</v>
      </c>
      <c r="L8428" s="1" t="s">
        <v>4998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5" t="n">
        <v>46255</v>
      </c>
      <c r="C8429" s="1" t="n">
        <v>11</v>
      </c>
      <c r="D8429" s="1" t="s">
        <v>2290</v>
      </c>
      <c r="E8429" s="1" t="n">
        <v>1601</v>
      </c>
      <c r="F8429" s="1" t="s">
        <v>155</v>
      </c>
      <c r="I8429" s="1" t="n">
        <v>865043</v>
      </c>
      <c r="J8429" s="1" t="n">
        <v>71485</v>
      </c>
      <c r="K8429" s="1" t="n">
        <v>7896102503661</v>
      </c>
      <c r="L8429" s="1" t="s">
        <v>2860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5" t="n">
        <v>46255</v>
      </c>
      <c r="C8430" s="1" t="n">
        <v>11</v>
      </c>
      <c r="D8430" s="1" t="s">
        <v>2290</v>
      </c>
      <c r="E8430" s="1" t="n">
        <v>1601</v>
      </c>
      <c r="F8430" s="1" t="s">
        <v>155</v>
      </c>
      <c r="I8430" s="1" t="n">
        <v>865043</v>
      </c>
      <c r="J8430" s="1" t="n">
        <v>72249</v>
      </c>
      <c r="K8430" s="1" t="n">
        <v>7896102503739</v>
      </c>
      <c r="L8430" s="1" t="s">
        <v>4999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5" t="n">
        <v>46255</v>
      </c>
      <c r="C8431" s="1" t="n">
        <v>11</v>
      </c>
      <c r="D8431" s="1" t="s">
        <v>2290</v>
      </c>
      <c r="E8431" s="1" t="n">
        <v>1601</v>
      </c>
      <c r="F8431" s="1" t="s">
        <v>155</v>
      </c>
      <c r="I8431" s="1" t="n">
        <v>865043</v>
      </c>
      <c r="J8431" s="1" t="n">
        <v>82057</v>
      </c>
      <c r="K8431" s="1" t="n">
        <v>7896382506222</v>
      </c>
      <c r="L8431" s="1" t="s">
        <v>5000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5" t="n">
        <v>46255</v>
      </c>
      <c r="C8432" s="1" t="n">
        <v>11</v>
      </c>
      <c r="D8432" s="1" t="s">
        <v>2290</v>
      </c>
      <c r="E8432" s="1" t="n">
        <v>1601</v>
      </c>
      <c r="F8432" s="1" t="s">
        <v>155</v>
      </c>
      <c r="I8432" s="1" t="n">
        <v>865043</v>
      </c>
      <c r="J8432" s="1" t="n">
        <v>82154</v>
      </c>
      <c r="K8432" s="1" t="n">
        <v>7896225743760</v>
      </c>
      <c r="L8432" s="1" t="s">
        <v>5001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5" t="n">
        <v>46255</v>
      </c>
      <c r="C8433" s="1" t="n">
        <v>11</v>
      </c>
      <c r="D8433" s="1" t="s">
        <v>2290</v>
      </c>
      <c r="E8433" s="1" t="n">
        <v>1705</v>
      </c>
      <c r="F8433" s="1" t="s">
        <v>122</v>
      </c>
      <c r="I8433" s="1" t="n">
        <v>1254613</v>
      </c>
      <c r="J8433" s="1" t="n">
        <v>66978</v>
      </c>
      <c r="K8433" s="1" t="n">
        <v>7896010006315</v>
      </c>
      <c r="L8433" s="1" t="s">
        <v>4068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5" t="n">
        <v>46255</v>
      </c>
      <c r="C8434" s="1" t="n">
        <v>22</v>
      </c>
      <c r="D8434" s="1" t="s">
        <v>2436</v>
      </c>
      <c r="E8434" s="1" t="n">
        <v>42</v>
      </c>
      <c r="F8434" s="1" t="s">
        <v>80</v>
      </c>
      <c r="I8434" s="1" t="n">
        <v>4528</v>
      </c>
      <c r="J8434" s="1" t="n">
        <v>100000</v>
      </c>
      <c r="K8434" s="1" t="n">
        <v>1</v>
      </c>
      <c r="L8434" s="1" t="s">
        <v>2451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5" t="n">
        <v>46255</v>
      </c>
      <c r="C8435" s="1" t="n">
        <v>22</v>
      </c>
      <c r="D8435" s="1" t="s">
        <v>2436</v>
      </c>
      <c r="E8435" s="1" t="n">
        <v>42</v>
      </c>
      <c r="F8435" s="1" t="s">
        <v>80</v>
      </c>
      <c r="I8435" s="1" t="n">
        <v>4528</v>
      </c>
      <c r="J8435" s="1" t="n">
        <v>100000</v>
      </c>
      <c r="K8435" s="1" t="n">
        <v>1</v>
      </c>
      <c r="L8435" s="1" t="s">
        <v>2451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5" t="n">
        <v>46255</v>
      </c>
      <c r="C8436" s="1" t="n">
        <v>22</v>
      </c>
      <c r="D8436" s="1" t="s">
        <v>2436</v>
      </c>
      <c r="E8436" s="1" t="n">
        <v>42</v>
      </c>
      <c r="F8436" s="1" t="s">
        <v>80</v>
      </c>
      <c r="I8436" s="1" t="n">
        <v>4528</v>
      </c>
      <c r="J8436" s="1" t="n">
        <v>100001</v>
      </c>
      <c r="K8436" s="1" t="n">
        <v>2</v>
      </c>
      <c r="L8436" s="1" t="s">
        <v>2452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5" t="n">
        <v>46255</v>
      </c>
      <c r="C8437" s="1" t="n">
        <v>22</v>
      </c>
      <c r="D8437" s="1" t="s">
        <v>2436</v>
      </c>
      <c r="E8437" s="1" t="n">
        <v>42</v>
      </c>
      <c r="F8437" s="1" t="s">
        <v>80</v>
      </c>
      <c r="I8437" s="1" t="n">
        <v>4528</v>
      </c>
      <c r="J8437" s="1" t="n">
        <v>100002</v>
      </c>
      <c r="K8437" s="1" t="n">
        <v>3</v>
      </c>
      <c r="L8437" s="1" t="s">
        <v>2453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5" t="n">
        <v>46255</v>
      </c>
      <c r="C8438" s="1" t="n">
        <v>22</v>
      </c>
      <c r="D8438" s="1" t="s">
        <v>2436</v>
      </c>
      <c r="E8438" s="1" t="n">
        <v>42</v>
      </c>
      <c r="F8438" s="1" t="s">
        <v>80</v>
      </c>
      <c r="I8438" s="1" t="n">
        <v>4528</v>
      </c>
      <c r="J8438" s="1" t="n">
        <v>100003</v>
      </c>
      <c r="K8438" s="1" t="n">
        <v>4</v>
      </c>
      <c r="L8438" s="1" t="s">
        <v>2454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5" t="n">
        <v>46255</v>
      </c>
      <c r="C8439" s="1" t="n">
        <v>22</v>
      </c>
      <c r="D8439" s="1" t="s">
        <v>2436</v>
      </c>
      <c r="E8439" s="1" t="n">
        <v>42</v>
      </c>
      <c r="F8439" s="1" t="s">
        <v>80</v>
      </c>
      <c r="I8439" s="1" t="n">
        <v>4528</v>
      </c>
      <c r="J8439" s="1" t="n">
        <v>100006</v>
      </c>
      <c r="K8439" s="1" t="n">
        <v>7</v>
      </c>
      <c r="L8439" s="1" t="s">
        <v>2437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5" t="n">
        <v>46255</v>
      </c>
      <c r="C8440" s="1" t="n">
        <v>22</v>
      </c>
      <c r="D8440" s="1" t="s">
        <v>2436</v>
      </c>
      <c r="E8440" s="1" t="n">
        <v>42</v>
      </c>
      <c r="F8440" s="1" t="s">
        <v>80</v>
      </c>
      <c r="I8440" s="1" t="n">
        <v>4528</v>
      </c>
      <c r="J8440" s="1" t="n">
        <v>100007</v>
      </c>
      <c r="K8440" s="1" t="n">
        <v>8</v>
      </c>
      <c r="L8440" s="1" t="s">
        <v>2455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5" t="n">
        <v>46255</v>
      </c>
      <c r="C8441" s="1" t="n">
        <v>22</v>
      </c>
      <c r="D8441" s="1" t="s">
        <v>2436</v>
      </c>
      <c r="E8441" s="1" t="n">
        <v>42</v>
      </c>
      <c r="F8441" s="1" t="s">
        <v>80</v>
      </c>
      <c r="I8441" s="1" t="n">
        <v>4528</v>
      </c>
      <c r="J8441" s="1" t="n">
        <v>100008</v>
      </c>
      <c r="K8441" s="1" t="n">
        <v>9</v>
      </c>
      <c r="L8441" s="1" t="s">
        <v>2438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5" t="n">
        <v>46255</v>
      </c>
      <c r="C8442" s="1" t="n">
        <v>22</v>
      </c>
      <c r="D8442" s="1" t="s">
        <v>2436</v>
      </c>
      <c r="E8442" s="1" t="n">
        <v>42</v>
      </c>
      <c r="F8442" s="1" t="s">
        <v>80</v>
      </c>
      <c r="I8442" s="1" t="n">
        <v>4528</v>
      </c>
      <c r="J8442" s="1" t="n">
        <v>100010</v>
      </c>
      <c r="K8442" s="1" t="n">
        <v>11</v>
      </c>
      <c r="L8442" s="1" t="s">
        <v>2439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5" t="n">
        <v>46255</v>
      </c>
      <c r="C8443" s="1" t="n">
        <v>22</v>
      </c>
      <c r="D8443" s="1" t="s">
        <v>2436</v>
      </c>
      <c r="E8443" s="1" t="n">
        <v>42</v>
      </c>
      <c r="F8443" s="1" t="s">
        <v>80</v>
      </c>
      <c r="I8443" s="1" t="n">
        <v>4528</v>
      </c>
      <c r="J8443" s="1" t="n">
        <v>100011</v>
      </c>
      <c r="K8443" s="1" t="n">
        <v>12</v>
      </c>
      <c r="L8443" s="1" t="s">
        <v>2440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5" t="n">
        <v>46255</v>
      </c>
      <c r="C8444" s="1" t="n">
        <v>22</v>
      </c>
      <c r="D8444" s="1" t="s">
        <v>2436</v>
      </c>
      <c r="E8444" s="1" t="n">
        <v>42</v>
      </c>
      <c r="F8444" s="1" t="s">
        <v>80</v>
      </c>
      <c r="I8444" s="1" t="n">
        <v>4528</v>
      </c>
      <c r="J8444" s="1" t="n">
        <v>100012</v>
      </c>
      <c r="K8444" s="1" t="n">
        <v>13</v>
      </c>
      <c r="L8444" s="1" t="s">
        <v>2441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5" t="n">
        <v>46255</v>
      </c>
      <c r="C8445" s="1" t="n">
        <v>22</v>
      </c>
      <c r="D8445" s="1" t="s">
        <v>2436</v>
      </c>
      <c r="E8445" s="1" t="n">
        <v>42</v>
      </c>
      <c r="F8445" s="1" t="s">
        <v>80</v>
      </c>
      <c r="I8445" s="1" t="n">
        <v>4528</v>
      </c>
      <c r="J8445" s="1" t="n">
        <v>100013</v>
      </c>
      <c r="K8445" s="1" t="n">
        <v>14</v>
      </c>
      <c r="L8445" s="1" t="s">
        <v>2442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5" t="n">
        <v>46255</v>
      </c>
      <c r="C8446" s="1" t="n">
        <v>22</v>
      </c>
      <c r="D8446" s="1" t="s">
        <v>2436</v>
      </c>
      <c r="E8446" s="1" t="n">
        <v>42</v>
      </c>
      <c r="F8446" s="1" t="s">
        <v>80</v>
      </c>
      <c r="I8446" s="1" t="n">
        <v>4528</v>
      </c>
      <c r="J8446" s="1" t="n">
        <v>100014</v>
      </c>
      <c r="K8446" s="1" t="n">
        <v>15</v>
      </c>
      <c r="L8446" s="1" t="s">
        <v>2443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5" t="n">
        <v>46255</v>
      </c>
      <c r="C8447" s="1" t="n">
        <v>22</v>
      </c>
      <c r="D8447" s="1" t="s">
        <v>2436</v>
      </c>
      <c r="E8447" s="1" t="n">
        <v>42</v>
      </c>
      <c r="F8447" s="1" t="s">
        <v>80</v>
      </c>
      <c r="I8447" s="1" t="n">
        <v>4528</v>
      </c>
      <c r="J8447" s="1" t="n">
        <v>100015</v>
      </c>
      <c r="K8447" s="1" t="n">
        <v>16</v>
      </c>
      <c r="L8447" s="1" t="s">
        <v>2444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5" t="n">
        <v>46255</v>
      </c>
      <c r="C8448" s="1" t="n">
        <v>22</v>
      </c>
      <c r="D8448" s="1" t="s">
        <v>2436</v>
      </c>
      <c r="E8448" s="1" t="n">
        <v>42</v>
      </c>
      <c r="F8448" s="1" t="s">
        <v>80</v>
      </c>
      <c r="I8448" s="1" t="n">
        <v>4528</v>
      </c>
      <c r="J8448" s="1" t="n">
        <v>100016</v>
      </c>
      <c r="K8448" s="1" t="n">
        <v>17</v>
      </c>
      <c r="L8448" s="1" t="s">
        <v>2445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5" t="n">
        <v>46255</v>
      </c>
      <c r="C8449" s="1" t="n">
        <v>22</v>
      </c>
      <c r="D8449" s="1" t="s">
        <v>2436</v>
      </c>
      <c r="E8449" s="1" t="n">
        <v>42</v>
      </c>
      <c r="F8449" s="1" t="s">
        <v>80</v>
      </c>
      <c r="I8449" s="1" t="n">
        <v>4528</v>
      </c>
      <c r="J8449" s="1" t="n">
        <v>100017</v>
      </c>
      <c r="K8449" s="1" t="n">
        <v>18</v>
      </c>
      <c r="L8449" s="1" t="s">
        <v>2446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5" t="n">
        <v>46255</v>
      </c>
      <c r="C8450" s="1" t="n">
        <v>22</v>
      </c>
      <c r="D8450" s="1" t="s">
        <v>2436</v>
      </c>
      <c r="E8450" s="1" t="n">
        <v>42</v>
      </c>
      <c r="F8450" s="1" t="s">
        <v>80</v>
      </c>
      <c r="I8450" s="1" t="n">
        <v>4528</v>
      </c>
      <c r="J8450" s="1" t="n">
        <v>100053</v>
      </c>
      <c r="K8450" s="1" t="n">
        <v>54</v>
      </c>
      <c r="L8450" s="1" t="s">
        <v>2447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5" t="n">
        <v>46255</v>
      </c>
      <c r="C8451" s="1" t="n">
        <v>22</v>
      </c>
      <c r="D8451" s="1" t="s">
        <v>2436</v>
      </c>
      <c r="E8451" s="1" t="n">
        <v>42</v>
      </c>
      <c r="F8451" s="1" t="s">
        <v>80</v>
      </c>
      <c r="I8451" s="1" t="n">
        <v>4528</v>
      </c>
      <c r="J8451" s="1" t="n">
        <v>100638</v>
      </c>
      <c r="K8451" s="1" t="n">
        <v>508</v>
      </c>
      <c r="L8451" s="1" t="s">
        <v>2448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5" t="n">
        <v>46255</v>
      </c>
      <c r="C8452" s="1" t="n">
        <v>22</v>
      </c>
      <c r="D8452" s="1" t="s">
        <v>2436</v>
      </c>
      <c r="E8452" s="1" t="n">
        <v>42</v>
      </c>
      <c r="F8452" s="1" t="s">
        <v>80</v>
      </c>
      <c r="I8452" s="1" t="n">
        <v>4528</v>
      </c>
      <c r="J8452" s="1" t="n">
        <v>100638</v>
      </c>
      <c r="K8452" s="1" t="n">
        <v>508</v>
      </c>
      <c r="L8452" s="1" t="s">
        <v>2448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5" t="n">
        <v>46255</v>
      </c>
      <c r="C8453" s="1" t="n">
        <v>22</v>
      </c>
      <c r="D8453" s="1" t="s">
        <v>2436</v>
      </c>
      <c r="E8453" s="1" t="n">
        <v>42</v>
      </c>
      <c r="F8453" s="1" t="s">
        <v>80</v>
      </c>
      <c r="I8453" s="1" t="n">
        <v>4528</v>
      </c>
      <c r="J8453" s="1" t="n">
        <v>100520</v>
      </c>
      <c r="K8453" s="1" t="n">
        <v>507</v>
      </c>
      <c r="L8453" s="1" t="s">
        <v>2449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5" t="n">
        <v>46255</v>
      </c>
      <c r="C8454" s="1" t="n">
        <v>22</v>
      </c>
      <c r="D8454" s="1" t="s">
        <v>2436</v>
      </c>
      <c r="E8454" s="1" t="n">
        <v>42</v>
      </c>
      <c r="F8454" s="1" t="s">
        <v>80</v>
      </c>
      <c r="I8454" s="1" t="n">
        <v>4528</v>
      </c>
      <c r="J8454" s="1" t="n">
        <v>100520</v>
      </c>
      <c r="K8454" s="1" t="n">
        <v>507</v>
      </c>
      <c r="L8454" s="1" t="s">
        <v>2449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5" t="n">
        <v>46255</v>
      </c>
      <c r="C8455" s="1" t="n">
        <v>22</v>
      </c>
      <c r="D8455" s="1" t="s">
        <v>2436</v>
      </c>
      <c r="E8455" s="1" t="n">
        <v>42</v>
      </c>
      <c r="F8455" s="1" t="s">
        <v>80</v>
      </c>
      <c r="I8455" s="1" t="n">
        <v>4528</v>
      </c>
      <c r="J8455" s="1" t="n">
        <v>110455</v>
      </c>
      <c r="K8455" s="1" t="n">
        <v>53212</v>
      </c>
      <c r="L8455" s="1" t="s">
        <v>2450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5" t="n">
        <v>46255</v>
      </c>
      <c r="C8456" s="1" t="n">
        <v>22</v>
      </c>
      <c r="D8456" s="1" t="s">
        <v>2436</v>
      </c>
      <c r="E8456" s="1" t="n">
        <v>42</v>
      </c>
      <c r="F8456" s="1" t="s">
        <v>80</v>
      </c>
      <c r="I8456" s="1" t="n">
        <v>4528</v>
      </c>
      <c r="J8456" s="1" t="n">
        <v>110455</v>
      </c>
      <c r="K8456" s="1" t="n">
        <v>53212</v>
      </c>
      <c r="L8456" s="1" t="s">
        <v>2450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5" t="n">
        <v>46255</v>
      </c>
      <c r="C8457" s="1" t="n">
        <v>100</v>
      </c>
      <c r="D8457" s="1" t="s">
        <v>2457</v>
      </c>
      <c r="E8457" s="1" t="n">
        <v>42</v>
      </c>
      <c r="F8457" s="1" t="s">
        <v>80</v>
      </c>
      <c r="I8457" s="1" t="n">
        <v>1580490</v>
      </c>
      <c r="J8457" s="1" t="n">
        <v>100000</v>
      </c>
      <c r="K8457" s="1" t="n">
        <v>1</v>
      </c>
      <c r="L8457" s="1" t="s">
        <v>2451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5" t="n">
        <v>46255</v>
      </c>
      <c r="C8458" s="1" t="n">
        <v>100</v>
      </c>
      <c r="D8458" s="1" t="s">
        <v>2457</v>
      </c>
      <c r="E8458" s="1" t="n">
        <v>42</v>
      </c>
      <c r="F8458" s="1" t="s">
        <v>80</v>
      </c>
      <c r="I8458" s="1" t="n">
        <v>1580490</v>
      </c>
      <c r="J8458" s="1" t="n">
        <v>100001</v>
      </c>
      <c r="K8458" s="1" t="n">
        <v>2</v>
      </c>
      <c r="L8458" s="1" t="s">
        <v>2452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5" t="n">
        <v>46255</v>
      </c>
      <c r="C8459" s="1" t="n">
        <v>100</v>
      </c>
      <c r="D8459" s="1" t="s">
        <v>2457</v>
      </c>
      <c r="E8459" s="1" t="n">
        <v>42</v>
      </c>
      <c r="F8459" s="1" t="s">
        <v>80</v>
      </c>
      <c r="I8459" s="1" t="n">
        <v>1580490</v>
      </c>
      <c r="J8459" s="1" t="n">
        <v>100002</v>
      </c>
      <c r="K8459" s="1" t="n">
        <v>3</v>
      </c>
      <c r="L8459" s="1" t="s">
        <v>2453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5" t="n">
        <v>46255</v>
      </c>
      <c r="C8460" s="1" t="n">
        <v>100</v>
      </c>
      <c r="D8460" s="1" t="s">
        <v>2457</v>
      </c>
      <c r="E8460" s="1" t="n">
        <v>42</v>
      </c>
      <c r="F8460" s="1" t="s">
        <v>80</v>
      </c>
      <c r="I8460" s="1" t="n">
        <v>1580490</v>
      </c>
      <c r="J8460" s="1" t="n">
        <v>100003</v>
      </c>
      <c r="K8460" s="1" t="n">
        <v>4</v>
      </c>
      <c r="L8460" s="1" t="s">
        <v>2454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5" t="n">
        <v>46255</v>
      </c>
      <c r="C8461" s="1" t="n">
        <v>100</v>
      </c>
      <c r="D8461" s="1" t="s">
        <v>2457</v>
      </c>
      <c r="E8461" s="1" t="n">
        <v>42</v>
      </c>
      <c r="F8461" s="1" t="s">
        <v>80</v>
      </c>
      <c r="I8461" s="1" t="n">
        <v>1580490</v>
      </c>
      <c r="J8461" s="1" t="n">
        <v>100007</v>
      </c>
      <c r="K8461" s="1" t="n">
        <v>8</v>
      </c>
      <c r="L8461" s="1" t="s">
        <v>2455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5" t="n">
        <v>46255</v>
      </c>
      <c r="C8462" s="1" t="n">
        <v>100</v>
      </c>
      <c r="D8462" s="1" t="s">
        <v>2457</v>
      </c>
      <c r="E8462" s="1" t="n">
        <v>42</v>
      </c>
      <c r="F8462" s="1" t="s">
        <v>80</v>
      </c>
      <c r="I8462" s="1" t="n">
        <v>1580490</v>
      </c>
      <c r="J8462" s="1" t="n">
        <v>100638</v>
      </c>
      <c r="K8462" s="1" t="n">
        <v>508</v>
      </c>
      <c r="L8462" s="1" t="s">
        <v>2448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5" t="n">
        <v>46255</v>
      </c>
      <c r="C8463" s="1" t="n">
        <v>100</v>
      </c>
      <c r="D8463" s="1" t="s">
        <v>2457</v>
      </c>
      <c r="E8463" s="1" t="n">
        <v>42</v>
      </c>
      <c r="F8463" s="1" t="s">
        <v>80</v>
      </c>
      <c r="I8463" s="1" t="n">
        <v>1580490</v>
      </c>
      <c r="J8463" s="1" t="n">
        <v>100520</v>
      </c>
      <c r="K8463" s="1" t="n">
        <v>507</v>
      </c>
      <c r="L8463" s="1" t="s">
        <v>2449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5" t="n">
        <v>46255</v>
      </c>
      <c r="C8464" s="1" t="n">
        <v>100</v>
      </c>
      <c r="D8464" s="1" t="s">
        <v>2457</v>
      </c>
      <c r="E8464" s="1" t="n">
        <v>42</v>
      </c>
      <c r="F8464" s="1" t="s">
        <v>80</v>
      </c>
      <c r="I8464" s="1" t="n">
        <v>1580490</v>
      </c>
      <c r="J8464" s="1" t="n">
        <v>110455</v>
      </c>
      <c r="K8464" s="1" t="n">
        <v>53212</v>
      </c>
      <c r="L8464" s="1" t="s">
        <v>2450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5" t="n">
        <v>46255</v>
      </c>
      <c r="C8465" s="1" t="n">
        <v>100</v>
      </c>
      <c r="D8465" s="1" t="s">
        <v>2457</v>
      </c>
      <c r="E8465" s="1" t="n">
        <v>42</v>
      </c>
      <c r="F8465" s="1" t="s">
        <v>80</v>
      </c>
      <c r="I8465" s="1" t="n">
        <v>1580496</v>
      </c>
      <c r="J8465" s="1" t="n">
        <v>100000</v>
      </c>
      <c r="K8465" s="1" t="n">
        <v>1</v>
      </c>
      <c r="L8465" s="1" t="s">
        <v>2451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5" t="n">
        <v>46255</v>
      </c>
      <c r="C8466" s="1" t="n">
        <v>100</v>
      </c>
      <c r="D8466" s="1" t="s">
        <v>2457</v>
      </c>
      <c r="E8466" s="1" t="n">
        <v>42</v>
      </c>
      <c r="F8466" s="1" t="s">
        <v>80</v>
      </c>
      <c r="I8466" s="1" t="n">
        <v>1580496</v>
      </c>
      <c r="J8466" s="1" t="n">
        <v>100006</v>
      </c>
      <c r="K8466" s="1" t="n">
        <v>7</v>
      </c>
      <c r="L8466" s="1" t="s">
        <v>2437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5" t="n">
        <v>46255</v>
      </c>
      <c r="C8467" s="1" t="n">
        <v>100</v>
      </c>
      <c r="D8467" s="1" t="s">
        <v>2457</v>
      </c>
      <c r="E8467" s="1" t="n">
        <v>42</v>
      </c>
      <c r="F8467" s="1" t="s">
        <v>80</v>
      </c>
      <c r="I8467" s="1" t="n">
        <v>1580496</v>
      </c>
      <c r="J8467" s="1" t="n">
        <v>100008</v>
      </c>
      <c r="K8467" s="1" t="n">
        <v>9</v>
      </c>
      <c r="L8467" s="1" t="s">
        <v>2438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5" t="n">
        <v>46255</v>
      </c>
      <c r="C8468" s="1" t="n">
        <v>100</v>
      </c>
      <c r="D8468" s="1" t="s">
        <v>2457</v>
      </c>
      <c r="E8468" s="1" t="n">
        <v>42</v>
      </c>
      <c r="F8468" s="1" t="s">
        <v>80</v>
      </c>
      <c r="I8468" s="1" t="n">
        <v>1580496</v>
      </c>
      <c r="J8468" s="1" t="n">
        <v>100010</v>
      </c>
      <c r="K8468" s="1" t="n">
        <v>11</v>
      </c>
      <c r="L8468" s="1" t="s">
        <v>2439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5" t="n">
        <v>46255</v>
      </c>
      <c r="C8469" s="1" t="n">
        <v>100</v>
      </c>
      <c r="D8469" s="1" t="s">
        <v>2457</v>
      </c>
      <c r="E8469" s="1" t="n">
        <v>42</v>
      </c>
      <c r="F8469" s="1" t="s">
        <v>80</v>
      </c>
      <c r="I8469" s="1" t="n">
        <v>1580496</v>
      </c>
      <c r="J8469" s="1" t="n">
        <v>100011</v>
      </c>
      <c r="K8469" s="1" t="n">
        <v>12</v>
      </c>
      <c r="L8469" s="1" t="s">
        <v>2440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5" t="n">
        <v>46255</v>
      </c>
      <c r="C8470" s="1" t="n">
        <v>100</v>
      </c>
      <c r="D8470" s="1" t="s">
        <v>2457</v>
      </c>
      <c r="E8470" s="1" t="n">
        <v>42</v>
      </c>
      <c r="F8470" s="1" t="s">
        <v>80</v>
      </c>
      <c r="I8470" s="1" t="n">
        <v>1580496</v>
      </c>
      <c r="J8470" s="1" t="n">
        <v>100012</v>
      </c>
      <c r="K8470" s="1" t="n">
        <v>13</v>
      </c>
      <c r="L8470" s="1" t="s">
        <v>2441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5" t="n">
        <v>46255</v>
      </c>
      <c r="C8471" s="1" t="n">
        <v>100</v>
      </c>
      <c r="D8471" s="1" t="s">
        <v>2457</v>
      </c>
      <c r="E8471" s="1" t="n">
        <v>42</v>
      </c>
      <c r="F8471" s="1" t="s">
        <v>80</v>
      </c>
      <c r="I8471" s="1" t="n">
        <v>1580496</v>
      </c>
      <c r="J8471" s="1" t="n">
        <v>100013</v>
      </c>
      <c r="K8471" s="1" t="n">
        <v>14</v>
      </c>
      <c r="L8471" s="1" t="s">
        <v>2442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5" t="n">
        <v>46255</v>
      </c>
      <c r="C8472" s="1" t="n">
        <v>100</v>
      </c>
      <c r="D8472" s="1" t="s">
        <v>2457</v>
      </c>
      <c r="E8472" s="1" t="n">
        <v>42</v>
      </c>
      <c r="F8472" s="1" t="s">
        <v>80</v>
      </c>
      <c r="I8472" s="1" t="n">
        <v>1580496</v>
      </c>
      <c r="J8472" s="1" t="n">
        <v>100014</v>
      </c>
      <c r="K8472" s="1" t="n">
        <v>15</v>
      </c>
      <c r="L8472" s="1" t="s">
        <v>2443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5" t="n">
        <v>46255</v>
      </c>
      <c r="C8473" s="1" t="n">
        <v>100</v>
      </c>
      <c r="D8473" s="1" t="s">
        <v>2457</v>
      </c>
      <c r="E8473" s="1" t="n">
        <v>42</v>
      </c>
      <c r="F8473" s="1" t="s">
        <v>80</v>
      </c>
      <c r="I8473" s="1" t="n">
        <v>1580496</v>
      </c>
      <c r="J8473" s="1" t="n">
        <v>100015</v>
      </c>
      <c r="K8473" s="1" t="n">
        <v>16</v>
      </c>
      <c r="L8473" s="1" t="s">
        <v>2444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5" t="n">
        <v>46255</v>
      </c>
      <c r="C8474" s="1" t="n">
        <v>100</v>
      </c>
      <c r="D8474" s="1" t="s">
        <v>2457</v>
      </c>
      <c r="E8474" s="1" t="n">
        <v>42</v>
      </c>
      <c r="F8474" s="1" t="s">
        <v>80</v>
      </c>
      <c r="I8474" s="1" t="n">
        <v>1580496</v>
      </c>
      <c r="J8474" s="1" t="n">
        <v>100016</v>
      </c>
      <c r="K8474" s="1" t="n">
        <v>17</v>
      </c>
      <c r="L8474" s="1" t="s">
        <v>2445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5" t="n">
        <v>46255</v>
      </c>
      <c r="C8475" s="1" t="n">
        <v>100</v>
      </c>
      <c r="D8475" s="1" t="s">
        <v>2457</v>
      </c>
      <c r="E8475" s="1" t="n">
        <v>42</v>
      </c>
      <c r="F8475" s="1" t="s">
        <v>80</v>
      </c>
      <c r="I8475" s="1" t="n">
        <v>1580496</v>
      </c>
      <c r="J8475" s="1" t="n">
        <v>100017</v>
      </c>
      <c r="K8475" s="1" t="n">
        <v>18</v>
      </c>
      <c r="L8475" s="1" t="s">
        <v>2446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5" t="n">
        <v>46255</v>
      </c>
      <c r="C8476" s="1" t="n">
        <v>100</v>
      </c>
      <c r="D8476" s="1" t="s">
        <v>2457</v>
      </c>
      <c r="E8476" s="1" t="n">
        <v>42</v>
      </c>
      <c r="F8476" s="1" t="s">
        <v>80</v>
      </c>
      <c r="I8476" s="1" t="n">
        <v>1580496</v>
      </c>
      <c r="J8476" s="1" t="n">
        <v>100053</v>
      </c>
      <c r="K8476" s="1" t="n">
        <v>54</v>
      </c>
      <c r="L8476" s="1" t="s">
        <v>2447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5" t="n">
        <v>46255</v>
      </c>
      <c r="C8477" s="1" t="n">
        <v>100</v>
      </c>
      <c r="D8477" s="1" t="s">
        <v>2457</v>
      </c>
      <c r="E8477" s="1" t="n">
        <v>42</v>
      </c>
      <c r="F8477" s="1" t="s">
        <v>80</v>
      </c>
      <c r="I8477" s="1" t="n">
        <v>1580496</v>
      </c>
      <c r="J8477" s="1" t="n">
        <v>100638</v>
      </c>
      <c r="K8477" s="1" t="n">
        <v>508</v>
      </c>
      <c r="L8477" s="1" t="s">
        <v>2448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5" t="n">
        <v>46255</v>
      </c>
      <c r="C8478" s="1" t="n">
        <v>100</v>
      </c>
      <c r="D8478" s="1" t="s">
        <v>2457</v>
      </c>
      <c r="E8478" s="1" t="n">
        <v>42</v>
      </c>
      <c r="F8478" s="1" t="s">
        <v>80</v>
      </c>
      <c r="I8478" s="1" t="n">
        <v>1580496</v>
      </c>
      <c r="J8478" s="1" t="n">
        <v>100520</v>
      </c>
      <c r="K8478" s="1" t="n">
        <v>507</v>
      </c>
      <c r="L8478" s="1" t="s">
        <v>2449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5" t="n">
        <v>46255</v>
      </c>
      <c r="C8479" s="1" t="n">
        <v>100</v>
      </c>
      <c r="D8479" s="1" t="s">
        <v>2457</v>
      </c>
      <c r="E8479" s="1" t="n">
        <v>42</v>
      </c>
      <c r="F8479" s="1" t="s">
        <v>80</v>
      </c>
      <c r="I8479" s="1" t="n">
        <v>1580496</v>
      </c>
      <c r="J8479" s="1" t="n">
        <v>110455</v>
      </c>
      <c r="K8479" s="1" t="n">
        <v>53212</v>
      </c>
      <c r="L8479" s="1" t="s">
        <v>2450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5" t="n">
        <v>46255</v>
      </c>
      <c r="C8480" s="1" t="n">
        <v>171</v>
      </c>
      <c r="D8480" s="1" t="s">
        <v>2517</v>
      </c>
      <c r="E8480" s="1" t="n">
        <v>1636</v>
      </c>
      <c r="F8480" s="1" t="s">
        <v>49</v>
      </c>
      <c r="I8480" s="1" t="n">
        <v>3238687</v>
      </c>
      <c r="J8480" s="1" t="n">
        <v>101410</v>
      </c>
      <c r="K8480" s="1" t="n">
        <v>7891010035631</v>
      </c>
      <c r="L8480" s="1" t="s">
        <v>4932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5" t="n">
        <v>46255</v>
      </c>
      <c r="C8481" s="1" t="n">
        <v>171</v>
      </c>
      <c r="D8481" s="1" t="s">
        <v>2517</v>
      </c>
      <c r="E8481" s="1" t="n">
        <v>1636</v>
      </c>
      <c r="F8481" s="1" t="s">
        <v>49</v>
      </c>
      <c r="I8481" s="1" t="n">
        <v>3238687</v>
      </c>
      <c r="J8481" s="1" t="n">
        <v>16710</v>
      </c>
      <c r="K8481" s="1" t="n">
        <v>7894650003787</v>
      </c>
      <c r="L8481" s="1" t="s">
        <v>4938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5" t="n">
        <v>46255</v>
      </c>
      <c r="C8482" s="1" t="n">
        <v>171</v>
      </c>
      <c r="D8482" s="1" t="s">
        <v>2517</v>
      </c>
      <c r="E8482" s="1" t="n">
        <v>1636</v>
      </c>
      <c r="F8482" s="1" t="s">
        <v>49</v>
      </c>
      <c r="I8482" s="1" t="n">
        <v>3238687</v>
      </c>
      <c r="J8482" s="1" t="n">
        <v>62916</v>
      </c>
      <c r="K8482" s="1" t="n">
        <v>7908785476825</v>
      </c>
      <c r="L8482" s="1" t="s">
        <v>5002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5" t="n">
        <v>46256</v>
      </c>
      <c r="C8483" s="1" t="n">
        <v>6</v>
      </c>
      <c r="D8483" s="1" t="s">
        <v>2289</v>
      </c>
      <c r="E8483" s="1" t="n">
        <v>42</v>
      </c>
      <c r="F8483" s="1" t="s">
        <v>80</v>
      </c>
      <c r="I8483" s="1" t="n">
        <v>4534</v>
      </c>
      <c r="J8483" s="1" t="n">
        <v>109791</v>
      </c>
      <c r="K8483" s="1" t="n">
        <v>9667</v>
      </c>
      <c r="L8483" s="1" t="s">
        <v>2284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5" t="n">
        <v>46256</v>
      </c>
      <c r="C8484" s="1" t="n">
        <v>6</v>
      </c>
      <c r="D8484" s="1" t="s">
        <v>2289</v>
      </c>
      <c r="E8484" s="1" t="n">
        <v>42</v>
      </c>
      <c r="F8484" s="1" t="s">
        <v>80</v>
      </c>
      <c r="I8484" s="1" t="n">
        <v>4534</v>
      </c>
      <c r="J8484" s="1" t="n">
        <v>37359</v>
      </c>
      <c r="K8484" s="1" t="n">
        <v>55526</v>
      </c>
      <c r="L8484" s="1" t="s">
        <v>2285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5" t="n">
        <v>46256</v>
      </c>
      <c r="C8485" s="1" t="n">
        <v>6</v>
      </c>
      <c r="D8485" s="1" t="s">
        <v>2289</v>
      </c>
      <c r="E8485" s="1" t="n">
        <v>42</v>
      </c>
      <c r="F8485" s="1" t="s">
        <v>80</v>
      </c>
      <c r="I8485" s="1" t="n">
        <v>4534</v>
      </c>
      <c r="J8485" s="1" t="n">
        <v>37361</v>
      </c>
      <c r="K8485" s="1" t="n">
        <v>2240817</v>
      </c>
      <c r="L8485" s="1" t="s">
        <v>2286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5" t="n">
        <v>46256</v>
      </c>
      <c r="C8486" s="1" t="n">
        <v>6</v>
      </c>
      <c r="D8486" s="1" t="s">
        <v>2289</v>
      </c>
      <c r="E8486" s="1" t="n">
        <v>42</v>
      </c>
      <c r="F8486" s="1" t="s">
        <v>80</v>
      </c>
      <c r="I8486" s="1" t="n">
        <v>4535</v>
      </c>
      <c r="J8486" s="1" t="n">
        <v>100103</v>
      </c>
      <c r="K8486" s="1" t="n">
        <v>104</v>
      </c>
      <c r="L8486" s="1" t="s">
        <v>2287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5" t="n">
        <v>46256</v>
      </c>
      <c r="C8487" s="1" t="n">
        <v>11</v>
      </c>
      <c r="D8487" s="1" t="s">
        <v>2290</v>
      </c>
      <c r="E8487" s="1" t="n">
        <v>1609</v>
      </c>
      <c r="F8487" s="1" t="s">
        <v>410</v>
      </c>
      <c r="I8487" s="1" t="n">
        <v>6022</v>
      </c>
      <c r="J8487" s="1" t="n">
        <v>13720</v>
      </c>
      <c r="K8487" s="1" t="n">
        <v>7896981600307</v>
      </c>
      <c r="L8487" s="1" t="s">
        <v>2523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5" t="n">
        <v>46256</v>
      </c>
      <c r="C8488" s="1" t="n">
        <v>11</v>
      </c>
      <c r="D8488" s="1" t="s">
        <v>2290</v>
      </c>
      <c r="E8488" s="1" t="n">
        <v>1609</v>
      </c>
      <c r="F8488" s="1" t="s">
        <v>410</v>
      </c>
      <c r="I8488" s="1" t="n">
        <v>6022</v>
      </c>
      <c r="J8488" s="1" t="n">
        <v>17163</v>
      </c>
      <c r="K8488" s="1" t="n">
        <v>7896981600567</v>
      </c>
      <c r="L8488" s="1" t="s">
        <v>2524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5" t="n">
        <v>46256</v>
      </c>
      <c r="C8489" s="1" t="n">
        <v>11</v>
      </c>
      <c r="D8489" s="1" t="s">
        <v>2290</v>
      </c>
      <c r="E8489" s="1" t="n">
        <v>1609</v>
      </c>
      <c r="F8489" s="1" t="s">
        <v>410</v>
      </c>
      <c r="I8489" s="1" t="n">
        <v>6022</v>
      </c>
      <c r="J8489" s="1" t="n">
        <v>18383</v>
      </c>
      <c r="K8489" s="1" t="n">
        <v>7896878801138</v>
      </c>
      <c r="L8489" s="1" t="s">
        <v>4201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5" t="n">
        <v>46256</v>
      </c>
      <c r="C8490" s="1" t="n">
        <v>11</v>
      </c>
      <c r="D8490" s="1" t="s">
        <v>2290</v>
      </c>
      <c r="E8490" s="1" t="n">
        <v>1609</v>
      </c>
      <c r="F8490" s="1" t="s">
        <v>410</v>
      </c>
      <c r="I8490" s="1" t="n">
        <v>6022</v>
      </c>
      <c r="J8490" s="1" t="n">
        <v>18384</v>
      </c>
      <c r="K8490" s="1" t="n">
        <v>7896878801206</v>
      </c>
      <c r="L8490" s="1" t="s">
        <v>2526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5" t="n">
        <v>46256</v>
      </c>
      <c r="C8491" s="1" t="n">
        <v>11</v>
      </c>
      <c r="D8491" s="1" t="s">
        <v>2290</v>
      </c>
      <c r="E8491" s="1" t="n">
        <v>1609</v>
      </c>
      <c r="F8491" s="1" t="s">
        <v>410</v>
      </c>
      <c r="I8491" s="1" t="n">
        <v>6022</v>
      </c>
      <c r="J8491" s="1" t="n">
        <v>18385</v>
      </c>
      <c r="K8491" s="1" t="n">
        <v>7896878801220</v>
      </c>
      <c r="L8491" s="1" t="s">
        <v>2527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5" t="n">
        <v>46256</v>
      </c>
      <c r="C8492" s="1" t="n">
        <v>11</v>
      </c>
      <c r="D8492" s="1" t="s">
        <v>2290</v>
      </c>
      <c r="E8492" s="1" t="n">
        <v>1609</v>
      </c>
      <c r="F8492" s="1" t="s">
        <v>410</v>
      </c>
      <c r="I8492" s="1" t="n">
        <v>6022</v>
      </c>
      <c r="J8492" s="1" t="n">
        <v>18775</v>
      </c>
      <c r="K8492" s="1" t="n">
        <v>7896878801237</v>
      </c>
      <c r="L8492" s="1" t="s">
        <v>2528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5" t="n">
        <v>46256</v>
      </c>
      <c r="C8493" s="1" t="n">
        <v>11</v>
      </c>
      <c r="D8493" s="1" t="s">
        <v>2290</v>
      </c>
      <c r="E8493" s="1" t="n">
        <v>1609</v>
      </c>
      <c r="F8493" s="1" t="s">
        <v>410</v>
      </c>
      <c r="I8493" s="1" t="n">
        <v>6022</v>
      </c>
      <c r="J8493" s="1" t="n">
        <v>18910</v>
      </c>
      <c r="K8493" s="1" t="n">
        <v>7896878801176</v>
      </c>
      <c r="L8493" s="1" t="s">
        <v>4202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5" t="n">
        <v>46256</v>
      </c>
      <c r="C8494" s="1" t="n">
        <v>11</v>
      </c>
      <c r="D8494" s="1" t="s">
        <v>2290</v>
      </c>
      <c r="E8494" s="1" t="n">
        <v>1609</v>
      </c>
      <c r="F8494" s="1" t="s">
        <v>410</v>
      </c>
      <c r="I8494" s="1" t="n">
        <v>6022</v>
      </c>
      <c r="J8494" s="1" t="n">
        <v>18968</v>
      </c>
      <c r="K8494" s="1" t="n">
        <v>7896878801244</v>
      </c>
      <c r="L8494" s="1" t="s">
        <v>2529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5" t="n">
        <v>46256</v>
      </c>
      <c r="C8495" s="1" t="n">
        <v>11</v>
      </c>
      <c r="D8495" s="1" t="s">
        <v>2290</v>
      </c>
      <c r="E8495" s="1" t="n">
        <v>1609</v>
      </c>
      <c r="F8495" s="1" t="s">
        <v>410</v>
      </c>
      <c r="I8495" s="1" t="n">
        <v>6022</v>
      </c>
      <c r="J8495" s="1" t="n">
        <v>20027</v>
      </c>
      <c r="K8495" s="1" t="n">
        <v>7896878801053</v>
      </c>
      <c r="L8495" s="1" t="s">
        <v>4203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5" t="n">
        <v>46256</v>
      </c>
      <c r="C8496" s="1" t="n">
        <v>11</v>
      </c>
      <c r="D8496" s="1" t="s">
        <v>2290</v>
      </c>
      <c r="E8496" s="1" t="n">
        <v>1609</v>
      </c>
      <c r="F8496" s="1" t="s">
        <v>410</v>
      </c>
      <c r="I8496" s="1" t="n">
        <v>6022</v>
      </c>
      <c r="J8496" s="1" t="n">
        <v>24963</v>
      </c>
      <c r="K8496" s="1" t="n">
        <v>7896878801060</v>
      </c>
      <c r="L8496" s="1" t="s">
        <v>4204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5" t="n">
        <v>46256</v>
      </c>
      <c r="C8497" s="1" t="n">
        <v>11</v>
      </c>
      <c r="D8497" s="1" t="s">
        <v>2290</v>
      </c>
      <c r="E8497" s="1" t="n">
        <v>1609</v>
      </c>
      <c r="F8497" s="1" t="s">
        <v>410</v>
      </c>
      <c r="I8497" s="1" t="n">
        <v>6022</v>
      </c>
      <c r="J8497" s="1" t="n">
        <v>24964</v>
      </c>
      <c r="K8497" s="1" t="n">
        <v>7896878801183</v>
      </c>
      <c r="L8497" s="1" t="s">
        <v>4205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5" t="n">
        <v>46256</v>
      </c>
      <c r="C8498" s="1" t="n">
        <v>11</v>
      </c>
      <c r="D8498" s="1" t="s">
        <v>2290</v>
      </c>
      <c r="E8498" s="1" t="n">
        <v>1609</v>
      </c>
      <c r="F8498" s="1" t="s">
        <v>410</v>
      </c>
      <c r="I8498" s="1" t="n">
        <v>6022</v>
      </c>
      <c r="J8498" s="1" t="n">
        <v>24965</v>
      </c>
      <c r="K8498" s="1" t="n">
        <v>7896878801107</v>
      </c>
      <c r="L8498" s="1" t="s">
        <v>4206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5" t="n">
        <v>46256</v>
      </c>
      <c r="C8499" s="1" t="n">
        <v>11</v>
      </c>
      <c r="D8499" s="1" t="s">
        <v>2290</v>
      </c>
      <c r="E8499" s="1" t="n">
        <v>1609</v>
      </c>
      <c r="F8499" s="1" t="s">
        <v>410</v>
      </c>
      <c r="I8499" s="1" t="n">
        <v>6022</v>
      </c>
      <c r="J8499" s="1" t="n">
        <v>32861</v>
      </c>
      <c r="K8499" s="1" t="n">
        <v>7896878801145</v>
      </c>
      <c r="L8499" s="1" t="s">
        <v>4207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15" t="n">
        <v>46256</v>
      </c>
      <c r="C8500" s="1" t="n">
        <v>11</v>
      </c>
      <c r="D8500" s="1" t="s">
        <v>2290</v>
      </c>
      <c r="E8500" s="1" t="n">
        <v>1609</v>
      </c>
      <c r="F8500" s="1" t="s">
        <v>410</v>
      </c>
      <c r="I8500" s="1" t="n">
        <v>6022</v>
      </c>
      <c r="J8500" s="1" t="n">
        <v>41614</v>
      </c>
      <c r="K8500" s="1" t="n">
        <v>7896878801213</v>
      </c>
      <c r="L8500" s="1" t="s">
        <v>2530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15" t="n">
        <v>46256</v>
      </c>
      <c r="C8501" s="1" t="n">
        <v>11</v>
      </c>
      <c r="D8501" s="1" t="s">
        <v>2290</v>
      </c>
      <c r="E8501" s="1" t="n">
        <v>1609</v>
      </c>
      <c r="F8501" s="1" t="s">
        <v>410</v>
      </c>
      <c r="I8501" s="1" t="n">
        <v>6022</v>
      </c>
      <c r="J8501" s="1" t="n">
        <v>80962</v>
      </c>
      <c r="K8501" s="1" t="n">
        <v>7890678801091</v>
      </c>
      <c r="L8501" s="1" t="s">
        <v>4209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5" t="n">
        <v>46256</v>
      </c>
      <c r="C8502" s="1" t="n">
        <v>11</v>
      </c>
      <c r="D8502" s="1" t="s">
        <v>2290</v>
      </c>
      <c r="E8502" s="1" t="n">
        <v>1665</v>
      </c>
      <c r="F8502" s="1" t="s">
        <v>937</v>
      </c>
      <c r="I8502" s="1" t="n">
        <v>136969</v>
      </c>
      <c r="J8502" s="1" t="n">
        <v>25716</v>
      </c>
      <c r="K8502" s="1" t="n">
        <v>7896353301184</v>
      </c>
      <c r="L8502" s="1" t="s">
        <v>3451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5" t="n">
        <v>46256</v>
      </c>
      <c r="C8503" s="1" t="n">
        <v>11</v>
      </c>
      <c r="D8503" s="1" t="s">
        <v>2290</v>
      </c>
      <c r="E8503" s="1" t="n">
        <v>1665</v>
      </c>
      <c r="F8503" s="1" t="s">
        <v>937</v>
      </c>
      <c r="I8503" s="1" t="n">
        <v>136969</v>
      </c>
      <c r="J8503" s="1" t="n">
        <v>25717</v>
      </c>
      <c r="K8503" s="1" t="n">
        <v>7896353301191</v>
      </c>
      <c r="L8503" s="1" t="s">
        <v>3452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5" t="n">
        <v>46256</v>
      </c>
      <c r="C8504" s="1" t="n">
        <v>11</v>
      </c>
      <c r="D8504" s="1" t="s">
        <v>2290</v>
      </c>
      <c r="E8504" s="1" t="n">
        <v>1665</v>
      </c>
      <c r="F8504" s="1" t="s">
        <v>937</v>
      </c>
      <c r="I8504" s="1" t="n">
        <v>136969</v>
      </c>
      <c r="J8504" s="1" t="n">
        <v>56960</v>
      </c>
      <c r="K8504" s="1" t="n">
        <v>7896353302969</v>
      </c>
      <c r="L8504" s="1" t="s">
        <v>3453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5" t="n">
        <v>46256</v>
      </c>
      <c r="C8505" s="1" t="n">
        <v>11</v>
      </c>
      <c r="D8505" s="1" t="s">
        <v>2290</v>
      </c>
      <c r="E8505" s="1" t="n">
        <v>1815</v>
      </c>
      <c r="F8505" s="1" t="s">
        <v>53</v>
      </c>
      <c r="I8505" s="1" t="n">
        <v>399135</v>
      </c>
      <c r="J8505" s="1" t="n">
        <v>100024</v>
      </c>
      <c r="K8505" s="1" t="n">
        <v>25</v>
      </c>
      <c r="L8505" s="1" t="s">
        <v>2390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5" t="n">
        <v>46256</v>
      </c>
      <c r="C8506" s="1" t="n">
        <v>11</v>
      </c>
      <c r="D8506" s="1" t="s">
        <v>2290</v>
      </c>
      <c r="E8506" s="1" t="n">
        <v>1815</v>
      </c>
      <c r="F8506" s="1" t="s">
        <v>53</v>
      </c>
      <c r="I8506" s="1" t="n">
        <v>399135</v>
      </c>
      <c r="J8506" s="1" t="n">
        <v>100035</v>
      </c>
      <c r="K8506" s="1" t="n">
        <v>36</v>
      </c>
      <c r="L8506" s="1" t="s">
        <v>2391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5" t="n">
        <v>46256</v>
      </c>
      <c r="C8507" s="1" t="n">
        <v>11</v>
      </c>
      <c r="D8507" s="1" t="s">
        <v>2290</v>
      </c>
      <c r="E8507" s="1" t="n">
        <v>1815</v>
      </c>
      <c r="F8507" s="1" t="s">
        <v>53</v>
      </c>
      <c r="I8507" s="1" t="n">
        <v>399135</v>
      </c>
      <c r="J8507" s="1" t="n">
        <v>24024</v>
      </c>
      <c r="K8507" s="1" t="n">
        <v>7896116900432</v>
      </c>
      <c r="L8507" s="1" t="s">
        <v>2392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5" t="n">
        <v>46256</v>
      </c>
      <c r="C8508" s="1" t="n">
        <v>11</v>
      </c>
      <c r="D8508" s="1" t="s">
        <v>2290</v>
      </c>
      <c r="E8508" s="1" t="n">
        <v>1815</v>
      </c>
      <c r="F8508" s="1" t="s">
        <v>53</v>
      </c>
      <c r="I8508" s="1" t="n">
        <v>399135</v>
      </c>
      <c r="J8508" s="1" t="n">
        <v>29054</v>
      </c>
      <c r="K8508" s="1" t="n">
        <v>7893000018778</v>
      </c>
      <c r="L8508" s="1" t="s">
        <v>4133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5" t="n">
        <v>46256</v>
      </c>
      <c r="C8509" s="1" t="n">
        <v>11</v>
      </c>
      <c r="D8509" s="1" t="s">
        <v>2290</v>
      </c>
      <c r="E8509" s="1" t="n">
        <v>1666</v>
      </c>
      <c r="F8509" s="1" t="s">
        <v>212</v>
      </c>
      <c r="I8509" s="1" t="n">
        <v>570873</v>
      </c>
      <c r="J8509" s="1" t="n">
        <v>24990</v>
      </c>
      <c r="K8509" s="1" t="n">
        <v>78935761</v>
      </c>
      <c r="L8509" s="1" t="s">
        <v>2589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5" t="n">
        <v>46256</v>
      </c>
      <c r="C8510" s="1" t="n">
        <v>11</v>
      </c>
      <c r="D8510" s="1" t="s">
        <v>2290</v>
      </c>
      <c r="E8510" s="1" t="n">
        <v>1666</v>
      </c>
      <c r="F8510" s="1" t="s">
        <v>212</v>
      </c>
      <c r="I8510" s="1" t="n">
        <v>570873</v>
      </c>
      <c r="J8510" s="1" t="n">
        <v>25392</v>
      </c>
      <c r="K8510" s="1" t="n">
        <v>7898591450600</v>
      </c>
      <c r="L8510" s="1" t="s">
        <v>3298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5" t="n">
        <v>46256</v>
      </c>
      <c r="C8511" s="1" t="n">
        <v>11</v>
      </c>
      <c r="D8511" s="1" t="s">
        <v>2290</v>
      </c>
      <c r="E8511" s="1" t="n">
        <v>1666</v>
      </c>
      <c r="F8511" s="1" t="s">
        <v>212</v>
      </c>
      <c r="I8511" s="1" t="n">
        <v>570873</v>
      </c>
      <c r="J8511" s="1" t="n">
        <v>25661</v>
      </c>
      <c r="K8511" s="1" t="n">
        <v>7898591450686</v>
      </c>
      <c r="L8511" s="1" t="s">
        <v>2590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5" t="n">
        <v>46256</v>
      </c>
      <c r="C8512" s="1" t="n">
        <v>11</v>
      </c>
      <c r="D8512" s="1" t="s">
        <v>2290</v>
      </c>
      <c r="E8512" s="1" t="n">
        <v>1666</v>
      </c>
      <c r="F8512" s="1" t="s">
        <v>212</v>
      </c>
      <c r="I8512" s="1" t="n">
        <v>570873</v>
      </c>
      <c r="J8512" s="1" t="n">
        <v>25662</v>
      </c>
      <c r="K8512" s="1" t="n">
        <v>7898591450662</v>
      </c>
      <c r="L8512" s="1" t="s">
        <v>2591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5" t="n">
        <v>46256</v>
      </c>
      <c r="C8513" s="1" t="n">
        <v>11</v>
      </c>
      <c r="D8513" s="1" t="s">
        <v>2290</v>
      </c>
      <c r="E8513" s="1" t="n">
        <v>1666</v>
      </c>
      <c r="F8513" s="1" t="s">
        <v>212</v>
      </c>
      <c r="I8513" s="1" t="n">
        <v>570873</v>
      </c>
      <c r="J8513" s="1" t="n">
        <v>37535</v>
      </c>
      <c r="K8513" s="1" t="n">
        <v>78942073</v>
      </c>
      <c r="L8513" s="1" t="s">
        <v>2592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5" t="n">
        <v>46256</v>
      </c>
      <c r="C8514" s="1" t="n">
        <v>11</v>
      </c>
      <c r="D8514" s="1" t="s">
        <v>2290</v>
      </c>
      <c r="E8514" s="1" t="n">
        <v>1666</v>
      </c>
      <c r="F8514" s="1" t="s">
        <v>212</v>
      </c>
      <c r="I8514" s="1" t="n">
        <v>570873</v>
      </c>
      <c r="J8514" s="1" t="n">
        <v>37536</v>
      </c>
      <c r="K8514" s="1" t="n">
        <v>78942066</v>
      </c>
      <c r="L8514" s="1" t="s">
        <v>2593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5" t="n">
        <v>46256</v>
      </c>
      <c r="C8515" s="1" t="n">
        <v>11</v>
      </c>
      <c r="D8515" s="1" t="s">
        <v>2290</v>
      </c>
      <c r="E8515" s="1" t="n">
        <v>1666</v>
      </c>
      <c r="F8515" s="1" t="s">
        <v>212</v>
      </c>
      <c r="I8515" s="1" t="n">
        <v>570873</v>
      </c>
      <c r="J8515" s="1" t="n">
        <v>50760</v>
      </c>
      <c r="K8515" s="1" t="n">
        <v>78943087</v>
      </c>
      <c r="L8515" s="1" t="s">
        <v>2595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5" t="n">
        <v>46256</v>
      </c>
      <c r="C8516" s="1" t="n">
        <v>11</v>
      </c>
      <c r="D8516" s="1" t="s">
        <v>2290</v>
      </c>
      <c r="E8516" s="1" t="n">
        <v>1666</v>
      </c>
      <c r="F8516" s="1" t="s">
        <v>212</v>
      </c>
      <c r="I8516" s="1" t="n">
        <v>570873</v>
      </c>
      <c r="J8516" s="1" t="n">
        <v>53207</v>
      </c>
      <c r="K8516" s="1" t="n">
        <v>78944480</v>
      </c>
      <c r="L8516" s="1" t="s">
        <v>2596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5" t="n">
        <v>46256</v>
      </c>
      <c r="C8517" s="1" t="n">
        <v>11</v>
      </c>
      <c r="D8517" s="1" t="s">
        <v>2290</v>
      </c>
      <c r="E8517" s="1" t="n">
        <v>1666</v>
      </c>
      <c r="F8517" s="1" t="s">
        <v>212</v>
      </c>
      <c r="I8517" s="1" t="n">
        <v>570873</v>
      </c>
      <c r="J8517" s="1" t="n">
        <v>67177</v>
      </c>
      <c r="K8517" s="1" t="n">
        <v>78944466</v>
      </c>
      <c r="L8517" s="1" t="s">
        <v>2598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5" t="n">
        <v>46256</v>
      </c>
      <c r="C8518" s="1" t="n">
        <v>11</v>
      </c>
      <c r="D8518" s="1" t="s">
        <v>2290</v>
      </c>
      <c r="E8518" s="1" t="n">
        <v>1666</v>
      </c>
      <c r="F8518" s="1" t="s">
        <v>212</v>
      </c>
      <c r="I8518" s="1" t="n">
        <v>570873</v>
      </c>
      <c r="J8518" s="1" t="n">
        <v>68068</v>
      </c>
      <c r="K8518" s="1" t="n">
        <v>78946354</v>
      </c>
      <c r="L8518" s="1" t="s">
        <v>3299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5" t="n">
        <v>46256</v>
      </c>
      <c r="C8519" s="1" t="n">
        <v>11</v>
      </c>
      <c r="D8519" s="1" t="s">
        <v>2290</v>
      </c>
      <c r="E8519" s="1" t="n">
        <v>1666</v>
      </c>
      <c r="F8519" s="1" t="s">
        <v>212</v>
      </c>
      <c r="I8519" s="1" t="n">
        <v>570873</v>
      </c>
      <c r="J8519" s="1" t="n">
        <v>77084</v>
      </c>
      <c r="K8519" s="1" t="n">
        <v>78947535</v>
      </c>
      <c r="L8519" s="1" t="s">
        <v>2599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5" t="n">
        <v>46256</v>
      </c>
      <c r="C8520" s="1" t="n">
        <v>11</v>
      </c>
      <c r="D8520" s="1" t="s">
        <v>2290</v>
      </c>
      <c r="E8520" s="1" t="n">
        <v>1666</v>
      </c>
      <c r="F8520" s="1" t="s">
        <v>212</v>
      </c>
      <c r="I8520" s="1" t="n">
        <v>570873</v>
      </c>
      <c r="J8520" s="1" t="n">
        <v>78026</v>
      </c>
      <c r="K8520" s="1" t="n">
        <v>78947504</v>
      </c>
      <c r="L8520" s="1" t="s">
        <v>3300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5" t="n">
        <v>46256</v>
      </c>
      <c r="C8521" s="1" t="n">
        <v>11</v>
      </c>
      <c r="D8521" s="1" t="s">
        <v>2290</v>
      </c>
      <c r="E8521" s="1" t="n">
        <v>1666</v>
      </c>
      <c r="F8521" s="1" t="s">
        <v>212</v>
      </c>
      <c r="I8521" s="1" t="n">
        <v>570873</v>
      </c>
      <c r="J8521" s="1" t="n">
        <v>81691</v>
      </c>
      <c r="K8521" s="1" t="n">
        <v>78947610</v>
      </c>
      <c r="L8521" s="1" t="s">
        <v>4040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5" t="n">
        <v>46256</v>
      </c>
      <c r="C8522" s="1" t="n">
        <v>11</v>
      </c>
      <c r="D8522" s="1" t="s">
        <v>2290</v>
      </c>
      <c r="E8522" s="1" t="n">
        <v>1705</v>
      </c>
      <c r="F8522" s="1" t="s">
        <v>122</v>
      </c>
      <c r="I8522" s="1" t="n">
        <v>1254612</v>
      </c>
      <c r="J8522" s="1" t="n">
        <v>102360</v>
      </c>
      <c r="K8522" s="1" t="n">
        <v>7894900593709</v>
      </c>
      <c r="L8522" s="1" t="s">
        <v>3187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5" t="n">
        <v>46256</v>
      </c>
      <c r="C8523" s="1" t="n">
        <v>11</v>
      </c>
      <c r="D8523" s="1" t="s">
        <v>2290</v>
      </c>
      <c r="E8523" s="1" t="n">
        <v>1705</v>
      </c>
      <c r="F8523" s="1" t="s">
        <v>122</v>
      </c>
      <c r="I8523" s="1" t="n">
        <v>1254612</v>
      </c>
      <c r="J8523" s="1" t="n">
        <v>102361</v>
      </c>
      <c r="K8523" s="1" t="n">
        <v>7894900573701</v>
      </c>
      <c r="L8523" s="1" t="s">
        <v>4124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5" t="n">
        <v>46256</v>
      </c>
      <c r="C8524" s="1" t="n">
        <v>11</v>
      </c>
      <c r="D8524" s="1" t="s">
        <v>2290</v>
      </c>
      <c r="E8524" s="1" t="n">
        <v>1705</v>
      </c>
      <c r="F8524" s="1" t="s">
        <v>122</v>
      </c>
      <c r="I8524" s="1" t="n">
        <v>1254612</v>
      </c>
      <c r="J8524" s="1" t="n">
        <v>102362</v>
      </c>
      <c r="K8524" s="1" t="n">
        <v>7894900583700</v>
      </c>
      <c r="L8524" s="1" t="s">
        <v>3188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5" t="n">
        <v>46256</v>
      </c>
      <c r="C8525" s="1" t="n">
        <v>11</v>
      </c>
      <c r="D8525" s="1" t="s">
        <v>2290</v>
      </c>
      <c r="E8525" s="1" t="n">
        <v>1705</v>
      </c>
      <c r="F8525" s="1" t="s">
        <v>122</v>
      </c>
      <c r="I8525" s="1" t="n">
        <v>1254612</v>
      </c>
      <c r="J8525" s="1" t="n">
        <v>102363</v>
      </c>
      <c r="K8525" s="1" t="n">
        <v>7894900563702</v>
      </c>
      <c r="L8525" s="1" t="s">
        <v>4125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5" t="n">
        <v>46256</v>
      </c>
      <c r="C8526" s="1" t="n">
        <v>11</v>
      </c>
      <c r="D8526" s="1" t="s">
        <v>2290</v>
      </c>
      <c r="E8526" s="1" t="n">
        <v>1705</v>
      </c>
      <c r="F8526" s="1" t="s">
        <v>122</v>
      </c>
      <c r="I8526" s="1" t="n">
        <v>1254612</v>
      </c>
      <c r="J8526" s="1" t="n">
        <v>103159</v>
      </c>
      <c r="K8526" s="1" t="n">
        <v>7894900050011</v>
      </c>
      <c r="L8526" s="1" t="s">
        <v>4126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5" t="n">
        <v>46256</v>
      </c>
      <c r="C8527" s="1" t="n">
        <v>11</v>
      </c>
      <c r="D8527" s="1" t="s">
        <v>2290</v>
      </c>
      <c r="E8527" s="1" t="n">
        <v>1705</v>
      </c>
      <c r="F8527" s="1" t="s">
        <v>122</v>
      </c>
      <c r="I8527" s="1" t="n">
        <v>1254612</v>
      </c>
      <c r="J8527" s="1" t="n">
        <v>103160</v>
      </c>
      <c r="K8527" s="1" t="n">
        <v>7894900030013</v>
      </c>
      <c r="L8527" s="1" t="s">
        <v>3632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5" t="n">
        <v>46256</v>
      </c>
      <c r="C8528" s="1" t="n">
        <v>11</v>
      </c>
      <c r="D8528" s="1" t="s">
        <v>2290</v>
      </c>
      <c r="E8528" s="1" t="n">
        <v>1705</v>
      </c>
      <c r="F8528" s="1" t="s">
        <v>122</v>
      </c>
      <c r="I8528" s="1" t="n">
        <v>1254612</v>
      </c>
      <c r="J8528" s="1" t="n">
        <v>104575</v>
      </c>
      <c r="K8528" s="1" t="n">
        <v>7898341430098</v>
      </c>
      <c r="L8528" s="1" t="s">
        <v>3252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5" t="n">
        <v>46256</v>
      </c>
      <c r="C8529" s="1" t="n">
        <v>11</v>
      </c>
      <c r="D8529" s="1" t="s">
        <v>2290</v>
      </c>
      <c r="E8529" s="1" t="n">
        <v>1705</v>
      </c>
      <c r="F8529" s="1" t="s">
        <v>122</v>
      </c>
      <c r="I8529" s="1" t="n">
        <v>1254612</v>
      </c>
      <c r="J8529" s="1" t="n">
        <v>104576</v>
      </c>
      <c r="K8529" s="1" t="n">
        <v>7898341430111</v>
      </c>
      <c r="L8529" s="1" t="s">
        <v>3253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5" t="n">
        <v>46256</v>
      </c>
      <c r="C8530" s="1" t="n">
        <v>11</v>
      </c>
      <c r="D8530" s="1" t="s">
        <v>2290</v>
      </c>
      <c r="E8530" s="1" t="n">
        <v>1705</v>
      </c>
      <c r="F8530" s="1" t="s">
        <v>122</v>
      </c>
      <c r="I8530" s="1" t="n">
        <v>1254612</v>
      </c>
      <c r="J8530" s="1" t="n">
        <v>14312</v>
      </c>
      <c r="K8530" s="1" t="n">
        <v>7894900504002</v>
      </c>
      <c r="L8530" s="1" t="s">
        <v>4023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5" t="n">
        <v>46256</v>
      </c>
      <c r="C8531" s="1" t="n">
        <v>11</v>
      </c>
      <c r="D8531" s="1" t="s">
        <v>2290</v>
      </c>
      <c r="E8531" s="1" t="n">
        <v>1705</v>
      </c>
      <c r="F8531" s="1" t="s">
        <v>122</v>
      </c>
      <c r="I8531" s="1" t="n">
        <v>1254612</v>
      </c>
      <c r="J8531" s="1" t="n">
        <v>14356</v>
      </c>
      <c r="K8531" s="1" t="n">
        <v>7894900501001</v>
      </c>
      <c r="L8531" s="1" t="s">
        <v>5003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5" t="n">
        <v>46256</v>
      </c>
      <c r="C8532" s="1" t="n">
        <v>11</v>
      </c>
      <c r="D8532" s="1" t="s">
        <v>2290</v>
      </c>
      <c r="E8532" s="1" t="n">
        <v>1705</v>
      </c>
      <c r="F8532" s="1" t="s">
        <v>122</v>
      </c>
      <c r="I8532" s="1" t="n">
        <v>1254612</v>
      </c>
      <c r="J8532" s="1" t="n">
        <v>29150</v>
      </c>
      <c r="K8532" s="1" t="n">
        <v>78938816</v>
      </c>
      <c r="L8532" s="1" t="s">
        <v>2546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5" t="n">
        <v>46256</v>
      </c>
      <c r="C8533" s="1" t="n">
        <v>11</v>
      </c>
      <c r="D8533" s="1" t="s">
        <v>2290</v>
      </c>
      <c r="E8533" s="1" t="n">
        <v>1705</v>
      </c>
      <c r="F8533" s="1" t="s">
        <v>122</v>
      </c>
      <c r="I8533" s="1" t="n">
        <v>1254612</v>
      </c>
      <c r="J8533" s="1" t="n">
        <v>29151</v>
      </c>
      <c r="K8533" s="1" t="n">
        <v>78938823</v>
      </c>
      <c r="L8533" s="1" t="s">
        <v>4334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5" t="n">
        <v>46256</v>
      </c>
      <c r="C8534" s="1" t="n">
        <v>11</v>
      </c>
      <c r="D8534" s="1" t="s">
        <v>2290</v>
      </c>
      <c r="E8534" s="1" t="n">
        <v>1705</v>
      </c>
      <c r="F8534" s="1" t="s">
        <v>122</v>
      </c>
      <c r="I8534" s="1" t="n">
        <v>1254612</v>
      </c>
      <c r="J8534" s="1" t="n">
        <v>29152</v>
      </c>
      <c r="K8534" s="1" t="n">
        <v>78938847</v>
      </c>
      <c r="L8534" s="1" t="s">
        <v>4335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5" t="n">
        <v>46256</v>
      </c>
      <c r="C8535" s="1" t="n">
        <v>11</v>
      </c>
      <c r="D8535" s="1" t="s">
        <v>2290</v>
      </c>
      <c r="E8535" s="1" t="n">
        <v>1705</v>
      </c>
      <c r="F8535" s="1" t="s">
        <v>122</v>
      </c>
      <c r="I8535" s="1" t="n">
        <v>1254612</v>
      </c>
      <c r="J8535" s="1" t="n">
        <v>41727</v>
      </c>
      <c r="K8535" s="1" t="n">
        <v>7622210857255</v>
      </c>
      <c r="L8535" s="1" t="s">
        <v>5004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5" t="n">
        <v>46256</v>
      </c>
      <c r="C8536" s="1" t="n">
        <v>11</v>
      </c>
      <c r="D8536" s="1" t="s">
        <v>2290</v>
      </c>
      <c r="E8536" s="1" t="n">
        <v>1705</v>
      </c>
      <c r="F8536" s="1" t="s">
        <v>122</v>
      </c>
      <c r="I8536" s="1" t="n">
        <v>1254612</v>
      </c>
      <c r="J8536" s="1" t="n">
        <v>61083</v>
      </c>
      <c r="K8536" s="1" t="n">
        <v>7894900503029</v>
      </c>
      <c r="L8536" s="1" t="s">
        <v>4199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5" t="n">
        <v>46256</v>
      </c>
      <c r="C8537" s="1" t="n">
        <v>11</v>
      </c>
      <c r="D8537" s="1" t="s">
        <v>2290</v>
      </c>
      <c r="E8537" s="1" t="n">
        <v>1705</v>
      </c>
      <c r="F8537" s="1" t="s">
        <v>122</v>
      </c>
      <c r="I8537" s="1" t="n">
        <v>1254612</v>
      </c>
      <c r="J8537" s="1" t="n">
        <v>77914</v>
      </c>
      <c r="K8537" s="1" t="n">
        <v>7894900530001</v>
      </c>
      <c r="L8537" s="1" t="s">
        <v>2299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5" t="n">
        <v>46256</v>
      </c>
      <c r="C8538" s="1" t="n">
        <v>11</v>
      </c>
      <c r="D8538" s="1" t="s">
        <v>2290</v>
      </c>
      <c r="E8538" s="1" t="n">
        <v>1705</v>
      </c>
      <c r="F8538" s="1" t="s">
        <v>122</v>
      </c>
      <c r="I8538" s="1" t="n">
        <v>1254612</v>
      </c>
      <c r="J8538" s="1" t="n">
        <v>78351</v>
      </c>
      <c r="K8538" s="1" t="n">
        <v>7894900530032</v>
      </c>
      <c r="L8538" s="1" t="s">
        <v>3613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5" t="n">
        <v>46256</v>
      </c>
      <c r="C8539" s="1" t="n">
        <v>11</v>
      </c>
      <c r="D8539" s="1" t="s">
        <v>2290</v>
      </c>
      <c r="E8539" s="1" t="n">
        <v>1672</v>
      </c>
      <c r="F8539" s="1" t="s">
        <v>67</v>
      </c>
      <c r="I8539" s="1" t="n">
        <v>1426372</v>
      </c>
      <c r="J8539" s="1" t="n">
        <v>103916</v>
      </c>
      <c r="K8539" s="1" t="n">
        <v>7896579330067</v>
      </c>
      <c r="L8539" s="1" t="s">
        <v>2866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5" t="n">
        <v>46256</v>
      </c>
      <c r="C8540" s="1" t="n">
        <v>11</v>
      </c>
      <c r="D8540" s="1" t="s">
        <v>2290</v>
      </c>
      <c r="E8540" s="1" t="n">
        <v>1672</v>
      </c>
      <c r="F8540" s="1" t="s">
        <v>67</v>
      </c>
      <c r="I8540" s="1" t="n">
        <v>1426372</v>
      </c>
      <c r="J8540" s="1" t="n">
        <v>103941</v>
      </c>
      <c r="K8540" s="1" t="n">
        <v>7896579330036</v>
      </c>
      <c r="L8540" s="1" t="s">
        <v>3756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5" t="n">
        <v>46256</v>
      </c>
      <c r="C8541" s="1" t="n">
        <v>11</v>
      </c>
      <c r="D8541" s="1" t="s">
        <v>2290</v>
      </c>
      <c r="E8541" s="1" t="n">
        <v>1672</v>
      </c>
      <c r="F8541" s="1" t="s">
        <v>67</v>
      </c>
      <c r="I8541" s="1" t="n">
        <v>1426372</v>
      </c>
      <c r="J8541" s="1" t="n">
        <v>104355</v>
      </c>
      <c r="K8541" s="1" t="n">
        <v>7896579380116</v>
      </c>
      <c r="L8541" s="1" t="s">
        <v>2867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5" t="n">
        <v>46256</v>
      </c>
      <c r="C8542" s="1" t="n">
        <v>11</v>
      </c>
      <c r="D8542" s="1" t="s">
        <v>2290</v>
      </c>
      <c r="E8542" s="1" t="n">
        <v>1672</v>
      </c>
      <c r="F8542" s="1" t="s">
        <v>67</v>
      </c>
      <c r="I8542" s="1" t="n">
        <v>1426372</v>
      </c>
      <c r="J8542" s="1" t="n">
        <v>104360</v>
      </c>
      <c r="K8542" s="1" t="n">
        <v>7896579330074</v>
      </c>
      <c r="L8542" s="1" t="s">
        <v>4223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5" t="n">
        <v>46256</v>
      </c>
      <c r="C8543" s="1" t="n">
        <v>11</v>
      </c>
      <c r="D8543" s="1" t="s">
        <v>2290</v>
      </c>
      <c r="E8543" s="1" t="n">
        <v>1672</v>
      </c>
      <c r="F8543" s="1" t="s">
        <v>67</v>
      </c>
      <c r="I8543" s="1" t="n">
        <v>1426372</v>
      </c>
      <c r="J8543" s="1" t="n">
        <v>106239</v>
      </c>
      <c r="K8543" s="1" t="n">
        <v>7896579390016</v>
      </c>
      <c r="L8543" s="1" t="s">
        <v>3768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5" t="n">
        <v>46256</v>
      </c>
      <c r="C8544" s="1" t="n">
        <v>11</v>
      </c>
      <c r="D8544" s="1" t="s">
        <v>2290</v>
      </c>
      <c r="E8544" s="1" t="n">
        <v>1672</v>
      </c>
      <c r="F8544" s="1" t="s">
        <v>67</v>
      </c>
      <c r="I8544" s="1" t="n">
        <v>1426372</v>
      </c>
      <c r="J8544" s="1" t="n">
        <v>10834</v>
      </c>
      <c r="K8544" s="1" t="n">
        <v>7896579320129</v>
      </c>
      <c r="L8544" s="1" t="s">
        <v>4588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5" t="n">
        <v>46256</v>
      </c>
      <c r="C8545" s="1" t="n">
        <v>11</v>
      </c>
      <c r="D8545" s="1" t="s">
        <v>2290</v>
      </c>
      <c r="E8545" s="1" t="n">
        <v>1672</v>
      </c>
      <c r="F8545" s="1" t="s">
        <v>67</v>
      </c>
      <c r="I8545" s="1" t="n">
        <v>1426372</v>
      </c>
      <c r="J8545" s="1" t="n">
        <v>13184</v>
      </c>
      <c r="K8545" s="1" t="n">
        <v>7896579310113</v>
      </c>
      <c r="L8545" s="1" t="s">
        <v>3757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5" t="n">
        <v>46256</v>
      </c>
      <c r="C8546" s="1" t="n">
        <v>11</v>
      </c>
      <c r="D8546" s="1" t="s">
        <v>2290</v>
      </c>
      <c r="E8546" s="1" t="n">
        <v>1672</v>
      </c>
      <c r="F8546" s="1" t="s">
        <v>67</v>
      </c>
      <c r="I8546" s="1" t="n">
        <v>1426372</v>
      </c>
      <c r="J8546" s="1" t="n">
        <v>13763</v>
      </c>
      <c r="K8546" s="1" t="n">
        <v>7898938236652</v>
      </c>
      <c r="L8546" s="1" t="s">
        <v>4669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5" t="n">
        <v>46256</v>
      </c>
      <c r="C8547" s="1" t="n">
        <v>11</v>
      </c>
      <c r="D8547" s="1" t="s">
        <v>2290</v>
      </c>
      <c r="E8547" s="1" t="n">
        <v>1672</v>
      </c>
      <c r="F8547" s="1" t="s">
        <v>67</v>
      </c>
      <c r="I8547" s="1" t="n">
        <v>1426372</v>
      </c>
      <c r="J8547" s="1" t="n">
        <v>14974</v>
      </c>
      <c r="K8547" s="1" t="n">
        <v>7896579380123</v>
      </c>
      <c r="L8547" s="1" t="s">
        <v>3759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5" t="n">
        <v>46256</v>
      </c>
      <c r="C8548" s="1" t="n">
        <v>11</v>
      </c>
      <c r="D8548" s="1" t="s">
        <v>2290</v>
      </c>
      <c r="E8548" s="1" t="n">
        <v>1672</v>
      </c>
      <c r="F8548" s="1" t="s">
        <v>67</v>
      </c>
      <c r="I8548" s="1" t="n">
        <v>1426372</v>
      </c>
      <c r="J8548" s="1" t="n">
        <v>24126</v>
      </c>
      <c r="K8548" s="1" t="n">
        <v>7896579350232</v>
      </c>
      <c r="L8548" s="1" t="s">
        <v>5005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5" t="n">
        <v>46256</v>
      </c>
      <c r="C8549" s="1" t="n">
        <v>11</v>
      </c>
      <c r="D8549" s="1" t="s">
        <v>2290</v>
      </c>
      <c r="E8549" s="1" t="n">
        <v>1672</v>
      </c>
      <c r="F8549" s="1" t="s">
        <v>67</v>
      </c>
      <c r="I8549" s="1" t="n">
        <v>1426372</v>
      </c>
      <c r="J8549" s="1" t="n">
        <v>25875</v>
      </c>
      <c r="K8549" s="1" t="n">
        <v>7896579380147</v>
      </c>
      <c r="L8549" s="1" t="s">
        <v>5006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5" t="n">
        <v>46256</v>
      </c>
      <c r="C8550" s="1" t="n">
        <v>11</v>
      </c>
      <c r="D8550" s="1" t="s">
        <v>2290</v>
      </c>
      <c r="E8550" s="1" t="n">
        <v>1672</v>
      </c>
      <c r="F8550" s="1" t="s">
        <v>67</v>
      </c>
      <c r="I8550" s="1" t="n">
        <v>1426372</v>
      </c>
      <c r="J8550" s="1" t="n">
        <v>31622</v>
      </c>
      <c r="K8550" s="1" t="n">
        <v>7896579370032</v>
      </c>
      <c r="L8550" s="1" t="s">
        <v>2868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5" t="n">
        <v>46256</v>
      </c>
      <c r="C8551" s="1" t="n">
        <v>11</v>
      </c>
      <c r="D8551" s="1" t="s">
        <v>2290</v>
      </c>
      <c r="E8551" s="1" t="n">
        <v>1672</v>
      </c>
      <c r="F8551" s="1" t="s">
        <v>67</v>
      </c>
      <c r="I8551" s="1" t="n">
        <v>1426372</v>
      </c>
      <c r="J8551" s="1" t="n">
        <v>37044</v>
      </c>
      <c r="K8551" s="1" t="n">
        <v>7896579320211</v>
      </c>
      <c r="L8551" s="1" t="s">
        <v>4670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5" t="n">
        <v>46256</v>
      </c>
      <c r="C8552" s="1" t="n">
        <v>11</v>
      </c>
      <c r="D8552" s="1" t="s">
        <v>2290</v>
      </c>
      <c r="E8552" s="1" t="n">
        <v>1672</v>
      </c>
      <c r="F8552" s="1" t="s">
        <v>67</v>
      </c>
      <c r="I8552" s="1" t="n">
        <v>1426372</v>
      </c>
      <c r="J8552" s="1" t="n">
        <v>37153</v>
      </c>
      <c r="K8552" s="1" t="n">
        <v>7896579310311</v>
      </c>
      <c r="L8552" s="1" t="s">
        <v>2869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5" t="n">
        <v>46256</v>
      </c>
      <c r="C8553" s="1" t="n">
        <v>11</v>
      </c>
      <c r="D8553" s="1" t="s">
        <v>2290</v>
      </c>
      <c r="E8553" s="1" t="n">
        <v>1672</v>
      </c>
      <c r="F8553" s="1" t="s">
        <v>67</v>
      </c>
      <c r="I8553" s="1" t="n">
        <v>1426372</v>
      </c>
      <c r="J8553" s="1" t="n">
        <v>37154</v>
      </c>
      <c r="K8553" s="1" t="n">
        <v>7896579310601</v>
      </c>
      <c r="L8553" s="1" t="s">
        <v>2870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5" t="n">
        <v>46256</v>
      </c>
      <c r="C8554" s="1" t="n">
        <v>11</v>
      </c>
      <c r="D8554" s="1" t="s">
        <v>2290</v>
      </c>
      <c r="E8554" s="1" t="n">
        <v>1672</v>
      </c>
      <c r="F8554" s="1" t="s">
        <v>67</v>
      </c>
      <c r="I8554" s="1" t="n">
        <v>1426372</v>
      </c>
      <c r="J8554" s="1" t="n">
        <v>37156</v>
      </c>
      <c r="K8554" s="1" t="n">
        <v>7896579310502</v>
      </c>
      <c r="L8554" s="1" t="s">
        <v>2871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5" t="n">
        <v>46256</v>
      </c>
      <c r="C8555" s="1" t="n">
        <v>11</v>
      </c>
      <c r="D8555" s="1" t="s">
        <v>2290</v>
      </c>
      <c r="E8555" s="1" t="n">
        <v>1672</v>
      </c>
      <c r="F8555" s="1" t="s">
        <v>67</v>
      </c>
      <c r="I8555" s="1" t="n">
        <v>1426372</v>
      </c>
      <c r="J8555" s="1" t="n">
        <v>37157</v>
      </c>
      <c r="K8555" s="1" t="n">
        <v>7896579310403</v>
      </c>
      <c r="L8555" s="1" t="s">
        <v>2872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5" t="n">
        <v>46256</v>
      </c>
      <c r="C8556" s="1" t="n">
        <v>11</v>
      </c>
      <c r="D8556" s="1" t="s">
        <v>2290</v>
      </c>
      <c r="E8556" s="1" t="n">
        <v>1672</v>
      </c>
      <c r="F8556" s="1" t="s">
        <v>67</v>
      </c>
      <c r="I8556" s="1" t="n">
        <v>1426372</v>
      </c>
      <c r="J8556" s="1" t="n">
        <v>37158</v>
      </c>
      <c r="K8556" s="1" t="n">
        <v>7896579310304</v>
      </c>
      <c r="L8556" s="1" t="s">
        <v>4589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5" t="n">
        <v>46256</v>
      </c>
      <c r="C8557" s="1" t="n">
        <v>11</v>
      </c>
      <c r="D8557" s="1" t="s">
        <v>2290</v>
      </c>
      <c r="E8557" s="1" t="n">
        <v>1672</v>
      </c>
      <c r="F8557" s="1" t="s">
        <v>67</v>
      </c>
      <c r="I8557" s="1" t="n">
        <v>1426372</v>
      </c>
      <c r="J8557" s="1" t="n">
        <v>38315</v>
      </c>
      <c r="K8557" s="1" t="n">
        <v>7896579320242</v>
      </c>
      <c r="L8557" s="1" t="s">
        <v>2873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5" t="n">
        <v>46256</v>
      </c>
      <c r="C8558" s="1" t="n">
        <v>11</v>
      </c>
      <c r="D8558" s="1" t="s">
        <v>2290</v>
      </c>
      <c r="E8558" s="1" t="n">
        <v>1672</v>
      </c>
      <c r="F8558" s="1" t="s">
        <v>67</v>
      </c>
      <c r="I8558" s="1" t="n">
        <v>1426372</v>
      </c>
      <c r="J8558" s="1" t="n">
        <v>38539</v>
      </c>
      <c r="K8558" s="1" t="n">
        <v>7896579320235</v>
      </c>
      <c r="L8558" s="1" t="s">
        <v>2874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5" t="n">
        <v>46256</v>
      </c>
      <c r="C8559" s="1" t="n">
        <v>11</v>
      </c>
      <c r="D8559" s="1" t="s">
        <v>2290</v>
      </c>
      <c r="E8559" s="1" t="n">
        <v>1672</v>
      </c>
      <c r="F8559" s="1" t="s">
        <v>67</v>
      </c>
      <c r="I8559" s="1" t="n">
        <v>1426372</v>
      </c>
      <c r="J8559" s="1" t="n">
        <v>39156</v>
      </c>
      <c r="K8559" s="1" t="n">
        <v>7896579320266</v>
      </c>
      <c r="L8559" s="1" t="s">
        <v>4671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5" t="n">
        <v>46256</v>
      </c>
      <c r="C8560" s="1" t="n">
        <v>11</v>
      </c>
      <c r="D8560" s="1" t="s">
        <v>2290</v>
      </c>
      <c r="E8560" s="1" t="n">
        <v>1672</v>
      </c>
      <c r="F8560" s="1" t="s">
        <v>67</v>
      </c>
      <c r="I8560" s="1" t="n">
        <v>1426372</v>
      </c>
      <c r="J8560" s="1" t="n">
        <v>39420</v>
      </c>
      <c r="K8560" s="1" t="n">
        <v>7896579310533</v>
      </c>
      <c r="L8560" s="1" t="s">
        <v>5007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5" t="n">
        <v>46256</v>
      </c>
      <c r="C8561" s="1" t="n">
        <v>11</v>
      </c>
      <c r="D8561" s="1" t="s">
        <v>2290</v>
      </c>
      <c r="E8561" s="1" t="n">
        <v>1672</v>
      </c>
      <c r="F8561" s="1" t="s">
        <v>67</v>
      </c>
      <c r="I8561" s="1" t="n">
        <v>1426372</v>
      </c>
      <c r="J8561" s="1" t="n">
        <v>39422</v>
      </c>
      <c r="K8561" s="1" t="n">
        <v>7896579310434</v>
      </c>
      <c r="L8561" s="1" t="s">
        <v>5008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5" t="n">
        <v>46256</v>
      </c>
      <c r="C8562" s="1" t="n">
        <v>11</v>
      </c>
      <c r="D8562" s="1" t="s">
        <v>2290</v>
      </c>
      <c r="E8562" s="1" t="n">
        <v>1672</v>
      </c>
      <c r="F8562" s="1" t="s">
        <v>67</v>
      </c>
      <c r="I8562" s="1" t="n">
        <v>1426372</v>
      </c>
      <c r="J8562" s="1" t="n">
        <v>39423</v>
      </c>
      <c r="K8562" s="1" t="n">
        <v>7896579310335</v>
      </c>
      <c r="L8562" s="1" t="s">
        <v>5009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5" t="n">
        <v>46256</v>
      </c>
      <c r="C8563" s="1" t="n">
        <v>11</v>
      </c>
      <c r="D8563" s="1" t="s">
        <v>2290</v>
      </c>
      <c r="E8563" s="1" t="n">
        <v>1672</v>
      </c>
      <c r="F8563" s="1" t="s">
        <v>67</v>
      </c>
      <c r="I8563" s="1" t="n">
        <v>1426372</v>
      </c>
      <c r="J8563" s="1" t="n">
        <v>39425</v>
      </c>
      <c r="K8563" s="1" t="n">
        <v>7896579310632</v>
      </c>
      <c r="L8563" s="1" t="s">
        <v>5010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5" t="n">
        <v>46256</v>
      </c>
      <c r="C8564" s="1" t="n">
        <v>11</v>
      </c>
      <c r="D8564" s="1" t="s">
        <v>2290</v>
      </c>
      <c r="E8564" s="1" t="n">
        <v>1672</v>
      </c>
      <c r="F8564" s="1" t="s">
        <v>67</v>
      </c>
      <c r="I8564" s="1" t="n">
        <v>1426372</v>
      </c>
      <c r="J8564" s="1" t="n">
        <v>41797</v>
      </c>
      <c r="K8564" s="1" t="n">
        <v>7899465200543</v>
      </c>
      <c r="L8564" s="1" t="s">
        <v>5011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5" t="n">
        <v>46256</v>
      </c>
      <c r="C8565" s="1" t="n">
        <v>11</v>
      </c>
      <c r="D8565" s="1" t="s">
        <v>2290</v>
      </c>
      <c r="E8565" s="1" t="n">
        <v>1672</v>
      </c>
      <c r="F8565" s="1" t="s">
        <v>67</v>
      </c>
      <c r="I8565" s="1" t="n">
        <v>1426372</v>
      </c>
      <c r="J8565" s="1" t="n">
        <v>47069</v>
      </c>
      <c r="K8565" s="1" t="n">
        <v>7896579370063</v>
      </c>
      <c r="L8565" s="1" t="s">
        <v>5012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5" t="n">
        <v>46256</v>
      </c>
      <c r="C8566" s="1" t="n">
        <v>11</v>
      </c>
      <c r="D8566" s="1" t="s">
        <v>2290</v>
      </c>
      <c r="E8566" s="1" t="n">
        <v>1672</v>
      </c>
      <c r="F8566" s="1" t="s">
        <v>67</v>
      </c>
      <c r="I8566" s="1" t="n">
        <v>1426372</v>
      </c>
      <c r="J8566" s="1" t="n">
        <v>65610</v>
      </c>
      <c r="K8566" s="1" t="n">
        <v>7896579340172</v>
      </c>
      <c r="L8566" s="1" t="s">
        <v>3769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5" t="n">
        <v>46256</v>
      </c>
      <c r="C8567" s="1" t="n">
        <v>11</v>
      </c>
      <c r="D8567" s="1" t="s">
        <v>2290</v>
      </c>
      <c r="E8567" s="1" t="n">
        <v>1672</v>
      </c>
      <c r="F8567" s="1" t="s">
        <v>67</v>
      </c>
      <c r="I8567" s="1" t="n">
        <v>1426372</v>
      </c>
      <c r="J8567" s="1" t="n">
        <v>66987</v>
      </c>
      <c r="K8567" s="1" t="n">
        <v>7896579310717</v>
      </c>
      <c r="L8567" s="1" t="s">
        <v>5013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5" t="n">
        <v>46256</v>
      </c>
      <c r="C8568" s="1" t="n">
        <v>11</v>
      </c>
      <c r="D8568" s="1" t="s">
        <v>2290</v>
      </c>
      <c r="E8568" s="1" t="n">
        <v>1672</v>
      </c>
      <c r="F8568" s="1" t="s">
        <v>67</v>
      </c>
      <c r="I8568" s="1" t="n">
        <v>1426372</v>
      </c>
      <c r="J8568" s="1" t="n">
        <v>80062</v>
      </c>
      <c r="K8568" s="1" t="n">
        <v>7896579390092</v>
      </c>
      <c r="L8568" s="1" t="s">
        <v>3767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15" t="n">
        <v>46256</v>
      </c>
      <c r="C8569" s="1" t="n">
        <v>11</v>
      </c>
      <c r="D8569" s="1" t="s">
        <v>2290</v>
      </c>
      <c r="E8569" s="1" t="n">
        <v>1672</v>
      </c>
      <c r="F8569" s="1" t="s">
        <v>67</v>
      </c>
      <c r="I8569" s="1" t="n">
        <v>1426372</v>
      </c>
      <c r="J8569" s="1" t="n">
        <v>81819</v>
      </c>
      <c r="K8569" s="1" t="n">
        <v>7896579390191</v>
      </c>
      <c r="L8569" s="1" t="s">
        <v>4591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15" t="n">
        <v>46256</v>
      </c>
      <c r="C8570" s="1" t="n">
        <v>11</v>
      </c>
      <c r="D8570" s="1" t="s">
        <v>2290</v>
      </c>
      <c r="E8570" s="1" t="n">
        <v>1672</v>
      </c>
      <c r="F8570" s="1" t="s">
        <v>67</v>
      </c>
      <c r="I8570" s="1" t="n">
        <v>1426372</v>
      </c>
      <c r="J8570" s="1" t="n">
        <v>81820</v>
      </c>
      <c r="K8570" s="1" t="n">
        <v>7896579390184</v>
      </c>
      <c r="L8570" s="1" t="s">
        <v>4592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5" t="n">
        <v>46256</v>
      </c>
      <c r="C8571" s="1" t="n">
        <v>11</v>
      </c>
      <c r="D8571" s="1" t="s">
        <v>2290</v>
      </c>
      <c r="E8571" s="1" t="n">
        <v>1613</v>
      </c>
      <c r="F8571" s="1" t="s">
        <v>177</v>
      </c>
      <c r="I8571" s="1" t="n">
        <v>1622008</v>
      </c>
      <c r="J8571" s="1" t="n">
        <v>100034</v>
      </c>
      <c r="K8571" s="1" t="n">
        <v>35</v>
      </c>
      <c r="L8571" s="1" t="s">
        <v>3266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5" t="n">
        <v>46256</v>
      </c>
      <c r="C8572" s="1" t="n">
        <v>11</v>
      </c>
      <c r="D8572" s="1" t="s">
        <v>2290</v>
      </c>
      <c r="E8572" s="1" t="n">
        <v>1613</v>
      </c>
      <c r="F8572" s="1" t="s">
        <v>177</v>
      </c>
      <c r="I8572" s="1" t="n">
        <v>1622008</v>
      </c>
      <c r="J8572" s="1" t="n">
        <v>100045</v>
      </c>
      <c r="K8572" s="1" t="n">
        <v>46</v>
      </c>
      <c r="L8572" s="1" t="s">
        <v>3268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5" t="n">
        <v>46256</v>
      </c>
      <c r="C8573" s="1" t="n">
        <v>11</v>
      </c>
      <c r="D8573" s="1" t="s">
        <v>2290</v>
      </c>
      <c r="E8573" s="1" t="n">
        <v>1613</v>
      </c>
      <c r="F8573" s="1" t="s">
        <v>177</v>
      </c>
      <c r="I8573" s="1" t="n">
        <v>1622008</v>
      </c>
      <c r="J8573" s="1" t="n">
        <v>100073</v>
      </c>
      <c r="K8573" s="1" t="n">
        <v>74</v>
      </c>
      <c r="L8573" s="1" t="s">
        <v>2793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5" t="n">
        <v>46256</v>
      </c>
      <c r="C8574" s="1" t="n">
        <v>11</v>
      </c>
      <c r="D8574" s="1" t="s">
        <v>2290</v>
      </c>
      <c r="E8574" s="1" t="n">
        <v>1613</v>
      </c>
      <c r="F8574" s="1" t="s">
        <v>177</v>
      </c>
      <c r="I8574" s="1" t="n">
        <v>1622008</v>
      </c>
      <c r="J8574" s="1" t="n">
        <v>103851</v>
      </c>
      <c r="K8574" s="1" t="n">
        <v>7893000482401</v>
      </c>
      <c r="L8574" s="1" t="s">
        <v>2844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5" t="n">
        <v>46256</v>
      </c>
      <c r="C8575" s="1" t="n">
        <v>11</v>
      </c>
      <c r="D8575" s="1" t="s">
        <v>2290</v>
      </c>
      <c r="E8575" s="1" t="n">
        <v>1613</v>
      </c>
      <c r="F8575" s="1" t="s">
        <v>177</v>
      </c>
      <c r="I8575" s="1" t="n">
        <v>1622008</v>
      </c>
      <c r="J8575" s="1" t="n">
        <v>105663</v>
      </c>
      <c r="K8575" s="1" t="n">
        <v>7893000980006</v>
      </c>
      <c r="L8575" s="1" t="s">
        <v>2992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5" t="n">
        <v>46256</v>
      </c>
      <c r="C8576" s="1" t="n">
        <v>11</v>
      </c>
      <c r="D8576" s="1" t="s">
        <v>2290</v>
      </c>
      <c r="E8576" s="1" t="n">
        <v>1613</v>
      </c>
      <c r="F8576" s="1" t="s">
        <v>177</v>
      </c>
      <c r="I8576" s="1" t="n">
        <v>1622008</v>
      </c>
      <c r="J8576" s="1" t="n">
        <v>108550</v>
      </c>
      <c r="K8576" s="1" t="n">
        <v>7893000674233</v>
      </c>
      <c r="L8576" s="1" t="s">
        <v>5014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5" t="n">
        <v>46256</v>
      </c>
      <c r="C8577" s="1" t="n">
        <v>11</v>
      </c>
      <c r="D8577" s="1" t="s">
        <v>2290</v>
      </c>
      <c r="E8577" s="1" t="n">
        <v>1613</v>
      </c>
      <c r="F8577" s="1" t="s">
        <v>177</v>
      </c>
      <c r="I8577" s="1" t="n">
        <v>1622008</v>
      </c>
      <c r="J8577" s="1" t="n">
        <v>22445</v>
      </c>
      <c r="K8577" s="1" t="n">
        <v>7891515432089</v>
      </c>
      <c r="L8577" s="1" t="s">
        <v>4238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5" t="n">
        <v>46256</v>
      </c>
      <c r="C8578" s="1" t="n">
        <v>11</v>
      </c>
      <c r="D8578" s="1" t="s">
        <v>2290</v>
      </c>
      <c r="E8578" s="1" t="n">
        <v>1613</v>
      </c>
      <c r="F8578" s="1" t="s">
        <v>177</v>
      </c>
      <c r="I8578" s="1" t="n">
        <v>1622008</v>
      </c>
      <c r="J8578" s="1" t="n">
        <v>30464</v>
      </c>
      <c r="K8578" s="1" t="n">
        <v>7891515474133</v>
      </c>
      <c r="L8578" s="1" t="s">
        <v>5015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5" t="n">
        <v>46256</v>
      </c>
      <c r="C8579" s="1" t="n">
        <v>11</v>
      </c>
      <c r="D8579" s="1" t="s">
        <v>2290</v>
      </c>
      <c r="E8579" s="1" t="n">
        <v>1613</v>
      </c>
      <c r="F8579" s="1" t="s">
        <v>177</v>
      </c>
      <c r="I8579" s="1" t="n">
        <v>1622008</v>
      </c>
      <c r="J8579" s="1" t="n">
        <v>36041</v>
      </c>
      <c r="K8579" s="1" t="n">
        <v>7891515554224</v>
      </c>
      <c r="L8579" s="1" t="s">
        <v>5016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5" t="n">
        <v>46256</v>
      </c>
      <c r="C8580" s="1" t="n">
        <v>11</v>
      </c>
      <c r="D8580" s="1" t="s">
        <v>2290</v>
      </c>
      <c r="E8580" s="1" t="n">
        <v>1613</v>
      </c>
      <c r="F8580" s="1" t="s">
        <v>177</v>
      </c>
      <c r="I8580" s="1" t="n">
        <v>1622008</v>
      </c>
      <c r="J8580" s="1" t="n">
        <v>42796</v>
      </c>
      <c r="K8580" s="1" t="n">
        <v>7893000340107</v>
      </c>
      <c r="L8580" s="1" t="s">
        <v>5017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5" t="n">
        <v>46256</v>
      </c>
      <c r="C8581" s="1" t="n">
        <v>11</v>
      </c>
      <c r="D8581" s="1" t="s">
        <v>2290</v>
      </c>
      <c r="E8581" s="1" t="n">
        <v>1613</v>
      </c>
      <c r="F8581" s="1" t="s">
        <v>177</v>
      </c>
      <c r="I8581" s="1" t="n">
        <v>1622008</v>
      </c>
      <c r="J8581" s="1" t="n">
        <v>110310</v>
      </c>
      <c r="K8581" s="1" t="n">
        <v>44610</v>
      </c>
      <c r="L8581" s="1" t="s">
        <v>5018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5" t="n">
        <v>46256</v>
      </c>
      <c r="C8582" s="1" t="n">
        <v>11</v>
      </c>
      <c r="D8582" s="1" t="s">
        <v>2290</v>
      </c>
      <c r="E8582" s="1" t="n">
        <v>1613</v>
      </c>
      <c r="F8582" s="1" t="s">
        <v>177</v>
      </c>
      <c r="I8582" s="1" t="n">
        <v>1622008</v>
      </c>
      <c r="J8582" s="1" t="n">
        <v>110370</v>
      </c>
      <c r="K8582" s="1" t="n">
        <v>47638</v>
      </c>
      <c r="L8582" s="1" t="s">
        <v>5019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5" t="n">
        <v>46256</v>
      </c>
      <c r="C8583" s="1" t="n">
        <v>11</v>
      </c>
      <c r="D8583" s="1" t="s">
        <v>2290</v>
      </c>
      <c r="E8583" s="1" t="n">
        <v>1613</v>
      </c>
      <c r="F8583" s="1" t="s">
        <v>177</v>
      </c>
      <c r="I8583" s="1" t="n">
        <v>1622008</v>
      </c>
      <c r="J8583" s="1" t="n">
        <v>58856</v>
      </c>
      <c r="K8583" s="1" t="n">
        <v>7891515606831</v>
      </c>
      <c r="L8583" s="1" t="s">
        <v>2999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5" t="n">
        <v>46256</v>
      </c>
      <c r="C8584" s="1" t="n">
        <v>11</v>
      </c>
      <c r="D8584" s="1" t="s">
        <v>2290</v>
      </c>
      <c r="E8584" s="1" t="n">
        <v>1613</v>
      </c>
      <c r="F8584" s="1" t="s">
        <v>177</v>
      </c>
      <c r="I8584" s="1" t="n">
        <v>1622008</v>
      </c>
      <c r="J8584" s="1" t="n">
        <v>59205</v>
      </c>
      <c r="K8584" s="1" t="n">
        <v>7891515606824</v>
      </c>
      <c r="L8584" s="1" t="s">
        <v>2999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5" t="n">
        <v>46256</v>
      </c>
      <c r="C8585" s="1" t="n">
        <v>11</v>
      </c>
      <c r="D8585" s="1" t="s">
        <v>2290</v>
      </c>
      <c r="E8585" s="1" t="n">
        <v>1613</v>
      </c>
      <c r="F8585" s="1" t="s">
        <v>177</v>
      </c>
      <c r="I8585" s="1" t="n">
        <v>1622008</v>
      </c>
      <c r="J8585" s="1" t="n">
        <v>65295</v>
      </c>
      <c r="K8585" s="1" t="n">
        <v>7891164110635</v>
      </c>
      <c r="L8585" s="1" t="s">
        <v>3000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5" t="n">
        <v>46256</v>
      </c>
      <c r="C8586" s="1" t="n">
        <v>11</v>
      </c>
      <c r="D8586" s="1" t="s">
        <v>2290</v>
      </c>
      <c r="E8586" s="1" t="n">
        <v>1705</v>
      </c>
      <c r="F8586" s="1" t="s">
        <v>122</v>
      </c>
      <c r="I8586" s="1" t="n">
        <v>1995862</v>
      </c>
      <c r="J8586" s="1" t="n">
        <v>30186</v>
      </c>
      <c r="K8586" s="1" t="n">
        <v>78938571</v>
      </c>
      <c r="L8586" s="1" t="s">
        <v>5020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5" t="n">
        <v>46256</v>
      </c>
      <c r="C8587" s="1" t="n">
        <v>11</v>
      </c>
      <c r="D8587" s="1" t="s">
        <v>2290</v>
      </c>
      <c r="E8587" s="1" t="n">
        <v>1705</v>
      </c>
      <c r="F8587" s="1" t="s">
        <v>122</v>
      </c>
      <c r="I8587" s="1" t="n">
        <v>1995862</v>
      </c>
      <c r="J8587" s="1" t="n">
        <v>30188</v>
      </c>
      <c r="K8587" s="1" t="n">
        <v>78908901</v>
      </c>
      <c r="L8587" s="1" t="s">
        <v>4272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5" t="n">
        <v>46256</v>
      </c>
      <c r="C8588" s="1" t="n">
        <v>11</v>
      </c>
      <c r="D8588" s="1" t="s">
        <v>2290</v>
      </c>
      <c r="E8588" s="1" t="n">
        <v>1705</v>
      </c>
      <c r="F8588" s="1" t="s">
        <v>122</v>
      </c>
      <c r="I8588" s="1" t="n">
        <v>1995862</v>
      </c>
      <c r="J8588" s="1" t="n">
        <v>30322</v>
      </c>
      <c r="K8588" s="1" t="n">
        <v>7894900681109</v>
      </c>
      <c r="L8588" s="1" t="s">
        <v>3256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5" t="n">
        <v>46256</v>
      </c>
      <c r="C8589" s="1" t="n">
        <v>11</v>
      </c>
      <c r="D8589" s="1" t="s">
        <v>2290</v>
      </c>
      <c r="E8589" s="1" t="n">
        <v>1705</v>
      </c>
      <c r="F8589" s="1" t="s">
        <v>122</v>
      </c>
      <c r="I8589" s="1" t="n">
        <v>1995862</v>
      </c>
      <c r="J8589" s="1" t="n">
        <v>103139</v>
      </c>
      <c r="K8589" s="1" t="n">
        <v>7894900051759</v>
      </c>
      <c r="L8589" s="1" t="s">
        <v>2303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5" t="n">
        <v>46256</v>
      </c>
      <c r="C8590" s="1" t="n">
        <v>11</v>
      </c>
      <c r="D8590" s="1" t="s">
        <v>2290</v>
      </c>
      <c r="E8590" s="1" t="n">
        <v>1705</v>
      </c>
      <c r="F8590" s="1" t="s">
        <v>122</v>
      </c>
      <c r="I8590" s="1" t="n">
        <v>1995862</v>
      </c>
      <c r="J8590" s="1" t="n">
        <v>103140</v>
      </c>
      <c r="K8590" s="1" t="n">
        <v>7894900031751</v>
      </c>
      <c r="L8590" s="1" t="s">
        <v>2304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5" t="n">
        <v>46256</v>
      </c>
      <c r="C8591" s="1" t="n">
        <v>11</v>
      </c>
      <c r="D8591" s="1" t="s">
        <v>2290</v>
      </c>
      <c r="E8591" s="1" t="n">
        <v>1705</v>
      </c>
      <c r="F8591" s="1" t="s">
        <v>122</v>
      </c>
      <c r="I8591" s="1" t="n">
        <v>1995862</v>
      </c>
      <c r="J8591" s="1" t="n">
        <v>103142</v>
      </c>
      <c r="K8591" s="1" t="n">
        <v>7894900011753</v>
      </c>
      <c r="L8591" s="1" t="s">
        <v>2305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5" t="n">
        <v>46256</v>
      </c>
      <c r="C8592" s="1" t="n">
        <v>11</v>
      </c>
      <c r="D8592" s="1" t="s">
        <v>2290</v>
      </c>
      <c r="E8592" s="1" t="n">
        <v>1705</v>
      </c>
      <c r="F8592" s="1" t="s">
        <v>122</v>
      </c>
      <c r="I8592" s="1" t="n">
        <v>1995862</v>
      </c>
      <c r="J8592" s="1" t="n">
        <v>103145</v>
      </c>
      <c r="K8592" s="1" t="n">
        <v>7894900051513</v>
      </c>
      <c r="L8592" s="1" t="s">
        <v>2306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5" t="n">
        <v>46256</v>
      </c>
      <c r="C8593" s="1" t="n">
        <v>11</v>
      </c>
      <c r="D8593" s="1" t="s">
        <v>2290</v>
      </c>
      <c r="E8593" s="1" t="n">
        <v>1705</v>
      </c>
      <c r="F8593" s="1" t="s">
        <v>122</v>
      </c>
      <c r="I8593" s="1" t="n">
        <v>1995862</v>
      </c>
      <c r="J8593" s="1" t="n">
        <v>103146</v>
      </c>
      <c r="K8593" s="1" t="n">
        <v>7894900031515</v>
      </c>
      <c r="L8593" s="1" t="s">
        <v>2876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5" t="n">
        <v>46256</v>
      </c>
      <c r="C8594" s="1" t="n">
        <v>11</v>
      </c>
      <c r="D8594" s="1" t="s">
        <v>2290</v>
      </c>
      <c r="E8594" s="1" t="n">
        <v>1705</v>
      </c>
      <c r="F8594" s="1" t="s">
        <v>122</v>
      </c>
      <c r="I8594" s="1" t="n">
        <v>1995862</v>
      </c>
      <c r="J8594" s="1" t="n">
        <v>104472</v>
      </c>
      <c r="K8594" s="1" t="n">
        <v>7897105200038</v>
      </c>
      <c r="L8594" s="1" t="s">
        <v>3257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5" t="n">
        <v>46256</v>
      </c>
      <c r="C8595" s="1" t="n">
        <v>11</v>
      </c>
      <c r="D8595" s="1" t="s">
        <v>2290</v>
      </c>
      <c r="E8595" s="1" t="n">
        <v>1705</v>
      </c>
      <c r="F8595" s="1" t="s">
        <v>122</v>
      </c>
      <c r="I8595" s="1" t="n">
        <v>1995862</v>
      </c>
      <c r="J8595" s="1" t="n">
        <v>105323</v>
      </c>
      <c r="K8595" s="1" t="n">
        <v>7894900701753</v>
      </c>
      <c r="L8595" s="1" t="s">
        <v>2307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5" t="n">
        <v>46256</v>
      </c>
      <c r="C8596" s="1" t="n">
        <v>11</v>
      </c>
      <c r="D8596" s="1" t="s">
        <v>2290</v>
      </c>
      <c r="E8596" s="1" t="n">
        <v>1705</v>
      </c>
      <c r="F8596" s="1" t="s">
        <v>122</v>
      </c>
      <c r="I8596" s="1" t="n">
        <v>1995862</v>
      </c>
      <c r="J8596" s="1" t="n">
        <v>105631</v>
      </c>
      <c r="K8596" s="1" t="n">
        <v>7894900011609</v>
      </c>
      <c r="L8596" s="1" t="s">
        <v>2877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5" t="n">
        <v>46256</v>
      </c>
      <c r="C8597" s="1" t="n">
        <v>11</v>
      </c>
      <c r="D8597" s="1" t="s">
        <v>2290</v>
      </c>
      <c r="E8597" s="1" t="n">
        <v>1705</v>
      </c>
      <c r="F8597" s="1" t="s">
        <v>122</v>
      </c>
      <c r="I8597" s="1" t="n">
        <v>1995862</v>
      </c>
      <c r="J8597" s="1" t="n">
        <v>10830</v>
      </c>
      <c r="K8597" s="1" t="n">
        <v>7894900701517</v>
      </c>
      <c r="L8597" s="1" t="s">
        <v>2879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5" t="n">
        <v>46256</v>
      </c>
      <c r="C8598" s="1" t="n">
        <v>11</v>
      </c>
      <c r="D8598" s="1" t="s">
        <v>2290</v>
      </c>
      <c r="E8598" s="1" t="n">
        <v>1705</v>
      </c>
      <c r="F8598" s="1" t="s">
        <v>122</v>
      </c>
      <c r="I8598" s="1" t="n">
        <v>1995862</v>
      </c>
      <c r="J8598" s="1" t="n">
        <v>21425</v>
      </c>
      <c r="K8598" s="1" t="n">
        <v>7894900034219</v>
      </c>
      <c r="L8598" s="1" t="s">
        <v>2880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5" t="n">
        <v>46256</v>
      </c>
      <c r="C8599" s="1" t="n">
        <v>11</v>
      </c>
      <c r="D8599" s="1" t="s">
        <v>2290</v>
      </c>
      <c r="E8599" s="1" t="n">
        <v>1705</v>
      </c>
      <c r="F8599" s="1" t="s">
        <v>122</v>
      </c>
      <c r="I8599" s="1" t="n">
        <v>1995862</v>
      </c>
      <c r="J8599" s="1" t="n">
        <v>21426</v>
      </c>
      <c r="K8599" s="1" t="n">
        <v>7894900014211</v>
      </c>
      <c r="L8599" s="1" t="s">
        <v>2309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5" t="n">
        <v>46256</v>
      </c>
      <c r="C8600" s="1" t="n">
        <v>11</v>
      </c>
      <c r="D8600" s="1" t="s">
        <v>2290</v>
      </c>
      <c r="E8600" s="1" t="n">
        <v>1705</v>
      </c>
      <c r="F8600" s="1" t="s">
        <v>122</v>
      </c>
      <c r="I8600" s="1" t="n">
        <v>1995862</v>
      </c>
      <c r="J8600" s="1" t="n">
        <v>27673</v>
      </c>
      <c r="K8600" s="1" t="n">
        <v>7894900701715</v>
      </c>
      <c r="L8600" s="1" t="s">
        <v>2882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5" t="n">
        <v>46256</v>
      </c>
      <c r="C8601" s="1" t="n">
        <v>11</v>
      </c>
      <c r="D8601" s="1" t="s">
        <v>2290</v>
      </c>
      <c r="E8601" s="1" t="n">
        <v>1705</v>
      </c>
      <c r="F8601" s="1" t="s">
        <v>122</v>
      </c>
      <c r="I8601" s="1" t="n">
        <v>1995862</v>
      </c>
      <c r="J8601" s="1" t="n">
        <v>29575</v>
      </c>
      <c r="K8601" s="1" t="n">
        <v>78936478</v>
      </c>
      <c r="L8601" s="1" t="s">
        <v>5021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5" t="n">
        <v>46256</v>
      </c>
      <c r="C8602" s="1" t="n">
        <v>11</v>
      </c>
      <c r="D8602" s="1" t="s">
        <v>2290</v>
      </c>
      <c r="E8602" s="1" t="n">
        <v>1705</v>
      </c>
      <c r="F8602" s="1" t="s">
        <v>122</v>
      </c>
      <c r="I8602" s="1" t="n">
        <v>1995862</v>
      </c>
      <c r="J8602" s="1" t="n">
        <v>29826</v>
      </c>
      <c r="K8602" s="1" t="n">
        <v>7894900556032</v>
      </c>
      <c r="L8602" s="1" t="s">
        <v>4200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5" t="n">
        <v>46256</v>
      </c>
      <c r="C8603" s="1" t="n">
        <v>11</v>
      </c>
      <c r="D8603" s="1" t="s">
        <v>2290</v>
      </c>
      <c r="E8603" s="1" t="n">
        <v>1705</v>
      </c>
      <c r="F8603" s="1" t="s">
        <v>122</v>
      </c>
      <c r="I8603" s="1" t="n">
        <v>1995862</v>
      </c>
      <c r="J8603" s="1" t="n">
        <v>30017</v>
      </c>
      <c r="K8603" s="1" t="n">
        <v>7894900680508</v>
      </c>
      <c r="L8603" s="1" t="s">
        <v>3824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5" t="n">
        <v>46256</v>
      </c>
      <c r="C8604" s="1" t="n">
        <v>11</v>
      </c>
      <c r="D8604" s="1" t="s">
        <v>2290</v>
      </c>
      <c r="E8604" s="1" t="n">
        <v>1705</v>
      </c>
      <c r="F8604" s="1" t="s">
        <v>122</v>
      </c>
      <c r="I8604" s="1" t="n">
        <v>1995862</v>
      </c>
      <c r="J8604" s="1" t="n">
        <v>30085</v>
      </c>
      <c r="K8604" s="1" t="n">
        <v>7894900054217</v>
      </c>
      <c r="L8604" s="1" t="s">
        <v>3259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5" t="n">
        <v>46256</v>
      </c>
      <c r="C8605" s="1" t="n">
        <v>11</v>
      </c>
      <c r="D8605" s="1" t="s">
        <v>2290</v>
      </c>
      <c r="E8605" s="1" t="n">
        <v>1705</v>
      </c>
      <c r="F8605" s="1" t="s">
        <v>122</v>
      </c>
      <c r="I8605" s="1" t="n">
        <v>1995862</v>
      </c>
      <c r="J8605" s="1" t="n">
        <v>31367</v>
      </c>
      <c r="K8605" s="1" t="n">
        <v>7894900704211</v>
      </c>
      <c r="L8605" s="1" t="s">
        <v>2310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5" t="n">
        <v>46256</v>
      </c>
      <c r="C8606" s="1" t="n">
        <v>11</v>
      </c>
      <c r="D8606" s="1" t="s">
        <v>2290</v>
      </c>
      <c r="E8606" s="1" t="n">
        <v>1705</v>
      </c>
      <c r="F8606" s="1" t="s">
        <v>122</v>
      </c>
      <c r="I8606" s="1" t="n">
        <v>1995862</v>
      </c>
      <c r="J8606" s="1" t="n">
        <v>31767</v>
      </c>
      <c r="K8606" s="1" t="n">
        <v>7897105250095</v>
      </c>
      <c r="L8606" s="1" t="s">
        <v>3825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5" t="n">
        <v>46256</v>
      </c>
      <c r="C8607" s="1" t="n">
        <v>11</v>
      </c>
      <c r="D8607" s="1" t="s">
        <v>2290</v>
      </c>
      <c r="E8607" s="1" t="n">
        <v>1705</v>
      </c>
      <c r="F8607" s="1" t="s">
        <v>122</v>
      </c>
      <c r="I8607" s="1" t="n">
        <v>1995862</v>
      </c>
      <c r="J8607" s="1" t="n">
        <v>32339</v>
      </c>
      <c r="K8607" s="1" t="n">
        <v>7894900681000</v>
      </c>
      <c r="L8607" s="1" t="s">
        <v>3261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5" t="n">
        <v>46256</v>
      </c>
      <c r="C8608" s="1" t="n">
        <v>11</v>
      </c>
      <c r="D8608" s="1" t="s">
        <v>2290</v>
      </c>
      <c r="E8608" s="1" t="n">
        <v>1705</v>
      </c>
      <c r="F8608" s="1" t="s">
        <v>122</v>
      </c>
      <c r="I8608" s="1" t="n">
        <v>1995862</v>
      </c>
      <c r="J8608" s="1" t="n">
        <v>34629</v>
      </c>
      <c r="K8608" s="1" t="n">
        <v>7894900027020</v>
      </c>
      <c r="L8608" s="1" t="s">
        <v>2313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5" t="n">
        <v>46256</v>
      </c>
      <c r="C8609" s="1" t="n">
        <v>11</v>
      </c>
      <c r="D8609" s="1" t="s">
        <v>2290</v>
      </c>
      <c r="E8609" s="1" t="n">
        <v>1705</v>
      </c>
      <c r="F8609" s="1" t="s">
        <v>122</v>
      </c>
      <c r="I8609" s="1" t="n">
        <v>1995862</v>
      </c>
      <c r="J8609" s="1" t="n">
        <v>37279</v>
      </c>
      <c r="K8609" s="1" t="n">
        <v>7894900027013</v>
      </c>
      <c r="L8609" s="1" t="s">
        <v>2305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5" t="n">
        <v>46256</v>
      </c>
      <c r="C8610" s="1" t="n">
        <v>11</v>
      </c>
      <c r="D8610" s="1" t="s">
        <v>2290</v>
      </c>
      <c r="E8610" s="1" t="n">
        <v>1705</v>
      </c>
      <c r="F8610" s="1" t="s">
        <v>122</v>
      </c>
      <c r="I8610" s="1" t="n">
        <v>1995862</v>
      </c>
      <c r="J8610" s="1" t="n">
        <v>38060</v>
      </c>
      <c r="K8610" s="1" t="n">
        <v>7894900701609</v>
      </c>
      <c r="L8610" s="1" t="s">
        <v>2884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5" t="n">
        <v>46256</v>
      </c>
      <c r="C8611" s="1" t="n">
        <v>11</v>
      </c>
      <c r="D8611" s="1" t="s">
        <v>2290</v>
      </c>
      <c r="E8611" s="1" t="n">
        <v>1705</v>
      </c>
      <c r="F8611" s="1" t="s">
        <v>122</v>
      </c>
      <c r="I8611" s="1" t="n">
        <v>1995862</v>
      </c>
      <c r="J8611" s="1" t="n">
        <v>38984</v>
      </c>
      <c r="K8611" s="1" t="n">
        <v>7894900027457</v>
      </c>
      <c r="L8611" s="1" t="s">
        <v>2315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5" t="n">
        <v>46256</v>
      </c>
      <c r="C8612" s="1" t="n">
        <v>11</v>
      </c>
      <c r="D8612" s="1" t="s">
        <v>2290</v>
      </c>
      <c r="E8612" s="1" t="n">
        <v>1705</v>
      </c>
      <c r="F8612" s="1" t="s">
        <v>122</v>
      </c>
      <c r="I8612" s="1" t="n">
        <v>1995862</v>
      </c>
      <c r="J8612" s="1" t="n">
        <v>38985</v>
      </c>
      <c r="K8612" s="1" t="n">
        <v>7894900044096</v>
      </c>
      <c r="L8612" s="1" t="s">
        <v>2316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5" t="n">
        <v>46256</v>
      </c>
      <c r="C8613" s="1" t="n">
        <v>11</v>
      </c>
      <c r="D8613" s="1" t="s">
        <v>2290</v>
      </c>
      <c r="E8613" s="1" t="n">
        <v>1705</v>
      </c>
      <c r="F8613" s="1" t="s">
        <v>122</v>
      </c>
      <c r="I8613" s="1" t="n">
        <v>1995862</v>
      </c>
      <c r="J8613" s="1" t="n">
        <v>41322</v>
      </c>
      <c r="K8613" s="1" t="n">
        <v>7897105200076</v>
      </c>
      <c r="L8613" s="1" t="s">
        <v>3639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5" t="n">
        <v>46256</v>
      </c>
      <c r="C8614" s="1" t="n">
        <v>11</v>
      </c>
      <c r="D8614" s="1" t="s">
        <v>2290</v>
      </c>
      <c r="E8614" s="1" t="n">
        <v>1705</v>
      </c>
      <c r="F8614" s="1" t="s">
        <v>122</v>
      </c>
      <c r="I8614" s="1" t="n">
        <v>1995862</v>
      </c>
      <c r="J8614" s="1" t="n">
        <v>47954</v>
      </c>
      <c r="K8614" s="1" t="n">
        <v>7894900666519</v>
      </c>
      <c r="L8614" s="1" t="s">
        <v>3262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5" t="n">
        <v>46256</v>
      </c>
      <c r="C8615" s="1" t="n">
        <v>39</v>
      </c>
      <c r="D8615" s="1" t="s">
        <v>2515</v>
      </c>
      <c r="E8615" s="1" t="n">
        <v>1266</v>
      </c>
      <c r="F8615" s="1" t="s">
        <v>195</v>
      </c>
      <c r="I8615" s="1" t="n">
        <v>2670</v>
      </c>
      <c r="J8615" s="1" t="n">
        <v>37523</v>
      </c>
      <c r="K8615" s="1" t="n">
        <v>7890780026443</v>
      </c>
      <c r="L8615" s="1" t="s">
        <v>3280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5" t="n">
        <v>46256</v>
      </c>
      <c r="C8616" s="1" t="n">
        <v>39</v>
      </c>
      <c r="D8616" s="1" t="s">
        <v>2515</v>
      </c>
      <c r="E8616" s="1" t="n">
        <v>1266</v>
      </c>
      <c r="F8616" s="1" t="s">
        <v>195</v>
      </c>
      <c r="I8616" s="1" t="n">
        <v>2670</v>
      </c>
      <c r="J8616" s="1" t="n">
        <v>37527</v>
      </c>
      <c r="K8616" s="1" t="n">
        <v>2241463</v>
      </c>
      <c r="L8616" s="1" t="s">
        <v>3280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5" t="n">
        <v>46258</v>
      </c>
      <c r="C8617" s="1" t="n">
        <v>6</v>
      </c>
      <c r="D8617" s="1" t="s">
        <v>2289</v>
      </c>
      <c r="E8617" s="1" t="n">
        <v>42</v>
      </c>
      <c r="F8617" s="1" t="s">
        <v>80</v>
      </c>
      <c r="I8617" s="1" t="n">
        <v>4536</v>
      </c>
      <c r="J8617" s="1" t="n">
        <v>109791</v>
      </c>
      <c r="K8617" s="1" t="n">
        <v>9667</v>
      </c>
      <c r="L8617" s="1" t="s">
        <v>2284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5" t="n">
        <v>46258</v>
      </c>
      <c r="C8618" s="1" t="n">
        <v>6</v>
      </c>
      <c r="D8618" s="1" t="s">
        <v>2289</v>
      </c>
      <c r="E8618" s="1" t="n">
        <v>42</v>
      </c>
      <c r="F8618" s="1" t="s">
        <v>80</v>
      </c>
      <c r="I8618" s="1" t="n">
        <v>4536</v>
      </c>
      <c r="J8618" s="1" t="n">
        <v>37359</v>
      </c>
      <c r="K8618" s="1" t="n">
        <v>55526</v>
      </c>
      <c r="L8618" s="1" t="s">
        <v>2285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5" t="n">
        <v>46258</v>
      </c>
      <c r="C8619" s="1" t="n">
        <v>6</v>
      </c>
      <c r="D8619" s="1" t="s">
        <v>2289</v>
      </c>
      <c r="E8619" s="1" t="n">
        <v>42</v>
      </c>
      <c r="F8619" s="1" t="s">
        <v>80</v>
      </c>
      <c r="I8619" s="1" t="n">
        <v>4537</v>
      </c>
      <c r="J8619" s="1" t="n">
        <v>27510</v>
      </c>
      <c r="K8619" s="1" t="n">
        <v>7898306020241</v>
      </c>
      <c r="L8619" s="1" t="s">
        <v>2917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5" t="n">
        <v>46258</v>
      </c>
      <c r="C8620" s="1" t="n">
        <v>6</v>
      </c>
      <c r="D8620" s="1" t="s">
        <v>2289</v>
      </c>
      <c r="E8620" s="1" t="n">
        <v>42</v>
      </c>
      <c r="F8620" s="1" t="s">
        <v>80</v>
      </c>
      <c r="I8620" s="1" t="n">
        <v>4537</v>
      </c>
      <c r="J8620" s="1" t="n">
        <v>74674</v>
      </c>
      <c r="K8620" s="1" t="n">
        <v>741</v>
      </c>
      <c r="L8620" s="1" t="s">
        <v>2919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5" t="n">
        <v>46258</v>
      </c>
      <c r="C8621" s="1" t="n">
        <v>6</v>
      </c>
      <c r="D8621" s="1" t="s">
        <v>2289</v>
      </c>
      <c r="E8621" s="1" t="n">
        <v>42</v>
      </c>
      <c r="F8621" s="1" t="s">
        <v>80</v>
      </c>
      <c r="I8621" s="1" t="n">
        <v>4537</v>
      </c>
      <c r="J8621" s="1" t="n">
        <v>75374</v>
      </c>
      <c r="K8621" s="1" t="n">
        <v>7898996471521</v>
      </c>
      <c r="L8621" s="1" t="s">
        <v>2920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5" t="n">
        <v>46258</v>
      </c>
      <c r="C8622" s="1" t="n">
        <v>11</v>
      </c>
      <c r="D8622" s="1" t="s">
        <v>2290</v>
      </c>
      <c r="E8622" s="1" t="n">
        <v>642</v>
      </c>
      <c r="F8622" s="1" t="s">
        <v>135</v>
      </c>
      <c r="I8622" s="1" t="n">
        <v>614</v>
      </c>
      <c r="J8622" s="1" t="n">
        <v>71766</v>
      </c>
      <c r="K8622" s="1" t="n">
        <v>779180</v>
      </c>
      <c r="L8622" s="1" t="s">
        <v>2566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5" t="n">
        <v>46258</v>
      </c>
      <c r="C8623" s="1" t="n">
        <v>11</v>
      </c>
      <c r="D8623" s="1" t="s">
        <v>2290</v>
      </c>
      <c r="E8623" s="1" t="n">
        <v>1722</v>
      </c>
      <c r="F8623" s="1" t="s">
        <v>417</v>
      </c>
      <c r="I8623" s="1" t="n">
        <v>7109</v>
      </c>
      <c r="J8623" s="1" t="n">
        <v>67102</v>
      </c>
      <c r="K8623" s="1" t="n">
        <v>40141707178</v>
      </c>
      <c r="L8623" s="1" t="s">
        <v>2567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5" t="n">
        <v>46258</v>
      </c>
      <c r="C8624" s="1" t="n">
        <v>11</v>
      </c>
      <c r="D8624" s="1" t="s">
        <v>2290</v>
      </c>
      <c r="E8624" s="1" t="n">
        <v>1625</v>
      </c>
      <c r="F8624" s="1" t="s">
        <v>320</v>
      </c>
      <c r="I8624" s="1" t="n">
        <v>15125</v>
      </c>
      <c r="J8624" s="1" t="n">
        <v>29079</v>
      </c>
      <c r="K8624" s="1" t="n">
        <v>55515</v>
      </c>
      <c r="L8624" s="1" t="s">
        <v>2360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5" t="n">
        <v>46258</v>
      </c>
      <c r="C8625" s="1" t="n">
        <v>11</v>
      </c>
      <c r="D8625" s="1" t="s">
        <v>2290</v>
      </c>
      <c r="E8625" s="1" t="n">
        <v>1625</v>
      </c>
      <c r="F8625" s="1" t="s">
        <v>320</v>
      </c>
      <c r="I8625" s="1" t="n">
        <v>15125</v>
      </c>
      <c r="J8625" s="1" t="n">
        <v>29079</v>
      </c>
      <c r="K8625" s="1" t="n">
        <v>55515</v>
      </c>
      <c r="L8625" s="1" t="s">
        <v>2360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5" t="n">
        <v>46258</v>
      </c>
      <c r="C8626" s="1" t="n">
        <v>11</v>
      </c>
      <c r="D8626" s="1" t="s">
        <v>2290</v>
      </c>
      <c r="E8626" s="1" t="n">
        <v>1625</v>
      </c>
      <c r="F8626" s="1" t="s">
        <v>320</v>
      </c>
      <c r="I8626" s="1" t="n">
        <v>15125</v>
      </c>
      <c r="J8626" s="1" t="n">
        <v>29079</v>
      </c>
      <c r="K8626" s="1" t="n">
        <v>55515</v>
      </c>
      <c r="L8626" s="1" t="s">
        <v>2360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5" t="n">
        <v>46258</v>
      </c>
      <c r="C8627" s="1" t="n">
        <v>11</v>
      </c>
      <c r="D8627" s="1" t="s">
        <v>2290</v>
      </c>
      <c r="E8627" s="1" t="n">
        <v>1621</v>
      </c>
      <c r="F8627" s="1" t="s">
        <v>306</v>
      </c>
      <c r="I8627" s="1" t="n">
        <v>974216</v>
      </c>
      <c r="J8627" s="1" t="n">
        <v>103132</v>
      </c>
      <c r="K8627" s="1" t="n">
        <v>7892840800000</v>
      </c>
      <c r="L8627" s="1" t="s">
        <v>2536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5" t="n">
        <v>46258</v>
      </c>
      <c r="C8628" s="1" t="n">
        <v>11</v>
      </c>
      <c r="D8628" s="1" t="s">
        <v>2290</v>
      </c>
      <c r="E8628" s="1" t="n">
        <v>1621</v>
      </c>
      <c r="F8628" s="1" t="s">
        <v>306</v>
      </c>
      <c r="I8628" s="1" t="n">
        <v>974216</v>
      </c>
      <c r="J8628" s="1" t="n">
        <v>103936</v>
      </c>
      <c r="K8628" s="1" t="n">
        <v>7891991001342</v>
      </c>
      <c r="L8628" s="1" t="s">
        <v>2899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5" t="n">
        <v>46258</v>
      </c>
      <c r="C8629" s="1" t="n">
        <v>11</v>
      </c>
      <c r="D8629" s="1" t="s">
        <v>2290</v>
      </c>
      <c r="E8629" s="1" t="n">
        <v>1621</v>
      </c>
      <c r="F8629" s="1" t="s">
        <v>306</v>
      </c>
      <c r="I8629" s="1" t="n">
        <v>974217</v>
      </c>
      <c r="J8629" s="1" t="n">
        <v>103126</v>
      </c>
      <c r="K8629" s="1" t="n">
        <v>7891991000727</v>
      </c>
      <c r="L8629" s="1" t="s">
        <v>3904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5" t="n">
        <v>46258</v>
      </c>
      <c r="C8630" s="1" t="n">
        <v>11</v>
      </c>
      <c r="D8630" s="1" t="s">
        <v>2290</v>
      </c>
      <c r="E8630" s="1" t="n">
        <v>1621</v>
      </c>
      <c r="F8630" s="1" t="s">
        <v>306</v>
      </c>
      <c r="I8630" s="1" t="n">
        <v>974217</v>
      </c>
      <c r="J8630" s="1" t="n">
        <v>103127</v>
      </c>
      <c r="K8630" s="1" t="n">
        <v>7891991000826</v>
      </c>
      <c r="L8630" s="1" t="s">
        <v>2533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5" t="n">
        <v>46258</v>
      </c>
      <c r="C8631" s="1" t="n">
        <v>11</v>
      </c>
      <c r="D8631" s="1" t="s">
        <v>2290</v>
      </c>
      <c r="E8631" s="1" t="n">
        <v>1621</v>
      </c>
      <c r="F8631" s="1" t="s">
        <v>306</v>
      </c>
      <c r="I8631" s="1" t="n">
        <v>974217</v>
      </c>
      <c r="J8631" s="1" t="n">
        <v>103130</v>
      </c>
      <c r="K8631" s="1" t="n">
        <v>7891149440801</v>
      </c>
      <c r="L8631" s="1" t="s">
        <v>2535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5" t="n">
        <v>46258</v>
      </c>
      <c r="C8632" s="1" t="n">
        <v>11</v>
      </c>
      <c r="D8632" s="1" t="s">
        <v>2290</v>
      </c>
      <c r="E8632" s="1" t="n">
        <v>1621</v>
      </c>
      <c r="F8632" s="1" t="s">
        <v>306</v>
      </c>
      <c r="I8632" s="1" t="n">
        <v>974217</v>
      </c>
      <c r="J8632" s="1" t="n">
        <v>103131</v>
      </c>
      <c r="K8632" s="1" t="n">
        <v>7891991001359</v>
      </c>
      <c r="L8632" s="1" t="s">
        <v>2896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5" t="n">
        <v>46258</v>
      </c>
      <c r="C8633" s="1" t="n">
        <v>11</v>
      </c>
      <c r="D8633" s="1" t="s">
        <v>2290</v>
      </c>
      <c r="E8633" s="1" t="n">
        <v>1621</v>
      </c>
      <c r="F8633" s="1" t="s">
        <v>306</v>
      </c>
      <c r="I8633" s="1" t="n">
        <v>974217</v>
      </c>
      <c r="J8633" s="1" t="n">
        <v>103133</v>
      </c>
      <c r="K8633" s="1" t="n">
        <v>7891991001373</v>
      </c>
      <c r="L8633" s="1" t="s">
        <v>2897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5" t="n">
        <v>46258</v>
      </c>
      <c r="C8634" s="1" t="n">
        <v>11</v>
      </c>
      <c r="D8634" s="1" t="s">
        <v>2290</v>
      </c>
      <c r="E8634" s="1" t="n">
        <v>1621</v>
      </c>
      <c r="F8634" s="1" t="s">
        <v>306</v>
      </c>
      <c r="I8634" s="1" t="n">
        <v>974217</v>
      </c>
      <c r="J8634" s="1" t="n">
        <v>104358</v>
      </c>
      <c r="K8634" s="1" t="n">
        <v>7891149440603</v>
      </c>
      <c r="L8634" s="1" t="s">
        <v>2538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5" t="n">
        <v>46258</v>
      </c>
      <c r="C8635" s="1" t="n">
        <v>11</v>
      </c>
      <c r="D8635" s="1" t="s">
        <v>2290</v>
      </c>
      <c r="E8635" s="1" t="n">
        <v>1621</v>
      </c>
      <c r="F8635" s="1" t="s">
        <v>306</v>
      </c>
      <c r="I8635" s="1" t="n">
        <v>974217</v>
      </c>
      <c r="J8635" s="1" t="n">
        <v>12669</v>
      </c>
      <c r="K8635" s="1" t="n">
        <v>7891991010351</v>
      </c>
      <c r="L8635" s="1" t="s">
        <v>3907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5" t="n">
        <v>46258</v>
      </c>
      <c r="C8636" s="1" t="n">
        <v>11</v>
      </c>
      <c r="D8636" s="1" t="s">
        <v>2290</v>
      </c>
      <c r="E8636" s="1" t="n">
        <v>1621</v>
      </c>
      <c r="F8636" s="1" t="s">
        <v>306</v>
      </c>
      <c r="I8636" s="1" t="n">
        <v>974217</v>
      </c>
      <c r="J8636" s="1" t="n">
        <v>16653</v>
      </c>
      <c r="K8636" s="1" t="n">
        <v>7891149103065</v>
      </c>
      <c r="L8636" s="1" t="s">
        <v>2901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5" t="n">
        <v>46258</v>
      </c>
      <c r="C8637" s="1" t="n">
        <v>11</v>
      </c>
      <c r="D8637" s="1" t="s">
        <v>2290</v>
      </c>
      <c r="E8637" s="1" t="n">
        <v>1621</v>
      </c>
      <c r="F8637" s="1" t="s">
        <v>306</v>
      </c>
      <c r="I8637" s="1" t="n">
        <v>974217</v>
      </c>
      <c r="J8637" s="1" t="n">
        <v>30086</v>
      </c>
      <c r="K8637" s="1" t="n">
        <v>7891991012867</v>
      </c>
      <c r="L8637" s="1" t="s">
        <v>5022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5" t="n">
        <v>46258</v>
      </c>
      <c r="C8638" s="1" t="n">
        <v>11</v>
      </c>
      <c r="D8638" s="1" t="s">
        <v>2290</v>
      </c>
      <c r="E8638" s="1" t="n">
        <v>1621</v>
      </c>
      <c r="F8638" s="1" t="s">
        <v>306</v>
      </c>
      <c r="I8638" s="1" t="n">
        <v>974217</v>
      </c>
      <c r="J8638" s="1" t="n">
        <v>31030</v>
      </c>
      <c r="K8638" s="1" t="n">
        <v>7891991014090</v>
      </c>
      <c r="L8638" s="1" t="s">
        <v>2904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5" t="n">
        <v>46258</v>
      </c>
      <c r="C8639" s="1" t="n">
        <v>11</v>
      </c>
      <c r="D8639" s="1" t="s">
        <v>2290</v>
      </c>
      <c r="E8639" s="1" t="n">
        <v>1621</v>
      </c>
      <c r="F8639" s="1" t="s">
        <v>306</v>
      </c>
      <c r="I8639" s="1" t="n">
        <v>974217</v>
      </c>
      <c r="J8639" s="1" t="n">
        <v>31031</v>
      </c>
      <c r="K8639" s="1" t="n">
        <v>7891149441204</v>
      </c>
      <c r="L8639" s="1" t="s">
        <v>3913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5" t="n">
        <v>46258</v>
      </c>
      <c r="C8640" s="1" t="n">
        <v>11</v>
      </c>
      <c r="D8640" s="1" t="s">
        <v>2290</v>
      </c>
      <c r="E8640" s="1" t="n">
        <v>1621</v>
      </c>
      <c r="F8640" s="1" t="s">
        <v>306</v>
      </c>
      <c r="I8640" s="1" t="n">
        <v>974217</v>
      </c>
      <c r="J8640" s="1" t="n">
        <v>40755</v>
      </c>
      <c r="K8640" s="1" t="n">
        <v>7892840813505</v>
      </c>
      <c r="L8640" s="1" t="s">
        <v>4449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5" t="n">
        <v>46258</v>
      </c>
      <c r="C8641" s="1" t="n">
        <v>11</v>
      </c>
      <c r="D8641" s="1" t="s">
        <v>2290</v>
      </c>
      <c r="E8641" s="1" t="n">
        <v>1621</v>
      </c>
      <c r="F8641" s="1" t="s">
        <v>306</v>
      </c>
      <c r="I8641" s="1" t="n">
        <v>974217</v>
      </c>
      <c r="J8641" s="1" t="n">
        <v>48553</v>
      </c>
      <c r="K8641" s="1" t="n">
        <v>7892840813444</v>
      </c>
      <c r="L8641" s="1" t="s">
        <v>2550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5" t="n">
        <v>46258</v>
      </c>
      <c r="C8642" s="1" t="n">
        <v>11</v>
      </c>
      <c r="D8642" s="1" t="s">
        <v>2290</v>
      </c>
      <c r="E8642" s="1" t="n">
        <v>1621</v>
      </c>
      <c r="F8642" s="1" t="s">
        <v>306</v>
      </c>
      <c r="I8642" s="1" t="n">
        <v>974217</v>
      </c>
      <c r="J8642" s="1" t="n">
        <v>48553</v>
      </c>
      <c r="K8642" s="1" t="n">
        <v>7892840813444</v>
      </c>
      <c r="L8642" s="1" t="s">
        <v>2550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5" t="n">
        <v>46258</v>
      </c>
      <c r="C8643" s="1" t="n">
        <v>11</v>
      </c>
      <c r="D8643" s="1" t="s">
        <v>2290</v>
      </c>
      <c r="E8643" s="1" t="n">
        <v>1621</v>
      </c>
      <c r="F8643" s="1" t="s">
        <v>306</v>
      </c>
      <c r="I8643" s="1" t="n">
        <v>974217</v>
      </c>
      <c r="J8643" s="1" t="n">
        <v>79493</v>
      </c>
      <c r="K8643" s="1" t="n">
        <v>7891991002608</v>
      </c>
      <c r="L8643" s="1" t="s">
        <v>2557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5" t="n">
        <v>46258</v>
      </c>
      <c r="C8644" s="1" t="n">
        <v>11</v>
      </c>
      <c r="D8644" s="1" t="s">
        <v>2290</v>
      </c>
      <c r="E8644" s="1" t="n">
        <v>1621</v>
      </c>
      <c r="F8644" s="1" t="s">
        <v>306</v>
      </c>
      <c r="I8644" s="1" t="n">
        <v>974218</v>
      </c>
      <c r="J8644" s="1" t="n">
        <v>103630</v>
      </c>
      <c r="K8644" s="1" t="n">
        <v>7891991004107</v>
      </c>
      <c r="L8644" s="1" t="s">
        <v>2537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5" t="n">
        <v>46258</v>
      </c>
      <c r="C8645" s="1" t="n">
        <v>11</v>
      </c>
      <c r="D8645" s="1" t="s">
        <v>2290</v>
      </c>
      <c r="E8645" s="1" t="n">
        <v>1672</v>
      </c>
      <c r="F8645" s="1" t="s">
        <v>67</v>
      </c>
      <c r="I8645" s="1" t="n">
        <v>1426383</v>
      </c>
      <c r="J8645" s="1" t="n">
        <v>37507</v>
      </c>
      <c r="K8645" s="1" t="n">
        <v>7896579310854</v>
      </c>
      <c r="L8645" s="1" t="s">
        <v>2435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5" t="n">
        <v>46258</v>
      </c>
      <c r="C8646" s="1" t="n">
        <v>22</v>
      </c>
      <c r="D8646" s="1" t="s">
        <v>2436</v>
      </c>
      <c r="E8646" s="1" t="n">
        <v>42</v>
      </c>
      <c r="F8646" s="1" t="s">
        <v>80</v>
      </c>
      <c r="I8646" s="1" t="n">
        <v>4539</v>
      </c>
      <c r="J8646" s="1" t="n">
        <v>100000</v>
      </c>
      <c r="K8646" s="1" t="n">
        <v>1</v>
      </c>
      <c r="L8646" s="1" t="s">
        <v>2451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5" t="n">
        <v>46258</v>
      </c>
      <c r="C8647" s="1" t="n">
        <v>22</v>
      </c>
      <c r="D8647" s="1" t="s">
        <v>2436</v>
      </c>
      <c r="E8647" s="1" t="n">
        <v>42</v>
      </c>
      <c r="F8647" s="1" t="s">
        <v>80</v>
      </c>
      <c r="I8647" s="1" t="n">
        <v>4539</v>
      </c>
      <c r="J8647" s="1" t="n">
        <v>100006</v>
      </c>
      <c r="K8647" s="1" t="n">
        <v>7</v>
      </c>
      <c r="L8647" s="1" t="s">
        <v>2437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5" t="n">
        <v>46258</v>
      </c>
      <c r="C8648" s="1" t="n">
        <v>22</v>
      </c>
      <c r="D8648" s="1" t="s">
        <v>2436</v>
      </c>
      <c r="E8648" s="1" t="n">
        <v>42</v>
      </c>
      <c r="F8648" s="1" t="s">
        <v>80</v>
      </c>
      <c r="I8648" s="1" t="n">
        <v>4539</v>
      </c>
      <c r="J8648" s="1" t="n">
        <v>100007</v>
      </c>
      <c r="K8648" s="1" t="n">
        <v>8</v>
      </c>
      <c r="L8648" s="1" t="s">
        <v>2455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5" t="n">
        <v>46258</v>
      </c>
      <c r="C8649" s="1" t="n">
        <v>22</v>
      </c>
      <c r="D8649" s="1" t="s">
        <v>2436</v>
      </c>
      <c r="E8649" s="1" t="n">
        <v>42</v>
      </c>
      <c r="F8649" s="1" t="s">
        <v>80</v>
      </c>
      <c r="I8649" s="1" t="n">
        <v>4539</v>
      </c>
      <c r="J8649" s="1" t="n">
        <v>100008</v>
      </c>
      <c r="K8649" s="1" t="n">
        <v>9</v>
      </c>
      <c r="L8649" s="1" t="s">
        <v>2438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5" t="n">
        <v>46258</v>
      </c>
      <c r="C8650" s="1" t="n">
        <v>22</v>
      </c>
      <c r="D8650" s="1" t="s">
        <v>2436</v>
      </c>
      <c r="E8650" s="1" t="n">
        <v>42</v>
      </c>
      <c r="F8650" s="1" t="s">
        <v>80</v>
      </c>
      <c r="I8650" s="1" t="n">
        <v>4539</v>
      </c>
      <c r="J8650" s="1" t="n">
        <v>100010</v>
      </c>
      <c r="K8650" s="1" t="n">
        <v>11</v>
      </c>
      <c r="L8650" s="1" t="s">
        <v>2439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5" t="n">
        <v>46258</v>
      </c>
      <c r="C8651" s="1" t="n">
        <v>22</v>
      </c>
      <c r="D8651" s="1" t="s">
        <v>2436</v>
      </c>
      <c r="E8651" s="1" t="n">
        <v>42</v>
      </c>
      <c r="F8651" s="1" t="s">
        <v>80</v>
      </c>
      <c r="I8651" s="1" t="n">
        <v>4539</v>
      </c>
      <c r="J8651" s="1" t="n">
        <v>100011</v>
      </c>
      <c r="K8651" s="1" t="n">
        <v>12</v>
      </c>
      <c r="L8651" s="1" t="s">
        <v>2440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5" t="n">
        <v>46258</v>
      </c>
      <c r="C8652" s="1" t="n">
        <v>22</v>
      </c>
      <c r="D8652" s="1" t="s">
        <v>2436</v>
      </c>
      <c r="E8652" s="1" t="n">
        <v>42</v>
      </c>
      <c r="F8652" s="1" t="s">
        <v>80</v>
      </c>
      <c r="I8652" s="1" t="n">
        <v>4539</v>
      </c>
      <c r="J8652" s="1" t="n">
        <v>100012</v>
      </c>
      <c r="K8652" s="1" t="n">
        <v>13</v>
      </c>
      <c r="L8652" s="1" t="s">
        <v>2441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5" t="n">
        <v>46258</v>
      </c>
      <c r="C8653" s="1" t="n">
        <v>22</v>
      </c>
      <c r="D8653" s="1" t="s">
        <v>2436</v>
      </c>
      <c r="E8653" s="1" t="n">
        <v>42</v>
      </c>
      <c r="F8653" s="1" t="s">
        <v>80</v>
      </c>
      <c r="I8653" s="1" t="n">
        <v>4539</v>
      </c>
      <c r="J8653" s="1" t="n">
        <v>100013</v>
      </c>
      <c r="K8653" s="1" t="n">
        <v>14</v>
      </c>
      <c r="L8653" s="1" t="s">
        <v>2442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5" t="n">
        <v>46258</v>
      </c>
      <c r="C8654" s="1" t="n">
        <v>22</v>
      </c>
      <c r="D8654" s="1" t="s">
        <v>2436</v>
      </c>
      <c r="E8654" s="1" t="n">
        <v>42</v>
      </c>
      <c r="F8654" s="1" t="s">
        <v>80</v>
      </c>
      <c r="I8654" s="1" t="n">
        <v>4539</v>
      </c>
      <c r="J8654" s="1" t="n">
        <v>100014</v>
      </c>
      <c r="K8654" s="1" t="n">
        <v>15</v>
      </c>
      <c r="L8654" s="1" t="s">
        <v>2443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5" t="n">
        <v>46258</v>
      </c>
      <c r="C8655" s="1" t="n">
        <v>22</v>
      </c>
      <c r="D8655" s="1" t="s">
        <v>2436</v>
      </c>
      <c r="E8655" s="1" t="n">
        <v>42</v>
      </c>
      <c r="F8655" s="1" t="s">
        <v>80</v>
      </c>
      <c r="I8655" s="1" t="n">
        <v>4539</v>
      </c>
      <c r="J8655" s="1" t="n">
        <v>100015</v>
      </c>
      <c r="K8655" s="1" t="n">
        <v>16</v>
      </c>
      <c r="L8655" s="1" t="s">
        <v>2444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5" t="n">
        <v>46258</v>
      </c>
      <c r="C8656" s="1" t="n">
        <v>22</v>
      </c>
      <c r="D8656" s="1" t="s">
        <v>2436</v>
      </c>
      <c r="E8656" s="1" t="n">
        <v>42</v>
      </c>
      <c r="F8656" s="1" t="s">
        <v>80</v>
      </c>
      <c r="I8656" s="1" t="n">
        <v>4539</v>
      </c>
      <c r="J8656" s="1" t="n">
        <v>100016</v>
      </c>
      <c r="K8656" s="1" t="n">
        <v>17</v>
      </c>
      <c r="L8656" s="1" t="s">
        <v>2445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5" t="n">
        <v>46258</v>
      </c>
      <c r="C8657" s="1" t="n">
        <v>22</v>
      </c>
      <c r="D8657" s="1" t="s">
        <v>2436</v>
      </c>
      <c r="E8657" s="1" t="n">
        <v>42</v>
      </c>
      <c r="F8657" s="1" t="s">
        <v>80</v>
      </c>
      <c r="I8657" s="1" t="n">
        <v>4539</v>
      </c>
      <c r="J8657" s="1" t="n">
        <v>100017</v>
      </c>
      <c r="K8657" s="1" t="n">
        <v>18</v>
      </c>
      <c r="L8657" s="1" t="s">
        <v>2446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5" t="n">
        <v>46258</v>
      </c>
      <c r="C8658" s="1" t="n">
        <v>22</v>
      </c>
      <c r="D8658" s="1" t="s">
        <v>2436</v>
      </c>
      <c r="E8658" s="1" t="n">
        <v>42</v>
      </c>
      <c r="F8658" s="1" t="s">
        <v>80</v>
      </c>
      <c r="I8658" s="1" t="n">
        <v>4539</v>
      </c>
      <c r="J8658" s="1" t="n">
        <v>100053</v>
      </c>
      <c r="K8658" s="1" t="n">
        <v>54</v>
      </c>
      <c r="L8658" s="1" t="s">
        <v>2447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5" t="n">
        <v>46258</v>
      </c>
      <c r="C8659" s="1" t="n">
        <v>22</v>
      </c>
      <c r="D8659" s="1" t="s">
        <v>2436</v>
      </c>
      <c r="E8659" s="1" t="n">
        <v>42</v>
      </c>
      <c r="F8659" s="1" t="s">
        <v>80</v>
      </c>
      <c r="I8659" s="1" t="n">
        <v>4539</v>
      </c>
      <c r="J8659" s="1" t="n">
        <v>100638</v>
      </c>
      <c r="K8659" s="1" t="n">
        <v>508</v>
      </c>
      <c r="L8659" s="1" t="s">
        <v>2448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5" t="n">
        <v>46258</v>
      </c>
      <c r="C8660" s="1" t="n">
        <v>22</v>
      </c>
      <c r="D8660" s="1" t="s">
        <v>2436</v>
      </c>
      <c r="E8660" s="1" t="n">
        <v>42</v>
      </c>
      <c r="F8660" s="1" t="s">
        <v>80</v>
      </c>
      <c r="I8660" s="1" t="n">
        <v>4539</v>
      </c>
      <c r="J8660" s="1" t="n">
        <v>100520</v>
      </c>
      <c r="K8660" s="1" t="n">
        <v>507</v>
      </c>
      <c r="L8660" s="1" t="s">
        <v>2449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5" t="n">
        <v>46258</v>
      </c>
      <c r="C8661" s="1" t="n">
        <v>22</v>
      </c>
      <c r="D8661" s="1" t="s">
        <v>2436</v>
      </c>
      <c r="E8661" s="1" t="n">
        <v>42</v>
      </c>
      <c r="F8661" s="1" t="s">
        <v>80</v>
      </c>
      <c r="I8661" s="1" t="n">
        <v>4539</v>
      </c>
      <c r="J8661" s="1" t="n">
        <v>110455</v>
      </c>
      <c r="K8661" s="1" t="n">
        <v>53212</v>
      </c>
      <c r="L8661" s="1" t="s">
        <v>2450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5" t="n">
        <v>46258</v>
      </c>
      <c r="C8662" s="1" t="n">
        <v>100</v>
      </c>
      <c r="D8662" s="1" t="s">
        <v>2457</v>
      </c>
      <c r="E8662" s="1" t="n">
        <v>42</v>
      </c>
      <c r="F8662" s="1" t="s">
        <v>80</v>
      </c>
      <c r="I8662" s="1" t="n">
        <v>1595780</v>
      </c>
      <c r="J8662" s="1" t="n">
        <v>100000</v>
      </c>
      <c r="K8662" s="1" t="n">
        <v>1</v>
      </c>
      <c r="L8662" s="1" t="s">
        <v>2451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5" t="n">
        <v>46258</v>
      </c>
      <c r="C8663" s="1" t="n">
        <v>100</v>
      </c>
      <c r="D8663" s="1" t="s">
        <v>2457</v>
      </c>
      <c r="E8663" s="1" t="n">
        <v>42</v>
      </c>
      <c r="F8663" s="1" t="s">
        <v>80</v>
      </c>
      <c r="I8663" s="1" t="n">
        <v>1595780</v>
      </c>
      <c r="J8663" s="1" t="n">
        <v>100006</v>
      </c>
      <c r="K8663" s="1" t="n">
        <v>7</v>
      </c>
      <c r="L8663" s="1" t="s">
        <v>2437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5" t="n">
        <v>46258</v>
      </c>
      <c r="C8664" s="1" t="n">
        <v>100</v>
      </c>
      <c r="D8664" s="1" t="s">
        <v>2457</v>
      </c>
      <c r="E8664" s="1" t="n">
        <v>42</v>
      </c>
      <c r="F8664" s="1" t="s">
        <v>80</v>
      </c>
      <c r="I8664" s="1" t="n">
        <v>1595780</v>
      </c>
      <c r="J8664" s="1" t="n">
        <v>100007</v>
      </c>
      <c r="K8664" s="1" t="n">
        <v>8</v>
      </c>
      <c r="L8664" s="1" t="s">
        <v>2455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5" t="n">
        <v>46258</v>
      </c>
      <c r="C8665" s="1" t="n">
        <v>100</v>
      </c>
      <c r="D8665" s="1" t="s">
        <v>2457</v>
      </c>
      <c r="E8665" s="1" t="n">
        <v>42</v>
      </c>
      <c r="F8665" s="1" t="s">
        <v>80</v>
      </c>
      <c r="I8665" s="1" t="n">
        <v>1595780</v>
      </c>
      <c r="J8665" s="1" t="n">
        <v>100008</v>
      </c>
      <c r="K8665" s="1" t="n">
        <v>9</v>
      </c>
      <c r="L8665" s="1" t="s">
        <v>2438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5" t="n">
        <v>46258</v>
      </c>
      <c r="C8666" s="1" t="n">
        <v>100</v>
      </c>
      <c r="D8666" s="1" t="s">
        <v>2457</v>
      </c>
      <c r="E8666" s="1" t="n">
        <v>42</v>
      </c>
      <c r="F8666" s="1" t="s">
        <v>80</v>
      </c>
      <c r="I8666" s="1" t="n">
        <v>1595780</v>
      </c>
      <c r="J8666" s="1" t="n">
        <v>100010</v>
      </c>
      <c r="K8666" s="1" t="n">
        <v>11</v>
      </c>
      <c r="L8666" s="1" t="s">
        <v>2439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5" t="n">
        <v>46258</v>
      </c>
      <c r="C8667" s="1" t="n">
        <v>100</v>
      </c>
      <c r="D8667" s="1" t="s">
        <v>2457</v>
      </c>
      <c r="E8667" s="1" t="n">
        <v>42</v>
      </c>
      <c r="F8667" s="1" t="s">
        <v>80</v>
      </c>
      <c r="I8667" s="1" t="n">
        <v>1595780</v>
      </c>
      <c r="J8667" s="1" t="n">
        <v>100011</v>
      </c>
      <c r="K8667" s="1" t="n">
        <v>12</v>
      </c>
      <c r="L8667" s="1" t="s">
        <v>2440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5" t="n">
        <v>46258</v>
      </c>
      <c r="C8668" s="1" t="n">
        <v>100</v>
      </c>
      <c r="D8668" s="1" t="s">
        <v>2457</v>
      </c>
      <c r="E8668" s="1" t="n">
        <v>42</v>
      </c>
      <c r="F8668" s="1" t="s">
        <v>80</v>
      </c>
      <c r="I8668" s="1" t="n">
        <v>1595780</v>
      </c>
      <c r="J8668" s="1" t="n">
        <v>100012</v>
      </c>
      <c r="K8668" s="1" t="n">
        <v>13</v>
      </c>
      <c r="L8668" s="1" t="s">
        <v>2441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5" t="n">
        <v>46258</v>
      </c>
      <c r="C8669" s="1" t="n">
        <v>100</v>
      </c>
      <c r="D8669" s="1" t="s">
        <v>2457</v>
      </c>
      <c r="E8669" s="1" t="n">
        <v>42</v>
      </c>
      <c r="F8669" s="1" t="s">
        <v>80</v>
      </c>
      <c r="I8669" s="1" t="n">
        <v>1595780</v>
      </c>
      <c r="J8669" s="1" t="n">
        <v>100013</v>
      </c>
      <c r="K8669" s="1" t="n">
        <v>14</v>
      </c>
      <c r="L8669" s="1" t="s">
        <v>2442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5" t="n">
        <v>46258</v>
      </c>
      <c r="C8670" s="1" t="n">
        <v>100</v>
      </c>
      <c r="D8670" s="1" t="s">
        <v>2457</v>
      </c>
      <c r="E8670" s="1" t="n">
        <v>42</v>
      </c>
      <c r="F8670" s="1" t="s">
        <v>80</v>
      </c>
      <c r="I8670" s="1" t="n">
        <v>1595780</v>
      </c>
      <c r="J8670" s="1" t="n">
        <v>100014</v>
      </c>
      <c r="K8670" s="1" t="n">
        <v>15</v>
      </c>
      <c r="L8670" s="1" t="s">
        <v>2443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5" t="n">
        <v>46258</v>
      </c>
      <c r="C8671" s="1" t="n">
        <v>100</v>
      </c>
      <c r="D8671" s="1" t="s">
        <v>2457</v>
      </c>
      <c r="E8671" s="1" t="n">
        <v>42</v>
      </c>
      <c r="F8671" s="1" t="s">
        <v>80</v>
      </c>
      <c r="I8671" s="1" t="n">
        <v>1595780</v>
      </c>
      <c r="J8671" s="1" t="n">
        <v>100015</v>
      </c>
      <c r="K8671" s="1" t="n">
        <v>16</v>
      </c>
      <c r="L8671" s="1" t="s">
        <v>2444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5" t="n">
        <v>46258</v>
      </c>
      <c r="C8672" s="1" t="n">
        <v>100</v>
      </c>
      <c r="D8672" s="1" t="s">
        <v>2457</v>
      </c>
      <c r="E8672" s="1" t="n">
        <v>42</v>
      </c>
      <c r="F8672" s="1" t="s">
        <v>80</v>
      </c>
      <c r="I8672" s="1" t="n">
        <v>1595780</v>
      </c>
      <c r="J8672" s="1" t="n">
        <v>100016</v>
      </c>
      <c r="K8672" s="1" t="n">
        <v>17</v>
      </c>
      <c r="L8672" s="1" t="s">
        <v>2445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5" t="n">
        <v>46258</v>
      </c>
      <c r="C8673" s="1" t="n">
        <v>100</v>
      </c>
      <c r="D8673" s="1" t="s">
        <v>2457</v>
      </c>
      <c r="E8673" s="1" t="n">
        <v>42</v>
      </c>
      <c r="F8673" s="1" t="s">
        <v>80</v>
      </c>
      <c r="I8673" s="1" t="n">
        <v>1595780</v>
      </c>
      <c r="J8673" s="1" t="n">
        <v>100017</v>
      </c>
      <c r="K8673" s="1" t="n">
        <v>18</v>
      </c>
      <c r="L8673" s="1" t="s">
        <v>2446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5" t="n">
        <v>46258</v>
      </c>
      <c r="C8674" s="1" t="n">
        <v>100</v>
      </c>
      <c r="D8674" s="1" t="s">
        <v>2457</v>
      </c>
      <c r="E8674" s="1" t="n">
        <v>42</v>
      </c>
      <c r="F8674" s="1" t="s">
        <v>80</v>
      </c>
      <c r="I8674" s="1" t="n">
        <v>1595780</v>
      </c>
      <c r="J8674" s="1" t="n">
        <v>100053</v>
      </c>
      <c r="K8674" s="1" t="n">
        <v>54</v>
      </c>
      <c r="L8674" s="1" t="s">
        <v>2447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5" t="n">
        <v>46258</v>
      </c>
      <c r="C8675" s="1" t="n">
        <v>100</v>
      </c>
      <c r="D8675" s="1" t="s">
        <v>2457</v>
      </c>
      <c r="E8675" s="1" t="n">
        <v>42</v>
      </c>
      <c r="F8675" s="1" t="s">
        <v>80</v>
      </c>
      <c r="I8675" s="1" t="n">
        <v>1595780</v>
      </c>
      <c r="J8675" s="1" t="n">
        <v>100638</v>
      </c>
      <c r="K8675" s="1" t="n">
        <v>508</v>
      </c>
      <c r="L8675" s="1" t="s">
        <v>2448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5" t="n">
        <v>46258</v>
      </c>
      <c r="C8676" s="1" t="n">
        <v>100</v>
      </c>
      <c r="D8676" s="1" t="s">
        <v>2457</v>
      </c>
      <c r="E8676" s="1" t="n">
        <v>42</v>
      </c>
      <c r="F8676" s="1" t="s">
        <v>80</v>
      </c>
      <c r="I8676" s="1" t="n">
        <v>1595780</v>
      </c>
      <c r="J8676" s="1" t="n">
        <v>100520</v>
      </c>
      <c r="K8676" s="1" t="n">
        <v>507</v>
      </c>
      <c r="L8676" s="1" t="s">
        <v>2449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5" t="n">
        <v>46258</v>
      </c>
      <c r="C8677" s="1" t="n">
        <v>100</v>
      </c>
      <c r="D8677" s="1" t="s">
        <v>2457</v>
      </c>
      <c r="E8677" s="1" t="n">
        <v>42</v>
      </c>
      <c r="F8677" s="1" t="s">
        <v>80</v>
      </c>
      <c r="I8677" s="1" t="n">
        <v>1595780</v>
      </c>
      <c r="J8677" s="1" t="n">
        <v>110455</v>
      </c>
      <c r="K8677" s="1" t="n">
        <v>53212</v>
      </c>
      <c r="L8677" s="1" t="s">
        <v>2450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5" t="n">
        <v>46258</v>
      </c>
      <c r="C8678" s="1" t="n">
        <v>100</v>
      </c>
      <c r="D8678" s="1" t="s">
        <v>2457</v>
      </c>
      <c r="E8678" s="1" t="n">
        <v>42</v>
      </c>
      <c r="F8678" s="1" t="s">
        <v>80</v>
      </c>
      <c r="I8678" s="1" t="n">
        <v>1595784</v>
      </c>
      <c r="J8678" s="1" t="n">
        <v>100000</v>
      </c>
      <c r="K8678" s="1" t="n">
        <v>1</v>
      </c>
      <c r="L8678" s="1" t="s">
        <v>2451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5" t="n">
        <v>46258</v>
      </c>
      <c r="C8679" s="1" t="n">
        <v>100</v>
      </c>
      <c r="D8679" s="1" t="s">
        <v>2457</v>
      </c>
      <c r="E8679" s="1" t="n">
        <v>42</v>
      </c>
      <c r="F8679" s="1" t="s">
        <v>80</v>
      </c>
      <c r="I8679" s="1" t="n">
        <v>1595784</v>
      </c>
      <c r="J8679" s="1" t="n">
        <v>100006</v>
      </c>
      <c r="K8679" s="1" t="n">
        <v>7</v>
      </c>
      <c r="L8679" s="1" t="s">
        <v>2437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5" t="n">
        <v>46258</v>
      </c>
      <c r="C8680" s="1" t="n">
        <v>100</v>
      </c>
      <c r="D8680" s="1" t="s">
        <v>2457</v>
      </c>
      <c r="E8680" s="1" t="n">
        <v>42</v>
      </c>
      <c r="F8680" s="1" t="s">
        <v>80</v>
      </c>
      <c r="I8680" s="1" t="n">
        <v>1595784</v>
      </c>
      <c r="J8680" s="1" t="n">
        <v>100007</v>
      </c>
      <c r="K8680" s="1" t="n">
        <v>8</v>
      </c>
      <c r="L8680" s="1" t="s">
        <v>2455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5" t="n">
        <v>46258</v>
      </c>
      <c r="C8681" s="1" t="n">
        <v>100</v>
      </c>
      <c r="D8681" s="1" t="s">
        <v>2457</v>
      </c>
      <c r="E8681" s="1" t="n">
        <v>42</v>
      </c>
      <c r="F8681" s="1" t="s">
        <v>80</v>
      </c>
      <c r="I8681" s="1" t="n">
        <v>1595784</v>
      </c>
      <c r="J8681" s="1" t="n">
        <v>100008</v>
      </c>
      <c r="K8681" s="1" t="n">
        <v>9</v>
      </c>
      <c r="L8681" s="1" t="s">
        <v>2438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5" t="n">
        <v>46258</v>
      </c>
      <c r="C8682" s="1" t="n">
        <v>100</v>
      </c>
      <c r="D8682" s="1" t="s">
        <v>2457</v>
      </c>
      <c r="E8682" s="1" t="n">
        <v>42</v>
      </c>
      <c r="F8682" s="1" t="s">
        <v>80</v>
      </c>
      <c r="I8682" s="1" t="n">
        <v>1595784</v>
      </c>
      <c r="J8682" s="1" t="n">
        <v>100010</v>
      </c>
      <c r="K8682" s="1" t="n">
        <v>11</v>
      </c>
      <c r="L8682" s="1" t="s">
        <v>2439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5" t="n">
        <v>46258</v>
      </c>
      <c r="C8683" s="1" t="n">
        <v>100</v>
      </c>
      <c r="D8683" s="1" t="s">
        <v>2457</v>
      </c>
      <c r="E8683" s="1" t="n">
        <v>42</v>
      </c>
      <c r="F8683" s="1" t="s">
        <v>80</v>
      </c>
      <c r="I8683" s="1" t="n">
        <v>1595784</v>
      </c>
      <c r="J8683" s="1" t="n">
        <v>100011</v>
      </c>
      <c r="K8683" s="1" t="n">
        <v>12</v>
      </c>
      <c r="L8683" s="1" t="s">
        <v>2440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5" t="n">
        <v>46258</v>
      </c>
      <c r="C8684" s="1" t="n">
        <v>100</v>
      </c>
      <c r="D8684" s="1" t="s">
        <v>2457</v>
      </c>
      <c r="E8684" s="1" t="n">
        <v>42</v>
      </c>
      <c r="F8684" s="1" t="s">
        <v>80</v>
      </c>
      <c r="I8684" s="1" t="n">
        <v>1595784</v>
      </c>
      <c r="J8684" s="1" t="n">
        <v>100012</v>
      </c>
      <c r="K8684" s="1" t="n">
        <v>13</v>
      </c>
      <c r="L8684" s="1" t="s">
        <v>2441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5" t="n">
        <v>46258</v>
      </c>
      <c r="C8685" s="1" t="n">
        <v>100</v>
      </c>
      <c r="D8685" s="1" t="s">
        <v>2457</v>
      </c>
      <c r="E8685" s="1" t="n">
        <v>42</v>
      </c>
      <c r="F8685" s="1" t="s">
        <v>80</v>
      </c>
      <c r="I8685" s="1" t="n">
        <v>1595784</v>
      </c>
      <c r="J8685" s="1" t="n">
        <v>100013</v>
      </c>
      <c r="K8685" s="1" t="n">
        <v>14</v>
      </c>
      <c r="L8685" s="1" t="s">
        <v>2442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5" t="n">
        <v>46258</v>
      </c>
      <c r="C8686" s="1" t="n">
        <v>100</v>
      </c>
      <c r="D8686" s="1" t="s">
        <v>2457</v>
      </c>
      <c r="E8686" s="1" t="n">
        <v>42</v>
      </c>
      <c r="F8686" s="1" t="s">
        <v>80</v>
      </c>
      <c r="I8686" s="1" t="n">
        <v>1595784</v>
      </c>
      <c r="J8686" s="1" t="n">
        <v>100014</v>
      </c>
      <c r="K8686" s="1" t="n">
        <v>15</v>
      </c>
      <c r="L8686" s="1" t="s">
        <v>2443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5" t="n">
        <v>46258</v>
      </c>
      <c r="C8687" s="1" t="n">
        <v>100</v>
      </c>
      <c r="D8687" s="1" t="s">
        <v>2457</v>
      </c>
      <c r="E8687" s="1" t="n">
        <v>42</v>
      </c>
      <c r="F8687" s="1" t="s">
        <v>80</v>
      </c>
      <c r="I8687" s="1" t="n">
        <v>1595784</v>
      </c>
      <c r="J8687" s="1" t="n">
        <v>100015</v>
      </c>
      <c r="K8687" s="1" t="n">
        <v>16</v>
      </c>
      <c r="L8687" s="1" t="s">
        <v>2444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5" t="n">
        <v>46258</v>
      </c>
      <c r="C8688" s="1" t="n">
        <v>100</v>
      </c>
      <c r="D8688" s="1" t="s">
        <v>2457</v>
      </c>
      <c r="E8688" s="1" t="n">
        <v>42</v>
      </c>
      <c r="F8688" s="1" t="s">
        <v>80</v>
      </c>
      <c r="I8688" s="1" t="n">
        <v>1595784</v>
      </c>
      <c r="J8688" s="1" t="n">
        <v>100016</v>
      </c>
      <c r="K8688" s="1" t="n">
        <v>17</v>
      </c>
      <c r="L8688" s="1" t="s">
        <v>2445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5" t="n">
        <v>46258</v>
      </c>
      <c r="C8689" s="1" t="n">
        <v>100</v>
      </c>
      <c r="D8689" s="1" t="s">
        <v>2457</v>
      </c>
      <c r="E8689" s="1" t="n">
        <v>42</v>
      </c>
      <c r="F8689" s="1" t="s">
        <v>80</v>
      </c>
      <c r="I8689" s="1" t="n">
        <v>1595784</v>
      </c>
      <c r="J8689" s="1" t="n">
        <v>100017</v>
      </c>
      <c r="K8689" s="1" t="n">
        <v>18</v>
      </c>
      <c r="L8689" s="1" t="s">
        <v>2446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5" t="n">
        <v>46258</v>
      </c>
      <c r="C8690" s="1" t="n">
        <v>100</v>
      </c>
      <c r="D8690" s="1" t="s">
        <v>2457</v>
      </c>
      <c r="E8690" s="1" t="n">
        <v>42</v>
      </c>
      <c r="F8690" s="1" t="s">
        <v>80</v>
      </c>
      <c r="I8690" s="1" t="n">
        <v>1595784</v>
      </c>
      <c r="J8690" s="1" t="n">
        <v>100053</v>
      </c>
      <c r="K8690" s="1" t="n">
        <v>54</v>
      </c>
      <c r="L8690" s="1" t="s">
        <v>2447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5" t="n">
        <v>46258</v>
      </c>
      <c r="C8691" s="1" t="n">
        <v>100</v>
      </c>
      <c r="D8691" s="1" t="s">
        <v>2457</v>
      </c>
      <c r="E8691" s="1" t="n">
        <v>42</v>
      </c>
      <c r="F8691" s="1" t="s">
        <v>80</v>
      </c>
      <c r="I8691" s="1" t="n">
        <v>1595784</v>
      </c>
      <c r="J8691" s="1" t="n">
        <v>100638</v>
      </c>
      <c r="K8691" s="1" t="n">
        <v>508</v>
      </c>
      <c r="L8691" s="1" t="s">
        <v>2448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5" t="n">
        <v>46258</v>
      </c>
      <c r="C8692" s="1" t="n">
        <v>100</v>
      </c>
      <c r="D8692" s="1" t="s">
        <v>2457</v>
      </c>
      <c r="E8692" s="1" t="n">
        <v>42</v>
      </c>
      <c r="F8692" s="1" t="s">
        <v>80</v>
      </c>
      <c r="I8692" s="1" t="n">
        <v>1595784</v>
      </c>
      <c r="J8692" s="1" t="n">
        <v>100520</v>
      </c>
      <c r="K8692" s="1" t="n">
        <v>507</v>
      </c>
      <c r="L8692" s="1" t="s">
        <v>2449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5" t="n">
        <v>46258</v>
      </c>
      <c r="C8693" s="1" t="n">
        <v>100</v>
      </c>
      <c r="D8693" s="1" t="s">
        <v>2457</v>
      </c>
      <c r="E8693" s="1" t="n">
        <v>42</v>
      </c>
      <c r="F8693" s="1" t="s">
        <v>80</v>
      </c>
      <c r="I8693" s="1" t="n">
        <v>1595784</v>
      </c>
      <c r="J8693" s="1" t="n">
        <v>110455</v>
      </c>
      <c r="K8693" s="1" t="n">
        <v>53212</v>
      </c>
      <c r="L8693" s="1" t="s">
        <v>2450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5" t="n">
        <v>46258</v>
      </c>
      <c r="C8694" s="1" t="n">
        <v>100</v>
      </c>
      <c r="D8694" s="1" t="s">
        <v>2457</v>
      </c>
      <c r="E8694" s="1" t="n">
        <v>42</v>
      </c>
      <c r="F8694" s="1" t="s">
        <v>80</v>
      </c>
      <c r="I8694" s="1" t="n">
        <v>1595786</v>
      </c>
      <c r="J8694" s="1" t="n">
        <v>100000</v>
      </c>
      <c r="K8694" s="1" t="n">
        <v>1</v>
      </c>
      <c r="L8694" s="1" t="s">
        <v>2451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5" t="n">
        <v>46258</v>
      </c>
      <c r="C8695" s="1" t="n">
        <v>100</v>
      </c>
      <c r="D8695" s="1" t="s">
        <v>2457</v>
      </c>
      <c r="E8695" s="1" t="n">
        <v>42</v>
      </c>
      <c r="F8695" s="1" t="s">
        <v>80</v>
      </c>
      <c r="I8695" s="1" t="n">
        <v>1595786</v>
      </c>
      <c r="J8695" s="1" t="n">
        <v>100006</v>
      </c>
      <c r="K8695" s="1" t="n">
        <v>7</v>
      </c>
      <c r="L8695" s="1" t="s">
        <v>2437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5" t="n">
        <v>46258</v>
      </c>
      <c r="C8696" s="1" t="n">
        <v>100</v>
      </c>
      <c r="D8696" s="1" t="s">
        <v>2457</v>
      </c>
      <c r="E8696" s="1" t="n">
        <v>42</v>
      </c>
      <c r="F8696" s="1" t="s">
        <v>80</v>
      </c>
      <c r="I8696" s="1" t="n">
        <v>1595786</v>
      </c>
      <c r="J8696" s="1" t="n">
        <v>100007</v>
      </c>
      <c r="K8696" s="1" t="n">
        <v>8</v>
      </c>
      <c r="L8696" s="1" t="s">
        <v>2455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5" t="n">
        <v>46258</v>
      </c>
      <c r="C8697" s="1" t="n">
        <v>100</v>
      </c>
      <c r="D8697" s="1" t="s">
        <v>2457</v>
      </c>
      <c r="E8697" s="1" t="n">
        <v>42</v>
      </c>
      <c r="F8697" s="1" t="s">
        <v>80</v>
      </c>
      <c r="I8697" s="1" t="n">
        <v>1595786</v>
      </c>
      <c r="J8697" s="1" t="n">
        <v>100008</v>
      </c>
      <c r="K8697" s="1" t="n">
        <v>9</v>
      </c>
      <c r="L8697" s="1" t="s">
        <v>2438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5" t="n">
        <v>46258</v>
      </c>
      <c r="C8698" s="1" t="n">
        <v>100</v>
      </c>
      <c r="D8698" s="1" t="s">
        <v>2457</v>
      </c>
      <c r="E8698" s="1" t="n">
        <v>42</v>
      </c>
      <c r="F8698" s="1" t="s">
        <v>80</v>
      </c>
      <c r="I8698" s="1" t="n">
        <v>1595786</v>
      </c>
      <c r="J8698" s="1" t="n">
        <v>100010</v>
      </c>
      <c r="K8698" s="1" t="n">
        <v>11</v>
      </c>
      <c r="L8698" s="1" t="s">
        <v>2439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5" t="n">
        <v>46258</v>
      </c>
      <c r="C8699" s="1" t="n">
        <v>100</v>
      </c>
      <c r="D8699" s="1" t="s">
        <v>2457</v>
      </c>
      <c r="E8699" s="1" t="n">
        <v>42</v>
      </c>
      <c r="F8699" s="1" t="s">
        <v>80</v>
      </c>
      <c r="I8699" s="1" t="n">
        <v>1595786</v>
      </c>
      <c r="J8699" s="1" t="n">
        <v>100011</v>
      </c>
      <c r="K8699" s="1" t="n">
        <v>12</v>
      </c>
      <c r="L8699" s="1" t="s">
        <v>2440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5" t="n">
        <v>46258</v>
      </c>
      <c r="C8700" s="1" t="n">
        <v>100</v>
      </c>
      <c r="D8700" s="1" t="s">
        <v>2457</v>
      </c>
      <c r="E8700" s="1" t="n">
        <v>42</v>
      </c>
      <c r="F8700" s="1" t="s">
        <v>80</v>
      </c>
      <c r="I8700" s="1" t="n">
        <v>1595786</v>
      </c>
      <c r="J8700" s="1" t="n">
        <v>100012</v>
      </c>
      <c r="K8700" s="1" t="n">
        <v>13</v>
      </c>
      <c r="L8700" s="1" t="s">
        <v>2441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5" t="n">
        <v>46258</v>
      </c>
      <c r="C8701" s="1" t="n">
        <v>100</v>
      </c>
      <c r="D8701" s="1" t="s">
        <v>2457</v>
      </c>
      <c r="E8701" s="1" t="n">
        <v>42</v>
      </c>
      <c r="F8701" s="1" t="s">
        <v>80</v>
      </c>
      <c r="I8701" s="1" t="n">
        <v>1595786</v>
      </c>
      <c r="J8701" s="1" t="n">
        <v>100013</v>
      </c>
      <c r="K8701" s="1" t="n">
        <v>14</v>
      </c>
      <c r="L8701" s="1" t="s">
        <v>2442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5" t="n">
        <v>46258</v>
      </c>
      <c r="C8702" s="1" t="n">
        <v>100</v>
      </c>
      <c r="D8702" s="1" t="s">
        <v>2457</v>
      </c>
      <c r="E8702" s="1" t="n">
        <v>42</v>
      </c>
      <c r="F8702" s="1" t="s">
        <v>80</v>
      </c>
      <c r="I8702" s="1" t="n">
        <v>1595786</v>
      </c>
      <c r="J8702" s="1" t="n">
        <v>100014</v>
      </c>
      <c r="K8702" s="1" t="n">
        <v>15</v>
      </c>
      <c r="L8702" s="1" t="s">
        <v>2443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5" t="n">
        <v>46258</v>
      </c>
      <c r="C8703" s="1" t="n">
        <v>100</v>
      </c>
      <c r="D8703" s="1" t="s">
        <v>2457</v>
      </c>
      <c r="E8703" s="1" t="n">
        <v>42</v>
      </c>
      <c r="F8703" s="1" t="s">
        <v>80</v>
      </c>
      <c r="I8703" s="1" t="n">
        <v>1595786</v>
      </c>
      <c r="J8703" s="1" t="n">
        <v>100015</v>
      </c>
      <c r="K8703" s="1" t="n">
        <v>16</v>
      </c>
      <c r="L8703" s="1" t="s">
        <v>2444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5" t="n">
        <v>46258</v>
      </c>
      <c r="C8704" s="1" t="n">
        <v>100</v>
      </c>
      <c r="D8704" s="1" t="s">
        <v>2457</v>
      </c>
      <c r="E8704" s="1" t="n">
        <v>42</v>
      </c>
      <c r="F8704" s="1" t="s">
        <v>80</v>
      </c>
      <c r="I8704" s="1" t="n">
        <v>1595786</v>
      </c>
      <c r="J8704" s="1" t="n">
        <v>100016</v>
      </c>
      <c r="K8704" s="1" t="n">
        <v>17</v>
      </c>
      <c r="L8704" s="1" t="s">
        <v>2445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5" t="n">
        <v>46258</v>
      </c>
      <c r="C8705" s="1" t="n">
        <v>100</v>
      </c>
      <c r="D8705" s="1" t="s">
        <v>2457</v>
      </c>
      <c r="E8705" s="1" t="n">
        <v>42</v>
      </c>
      <c r="F8705" s="1" t="s">
        <v>80</v>
      </c>
      <c r="I8705" s="1" t="n">
        <v>1595786</v>
      </c>
      <c r="J8705" s="1" t="n">
        <v>100017</v>
      </c>
      <c r="K8705" s="1" t="n">
        <v>18</v>
      </c>
      <c r="L8705" s="1" t="s">
        <v>2446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5" t="n">
        <v>46258</v>
      </c>
      <c r="C8706" s="1" t="n">
        <v>100</v>
      </c>
      <c r="D8706" s="1" t="s">
        <v>2457</v>
      </c>
      <c r="E8706" s="1" t="n">
        <v>42</v>
      </c>
      <c r="F8706" s="1" t="s">
        <v>80</v>
      </c>
      <c r="I8706" s="1" t="n">
        <v>1595786</v>
      </c>
      <c r="J8706" s="1" t="n">
        <v>100053</v>
      </c>
      <c r="K8706" s="1" t="n">
        <v>54</v>
      </c>
      <c r="L8706" s="1" t="s">
        <v>2447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5" t="n">
        <v>46258</v>
      </c>
      <c r="C8707" s="1" t="n">
        <v>100</v>
      </c>
      <c r="D8707" s="1" t="s">
        <v>2457</v>
      </c>
      <c r="E8707" s="1" t="n">
        <v>42</v>
      </c>
      <c r="F8707" s="1" t="s">
        <v>80</v>
      </c>
      <c r="I8707" s="1" t="n">
        <v>1595786</v>
      </c>
      <c r="J8707" s="1" t="n">
        <v>100638</v>
      </c>
      <c r="K8707" s="1" t="n">
        <v>508</v>
      </c>
      <c r="L8707" s="1" t="s">
        <v>2448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5" t="n">
        <v>46258</v>
      </c>
      <c r="C8708" s="1" t="n">
        <v>100</v>
      </c>
      <c r="D8708" s="1" t="s">
        <v>2457</v>
      </c>
      <c r="E8708" s="1" t="n">
        <v>42</v>
      </c>
      <c r="F8708" s="1" t="s">
        <v>80</v>
      </c>
      <c r="I8708" s="1" t="n">
        <v>1595786</v>
      </c>
      <c r="J8708" s="1" t="n">
        <v>100520</v>
      </c>
      <c r="K8708" s="1" t="n">
        <v>507</v>
      </c>
      <c r="L8708" s="1" t="s">
        <v>2449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5" t="n">
        <v>46258</v>
      </c>
      <c r="C8709" s="1" t="n">
        <v>100</v>
      </c>
      <c r="D8709" s="1" t="s">
        <v>2457</v>
      </c>
      <c r="E8709" s="1" t="n">
        <v>42</v>
      </c>
      <c r="F8709" s="1" t="s">
        <v>80</v>
      </c>
      <c r="I8709" s="1" t="n">
        <v>1595786</v>
      </c>
      <c r="J8709" s="1" t="n">
        <v>110455</v>
      </c>
      <c r="K8709" s="1" t="n">
        <v>53212</v>
      </c>
      <c r="L8709" s="1" t="s">
        <v>2450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5" t="n">
        <v>46259</v>
      </c>
      <c r="C8710" s="1" t="n">
        <v>6</v>
      </c>
      <c r="D8710" s="1" t="s">
        <v>2289</v>
      </c>
      <c r="E8710" s="1" t="n">
        <v>42</v>
      </c>
      <c r="F8710" s="1" t="s">
        <v>80</v>
      </c>
      <c r="G8710" s="1"/>
      <c r="I8710" s="1" t="n">
        <v>4542</v>
      </c>
      <c r="J8710" s="1" t="n">
        <v>100103</v>
      </c>
      <c r="K8710" s="1" t="n">
        <v>104</v>
      </c>
      <c r="L8710" s="1" t="s">
        <v>2287</v>
      </c>
      <c r="M8710" s="1"/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5" t="n">
        <v>46259</v>
      </c>
      <c r="C8711" s="1" t="n">
        <v>6</v>
      </c>
      <c r="D8711" s="1" t="s">
        <v>2289</v>
      </c>
      <c r="E8711" s="1" t="n">
        <v>42</v>
      </c>
      <c r="F8711" s="1" t="s">
        <v>80</v>
      </c>
      <c r="I8711" s="1" t="n">
        <v>4543</v>
      </c>
      <c r="J8711" s="1" t="n">
        <v>37361</v>
      </c>
      <c r="K8711" s="1" t="n">
        <v>2240817</v>
      </c>
      <c r="L8711" s="1" t="s">
        <v>2286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5" t="n">
        <v>46259</v>
      </c>
      <c r="C8712" s="1" t="n">
        <v>6</v>
      </c>
      <c r="D8712" s="1" t="s">
        <v>2289</v>
      </c>
      <c r="E8712" s="1" t="n">
        <v>42</v>
      </c>
      <c r="F8712" s="1" t="s">
        <v>80</v>
      </c>
      <c r="I8712" s="1" t="n">
        <v>4544</v>
      </c>
      <c r="J8712" s="1" t="n">
        <v>72679</v>
      </c>
      <c r="K8712" s="1" t="n">
        <v>246</v>
      </c>
      <c r="L8712" s="1" t="s">
        <v>2288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5" t="n">
        <v>46259</v>
      </c>
      <c r="C8713" s="1" t="n">
        <v>6</v>
      </c>
      <c r="D8713" s="1" t="s">
        <v>2289</v>
      </c>
      <c r="E8713" s="1" t="n">
        <v>42</v>
      </c>
      <c r="F8713" s="1" t="s">
        <v>80</v>
      </c>
      <c r="I8713" s="1" t="n">
        <v>4545</v>
      </c>
      <c r="J8713" s="1" t="n">
        <v>100062</v>
      </c>
      <c r="K8713" s="1" t="n">
        <v>63</v>
      </c>
      <c r="L8713" s="1" t="s">
        <v>2320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5" t="n">
        <v>46259</v>
      </c>
      <c r="C8714" s="1" t="n">
        <v>6</v>
      </c>
      <c r="D8714" s="1" t="s">
        <v>2289</v>
      </c>
      <c r="E8714" s="1" t="n">
        <v>42</v>
      </c>
      <c r="F8714" s="1" t="s">
        <v>80</v>
      </c>
      <c r="I8714" s="1" t="n">
        <v>4545</v>
      </c>
      <c r="J8714" s="1" t="n">
        <v>100104</v>
      </c>
      <c r="K8714" s="1" t="n">
        <v>105</v>
      </c>
      <c r="L8714" s="1" t="s">
        <v>2321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5" t="n">
        <v>46259</v>
      </c>
      <c r="C8715" s="1" t="n">
        <v>6</v>
      </c>
      <c r="D8715" s="1" t="s">
        <v>2289</v>
      </c>
      <c r="E8715" s="1" t="n">
        <v>42</v>
      </c>
      <c r="F8715" s="1" t="s">
        <v>80</v>
      </c>
      <c r="I8715" s="1" t="n">
        <v>4545</v>
      </c>
      <c r="J8715" s="1" t="n">
        <v>100105</v>
      </c>
      <c r="K8715" s="1" t="n">
        <v>106</v>
      </c>
      <c r="L8715" s="1" t="s">
        <v>2322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5" t="n">
        <v>46259</v>
      </c>
      <c r="C8716" s="1" t="n">
        <v>6</v>
      </c>
      <c r="D8716" s="1" t="s">
        <v>2289</v>
      </c>
      <c r="E8716" s="1" t="n">
        <v>42</v>
      </c>
      <c r="F8716" s="1" t="s">
        <v>80</v>
      </c>
      <c r="I8716" s="1" t="n">
        <v>4545</v>
      </c>
      <c r="J8716" s="1" t="n">
        <v>100109</v>
      </c>
      <c r="K8716" s="1" t="n">
        <v>110</v>
      </c>
      <c r="L8716" s="1" t="s">
        <v>2324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5" t="n">
        <v>46259</v>
      </c>
      <c r="C8717" s="1" t="n">
        <v>6</v>
      </c>
      <c r="D8717" s="1" t="s">
        <v>2289</v>
      </c>
      <c r="E8717" s="1" t="n">
        <v>42</v>
      </c>
      <c r="F8717" s="1" t="s">
        <v>80</v>
      </c>
      <c r="I8717" s="1" t="n">
        <v>4545</v>
      </c>
      <c r="J8717" s="1" t="n">
        <v>100113</v>
      </c>
      <c r="K8717" s="1" t="n">
        <v>114</v>
      </c>
      <c r="L8717" s="1" t="s">
        <v>2326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5" t="n">
        <v>46259</v>
      </c>
      <c r="C8718" s="1" t="n">
        <v>6</v>
      </c>
      <c r="D8718" s="1" t="s">
        <v>2289</v>
      </c>
      <c r="E8718" s="1" t="n">
        <v>42</v>
      </c>
      <c r="F8718" s="1" t="s">
        <v>80</v>
      </c>
      <c r="I8718" s="1" t="n">
        <v>4545</v>
      </c>
      <c r="J8718" s="1" t="n">
        <v>100115</v>
      </c>
      <c r="K8718" s="1" t="n">
        <v>116</v>
      </c>
      <c r="L8718" s="1" t="s">
        <v>2474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5" t="n">
        <v>46259</v>
      </c>
      <c r="C8719" s="1" t="n">
        <v>6</v>
      </c>
      <c r="D8719" s="1" t="s">
        <v>2289</v>
      </c>
      <c r="E8719" s="1" t="n">
        <v>42</v>
      </c>
      <c r="F8719" s="1" t="s">
        <v>80</v>
      </c>
      <c r="I8719" s="1" t="n">
        <v>4545</v>
      </c>
      <c r="J8719" s="1" t="n">
        <v>100118</v>
      </c>
      <c r="K8719" s="1" t="n">
        <v>119</v>
      </c>
      <c r="L8719" s="1" t="s">
        <v>2328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5" t="n">
        <v>46259</v>
      </c>
      <c r="C8720" s="1" t="n">
        <v>6</v>
      </c>
      <c r="D8720" s="1" t="s">
        <v>2289</v>
      </c>
      <c r="E8720" s="1" t="n">
        <v>42</v>
      </c>
      <c r="F8720" s="1" t="s">
        <v>80</v>
      </c>
      <c r="I8720" s="1" t="n">
        <v>4545</v>
      </c>
      <c r="J8720" s="1" t="n">
        <v>100122</v>
      </c>
      <c r="K8720" s="1" t="n">
        <v>123</v>
      </c>
      <c r="L8720" s="1" t="s">
        <v>2330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5" t="n">
        <v>46259</v>
      </c>
      <c r="C8721" s="1" t="n">
        <v>6</v>
      </c>
      <c r="D8721" s="1" t="s">
        <v>2289</v>
      </c>
      <c r="E8721" s="1" t="n">
        <v>42</v>
      </c>
      <c r="F8721" s="1" t="s">
        <v>80</v>
      </c>
      <c r="I8721" s="1" t="n">
        <v>4545</v>
      </c>
      <c r="J8721" s="1" t="n">
        <v>100123</v>
      </c>
      <c r="K8721" s="1" t="n">
        <v>124</v>
      </c>
      <c r="L8721" s="1" t="s">
        <v>2475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5" t="n">
        <v>46259</v>
      </c>
      <c r="C8722" s="1" t="n">
        <v>6</v>
      </c>
      <c r="D8722" s="1" t="s">
        <v>2289</v>
      </c>
      <c r="E8722" s="1" t="n">
        <v>42</v>
      </c>
      <c r="F8722" s="1" t="s">
        <v>80</v>
      </c>
      <c r="I8722" s="1" t="n">
        <v>4545</v>
      </c>
      <c r="J8722" s="1" t="n">
        <v>100124</v>
      </c>
      <c r="K8722" s="1" t="n">
        <v>125</v>
      </c>
      <c r="L8722" s="1" t="s">
        <v>2476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5" t="n">
        <v>46259</v>
      </c>
      <c r="C8723" s="1" t="n">
        <v>6</v>
      </c>
      <c r="D8723" s="1" t="s">
        <v>2289</v>
      </c>
      <c r="E8723" s="1" t="n">
        <v>42</v>
      </c>
      <c r="F8723" s="1" t="s">
        <v>80</v>
      </c>
      <c r="I8723" s="1" t="n">
        <v>4545</v>
      </c>
      <c r="J8723" s="1" t="n">
        <v>100132</v>
      </c>
      <c r="K8723" s="1" t="n">
        <v>133</v>
      </c>
      <c r="L8723" s="1" t="s">
        <v>3104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5" t="n">
        <v>46259</v>
      </c>
      <c r="C8724" s="1" t="n">
        <v>6</v>
      </c>
      <c r="D8724" s="1" t="s">
        <v>2289</v>
      </c>
      <c r="E8724" s="1" t="n">
        <v>42</v>
      </c>
      <c r="F8724" s="1" t="s">
        <v>80</v>
      </c>
      <c r="I8724" s="1" t="n">
        <v>4545</v>
      </c>
      <c r="J8724" s="1" t="n">
        <v>100133</v>
      </c>
      <c r="K8724" s="1" t="n">
        <v>134</v>
      </c>
      <c r="L8724" s="1" t="s">
        <v>2332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5" t="n">
        <v>46259</v>
      </c>
      <c r="C8725" s="1" t="n">
        <v>6</v>
      </c>
      <c r="D8725" s="1" t="s">
        <v>2289</v>
      </c>
      <c r="E8725" s="1" t="n">
        <v>42</v>
      </c>
      <c r="F8725" s="1" t="s">
        <v>80</v>
      </c>
      <c r="I8725" s="1" t="n">
        <v>4545</v>
      </c>
      <c r="J8725" s="1" t="n">
        <v>110142</v>
      </c>
      <c r="K8725" s="1" t="n">
        <v>16699</v>
      </c>
      <c r="L8725" s="1" t="s">
        <v>2334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5" t="n">
        <v>46259</v>
      </c>
      <c r="C8726" s="1" t="n">
        <v>6</v>
      </c>
      <c r="D8726" s="1" t="s">
        <v>2289</v>
      </c>
      <c r="E8726" s="1" t="n">
        <v>42</v>
      </c>
      <c r="F8726" s="1" t="s">
        <v>80</v>
      </c>
      <c r="I8726" s="1" t="n">
        <v>4545</v>
      </c>
      <c r="J8726" s="1" t="n">
        <v>110265</v>
      </c>
      <c r="K8726" s="1" t="n">
        <v>41346</v>
      </c>
      <c r="L8726" s="1" t="s">
        <v>2478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5" t="n">
        <v>46259</v>
      </c>
      <c r="C8727" s="1" t="n">
        <v>6</v>
      </c>
      <c r="D8727" s="1" t="s">
        <v>2289</v>
      </c>
      <c r="E8727" s="1" t="n">
        <v>42</v>
      </c>
      <c r="F8727" s="1" t="s">
        <v>80</v>
      </c>
      <c r="I8727" s="1" t="n">
        <v>4545</v>
      </c>
      <c r="J8727" s="1" t="n">
        <v>43627</v>
      </c>
      <c r="K8727" s="1" t="n">
        <v>1175</v>
      </c>
      <c r="L8727" s="1" t="s">
        <v>2479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5" t="n">
        <v>46259</v>
      </c>
      <c r="C8728" s="1" t="n">
        <v>11</v>
      </c>
      <c r="D8728" s="1" t="s">
        <v>2290</v>
      </c>
      <c r="E8728" s="1" t="n">
        <v>10096</v>
      </c>
      <c r="F8728" s="1" t="s">
        <v>1232</v>
      </c>
      <c r="I8728" s="1" t="n">
        <v>208</v>
      </c>
      <c r="J8728" s="1" t="n">
        <v>61580</v>
      </c>
      <c r="K8728" s="1" t="n">
        <v>2258157</v>
      </c>
      <c r="L8728" s="1" t="s">
        <v>2339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5" t="n">
        <v>46259</v>
      </c>
      <c r="C8729" s="1" t="n">
        <v>11</v>
      </c>
      <c r="D8729" s="1" t="s">
        <v>2290</v>
      </c>
      <c r="E8729" s="1" t="n">
        <v>1398</v>
      </c>
      <c r="F8729" s="1" t="s">
        <v>1245</v>
      </c>
      <c r="I8729" s="1" t="n">
        <v>1358</v>
      </c>
      <c r="J8729" s="1" t="n">
        <v>69464</v>
      </c>
      <c r="K8729" s="1" t="n">
        <v>7898003448577</v>
      </c>
      <c r="L8729" s="1" t="s">
        <v>5023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5" t="n">
        <v>46259</v>
      </c>
      <c r="C8730" s="1" t="n">
        <v>11</v>
      </c>
      <c r="D8730" s="1" t="s">
        <v>2290</v>
      </c>
      <c r="E8730" s="1" t="n">
        <v>1398</v>
      </c>
      <c r="F8730" s="1" t="s">
        <v>1245</v>
      </c>
      <c r="I8730" s="1" t="n">
        <v>1358</v>
      </c>
      <c r="J8730" s="1" t="n">
        <v>69603</v>
      </c>
      <c r="K8730" s="1" t="n">
        <v>7897281200655</v>
      </c>
      <c r="L8730" s="1" t="s">
        <v>5024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5" t="n">
        <v>46259</v>
      </c>
      <c r="C8731" s="1" t="n">
        <v>11</v>
      </c>
      <c r="D8731" s="1" t="s">
        <v>2290</v>
      </c>
      <c r="E8731" s="1" t="n">
        <v>1398</v>
      </c>
      <c r="F8731" s="1" t="s">
        <v>1245</v>
      </c>
      <c r="I8731" s="1" t="n">
        <v>1358</v>
      </c>
      <c r="J8731" s="1" t="n">
        <v>82187</v>
      </c>
      <c r="K8731" s="1" t="n">
        <v>7897281200891</v>
      </c>
      <c r="L8731" s="1" t="s">
        <v>5025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5" t="n">
        <v>46259</v>
      </c>
      <c r="C8732" s="1" t="n">
        <v>11</v>
      </c>
      <c r="D8732" s="1" t="s">
        <v>2290</v>
      </c>
      <c r="E8732" s="1" t="n">
        <v>1398</v>
      </c>
      <c r="F8732" s="1" t="s">
        <v>1245</v>
      </c>
      <c r="I8732" s="1" t="n">
        <v>1358</v>
      </c>
      <c r="J8732" s="1" t="n">
        <v>82188</v>
      </c>
      <c r="K8732" s="1" t="n">
        <v>7908348212648</v>
      </c>
      <c r="L8732" s="1" t="s">
        <v>5026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5" t="n">
        <v>46259</v>
      </c>
      <c r="C8733" s="1" t="n">
        <v>11</v>
      </c>
      <c r="D8733" s="1" t="s">
        <v>2290</v>
      </c>
      <c r="E8733" s="1" t="n">
        <v>1027</v>
      </c>
      <c r="F8733" s="1" t="s">
        <v>1328</v>
      </c>
      <c r="I8733" s="1" t="n">
        <v>2561</v>
      </c>
      <c r="J8733" s="1" t="n">
        <v>45999</v>
      </c>
      <c r="K8733" s="1" t="n">
        <v>7591543095576</v>
      </c>
      <c r="L8733" s="1" t="s">
        <v>5027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5" t="n">
        <v>46259</v>
      </c>
      <c r="C8734" s="1" t="n">
        <v>11</v>
      </c>
      <c r="D8734" s="1" t="s">
        <v>2290</v>
      </c>
      <c r="E8734" s="1" t="n">
        <v>1027</v>
      </c>
      <c r="F8734" s="1" t="s">
        <v>1328</v>
      </c>
      <c r="I8734" s="1" t="n">
        <v>2561</v>
      </c>
      <c r="J8734" s="1" t="n">
        <v>82189</v>
      </c>
      <c r="K8734" s="1" t="n">
        <v>7908596416683</v>
      </c>
      <c r="L8734" s="1" t="s">
        <v>5028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5" t="n">
        <v>46259</v>
      </c>
      <c r="C8735" s="1" t="n">
        <v>11</v>
      </c>
      <c r="D8735" s="1" t="s">
        <v>2290</v>
      </c>
      <c r="E8735" s="1" t="n">
        <v>1027</v>
      </c>
      <c r="F8735" s="1" t="s">
        <v>1328</v>
      </c>
      <c r="I8735" s="1" t="n">
        <v>2561</v>
      </c>
      <c r="J8735" s="1" t="n">
        <v>82190</v>
      </c>
      <c r="K8735" s="1" t="n">
        <v>7908596416676</v>
      </c>
      <c r="L8735" s="1" t="s">
        <v>5029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5" t="n">
        <v>46259</v>
      </c>
      <c r="C8736" s="1" t="n">
        <v>11</v>
      </c>
      <c r="D8736" s="1" t="s">
        <v>2290</v>
      </c>
      <c r="E8736" s="1" t="n">
        <v>1027</v>
      </c>
      <c r="F8736" s="1" t="s">
        <v>1328</v>
      </c>
      <c r="I8736" s="1" t="n">
        <v>2561</v>
      </c>
      <c r="J8736" s="1" t="n">
        <v>82191</v>
      </c>
      <c r="K8736" s="1" t="n">
        <v>7898005841130</v>
      </c>
      <c r="L8736" s="1" t="s">
        <v>5030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5" t="n">
        <v>46259</v>
      </c>
      <c r="C8737" s="1" t="n">
        <v>11</v>
      </c>
      <c r="D8737" s="1" t="s">
        <v>2290</v>
      </c>
      <c r="E8737" s="1" t="n">
        <v>1805</v>
      </c>
      <c r="F8737" s="1" t="s">
        <v>1836</v>
      </c>
      <c r="I8737" s="1" t="n">
        <v>7744</v>
      </c>
      <c r="J8737" s="1" t="n">
        <v>14247</v>
      </c>
      <c r="K8737" s="1" t="n">
        <v>2229416</v>
      </c>
      <c r="L8737" s="1" t="s">
        <v>2747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5" t="n">
        <v>46259</v>
      </c>
      <c r="C8738" s="1" t="n">
        <v>11</v>
      </c>
      <c r="D8738" s="1" t="s">
        <v>2290</v>
      </c>
      <c r="E8738" s="1" t="n">
        <v>1122</v>
      </c>
      <c r="F8738" s="1" t="s">
        <v>1242</v>
      </c>
      <c r="I8738" s="1" t="n">
        <v>12955</v>
      </c>
      <c r="J8738" s="1" t="n">
        <v>45997</v>
      </c>
      <c r="K8738" s="1" t="n">
        <v>7591543120421</v>
      </c>
      <c r="L8738" s="1" t="s">
        <v>5031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5" t="n">
        <v>46259</v>
      </c>
      <c r="C8739" s="1" t="n">
        <v>11</v>
      </c>
      <c r="D8739" s="1" t="s">
        <v>2290</v>
      </c>
      <c r="E8739" s="1" t="n">
        <v>1122</v>
      </c>
      <c r="F8739" s="1" t="s">
        <v>1242</v>
      </c>
      <c r="I8739" s="1" t="n">
        <v>12955</v>
      </c>
      <c r="J8739" s="1" t="n">
        <v>45998</v>
      </c>
      <c r="K8739" s="1" t="n">
        <v>7591543120414</v>
      </c>
      <c r="L8739" s="1" t="s">
        <v>5032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5" t="n">
        <v>46259</v>
      </c>
      <c r="C8740" s="1" t="n">
        <v>11</v>
      </c>
      <c r="D8740" s="1" t="s">
        <v>2290</v>
      </c>
      <c r="E8740" s="1" t="n">
        <v>1122</v>
      </c>
      <c r="F8740" s="1" t="s">
        <v>1242</v>
      </c>
      <c r="I8740" s="1" t="n">
        <v>12955</v>
      </c>
      <c r="J8740" s="1" t="n">
        <v>53619</v>
      </c>
      <c r="K8740" s="1" t="n">
        <v>7591543125617</v>
      </c>
      <c r="L8740" s="1" t="s">
        <v>5033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5" t="n">
        <v>46259</v>
      </c>
      <c r="C8741" s="1" t="n">
        <v>11</v>
      </c>
      <c r="D8741" s="1" t="s">
        <v>2290</v>
      </c>
      <c r="E8741" s="1" t="n">
        <v>1122</v>
      </c>
      <c r="F8741" s="1" t="s">
        <v>1242</v>
      </c>
      <c r="I8741" s="1" t="n">
        <v>12955</v>
      </c>
      <c r="J8741" s="1" t="n">
        <v>53620</v>
      </c>
      <c r="K8741" s="1" t="n">
        <v>7591543125594</v>
      </c>
      <c r="L8741" s="1" t="s">
        <v>5034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5" t="n">
        <v>46259</v>
      </c>
      <c r="C8742" s="1" t="n">
        <v>11</v>
      </c>
      <c r="D8742" s="1" t="s">
        <v>2290</v>
      </c>
      <c r="E8742" s="1" t="n">
        <v>1122</v>
      </c>
      <c r="F8742" s="1" t="s">
        <v>1242</v>
      </c>
      <c r="I8742" s="1" t="n">
        <v>12955</v>
      </c>
      <c r="J8742" s="1" t="n">
        <v>62590</v>
      </c>
      <c r="K8742" s="1" t="n">
        <v>7591543125600</v>
      </c>
      <c r="L8742" s="1" t="s">
        <v>5035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5" t="n">
        <v>46259</v>
      </c>
      <c r="C8743" s="1" t="n">
        <v>11</v>
      </c>
      <c r="D8743" s="1" t="s">
        <v>2290</v>
      </c>
      <c r="E8743" s="1" t="n">
        <v>1122</v>
      </c>
      <c r="F8743" s="1" t="s">
        <v>1242</v>
      </c>
      <c r="I8743" s="1" t="n">
        <v>12955</v>
      </c>
      <c r="J8743" s="1" t="n">
        <v>62591</v>
      </c>
      <c r="K8743" s="1" t="n">
        <v>7591543125624</v>
      </c>
      <c r="L8743" s="1" t="s">
        <v>5036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5" t="n">
        <v>46259</v>
      </c>
      <c r="C8744" s="1" t="n">
        <v>11</v>
      </c>
      <c r="D8744" s="1" t="s">
        <v>2290</v>
      </c>
      <c r="E8744" s="1" t="n">
        <v>1122</v>
      </c>
      <c r="F8744" s="1" t="s">
        <v>1242</v>
      </c>
      <c r="I8744" s="1" t="n">
        <v>12955</v>
      </c>
      <c r="J8744" s="1" t="n">
        <v>82173</v>
      </c>
      <c r="K8744" s="1" t="n">
        <v>7908167315650</v>
      </c>
      <c r="L8744" s="1" t="s">
        <v>5037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5" t="n">
        <v>46259</v>
      </c>
      <c r="C8745" s="1" t="n">
        <v>11</v>
      </c>
      <c r="D8745" s="1" t="s">
        <v>2290</v>
      </c>
      <c r="E8745" s="1" t="n">
        <v>1457</v>
      </c>
      <c r="F8745" s="1" t="s">
        <v>179</v>
      </c>
      <c r="I8745" s="1" t="n">
        <v>14605</v>
      </c>
      <c r="J8745" s="1" t="n">
        <v>59522</v>
      </c>
      <c r="K8745" s="1" t="n">
        <v>7896862002794</v>
      </c>
      <c r="L8745" s="1" t="s">
        <v>2738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5" t="n">
        <v>46259</v>
      </c>
      <c r="C8746" s="1" t="n">
        <v>11</v>
      </c>
      <c r="D8746" s="1" t="s">
        <v>2290</v>
      </c>
      <c r="E8746" s="1" t="n">
        <v>1457</v>
      </c>
      <c r="F8746" s="1" t="s">
        <v>179</v>
      </c>
      <c r="I8746" s="1" t="n">
        <v>14605</v>
      </c>
      <c r="J8746" s="1" t="n">
        <v>59725</v>
      </c>
      <c r="K8746" s="1" t="n">
        <v>7896862000875</v>
      </c>
      <c r="L8746" s="1" t="s">
        <v>3598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5" t="n">
        <v>46259</v>
      </c>
      <c r="C8747" s="1" t="n">
        <v>11</v>
      </c>
      <c r="D8747" s="1" t="s">
        <v>2290</v>
      </c>
      <c r="E8747" s="1" t="n">
        <v>1615</v>
      </c>
      <c r="F8747" s="1" t="s">
        <v>130</v>
      </c>
      <c r="I8747" s="1" t="n">
        <v>15174</v>
      </c>
      <c r="J8747" s="1" t="n">
        <v>100114</v>
      </c>
      <c r="K8747" s="1" t="n">
        <v>115</v>
      </c>
      <c r="L8747" s="1" t="s">
        <v>2568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5" t="n">
        <v>46259</v>
      </c>
      <c r="C8748" s="1" t="n">
        <v>11</v>
      </c>
      <c r="D8748" s="1" t="s">
        <v>2290</v>
      </c>
      <c r="E8748" s="1" t="n">
        <v>1615</v>
      </c>
      <c r="F8748" s="1" t="s">
        <v>130</v>
      </c>
      <c r="I8748" s="1" t="n">
        <v>15174</v>
      </c>
      <c r="J8748" s="1" t="n">
        <v>37771</v>
      </c>
      <c r="K8748" s="1" t="n">
        <v>774574</v>
      </c>
      <c r="L8748" s="1" t="s">
        <v>2569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5" t="n">
        <v>46259</v>
      </c>
      <c r="C8749" s="1" t="n">
        <v>11</v>
      </c>
      <c r="D8749" s="1" t="s">
        <v>2290</v>
      </c>
      <c r="E8749" s="1" t="n">
        <v>1895</v>
      </c>
      <c r="F8749" s="1" t="s">
        <v>159</v>
      </c>
      <c r="I8749" s="1" t="n">
        <v>46431</v>
      </c>
      <c r="J8749" s="1" t="n">
        <v>10400</v>
      </c>
      <c r="K8749" s="1" t="n">
        <v>7891040106370</v>
      </c>
      <c r="L8749" s="1" t="s">
        <v>5038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5" t="n">
        <v>46259</v>
      </c>
      <c r="C8750" s="1" t="n">
        <v>11</v>
      </c>
      <c r="D8750" s="1" t="s">
        <v>2290</v>
      </c>
      <c r="E8750" s="1" t="n">
        <v>1895</v>
      </c>
      <c r="F8750" s="1" t="s">
        <v>159</v>
      </c>
      <c r="I8750" s="1" t="n">
        <v>46431</v>
      </c>
      <c r="J8750" s="1" t="n">
        <v>10400</v>
      </c>
      <c r="K8750" s="1" t="n">
        <v>7891040106370</v>
      </c>
      <c r="L8750" s="1" t="s">
        <v>5038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5" t="n">
        <v>46259</v>
      </c>
      <c r="C8751" s="1" t="n">
        <v>11</v>
      </c>
      <c r="D8751" s="1" t="s">
        <v>2290</v>
      </c>
      <c r="E8751" s="1" t="n">
        <v>1895</v>
      </c>
      <c r="F8751" s="1" t="s">
        <v>159</v>
      </c>
      <c r="I8751" s="1" t="n">
        <v>46431</v>
      </c>
      <c r="J8751" s="1" t="n">
        <v>28876</v>
      </c>
      <c r="K8751" s="1" t="n">
        <v>790512</v>
      </c>
      <c r="L8751" s="1" t="s">
        <v>5039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5" t="n">
        <v>46259</v>
      </c>
      <c r="C8752" s="1" t="n">
        <v>11</v>
      </c>
      <c r="D8752" s="1" t="s">
        <v>2290</v>
      </c>
      <c r="E8752" s="1" t="n">
        <v>1895</v>
      </c>
      <c r="F8752" s="1" t="s">
        <v>159</v>
      </c>
      <c r="I8752" s="1" t="n">
        <v>46431</v>
      </c>
      <c r="J8752" s="1" t="n">
        <v>28878</v>
      </c>
      <c r="K8752" s="1" t="n">
        <v>58595</v>
      </c>
      <c r="L8752" s="1" t="s">
        <v>5040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5" t="n">
        <v>46259</v>
      </c>
      <c r="C8753" s="1" t="n">
        <v>11</v>
      </c>
      <c r="D8753" s="1" t="s">
        <v>2290</v>
      </c>
      <c r="E8753" s="1" t="n">
        <v>1895</v>
      </c>
      <c r="F8753" s="1" t="s">
        <v>159</v>
      </c>
      <c r="I8753" s="1" t="n">
        <v>46431</v>
      </c>
      <c r="J8753" s="1" t="n">
        <v>43459</v>
      </c>
      <c r="K8753" s="1" t="n">
        <v>7897256210016</v>
      </c>
      <c r="L8753" s="1" t="s">
        <v>5041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5" t="n">
        <v>46259</v>
      </c>
      <c r="C8754" s="1" t="n">
        <v>11</v>
      </c>
      <c r="D8754" s="1" t="s">
        <v>2290</v>
      </c>
      <c r="E8754" s="1" t="n">
        <v>1895</v>
      </c>
      <c r="F8754" s="1" t="s">
        <v>159</v>
      </c>
      <c r="I8754" s="1" t="n">
        <v>46431</v>
      </c>
      <c r="J8754" s="1" t="n">
        <v>48235</v>
      </c>
      <c r="K8754" s="1" t="n">
        <v>7503002941409</v>
      </c>
      <c r="L8754" s="1" t="s">
        <v>5042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5" t="n">
        <v>46259</v>
      </c>
      <c r="C8755" s="1" t="n">
        <v>11</v>
      </c>
      <c r="D8755" s="1" t="s">
        <v>2290</v>
      </c>
      <c r="E8755" s="1" t="n">
        <v>1895</v>
      </c>
      <c r="F8755" s="1" t="s">
        <v>159</v>
      </c>
      <c r="I8755" s="1" t="n">
        <v>46431</v>
      </c>
      <c r="J8755" s="1" t="n">
        <v>53221</v>
      </c>
      <c r="K8755" s="1" t="n">
        <v>7503002900727</v>
      </c>
      <c r="L8755" s="1" t="s">
        <v>5042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5" t="n">
        <v>46259</v>
      </c>
      <c r="C8756" s="1" t="n">
        <v>11</v>
      </c>
      <c r="D8756" s="1" t="s">
        <v>2290</v>
      </c>
      <c r="E8756" s="1" t="n">
        <v>1895</v>
      </c>
      <c r="F8756" s="1" t="s">
        <v>159</v>
      </c>
      <c r="I8756" s="1" t="n">
        <v>46431</v>
      </c>
      <c r="J8756" s="1" t="n">
        <v>53221</v>
      </c>
      <c r="K8756" s="1" t="n">
        <v>7503002900727</v>
      </c>
      <c r="L8756" s="1" t="s">
        <v>5042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5" t="n">
        <v>46259</v>
      </c>
      <c r="C8757" s="1" t="n">
        <v>11</v>
      </c>
      <c r="D8757" s="1" t="s">
        <v>2290</v>
      </c>
      <c r="E8757" s="1" t="n">
        <v>1895</v>
      </c>
      <c r="F8757" s="1" t="s">
        <v>159</v>
      </c>
      <c r="I8757" s="1" t="n">
        <v>46431</v>
      </c>
      <c r="J8757" s="1" t="n">
        <v>63116</v>
      </c>
      <c r="K8757" s="1" t="n">
        <v>7898963539049</v>
      </c>
      <c r="L8757" s="1" t="s">
        <v>5043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5" t="n">
        <v>46259</v>
      </c>
      <c r="C8758" s="1" t="n">
        <v>11</v>
      </c>
      <c r="D8758" s="1" t="s">
        <v>2290</v>
      </c>
      <c r="E8758" s="1" t="n">
        <v>1895</v>
      </c>
      <c r="F8758" s="1" t="s">
        <v>159</v>
      </c>
      <c r="I8758" s="1" t="n">
        <v>46431</v>
      </c>
      <c r="J8758" s="1" t="n">
        <v>70753</v>
      </c>
      <c r="K8758" s="1" t="n">
        <v>78930483</v>
      </c>
      <c r="L8758" s="1" t="s">
        <v>5044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5" t="n">
        <v>46259</v>
      </c>
      <c r="C8759" s="1" t="n">
        <v>11</v>
      </c>
      <c r="D8759" s="1" t="s">
        <v>2290</v>
      </c>
      <c r="E8759" s="1" t="n">
        <v>1895</v>
      </c>
      <c r="F8759" s="1" t="s">
        <v>159</v>
      </c>
      <c r="I8759" s="1" t="n">
        <v>46431</v>
      </c>
      <c r="J8759" s="1" t="n">
        <v>82183</v>
      </c>
      <c r="K8759" s="1" t="n">
        <v>7899519749653</v>
      </c>
      <c r="L8759" s="1" t="s">
        <v>5045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5" t="n">
        <v>46259</v>
      </c>
      <c r="C8760" s="1" t="n">
        <v>11</v>
      </c>
      <c r="D8760" s="1" t="s">
        <v>2290</v>
      </c>
      <c r="E8760" s="1" t="n">
        <v>1895</v>
      </c>
      <c r="F8760" s="1" t="s">
        <v>159</v>
      </c>
      <c r="I8760" s="1" t="n">
        <v>46431</v>
      </c>
      <c r="J8760" s="1" t="n">
        <v>82184</v>
      </c>
      <c r="K8760" s="1" t="n">
        <v>7909438042176</v>
      </c>
      <c r="L8760" s="1" t="s">
        <v>5046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5" t="n">
        <v>46259</v>
      </c>
      <c r="C8761" s="1" t="n">
        <v>11</v>
      </c>
      <c r="D8761" s="1" t="s">
        <v>2290</v>
      </c>
      <c r="E8761" s="1" t="n">
        <v>1456</v>
      </c>
      <c r="F8761" s="1" t="s">
        <v>1859</v>
      </c>
      <c r="I8761" s="1" t="n">
        <v>70351</v>
      </c>
      <c r="J8761" s="1" t="n">
        <v>67688</v>
      </c>
      <c r="K8761" s="1" t="n">
        <v>7899451213397</v>
      </c>
      <c r="L8761" s="1" t="s">
        <v>5047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5" t="n">
        <v>46259</v>
      </c>
      <c r="C8762" s="1" t="n">
        <v>11</v>
      </c>
      <c r="D8762" s="1" t="s">
        <v>2290</v>
      </c>
      <c r="E8762" s="1" t="n">
        <v>1456</v>
      </c>
      <c r="F8762" s="1" t="s">
        <v>1859</v>
      </c>
      <c r="I8762" s="1" t="n">
        <v>70351</v>
      </c>
      <c r="J8762" s="1" t="n">
        <v>76640</v>
      </c>
      <c r="K8762" s="1" t="n">
        <v>7899451214622</v>
      </c>
      <c r="L8762" s="1" t="s">
        <v>5048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5" t="n">
        <v>46259</v>
      </c>
      <c r="C8763" s="1" t="n">
        <v>11</v>
      </c>
      <c r="D8763" s="1" t="s">
        <v>2290</v>
      </c>
      <c r="E8763" s="1" t="n">
        <v>1456</v>
      </c>
      <c r="F8763" s="1" t="s">
        <v>1859</v>
      </c>
      <c r="I8763" s="1" t="n">
        <v>70351</v>
      </c>
      <c r="J8763" s="1" t="n">
        <v>76642</v>
      </c>
      <c r="K8763" s="1" t="n">
        <v>7899451214646</v>
      </c>
      <c r="L8763" s="1" t="s">
        <v>5048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5" t="n">
        <v>46259</v>
      </c>
      <c r="C8764" s="1" t="n">
        <v>11</v>
      </c>
      <c r="D8764" s="1" t="s">
        <v>2290</v>
      </c>
      <c r="E8764" s="1" t="n">
        <v>1456</v>
      </c>
      <c r="F8764" s="1" t="s">
        <v>1859</v>
      </c>
      <c r="I8764" s="1" t="n">
        <v>70351</v>
      </c>
      <c r="J8764" s="1" t="n">
        <v>76746</v>
      </c>
      <c r="K8764" s="1" t="n">
        <v>7899451213618</v>
      </c>
      <c r="L8764" s="1" t="s">
        <v>5049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5" t="n">
        <v>46259</v>
      </c>
      <c r="C8765" s="1" t="n">
        <v>11</v>
      </c>
      <c r="D8765" s="1" t="s">
        <v>2290</v>
      </c>
      <c r="E8765" s="1" t="n">
        <v>1456</v>
      </c>
      <c r="F8765" s="1" t="s">
        <v>1859</v>
      </c>
      <c r="I8765" s="1" t="n">
        <v>70351</v>
      </c>
      <c r="J8765" s="1" t="n">
        <v>76747</v>
      </c>
      <c r="K8765" s="1" t="n">
        <v>7899451213571</v>
      </c>
      <c r="L8765" s="1" t="s">
        <v>5049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5" t="n">
        <v>46259</v>
      </c>
      <c r="C8766" s="1" t="n">
        <v>11</v>
      </c>
      <c r="D8766" s="1" t="s">
        <v>2290</v>
      </c>
      <c r="E8766" s="1" t="n">
        <v>1456</v>
      </c>
      <c r="F8766" s="1" t="s">
        <v>1859</v>
      </c>
      <c r="I8766" s="1" t="n">
        <v>70351</v>
      </c>
      <c r="J8766" s="1" t="n">
        <v>76748</v>
      </c>
      <c r="K8766" s="1" t="n">
        <v>7899451213595</v>
      </c>
      <c r="L8766" s="1" t="s">
        <v>5050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5" t="n">
        <v>46259</v>
      </c>
      <c r="C8767" s="1" t="n">
        <v>11</v>
      </c>
      <c r="D8767" s="1" t="s">
        <v>2290</v>
      </c>
      <c r="E8767" s="1" t="n">
        <v>1456</v>
      </c>
      <c r="F8767" s="1" t="s">
        <v>1859</v>
      </c>
      <c r="I8767" s="1" t="n">
        <v>70351</v>
      </c>
      <c r="J8767" s="1" t="n">
        <v>76749</v>
      </c>
      <c r="K8767" s="1" t="n">
        <v>7899451213588</v>
      </c>
      <c r="L8767" s="1" t="s">
        <v>5049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5" t="n">
        <v>46259</v>
      </c>
      <c r="C8768" s="1" t="n">
        <v>11</v>
      </c>
      <c r="D8768" s="1" t="s">
        <v>2290</v>
      </c>
      <c r="E8768" s="1" t="n">
        <v>1456</v>
      </c>
      <c r="F8768" s="1" t="s">
        <v>1859</v>
      </c>
      <c r="I8768" s="1" t="n">
        <v>70351</v>
      </c>
      <c r="J8768" s="1" t="n">
        <v>76750</v>
      </c>
      <c r="K8768" s="1" t="n">
        <v>7899451213601</v>
      </c>
      <c r="L8768" s="1" t="s">
        <v>5051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5" t="n">
        <v>46259</v>
      </c>
      <c r="C8769" s="1" t="n">
        <v>11</v>
      </c>
      <c r="D8769" s="1" t="s">
        <v>2290</v>
      </c>
      <c r="E8769" s="1" t="n">
        <v>1723</v>
      </c>
      <c r="F8769" s="1" t="s">
        <v>76</v>
      </c>
      <c r="I8769" s="1" t="n">
        <v>175357</v>
      </c>
      <c r="J8769" s="1" t="n">
        <v>29080</v>
      </c>
      <c r="K8769" s="1" t="n">
        <v>55516</v>
      </c>
      <c r="L8769" s="1" t="s">
        <v>2362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5" t="n">
        <v>46259</v>
      </c>
      <c r="C8770" s="1" t="n">
        <v>11</v>
      </c>
      <c r="D8770" s="1" t="s">
        <v>2290</v>
      </c>
      <c r="E8770" s="1" t="n">
        <v>1705</v>
      </c>
      <c r="F8770" s="1" t="s">
        <v>122</v>
      </c>
      <c r="I8770" s="1" t="n">
        <v>1262446</v>
      </c>
      <c r="J8770" s="1" t="n">
        <v>104029</v>
      </c>
      <c r="K8770" s="1" t="n">
        <v>7896045512317</v>
      </c>
      <c r="L8770" s="1" t="s">
        <v>2291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5" t="n">
        <v>46259</v>
      </c>
      <c r="C8771" s="1" t="n">
        <v>11</v>
      </c>
      <c r="D8771" s="1" t="s">
        <v>2290</v>
      </c>
      <c r="E8771" s="1" t="n">
        <v>1705</v>
      </c>
      <c r="F8771" s="1" t="s">
        <v>122</v>
      </c>
      <c r="I8771" s="1" t="n">
        <v>1262447</v>
      </c>
      <c r="J8771" s="1" t="n">
        <v>104575</v>
      </c>
      <c r="K8771" s="1" t="n">
        <v>7898341430098</v>
      </c>
      <c r="L8771" s="1" t="s">
        <v>3252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5" t="n">
        <v>46259</v>
      </c>
      <c r="C8772" s="1" t="n">
        <v>11</v>
      </c>
      <c r="D8772" s="1" t="s">
        <v>2290</v>
      </c>
      <c r="E8772" s="1" t="n">
        <v>1705</v>
      </c>
      <c r="F8772" s="1" t="s">
        <v>122</v>
      </c>
      <c r="I8772" s="1" t="n">
        <v>1262447</v>
      </c>
      <c r="J8772" s="1" t="n">
        <v>104576</v>
      </c>
      <c r="K8772" s="1" t="n">
        <v>7898341430111</v>
      </c>
      <c r="L8772" s="1" t="s">
        <v>3253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5" t="n">
        <v>46259</v>
      </c>
      <c r="C8773" s="1" t="n">
        <v>11</v>
      </c>
      <c r="D8773" s="1" t="s">
        <v>2290</v>
      </c>
      <c r="E8773" s="1" t="n">
        <v>1705</v>
      </c>
      <c r="F8773" s="1" t="s">
        <v>122</v>
      </c>
      <c r="I8773" s="1" t="n">
        <v>1262447</v>
      </c>
      <c r="J8773" s="1" t="n">
        <v>24324</v>
      </c>
      <c r="K8773" s="1" t="n">
        <v>70847022015</v>
      </c>
      <c r="L8773" s="1" t="s">
        <v>2292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5" t="n">
        <v>46259</v>
      </c>
      <c r="C8774" s="1" t="n">
        <v>11</v>
      </c>
      <c r="D8774" s="1" t="s">
        <v>2290</v>
      </c>
      <c r="E8774" s="1" t="n">
        <v>1705</v>
      </c>
      <c r="F8774" s="1" t="s">
        <v>122</v>
      </c>
      <c r="I8774" s="1" t="n">
        <v>1262447</v>
      </c>
      <c r="J8774" s="1" t="n">
        <v>24651</v>
      </c>
      <c r="K8774" s="1" t="n">
        <v>78936683</v>
      </c>
      <c r="L8774" s="1" t="s">
        <v>2573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5" t="n">
        <v>46259</v>
      </c>
      <c r="C8775" s="1" t="n">
        <v>11</v>
      </c>
      <c r="D8775" s="1" t="s">
        <v>2290</v>
      </c>
      <c r="E8775" s="1" t="n">
        <v>1705</v>
      </c>
      <c r="F8775" s="1" t="s">
        <v>122</v>
      </c>
      <c r="I8775" s="1" t="n">
        <v>1262447</v>
      </c>
      <c r="J8775" s="1" t="n">
        <v>62378</v>
      </c>
      <c r="K8775" s="1" t="n">
        <v>7896045506934</v>
      </c>
      <c r="L8775" s="1" t="s">
        <v>3190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5" t="n">
        <v>46259</v>
      </c>
      <c r="C8776" s="1" t="n">
        <v>11</v>
      </c>
      <c r="D8776" s="1" t="s">
        <v>2290</v>
      </c>
      <c r="E8776" s="1" t="n">
        <v>1705</v>
      </c>
      <c r="F8776" s="1" t="s">
        <v>122</v>
      </c>
      <c r="I8776" s="1" t="n">
        <v>1262447</v>
      </c>
      <c r="J8776" s="1" t="n">
        <v>77914</v>
      </c>
      <c r="K8776" s="1" t="n">
        <v>7894900530001</v>
      </c>
      <c r="L8776" s="1" t="s">
        <v>2299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5" t="n">
        <v>46259</v>
      </c>
      <c r="C8777" s="1" t="n">
        <v>11</v>
      </c>
      <c r="D8777" s="1" t="s">
        <v>2290</v>
      </c>
      <c r="E8777" s="1" t="n">
        <v>1705</v>
      </c>
      <c r="F8777" s="1" t="s">
        <v>122</v>
      </c>
      <c r="I8777" s="1" t="n">
        <v>1262447</v>
      </c>
      <c r="J8777" s="1" t="n">
        <v>79334</v>
      </c>
      <c r="K8777" s="1" t="n">
        <v>7894900531305</v>
      </c>
      <c r="L8777" s="1" t="s">
        <v>4024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5" t="n">
        <v>46259</v>
      </c>
      <c r="C8778" s="1" t="n">
        <v>11</v>
      </c>
      <c r="D8778" s="1" t="s">
        <v>2290</v>
      </c>
      <c r="E8778" s="1" t="n">
        <v>1705</v>
      </c>
      <c r="F8778" s="1" t="s">
        <v>122</v>
      </c>
      <c r="I8778" s="1" t="n">
        <v>1262447</v>
      </c>
      <c r="J8778" s="1" t="n">
        <v>79795</v>
      </c>
      <c r="K8778" s="1" t="n">
        <v>7894900530308</v>
      </c>
      <c r="L8778" s="1" t="s">
        <v>4025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5" t="n">
        <v>46259</v>
      </c>
      <c r="C8779" s="1" t="n">
        <v>11</v>
      </c>
      <c r="D8779" s="1" t="s">
        <v>2290</v>
      </c>
      <c r="E8779" s="1" t="n">
        <v>1637</v>
      </c>
      <c r="F8779" s="1" t="s">
        <v>295</v>
      </c>
      <c r="I8779" s="1" t="n">
        <v>1925262</v>
      </c>
      <c r="J8779" s="1" t="n">
        <v>36969</v>
      </c>
      <c r="K8779" s="1" t="n">
        <v>7891000325858</v>
      </c>
      <c r="L8779" s="1" t="s">
        <v>2815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5" t="n">
        <v>46259</v>
      </c>
      <c r="C8780" s="1" t="n">
        <v>11</v>
      </c>
      <c r="D8780" s="1" t="s">
        <v>2290</v>
      </c>
      <c r="E8780" s="1" t="n">
        <v>1637</v>
      </c>
      <c r="F8780" s="1" t="s">
        <v>295</v>
      </c>
      <c r="I8780" s="1" t="n">
        <v>1925262</v>
      </c>
      <c r="J8780" s="1" t="n">
        <v>58706</v>
      </c>
      <c r="K8780" s="1" t="n">
        <v>7891000376843</v>
      </c>
      <c r="L8780" s="1" t="s">
        <v>2624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5" t="n">
        <v>46259</v>
      </c>
      <c r="C8781" s="1" t="n">
        <v>11</v>
      </c>
      <c r="D8781" s="1" t="s">
        <v>2290</v>
      </c>
      <c r="E8781" s="1" t="n">
        <v>1705</v>
      </c>
      <c r="F8781" s="1" t="s">
        <v>122</v>
      </c>
      <c r="I8781" s="1" t="n">
        <v>2005905</v>
      </c>
      <c r="J8781" s="1" t="n">
        <v>103139</v>
      </c>
      <c r="K8781" s="1" t="n">
        <v>7894900051759</v>
      </c>
      <c r="L8781" s="1" t="s">
        <v>2303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5" t="n">
        <v>46259</v>
      </c>
      <c r="C8782" s="1" t="n">
        <v>11</v>
      </c>
      <c r="D8782" s="1" t="s">
        <v>2290</v>
      </c>
      <c r="E8782" s="1" t="n">
        <v>1705</v>
      </c>
      <c r="F8782" s="1" t="s">
        <v>122</v>
      </c>
      <c r="I8782" s="1" t="n">
        <v>2005905</v>
      </c>
      <c r="J8782" s="1" t="n">
        <v>103140</v>
      </c>
      <c r="K8782" s="1" t="n">
        <v>7894900031751</v>
      </c>
      <c r="L8782" s="1" t="s">
        <v>2304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5" t="n">
        <v>46259</v>
      </c>
      <c r="C8783" s="1" t="n">
        <v>11</v>
      </c>
      <c r="D8783" s="1" t="s">
        <v>2290</v>
      </c>
      <c r="E8783" s="1" t="n">
        <v>1705</v>
      </c>
      <c r="F8783" s="1" t="s">
        <v>122</v>
      </c>
      <c r="I8783" s="1" t="n">
        <v>2005905</v>
      </c>
      <c r="J8783" s="1" t="n">
        <v>103145</v>
      </c>
      <c r="K8783" s="1" t="n">
        <v>7894900051513</v>
      </c>
      <c r="L8783" s="1" t="s">
        <v>2306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5" t="n">
        <v>46259</v>
      </c>
      <c r="C8784" s="1" t="n">
        <v>11</v>
      </c>
      <c r="D8784" s="1" t="s">
        <v>2290</v>
      </c>
      <c r="E8784" s="1" t="n">
        <v>1705</v>
      </c>
      <c r="F8784" s="1" t="s">
        <v>122</v>
      </c>
      <c r="I8784" s="1" t="n">
        <v>2005905</v>
      </c>
      <c r="J8784" s="1" t="n">
        <v>103146</v>
      </c>
      <c r="K8784" s="1" t="n">
        <v>7894900031515</v>
      </c>
      <c r="L8784" s="1" t="s">
        <v>2876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5" t="n">
        <v>46259</v>
      </c>
      <c r="C8785" s="1" t="n">
        <v>11</v>
      </c>
      <c r="D8785" s="1" t="s">
        <v>2290</v>
      </c>
      <c r="E8785" s="1" t="n">
        <v>1705</v>
      </c>
      <c r="F8785" s="1" t="s">
        <v>122</v>
      </c>
      <c r="I8785" s="1" t="n">
        <v>2005905</v>
      </c>
      <c r="J8785" s="1" t="n">
        <v>103161</v>
      </c>
      <c r="K8785" s="1" t="n">
        <v>7894900010015</v>
      </c>
      <c r="L8785" s="1" t="s">
        <v>3192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5" t="n">
        <v>46259</v>
      </c>
      <c r="C8786" s="1" t="n">
        <v>11</v>
      </c>
      <c r="D8786" s="1" t="s">
        <v>2290</v>
      </c>
      <c r="E8786" s="1" t="n">
        <v>1705</v>
      </c>
      <c r="F8786" s="1" t="s">
        <v>122</v>
      </c>
      <c r="I8786" s="1" t="n">
        <v>2005905</v>
      </c>
      <c r="J8786" s="1" t="n">
        <v>105323</v>
      </c>
      <c r="K8786" s="1" t="n">
        <v>7894900701753</v>
      </c>
      <c r="L8786" s="1" t="s">
        <v>2307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5" t="n">
        <v>46259</v>
      </c>
      <c r="C8787" s="1" t="n">
        <v>11</v>
      </c>
      <c r="D8787" s="1" t="s">
        <v>2290</v>
      </c>
      <c r="E8787" s="1" t="n">
        <v>1705</v>
      </c>
      <c r="F8787" s="1" t="s">
        <v>122</v>
      </c>
      <c r="I8787" s="1" t="n">
        <v>2005905</v>
      </c>
      <c r="J8787" s="1" t="n">
        <v>105670</v>
      </c>
      <c r="K8787" s="1" t="n">
        <v>7897105200137</v>
      </c>
      <c r="L8787" s="1" t="s">
        <v>5052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5" t="n">
        <v>46259</v>
      </c>
      <c r="C8788" s="1" t="n">
        <v>11</v>
      </c>
      <c r="D8788" s="1" t="s">
        <v>2290</v>
      </c>
      <c r="E8788" s="1" t="n">
        <v>1705</v>
      </c>
      <c r="F8788" s="1" t="s">
        <v>122</v>
      </c>
      <c r="I8788" s="1" t="n">
        <v>2005905</v>
      </c>
      <c r="J8788" s="1" t="n">
        <v>107100</v>
      </c>
      <c r="K8788" s="1" t="n">
        <v>7894900700015</v>
      </c>
      <c r="L8788" s="1" t="s">
        <v>2878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5" t="n">
        <v>46259</v>
      </c>
      <c r="C8789" s="1" t="n">
        <v>11</v>
      </c>
      <c r="D8789" s="1" t="s">
        <v>2290</v>
      </c>
      <c r="E8789" s="1" t="n">
        <v>1705</v>
      </c>
      <c r="F8789" s="1" t="s">
        <v>122</v>
      </c>
      <c r="I8789" s="1" t="n">
        <v>2005905</v>
      </c>
      <c r="J8789" s="1" t="n">
        <v>10830</v>
      </c>
      <c r="K8789" s="1" t="n">
        <v>7894900701517</v>
      </c>
      <c r="L8789" s="1" t="s">
        <v>2879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5" t="n">
        <v>46259</v>
      </c>
      <c r="C8790" s="1" t="n">
        <v>11</v>
      </c>
      <c r="D8790" s="1" t="s">
        <v>2290</v>
      </c>
      <c r="E8790" s="1" t="n">
        <v>1705</v>
      </c>
      <c r="F8790" s="1" t="s">
        <v>122</v>
      </c>
      <c r="I8790" s="1" t="n">
        <v>2005905</v>
      </c>
      <c r="J8790" s="1" t="n">
        <v>21183</v>
      </c>
      <c r="K8790" s="1" t="n">
        <v>7894900556063</v>
      </c>
      <c r="L8790" s="1" t="s">
        <v>3634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5" t="n">
        <v>46259</v>
      </c>
      <c r="C8791" s="1" t="n">
        <v>11</v>
      </c>
      <c r="D8791" s="1" t="s">
        <v>2290</v>
      </c>
      <c r="E8791" s="1" t="n">
        <v>1705</v>
      </c>
      <c r="F8791" s="1" t="s">
        <v>122</v>
      </c>
      <c r="I8791" s="1" t="n">
        <v>2005905</v>
      </c>
      <c r="J8791" s="1" t="n">
        <v>29826</v>
      </c>
      <c r="K8791" s="1" t="n">
        <v>7894900556032</v>
      </c>
      <c r="L8791" s="1" t="s">
        <v>4200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5" t="n">
        <v>46259</v>
      </c>
      <c r="C8792" s="1" t="n">
        <v>11</v>
      </c>
      <c r="D8792" s="1" t="s">
        <v>2290</v>
      </c>
      <c r="E8792" s="1" t="n">
        <v>1705</v>
      </c>
      <c r="F8792" s="1" t="s">
        <v>122</v>
      </c>
      <c r="I8792" s="1" t="n">
        <v>2005905</v>
      </c>
      <c r="J8792" s="1" t="n">
        <v>31367</v>
      </c>
      <c r="K8792" s="1" t="n">
        <v>7894900704211</v>
      </c>
      <c r="L8792" s="1" t="s">
        <v>2310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5" t="n">
        <v>46259</v>
      </c>
      <c r="C8793" s="1" t="n">
        <v>11</v>
      </c>
      <c r="D8793" s="1" t="s">
        <v>2290</v>
      </c>
      <c r="E8793" s="1" t="n">
        <v>1705</v>
      </c>
      <c r="F8793" s="1" t="s">
        <v>122</v>
      </c>
      <c r="I8793" s="1" t="n">
        <v>2005905</v>
      </c>
      <c r="J8793" s="1" t="n">
        <v>32339</v>
      </c>
      <c r="K8793" s="1" t="n">
        <v>7894900681000</v>
      </c>
      <c r="L8793" s="1" t="s">
        <v>3261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5" t="n">
        <v>46259</v>
      </c>
      <c r="C8794" s="1" t="n">
        <v>11</v>
      </c>
      <c r="D8794" s="1" t="s">
        <v>2290</v>
      </c>
      <c r="E8794" s="1" t="n">
        <v>1705</v>
      </c>
      <c r="F8794" s="1" t="s">
        <v>122</v>
      </c>
      <c r="I8794" s="1" t="n">
        <v>2005905</v>
      </c>
      <c r="J8794" s="1" t="n">
        <v>34629</v>
      </c>
      <c r="K8794" s="1" t="n">
        <v>7894900027020</v>
      </c>
      <c r="L8794" s="1" t="s">
        <v>2313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5" t="n">
        <v>46259</v>
      </c>
      <c r="C8795" s="1" t="n">
        <v>11</v>
      </c>
      <c r="D8795" s="1" t="s">
        <v>2290</v>
      </c>
      <c r="E8795" s="1" t="n">
        <v>1705</v>
      </c>
      <c r="F8795" s="1" t="s">
        <v>122</v>
      </c>
      <c r="I8795" s="1" t="n">
        <v>2005905</v>
      </c>
      <c r="J8795" s="1" t="n">
        <v>37279</v>
      </c>
      <c r="K8795" s="1" t="n">
        <v>7894900027013</v>
      </c>
      <c r="L8795" s="1" t="s">
        <v>2305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5" t="n">
        <v>46259</v>
      </c>
      <c r="C8796" s="1" t="n">
        <v>11</v>
      </c>
      <c r="D8796" s="1" t="s">
        <v>2290</v>
      </c>
      <c r="E8796" s="1" t="n">
        <v>1705</v>
      </c>
      <c r="F8796" s="1" t="s">
        <v>122</v>
      </c>
      <c r="I8796" s="1" t="n">
        <v>2005905</v>
      </c>
      <c r="J8796" s="1" t="n">
        <v>38060</v>
      </c>
      <c r="K8796" s="1" t="n">
        <v>7894900701609</v>
      </c>
      <c r="L8796" s="1" t="s">
        <v>2884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5" t="n">
        <v>46259</v>
      </c>
      <c r="C8797" s="1" t="n">
        <v>11</v>
      </c>
      <c r="D8797" s="1" t="s">
        <v>2290</v>
      </c>
      <c r="E8797" s="1" t="n">
        <v>1705</v>
      </c>
      <c r="F8797" s="1" t="s">
        <v>122</v>
      </c>
      <c r="I8797" s="1" t="n">
        <v>2005905</v>
      </c>
      <c r="J8797" s="1" t="n">
        <v>41322</v>
      </c>
      <c r="K8797" s="1" t="n">
        <v>7897105200076</v>
      </c>
      <c r="L8797" s="1" t="s">
        <v>3639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5" t="n">
        <v>46259</v>
      </c>
      <c r="C8798" s="1" t="n">
        <v>11</v>
      </c>
      <c r="D8798" s="1" t="s">
        <v>2290</v>
      </c>
      <c r="E8798" s="1" t="n">
        <v>1705</v>
      </c>
      <c r="F8798" s="1" t="s">
        <v>122</v>
      </c>
      <c r="I8798" s="1" t="n">
        <v>2006202</v>
      </c>
      <c r="J8798" s="1" t="n">
        <v>103142</v>
      </c>
      <c r="K8798" s="1" t="n">
        <v>7894900011753</v>
      </c>
      <c r="L8798" s="1" t="s">
        <v>2305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5" t="n">
        <v>46259</v>
      </c>
      <c r="C8799" s="1" t="n">
        <v>22</v>
      </c>
      <c r="D8799" s="1" t="s">
        <v>2436</v>
      </c>
      <c r="E8799" s="1" t="n">
        <v>42</v>
      </c>
      <c r="F8799" s="1" t="s">
        <v>80</v>
      </c>
      <c r="I8799" s="1" t="n">
        <v>4541</v>
      </c>
      <c r="J8799" s="1" t="n">
        <v>100000</v>
      </c>
      <c r="K8799" s="1" t="n">
        <v>1</v>
      </c>
      <c r="L8799" s="1" t="s">
        <v>2451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5" t="n">
        <v>46259</v>
      </c>
      <c r="C8800" s="1" t="n">
        <v>22</v>
      </c>
      <c r="D8800" s="1" t="s">
        <v>2436</v>
      </c>
      <c r="E8800" s="1" t="n">
        <v>42</v>
      </c>
      <c r="F8800" s="1" t="s">
        <v>80</v>
      </c>
      <c r="I8800" s="1" t="n">
        <v>4541</v>
      </c>
      <c r="J8800" s="1" t="n">
        <v>100001</v>
      </c>
      <c r="K8800" s="1" t="n">
        <v>2</v>
      </c>
      <c r="L8800" s="1" t="s">
        <v>2452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5" t="n">
        <v>46259</v>
      </c>
      <c r="C8801" s="1" t="n">
        <v>22</v>
      </c>
      <c r="D8801" s="1" t="s">
        <v>2436</v>
      </c>
      <c r="E8801" s="1" t="n">
        <v>42</v>
      </c>
      <c r="F8801" s="1" t="s">
        <v>80</v>
      </c>
      <c r="I8801" s="1" t="n">
        <v>4541</v>
      </c>
      <c r="J8801" s="1" t="n">
        <v>100002</v>
      </c>
      <c r="K8801" s="1" t="n">
        <v>3</v>
      </c>
      <c r="L8801" s="1" t="s">
        <v>2453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5" t="n">
        <v>46259</v>
      </c>
      <c r="C8802" s="1" t="n">
        <v>22</v>
      </c>
      <c r="D8802" s="1" t="s">
        <v>2436</v>
      </c>
      <c r="E8802" s="1" t="n">
        <v>42</v>
      </c>
      <c r="F8802" s="1" t="s">
        <v>80</v>
      </c>
      <c r="I8802" s="1" t="n">
        <v>4541</v>
      </c>
      <c r="J8802" s="1" t="n">
        <v>100003</v>
      </c>
      <c r="K8802" s="1" t="n">
        <v>4</v>
      </c>
      <c r="L8802" s="1" t="s">
        <v>2454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5" t="n">
        <v>46259</v>
      </c>
      <c r="C8803" s="1" t="n">
        <v>22</v>
      </c>
      <c r="D8803" s="1" t="s">
        <v>2436</v>
      </c>
      <c r="E8803" s="1" t="n">
        <v>42</v>
      </c>
      <c r="F8803" s="1" t="s">
        <v>80</v>
      </c>
      <c r="I8803" s="1" t="n">
        <v>4541</v>
      </c>
      <c r="J8803" s="1" t="n">
        <v>100007</v>
      </c>
      <c r="K8803" s="1" t="n">
        <v>8</v>
      </c>
      <c r="L8803" s="1" t="s">
        <v>2455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5" t="n">
        <v>46259</v>
      </c>
      <c r="C8804" s="1" t="n">
        <v>22</v>
      </c>
      <c r="D8804" s="1" t="s">
        <v>2436</v>
      </c>
      <c r="E8804" s="1" t="n">
        <v>42</v>
      </c>
      <c r="F8804" s="1" t="s">
        <v>80</v>
      </c>
      <c r="I8804" s="1" t="n">
        <v>4541</v>
      </c>
      <c r="J8804" s="1" t="n">
        <v>100638</v>
      </c>
      <c r="K8804" s="1" t="n">
        <v>508</v>
      </c>
      <c r="L8804" s="1" t="s">
        <v>2448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5" t="n">
        <v>46259</v>
      </c>
      <c r="C8805" s="1" t="n">
        <v>22</v>
      </c>
      <c r="D8805" s="1" t="s">
        <v>2436</v>
      </c>
      <c r="E8805" s="1" t="n">
        <v>42</v>
      </c>
      <c r="F8805" s="1" t="s">
        <v>80</v>
      </c>
      <c r="I8805" s="1" t="n">
        <v>4541</v>
      </c>
      <c r="J8805" s="1" t="n">
        <v>100520</v>
      </c>
      <c r="K8805" s="1" t="n">
        <v>507</v>
      </c>
      <c r="L8805" s="1" t="s">
        <v>2449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5" t="n">
        <v>46259</v>
      </c>
      <c r="C8806" s="1" t="n">
        <v>22</v>
      </c>
      <c r="D8806" s="1" t="s">
        <v>2436</v>
      </c>
      <c r="E8806" s="1" t="n">
        <v>42</v>
      </c>
      <c r="F8806" s="1" t="s">
        <v>80</v>
      </c>
      <c r="I8806" s="1" t="n">
        <v>4541</v>
      </c>
      <c r="J8806" s="1" t="n">
        <v>110455</v>
      </c>
      <c r="K8806" s="1" t="n">
        <v>53212</v>
      </c>
      <c r="L8806" s="1" t="s">
        <v>2450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5" t="n">
        <v>46259</v>
      </c>
      <c r="C8807" s="1" t="n">
        <v>39</v>
      </c>
      <c r="D8807" s="1" t="s">
        <v>2515</v>
      </c>
      <c r="E8807" s="1" t="n">
        <v>1895</v>
      </c>
      <c r="F8807" s="1" t="s">
        <v>159</v>
      </c>
      <c r="I8807" s="1" t="n">
        <v>46430</v>
      </c>
      <c r="J8807" s="1" t="n">
        <v>41481</v>
      </c>
      <c r="K8807" s="1" t="n">
        <v>7898963539469</v>
      </c>
      <c r="L8807" s="1" t="s">
        <v>5053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5" t="n">
        <v>46259</v>
      </c>
      <c r="C8808" s="1" t="n">
        <v>39</v>
      </c>
      <c r="D8808" s="1" t="s">
        <v>2515</v>
      </c>
      <c r="E8808" s="1" t="n">
        <v>1895</v>
      </c>
      <c r="F8808" s="1" t="s">
        <v>159</v>
      </c>
      <c r="I8808" s="1" t="n">
        <v>46430</v>
      </c>
      <c r="J8808" s="1" t="n">
        <v>41481</v>
      </c>
      <c r="K8808" s="1" t="n">
        <v>7898963539469</v>
      </c>
      <c r="L8808" s="1" t="s">
        <v>5053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5" t="n">
        <v>46259</v>
      </c>
      <c r="C8809" s="1" t="n">
        <v>39</v>
      </c>
      <c r="D8809" s="1" t="s">
        <v>2515</v>
      </c>
      <c r="E8809" s="1" t="n">
        <v>1895</v>
      </c>
      <c r="F8809" s="1" t="s">
        <v>159</v>
      </c>
      <c r="I8809" s="1" t="n">
        <v>46430</v>
      </c>
      <c r="J8809" s="1" t="n">
        <v>43686</v>
      </c>
      <c r="K8809" s="1" t="n">
        <v>7896030899249</v>
      </c>
      <c r="L8809" s="1" t="s">
        <v>3827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5" t="n">
        <v>46259</v>
      </c>
      <c r="C8810" s="1" t="n">
        <v>39</v>
      </c>
      <c r="D8810" s="1" t="s">
        <v>2515</v>
      </c>
      <c r="E8810" s="1" t="n">
        <v>1895</v>
      </c>
      <c r="F8810" s="1" t="s">
        <v>159</v>
      </c>
      <c r="I8810" s="1" t="n">
        <v>46430</v>
      </c>
      <c r="J8810" s="1" t="n">
        <v>43686</v>
      </c>
      <c r="K8810" s="1" t="n">
        <v>7896030899249</v>
      </c>
      <c r="L8810" s="1" t="s">
        <v>3827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5" t="n">
        <v>46259</v>
      </c>
      <c r="C8811" s="1" t="n">
        <v>39</v>
      </c>
      <c r="D8811" s="1" t="s">
        <v>2515</v>
      </c>
      <c r="E8811" s="1" t="n">
        <v>1895</v>
      </c>
      <c r="F8811" s="1" t="s">
        <v>159</v>
      </c>
      <c r="I8811" s="1" t="n">
        <v>46430</v>
      </c>
      <c r="J8811" s="1" t="n">
        <v>45825</v>
      </c>
      <c r="K8811" s="1" t="n">
        <v>7898948000038</v>
      </c>
      <c r="L8811" s="1" t="s">
        <v>4447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5" t="n">
        <v>46259</v>
      </c>
      <c r="C8812" s="1" t="n">
        <v>100</v>
      </c>
      <c r="D8812" s="1" t="s">
        <v>2457</v>
      </c>
      <c r="E8812" s="1" t="n">
        <v>42</v>
      </c>
      <c r="F8812" s="1" t="s">
        <v>80</v>
      </c>
      <c r="I8812" s="1" t="n">
        <v>1598890</v>
      </c>
      <c r="J8812" s="1" t="n">
        <v>100000</v>
      </c>
      <c r="K8812" s="1" t="n">
        <v>1</v>
      </c>
      <c r="L8812" s="1" t="s">
        <v>2451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5" t="n">
        <v>46259</v>
      </c>
      <c r="C8813" s="1" t="n">
        <v>100</v>
      </c>
      <c r="D8813" s="1" t="s">
        <v>2457</v>
      </c>
      <c r="E8813" s="1" t="n">
        <v>42</v>
      </c>
      <c r="F8813" s="1" t="s">
        <v>80</v>
      </c>
      <c r="I8813" s="1" t="n">
        <v>1598890</v>
      </c>
      <c r="J8813" s="1" t="n">
        <v>100001</v>
      </c>
      <c r="K8813" s="1" t="n">
        <v>2</v>
      </c>
      <c r="L8813" s="1" t="s">
        <v>2452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5" t="n">
        <v>46259</v>
      </c>
      <c r="C8814" s="1" t="n">
        <v>100</v>
      </c>
      <c r="D8814" s="1" t="s">
        <v>2457</v>
      </c>
      <c r="E8814" s="1" t="n">
        <v>42</v>
      </c>
      <c r="F8814" s="1" t="s">
        <v>80</v>
      </c>
      <c r="I8814" s="1" t="n">
        <v>1598890</v>
      </c>
      <c r="J8814" s="1" t="n">
        <v>100002</v>
      </c>
      <c r="K8814" s="1" t="n">
        <v>3</v>
      </c>
      <c r="L8814" s="1" t="s">
        <v>2453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5" t="n">
        <v>46259</v>
      </c>
      <c r="C8815" s="1" t="n">
        <v>100</v>
      </c>
      <c r="D8815" s="1" t="s">
        <v>2457</v>
      </c>
      <c r="E8815" s="1" t="n">
        <v>42</v>
      </c>
      <c r="F8815" s="1" t="s">
        <v>80</v>
      </c>
      <c r="I8815" s="1" t="n">
        <v>1598890</v>
      </c>
      <c r="J8815" s="1" t="n">
        <v>100003</v>
      </c>
      <c r="K8815" s="1" t="n">
        <v>4</v>
      </c>
      <c r="L8815" s="1" t="s">
        <v>2454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5" t="n">
        <v>46259</v>
      </c>
      <c r="C8816" s="1" t="n">
        <v>100</v>
      </c>
      <c r="D8816" s="1" t="s">
        <v>2457</v>
      </c>
      <c r="E8816" s="1" t="n">
        <v>42</v>
      </c>
      <c r="F8816" s="1" t="s">
        <v>80</v>
      </c>
      <c r="I8816" s="1" t="n">
        <v>1598890</v>
      </c>
      <c r="J8816" s="1" t="n">
        <v>100007</v>
      </c>
      <c r="K8816" s="1" t="n">
        <v>8</v>
      </c>
      <c r="L8816" s="1" t="s">
        <v>2455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5" t="n">
        <v>46259</v>
      </c>
      <c r="C8817" s="1" t="n">
        <v>100</v>
      </c>
      <c r="D8817" s="1" t="s">
        <v>2457</v>
      </c>
      <c r="E8817" s="1" t="n">
        <v>42</v>
      </c>
      <c r="F8817" s="1" t="s">
        <v>80</v>
      </c>
      <c r="I8817" s="1" t="n">
        <v>1598890</v>
      </c>
      <c r="J8817" s="1" t="n">
        <v>100638</v>
      </c>
      <c r="K8817" s="1" t="n">
        <v>508</v>
      </c>
      <c r="L8817" s="1" t="s">
        <v>2448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5" t="n">
        <v>46259</v>
      </c>
      <c r="C8818" s="1" t="n">
        <v>100</v>
      </c>
      <c r="D8818" s="1" t="s">
        <v>2457</v>
      </c>
      <c r="E8818" s="1" t="n">
        <v>42</v>
      </c>
      <c r="F8818" s="1" t="s">
        <v>80</v>
      </c>
      <c r="I8818" s="1" t="n">
        <v>1598890</v>
      </c>
      <c r="J8818" s="1" t="n">
        <v>100520</v>
      </c>
      <c r="K8818" s="1" t="n">
        <v>507</v>
      </c>
      <c r="L8818" s="1" t="s">
        <v>2449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5" t="n">
        <v>46259</v>
      </c>
      <c r="C8819" s="1" t="n">
        <v>100</v>
      </c>
      <c r="D8819" s="1" t="s">
        <v>2457</v>
      </c>
      <c r="E8819" s="1" t="n">
        <v>42</v>
      </c>
      <c r="F8819" s="1" t="s">
        <v>80</v>
      </c>
      <c r="I8819" s="1" t="n">
        <v>1598890</v>
      </c>
      <c r="J8819" s="1" t="n">
        <v>110455</v>
      </c>
      <c r="K8819" s="1" t="n">
        <v>53212</v>
      </c>
      <c r="L8819" s="1" t="s">
        <v>2450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5" t="n">
        <v>46260</v>
      </c>
      <c r="C8820" s="1" t="n">
        <v>6</v>
      </c>
      <c r="D8820" s="1" t="s">
        <v>2289</v>
      </c>
      <c r="E8820" s="1" t="n">
        <v>42</v>
      </c>
      <c r="F8820" s="1" t="s">
        <v>80</v>
      </c>
      <c r="I8820" s="1" t="n">
        <v>4546</v>
      </c>
      <c r="J8820" s="1" t="n">
        <v>100103</v>
      </c>
      <c r="K8820" s="1" t="n">
        <v>104</v>
      </c>
      <c r="L8820" s="1" t="s">
        <v>2287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5" t="n">
        <v>46260</v>
      </c>
      <c r="C8821" s="1" t="n">
        <v>6</v>
      </c>
      <c r="D8821" s="1" t="s">
        <v>2289</v>
      </c>
      <c r="E8821" s="1" t="n">
        <v>42</v>
      </c>
      <c r="F8821" s="1" t="s">
        <v>80</v>
      </c>
      <c r="I8821" s="1" t="n">
        <v>4547</v>
      </c>
      <c r="J8821" s="1" t="n">
        <v>109791</v>
      </c>
      <c r="K8821" s="1" t="n">
        <v>9667</v>
      </c>
      <c r="L8821" s="1" t="s">
        <v>2284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5" t="n">
        <v>46260</v>
      </c>
      <c r="C8822" s="1" t="n">
        <v>6</v>
      </c>
      <c r="D8822" s="1" t="s">
        <v>2289</v>
      </c>
      <c r="E8822" s="1" t="n">
        <v>42</v>
      </c>
      <c r="F8822" s="1" t="s">
        <v>80</v>
      </c>
      <c r="I8822" s="1" t="n">
        <v>4547</v>
      </c>
      <c r="J8822" s="1" t="n">
        <v>37359</v>
      </c>
      <c r="K8822" s="1" t="n">
        <v>55526</v>
      </c>
      <c r="L8822" s="1" t="s">
        <v>2285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5" t="n">
        <v>46260</v>
      </c>
      <c r="C8823" s="1" t="n">
        <v>11</v>
      </c>
      <c r="D8823" s="1" t="s">
        <v>2290</v>
      </c>
      <c r="E8823" s="1" t="n">
        <v>911</v>
      </c>
      <c r="F8823" s="1" t="s">
        <v>587</v>
      </c>
      <c r="I8823" s="1" t="n">
        <v>57306</v>
      </c>
      <c r="J8823" s="1" t="n">
        <v>102391</v>
      </c>
      <c r="K8823" s="1" t="n">
        <v>95188790348</v>
      </c>
      <c r="L8823" s="1" t="s">
        <v>2672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5" t="n">
        <v>46260</v>
      </c>
      <c r="C8824" s="1" t="n">
        <v>11</v>
      </c>
      <c r="D8824" s="1" t="s">
        <v>2290</v>
      </c>
      <c r="E8824" s="1" t="n">
        <v>911</v>
      </c>
      <c r="F8824" s="1" t="s">
        <v>587</v>
      </c>
      <c r="I8824" s="1" t="n">
        <v>57306</v>
      </c>
      <c r="J8824" s="1" t="n">
        <v>25959</v>
      </c>
      <c r="K8824" s="1" t="n">
        <v>7898007220834</v>
      </c>
      <c r="L8824" s="1" t="s">
        <v>4033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5" t="n">
        <v>46260</v>
      </c>
      <c r="C8825" s="1" t="n">
        <v>11</v>
      </c>
      <c r="D8825" s="1" t="s">
        <v>2290</v>
      </c>
      <c r="E8825" s="1" t="n">
        <v>911</v>
      </c>
      <c r="F8825" s="1" t="s">
        <v>587</v>
      </c>
      <c r="I8825" s="1" t="n">
        <v>57306</v>
      </c>
      <c r="J8825" s="1" t="n">
        <v>30108</v>
      </c>
      <c r="K8825" s="1" t="n">
        <v>7898007220766</v>
      </c>
      <c r="L8825" s="1" t="s">
        <v>4035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5" t="n">
        <v>46260</v>
      </c>
      <c r="C8826" s="1" t="n">
        <v>11</v>
      </c>
      <c r="D8826" s="1" t="s">
        <v>2290</v>
      </c>
      <c r="E8826" s="1" t="n">
        <v>911</v>
      </c>
      <c r="F8826" s="1" t="s">
        <v>587</v>
      </c>
      <c r="I8826" s="1" t="n">
        <v>57306</v>
      </c>
      <c r="J8826" s="1" t="n">
        <v>61432</v>
      </c>
      <c r="K8826" s="1" t="n">
        <v>95188874505</v>
      </c>
      <c r="L8826" s="1" t="s">
        <v>4036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5" t="n">
        <v>46260</v>
      </c>
      <c r="C8827" s="1" t="n">
        <v>11</v>
      </c>
      <c r="D8827" s="1" t="s">
        <v>2290</v>
      </c>
      <c r="E8827" s="1" t="n">
        <v>911</v>
      </c>
      <c r="F8827" s="1" t="s">
        <v>587</v>
      </c>
      <c r="I8827" s="1" t="n">
        <v>57306</v>
      </c>
      <c r="J8827" s="1" t="n">
        <v>63644</v>
      </c>
      <c r="K8827" s="1" t="n">
        <v>95188870507</v>
      </c>
      <c r="L8827" s="1" t="s">
        <v>2675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5" t="n">
        <v>46260</v>
      </c>
      <c r="C8828" s="1" t="n">
        <v>11</v>
      </c>
      <c r="D8828" s="1" t="s">
        <v>2290</v>
      </c>
      <c r="E8828" s="1" t="n">
        <v>911</v>
      </c>
      <c r="F8828" s="1" t="s">
        <v>587</v>
      </c>
      <c r="I8828" s="1" t="n">
        <v>57306</v>
      </c>
      <c r="J8828" s="1" t="n">
        <v>65695</v>
      </c>
      <c r="K8828" s="1" t="n">
        <v>7898007221312</v>
      </c>
      <c r="L8828" s="1" t="s">
        <v>5054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5" t="n">
        <v>46260</v>
      </c>
      <c r="C8829" s="1" t="n">
        <v>11</v>
      </c>
      <c r="D8829" s="1" t="s">
        <v>2290</v>
      </c>
      <c r="E8829" s="1" t="n">
        <v>1723</v>
      </c>
      <c r="F8829" s="1" t="s">
        <v>76</v>
      </c>
      <c r="I8829" s="1" t="n">
        <v>175417</v>
      </c>
      <c r="J8829" s="1" t="n">
        <v>29079</v>
      </c>
      <c r="K8829" s="1" t="n">
        <v>55515</v>
      </c>
      <c r="L8829" s="1" t="s">
        <v>2360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5" t="n">
        <v>46260</v>
      </c>
      <c r="C8830" s="1" t="n">
        <v>11</v>
      </c>
      <c r="D8830" s="1" t="s">
        <v>2290</v>
      </c>
      <c r="E8830" s="1" t="n">
        <v>1723</v>
      </c>
      <c r="F8830" s="1" t="s">
        <v>76</v>
      </c>
      <c r="I8830" s="1" t="n">
        <v>175417</v>
      </c>
      <c r="J8830" s="1" t="n">
        <v>29080</v>
      </c>
      <c r="K8830" s="1" t="n">
        <v>55516</v>
      </c>
      <c r="L8830" s="1" t="s">
        <v>2362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5" t="n">
        <v>46260</v>
      </c>
      <c r="C8831" s="1" t="n">
        <v>11</v>
      </c>
      <c r="D8831" s="1" t="s">
        <v>2290</v>
      </c>
      <c r="E8831" s="1" t="n">
        <v>1024</v>
      </c>
      <c r="F8831" s="1" t="s">
        <v>161</v>
      </c>
      <c r="I8831" s="1" t="n">
        <v>628889</v>
      </c>
      <c r="J8831" s="1" t="n">
        <v>30387</v>
      </c>
      <c r="K8831" s="1" t="n">
        <v>7898654710092</v>
      </c>
      <c r="L8831" s="1" t="s">
        <v>3144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5" t="n">
        <v>46260</v>
      </c>
      <c r="C8832" s="1" t="n">
        <v>11</v>
      </c>
      <c r="D8832" s="1" t="s">
        <v>2290</v>
      </c>
      <c r="E8832" s="1" t="n">
        <v>1024</v>
      </c>
      <c r="F8832" s="1" t="s">
        <v>161</v>
      </c>
      <c r="I8832" s="1" t="n">
        <v>628889</v>
      </c>
      <c r="J8832" s="1" t="n">
        <v>103169</v>
      </c>
      <c r="K8832" s="1" t="n">
        <v>7898919635016</v>
      </c>
      <c r="L8832" s="1" t="s">
        <v>3145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5" t="n">
        <v>46260</v>
      </c>
      <c r="C8833" s="1" t="n">
        <v>11</v>
      </c>
      <c r="D8833" s="1" t="s">
        <v>2290</v>
      </c>
      <c r="E8833" s="1" t="n">
        <v>1024</v>
      </c>
      <c r="F8833" s="1" t="s">
        <v>161</v>
      </c>
      <c r="I8833" s="1" t="n">
        <v>628889</v>
      </c>
      <c r="J8833" s="1" t="n">
        <v>103170</v>
      </c>
      <c r="K8833" s="1" t="n">
        <v>7896792000020</v>
      </c>
      <c r="L8833" s="1" t="s">
        <v>3146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5" t="n">
        <v>46260</v>
      </c>
      <c r="C8834" s="1" t="n">
        <v>11</v>
      </c>
      <c r="D8834" s="1" t="s">
        <v>2290</v>
      </c>
      <c r="E8834" s="1" t="n">
        <v>1024</v>
      </c>
      <c r="F8834" s="1" t="s">
        <v>161</v>
      </c>
      <c r="I8834" s="1" t="n">
        <v>628889</v>
      </c>
      <c r="J8834" s="1" t="n">
        <v>10276</v>
      </c>
      <c r="K8834" s="1" t="n">
        <v>7898919635030</v>
      </c>
      <c r="L8834" s="1" t="s">
        <v>3149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5" t="n">
        <v>46260</v>
      </c>
      <c r="C8835" s="1" t="n">
        <v>100</v>
      </c>
      <c r="D8835" s="1" t="s">
        <v>2457</v>
      </c>
      <c r="E8835" s="1" t="n">
        <v>42</v>
      </c>
      <c r="F8835" s="1" t="s">
        <v>80</v>
      </c>
      <c r="I8835" s="1" t="n">
        <v>1603886</v>
      </c>
      <c r="J8835" s="1" t="n">
        <v>100000</v>
      </c>
      <c r="K8835" s="1" t="n">
        <v>1</v>
      </c>
      <c r="L8835" s="1" t="s">
        <v>2451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5" t="n">
        <v>46260</v>
      </c>
      <c r="C8836" s="1" t="n">
        <v>100</v>
      </c>
      <c r="D8836" s="1" t="s">
        <v>2457</v>
      </c>
      <c r="E8836" s="1" t="n">
        <v>42</v>
      </c>
      <c r="F8836" s="1" t="s">
        <v>80</v>
      </c>
      <c r="I8836" s="1" t="n">
        <v>1603886</v>
      </c>
      <c r="J8836" s="1" t="n">
        <v>100001</v>
      </c>
      <c r="K8836" s="1" t="n">
        <v>2</v>
      </c>
      <c r="L8836" s="1" t="s">
        <v>2452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5" t="n">
        <v>46260</v>
      </c>
      <c r="C8837" s="1" t="n">
        <v>100</v>
      </c>
      <c r="D8837" s="1" t="s">
        <v>2457</v>
      </c>
      <c r="E8837" s="1" t="n">
        <v>42</v>
      </c>
      <c r="F8837" s="1" t="s">
        <v>80</v>
      </c>
      <c r="I8837" s="1" t="n">
        <v>1603886</v>
      </c>
      <c r="J8837" s="1" t="n">
        <v>100002</v>
      </c>
      <c r="K8837" s="1" t="n">
        <v>3</v>
      </c>
      <c r="L8837" s="1" t="s">
        <v>2453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5" t="n">
        <v>46260</v>
      </c>
      <c r="C8838" s="1" t="n">
        <v>100</v>
      </c>
      <c r="D8838" s="1" t="s">
        <v>2457</v>
      </c>
      <c r="E8838" s="1" t="n">
        <v>42</v>
      </c>
      <c r="F8838" s="1" t="s">
        <v>80</v>
      </c>
      <c r="I8838" s="1" t="n">
        <v>1603886</v>
      </c>
      <c r="J8838" s="1" t="n">
        <v>100003</v>
      </c>
      <c r="K8838" s="1" t="n">
        <v>4</v>
      </c>
      <c r="L8838" s="1" t="s">
        <v>2454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5" t="n">
        <v>46260</v>
      </c>
      <c r="C8839" s="1" t="n">
        <v>100</v>
      </c>
      <c r="D8839" s="1" t="s">
        <v>2457</v>
      </c>
      <c r="E8839" s="1" t="n">
        <v>42</v>
      </c>
      <c r="F8839" s="1" t="s">
        <v>80</v>
      </c>
      <c r="I8839" s="1" t="n">
        <v>1603886</v>
      </c>
      <c r="J8839" s="1" t="n">
        <v>100007</v>
      </c>
      <c r="K8839" s="1" t="n">
        <v>8</v>
      </c>
      <c r="L8839" s="1" t="s">
        <v>2455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5" t="n">
        <v>46260</v>
      </c>
      <c r="C8840" s="1" t="n">
        <v>100</v>
      </c>
      <c r="D8840" s="1" t="s">
        <v>2457</v>
      </c>
      <c r="E8840" s="1" t="n">
        <v>42</v>
      </c>
      <c r="F8840" s="1" t="s">
        <v>80</v>
      </c>
      <c r="I8840" s="1" t="n">
        <v>1603886</v>
      </c>
      <c r="J8840" s="1" t="n">
        <v>100638</v>
      </c>
      <c r="K8840" s="1" t="n">
        <v>508</v>
      </c>
      <c r="L8840" s="1" t="s">
        <v>2448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5" t="n">
        <v>46260</v>
      </c>
      <c r="C8841" s="1" t="n">
        <v>100</v>
      </c>
      <c r="D8841" s="1" t="s">
        <v>2457</v>
      </c>
      <c r="E8841" s="1" t="n">
        <v>42</v>
      </c>
      <c r="F8841" s="1" t="s">
        <v>80</v>
      </c>
      <c r="I8841" s="1" t="n">
        <v>1603886</v>
      </c>
      <c r="J8841" s="1" t="n">
        <v>100520</v>
      </c>
      <c r="K8841" s="1" t="n">
        <v>507</v>
      </c>
      <c r="L8841" s="1" t="s">
        <v>2449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5" t="n">
        <v>46260</v>
      </c>
      <c r="C8842" s="1" t="n">
        <v>100</v>
      </c>
      <c r="D8842" s="1" t="s">
        <v>2457</v>
      </c>
      <c r="E8842" s="1" t="n">
        <v>42</v>
      </c>
      <c r="F8842" s="1" t="s">
        <v>80</v>
      </c>
      <c r="I8842" s="1" t="n">
        <v>1603886</v>
      </c>
      <c r="J8842" s="1" t="n">
        <v>110455</v>
      </c>
      <c r="K8842" s="1" t="n">
        <v>53212</v>
      </c>
      <c r="L8842" s="1" t="s">
        <v>2450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5" t="n">
        <v>46260</v>
      </c>
      <c r="C8843" s="1" t="n">
        <v>100</v>
      </c>
      <c r="D8843" s="1" t="s">
        <v>2457</v>
      </c>
      <c r="E8843" s="1" t="n">
        <v>42</v>
      </c>
      <c r="F8843" s="1" t="s">
        <v>80</v>
      </c>
      <c r="I8843" s="1" t="n">
        <v>1603890</v>
      </c>
      <c r="J8843" s="1" t="n">
        <v>100006</v>
      </c>
      <c r="K8843" s="1" t="n">
        <v>7</v>
      </c>
      <c r="L8843" s="1" t="s">
        <v>2437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5" t="n">
        <v>46260</v>
      </c>
      <c r="C8844" s="1" t="n">
        <v>100</v>
      </c>
      <c r="D8844" s="1" t="s">
        <v>2457</v>
      </c>
      <c r="E8844" s="1" t="n">
        <v>42</v>
      </c>
      <c r="F8844" s="1" t="s">
        <v>80</v>
      </c>
      <c r="I8844" s="1" t="n">
        <v>1603890</v>
      </c>
      <c r="J8844" s="1" t="n">
        <v>100008</v>
      </c>
      <c r="K8844" s="1" t="n">
        <v>9</v>
      </c>
      <c r="L8844" s="1" t="s">
        <v>2438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5" t="n">
        <v>46260</v>
      </c>
      <c r="C8845" s="1" t="n">
        <v>100</v>
      </c>
      <c r="D8845" s="1" t="s">
        <v>2457</v>
      </c>
      <c r="E8845" s="1" t="n">
        <v>42</v>
      </c>
      <c r="F8845" s="1" t="s">
        <v>80</v>
      </c>
      <c r="I8845" s="1" t="n">
        <v>1603890</v>
      </c>
      <c r="J8845" s="1" t="n">
        <v>100010</v>
      </c>
      <c r="K8845" s="1" t="n">
        <v>11</v>
      </c>
      <c r="L8845" s="1" t="s">
        <v>2439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5" t="n">
        <v>46260</v>
      </c>
      <c r="C8846" s="1" t="n">
        <v>100</v>
      </c>
      <c r="D8846" s="1" t="s">
        <v>2457</v>
      </c>
      <c r="E8846" s="1" t="n">
        <v>42</v>
      </c>
      <c r="F8846" s="1" t="s">
        <v>80</v>
      </c>
      <c r="I8846" s="1" t="n">
        <v>1603890</v>
      </c>
      <c r="J8846" s="1" t="n">
        <v>100011</v>
      </c>
      <c r="K8846" s="1" t="n">
        <v>12</v>
      </c>
      <c r="L8846" s="1" t="s">
        <v>2440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5" t="n">
        <v>46260</v>
      </c>
      <c r="C8847" s="1" t="n">
        <v>100</v>
      </c>
      <c r="D8847" s="1" t="s">
        <v>2457</v>
      </c>
      <c r="E8847" s="1" t="n">
        <v>42</v>
      </c>
      <c r="F8847" s="1" t="s">
        <v>80</v>
      </c>
      <c r="I8847" s="1" t="n">
        <v>1603890</v>
      </c>
      <c r="J8847" s="1" t="n">
        <v>100012</v>
      </c>
      <c r="K8847" s="1" t="n">
        <v>13</v>
      </c>
      <c r="L8847" s="1" t="s">
        <v>2441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5" t="n">
        <v>46260</v>
      </c>
      <c r="C8848" s="1" t="n">
        <v>100</v>
      </c>
      <c r="D8848" s="1" t="s">
        <v>2457</v>
      </c>
      <c r="E8848" s="1" t="n">
        <v>42</v>
      </c>
      <c r="F8848" s="1" t="s">
        <v>80</v>
      </c>
      <c r="I8848" s="1" t="n">
        <v>1603890</v>
      </c>
      <c r="J8848" s="1" t="n">
        <v>100013</v>
      </c>
      <c r="K8848" s="1" t="n">
        <v>14</v>
      </c>
      <c r="L8848" s="1" t="s">
        <v>2442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5" t="n">
        <v>46260</v>
      </c>
      <c r="C8849" s="1" t="n">
        <v>100</v>
      </c>
      <c r="D8849" s="1" t="s">
        <v>2457</v>
      </c>
      <c r="E8849" s="1" t="n">
        <v>42</v>
      </c>
      <c r="F8849" s="1" t="s">
        <v>80</v>
      </c>
      <c r="I8849" s="1" t="n">
        <v>1603890</v>
      </c>
      <c r="J8849" s="1" t="n">
        <v>100014</v>
      </c>
      <c r="K8849" s="1" t="n">
        <v>15</v>
      </c>
      <c r="L8849" s="1" t="s">
        <v>2443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5" t="n">
        <v>46260</v>
      </c>
      <c r="C8850" s="1" t="n">
        <v>100</v>
      </c>
      <c r="D8850" s="1" t="s">
        <v>2457</v>
      </c>
      <c r="E8850" s="1" t="n">
        <v>42</v>
      </c>
      <c r="F8850" s="1" t="s">
        <v>80</v>
      </c>
      <c r="I8850" s="1" t="n">
        <v>1603890</v>
      </c>
      <c r="J8850" s="1" t="n">
        <v>100015</v>
      </c>
      <c r="K8850" s="1" t="n">
        <v>16</v>
      </c>
      <c r="L8850" s="1" t="s">
        <v>2444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5" t="n">
        <v>46260</v>
      </c>
      <c r="C8851" s="1" t="n">
        <v>100</v>
      </c>
      <c r="D8851" s="1" t="s">
        <v>2457</v>
      </c>
      <c r="E8851" s="1" t="n">
        <v>42</v>
      </c>
      <c r="F8851" s="1" t="s">
        <v>80</v>
      </c>
      <c r="I8851" s="1" t="n">
        <v>1603890</v>
      </c>
      <c r="J8851" s="1" t="n">
        <v>100016</v>
      </c>
      <c r="K8851" s="1" t="n">
        <v>17</v>
      </c>
      <c r="L8851" s="1" t="s">
        <v>2445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5" t="n">
        <v>46260</v>
      </c>
      <c r="C8852" s="1" t="n">
        <v>100</v>
      </c>
      <c r="D8852" s="1" t="s">
        <v>2457</v>
      </c>
      <c r="E8852" s="1" t="n">
        <v>42</v>
      </c>
      <c r="F8852" s="1" t="s">
        <v>80</v>
      </c>
      <c r="I8852" s="1" t="n">
        <v>1603890</v>
      </c>
      <c r="J8852" s="1" t="n">
        <v>100017</v>
      </c>
      <c r="K8852" s="1" t="n">
        <v>18</v>
      </c>
      <c r="L8852" s="1" t="s">
        <v>2446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5" t="n">
        <v>46260</v>
      </c>
      <c r="C8853" s="1" t="n">
        <v>100</v>
      </c>
      <c r="D8853" s="1" t="s">
        <v>2457</v>
      </c>
      <c r="E8853" s="1" t="n">
        <v>42</v>
      </c>
      <c r="F8853" s="1" t="s">
        <v>80</v>
      </c>
      <c r="I8853" s="1" t="n">
        <v>1603890</v>
      </c>
      <c r="J8853" s="1" t="n">
        <v>100023</v>
      </c>
      <c r="K8853" s="1" t="n">
        <v>24</v>
      </c>
      <c r="L8853" s="1" t="s">
        <v>3826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5" t="n">
        <v>46260</v>
      </c>
      <c r="C8854" s="1" t="n">
        <v>100</v>
      </c>
      <c r="D8854" s="1" t="s">
        <v>2457</v>
      </c>
      <c r="E8854" s="1" t="n">
        <v>42</v>
      </c>
      <c r="F8854" s="1" t="s">
        <v>80</v>
      </c>
      <c r="I8854" s="1" t="n">
        <v>1603890</v>
      </c>
      <c r="J8854" s="1" t="n">
        <v>100053</v>
      </c>
      <c r="K8854" s="1" t="n">
        <v>54</v>
      </c>
      <c r="L8854" s="1" t="s">
        <v>2447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5" t="n">
        <v>46260</v>
      </c>
      <c r="C8855" s="1" t="n">
        <v>100</v>
      </c>
      <c r="D8855" s="1" t="s">
        <v>2457</v>
      </c>
      <c r="E8855" s="1" t="n">
        <v>42</v>
      </c>
      <c r="F8855" s="1" t="s">
        <v>80</v>
      </c>
      <c r="I8855" s="1" t="n">
        <v>1603890</v>
      </c>
      <c r="J8855" s="1" t="n">
        <v>100638</v>
      </c>
      <c r="K8855" s="1" t="n">
        <v>508</v>
      </c>
      <c r="L8855" s="1" t="s">
        <v>2448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5" t="n">
        <v>46260</v>
      </c>
      <c r="C8856" s="1" t="n">
        <v>100</v>
      </c>
      <c r="D8856" s="1" t="s">
        <v>2457</v>
      </c>
      <c r="E8856" s="1" t="n">
        <v>42</v>
      </c>
      <c r="F8856" s="1" t="s">
        <v>80</v>
      </c>
      <c r="I8856" s="1" t="n">
        <v>1603890</v>
      </c>
      <c r="J8856" s="1" t="n">
        <v>100520</v>
      </c>
      <c r="K8856" s="1" t="n">
        <v>507</v>
      </c>
      <c r="L8856" s="1" t="s">
        <v>2449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5" t="n">
        <v>46260</v>
      </c>
      <c r="C8857" s="1" t="n">
        <v>100</v>
      </c>
      <c r="D8857" s="1" t="s">
        <v>2457</v>
      </c>
      <c r="E8857" s="1" t="n">
        <v>42</v>
      </c>
      <c r="F8857" s="1" t="s">
        <v>80</v>
      </c>
      <c r="I8857" s="1" t="n">
        <v>1603890</v>
      </c>
      <c r="J8857" s="1" t="n">
        <v>110455</v>
      </c>
      <c r="K8857" s="1" t="n">
        <v>53212</v>
      </c>
      <c r="L8857" s="1" t="s">
        <v>2450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5" t="n">
        <v>46260</v>
      </c>
      <c r="C8858" s="1" t="n">
        <v>107</v>
      </c>
      <c r="D8858" s="1" t="s">
        <v>2735</v>
      </c>
      <c r="E8858" s="1" t="n">
        <v>1705</v>
      </c>
      <c r="F8858" s="1" t="s">
        <v>122</v>
      </c>
      <c r="I8858" s="1" t="n">
        <v>1263179</v>
      </c>
      <c r="J8858" s="1" t="n">
        <v>78351</v>
      </c>
      <c r="K8858" s="1" t="n">
        <v>7894900530032</v>
      </c>
      <c r="L8858" s="1" t="s">
        <v>3613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5" t="n">
        <v>46260</v>
      </c>
      <c r="C8859" s="1" t="n">
        <v>107</v>
      </c>
      <c r="D8859" s="1" t="s">
        <v>2735</v>
      </c>
      <c r="E8859" s="1" t="n">
        <v>1705</v>
      </c>
      <c r="F8859" s="1" t="s">
        <v>122</v>
      </c>
      <c r="I8859" s="1" t="n">
        <v>2006318</v>
      </c>
      <c r="J8859" s="1" t="n">
        <v>10830</v>
      </c>
      <c r="K8859" s="1" t="n">
        <v>7894900701517</v>
      </c>
      <c r="L8859" s="1" t="s">
        <v>2879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5" t="n">
        <v>46261</v>
      </c>
      <c r="C8860" s="1" t="n">
        <v>6</v>
      </c>
      <c r="D8860" s="1" t="s">
        <v>2289</v>
      </c>
      <c r="E8860" s="1" t="n">
        <v>42</v>
      </c>
      <c r="F8860" s="1" t="s">
        <v>80</v>
      </c>
      <c r="I8860" s="1" t="n">
        <v>4548</v>
      </c>
      <c r="J8860" s="1" t="n">
        <v>109791</v>
      </c>
      <c r="K8860" s="1" t="n">
        <v>9667</v>
      </c>
      <c r="L8860" s="1" t="s">
        <v>2284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5" t="n">
        <v>46261</v>
      </c>
      <c r="C8861" s="1" t="n">
        <v>6</v>
      </c>
      <c r="D8861" s="1" t="s">
        <v>2289</v>
      </c>
      <c r="E8861" s="1" t="n">
        <v>42</v>
      </c>
      <c r="F8861" s="1" t="s">
        <v>80</v>
      </c>
      <c r="I8861" s="1" t="n">
        <v>4548</v>
      </c>
      <c r="J8861" s="1" t="n">
        <v>37359</v>
      </c>
      <c r="K8861" s="1" t="n">
        <v>55526</v>
      </c>
      <c r="L8861" s="1" t="s">
        <v>2285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5" t="n">
        <v>46261</v>
      </c>
      <c r="C8862" s="1" t="n">
        <v>6</v>
      </c>
      <c r="D8862" s="1" t="s">
        <v>2289</v>
      </c>
      <c r="E8862" s="1" t="n">
        <v>42</v>
      </c>
      <c r="F8862" s="1" t="s">
        <v>80</v>
      </c>
      <c r="I8862" s="1" t="n">
        <v>4548</v>
      </c>
      <c r="J8862" s="1" t="n">
        <v>37361</v>
      </c>
      <c r="K8862" s="1" t="n">
        <v>2240817</v>
      </c>
      <c r="L8862" s="1" t="s">
        <v>2286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5" t="n">
        <v>46261</v>
      </c>
      <c r="C8863" s="1" t="n">
        <v>11</v>
      </c>
      <c r="D8863" s="1" t="s">
        <v>2290</v>
      </c>
      <c r="E8863" s="1" t="n">
        <v>978</v>
      </c>
      <c r="F8863" s="1" t="s">
        <v>183</v>
      </c>
      <c r="I8863" s="1" t="n">
        <v>533</v>
      </c>
      <c r="J8863" s="1" t="n">
        <v>61368</v>
      </c>
      <c r="K8863" s="1" t="n">
        <v>2257907</v>
      </c>
      <c r="L8863" s="1" t="s">
        <v>2335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5" t="n">
        <v>46261</v>
      </c>
      <c r="C8864" s="1" t="n">
        <v>11</v>
      </c>
      <c r="D8864" s="1" t="s">
        <v>2290</v>
      </c>
      <c r="E8864" s="1" t="n">
        <v>978</v>
      </c>
      <c r="F8864" s="1" t="s">
        <v>183</v>
      </c>
      <c r="I8864" s="1" t="n">
        <v>533</v>
      </c>
      <c r="J8864" s="1" t="n">
        <v>61378</v>
      </c>
      <c r="K8864" s="1" t="n">
        <v>2257914</v>
      </c>
      <c r="L8864" s="1" t="s">
        <v>2336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5" t="n">
        <v>46261</v>
      </c>
      <c r="C8865" s="1" t="n">
        <v>11</v>
      </c>
      <c r="D8865" s="1" t="s">
        <v>2290</v>
      </c>
      <c r="E8865" s="1" t="n">
        <v>978</v>
      </c>
      <c r="F8865" s="1" t="s">
        <v>183</v>
      </c>
      <c r="I8865" s="1" t="n">
        <v>533</v>
      </c>
      <c r="J8865" s="1" t="n">
        <v>61379</v>
      </c>
      <c r="K8865" s="1" t="n">
        <v>2257921</v>
      </c>
      <c r="L8865" s="1" t="s">
        <v>2337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5" t="n">
        <v>46261</v>
      </c>
      <c r="C8866" s="1" t="n">
        <v>11</v>
      </c>
      <c r="D8866" s="1" t="s">
        <v>2290</v>
      </c>
      <c r="E8866" s="1" t="n">
        <v>794</v>
      </c>
      <c r="F8866" s="1" t="s">
        <v>152</v>
      </c>
      <c r="I8866" s="1" t="n">
        <v>8770</v>
      </c>
      <c r="J8866" s="1" t="n">
        <v>107452</v>
      </c>
      <c r="K8866" s="1" t="n">
        <v>7898560800221</v>
      </c>
      <c r="L8866" s="1" t="s">
        <v>3861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5" t="n">
        <v>46261</v>
      </c>
      <c r="C8867" s="1" t="n">
        <v>11</v>
      </c>
      <c r="D8867" s="1" t="s">
        <v>2290</v>
      </c>
      <c r="E8867" s="1" t="n">
        <v>794</v>
      </c>
      <c r="F8867" s="1" t="s">
        <v>152</v>
      </c>
      <c r="I8867" s="1" t="n">
        <v>8770</v>
      </c>
      <c r="J8867" s="1" t="n">
        <v>37520</v>
      </c>
      <c r="K8867" s="1" t="n">
        <v>7898961625027</v>
      </c>
      <c r="L8867" s="1" t="s">
        <v>2752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5" t="n">
        <v>46261</v>
      </c>
      <c r="C8868" s="1" t="n">
        <v>11</v>
      </c>
      <c r="D8868" s="1" t="s">
        <v>2290</v>
      </c>
      <c r="E8868" s="1" t="n">
        <v>794</v>
      </c>
      <c r="F8868" s="1" t="s">
        <v>152</v>
      </c>
      <c r="I8868" s="1" t="n">
        <v>8770</v>
      </c>
      <c r="J8868" s="1" t="n">
        <v>37532</v>
      </c>
      <c r="K8868" s="1" t="n">
        <v>7898961625034</v>
      </c>
      <c r="L8868" s="1" t="s">
        <v>2753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5" t="n">
        <v>46261</v>
      </c>
      <c r="C8869" s="1" t="n">
        <v>11</v>
      </c>
      <c r="D8869" s="1" t="s">
        <v>2290</v>
      </c>
      <c r="E8869" s="1" t="n">
        <v>794</v>
      </c>
      <c r="F8869" s="1" t="s">
        <v>152</v>
      </c>
      <c r="I8869" s="1" t="n">
        <v>8770</v>
      </c>
      <c r="J8869" s="1" t="n">
        <v>37533</v>
      </c>
      <c r="K8869" s="1" t="n">
        <v>7898961625058</v>
      </c>
      <c r="L8869" s="1" t="s">
        <v>2754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5" t="n">
        <v>46261</v>
      </c>
      <c r="C8870" s="1" t="n">
        <v>11</v>
      </c>
      <c r="D8870" s="1" t="s">
        <v>2290</v>
      </c>
      <c r="E8870" s="1" t="n">
        <v>794</v>
      </c>
      <c r="F8870" s="1" t="s">
        <v>152</v>
      </c>
      <c r="I8870" s="1" t="n">
        <v>8770</v>
      </c>
      <c r="J8870" s="1" t="n">
        <v>38693</v>
      </c>
      <c r="K8870" s="1" t="n">
        <v>7898961625096</v>
      </c>
      <c r="L8870" s="1" t="s">
        <v>2755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5" t="n">
        <v>46261</v>
      </c>
      <c r="C8871" s="1" t="n">
        <v>11</v>
      </c>
      <c r="D8871" s="1" t="s">
        <v>2290</v>
      </c>
      <c r="E8871" s="1" t="n">
        <v>794</v>
      </c>
      <c r="F8871" s="1" t="s">
        <v>152</v>
      </c>
      <c r="I8871" s="1" t="n">
        <v>8770</v>
      </c>
      <c r="J8871" s="1" t="n">
        <v>53340</v>
      </c>
      <c r="K8871" s="1" t="n">
        <v>7898961625065</v>
      </c>
      <c r="L8871" s="1" t="s">
        <v>2757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5" t="n">
        <v>46261</v>
      </c>
      <c r="C8872" s="1" t="n">
        <v>11</v>
      </c>
      <c r="D8872" s="1" t="s">
        <v>2290</v>
      </c>
      <c r="E8872" s="1" t="n">
        <v>794</v>
      </c>
      <c r="F8872" s="1" t="s">
        <v>152</v>
      </c>
      <c r="I8872" s="1" t="n">
        <v>8770</v>
      </c>
      <c r="J8872" s="1" t="n">
        <v>65812</v>
      </c>
      <c r="K8872" s="1" t="n">
        <v>7898961625072</v>
      </c>
      <c r="L8872" s="1" t="s">
        <v>2758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5" t="n">
        <v>46261</v>
      </c>
      <c r="C8873" s="1" t="n">
        <v>11</v>
      </c>
      <c r="D8873" s="1" t="s">
        <v>2290</v>
      </c>
      <c r="E8873" s="1" t="n">
        <v>794</v>
      </c>
      <c r="F8873" s="1" t="s">
        <v>152</v>
      </c>
      <c r="I8873" s="1" t="n">
        <v>8770</v>
      </c>
      <c r="J8873" s="1" t="n">
        <v>67465</v>
      </c>
      <c r="K8873" s="1" t="n">
        <v>7898560800184</v>
      </c>
      <c r="L8873" s="1" t="s">
        <v>3863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5" t="n">
        <v>46261</v>
      </c>
      <c r="C8874" s="1" t="n">
        <v>11</v>
      </c>
      <c r="D8874" s="1" t="s">
        <v>2290</v>
      </c>
      <c r="E8874" s="1" t="n">
        <v>794</v>
      </c>
      <c r="F8874" s="1" t="s">
        <v>152</v>
      </c>
      <c r="I8874" s="1" t="n">
        <v>8770</v>
      </c>
      <c r="J8874" s="1" t="n">
        <v>67471</v>
      </c>
      <c r="K8874" s="1" t="n">
        <v>7898560800177</v>
      </c>
      <c r="L8874" s="1" t="s">
        <v>2759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5" t="n">
        <v>46261</v>
      </c>
      <c r="C8875" s="1" t="n">
        <v>11</v>
      </c>
      <c r="D8875" s="1" t="s">
        <v>2290</v>
      </c>
      <c r="E8875" s="1" t="n">
        <v>1625</v>
      </c>
      <c r="F8875" s="1" t="s">
        <v>320</v>
      </c>
      <c r="I8875" s="1" t="n">
        <v>15178</v>
      </c>
      <c r="J8875" s="1" t="n">
        <v>29079</v>
      </c>
      <c r="K8875" s="1" t="n">
        <v>55515</v>
      </c>
      <c r="L8875" s="1" t="s">
        <v>2360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5" t="n">
        <v>46261</v>
      </c>
      <c r="C8876" s="1" t="n">
        <v>11</v>
      </c>
      <c r="D8876" s="1" t="s">
        <v>2290</v>
      </c>
      <c r="E8876" s="1" t="n">
        <v>1625</v>
      </c>
      <c r="F8876" s="1" t="s">
        <v>320</v>
      </c>
      <c r="I8876" s="1" t="n">
        <v>15178</v>
      </c>
      <c r="J8876" s="1" t="n">
        <v>29080</v>
      </c>
      <c r="K8876" s="1" t="n">
        <v>55516</v>
      </c>
      <c r="L8876" s="1" t="s">
        <v>2362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5" t="n">
        <v>46261</v>
      </c>
      <c r="C8877" s="1" t="n">
        <v>11</v>
      </c>
      <c r="D8877" s="1" t="s">
        <v>2290</v>
      </c>
      <c r="E8877" s="1" t="n">
        <v>1814</v>
      </c>
      <c r="F8877" s="1" t="s">
        <v>339</v>
      </c>
      <c r="I8877" s="1" t="n">
        <v>28760</v>
      </c>
      <c r="J8877" s="1" t="n">
        <v>25090</v>
      </c>
      <c r="K8877" s="1" t="n">
        <v>7898951519152</v>
      </c>
      <c r="L8877" s="1" t="s">
        <v>2345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5" t="n">
        <v>46261</v>
      </c>
      <c r="C8878" s="1" t="n">
        <v>11</v>
      </c>
      <c r="D8878" s="1" t="s">
        <v>2290</v>
      </c>
      <c r="E8878" s="1" t="n">
        <v>1814</v>
      </c>
      <c r="F8878" s="1" t="s">
        <v>339</v>
      </c>
      <c r="I8878" s="1" t="n">
        <v>28760</v>
      </c>
      <c r="J8878" s="1" t="n">
        <v>25091</v>
      </c>
      <c r="K8878" s="1" t="n">
        <v>7898951519176</v>
      </c>
      <c r="L8878" s="1" t="s">
        <v>2346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5" t="n">
        <v>46261</v>
      </c>
      <c r="C8879" s="1" t="n">
        <v>11</v>
      </c>
      <c r="D8879" s="1" t="s">
        <v>2290</v>
      </c>
      <c r="E8879" s="1" t="n">
        <v>1814</v>
      </c>
      <c r="F8879" s="1" t="s">
        <v>339</v>
      </c>
      <c r="I8879" s="1" t="n">
        <v>28760</v>
      </c>
      <c r="J8879" s="1" t="n">
        <v>25092</v>
      </c>
      <c r="K8879" s="1" t="n">
        <v>7896883601105</v>
      </c>
      <c r="L8879" s="1" t="s">
        <v>3230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5" t="n">
        <v>46261</v>
      </c>
      <c r="C8880" s="1" t="n">
        <v>11</v>
      </c>
      <c r="D8880" s="1" t="s">
        <v>2290</v>
      </c>
      <c r="E8880" s="1" t="n">
        <v>1814</v>
      </c>
      <c r="F8880" s="1" t="s">
        <v>339</v>
      </c>
      <c r="I8880" s="1" t="n">
        <v>28760</v>
      </c>
      <c r="J8880" s="1" t="n">
        <v>25093</v>
      </c>
      <c r="K8880" s="1" t="n">
        <v>7898951519169</v>
      </c>
      <c r="L8880" s="1" t="s">
        <v>2347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5" t="n">
        <v>46261</v>
      </c>
      <c r="C8881" s="1" t="n">
        <v>11</v>
      </c>
      <c r="D8881" s="1" t="s">
        <v>2290</v>
      </c>
      <c r="E8881" s="1" t="n">
        <v>1814</v>
      </c>
      <c r="F8881" s="1" t="s">
        <v>339</v>
      </c>
      <c r="I8881" s="1" t="n">
        <v>28760</v>
      </c>
      <c r="J8881" s="1" t="n">
        <v>25095</v>
      </c>
      <c r="K8881" s="1" t="n">
        <v>7898951519145</v>
      </c>
      <c r="L8881" s="1" t="s">
        <v>2348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5" t="n">
        <v>46261</v>
      </c>
      <c r="C8882" s="1" t="n">
        <v>11</v>
      </c>
      <c r="D8882" s="1" t="s">
        <v>2290</v>
      </c>
      <c r="E8882" s="1" t="n">
        <v>1814</v>
      </c>
      <c r="F8882" s="1" t="s">
        <v>339</v>
      </c>
      <c r="I8882" s="1" t="n">
        <v>28760</v>
      </c>
      <c r="J8882" s="1" t="n">
        <v>25096</v>
      </c>
      <c r="K8882" s="1" t="n">
        <v>7898951519138</v>
      </c>
      <c r="L8882" s="1" t="s">
        <v>3231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5" t="n">
        <v>46261</v>
      </c>
      <c r="C8883" s="1" t="n">
        <v>11</v>
      </c>
      <c r="D8883" s="1" t="s">
        <v>2290</v>
      </c>
      <c r="E8883" s="1" t="n">
        <v>1814</v>
      </c>
      <c r="F8883" s="1" t="s">
        <v>339</v>
      </c>
      <c r="I8883" s="1" t="n">
        <v>28760</v>
      </c>
      <c r="J8883" s="1" t="n">
        <v>25097</v>
      </c>
      <c r="K8883" s="1" t="n">
        <v>7898951519121</v>
      </c>
      <c r="L8883" s="1" t="s">
        <v>2349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5" t="n">
        <v>46261</v>
      </c>
      <c r="C8884" s="1" t="n">
        <v>11</v>
      </c>
      <c r="D8884" s="1" t="s">
        <v>2290</v>
      </c>
      <c r="E8884" s="1" t="n">
        <v>1814</v>
      </c>
      <c r="F8884" s="1" t="s">
        <v>339</v>
      </c>
      <c r="I8884" s="1" t="n">
        <v>28760</v>
      </c>
      <c r="J8884" s="1" t="n">
        <v>25134</v>
      </c>
      <c r="K8884" s="1" t="n">
        <v>7898951519114</v>
      </c>
      <c r="L8884" s="1" t="s">
        <v>2350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5" t="n">
        <v>46261</v>
      </c>
      <c r="C8885" s="1" t="n">
        <v>11</v>
      </c>
      <c r="D8885" s="1" t="s">
        <v>2290</v>
      </c>
      <c r="E8885" s="1" t="n">
        <v>1814</v>
      </c>
      <c r="F8885" s="1" t="s">
        <v>339</v>
      </c>
      <c r="I8885" s="1" t="n">
        <v>28760</v>
      </c>
      <c r="J8885" s="1" t="n">
        <v>39927</v>
      </c>
      <c r="K8885" s="1" t="n">
        <v>7898951519077</v>
      </c>
      <c r="L8885" s="1" t="s">
        <v>2352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5" t="n">
        <v>46261</v>
      </c>
      <c r="C8886" s="1" t="n">
        <v>11</v>
      </c>
      <c r="D8886" s="1" t="s">
        <v>2290</v>
      </c>
      <c r="E8886" s="1" t="n">
        <v>1814</v>
      </c>
      <c r="F8886" s="1" t="s">
        <v>339</v>
      </c>
      <c r="I8886" s="1" t="n">
        <v>28760</v>
      </c>
      <c r="J8886" s="1" t="n">
        <v>39930</v>
      </c>
      <c r="K8886" s="1" t="n">
        <v>7898951519060</v>
      </c>
      <c r="L8886" s="1" t="s">
        <v>2355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5" t="n">
        <v>46261</v>
      </c>
      <c r="C8887" s="1" t="n">
        <v>11</v>
      </c>
      <c r="D8887" s="1" t="s">
        <v>2290</v>
      </c>
      <c r="E8887" s="1" t="n">
        <v>1814</v>
      </c>
      <c r="F8887" s="1" t="s">
        <v>339</v>
      </c>
      <c r="I8887" s="1" t="n">
        <v>28760</v>
      </c>
      <c r="J8887" s="1" t="n">
        <v>39933</v>
      </c>
      <c r="K8887" s="1" t="n">
        <v>7898951519046</v>
      </c>
      <c r="L8887" s="1" t="s">
        <v>3885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5" t="n">
        <v>46261</v>
      </c>
      <c r="C8888" s="1" t="n">
        <v>11</v>
      </c>
      <c r="D8888" s="1" t="s">
        <v>2290</v>
      </c>
      <c r="E8888" s="1" t="n">
        <v>1814</v>
      </c>
      <c r="F8888" s="1" t="s">
        <v>339</v>
      </c>
      <c r="I8888" s="1" t="n">
        <v>28760</v>
      </c>
      <c r="J8888" s="1" t="n">
        <v>39935</v>
      </c>
      <c r="K8888" s="1" t="n">
        <v>7898951519053</v>
      </c>
      <c r="L8888" s="1" t="s">
        <v>2357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5" t="n">
        <v>46261</v>
      </c>
      <c r="C8889" s="1" t="n">
        <v>11</v>
      </c>
      <c r="D8889" s="1" t="s">
        <v>2290</v>
      </c>
      <c r="E8889" s="1" t="n">
        <v>1814</v>
      </c>
      <c r="F8889" s="1" t="s">
        <v>339</v>
      </c>
      <c r="I8889" s="1" t="n">
        <v>28760</v>
      </c>
      <c r="J8889" s="1" t="n">
        <v>39936</v>
      </c>
      <c r="K8889" s="1" t="n">
        <v>7898951519084</v>
      </c>
      <c r="L8889" s="1" t="s">
        <v>2358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5" t="n">
        <v>46261</v>
      </c>
      <c r="C8890" s="1" t="n">
        <v>11</v>
      </c>
      <c r="D8890" s="1" t="s">
        <v>2290</v>
      </c>
      <c r="E8890" s="1" t="n">
        <v>1814</v>
      </c>
      <c r="F8890" s="1" t="s">
        <v>339</v>
      </c>
      <c r="I8890" s="1" t="n">
        <v>28760</v>
      </c>
      <c r="J8890" s="1" t="n">
        <v>39937</v>
      </c>
      <c r="K8890" s="1" t="n">
        <v>7898951519022</v>
      </c>
      <c r="L8890" s="1" t="s">
        <v>2359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5" t="n">
        <v>46261</v>
      </c>
      <c r="C8891" s="1" t="n">
        <v>11</v>
      </c>
      <c r="D8891" s="1" t="s">
        <v>2290</v>
      </c>
      <c r="E8891" s="1" t="n">
        <v>1814</v>
      </c>
      <c r="F8891" s="1" t="s">
        <v>339</v>
      </c>
      <c r="I8891" s="1" t="n">
        <v>28760</v>
      </c>
      <c r="J8891" s="1" t="n">
        <v>81422</v>
      </c>
      <c r="K8891" s="1" t="n">
        <v>7898951519336</v>
      </c>
      <c r="L8891" s="1" t="s">
        <v>3232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5" t="n">
        <v>46261</v>
      </c>
      <c r="C8892" s="1" t="n">
        <v>11</v>
      </c>
      <c r="D8892" s="1" t="s">
        <v>2290</v>
      </c>
      <c r="E8892" s="1" t="n">
        <v>1734</v>
      </c>
      <c r="F8892" s="1" t="s">
        <v>125</v>
      </c>
      <c r="I8892" s="1" t="n">
        <v>258631</v>
      </c>
      <c r="J8892" s="1" t="n">
        <v>38208</v>
      </c>
      <c r="K8892" s="1" t="n">
        <v>7898055452126</v>
      </c>
      <c r="L8892" s="1" t="s">
        <v>2699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5" t="n">
        <v>46261</v>
      </c>
      <c r="C8893" s="1" t="n">
        <v>11</v>
      </c>
      <c r="D8893" s="1" t="s">
        <v>2290</v>
      </c>
      <c r="E8893" s="1" t="n">
        <v>1734</v>
      </c>
      <c r="F8893" s="1" t="s">
        <v>125</v>
      </c>
      <c r="I8893" s="1" t="n">
        <v>258631</v>
      </c>
      <c r="J8893" s="1" t="n">
        <v>38209</v>
      </c>
      <c r="K8893" s="1" t="n">
        <v>7898055451761</v>
      </c>
      <c r="L8893" s="1" t="s">
        <v>2381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5" t="n">
        <v>46261</v>
      </c>
      <c r="C8894" s="1" t="n">
        <v>11</v>
      </c>
      <c r="D8894" s="1" t="s">
        <v>2290</v>
      </c>
      <c r="E8894" s="1" t="n">
        <v>1734</v>
      </c>
      <c r="F8894" s="1" t="s">
        <v>125</v>
      </c>
      <c r="I8894" s="1" t="n">
        <v>258631</v>
      </c>
      <c r="J8894" s="1" t="n">
        <v>38214</v>
      </c>
      <c r="K8894" s="1" t="n">
        <v>7898055452249</v>
      </c>
      <c r="L8894" s="1" t="s">
        <v>2702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5" t="n">
        <v>46261</v>
      </c>
      <c r="C8895" s="1" t="n">
        <v>11</v>
      </c>
      <c r="D8895" s="1" t="s">
        <v>2290</v>
      </c>
      <c r="E8895" s="1" t="n">
        <v>1734</v>
      </c>
      <c r="F8895" s="1" t="s">
        <v>125</v>
      </c>
      <c r="I8895" s="1" t="n">
        <v>258631</v>
      </c>
      <c r="J8895" s="1" t="n">
        <v>38217</v>
      </c>
      <c r="K8895" s="1" t="n">
        <v>7898055454304</v>
      </c>
      <c r="L8895" s="1" t="s">
        <v>2701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5" t="n">
        <v>46261</v>
      </c>
      <c r="C8896" s="1" t="n">
        <v>11</v>
      </c>
      <c r="D8896" s="1" t="s">
        <v>2290</v>
      </c>
      <c r="E8896" s="1" t="n">
        <v>1734</v>
      </c>
      <c r="F8896" s="1" t="s">
        <v>125</v>
      </c>
      <c r="I8896" s="1" t="n">
        <v>258631</v>
      </c>
      <c r="J8896" s="1" t="n">
        <v>38219</v>
      </c>
      <c r="K8896" s="1" t="n">
        <v>7898055452348</v>
      </c>
      <c r="L8896" s="1" t="s">
        <v>3835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5" t="n">
        <v>46261</v>
      </c>
      <c r="C8897" s="1" t="n">
        <v>11</v>
      </c>
      <c r="D8897" s="1" t="s">
        <v>2290</v>
      </c>
      <c r="E8897" s="1" t="n">
        <v>1734</v>
      </c>
      <c r="F8897" s="1" t="s">
        <v>125</v>
      </c>
      <c r="I8897" s="1" t="n">
        <v>258631</v>
      </c>
      <c r="J8897" s="1" t="n">
        <v>39447</v>
      </c>
      <c r="K8897" s="1" t="n">
        <v>7898055450139</v>
      </c>
      <c r="L8897" s="1" t="s">
        <v>2384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5" t="n">
        <v>46261</v>
      </c>
      <c r="C8898" s="1" t="n">
        <v>11</v>
      </c>
      <c r="D8898" s="1" t="s">
        <v>2290</v>
      </c>
      <c r="E8898" s="1" t="n">
        <v>1734</v>
      </c>
      <c r="F8898" s="1" t="s">
        <v>125</v>
      </c>
      <c r="I8898" s="1" t="n">
        <v>258631</v>
      </c>
      <c r="J8898" s="1" t="n">
        <v>39448</v>
      </c>
      <c r="K8898" s="1" t="n">
        <v>7898055450016</v>
      </c>
      <c r="L8898" s="1" t="s">
        <v>2385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5" t="n">
        <v>46261</v>
      </c>
      <c r="C8899" s="1" t="n">
        <v>11</v>
      </c>
      <c r="D8899" s="1" t="s">
        <v>2290</v>
      </c>
      <c r="E8899" s="1" t="n">
        <v>1734</v>
      </c>
      <c r="F8899" s="1" t="s">
        <v>125</v>
      </c>
      <c r="I8899" s="1" t="n">
        <v>258631</v>
      </c>
      <c r="J8899" s="1" t="n">
        <v>44185</v>
      </c>
      <c r="K8899" s="1" t="n">
        <v>7898055450412</v>
      </c>
      <c r="L8899" s="1" t="s">
        <v>5055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5" t="n">
        <v>46261</v>
      </c>
      <c r="C8900" s="1" t="n">
        <v>11</v>
      </c>
      <c r="D8900" s="1" t="s">
        <v>2290</v>
      </c>
      <c r="E8900" s="1" t="n">
        <v>1734</v>
      </c>
      <c r="F8900" s="1" t="s">
        <v>125</v>
      </c>
      <c r="I8900" s="1" t="n">
        <v>258631</v>
      </c>
      <c r="J8900" s="1" t="n">
        <v>44195</v>
      </c>
      <c r="K8900" s="1" t="n">
        <v>7898055450252</v>
      </c>
      <c r="L8900" s="1" t="s">
        <v>5056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5" t="n">
        <v>46261</v>
      </c>
      <c r="C8901" s="1" t="n">
        <v>11</v>
      </c>
      <c r="D8901" s="1" t="s">
        <v>2290</v>
      </c>
      <c r="E8901" s="1" t="n">
        <v>1734</v>
      </c>
      <c r="F8901" s="1" t="s">
        <v>125</v>
      </c>
      <c r="I8901" s="1" t="n">
        <v>258631</v>
      </c>
      <c r="J8901" s="1" t="n">
        <v>44196</v>
      </c>
      <c r="K8901" s="1" t="n">
        <v>7898055451839</v>
      </c>
      <c r="L8901" s="1" t="s">
        <v>5057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5" t="n">
        <v>46261</v>
      </c>
      <c r="C8902" s="1" t="n">
        <v>11</v>
      </c>
      <c r="D8902" s="1" t="s">
        <v>2290</v>
      </c>
      <c r="E8902" s="1" t="n">
        <v>1734</v>
      </c>
      <c r="F8902" s="1" t="s">
        <v>125</v>
      </c>
      <c r="I8902" s="1" t="n">
        <v>258631</v>
      </c>
      <c r="J8902" s="1" t="n">
        <v>44693</v>
      </c>
      <c r="K8902" s="1" t="n">
        <v>7898055451631</v>
      </c>
      <c r="L8902" s="1" t="s">
        <v>3236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5" t="n">
        <v>46261</v>
      </c>
      <c r="C8903" s="1" t="n">
        <v>11</v>
      </c>
      <c r="D8903" s="1" t="s">
        <v>2290</v>
      </c>
      <c r="E8903" s="1" t="n">
        <v>1734</v>
      </c>
      <c r="F8903" s="1" t="s">
        <v>125</v>
      </c>
      <c r="I8903" s="1" t="n">
        <v>258631</v>
      </c>
      <c r="J8903" s="1" t="n">
        <v>56815</v>
      </c>
      <c r="K8903" s="1" t="n">
        <v>7898055455165</v>
      </c>
      <c r="L8903" s="1" t="s">
        <v>2387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5" t="n">
        <v>46261</v>
      </c>
      <c r="C8904" s="1" t="n">
        <v>11</v>
      </c>
      <c r="D8904" s="1" t="s">
        <v>2290</v>
      </c>
      <c r="E8904" s="1" t="n">
        <v>1734</v>
      </c>
      <c r="F8904" s="1" t="s">
        <v>125</v>
      </c>
      <c r="I8904" s="1" t="n">
        <v>258631</v>
      </c>
      <c r="J8904" s="1" t="n">
        <v>57021</v>
      </c>
      <c r="K8904" s="1" t="n">
        <v>7898055455189</v>
      </c>
      <c r="L8904" s="1" t="s">
        <v>2388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5" t="n">
        <v>46261</v>
      </c>
      <c r="C8905" s="1" t="n">
        <v>11</v>
      </c>
      <c r="D8905" s="1" t="s">
        <v>2290</v>
      </c>
      <c r="E8905" s="1" t="n">
        <v>1642</v>
      </c>
      <c r="F8905" s="1" t="s">
        <v>274</v>
      </c>
      <c r="I8905" s="1" t="n">
        <v>1038859</v>
      </c>
      <c r="J8905" s="1" t="n">
        <v>105780</v>
      </c>
      <c r="K8905" s="1" t="n">
        <v>7896289210017</v>
      </c>
      <c r="L8905" s="1" t="s">
        <v>2467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5" t="n">
        <v>46261</v>
      </c>
      <c r="C8906" s="1" t="n">
        <v>11</v>
      </c>
      <c r="D8906" s="1" t="s">
        <v>2290</v>
      </c>
      <c r="E8906" s="1" t="n">
        <v>1642</v>
      </c>
      <c r="F8906" s="1" t="s">
        <v>274</v>
      </c>
      <c r="I8906" s="1" t="n">
        <v>1038859</v>
      </c>
      <c r="J8906" s="1" t="n">
        <v>105782</v>
      </c>
      <c r="K8906" s="1" t="n">
        <v>7896289210352</v>
      </c>
      <c r="L8906" s="1" t="s">
        <v>2468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5" t="n">
        <v>46261</v>
      </c>
      <c r="C8907" s="1" t="n">
        <v>11</v>
      </c>
      <c r="D8907" s="1" t="s">
        <v>2290</v>
      </c>
      <c r="E8907" s="1" t="n">
        <v>1642</v>
      </c>
      <c r="F8907" s="1" t="s">
        <v>274</v>
      </c>
      <c r="I8907" s="1" t="n">
        <v>1038859</v>
      </c>
      <c r="J8907" s="1" t="n">
        <v>106079</v>
      </c>
      <c r="K8907" s="1" t="n">
        <v>7896289210130</v>
      </c>
      <c r="L8907" s="1" t="s">
        <v>2469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5" t="n">
        <v>46261</v>
      </c>
      <c r="C8908" s="1" t="n">
        <v>11</v>
      </c>
      <c r="D8908" s="1" t="s">
        <v>2290</v>
      </c>
      <c r="E8908" s="1" t="n">
        <v>1642</v>
      </c>
      <c r="F8908" s="1" t="s">
        <v>274</v>
      </c>
      <c r="I8908" s="1" t="n">
        <v>1038859</v>
      </c>
      <c r="J8908" s="1" t="n">
        <v>106274</v>
      </c>
      <c r="K8908" s="1" t="n">
        <v>7896289210086</v>
      </c>
      <c r="L8908" s="1" t="s">
        <v>2470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5" t="n">
        <v>46261</v>
      </c>
      <c r="C8909" s="1" t="n">
        <v>11</v>
      </c>
      <c r="D8909" s="1" t="s">
        <v>2290</v>
      </c>
      <c r="E8909" s="1" t="n">
        <v>1642</v>
      </c>
      <c r="F8909" s="1" t="s">
        <v>274</v>
      </c>
      <c r="I8909" s="1" t="n">
        <v>1038859</v>
      </c>
      <c r="J8909" s="1" t="n">
        <v>106280</v>
      </c>
      <c r="K8909" s="1" t="n">
        <v>7896289210062</v>
      </c>
      <c r="L8909" s="1" t="s">
        <v>2471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5" t="n">
        <v>46261</v>
      </c>
      <c r="C8910" s="1" t="n">
        <v>11</v>
      </c>
      <c r="D8910" s="1" t="s">
        <v>2290</v>
      </c>
      <c r="E8910" s="1" t="n">
        <v>1642</v>
      </c>
      <c r="F8910" s="1" t="s">
        <v>274</v>
      </c>
      <c r="I8910" s="1" t="n">
        <v>1038859</v>
      </c>
      <c r="J8910" s="1" t="n">
        <v>106407</v>
      </c>
      <c r="K8910" s="1" t="n">
        <v>7896289210031</v>
      </c>
      <c r="L8910" s="1" t="s">
        <v>2472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5" t="n">
        <v>46261</v>
      </c>
      <c r="C8911" s="1" t="n">
        <v>11</v>
      </c>
      <c r="D8911" s="1" t="s">
        <v>2290</v>
      </c>
      <c r="E8911" s="1" t="n">
        <v>1642</v>
      </c>
      <c r="F8911" s="1" t="s">
        <v>274</v>
      </c>
      <c r="I8911" s="1" t="n">
        <v>1038859</v>
      </c>
      <c r="J8911" s="1" t="n">
        <v>29706</v>
      </c>
      <c r="K8911" s="1" t="n">
        <v>7896289240205</v>
      </c>
      <c r="L8911" s="1" t="s">
        <v>4110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5" t="n">
        <v>46261</v>
      </c>
      <c r="C8912" s="1" t="n">
        <v>11</v>
      </c>
      <c r="D8912" s="1" t="s">
        <v>2290</v>
      </c>
      <c r="E8912" s="1" t="n">
        <v>1642</v>
      </c>
      <c r="F8912" s="1" t="s">
        <v>274</v>
      </c>
      <c r="I8912" s="1" t="n">
        <v>1038859</v>
      </c>
      <c r="J8912" s="1" t="n">
        <v>38312</v>
      </c>
      <c r="K8912" s="1" t="n">
        <v>7896289210208</v>
      </c>
      <c r="L8912" s="1" t="s">
        <v>5058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5" t="n">
        <v>46261</v>
      </c>
      <c r="C8913" s="1" t="n">
        <v>11</v>
      </c>
      <c r="D8913" s="1" t="s">
        <v>2290</v>
      </c>
      <c r="E8913" s="1" t="n">
        <v>1705</v>
      </c>
      <c r="F8913" s="1" t="s">
        <v>122</v>
      </c>
      <c r="I8913" s="1" t="n">
        <v>1268918</v>
      </c>
      <c r="J8913" s="1" t="n">
        <v>29747</v>
      </c>
      <c r="K8913" s="1" t="n">
        <v>70847022305</v>
      </c>
      <c r="L8913" s="1" t="s">
        <v>2294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5" t="n">
        <v>46261</v>
      </c>
      <c r="C8914" s="1" t="n">
        <v>11</v>
      </c>
      <c r="D8914" s="1" t="s">
        <v>2290</v>
      </c>
      <c r="E8914" s="1" t="n">
        <v>1705</v>
      </c>
      <c r="F8914" s="1" t="s">
        <v>122</v>
      </c>
      <c r="I8914" s="1" t="n">
        <v>1268920</v>
      </c>
      <c r="J8914" s="1" t="n">
        <v>102360</v>
      </c>
      <c r="K8914" s="1" t="n">
        <v>7894900593709</v>
      </c>
      <c r="L8914" s="1" t="s">
        <v>3187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5" t="n">
        <v>46261</v>
      </c>
      <c r="C8915" s="1" t="n">
        <v>11</v>
      </c>
      <c r="D8915" s="1" t="s">
        <v>2290</v>
      </c>
      <c r="E8915" s="1" t="n">
        <v>1705</v>
      </c>
      <c r="F8915" s="1" t="s">
        <v>122</v>
      </c>
      <c r="I8915" s="1" t="n">
        <v>1268920</v>
      </c>
      <c r="J8915" s="1" t="n">
        <v>102361</v>
      </c>
      <c r="K8915" s="1" t="n">
        <v>7894900573701</v>
      </c>
      <c r="L8915" s="1" t="s">
        <v>4124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5" t="n">
        <v>46261</v>
      </c>
      <c r="C8916" s="1" t="n">
        <v>11</v>
      </c>
      <c r="D8916" s="1" t="s">
        <v>2290</v>
      </c>
      <c r="E8916" s="1" t="n">
        <v>1705</v>
      </c>
      <c r="F8916" s="1" t="s">
        <v>122</v>
      </c>
      <c r="I8916" s="1" t="n">
        <v>1268920</v>
      </c>
      <c r="J8916" s="1" t="n">
        <v>102362</v>
      </c>
      <c r="K8916" s="1" t="n">
        <v>7894900583700</v>
      </c>
      <c r="L8916" s="1" t="s">
        <v>3188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5" t="n">
        <v>46261</v>
      </c>
      <c r="C8917" s="1" t="n">
        <v>11</v>
      </c>
      <c r="D8917" s="1" t="s">
        <v>2290</v>
      </c>
      <c r="E8917" s="1" t="n">
        <v>1705</v>
      </c>
      <c r="F8917" s="1" t="s">
        <v>122</v>
      </c>
      <c r="I8917" s="1" t="n">
        <v>1268920</v>
      </c>
      <c r="J8917" s="1" t="n">
        <v>102363</v>
      </c>
      <c r="K8917" s="1" t="n">
        <v>7894900563702</v>
      </c>
      <c r="L8917" s="1" t="s">
        <v>4125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5" t="n">
        <v>46261</v>
      </c>
      <c r="C8918" s="1" t="n">
        <v>11</v>
      </c>
      <c r="D8918" s="1" t="s">
        <v>2290</v>
      </c>
      <c r="E8918" s="1" t="n">
        <v>1705</v>
      </c>
      <c r="F8918" s="1" t="s">
        <v>122</v>
      </c>
      <c r="I8918" s="1" t="n">
        <v>1268920</v>
      </c>
      <c r="J8918" s="1" t="n">
        <v>103158</v>
      </c>
      <c r="K8918" s="1" t="n">
        <v>7894900060010</v>
      </c>
      <c r="L8918" s="1" t="s">
        <v>3631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5" t="n">
        <v>46261</v>
      </c>
      <c r="C8919" s="1" t="n">
        <v>11</v>
      </c>
      <c r="D8919" s="1" t="s">
        <v>2290</v>
      </c>
      <c r="E8919" s="1" t="n">
        <v>1705</v>
      </c>
      <c r="F8919" s="1" t="s">
        <v>122</v>
      </c>
      <c r="I8919" s="1" t="n">
        <v>1268920</v>
      </c>
      <c r="J8919" s="1" t="n">
        <v>17106</v>
      </c>
      <c r="K8919" s="1" t="n">
        <v>7895144603223</v>
      </c>
      <c r="L8919" s="1" t="s">
        <v>5059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5" t="n">
        <v>46261</v>
      </c>
      <c r="C8920" s="1" t="n">
        <v>11</v>
      </c>
      <c r="D8920" s="1" t="s">
        <v>2290</v>
      </c>
      <c r="E8920" s="1" t="n">
        <v>1705</v>
      </c>
      <c r="F8920" s="1" t="s">
        <v>122</v>
      </c>
      <c r="I8920" s="1" t="n">
        <v>1268920</v>
      </c>
      <c r="J8920" s="1" t="n">
        <v>24324</v>
      </c>
      <c r="K8920" s="1" t="n">
        <v>70847022015</v>
      </c>
      <c r="L8920" s="1" t="s">
        <v>2292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5" t="n">
        <v>46261</v>
      </c>
      <c r="C8921" s="1" t="n">
        <v>11</v>
      </c>
      <c r="D8921" s="1" t="s">
        <v>2290</v>
      </c>
      <c r="E8921" s="1" t="n">
        <v>1705</v>
      </c>
      <c r="F8921" s="1" t="s">
        <v>122</v>
      </c>
      <c r="I8921" s="1" t="n">
        <v>1268920</v>
      </c>
      <c r="J8921" s="1" t="n">
        <v>24651</v>
      </c>
      <c r="K8921" s="1" t="n">
        <v>78936683</v>
      </c>
      <c r="L8921" s="1" t="s">
        <v>2573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5" t="n">
        <v>46261</v>
      </c>
      <c r="C8922" s="1" t="n">
        <v>11</v>
      </c>
      <c r="D8922" s="1" t="s">
        <v>2290</v>
      </c>
      <c r="E8922" s="1" t="n">
        <v>1705</v>
      </c>
      <c r="F8922" s="1" t="s">
        <v>122</v>
      </c>
      <c r="I8922" s="1" t="n">
        <v>1268920</v>
      </c>
      <c r="J8922" s="1" t="n">
        <v>25136</v>
      </c>
      <c r="K8922" s="1" t="n">
        <v>70847022206</v>
      </c>
      <c r="L8922" s="1" t="s">
        <v>2293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5" t="n">
        <v>46261</v>
      </c>
      <c r="C8923" s="1" t="n">
        <v>11</v>
      </c>
      <c r="D8923" s="1" t="s">
        <v>2290</v>
      </c>
      <c r="E8923" s="1" t="n">
        <v>1705</v>
      </c>
      <c r="F8923" s="1" t="s">
        <v>122</v>
      </c>
      <c r="I8923" s="1" t="n">
        <v>1268920</v>
      </c>
      <c r="J8923" s="1" t="n">
        <v>29022</v>
      </c>
      <c r="K8923" s="1" t="n">
        <v>7895144693064</v>
      </c>
      <c r="L8923" s="1" t="s">
        <v>5060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5" t="n">
        <v>46261</v>
      </c>
      <c r="C8924" s="1" t="n">
        <v>11</v>
      </c>
      <c r="D8924" s="1" t="s">
        <v>2290</v>
      </c>
      <c r="E8924" s="1" t="n">
        <v>1705</v>
      </c>
      <c r="F8924" s="1" t="s">
        <v>122</v>
      </c>
      <c r="I8924" s="1" t="n">
        <v>1268920</v>
      </c>
      <c r="J8924" s="1" t="n">
        <v>29748</v>
      </c>
      <c r="K8924" s="1" t="n">
        <v>70847033301</v>
      </c>
      <c r="L8924" s="1" t="s">
        <v>3611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5" t="n">
        <v>46261</v>
      </c>
      <c r="C8925" s="1" t="n">
        <v>11</v>
      </c>
      <c r="D8925" s="1" t="s">
        <v>2290</v>
      </c>
      <c r="E8925" s="1" t="n">
        <v>1705</v>
      </c>
      <c r="F8925" s="1" t="s">
        <v>122</v>
      </c>
      <c r="I8925" s="1" t="n">
        <v>1268920</v>
      </c>
      <c r="J8925" s="1" t="n">
        <v>47082</v>
      </c>
      <c r="K8925" s="1" t="n">
        <v>1220000250031</v>
      </c>
      <c r="L8925" s="1" t="s">
        <v>2295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5" t="n">
        <v>46261</v>
      </c>
      <c r="C8926" s="1" t="n">
        <v>11</v>
      </c>
      <c r="D8926" s="1" t="s">
        <v>2290</v>
      </c>
      <c r="E8926" s="1" t="n">
        <v>1705</v>
      </c>
      <c r="F8926" s="1" t="s">
        <v>122</v>
      </c>
      <c r="I8926" s="1" t="n">
        <v>1268920</v>
      </c>
      <c r="J8926" s="1" t="n">
        <v>57690</v>
      </c>
      <c r="K8926" s="1" t="n">
        <v>7896045506378</v>
      </c>
      <c r="L8926" s="1" t="s">
        <v>4665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5" t="n">
        <v>46261</v>
      </c>
      <c r="C8927" s="1" t="n">
        <v>11</v>
      </c>
      <c r="D8927" s="1" t="s">
        <v>2290</v>
      </c>
      <c r="E8927" s="1" t="n">
        <v>1705</v>
      </c>
      <c r="F8927" s="1" t="s">
        <v>122</v>
      </c>
      <c r="I8927" s="1" t="n">
        <v>1268920</v>
      </c>
      <c r="J8927" s="1" t="n">
        <v>62343</v>
      </c>
      <c r="K8927" s="1" t="n">
        <v>7898938890045</v>
      </c>
      <c r="L8927" s="1" t="s">
        <v>5061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5" t="n">
        <v>46261</v>
      </c>
      <c r="C8928" s="1" t="n">
        <v>11</v>
      </c>
      <c r="D8928" s="1" t="s">
        <v>2290</v>
      </c>
      <c r="E8928" s="1" t="n">
        <v>1705</v>
      </c>
      <c r="F8928" s="1" t="s">
        <v>122</v>
      </c>
      <c r="I8928" s="1" t="n">
        <v>1268920</v>
      </c>
      <c r="J8928" s="1" t="n">
        <v>66038</v>
      </c>
      <c r="K8928" s="1" t="n">
        <v>7898938890076</v>
      </c>
      <c r="L8928" s="1" t="s">
        <v>3612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5" t="n">
        <v>46261</v>
      </c>
      <c r="C8929" s="1" t="n">
        <v>11</v>
      </c>
      <c r="D8929" s="1" t="s">
        <v>2290</v>
      </c>
      <c r="E8929" s="1" t="n">
        <v>1705</v>
      </c>
      <c r="F8929" s="1" t="s">
        <v>122</v>
      </c>
      <c r="I8929" s="1" t="n">
        <v>1268920</v>
      </c>
      <c r="J8929" s="1" t="n">
        <v>78241</v>
      </c>
      <c r="K8929" s="1" t="n">
        <v>7898938890120</v>
      </c>
      <c r="L8929" s="1" t="s">
        <v>2300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5" t="n">
        <v>46261</v>
      </c>
      <c r="C8930" s="1" t="n">
        <v>11</v>
      </c>
      <c r="D8930" s="1" t="s">
        <v>2290</v>
      </c>
      <c r="E8930" s="1" t="n">
        <v>1705</v>
      </c>
      <c r="F8930" s="1" t="s">
        <v>122</v>
      </c>
      <c r="I8930" s="1" t="n">
        <v>1268920</v>
      </c>
      <c r="J8930" s="1" t="n">
        <v>79271</v>
      </c>
      <c r="K8930" s="1" t="n">
        <v>7895144900025</v>
      </c>
      <c r="L8930" s="1" t="s">
        <v>5062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5" t="n">
        <v>46261</v>
      </c>
      <c r="C8931" s="1" t="n">
        <v>11</v>
      </c>
      <c r="D8931" s="1" t="s">
        <v>2290</v>
      </c>
      <c r="E8931" s="1" t="n">
        <v>1705</v>
      </c>
      <c r="F8931" s="1" t="s">
        <v>122</v>
      </c>
      <c r="I8931" s="1" t="n">
        <v>1268920</v>
      </c>
      <c r="J8931" s="1" t="n">
        <v>81668</v>
      </c>
      <c r="K8931" s="1" t="n">
        <v>7898770420011</v>
      </c>
      <c r="L8931" s="1" t="s">
        <v>4667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5" t="n">
        <v>46261</v>
      </c>
      <c r="C8932" s="1" t="n">
        <v>11</v>
      </c>
      <c r="D8932" s="1" t="s">
        <v>2290</v>
      </c>
      <c r="E8932" s="1" t="n">
        <v>10012</v>
      </c>
      <c r="F8932" s="1" t="s">
        <v>393</v>
      </c>
      <c r="I8932" s="1" t="n">
        <v>1967274</v>
      </c>
      <c r="J8932" s="1" t="n">
        <v>100093</v>
      </c>
      <c r="K8932" s="1" t="n">
        <v>145138</v>
      </c>
      <c r="L8932" s="1" t="s">
        <v>5063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5" t="n">
        <v>46261</v>
      </c>
      <c r="C8933" s="1" t="n">
        <v>11</v>
      </c>
      <c r="D8933" s="1" t="s">
        <v>2290</v>
      </c>
      <c r="E8933" s="1" t="n">
        <v>10012</v>
      </c>
      <c r="F8933" s="1" t="s">
        <v>393</v>
      </c>
      <c r="I8933" s="1" t="n">
        <v>1967274</v>
      </c>
      <c r="J8933" s="1" t="n">
        <v>10053</v>
      </c>
      <c r="K8933" s="1" t="n">
        <v>7896512909794</v>
      </c>
      <c r="L8933" s="1" t="s">
        <v>5064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5" t="n">
        <v>46261</v>
      </c>
      <c r="C8934" s="1" t="n">
        <v>11</v>
      </c>
      <c r="D8934" s="1" t="s">
        <v>2290</v>
      </c>
      <c r="E8934" s="1" t="n">
        <v>10012</v>
      </c>
      <c r="F8934" s="1" t="s">
        <v>393</v>
      </c>
      <c r="I8934" s="1" t="n">
        <v>1967274</v>
      </c>
      <c r="J8934" s="1" t="n">
        <v>20283</v>
      </c>
      <c r="K8934" s="1" t="n">
        <v>7897161351019</v>
      </c>
      <c r="L8934" s="1" t="s">
        <v>5065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5" t="n">
        <v>46261</v>
      </c>
      <c r="C8935" s="1" t="n">
        <v>11</v>
      </c>
      <c r="D8935" s="1" t="s">
        <v>2290</v>
      </c>
      <c r="E8935" s="1" t="n">
        <v>10012</v>
      </c>
      <c r="F8935" s="1" t="s">
        <v>393</v>
      </c>
      <c r="I8935" s="1" t="n">
        <v>1967274</v>
      </c>
      <c r="J8935" s="1" t="n">
        <v>50250</v>
      </c>
      <c r="K8935" s="1" t="n">
        <v>7891800649314</v>
      </c>
      <c r="L8935" s="1" t="s">
        <v>5066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5" t="n">
        <v>46261</v>
      </c>
      <c r="C8936" s="1" t="n">
        <v>11</v>
      </c>
      <c r="D8936" s="1" t="s">
        <v>2290</v>
      </c>
      <c r="E8936" s="1" t="n">
        <v>10012</v>
      </c>
      <c r="F8936" s="1" t="s">
        <v>393</v>
      </c>
      <c r="I8936" s="1" t="n">
        <v>1967274</v>
      </c>
      <c r="J8936" s="1" t="n">
        <v>101399</v>
      </c>
      <c r="K8936" s="1" t="n">
        <v>7891010503031</v>
      </c>
      <c r="L8936" s="1" t="s">
        <v>5067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5" t="n">
        <v>46261</v>
      </c>
      <c r="C8937" s="1" t="n">
        <v>11</v>
      </c>
      <c r="D8937" s="1" t="s">
        <v>2290</v>
      </c>
      <c r="E8937" s="1" t="n">
        <v>10012</v>
      </c>
      <c r="F8937" s="1" t="s">
        <v>393</v>
      </c>
      <c r="I8937" s="1" t="n">
        <v>1967274</v>
      </c>
      <c r="J8937" s="1" t="n">
        <v>101410</v>
      </c>
      <c r="K8937" s="1" t="n">
        <v>7891010035631</v>
      </c>
      <c r="L8937" s="1" t="s">
        <v>4932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5" t="n">
        <v>46261</v>
      </c>
      <c r="C8938" s="1" t="n">
        <v>11</v>
      </c>
      <c r="D8938" s="1" t="s">
        <v>2290</v>
      </c>
      <c r="E8938" s="1" t="n">
        <v>10012</v>
      </c>
      <c r="F8938" s="1" t="s">
        <v>393</v>
      </c>
      <c r="I8938" s="1" t="n">
        <v>1967274</v>
      </c>
      <c r="J8938" s="1" t="n">
        <v>103220</v>
      </c>
      <c r="K8938" s="1" t="n">
        <v>7896004814162</v>
      </c>
      <c r="L8938" s="1" t="s">
        <v>5068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5" t="n">
        <v>46261</v>
      </c>
      <c r="C8939" s="1" t="n">
        <v>11</v>
      </c>
      <c r="D8939" s="1" t="s">
        <v>2290</v>
      </c>
      <c r="E8939" s="1" t="n">
        <v>10012</v>
      </c>
      <c r="F8939" s="1" t="s">
        <v>393</v>
      </c>
      <c r="I8939" s="1" t="n">
        <v>1967274</v>
      </c>
      <c r="J8939" s="1" t="n">
        <v>108845</v>
      </c>
      <c r="K8939" s="1" t="n">
        <v>7896512909732</v>
      </c>
      <c r="L8939" s="1" t="s">
        <v>5069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5" t="n">
        <v>46261</v>
      </c>
      <c r="C8940" s="1" t="n">
        <v>11</v>
      </c>
      <c r="D8940" s="1" t="s">
        <v>2290</v>
      </c>
      <c r="E8940" s="1" t="n">
        <v>10012</v>
      </c>
      <c r="F8940" s="1" t="s">
        <v>393</v>
      </c>
      <c r="I8940" s="1" t="n">
        <v>1967274</v>
      </c>
      <c r="J8940" s="1" t="n">
        <v>14678</v>
      </c>
      <c r="K8940" s="1" t="n">
        <v>7897161340143</v>
      </c>
      <c r="L8940" s="1" t="s">
        <v>5070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5" t="n">
        <v>46261</v>
      </c>
      <c r="C8941" s="1" t="n">
        <v>11</v>
      </c>
      <c r="D8941" s="1" t="s">
        <v>2290</v>
      </c>
      <c r="E8941" s="1" t="n">
        <v>10012</v>
      </c>
      <c r="F8941" s="1" t="s">
        <v>393</v>
      </c>
      <c r="I8941" s="1" t="n">
        <v>1967274</v>
      </c>
      <c r="J8941" s="1" t="n">
        <v>16197</v>
      </c>
      <c r="K8941" s="1" t="n">
        <v>7891010973483</v>
      </c>
      <c r="L8941" s="1" t="s">
        <v>5071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5" t="n">
        <v>46261</v>
      </c>
      <c r="C8942" s="1" t="n">
        <v>11</v>
      </c>
      <c r="D8942" s="1" t="s">
        <v>2290</v>
      </c>
      <c r="E8942" s="1" t="n">
        <v>10012</v>
      </c>
      <c r="F8942" s="1" t="s">
        <v>393</v>
      </c>
      <c r="I8942" s="1" t="n">
        <v>1967274</v>
      </c>
      <c r="J8942" s="1" t="n">
        <v>16366</v>
      </c>
      <c r="K8942" s="1" t="n">
        <v>7897161340280</v>
      </c>
      <c r="L8942" s="1" t="s">
        <v>5072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5" t="n">
        <v>46261</v>
      </c>
      <c r="C8943" s="1" t="n">
        <v>11</v>
      </c>
      <c r="D8943" s="1" t="s">
        <v>2290</v>
      </c>
      <c r="E8943" s="1" t="n">
        <v>10012</v>
      </c>
      <c r="F8943" s="1" t="s">
        <v>393</v>
      </c>
      <c r="I8943" s="1" t="n">
        <v>1967274</v>
      </c>
      <c r="J8943" s="1" t="n">
        <v>16464</v>
      </c>
      <c r="K8943" s="1" t="n">
        <v>7896512905420</v>
      </c>
      <c r="L8943" s="1" t="s">
        <v>5073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5" t="n">
        <v>46261</v>
      </c>
      <c r="C8944" s="1" t="n">
        <v>11</v>
      </c>
      <c r="D8944" s="1" t="s">
        <v>2290</v>
      </c>
      <c r="E8944" s="1" t="n">
        <v>10012</v>
      </c>
      <c r="F8944" s="1" t="s">
        <v>393</v>
      </c>
      <c r="I8944" s="1" t="n">
        <v>1967274</v>
      </c>
      <c r="J8944" s="1" t="n">
        <v>16469</v>
      </c>
      <c r="K8944" s="1" t="n">
        <v>7896512904621</v>
      </c>
      <c r="L8944" s="1" t="s">
        <v>3274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5" t="n">
        <v>46261</v>
      </c>
      <c r="C8945" s="1" t="n">
        <v>11</v>
      </c>
      <c r="D8945" s="1" t="s">
        <v>2290</v>
      </c>
      <c r="E8945" s="1" t="n">
        <v>10012</v>
      </c>
      <c r="F8945" s="1" t="s">
        <v>393</v>
      </c>
      <c r="I8945" s="1" t="n">
        <v>1967274</v>
      </c>
      <c r="J8945" s="1" t="n">
        <v>19320</v>
      </c>
      <c r="K8945" s="1" t="n">
        <v>7897161351026</v>
      </c>
      <c r="L8945" s="1" t="s">
        <v>5065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5" t="n">
        <v>46261</v>
      </c>
      <c r="C8946" s="1" t="n">
        <v>11</v>
      </c>
      <c r="D8946" s="1" t="s">
        <v>2290</v>
      </c>
      <c r="E8946" s="1" t="n">
        <v>10012</v>
      </c>
      <c r="F8946" s="1" t="s">
        <v>393</v>
      </c>
      <c r="I8946" s="1" t="n">
        <v>1967274</v>
      </c>
      <c r="J8946" s="1" t="n">
        <v>20690</v>
      </c>
      <c r="K8946" s="1" t="n">
        <v>7897161340327</v>
      </c>
      <c r="L8946" s="1" t="s">
        <v>5074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5" t="n">
        <v>46261</v>
      </c>
      <c r="C8947" s="1" t="n">
        <v>11</v>
      </c>
      <c r="D8947" s="1" t="s">
        <v>2290</v>
      </c>
      <c r="E8947" s="1" t="n">
        <v>10012</v>
      </c>
      <c r="F8947" s="1" t="s">
        <v>393</v>
      </c>
      <c r="I8947" s="1" t="n">
        <v>1967274</v>
      </c>
      <c r="J8947" s="1" t="n">
        <v>22095</v>
      </c>
      <c r="K8947" s="1" t="n">
        <v>7891010694593</v>
      </c>
      <c r="L8947" s="1" t="s">
        <v>5075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5" t="n">
        <v>46261</v>
      </c>
      <c r="C8948" s="1" t="n">
        <v>11</v>
      </c>
      <c r="D8948" s="1" t="s">
        <v>2290</v>
      </c>
      <c r="E8948" s="1" t="n">
        <v>10012</v>
      </c>
      <c r="F8948" s="1" t="s">
        <v>393</v>
      </c>
      <c r="I8948" s="1" t="n">
        <v>1967274</v>
      </c>
      <c r="J8948" s="1" t="n">
        <v>24179</v>
      </c>
      <c r="K8948" s="1" t="n">
        <v>7897161371130</v>
      </c>
      <c r="L8948" s="1" t="s">
        <v>5076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5" t="n">
        <v>46261</v>
      </c>
      <c r="C8949" s="1" t="n">
        <v>11</v>
      </c>
      <c r="D8949" s="1" t="s">
        <v>2290</v>
      </c>
      <c r="E8949" s="1" t="n">
        <v>10012</v>
      </c>
      <c r="F8949" s="1" t="s">
        <v>393</v>
      </c>
      <c r="I8949" s="1" t="n">
        <v>1967274</v>
      </c>
      <c r="J8949" s="1" t="n">
        <v>24222</v>
      </c>
      <c r="K8949" s="1" t="n">
        <v>7897161351033</v>
      </c>
      <c r="L8949" s="1" t="s">
        <v>5077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5" t="n">
        <v>46261</v>
      </c>
      <c r="C8950" s="1" t="n">
        <v>11</v>
      </c>
      <c r="D8950" s="1" t="s">
        <v>2290</v>
      </c>
      <c r="E8950" s="1" t="n">
        <v>10012</v>
      </c>
      <c r="F8950" s="1" t="s">
        <v>393</v>
      </c>
      <c r="I8950" s="1" t="n">
        <v>1967274</v>
      </c>
      <c r="J8950" s="1" t="n">
        <v>25399</v>
      </c>
      <c r="K8950" s="1" t="n">
        <v>7897161300109</v>
      </c>
      <c r="L8950" s="1" t="s">
        <v>5078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5" t="n">
        <v>46261</v>
      </c>
      <c r="C8951" s="1" t="n">
        <v>11</v>
      </c>
      <c r="D8951" s="1" t="s">
        <v>2290</v>
      </c>
      <c r="E8951" s="1" t="n">
        <v>10012</v>
      </c>
      <c r="F8951" s="1" t="s">
        <v>393</v>
      </c>
      <c r="I8951" s="1" t="n">
        <v>1967274</v>
      </c>
      <c r="J8951" s="1" t="n">
        <v>25400</v>
      </c>
      <c r="K8951" s="1" t="n">
        <v>7897161300383</v>
      </c>
      <c r="L8951" s="1" t="s">
        <v>5079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5" t="n">
        <v>46261</v>
      </c>
      <c r="C8952" s="1" t="n">
        <v>11</v>
      </c>
      <c r="D8952" s="1" t="s">
        <v>2290</v>
      </c>
      <c r="E8952" s="1" t="n">
        <v>10012</v>
      </c>
      <c r="F8952" s="1" t="s">
        <v>393</v>
      </c>
      <c r="I8952" s="1" t="n">
        <v>1967274</v>
      </c>
      <c r="J8952" s="1" t="n">
        <v>25403</v>
      </c>
      <c r="K8952" s="1" t="n">
        <v>7897161300376</v>
      </c>
      <c r="L8952" s="1" t="s">
        <v>5080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5" t="n">
        <v>46261</v>
      </c>
      <c r="C8953" s="1" t="n">
        <v>11</v>
      </c>
      <c r="D8953" s="1" t="s">
        <v>2290</v>
      </c>
      <c r="E8953" s="1" t="n">
        <v>10012</v>
      </c>
      <c r="F8953" s="1" t="s">
        <v>393</v>
      </c>
      <c r="I8953" s="1" t="n">
        <v>1967274</v>
      </c>
      <c r="J8953" s="1" t="n">
        <v>27006</v>
      </c>
      <c r="K8953" s="1" t="n">
        <v>7896512922373</v>
      </c>
      <c r="L8953" s="1" t="s">
        <v>3276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5" t="n">
        <v>46261</v>
      </c>
      <c r="C8954" s="1" t="n">
        <v>11</v>
      </c>
      <c r="D8954" s="1" t="s">
        <v>2290</v>
      </c>
      <c r="E8954" s="1" t="n">
        <v>10012</v>
      </c>
      <c r="F8954" s="1" t="s">
        <v>393</v>
      </c>
      <c r="I8954" s="1" t="n">
        <v>1967274</v>
      </c>
      <c r="J8954" s="1" t="n">
        <v>27007</v>
      </c>
      <c r="K8954" s="1" t="n">
        <v>7896512922465</v>
      </c>
      <c r="L8954" s="1" t="s">
        <v>5081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5" t="n">
        <v>46261</v>
      </c>
      <c r="C8955" s="1" t="n">
        <v>11</v>
      </c>
      <c r="D8955" s="1" t="s">
        <v>2290</v>
      </c>
      <c r="E8955" s="1" t="n">
        <v>10012</v>
      </c>
      <c r="F8955" s="1" t="s">
        <v>393</v>
      </c>
      <c r="I8955" s="1" t="n">
        <v>1967274</v>
      </c>
      <c r="J8955" s="1" t="n">
        <v>31957</v>
      </c>
      <c r="K8955" s="1" t="n">
        <v>7897161300437</v>
      </c>
      <c r="L8955" s="1" t="s">
        <v>5082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5" t="n">
        <v>46261</v>
      </c>
      <c r="C8956" s="1" t="n">
        <v>11</v>
      </c>
      <c r="D8956" s="1" t="s">
        <v>2290</v>
      </c>
      <c r="E8956" s="1" t="n">
        <v>10012</v>
      </c>
      <c r="F8956" s="1" t="s">
        <v>393</v>
      </c>
      <c r="I8956" s="1" t="n">
        <v>1967274</v>
      </c>
      <c r="J8956" s="1" t="n">
        <v>31967</v>
      </c>
      <c r="K8956" s="1" t="n">
        <v>7897161345605</v>
      </c>
      <c r="L8956" s="1" t="s">
        <v>5083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5" t="n">
        <v>46261</v>
      </c>
      <c r="C8957" s="1" t="n">
        <v>11</v>
      </c>
      <c r="D8957" s="1" t="s">
        <v>2290</v>
      </c>
      <c r="E8957" s="1" t="n">
        <v>10012</v>
      </c>
      <c r="F8957" s="1" t="s">
        <v>393</v>
      </c>
      <c r="I8957" s="1" t="n">
        <v>1967274</v>
      </c>
      <c r="J8957" s="1" t="n">
        <v>32000</v>
      </c>
      <c r="K8957" s="1" t="n">
        <v>7897161300475</v>
      </c>
      <c r="L8957" s="1" t="s">
        <v>5084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5" t="n">
        <v>46261</v>
      </c>
      <c r="C8958" s="1" t="n">
        <v>11</v>
      </c>
      <c r="D8958" s="1" t="s">
        <v>2290</v>
      </c>
      <c r="E8958" s="1" t="n">
        <v>10012</v>
      </c>
      <c r="F8958" s="1" t="s">
        <v>393</v>
      </c>
      <c r="I8958" s="1" t="n">
        <v>1967274</v>
      </c>
      <c r="J8958" s="1" t="n">
        <v>32004</v>
      </c>
      <c r="K8958" s="1" t="n">
        <v>7897161300123</v>
      </c>
      <c r="L8958" s="1" t="s">
        <v>5085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5" t="n">
        <v>46261</v>
      </c>
      <c r="C8959" s="1" t="n">
        <v>11</v>
      </c>
      <c r="D8959" s="1" t="s">
        <v>2290</v>
      </c>
      <c r="E8959" s="1" t="n">
        <v>10012</v>
      </c>
      <c r="F8959" s="1" t="s">
        <v>393</v>
      </c>
      <c r="I8959" s="1" t="n">
        <v>1967274</v>
      </c>
      <c r="J8959" s="1" t="n">
        <v>34167</v>
      </c>
      <c r="K8959" s="1" t="n">
        <v>7897161300031</v>
      </c>
      <c r="L8959" s="1" t="s">
        <v>5086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5" t="n">
        <v>46261</v>
      </c>
      <c r="C8960" s="1" t="n">
        <v>11</v>
      </c>
      <c r="D8960" s="1" t="s">
        <v>2290</v>
      </c>
      <c r="E8960" s="1" t="n">
        <v>10012</v>
      </c>
      <c r="F8960" s="1" t="s">
        <v>393</v>
      </c>
      <c r="I8960" s="1" t="n">
        <v>1967274</v>
      </c>
      <c r="J8960" s="1" t="n">
        <v>38161</v>
      </c>
      <c r="K8960" s="1" t="n">
        <v>7897161351002</v>
      </c>
      <c r="L8960" s="1" t="s">
        <v>5087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5" t="n">
        <v>46261</v>
      </c>
      <c r="C8961" s="1" t="n">
        <v>11</v>
      </c>
      <c r="D8961" s="1" t="s">
        <v>2290</v>
      </c>
      <c r="E8961" s="1" t="n">
        <v>10012</v>
      </c>
      <c r="F8961" s="1" t="s">
        <v>393</v>
      </c>
      <c r="I8961" s="1" t="n">
        <v>1967274</v>
      </c>
      <c r="J8961" s="1" t="n">
        <v>39147</v>
      </c>
      <c r="K8961" s="1" t="n">
        <v>7897161300642</v>
      </c>
      <c r="L8961" s="1" t="s">
        <v>5088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5" t="n">
        <v>46261</v>
      </c>
      <c r="C8962" s="1" t="n">
        <v>11</v>
      </c>
      <c r="D8962" s="1" t="s">
        <v>2290</v>
      </c>
      <c r="E8962" s="1" t="n">
        <v>10012</v>
      </c>
      <c r="F8962" s="1" t="s">
        <v>393</v>
      </c>
      <c r="I8962" s="1" t="n">
        <v>1967274</v>
      </c>
      <c r="J8962" s="1" t="n">
        <v>41405</v>
      </c>
      <c r="K8962" s="1" t="n">
        <v>7897161340372</v>
      </c>
      <c r="L8962" s="1" t="s">
        <v>5089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5" t="n">
        <v>46261</v>
      </c>
      <c r="C8963" s="1" t="n">
        <v>11</v>
      </c>
      <c r="D8963" s="1" t="s">
        <v>2290</v>
      </c>
      <c r="E8963" s="1" t="n">
        <v>10012</v>
      </c>
      <c r="F8963" s="1" t="s">
        <v>393</v>
      </c>
      <c r="I8963" s="1" t="n">
        <v>1967274</v>
      </c>
      <c r="J8963" s="1" t="n">
        <v>42480</v>
      </c>
      <c r="K8963" s="1" t="n">
        <v>7897161300604</v>
      </c>
      <c r="L8963" s="1" t="s">
        <v>5090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5" t="n">
        <v>46261</v>
      </c>
      <c r="C8964" s="1" t="n">
        <v>11</v>
      </c>
      <c r="D8964" s="1" t="s">
        <v>2290</v>
      </c>
      <c r="E8964" s="1" t="n">
        <v>10012</v>
      </c>
      <c r="F8964" s="1" t="s">
        <v>393</v>
      </c>
      <c r="I8964" s="1" t="n">
        <v>1967274</v>
      </c>
      <c r="J8964" s="1" t="n">
        <v>42499</v>
      </c>
      <c r="K8964" s="1" t="n">
        <v>7897161345551</v>
      </c>
      <c r="L8964" s="1" t="s">
        <v>5091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5" t="n">
        <v>46261</v>
      </c>
      <c r="C8965" s="1" t="n">
        <v>11</v>
      </c>
      <c r="D8965" s="1" t="s">
        <v>2290</v>
      </c>
      <c r="E8965" s="1" t="n">
        <v>10012</v>
      </c>
      <c r="F8965" s="1" t="s">
        <v>393</v>
      </c>
      <c r="I8965" s="1" t="n">
        <v>1967274</v>
      </c>
      <c r="J8965" s="1" t="n">
        <v>42555</v>
      </c>
      <c r="K8965" s="1" t="n">
        <v>7897161300598</v>
      </c>
      <c r="L8965" s="1" t="s">
        <v>5092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5" t="n">
        <v>46261</v>
      </c>
      <c r="C8966" s="1" t="n">
        <v>11</v>
      </c>
      <c r="D8966" s="1" t="s">
        <v>2290</v>
      </c>
      <c r="E8966" s="1" t="n">
        <v>10012</v>
      </c>
      <c r="F8966" s="1" t="s">
        <v>393</v>
      </c>
      <c r="I8966" s="1" t="n">
        <v>1967274</v>
      </c>
      <c r="J8966" s="1" t="n">
        <v>47488</v>
      </c>
      <c r="K8966" s="1" t="n">
        <v>7891800649529</v>
      </c>
      <c r="L8966" s="1" t="s">
        <v>5093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5" t="n">
        <v>46261</v>
      </c>
      <c r="C8967" s="1" t="n">
        <v>11</v>
      </c>
      <c r="D8967" s="1" t="s">
        <v>2290</v>
      </c>
      <c r="E8967" s="1" t="n">
        <v>10012</v>
      </c>
      <c r="F8967" s="1" t="s">
        <v>393</v>
      </c>
      <c r="I8967" s="1" t="n">
        <v>1967274</v>
      </c>
      <c r="J8967" s="1" t="n">
        <v>48366</v>
      </c>
      <c r="K8967" s="1" t="n">
        <v>7891800651430</v>
      </c>
      <c r="L8967" s="1" t="s">
        <v>5094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5" t="n">
        <v>46261</v>
      </c>
      <c r="C8968" s="1" t="n">
        <v>11</v>
      </c>
      <c r="D8968" s="1" t="s">
        <v>2290</v>
      </c>
      <c r="E8968" s="1" t="n">
        <v>10012</v>
      </c>
      <c r="F8968" s="1" t="s">
        <v>393</v>
      </c>
      <c r="I8968" s="1" t="n">
        <v>1967274</v>
      </c>
      <c r="J8968" s="1" t="n">
        <v>55386</v>
      </c>
      <c r="K8968" s="1" t="n">
        <v>7908032300576</v>
      </c>
      <c r="L8968" s="1" t="s">
        <v>5095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5" t="n">
        <v>46261</v>
      </c>
      <c r="C8969" s="1" t="n">
        <v>11</v>
      </c>
      <c r="D8969" s="1" t="s">
        <v>2290</v>
      </c>
      <c r="E8969" s="1" t="n">
        <v>10012</v>
      </c>
      <c r="F8969" s="1" t="s">
        <v>393</v>
      </c>
      <c r="I8969" s="1" t="n">
        <v>1967274</v>
      </c>
      <c r="J8969" s="1" t="n">
        <v>55922</v>
      </c>
      <c r="K8969" s="1" t="n">
        <v>7891800668209</v>
      </c>
      <c r="L8969" s="1" t="s">
        <v>5096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5" t="n">
        <v>46261</v>
      </c>
      <c r="C8970" s="1" t="n">
        <v>11</v>
      </c>
      <c r="D8970" s="1" t="s">
        <v>2290</v>
      </c>
      <c r="E8970" s="1" t="n">
        <v>10012</v>
      </c>
      <c r="F8970" s="1" t="s">
        <v>393</v>
      </c>
      <c r="I8970" s="1" t="n">
        <v>1967274</v>
      </c>
      <c r="J8970" s="1" t="n">
        <v>56210</v>
      </c>
      <c r="K8970" s="1" t="n">
        <v>7891800668179</v>
      </c>
      <c r="L8970" s="1" t="s">
        <v>5096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5" t="n">
        <v>46261</v>
      </c>
      <c r="C8971" s="1" t="n">
        <v>11</v>
      </c>
      <c r="D8971" s="1" t="s">
        <v>2290</v>
      </c>
      <c r="E8971" s="1" t="n">
        <v>10012</v>
      </c>
      <c r="F8971" s="1" t="s">
        <v>393</v>
      </c>
      <c r="I8971" s="1" t="n">
        <v>1967274</v>
      </c>
      <c r="J8971" s="1" t="n">
        <v>62052</v>
      </c>
      <c r="K8971" s="1" t="n">
        <v>7891800673715</v>
      </c>
      <c r="L8971" s="1" t="s">
        <v>5097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5" t="n">
        <v>46261</v>
      </c>
      <c r="C8972" s="1" t="n">
        <v>11</v>
      </c>
      <c r="D8972" s="1" t="s">
        <v>2290</v>
      </c>
      <c r="E8972" s="1" t="n">
        <v>10012</v>
      </c>
      <c r="F8972" s="1" t="s">
        <v>393</v>
      </c>
      <c r="I8972" s="1" t="n">
        <v>1967274</v>
      </c>
      <c r="J8972" s="1" t="n">
        <v>66879</v>
      </c>
      <c r="K8972" s="1" t="n">
        <v>7898936110558</v>
      </c>
      <c r="L8972" s="1" t="s">
        <v>5098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5" t="n">
        <v>46261</v>
      </c>
      <c r="C8973" s="1" t="n">
        <v>11</v>
      </c>
      <c r="D8973" s="1" t="s">
        <v>2290</v>
      </c>
      <c r="E8973" s="1" t="n">
        <v>10012</v>
      </c>
      <c r="F8973" s="1" t="s">
        <v>393</v>
      </c>
      <c r="I8973" s="1" t="n">
        <v>1967274</v>
      </c>
      <c r="J8973" s="1" t="n">
        <v>67945</v>
      </c>
      <c r="K8973" s="1" t="n">
        <v>7897161300697</v>
      </c>
      <c r="L8973" s="1" t="s">
        <v>5099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5" t="n">
        <v>46261</v>
      </c>
      <c r="C8974" s="1" t="n">
        <v>11</v>
      </c>
      <c r="D8974" s="1" t="s">
        <v>2290</v>
      </c>
      <c r="E8974" s="1" t="n">
        <v>10012</v>
      </c>
      <c r="F8974" s="1" t="s">
        <v>393</v>
      </c>
      <c r="I8974" s="1" t="n">
        <v>1967274</v>
      </c>
      <c r="J8974" s="1" t="n">
        <v>67947</v>
      </c>
      <c r="K8974" s="1" t="n">
        <v>7897161340389</v>
      </c>
      <c r="L8974" s="1" t="s">
        <v>5100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5" t="n">
        <v>46261</v>
      </c>
      <c r="C8975" s="1" t="n">
        <v>11</v>
      </c>
      <c r="D8975" s="1" t="s">
        <v>2290</v>
      </c>
      <c r="E8975" s="1" t="n">
        <v>10012</v>
      </c>
      <c r="F8975" s="1" t="s">
        <v>393</v>
      </c>
      <c r="I8975" s="1" t="n">
        <v>1967274</v>
      </c>
      <c r="J8975" s="1" t="n">
        <v>72180</v>
      </c>
      <c r="K8975" s="1" t="n">
        <v>7897161345261</v>
      </c>
      <c r="L8975" s="1" t="s">
        <v>5101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5" t="n">
        <v>46261</v>
      </c>
      <c r="C8976" s="1" t="n">
        <v>11</v>
      </c>
      <c r="D8976" s="1" t="s">
        <v>2290</v>
      </c>
      <c r="E8976" s="1" t="n">
        <v>10012</v>
      </c>
      <c r="F8976" s="1" t="s">
        <v>393</v>
      </c>
      <c r="I8976" s="1" t="n">
        <v>1967274</v>
      </c>
      <c r="J8976" s="1" t="n">
        <v>72183</v>
      </c>
      <c r="K8976" s="1" t="n">
        <v>7897161345223</v>
      </c>
      <c r="L8976" s="1" t="s">
        <v>5101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5" t="n">
        <v>46261</v>
      </c>
      <c r="C8977" s="1" t="n">
        <v>11</v>
      </c>
      <c r="D8977" s="1" t="s">
        <v>2290</v>
      </c>
      <c r="E8977" s="1" t="n">
        <v>10012</v>
      </c>
      <c r="F8977" s="1" t="s">
        <v>393</v>
      </c>
      <c r="I8977" s="1" t="n">
        <v>1967274</v>
      </c>
      <c r="J8977" s="1" t="n">
        <v>72184</v>
      </c>
      <c r="K8977" s="1" t="n">
        <v>7897161345209</v>
      </c>
      <c r="L8977" s="1" t="s">
        <v>5101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5" t="n">
        <v>46261</v>
      </c>
      <c r="C8978" s="1" t="n">
        <v>11</v>
      </c>
      <c r="D8978" s="1" t="s">
        <v>2290</v>
      </c>
      <c r="E8978" s="1" t="n">
        <v>10012</v>
      </c>
      <c r="F8978" s="1" t="s">
        <v>393</v>
      </c>
      <c r="I8978" s="1" t="n">
        <v>1967274</v>
      </c>
      <c r="J8978" s="1" t="n">
        <v>72186</v>
      </c>
      <c r="K8978" s="1" t="n">
        <v>7897161345247</v>
      </c>
      <c r="L8978" s="1" t="s">
        <v>5101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5" t="n">
        <v>46261</v>
      </c>
      <c r="C8979" s="1" t="n">
        <v>11</v>
      </c>
      <c r="D8979" s="1" t="s">
        <v>2290</v>
      </c>
      <c r="E8979" s="1" t="n">
        <v>10012</v>
      </c>
      <c r="F8979" s="1" t="s">
        <v>393</v>
      </c>
      <c r="I8979" s="1" t="n">
        <v>1967274</v>
      </c>
      <c r="J8979" s="1" t="n">
        <v>72187</v>
      </c>
      <c r="K8979" s="1" t="n">
        <v>7897161345216</v>
      </c>
      <c r="L8979" s="1" t="s">
        <v>5101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5" t="n">
        <v>46261</v>
      </c>
      <c r="C8980" s="1" t="n">
        <v>11</v>
      </c>
      <c r="D8980" s="1" t="s">
        <v>2290</v>
      </c>
      <c r="E8980" s="1" t="n">
        <v>10012</v>
      </c>
      <c r="F8980" s="1" t="s">
        <v>393</v>
      </c>
      <c r="I8980" s="1" t="n">
        <v>1967274</v>
      </c>
      <c r="J8980" s="1" t="n">
        <v>82227</v>
      </c>
      <c r="K8980" s="1" t="n">
        <v>7898146002124</v>
      </c>
      <c r="L8980" s="1" t="s">
        <v>5102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5" t="n">
        <v>46261</v>
      </c>
      <c r="C8981" s="1" t="n">
        <v>11</v>
      </c>
      <c r="D8981" s="1" t="s">
        <v>2290</v>
      </c>
      <c r="E8981" s="1" t="n">
        <v>10012</v>
      </c>
      <c r="F8981" s="1" t="s">
        <v>393</v>
      </c>
      <c r="I8981" s="1" t="n">
        <v>1967274</v>
      </c>
      <c r="J8981" s="1" t="n">
        <v>82228</v>
      </c>
      <c r="K8981" s="1" t="n">
        <v>7898146002131</v>
      </c>
      <c r="L8981" s="1" t="s">
        <v>5103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5" t="n">
        <v>46261</v>
      </c>
      <c r="C8982" s="1" t="n">
        <v>11</v>
      </c>
      <c r="D8982" s="1" t="s">
        <v>2290</v>
      </c>
      <c r="E8982" s="1" t="n">
        <v>1705</v>
      </c>
      <c r="F8982" s="1" t="s">
        <v>122</v>
      </c>
      <c r="I8982" s="1" t="n">
        <v>2013514</v>
      </c>
      <c r="J8982" s="1" t="n">
        <v>30186</v>
      </c>
      <c r="K8982" s="1" t="n">
        <v>78938571</v>
      </c>
      <c r="L8982" s="1" t="s">
        <v>5020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5" t="n">
        <v>46261</v>
      </c>
      <c r="C8983" s="1" t="n">
        <v>11</v>
      </c>
      <c r="D8983" s="1" t="s">
        <v>2290</v>
      </c>
      <c r="E8983" s="1" t="n">
        <v>1705</v>
      </c>
      <c r="F8983" s="1" t="s">
        <v>122</v>
      </c>
      <c r="I8983" s="1" t="n">
        <v>2013514</v>
      </c>
      <c r="J8983" s="1" t="n">
        <v>30322</v>
      </c>
      <c r="K8983" s="1" t="n">
        <v>7894900681109</v>
      </c>
      <c r="L8983" s="1" t="s">
        <v>3256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5" t="n">
        <v>46261</v>
      </c>
      <c r="C8984" s="1" t="n">
        <v>11</v>
      </c>
      <c r="D8984" s="1" t="s">
        <v>2290</v>
      </c>
      <c r="E8984" s="1" t="n">
        <v>1705</v>
      </c>
      <c r="F8984" s="1" t="s">
        <v>122</v>
      </c>
      <c r="I8984" s="1" t="n">
        <v>2013514</v>
      </c>
      <c r="J8984" s="1" t="n">
        <v>103161</v>
      </c>
      <c r="K8984" s="1" t="n">
        <v>7894900010015</v>
      </c>
      <c r="L8984" s="1" t="s">
        <v>3192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5" t="n">
        <v>46261</v>
      </c>
      <c r="C8985" s="1" t="n">
        <v>11</v>
      </c>
      <c r="D8985" s="1" t="s">
        <v>2290</v>
      </c>
      <c r="E8985" s="1" t="n">
        <v>1705</v>
      </c>
      <c r="F8985" s="1" t="s">
        <v>122</v>
      </c>
      <c r="I8985" s="1" t="n">
        <v>2013514</v>
      </c>
      <c r="J8985" s="1" t="n">
        <v>104051</v>
      </c>
      <c r="K8985" s="1" t="n">
        <v>7894900300017</v>
      </c>
      <c r="L8985" s="1" t="s">
        <v>4273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5" t="n">
        <v>46261</v>
      </c>
      <c r="C8986" s="1" t="n">
        <v>11</v>
      </c>
      <c r="D8986" s="1" t="s">
        <v>2290</v>
      </c>
      <c r="E8986" s="1" t="n">
        <v>1705</v>
      </c>
      <c r="F8986" s="1" t="s">
        <v>122</v>
      </c>
      <c r="I8986" s="1" t="n">
        <v>2013514</v>
      </c>
      <c r="J8986" s="1" t="n">
        <v>21425</v>
      </c>
      <c r="K8986" s="1" t="n">
        <v>7894900034219</v>
      </c>
      <c r="L8986" s="1" t="s">
        <v>2880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5" t="n">
        <v>46261</v>
      </c>
      <c r="C8987" s="1" t="n">
        <v>11</v>
      </c>
      <c r="D8987" s="1" t="s">
        <v>2290</v>
      </c>
      <c r="E8987" s="1" t="n">
        <v>1705</v>
      </c>
      <c r="F8987" s="1" t="s">
        <v>122</v>
      </c>
      <c r="I8987" s="1" t="n">
        <v>2013514</v>
      </c>
      <c r="J8987" s="1" t="n">
        <v>21426</v>
      </c>
      <c r="K8987" s="1" t="n">
        <v>7894900014211</v>
      </c>
      <c r="L8987" s="1" t="s">
        <v>2309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5" t="n">
        <v>46261</v>
      </c>
      <c r="C8988" s="1" t="n">
        <v>11</v>
      </c>
      <c r="D8988" s="1" t="s">
        <v>2290</v>
      </c>
      <c r="E8988" s="1" t="n">
        <v>1705</v>
      </c>
      <c r="F8988" s="1" t="s">
        <v>122</v>
      </c>
      <c r="I8988" s="1" t="n">
        <v>2013514</v>
      </c>
      <c r="J8988" s="1" t="n">
        <v>27643</v>
      </c>
      <c r="K8988" s="1" t="n">
        <v>7894900031713</v>
      </c>
      <c r="L8988" s="1" t="s">
        <v>2881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5" t="n">
        <v>46261</v>
      </c>
      <c r="C8989" s="1" t="n">
        <v>11</v>
      </c>
      <c r="D8989" s="1" t="s">
        <v>2290</v>
      </c>
      <c r="E8989" s="1" t="n">
        <v>1705</v>
      </c>
      <c r="F8989" s="1" t="s">
        <v>122</v>
      </c>
      <c r="I8989" s="1" t="n">
        <v>2013514</v>
      </c>
      <c r="J8989" s="1" t="n">
        <v>27673</v>
      </c>
      <c r="K8989" s="1" t="n">
        <v>7894900701715</v>
      </c>
      <c r="L8989" s="1" t="s">
        <v>2882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5" t="n">
        <v>46261</v>
      </c>
      <c r="C8990" s="1" t="n">
        <v>11</v>
      </c>
      <c r="D8990" s="1" t="s">
        <v>2290</v>
      </c>
      <c r="E8990" s="1" t="n">
        <v>1705</v>
      </c>
      <c r="F8990" s="1" t="s">
        <v>122</v>
      </c>
      <c r="I8990" s="1" t="n">
        <v>2013514</v>
      </c>
      <c r="J8990" s="1" t="n">
        <v>28739</v>
      </c>
      <c r="K8990" s="1" t="n">
        <v>7894900027044</v>
      </c>
      <c r="L8990" s="1" t="s">
        <v>2883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5" t="n">
        <v>46261</v>
      </c>
      <c r="C8991" s="1" t="n">
        <v>11</v>
      </c>
      <c r="D8991" s="1" t="s">
        <v>2290</v>
      </c>
      <c r="E8991" s="1" t="n">
        <v>1705</v>
      </c>
      <c r="F8991" s="1" t="s">
        <v>122</v>
      </c>
      <c r="I8991" s="1" t="n">
        <v>2013514</v>
      </c>
      <c r="J8991" s="1" t="n">
        <v>29575</v>
      </c>
      <c r="K8991" s="1" t="n">
        <v>78936478</v>
      </c>
      <c r="L8991" s="1" t="s">
        <v>5021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5" t="n">
        <v>46261</v>
      </c>
      <c r="C8992" s="1" t="n">
        <v>11</v>
      </c>
      <c r="D8992" s="1" t="s">
        <v>2290</v>
      </c>
      <c r="E8992" s="1" t="n">
        <v>1705</v>
      </c>
      <c r="F8992" s="1" t="s">
        <v>122</v>
      </c>
      <c r="I8992" s="1" t="n">
        <v>2013514</v>
      </c>
      <c r="J8992" s="1" t="n">
        <v>30017</v>
      </c>
      <c r="K8992" s="1" t="n">
        <v>7894900680508</v>
      </c>
      <c r="L8992" s="1" t="s">
        <v>3824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5" t="n">
        <v>46261</v>
      </c>
      <c r="C8993" s="1" t="n">
        <v>11</v>
      </c>
      <c r="D8993" s="1" t="s">
        <v>2290</v>
      </c>
      <c r="E8993" s="1" t="n">
        <v>1705</v>
      </c>
      <c r="F8993" s="1" t="s">
        <v>122</v>
      </c>
      <c r="I8993" s="1" t="n">
        <v>2013514</v>
      </c>
      <c r="J8993" s="1" t="n">
        <v>30085</v>
      </c>
      <c r="K8993" s="1" t="n">
        <v>7894900054217</v>
      </c>
      <c r="L8993" s="1" t="s">
        <v>3259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5" t="n">
        <v>46261</v>
      </c>
      <c r="C8994" s="1" t="n">
        <v>11</v>
      </c>
      <c r="D8994" s="1" t="s">
        <v>2290</v>
      </c>
      <c r="E8994" s="1" t="n">
        <v>1705</v>
      </c>
      <c r="F8994" s="1" t="s">
        <v>122</v>
      </c>
      <c r="I8994" s="1" t="n">
        <v>2013514</v>
      </c>
      <c r="J8994" s="1" t="n">
        <v>35357</v>
      </c>
      <c r="K8994" s="1" t="n">
        <v>7894900681017</v>
      </c>
      <c r="L8994" s="1" t="s">
        <v>3638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5" t="n">
        <v>46261</v>
      </c>
      <c r="C8995" s="1" t="n">
        <v>11</v>
      </c>
      <c r="D8995" s="1" t="s">
        <v>2290</v>
      </c>
      <c r="E8995" s="1" t="n">
        <v>1705</v>
      </c>
      <c r="F8995" s="1" t="s">
        <v>122</v>
      </c>
      <c r="I8995" s="1" t="n">
        <v>2013514</v>
      </c>
      <c r="J8995" s="1" t="n">
        <v>37279</v>
      </c>
      <c r="K8995" s="1" t="n">
        <v>7894900027013</v>
      </c>
      <c r="L8995" s="1" t="s">
        <v>2305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5" t="n">
        <v>46261</v>
      </c>
      <c r="C8996" s="1" t="n">
        <v>11</v>
      </c>
      <c r="D8996" s="1" t="s">
        <v>2290</v>
      </c>
      <c r="E8996" s="1" t="n">
        <v>1705</v>
      </c>
      <c r="F8996" s="1" t="s">
        <v>122</v>
      </c>
      <c r="I8996" s="1" t="n">
        <v>2013514</v>
      </c>
      <c r="J8996" s="1" t="n">
        <v>38978</v>
      </c>
      <c r="K8996" s="1" t="n">
        <v>7894900034097</v>
      </c>
      <c r="L8996" s="1" t="s">
        <v>2314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5" t="n">
        <v>46261</v>
      </c>
      <c r="C8997" s="1" t="n">
        <v>11</v>
      </c>
      <c r="D8997" s="1" t="s">
        <v>2290</v>
      </c>
      <c r="E8997" s="1" t="n">
        <v>1705</v>
      </c>
      <c r="F8997" s="1" t="s">
        <v>122</v>
      </c>
      <c r="I8997" s="1" t="n">
        <v>2013514</v>
      </c>
      <c r="J8997" s="1" t="n">
        <v>38984</v>
      </c>
      <c r="K8997" s="1" t="n">
        <v>7894900027457</v>
      </c>
      <c r="L8997" s="1" t="s">
        <v>2315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5" t="n">
        <v>46261</v>
      </c>
      <c r="C8998" s="1" t="n">
        <v>11</v>
      </c>
      <c r="D8998" s="1" t="s">
        <v>2290</v>
      </c>
      <c r="E8998" s="1" t="n">
        <v>1705</v>
      </c>
      <c r="F8998" s="1" t="s">
        <v>122</v>
      </c>
      <c r="I8998" s="1" t="n">
        <v>2013514</v>
      </c>
      <c r="J8998" s="1" t="n">
        <v>38985</v>
      </c>
      <c r="K8998" s="1" t="n">
        <v>7894900044096</v>
      </c>
      <c r="L8998" s="1" t="s">
        <v>2316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5" t="n">
        <v>46261</v>
      </c>
      <c r="C8999" s="1" t="n">
        <v>11</v>
      </c>
      <c r="D8999" s="1" t="s">
        <v>2290</v>
      </c>
      <c r="E8999" s="1" t="n">
        <v>1705</v>
      </c>
      <c r="F8999" s="1" t="s">
        <v>122</v>
      </c>
      <c r="I8999" s="1" t="n">
        <v>2013514</v>
      </c>
      <c r="J8999" s="1" t="n">
        <v>47954</v>
      </c>
      <c r="K8999" s="1" t="n">
        <v>7894900666519</v>
      </c>
      <c r="L8999" s="1" t="s">
        <v>3262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5" t="n">
        <v>46261</v>
      </c>
      <c r="C9000" s="1" t="n">
        <v>22</v>
      </c>
      <c r="D9000" s="1" t="s">
        <v>2436</v>
      </c>
      <c r="E9000" s="1" t="n">
        <v>42</v>
      </c>
      <c r="F9000" s="1" t="s">
        <v>80</v>
      </c>
      <c r="I9000" s="1" t="n">
        <v>4550</v>
      </c>
      <c r="J9000" s="1" t="n">
        <v>100000</v>
      </c>
      <c r="K9000" s="1" t="n">
        <v>1</v>
      </c>
      <c r="L9000" s="1" t="s">
        <v>2451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5" t="n">
        <v>46261</v>
      </c>
      <c r="C9001" s="1" t="n">
        <v>22</v>
      </c>
      <c r="D9001" s="1" t="s">
        <v>2436</v>
      </c>
      <c r="E9001" s="1" t="n">
        <v>42</v>
      </c>
      <c r="F9001" s="1" t="s">
        <v>80</v>
      </c>
      <c r="I9001" s="1" t="n">
        <v>4550</v>
      </c>
      <c r="J9001" s="1" t="n">
        <v>100000</v>
      </c>
      <c r="K9001" s="1" t="n">
        <v>1</v>
      </c>
      <c r="L9001" s="1" t="s">
        <v>2451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5" t="n">
        <v>46261</v>
      </c>
      <c r="C9002" s="1" t="n">
        <v>22</v>
      </c>
      <c r="D9002" s="1" t="s">
        <v>2436</v>
      </c>
      <c r="E9002" s="1" t="n">
        <v>42</v>
      </c>
      <c r="F9002" s="1" t="s">
        <v>80</v>
      </c>
      <c r="I9002" s="1" t="n">
        <v>4550</v>
      </c>
      <c r="J9002" s="1" t="n">
        <v>100001</v>
      </c>
      <c r="K9002" s="1" t="n">
        <v>2</v>
      </c>
      <c r="L9002" s="1" t="s">
        <v>2452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5" t="n">
        <v>46261</v>
      </c>
      <c r="C9003" s="1" t="n">
        <v>22</v>
      </c>
      <c r="D9003" s="1" t="s">
        <v>2436</v>
      </c>
      <c r="E9003" s="1" t="n">
        <v>42</v>
      </c>
      <c r="F9003" s="1" t="s">
        <v>80</v>
      </c>
      <c r="I9003" s="1" t="n">
        <v>4550</v>
      </c>
      <c r="J9003" s="1" t="n">
        <v>100002</v>
      </c>
      <c r="K9003" s="1" t="n">
        <v>3</v>
      </c>
      <c r="L9003" s="1" t="s">
        <v>2453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5" t="n">
        <v>46261</v>
      </c>
      <c r="C9004" s="1" t="n">
        <v>22</v>
      </c>
      <c r="D9004" s="1" t="s">
        <v>2436</v>
      </c>
      <c r="E9004" s="1" t="n">
        <v>42</v>
      </c>
      <c r="F9004" s="1" t="s">
        <v>80</v>
      </c>
      <c r="I9004" s="1" t="n">
        <v>4550</v>
      </c>
      <c r="J9004" s="1" t="n">
        <v>100003</v>
      </c>
      <c r="K9004" s="1" t="n">
        <v>4</v>
      </c>
      <c r="L9004" s="1" t="s">
        <v>2454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5" t="n">
        <v>46261</v>
      </c>
      <c r="C9005" s="1" t="n">
        <v>22</v>
      </c>
      <c r="D9005" s="1" t="s">
        <v>2436</v>
      </c>
      <c r="E9005" s="1" t="n">
        <v>42</v>
      </c>
      <c r="F9005" s="1" t="s">
        <v>80</v>
      </c>
      <c r="I9005" s="1" t="n">
        <v>4550</v>
      </c>
      <c r="J9005" s="1" t="n">
        <v>100007</v>
      </c>
      <c r="K9005" s="1" t="n">
        <v>8</v>
      </c>
      <c r="L9005" s="1" t="s">
        <v>2455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5" t="n">
        <v>46261</v>
      </c>
      <c r="C9006" s="1" t="n">
        <v>22</v>
      </c>
      <c r="D9006" s="1" t="s">
        <v>2436</v>
      </c>
      <c r="E9006" s="1" t="n">
        <v>42</v>
      </c>
      <c r="F9006" s="1" t="s">
        <v>80</v>
      </c>
      <c r="I9006" s="1" t="n">
        <v>4550</v>
      </c>
      <c r="J9006" s="1" t="n">
        <v>100007</v>
      </c>
      <c r="K9006" s="1" t="n">
        <v>8</v>
      </c>
      <c r="L9006" s="1" t="s">
        <v>2455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5" t="n">
        <v>46261</v>
      </c>
      <c r="C9007" s="1" t="n">
        <v>22</v>
      </c>
      <c r="D9007" s="1" t="s">
        <v>2436</v>
      </c>
      <c r="E9007" s="1" t="n">
        <v>42</v>
      </c>
      <c r="F9007" s="1" t="s">
        <v>80</v>
      </c>
      <c r="I9007" s="1" t="n">
        <v>4550</v>
      </c>
      <c r="J9007" s="1" t="n">
        <v>100008</v>
      </c>
      <c r="K9007" s="1" t="n">
        <v>9</v>
      </c>
      <c r="L9007" s="1" t="s">
        <v>2438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5" t="n">
        <v>46261</v>
      </c>
      <c r="C9008" s="1" t="n">
        <v>22</v>
      </c>
      <c r="D9008" s="1" t="s">
        <v>2436</v>
      </c>
      <c r="E9008" s="1" t="n">
        <v>42</v>
      </c>
      <c r="F9008" s="1" t="s">
        <v>80</v>
      </c>
      <c r="I9008" s="1" t="n">
        <v>4550</v>
      </c>
      <c r="J9008" s="1" t="n">
        <v>100010</v>
      </c>
      <c r="K9008" s="1" t="n">
        <v>11</v>
      </c>
      <c r="L9008" s="1" t="s">
        <v>2439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5" t="n">
        <v>46261</v>
      </c>
      <c r="C9009" s="1" t="n">
        <v>22</v>
      </c>
      <c r="D9009" s="1" t="s">
        <v>2436</v>
      </c>
      <c r="E9009" s="1" t="n">
        <v>42</v>
      </c>
      <c r="F9009" s="1" t="s">
        <v>80</v>
      </c>
      <c r="I9009" s="1" t="n">
        <v>4550</v>
      </c>
      <c r="J9009" s="1" t="n">
        <v>100011</v>
      </c>
      <c r="K9009" s="1" t="n">
        <v>12</v>
      </c>
      <c r="L9009" s="1" t="s">
        <v>2440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5" t="n">
        <v>46261</v>
      </c>
      <c r="C9010" s="1" t="n">
        <v>22</v>
      </c>
      <c r="D9010" s="1" t="s">
        <v>2436</v>
      </c>
      <c r="E9010" s="1" t="n">
        <v>42</v>
      </c>
      <c r="F9010" s="1" t="s">
        <v>80</v>
      </c>
      <c r="I9010" s="1" t="n">
        <v>4550</v>
      </c>
      <c r="J9010" s="1" t="n">
        <v>100012</v>
      </c>
      <c r="K9010" s="1" t="n">
        <v>13</v>
      </c>
      <c r="L9010" s="1" t="s">
        <v>2441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5" t="n">
        <v>46261</v>
      </c>
      <c r="C9011" s="1" t="n">
        <v>22</v>
      </c>
      <c r="D9011" s="1" t="s">
        <v>2436</v>
      </c>
      <c r="E9011" s="1" t="n">
        <v>42</v>
      </c>
      <c r="F9011" s="1" t="s">
        <v>80</v>
      </c>
      <c r="I9011" s="1" t="n">
        <v>4550</v>
      </c>
      <c r="J9011" s="1" t="n">
        <v>100013</v>
      </c>
      <c r="K9011" s="1" t="n">
        <v>14</v>
      </c>
      <c r="L9011" s="1" t="s">
        <v>2442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5" t="n">
        <v>46261</v>
      </c>
      <c r="C9012" s="1" t="n">
        <v>22</v>
      </c>
      <c r="D9012" s="1" t="s">
        <v>2436</v>
      </c>
      <c r="E9012" s="1" t="n">
        <v>42</v>
      </c>
      <c r="F9012" s="1" t="s">
        <v>80</v>
      </c>
      <c r="I9012" s="1" t="n">
        <v>4550</v>
      </c>
      <c r="J9012" s="1" t="n">
        <v>100014</v>
      </c>
      <c r="K9012" s="1" t="n">
        <v>15</v>
      </c>
      <c r="L9012" s="1" t="s">
        <v>2443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5" t="n">
        <v>46261</v>
      </c>
      <c r="C9013" s="1" t="n">
        <v>22</v>
      </c>
      <c r="D9013" s="1" t="s">
        <v>2436</v>
      </c>
      <c r="E9013" s="1" t="n">
        <v>42</v>
      </c>
      <c r="F9013" s="1" t="s">
        <v>80</v>
      </c>
      <c r="I9013" s="1" t="n">
        <v>4550</v>
      </c>
      <c r="J9013" s="1" t="n">
        <v>100015</v>
      </c>
      <c r="K9013" s="1" t="n">
        <v>16</v>
      </c>
      <c r="L9013" s="1" t="s">
        <v>2444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5" t="n">
        <v>46261</v>
      </c>
      <c r="C9014" s="1" t="n">
        <v>22</v>
      </c>
      <c r="D9014" s="1" t="s">
        <v>2436</v>
      </c>
      <c r="E9014" s="1" t="n">
        <v>42</v>
      </c>
      <c r="F9014" s="1" t="s">
        <v>80</v>
      </c>
      <c r="I9014" s="1" t="n">
        <v>4550</v>
      </c>
      <c r="J9014" s="1" t="n">
        <v>100016</v>
      </c>
      <c r="K9014" s="1" t="n">
        <v>17</v>
      </c>
      <c r="L9014" s="1" t="s">
        <v>2445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5" t="n">
        <v>46261</v>
      </c>
      <c r="C9015" s="1" t="n">
        <v>22</v>
      </c>
      <c r="D9015" s="1" t="s">
        <v>2436</v>
      </c>
      <c r="E9015" s="1" t="n">
        <v>42</v>
      </c>
      <c r="F9015" s="1" t="s">
        <v>80</v>
      </c>
      <c r="I9015" s="1" t="n">
        <v>4550</v>
      </c>
      <c r="J9015" s="1" t="n">
        <v>100017</v>
      </c>
      <c r="K9015" s="1" t="n">
        <v>18</v>
      </c>
      <c r="L9015" s="1" t="s">
        <v>2446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5" t="n">
        <v>46261</v>
      </c>
      <c r="C9016" s="1" t="n">
        <v>22</v>
      </c>
      <c r="D9016" s="1" t="s">
        <v>2436</v>
      </c>
      <c r="E9016" s="1" t="n">
        <v>42</v>
      </c>
      <c r="F9016" s="1" t="s">
        <v>80</v>
      </c>
      <c r="I9016" s="1" t="n">
        <v>4550</v>
      </c>
      <c r="J9016" s="1" t="n">
        <v>100019</v>
      </c>
      <c r="K9016" s="1" t="n">
        <v>20</v>
      </c>
      <c r="L9016" s="1" t="s">
        <v>4136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5" t="n">
        <v>46261</v>
      </c>
      <c r="C9017" s="1" t="n">
        <v>22</v>
      </c>
      <c r="D9017" s="1" t="s">
        <v>2436</v>
      </c>
      <c r="E9017" s="1" t="n">
        <v>42</v>
      </c>
      <c r="F9017" s="1" t="s">
        <v>80</v>
      </c>
      <c r="I9017" s="1" t="n">
        <v>4550</v>
      </c>
      <c r="J9017" s="1" t="n">
        <v>100019</v>
      </c>
      <c r="K9017" s="1" t="n">
        <v>20</v>
      </c>
      <c r="L9017" s="1" t="s">
        <v>4136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5" t="n">
        <v>46261</v>
      </c>
      <c r="C9018" s="1" t="n">
        <v>22</v>
      </c>
      <c r="D9018" s="1" t="s">
        <v>2436</v>
      </c>
      <c r="E9018" s="1" t="n">
        <v>42</v>
      </c>
      <c r="F9018" s="1" t="s">
        <v>80</v>
      </c>
      <c r="I9018" s="1" t="n">
        <v>4550</v>
      </c>
      <c r="J9018" s="1" t="n">
        <v>100020</v>
      </c>
      <c r="K9018" s="1" t="n">
        <v>21</v>
      </c>
      <c r="L9018" s="1" t="s">
        <v>2456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5" t="n">
        <v>46261</v>
      </c>
      <c r="C9019" s="1" t="n">
        <v>22</v>
      </c>
      <c r="D9019" s="1" t="s">
        <v>2436</v>
      </c>
      <c r="E9019" s="1" t="n">
        <v>42</v>
      </c>
      <c r="F9019" s="1" t="s">
        <v>80</v>
      </c>
      <c r="I9019" s="1" t="n">
        <v>4550</v>
      </c>
      <c r="J9019" s="1" t="n">
        <v>100053</v>
      </c>
      <c r="K9019" s="1" t="n">
        <v>54</v>
      </c>
      <c r="L9019" s="1" t="s">
        <v>2447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5" t="n">
        <v>46261</v>
      </c>
      <c r="C9020" s="1" t="n">
        <v>22</v>
      </c>
      <c r="D9020" s="1" t="s">
        <v>2436</v>
      </c>
      <c r="E9020" s="1" t="n">
        <v>42</v>
      </c>
      <c r="F9020" s="1" t="s">
        <v>80</v>
      </c>
      <c r="I9020" s="1" t="n">
        <v>4550</v>
      </c>
      <c r="J9020" s="1" t="n">
        <v>100638</v>
      </c>
      <c r="K9020" s="1" t="n">
        <v>508</v>
      </c>
      <c r="L9020" s="1" t="s">
        <v>2448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5" t="n">
        <v>46261</v>
      </c>
      <c r="C9021" s="1" t="n">
        <v>22</v>
      </c>
      <c r="D9021" s="1" t="s">
        <v>2436</v>
      </c>
      <c r="E9021" s="1" t="n">
        <v>42</v>
      </c>
      <c r="F9021" s="1" t="s">
        <v>80</v>
      </c>
      <c r="I9021" s="1" t="n">
        <v>4550</v>
      </c>
      <c r="J9021" s="1" t="n">
        <v>100638</v>
      </c>
      <c r="K9021" s="1" t="n">
        <v>508</v>
      </c>
      <c r="L9021" s="1" t="s">
        <v>2448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5" t="n">
        <v>46261</v>
      </c>
      <c r="C9022" s="1" t="n">
        <v>22</v>
      </c>
      <c r="D9022" s="1" t="s">
        <v>2436</v>
      </c>
      <c r="E9022" s="1" t="n">
        <v>42</v>
      </c>
      <c r="F9022" s="1" t="s">
        <v>80</v>
      </c>
      <c r="I9022" s="1" t="n">
        <v>4550</v>
      </c>
      <c r="J9022" s="1" t="n">
        <v>100520</v>
      </c>
      <c r="K9022" s="1" t="n">
        <v>507</v>
      </c>
      <c r="L9022" s="1" t="s">
        <v>2449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5" t="n">
        <v>46261</v>
      </c>
      <c r="C9023" s="1" t="n">
        <v>22</v>
      </c>
      <c r="D9023" s="1" t="s">
        <v>2436</v>
      </c>
      <c r="E9023" s="1" t="n">
        <v>42</v>
      </c>
      <c r="F9023" s="1" t="s">
        <v>80</v>
      </c>
      <c r="I9023" s="1" t="n">
        <v>4550</v>
      </c>
      <c r="J9023" s="1" t="n">
        <v>100520</v>
      </c>
      <c r="K9023" s="1" t="n">
        <v>507</v>
      </c>
      <c r="L9023" s="1" t="s">
        <v>2449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5" t="n">
        <v>46261</v>
      </c>
      <c r="C9024" s="1" t="n">
        <v>22</v>
      </c>
      <c r="D9024" s="1" t="s">
        <v>2436</v>
      </c>
      <c r="E9024" s="1" t="n">
        <v>42</v>
      </c>
      <c r="F9024" s="1" t="s">
        <v>80</v>
      </c>
      <c r="I9024" s="1" t="n">
        <v>4550</v>
      </c>
      <c r="J9024" s="1" t="n">
        <v>110455</v>
      </c>
      <c r="K9024" s="1" t="n">
        <v>53212</v>
      </c>
      <c r="L9024" s="1" t="s">
        <v>2450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5" t="n">
        <v>46261</v>
      </c>
      <c r="C9025" s="1" t="n">
        <v>22</v>
      </c>
      <c r="D9025" s="1" t="s">
        <v>2436</v>
      </c>
      <c r="E9025" s="1" t="n">
        <v>42</v>
      </c>
      <c r="F9025" s="1" t="s">
        <v>80</v>
      </c>
      <c r="I9025" s="1" t="n">
        <v>4550</v>
      </c>
      <c r="J9025" s="1" t="n">
        <v>110455</v>
      </c>
      <c r="K9025" s="1" t="n">
        <v>53212</v>
      </c>
      <c r="L9025" s="1" t="s">
        <v>2450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5" t="n">
        <v>46261</v>
      </c>
      <c r="C9026" s="1" t="n">
        <v>39</v>
      </c>
      <c r="D9026" s="1" t="s">
        <v>2515</v>
      </c>
      <c r="E9026" s="1" t="n">
        <v>794</v>
      </c>
      <c r="F9026" s="1" t="s">
        <v>152</v>
      </c>
      <c r="I9026" s="1" t="n">
        <v>8769</v>
      </c>
      <c r="J9026" s="1" t="n">
        <v>107452</v>
      </c>
      <c r="K9026" s="1" t="n">
        <v>7898560800221</v>
      </c>
      <c r="L9026" s="1" t="s">
        <v>3861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5" t="n">
        <v>46261</v>
      </c>
      <c r="C9027" s="1" t="n">
        <v>39</v>
      </c>
      <c r="D9027" s="1" t="s">
        <v>2515</v>
      </c>
      <c r="E9027" s="1" t="n">
        <v>794</v>
      </c>
      <c r="F9027" s="1" t="s">
        <v>152</v>
      </c>
      <c r="I9027" s="1" t="n">
        <v>8769</v>
      </c>
      <c r="J9027" s="1" t="n">
        <v>67472</v>
      </c>
      <c r="K9027" s="1" t="n">
        <v>7898560800214</v>
      </c>
      <c r="L9027" s="1" t="s">
        <v>3862</v>
      </c>
      <c r="N9027" s="1" t="n">
        <v>40</v>
      </c>
      <c r="O9027" s="1" t="n">
        <v>555.2</v>
      </c>
    </row>
    <row r="9028" customFormat="false" ht="15" hidden="false" customHeight="true" outlineLevel="0" collapsed="false">
      <c r="A9028" s="1" t="n">
        <v>3</v>
      </c>
      <c r="B9028" s="15" t="n">
        <v>46261</v>
      </c>
      <c r="C9028" s="1" t="n">
        <v>39</v>
      </c>
      <c r="D9028" s="1" t="s">
        <v>2515</v>
      </c>
      <c r="E9028" s="1" t="n">
        <v>794</v>
      </c>
      <c r="F9028" s="1" t="s">
        <v>152</v>
      </c>
      <c r="I9028" s="1" t="n">
        <v>8769</v>
      </c>
      <c r="J9028" s="1" t="n">
        <v>67465</v>
      </c>
      <c r="K9028" s="1" t="n">
        <v>7898560800184</v>
      </c>
      <c r="L9028" s="1" t="s">
        <v>3863</v>
      </c>
      <c r="N9028" s="1" t="n">
        <v>200</v>
      </c>
      <c r="O9028" s="1" t="n">
        <v>1059.6</v>
      </c>
    </row>
    <row r="9029" customFormat="false" ht="15" hidden="false" customHeight="true" outlineLevel="0" collapsed="false">
      <c r="A9029" s="1" t="n">
        <v>3</v>
      </c>
      <c r="B9029" s="15" t="n">
        <v>46261</v>
      </c>
      <c r="C9029" s="1" t="n">
        <v>39</v>
      </c>
      <c r="D9029" s="1" t="s">
        <v>2515</v>
      </c>
      <c r="E9029" s="1" t="n">
        <v>794</v>
      </c>
      <c r="F9029" s="1" t="s">
        <v>152</v>
      </c>
      <c r="I9029" s="1" t="n">
        <v>8769</v>
      </c>
      <c r="J9029" s="1" t="n">
        <v>67471</v>
      </c>
      <c r="K9029" s="1" t="n">
        <v>7898560800177</v>
      </c>
      <c r="L9029" s="1" t="s">
        <v>2759</v>
      </c>
      <c r="N9029" s="1" t="n">
        <v>160</v>
      </c>
      <c r="O9029" s="1" t="n">
        <v>1272.8</v>
      </c>
    </row>
    <row r="9030" customFormat="false" ht="15" hidden="false" customHeight="true" outlineLevel="0" collapsed="false">
      <c r="A9030" s="1" t="n">
        <v>3</v>
      </c>
      <c r="B9030" s="15" t="n">
        <v>46261</v>
      </c>
      <c r="C9030" s="1" t="n">
        <v>100</v>
      </c>
      <c r="D9030" s="1" t="s">
        <v>2457</v>
      </c>
      <c r="E9030" s="1" t="n">
        <v>42</v>
      </c>
      <c r="F9030" s="1" t="s">
        <v>80</v>
      </c>
      <c r="I9030" s="1" t="n">
        <v>1610186</v>
      </c>
      <c r="J9030" s="1" t="n">
        <v>100000</v>
      </c>
      <c r="K9030" s="1" t="n">
        <v>1</v>
      </c>
      <c r="L9030" s="1" t="s">
        <v>2451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5" t="n">
        <v>46261</v>
      </c>
      <c r="C9031" s="1" t="n">
        <v>100</v>
      </c>
      <c r="D9031" s="1" t="s">
        <v>2457</v>
      </c>
      <c r="E9031" s="1" t="n">
        <v>42</v>
      </c>
      <c r="F9031" s="1" t="s">
        <v>80</v>
      </c>
      <c r="I9031" s="1" t="n">
        <v>1610186</v>
      </c>
      <c r="J9031" s="1" t="n">
        <v>100007</v>
      </c>
      <c r="K9031" s="1" t="n">
        <v>8</v>
      </c>
      <c r="L9031" s="1" t="s">
        <v>2455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5" t="n">
        <v>46261</v>
      </c>
      <c r="C9032" s="1" t="n">
        <v>100</v>
      </c>
      <c r="D9032" s="1" t="s">
        <v>2457</v>
      </c>
      <c r="E9032" s="1" t="n">
        <v>42</v>
      </c>
      <c r="F9032" s="1" t="s">
        <v>80</v>
      </c>
      <c r="I9032" s="1" t="n">
        <v>1610186</v>
      </c>
      <c r="J9032" s="1" t="n">
        <v>100008</v>
      </c>
      <c r="K9032" s="1" t="n">
        <v>9</v>
      </c>
      <c r="L9032" s="1" t="s">
        <v>2438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5" t="n">
        <v>46261</v>
      </c>
      <c r="C9033" s="1" t="n">
        <v>100</v>
      </c>
      <c r="D9033" s="1" t="s">
        <v>2457</v>
      </c>
      <c r="E9033" s="1" t="n">
        <v>42</v>
      </c>
      <c r="F9033" s="1" t="s">
        <v>80</v>
      </c>
      <c r="I9033" s="1" t="n">
        <v>1610186</v>
      </c>
      <c r="J9033" s="1" t="n">
        <v>100010</v>
      </c>
      <c r="K9033" s="1" t="n">
        <v>11</v>
      </c>
      <c r="L9033" s="1" t="s">
        <v>2439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5" t="n">
        <v>46261</v>
      </c>
      <c r="C9034" s="1" t="n">
        <v>100</v>
      </c>
      <c r="D9034" s="1" t="s">
        <v>2457</v>
      </c>
      <c r="E9034" s="1" t="n">
        <v>42</v>
      </c>
      <c r="F9034" s="1" t="s">
        <v>80</v>
      </c>
      <c r="I9034" s="1" t="n">
        <v>1610186</v>
      </c>
      <c r="J9034" s="1" t="n">
        <v>100011</v>
      </c>
      <c r="K9034" s="1" t="n">
        <v>12</v>
      </c>
      <c r="L9034" s="1" t="s">
        <v>2440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5" t="n">
        <v>46261</v>
      </c>
      <c r="C9035" s="1" t="n">
        <v>100</v>
      </c>
      <c r="D9035" s="1" t="s">
        <v>2457</v>
      </c>
      <c r="E9035" s="1" t="n">
        <v>42</v>
      </c>
      <c r="F9035" s="1" t="s">
        <v>80</v>
      </c>
      <c r="I9035" s="1" t="n">
        <v>1610186</v>
      </c>
      <c r="J9035" s="1" t="n">
        <v>100012</v>
      </c>
      <c r="K9035" s="1" t="n">
        <v>13</v>
      </c>
      <c r="L9035" s="1" t="s">
        <v>2441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5" t="n">
        <v>46261</v>
      </c>
      <c r="C9036" s="1" t="n">
        <v>100</v>
      </c>
      <c r="D9036" s="1" t="s">
        <v>2457</v>
      </c>
      <c r="E9036" s="1" t="n">
        <v>42</v>
      </c>
      <c r="F9036" s="1" t="s">
        <v>80</v>
      </c>
      <c r="I9036" s="1" t="n">
        <v>1610186</v>
      </c>
      <c r="J9036" s="1" t="n">
        <v>100013</v>
      </c>
      <c r="K9036" s="1" t="n">
        <v>14</v>
      </c>
      <c r="L9036" s="1" t="s">
        <v>2442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5" t="n">
        <v>46261</v>
      </c>
      <c r="C9037" s="1" t="n">
        <v>100</v>
      </c>
      <c r="D9037" s="1" t="s">
        <v>2457</v>
      </c>
      <c r="E9037" s="1" t="n">
        <v>42</v>
      </c>
      <c r="F9037" s="1" t="s">
        <v>80</v>
      </c>
      <c r="I9037" s="1" t="n">
        <v>1610186</v>
      </c>
      <c r="J9037" s="1" t="n">
        <v>100014</v>
      </c>
      <c r="K9037" s="1" t="n">
        <v>15</v>
      </c>
      <c r="L9037" s="1" t="s">
        <v>2443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5" t="n">
        <v>46261</v>
      </c>
      <c r="C9038" s="1" t="n">
        <v>100</v>
      </c>
      <c r="D9038" s="1" t="s">
        <v>2457</v>
      </c>
      <c r="E9038" s="1" t="n">
        <v>42</v>
      </c>
      <c r="F9038" s="1" t="s">
        <v>80</v>
      </c>
      <c r="I9038" s="1" t="n">
        <v>1610186</v>
      </c>
      <c r="J9038" s="1" t="n">
        <v>100015</v>
      </c>
      <c r="K9038" s="1" t="n">
        <v>16</v>
      </c>
      <c r="L9038" s="1" t="s">
        <v>2444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5" t="n">
        <v>46261</v>
      </c>
      <c r="C9039" s="1" t="n">
        <v>100</v>
      </c>
      <c r="D9039" s="1" t="s">
        <v>2457</v>
      </c>
      <c r="E9039" s="1" t="n">
        <v>42</v>
      </c>
      <c r="F9039" s="1" t="s">
        <v>80</v>
      </c>
      <c r="I9039" s="1" t="n">
        <v>1610186</v>
      </c>
      <c r="J9039" s="1" t="n">
        <v>100016</v>
      </c>
      <c r="K9039" s="1" t="n">
        <v>17</v>
      </c>
      <c r="L9039" s="1" t="s">
        <v>2445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5" t="n">
        <v>46261</v>
      </c>
      <c r="C9040" s="1" t="n">
        <v>100</v>
      </c>
      <c r="D9040" s="1" t="s">
        <v>2457</v>
      </c>
      <c r="E9040" s="1" t="n">
        <v>42</v>
      </c>
      <c r="F9040" s="1" t="s">
        <v>80</v>
      </c>
      <c r="I9040" s="1" t="n">
        <v>1610186</v>
      </c>
      <c r="J9040" s="1" t="n">
        <v>100017</v>
      </c>
      <c r="K9040" s="1" t="n">
        <v>18</v>
      </c>
      <c r="L9040" s="1" t="s">
        <v>2446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5" t="n">
        <v>46261</v>
      </c>
      <c r="C9041" s="1" t="n">
        <v>100</v>
      </c>
      <c r="D9041" s="1" t="s">
        <v>2457</v>
      </c>
      <c r="E9041" s="1" t="n">
        <v>42</v>
      </c>
      <c r="F9041" s="1" t="s">
        <v>80</v>
      </c>
      <c r="I9041" s="1" t="n">
        <v>1610186</v>
      </c>
      <c r="J9041" s="1" t="n">
        <v>100019</v>
      </c>
      <c r="K9041" s="1" t="n">
        <v>20</v>
      </c>
      <c r="L9041" s="1" t="s">
        <v>4136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5" t="n">
        <v>46261</v>
      </c>
      <c r="C9042" s="1" t="n">
        <v>100</v>
      </c>
      <c r="D9042" s="1" t="s">
        <v>2457</v>
      </c>
      <c r="E9042" s="1" t="n">
        <v>42</v>
      </c>
      <c r="F9042" s="1" t="s">
        <v>80</v>
      </c>
      <c r="I9042" s="1" t="n">
        <v>1610186</v>
      </c>
      <c r="J9042" s="1" t="n">
        <v>100020</v>
      </c>
      <c r="K9042" s="1" t="n">
        <v>21</v>
      </c>
      <c r="L9042" s="1" t="s">
        <v>2456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5" t="n">
        <v>46261</v>
      </c>
      <c r="C9043" s="1" t="n">
        <v>100</v>
      </c>
      <c r="D9043" s="1" t="s">
        <v>2457</v>
      </c>
      <c r="E9043" s="1" t="n">
        <v>42</v>
      </c>
      <c r="F9043" s="1" t="s">
        <v>80</v>
      </c>
      <c r="I9043" s="1" t="n">
        <v>1610186</v>
      </c>
      <c r="J9043" s="1" t="n">
        <v>100053</v>
      </c>
      <c r="K9043" s="1" t="n">
        <v>54</v>
      </c>
      <c r="L9043" s="1" t="s">
        <v>2447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5" t="n">
        <v>46261</v>
      </c>
      <c r="C9044" s="1" t="n">
        <v>100</v>
      </c>
      <c r="D9044" s="1" t="s">
        <v>2457</v>
      </c>
      <c r="E9044" s="1" t="n">
        <v>42</v>
      </c>
      <c r="F9044" s="1" t="s">
        <v>80</v>
      </c>
      <c r="I9044" s="1" t="n">
        <v>1610186</v>
      </c>
      <c r="J9044" s="1" t="n">
        <v>100638</v>
      </c>
      <c r="K9044" s="1" t="n">
        <v>508</v>
      </c>
      <c r="L9044" s="1" t="s">
        <v>2448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5" t="n">
        <v>46261</v>
      </c>
      <c r="C9045" s="1" t="n">
        <v>100</v>
      </c>
      <c r="D9045" s="1" t="s">
        <v>2457</v>
      </c>
      <c r="E9045" s="1" t="n">
        <v>42</v>
      </c>
      <c r="F9045" s="1" t="s">
        <v>80</v>
      </c>
      <c r="I9045" s="1" t="n">
        <v>1610186</v>
      </c>
      <c r="J9045" s="1" t="n">
        <v>100520</v>
      </c>
      <c r="K9045" s="1" t="n">
        <v>507</v>
      </c>
      <c r="L9045" s="1" t="s">
        <v>2449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5" t="n">
        <v>46261</v>
      </c>
      <c r="C9046" s="1" t="n">
        <v>100</v>
      </c>
      <c r="D9046" s="1" t="s">
        <v>2457</v>
      </c>
      <c r="E9046" s="1" t="n">
        <v>42</v>
      </c>
      <c r="F9046" s="1" t="s">
        <v>80</v>
      </c>
      <c r="I9046" s="1" t="n">
        <v>1610186</v>
      </c>
      <c r="J9046" s="1" t="n">
        <v>110455</v>
      </c>
      <c r="K9046" s="1" t="n">
        <v>53212</v>
      </c>
      <c r="L9046" s="1" t="s">
        <v>2450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5" t="n">
        <v>46261</v>
      </c>
      <c r="C9047" s="1" t="n">
        <v>100</v>
      </c>
      <c r="D9047" s="1" t="s">
        <v>2457</v>
      </c>
      <c r="E9047" s="1" t="n">
        <v>42</v>
      </c>
      <c r="F9047" s="1" t="s">
        <v>80</v>
      </c>
      <c r="I9047" s="1" t="n">
        <v>1610190</v>
      </c>
      <c r="J9047" s="1" t="n">
        <v>100000</v>
      </c>
      <c r="K9047" s="1" t="n">
        <v>1</v>
      </c>
      <c r="L9047" s="1" t="s">
        <v>2451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5" t="n">
        <v>46261</v>
      </c>
      <c r="C9048" s="1" t="n">
        <v>100</v>
      </c>
      <c r="D9048" s="1" t="s">
        <v>2457</v>
      </c>
      <c r="E9048" s="1" t="n">
        <v>42</v>
      </c>
      <c r="F9048" s="1" t="s">
        <v>80</v>
      </c>
      <c r="I9048" s="1" t="n">
        <v>1610190</v>
      </c>
      <c r="J9048" s="1" t="n">
        <v>100001</v>
      </c>
      <c r="K9048" s="1" t="n">
        <v>2</v>
      </c>
      <c r="L9048" s="1" t="s">
        <v>2452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5" t="n">
        <v>46261</v>
      </c>
      <c r="C9049" s="1" t="n">
        <v>100</v>
      </c>
      <c r="D9049" s="1" t="s">
        <v>2457</v>
      </c>
      <c r="E9049" s="1" t="n">
        <v>42</v>
      </c>
      <c r="F9049" s="1" t="s">
        <v>80</v>
      </c>
      <c r="I9049" s="1" t="n">
        <v>1610190</v>
      </c>
      <c r="J9049" s="1" t="n">
        <v>100002</v>
      </c>
      <c r="K9049" s="1" t="n">
        <v>3</v>
      </c>
      <c r="L9049" s="1" t="s">
        <v>2453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5" t="n">
        <v>46261</v>
      </c>
      <c r="C9050" s="1" t="n">
        <v>100</v>
      </c>
      <c r="D9050" s="1" t="s">
        <v>2457</v>
      </c>
      <c r="E9050" s="1" t="n">
        <v>42</v>
      </c>
      <c r="F9050" s="1" t="s">
        <v>80</v>
      </c>
      <c r="I9050" s="1" t="n">
        <v>1610190</v>
      </c>
      <c r="J9050" s="1" t="n">
        <v>100003</v>
      </c>
      <c r="K9050" s="1" t="n">
        <v>4</v>
      </c>
      <c r="L9050" s="1" t="s">
        <v>2454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5" t="n">
        <v>46261</v>
      </c>
      <c r="C9051" s="1" t="n">
        <v>100</v>
      </c>
      <c r="D9051" s="1" t="s">
        <v>2457</v>
      </c>
      <c r="E9051" s="1" t="n">
        <v>42</v>
      </c>
      <c r="F9051" s="1" t="s">
        <v>80</v>
      </c>
      <c r="I9051" s="1" t="n">
        <v>1610190</v>
      </c>
      <c r="J9051" s="1" t="n">
        <v>100007</v>
      </c>
      <c r="K9051" s="1" t="n">
        <v>8</v>
      </c>
      <c r="L9051" s="1" t="s">
        <v>2455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5" t="n">
        <v>46261</v>
      </c>
      <c r="C9052" s="1" t="n">
        <v>100</v>
      </c>
      <c r="D9052" s="1" t="s">
        <v>2457</v>
      </c>
      <c r="E9052" s="1" t="n">
        <v>42</v>
      </c>
      <c r="F9052" s="1" t="s">
        <v>80</v>
      </c>
      <c r="I9052" s="1" t="n">
        <v>1610190</v>
      </c>
      <c r="J9052" s="1" t="n">
        <v>100019</v>
      </c>
      <c r="K9052" s="1" t="n">
        <v>20</v>
      </c>
      <c r="L9052" s="1" t="s">
        <v>4136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5" t="n">
        <v>46261</v>
      </c>
      <c r="C9053" s="1" t="n">
        <v>100</v>
      </c>
      <c r="D9053" s="1" t="s">
        <v>2457</v>
      </c>
      <c r="E9053" s="1" t="n">
        <v>42</v>
      </c>
      <c r="F9053" s="1" t="s">
        <v>80</v>
      </c>
      <c r="I9053" s="1" t="n">
        <v>1610190</v>
      </c>
      <c r="J9053" s="1" t="n">
        <v>100638</v>
      </c>
      <c r="K9053" s="1" t="n">
        <v>508</v>
      </c>
      <c r="L9053" s="1" t="s">
        <v>2448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5" t="n">
        <v>46261</v>
      </c>
      <c r="C9054" s="1" t="n">
        <v>100</v>
      </c>
      <c r="D9054" s="1" t="s">
        <v>2457</v>
      </c>
      <c r="E9054" s="1" t="n">
        <v>42</v>
      </c>
      <c r="F9054" s="1" t="s">
        <v>80</v>
      </c>
      <c r="I9054" s="1" t="n">
        <v>1610190</v>
      </c>
      <c r="J9054" s="1" t="n">
        <v>100520</v>
      </c>
      <c r="K9054" s="1" t="n">
        <v>507</v>
      </c>
      <c r="L9054" s="1" t="s">
        <v>2449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5" t="n">
        <v>46261</v>
      </c>
      <c r="C9055" s="1" t="n">
        <v>100</v>
      </c>
      <c r="D9055" s="1" t="s">
        <v>2457</v>
      </c>
      <c r="E9055" s="1" t="n">
        <v>42</v>
      </c>
      <c r="F9055" s="1" t="s">
        <v>80</v>
      </c>
      <c r="I9055" s="1" t="n">
        <v>1610190</v>
      </c>
      <c r="J9055" s="1" t="n">
        <v>110455</v>
      </c>
      <c r="K9055" s="1" t="n">
        <v>53212</v>
      </c>
      <c r="L9055" s="1" t="s">
        <v>2450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5" t="n">
        <v>46261</v>
      </c>
      <c r="C9056" s="1" t="n">
        <v>171</v>
      </c>
      <c r="D9056" s="1" t="s">
        <v>2517</v>
      </c>
      <c r="E9056" s="1" t="n">
        <v>1955</v>
      </c>
      <c r="F9056" s="1" t="s">
        <v>2216</v>
      </c>
      <c r="I9056" s="1" t="n">
        <v>47902</v>
      </c>
      <c r="J9056" s="1" t="n">
        <v>45154</v>
      </c>
      <c r="K9056" s="1" t="n">
        <v>2246390</v>
      </c>
      <c r="L9056" s="1" t="s">
        <v>3505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5" t="n">
        <v>46261</v>
      </c>
      <c r="C9057" s="1" t="n">
        <v>171</v>
      </c>
      <c r="D9057" s="1" t="s">
        <v>2517</v>
      </c>
      <c r="E9057" s="1" t="n">
        <v>1955</v>
      </c>
      <c r="F9057" s="1" t="s">
        <v>2216</v>
      </c>
      <c r="I9057" s="1" t="n">
        <v>47902</v>
      </c>
      <c r="J9057" s="1" t="n">
        <v>45155</v>
      </c>
      <c r="K9057" s="1" t="n">
        <v>2246406</v>
      </c>
      <c r="L9057" s="1" t="s">
        <v>3506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5" t="n">
        <v>46261</v>
      </c>
      <c r="C9058" s="1" t="n">
        <v>171</v>
      </c>
      <c r="D9058" s="1" t="s">
        <v>2517</v>
      </c>
      <c r="E9058" s="1" t="n">
        <v>1955</v>
      </c>
      <c r="F9058" s="1" t="s">
        <v>2216</v>
      </c>
      <c r="I9058" s="1" t="n">
        <v>48014</v>
      </c>
      <c r="J9058" s="1" t="n">
        <v>45153</v>
      </c>
      <c r="K9058" s="1" t="n">
        <v>7899403713715</v>
      </c>
      <c r="L9058" s="1" t="s">
        <v>3504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5" t="n">
        <v>46261</v>
      </c>
      <c r="C9059" s="1" t="n">
        <v>171</v>
      </c>
      <c r="D9059" s="1" t="s">
        <v>2517</v>
      </c>
      <c r="E9059" s="1" t="n">
        <v>1955</v>
      </c>
      <c r="F9059" s="1" t="s">
        <v>2216</v>
      </c>
      <c r="I9059" s="1" t="n">
        <v>48014</v>
      </c>
      <c r="J9059" s="1" t="n">
        <v>45154</v>
      </c>
      <c r="K9059" s="1" t="n">
        <v>2246390</v>
      </c>
      <c r="L9059" s="1" t="s">
        <v>3505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5" t="n">
        <v>46261</v>
      </c>
      <c r="C9060" s="1" t="n">
        <v>171</v>
      </c>
      <c r="D9060" s="1" t="s">
        <v>2517</v>
      </c>
      <c r="E9060" s="1" t="n">
        <v>1955</v>
      </c>
      <c r="F9060" s="1" t="s">
        <v>2216</v>
      </c>
      <c r="I9060" s="1" t="n">
        <v>48014</v>
      </c>
      <c r="J9060" s="1" t="n">
        <v>45155</v>
      </c>
      <c r="K9060" s="1" t="n">
        <v>2246406</v>
      </c>
      <c r="L9060" s="1" t="s">
        <v>3506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5" t="n">
        <v>46261</v>
      </c>
      <c r="C9061" s="1" t="n">
        <v>171</v>
      </c>
      <c r="D9061" s="1" t="s">
        <v>2517</v>
      </c>
      <c r="E9061" s="1" t="n">
        <v>1955</v>
      </c>
      <c r="F9061" s="1" t="s">
        <v>2216</v>
      </c>
      <c r="I9061" s="1" t="n">
        <v>48122</v>
      </c>
      <c r="J9061" s="1" t="n">
        <v>45154</v>
      </c>
      <c r="K9061" s="1" t="n">
        <v>2246390</v>
      </c>
      <c r="L9061" s="1" t="s">
        <v>3505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5" t="n">
        <v>46261</v>
      </c>
      <c r="C9062" s="1" t="n">
        <v>171</v>
      </c>
      <c r="D9062" s="1" t="s">
        <v>2517</v>
      </c>
      <c r="E9062" s="1" t="n">
        <v>1955</v>
      </c>
      <c r="F9062" s="1" t="s">
        <v>2216</v>
      </c>
      <c r="I9062" s="1" t="n">
        <v>48122</v>
      </c>
      <c r="J9062" s="1" t="n">
        <v>45155</v>
      </c>
      <c r="K9062" s="1" t="n">
        <v>2246406</v>
      </c>
      <c r="L9062" s="1" t="s">
        <v>3506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5" t="n">
        <v>46262</v>
      </c>
      <c r="C9063" s="1" t="n">
        <v>1</v>
      </c>
      <c r="D9063" s="1" t="s">
        <v>2317</v>
      </c>
      <c r="E9063" s="1" t="n">
        <v>10035</v>
      </c>
      <c r="F9063" s="1" t="s">
        <v>227</v>
      </c>
      <c r="I9063" s="1" t="n">
        <v>419</v>
      </c>
      <c r="J9063" s="1" t="n">
        <v>38652</v>
      </c>
      <c r="K9063" s="1" t="n">
        <v>7898994684220</v>
      </c>
      <c r="L9063" s="1" t="s">
        <v>2458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5" t="n">
        <v>46262</v>
      </c>
      <c r="C9064" s="1" t="n">
        <v>1</v>
      </c>
      <c r="D9064" s="1" t="s">
        <v>2317</v>
      </c>
      <c r="E9064" s="1" t="n">
        <v>10035</v>
      </c>
      <c r="F9064" s="1" t="s">
        <v>227</v>
      </c>
      <c r="I9064" s="1" t="n">
        <v>419</v>
      </c>
      <c r="J9064" s="1" t="n">
        <v>43726</v>
      </c>
      <c r="K9064" s="1" t="n">
        <v>2245461</v>
      </c>
      <c r="L9064" s="1" t="s">
        <v>2460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5" t="n">
        <v>46262</v>
      </c>
      <c r="C9065" s="1" t="n">
        <v>1</v>
      </c>
      <c r="D9065" s="1" t="s">
        <v>2317</v>
      </c>
      <c r="E9065" s="1" t="n">
        <v>10043</v>
      </c>
      <c r="F9065" s="1" t="s">
        <v>112</v>
      </c>
      <c r="I9065" s="1" t="n">
        <v>906</v>
      </c>
      <c r="J9065" s="1" t="n">
        <v>52096</v>
      </c>
      <c r="K9065" s="1" t="n">
        <v>144315</v>
      </c>
      <c r="L9065" s="1" t="s">
        <v>2318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5" t="n">
        <v>46262</v>
      </c>
      <c r="C9066" s="1" t="n">
        <v>6</v>
      </c>
      <c r="D9066" s="1" t="s">
        <v>2289</v>
      </c>
      <c r="E9066" s="1" t="n">
        <v>42</v>
      </c>
      <c r="F9066" s="1" t="s">
        <v>80</v>
      </c>
      <c r="I9066" s="1" t="n">
        <v>4551</v>
      </c>
      <c r="J9066" s="1" t="n">
        <v>100103</v>
      </c>
      <c r="K9066" s="1" t="n">
        <v>104</v>
      </c>
      <c r="L9066" s="1" t="s">
        <v>2287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5" t="n">
        <v>46262</v>
      </c>
      <c r="C9067" s="1" t="n">
        <v>6</v>
      </c>
      <c r="D9067" s="1" t="s">
        <v>2289</v>
      </c>
      <c r="E9067" s="1" t="n">
        <v>42</v>
      </c>
      <c r="F9067" s="1" t="s">
        <v>80</v>
      </c>
      <c r="I9067" s="1" t="n">
        <v>4552</v>
      </c>
      <c r="J9067" s="1" t="n">
        <v>109791</v>
      </c>
      <c r="K9067" s="1" t="n">
        <v>9667</v>
      </c>
      <c r="L9067" s="1" t="s">
        <v>2284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5" t="n">
        <v>46262</v>
      </c>
      <c r="C9068" s="1" t="n">
        <v>6</v>
      </c>
      <c r="D9068" s="1" t="s">
        <v>2289</v>
      </c>
      <c r="E9068" s="1" t="n">
        <v>42</v>
      </c>
      <c r="F9068" s="1" t="s">
        <v>80</v>
      </c>
      <c r="I9068" s="1" t="n">
        <v>4552</v>
      </c>
      <c r="J9068" s="1" t="n">
        <v>37361</v>
      </c>
      <c r="K9068" s="1" t="n">
        <v>2240817</v>
      </c>
      <c r="L9068" s="1" t="s">
        <v>2286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5" t="n">
        <v>46262</v>
      </c>
      <c r="C9069" s="1" t="n">
        <v>6</v>
      </c>
      <c r="D9069" s="1" t="s">
        <v>2289</v>
      </c>
      <c r="E9069" s="1" t="n">
        <v>42</v>
      </c>
      <c r="F9069" s="1" t="s">
        <v>80</v>
      </c>
      <c r="I9069" s="1" t="n">
        <v>4553</v>
      </c>
      <c r="J9069" s="1" t="n">
        <v>100062</v>
      </c>
      <c r="K9069" s="1" t="n">
        <v>63</v>
      </c>
      <c r="L9069" s="1" t="s">
        <v>2320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5" t="n">
        <v>46262</v>
      </c>
      <c r="C9070" s="1" t="n">
        <v>6</v>
      </c>
      <c r="D9070" s="1" t="s">
        <v>2289</v>
      </c>
      <c r="E9070" s="1" t="n">
        <v>42</v>
      </c>
      <c r="F9070" s="1" t="s">
        <v>80</v>
      </c>
      <c r="I9070" s="1" t="n">
        <v>4553</v>
      </c>
      <c r="J9070" s="1" t="n">
        <v>100107</v>
      </c>
      <c r="K9070" s="1" t="n">
        <v>108</v>
      </c>
      <c r="L9070" s="1" t="s">
        <v>2323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5" t="n">
        <v>46262</v>
      </c>
      <c r="C9071" s="1" t="n">
        <v>6</v>
      </c>
      <c r="D9071" s="1" t="s">
        <v>2289</v>
      </c>
      <c r="E9071" s="1" t="n">
        <v>42</v>
      </c>
      <c r="F9071" s="1" t="s">
        <v>80</v>
      </c>
      <c r="I9071" s="1" t="n">
        <v>4553</v>
      </c>
      <c r="J9071" s="1" t="n">
        <v>100109</v>
      </c>
      <c r="K9071" s="1" t="n">
        <v>110</v>
      </c>
      <c r="L9071" s="1" t="s">
        <v>2324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5" t="n">
        <v>46262</v>
      </c>
      <c r="C9072" s="1" t="n">
        <v>6</v>
      </c>
      <c r="D9072" s="1" t="s">
        <v>2289</v>
      </c>
      <c r="E9072" s="1" t="n">
        <v>42</v>
      </c>
      <c r="F9072" s="1" t="s">
        <v>80</v>
      </c>
      <c r="I9072" s="1" t="n">
        <v>4553</v>
      </c>
      <c r="J9072" s="1" t="n">
        <v>100110</v>
      </c>
      <c r="K9072" s="1" t="n">
        <v>111</v>
      </c>
      <c r="L9072" s="1" t="s">
        <v>2473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5" t="n">
        <v>46262</v>
      </c>
      <c r="C9073" s="1" t="n">
        <v>6</v>
      </c>
      <c r="D9073" s="1" t="s">
        <v>2289</v>
      </c>
      <c r="E9073" s="1" t="n">
        <v>42</v>
      </c>
      <c r="F9073" s="1" t="s">
        <v>80</v>
      </c>
      <c r="I9073" s="1" t="n">
        <v>4553</v>
      </c>
      <c r="J9073" s="1" t="n">
        <v>100113</v>
      </c>
      <c r="K9073" s="1" t="n">
        <v>114</v>
      </c>
      <c r="L9073" s="1" t="s">
        <v>2326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5" t="n">
        <v>46262</v>
      </c>
      <c r="C9074" s="1" t="n">
        <v>6</v>
      </c>
      <c r="D9074" s="1" t="s">
        <v>2289</v>
      </c>
      <c r="E9074" s="1" t="n">
        <v>42</v>
      </c>
      <c r="F9074" s="1" t="s">
        <v>80</v>
      </c>
      <c r="I9074" s="1" t="n">
        <v>4553</v>
      </c>
      <c r="J9074" s="1" t="n">
        <v>100115</v>
      </c>
      <c r="K9074" s="1" t="n">
        <v>116</v>
      </c>
      <c r="L9074" s="1" t="s">
        <v>2474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5" t="n">
        <v>46262</v>
      </c>
      <c r="C9075" s="1" t="n">
        <v>6</v>
      </c>
      <c r="D9075" s="1" t="s">
        <v>2289</v>
      </c>
      <c r="E9075" s="1" t="n">
        <v>42</v>
      </c>
      <c r="F9075" s="1" t="s">
        <v>80</v>
      </c>
      <c r="I9075" s="1" t="n">
        <v>4553</v>
      </c>
      <c r="J9075" s="1" t="n">
        <v>100118</v>
      </c>
      <c r="K9075" s="1" t="n">
        <v>119</v>
      </c>
      <c r="L9075" s="1" t="s">
        <v>2328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5" t="n">
        <v>46262</v>
      </c>
      <c r="C9076" s="1" t="n">
        <v>6</v>
      </c>
      <c r="D9076" s="1" t="s">
        <v>2289</v>
      </c>
      <c r="E9076" s="1" t="n">
        <v>42</v>
      </c>
      <c r="F9076" s="1" t="s">
        <v>80</v>
      </c>
      <c r="I9076" s="1" t="n">
        <v>4553</v>
      </c>
      <c r="J9076" s="1" t="n">
        <v>100121</v>
      </c>
      <c r="K9076" s="1" t="n">
        <v>122</v>
      </c>
      <c r="L9076" s="1" t="s">
        <v>2329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5" t="n">
        <v>46262</v>
      </c>
      <c r="C9077" s="1" t="n">
        <v>6</v>
      </c>
      <c r="D9077" s="1" t="s">
        <v>2289</v>
      </c>
      <c r="E9077" s="1" t="n">
        <v>42</v>
      </c>
      <c r="F9077" s="1" t="s">
        <v>80</v>
      </c>
      <c r="I9077" s="1" t="n">
        <v>4553</v>
      </c>
      <c r="J9077" s="1" t="n">
        <v>100122</v>
      </c>
      <c r="K9077" s="1" t="n">
        <v>123</v>
      </c>
      <c r="L9077" s="1" t="s">
        <v>2330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5" t="n">
        <v>46262</v>
      </c>
      <c r="C9078" s="1" t="n">
        <v>6</v>
      </c>
      <c r="D9078" s="1" t="s">
        <v>2289</v>
      </c>
      <c r="E9078" s="1" t="n">
        <v>42</v>
      </c>
      <c r="F9078" s="1" t="s">
        <v>80</v>
      </c>
      <c r="I9078" s="1" t="n">
        <v>4553</v>
      </c>
      <c r="J9078" s="1" t="n">
        <v>100124</v>
      </c>
      <c r="K9078" s="1" t="n">
        <v>125</v>
      </c>
      <c r="L9078" s="1" t="s">
        <v>2476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5" t="n">
        <v>46262</v>
      </c>
      <c r="C9079" s="1" t="n">
        <v>6</v>
      </c>
      <c r="D9079" s="1" t="s">
        <v>2289</v>
      </c>
      <c r="E9079" s="1" t="n">
        <v>42</v>
      </c>
      <c r="F9079" s="1" t="s">
        <v>80</v>
      </c>
      <c r="I9079" s="1" t="n">
        <v>4553</v>
      </c>
      <c r="J9079" s="1" t="n">
        <v>100125</v>
      </c>
      <c r="K9079" s="1" t="n">
        <v>126</v>
      </c>
      <c r="L9079" s="1" t="s">
        <v>2477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5" t="n">
        <v>46262</v>
      </c>
      <c r="C9080" s="1" t="n">
        <v>6</v>
      </c>
      <c r="D9080" s="1" t="s">
        <v>2289</v>
      </c>
      <c r="E9080" s="1" t="n">
        <v>42</v>
      </c>
      <c r="F9080" s="1" t="s">
        <v>80</v>
      </c>
      <c r="I9080" s="1" t="n">
        <v>4553</v>
      </c>
      <c r="J9080" s="1" t="n">
        <v>100129</v>
      </c>
      <c r="K9080" s="1" t="n">
        <v>130</v>
      </c>
      <c r="L9080" s="1" t="s">
        <v>3729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5" t="n">
        <v>46262</v>
      </c>
      <c r="C9081" s="1" t="n">
        <v>6</v>
      </c>
      <c r="D9081" s="1" t="s">
        <v>2289</v>
      </c>
      <c r="E9081" s="1" t="n">
        <v>42</v>
      </c>
      <c r="F9081" s="1" t="s">
        <v>80</v>
      </c>
      <c r="I9081" s="1" t="n">
        <v>4553</v>
      </c>
      <c r="J9081" s="1" t="n">
        <v>100130</v>
      </c>
      <c r="K9081" s="1" t="n">
        <v>131</v>
      </c>
      <c r="L9081" s="1" t="s">
        <v>2331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5" t="n">
        <v>46262</v>
      </c>
      <c r="C9082" s="1" t="n">
        <v>6</v>
      </c>
      <c r="D9082" s="1" t="s">
        <v>2289</v>
      </c>
      <c r="E9082" s="1" t="n">
        <v>42</v>
      </c>
      <c r="F9082" s="1" t="s">
        <v>80</v>
      </c>
      <c r="I9082" s="1" t="n">
        <v>4553</v>
      </c>
      <c r="J9082" s="1" t="n">
        <v>100131</v>
      </c>
      <c r="K9082" s="1" t="n">
        <v>132</v>
      </c>
      <c r="L9082" s="1" t="s">
        <v>3103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5" t="n">
        <v>46262</v>
      </c>
      <c r="C9083" s="1" t="n">
        <v>6</v>
      </c>
      <c r="D9083" s="1" t="s">
        <v>2289</v>
      </c>
      <c r="E9083" s="1" t="n">
        <v>42</v>
      </c>
      <c r="F9083" s="1" t="s">
        <v>80</v>
      </c>
      <c r="I9083" s="1" t="n">
        <v>4553</v>
      </c>
      <c r="J9083" s="1" t="n">
        <v>100132</v>
      </c>
      <c r="K9083" s="1" t="n">
        <v>133</v>
      </c>
      <c r="L9083" s="1" t="s">
        <v>3104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5" t="n">
        <v>46262</v>
      </c>
      <c r="C9084" s="1" t="n">
        <v>6</v>
      </c>
      <c r="D9084" s="1" t="s">
        <v>2289</v>
      </c>
      <c r="E9084" s="1" t="n">
        <v>42</v>
      </c>
      <c r="F9084" s="1" t="s">
        <v>80</v>
      </c>
      <c r="I9084" s="1" t="n">
        <v>4553</v>
      </c>
      <c r="J9084" s="1" t="n">
        <v>100133</v>
      </c>
      <c r="K9084" s="1" t="n">
        <v>134</v>
      </c>
      <c r="L9084" s="1" t="s">
        <v>2332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5" t="n">
        <v>46262</v>
      </c>
      <c r="C9085" s="1" t="n">
        <v>6</v>
      </c>
      <c r="D9085" s="1" t="s">
        <v>2289</v>
      </c>
      <c r="E9085" s="1" t="n">
        <v>42</v>
      </c>
      <c r="F9085" s="1" t="s">
        <v>80</v>
      </c>
      <c r="I9085" s="1" t="n">
        <v>4553</v>
      </c>
      <c r="J9085" s="1" t="n">
        <v>100141</v>
      </c>
      <c r="K9085" s="1" t="n">
        <v>142</v>
      </c>
      <c r="L9085" s="1" t="s">
        <v>5104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5" t="n">
        <v>46262</v>
      </c>
      <c r="C9086" s="1" t="n">
        <v>6</v>
      </c>
      <c r="D9086" s="1" t="s">
        <v>2289</v>
      </c>
      <c r="E9086" s="1" t="n">
        <v>42</v>
      </c>
      <c r="F9086" s="1" t="s">
        <v>80</v>
      </c>
      <c r="I9086" s="1" t="n">
        <v>4553</v>
      </c>
      <c r="J9086" s="1" t="n">
        <v>110265</v>
      </c>
      <c r="K9086" s="1" t="n">
        <v>41346</v>
      </c>
      <c r="L9086" s="1" t="s">
        <v>2478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5" t="n">
        <v>46262</v>
      </c>
      <c r="C9087" s="1" t="n">
        <v>6</v>
      </c>
      <c r="D9087" s="1" t="s">
        <v>2289</v>
      </c>
      <c r="E9087" s="1" t="n">
        <v>42</v>
      </c>
      <c r="F9087" s="1" t="s">
        <v>80</v>
      </c>
      <c r="I9087" s="1" t="n">
        <v>4553</v>
      </c>
      <c r="J9087" s="1" t="n">
        <v>80156</v>
      </c>
      <c r="K9087" s="1" t="n">
        <v>727</v>
      </c>
      <c r="L9087" s="1" t="s">
        <v>5105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5" t="n">
        <v>46262</v>
      </c>
      <c r="C9088" s="1" t="n">
        <v>11</v>
      </c>
      <c r="D9088" s="1" t="s">
        <v>2290</v>
      </c>
      <c r="E9088" s="1" t="n">
        <v>1916</v>
      </c>
      <c r="F9088" s="1" t="s">
        <v>351</v>
      </c>
      <c r="I9088" s="1" t="n">
        <v>233</v>
      </c>
      <c r="J9088" s="1" t="n">
        <v>43963</v>
      </c>
      <c r="K9088" s="1" t="n">
        <v>7890000002844</v>
      </c>
      <c r="L9088" s="1" t="s">
        <v>3449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5" t="n">
        <v>46262</v>
      </c>
      <c r="C9089" s="1" t="n">
        <v>11</v>
      </c>
      <c r="D9089" s="1" t="s">
        <v>2290</v>
      </c>
      <c r="E9089" s="1" t="n">
        <v>1916</v>
      </c>
      <c r="F9089" s="1" t="s">
        <v>351</v>
      </c>
      <c r="I9089" s="1" t="n">
        <v>233</v>
      </c>
      <c r="J9089" s="1" t="n">
        <v>43965</v>
      </c>
      <c r="K9089" s="1" t="n">
        <v>7898567710226</v>
      </c>
      <c r="L9089" s="1" t="s">
        <v>2571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5" t="n">
        <v>46262</v>
      </c>
      <c r="C9090" s="1" t="n">
        <v>11</v>
      </c>
      <c r="D9090" s="1" t="s">
        <v>2290</v>
      </c>
      <c r="E9090" s="1" t="n">
        <v>10063</v>
      </c>
      <c r="F9090" s="1" t="s">
        <v>218</v>
      </c>
      <c r="I9090" s="1" t="n">
        <v>2754</v>
      </c>
      <c r="J9090" s="1" t="n">
        <v>100933</v>
      </c>
      <c r="K9090" s="1" t="n">
        <v>7896982100059</v>
      </c>
      <c r="L9090" s="1" t="s">
        <v>2520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5" t="n">
        <v>46262</v>
      </c>
      <c r="C9091" s="1" t="n">
        <v>11</v>
      </c>
      <c r="D9091" s="1" t="s">
        <v>2290</v>
      </c>
      <c r="E9091" s="1" t="n">
        <v>10063</v>
      </c>
      <c r="F9091" s="1" t="s">
        <v>218</v>
      </c>
      <c r="I9091" s="1" t="n">
        <v>2781</v>
      </c>
      <c r="J9091" s="1" t="n">
        <v>100174</v>
      </c>
      <c r="K9091" s="1" t="n">
        <v>7898141930286</v>
      </c>
      <c r="L9091" s="1" t="s">
        <v>2519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5" t="n">
        <v>46262</v>
      </c>
      <c r="C9092" s="1" t="n">
        <v>11</v>
      </c>
      <c r="D9092" s="1" t="s">
        <v>2290</v>
      </c>
      <c r="E9092" s="1" t="n">
        <v>10063</v>
      </c>
      <c r="F9092" s="1" t="s">
        <v>218</v>
      </c>
      <c r="I9092" s="1" t="n">
        <v>2781</v>
      </c>
      <c r="J9092" s="1" t="n">
        <v>100933</v>
      </c>
      <c r="K9092" s="1" t="n">
        <v>7896982100059</v>
      </c>
      <c r="L9092" s="1" t="s">
        <v>2520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5" t="n">
        <v>46262</v>
      </c>
      <c r="C9093" s="1" t="n">
        <v>11</v>
      </c>
      <c r="D9093" s="1" t="s">
        <v>2290</v>
      </c>
      <c r="E9093" s="1" t="n">
        <v>1615</v>
      </c>
      <c r="F9093" s="1" t="s">
        <v>130</v>
      </c>
      <c r="I9093" s="1" t="n">
        <v>15198</v>
      </c>
      <c r="J9093" s="1" t="n">
        <v>37771</v>
      </c>
      <c r="K9093" s="1" t="n">
        <v>774574</v>
      </c>
      <c r="L9093" s="1" t="s">
        <v>2569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5" t="n">
        <v>46262</v>
      </c>
      <c r="C9094" s="1" t="n">
        <v>11</v>
      </c>
      <c r="D9094" s="1" t="s">
        <v>2290</v>
      </c>
      <c r="E9094" s="1" t="n">
        <v>1699</v>
      </c>
      <c r="F9094" s="1" t="s">
        <v>60</v>
      </c>
      <c r="I9094" s="1" t="n">
        <v>312577</v>
      </c>
      <c r="J9094" s="1" t="n">
        <v>102300</v>
      </c>
      <c r="K9094" s="1" t="n">
        <v>7898062920014</v>
      </c>
      <c r="L9094" s="1" t="s">
        <v>3842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5" t="n">
        <v>46262</v>
      </c>
      <c r="C9095" s="1" t="n">
        <v>11</v>
      </c>
      <c r="D9095" s="1" t="s">
        <v>2290</v>
      </c>
      <c r="E9095" s="1" t="n">
        <v>1699</v>
      </c>
      <c r="F9095" s="1" t="s">
        <v>60</v>
      </c>
      <c r="I9095" s="1" t="n">
        <v>312577</v>
      </c>
      <c r="J9095" s="1" t="n">
        <v>105668</v>
      </c>
      <c r="K9095" s="1" t="n">
        <v>7896547500126</v>
      </c>
      <c r="L9095" s="1" t="s">
        <v>2798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5" t="n">
        <v>46262</v>
      </c>
      <c r="C9096" s="1" t="n">
        <v>11</v>
      </c>
      <c r="D9096" s="1" t="s">
        <v>2290</v>
      </c>
      <c r="E9096" s="1" t="n">
        <v>1699</v>
      </c>
      <c r="F9096" s="1" t="s">
        <v>60</v>
      </c>
      <c r="I9096" s="1" t="n">
        <v>312577</v>
      </c>
      <c r="J9096" s="1" t="n">
        <v>11838</v>
      </c>
      <c r="K9096" s="1" t="n">
        <v>7894351099867</v>
      </c>
      <c r="L9096" s="1" t="s">
        <v>2799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5" t="n">
        <v>46262</v>
      </c>
      <c r="C9097" s="1" t="n">
        <v>11</v>
      </c>
      <c r="D9097" s="1" t="s">
        <v>2290</v>
      </c>
      <c r="E9097" s="1" t="n">
        <v>1699</v>
      </c>
      <c r="F9097" s="1" t="s">
        <v>60</v>
      </c>
      <c r="I9097" s="1" t="n">
        <v>312577</v>
      </c>
      <c r="J9097" s="1" t="n">
        <v>12434</v>
      </c>
      <c r="K9097" s="1" t="n">
        <v>7896800777661</v>
      </c>
      <c r="L9097" s="1" t="s">
        <v>4323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5" t="n">
        <v>46262</v>
      </c>
      <c r="C9098" s="1" t="n">
        <v>11</v>
      </c>
      <c r="D9098" s="1" t="s">
        <v>2290</v>
      </c>
      <c r="E9098" s="1" t="n">
        <v>1699</v>
      </c>
      <c r="F9098" s="1" t="s">
        <v>60</v>
      </c>
      <c r="I9098" s="1" t="n">
        <v>312577</v>
      </c>
      <c r="J9098" s="1" t="n">
        <v>13188</v>
      </c>
      <c r="K9098" s="1" t="n">
        <v>7896393601046</v>
      </c>
      <c r="L9098" s="1" t="s">
        <v>3293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5" t="n">
        <v>46262</v>
      </c>
      <c r="C9099" s="1" t="n">
        <v>11</v>
      </c>
      <c r="D9099" s="1" t="s">
        <v>2290</v>
      </c>
      <c r="E9099" s="1" t="n">
        <v>1699</v>
      </c>
      <c r="F9099" s="1" t="s">
        <v>60</v>
      </c>
      <c r="I9099" s="1" t="n">
        <v>312577</v>
      </c>
      <c r="J9099" s="1" t="n">
        <v>23413</v>
      </c>
      <c r="K9099" s="1" t="n">
        <v>7898542022900</v>
      </c>
      <c r="L9099" s="1" t="s">
        <v>2586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5" t="n">
        <v>46262</v>
      </c>
      <c r="C9100" s="1" t="n">
        <v>11</v>
      </c>
      <c r="D9100" s="1" t="s">
        <v>2290</v>
      </c>
      <c r="E9100" s="1" t="n">
        <v>1699</v>
      </c>
      <c r="F9100" s="1" t="s">
        <v>60</v>
      </c>
      <c r="I9100" s="1" t="n">
        <v>312577</v>
      </c>
      <c r="J9100" s="1" t="n">
        <v>24514</v>
      </c>
      <c r="K9100" s="1" t="n">
        <v>7791293032436</v>
      </c>
      <c r="L9100" s="1" t="s">
        <v>2804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5" t="n">
        <v>46262</v>
      </c>
      <c r="C9101" s="1" t="n">
        <v>11</v>
      </c>
      <c r="D9101" s="1" t="s">
        <v>2290</v>
      </c>
      <c r="E9101" s="1" t="n">
        <v>1699</v>
      </c>
      <c r="F9101" s="1" t="s">
        <v>60</v>
      </c>
      <c r="I9101" s="1" t="n">
        <v>312577</v>
      </c>
      <c r="J9101" s="1" t="n">
        <v>24516</v>
      </c>
      <c r="K9101" s="1" t="n">
        <v>7791293032443</v>
      </c>
      <c r="L9101" s="1" t="s">
        <v>4422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5" t="n">
        <v>46262</v>
      </c>
      <c r="C9102" s="1" t="n">
        <v>11</v>
      </c>
      <c r="D9102" s="1" t="s">
        <v>2290</v>
      </c>
      <c r="E9102" s="1" t="n">
        <v>1699</v>
      </c>
      <c r="F9102" s="1" t="s">
        <v>60</v>
      </c>
      <c r="I9102" s="1" t="n">
        <v>312577</v>
      </c>
      <c r="J9102" s="1" t="n">
        <v>25579</v>
      </c>
      <c r="K9102" s="1" t="n">
        <v>7506306241183</v>
      </c>
      <c r="L9102" s="1" t="s">
        <v>2806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5" t="n">
        <v>46262</v>
      </c>
      <c r="C9103" s="1" t="n">
        <v>11</v>
      </c>
      <c r="D9103" s="1" t="s">
        <v>2290</v>
      </c>
      <c r="E9103" s="1" t="n">
        <v>1699</v>
      </c>
      <c r="F9103" s="1" t="s">
        <v>60</v>
      </c>
      <c r="I9103" s="1" t="n">
        <v>312577</v>
      </c>
      <c r="J9103" s="1" t="n">
        <v>27697</v>
      </c>
      <c r="K9103" s="1" t="n">
        <v>7897664171756</v>
      </c>
      <c r="L9103" s="1" t="s">
        <v>4177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5" t="n">
        <v>46262</v>
      </c>
      <c r="C9104" s="1" t="n">
        <v>11</v>
      </c>
      <c r="D9104" s="1" t="s">
        <v>2290</v>
      </c>
      <c r="E9104" s="1" t="n">
        <v>1699</v>
      </c>
      <c r="F9104" s="1" t="s">
        <v>60</v>
      </c>
      <c r="I9104" s="1" t="n">
        <v>312577</v>
      </c>
      <c r="J9104" s="1" t="n">
        <v>27699</v>
      </c>
      <c r="K9104" s="1" t="n">
        <v>7897664171701</v>
      </c>
      <c r="L9104" s="1" t="s">
        <v>4179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5" t="n">
        <v>46262</v>
      </c>
      <c r="C9105" s="1" t="n">
        <v>11</v>
      </c>
      <c r="D9105" s="1" t="s">
        <v>2290</v>
      </c>
      <c r="E9105" s="1" t="n">
        <v>1699</v>
      </c>
      <c r="F9105" s="1" t="s">
        <v>60</v>
      </c>
      <c r="I9105" s="1" t="n">
        <v>312577</v>
      </c>
      <c r="J9105" s="1" t="n">
        <v>29441</v>
      </c>
      <c r="K9105" s="1" t="n">
        <v>7891350034622</v>
      </c>
      <c r="L9105" s="1" t="s">
        <v>2810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5" t="n">
        <v>46262</v>
      </c>
      <c r="C9106" s="1" t="n">
        <v>11</v>
      </c>
      <c r="D9106" s="1" t="s">
        <v>2290</v>
      </c>
      <c r="E9106" s="1" t="n">
        <v>1699</v>
      </c>
      <c r="F9106" s="1" t="s">
        <v>60</v>
      </c>
      <c r="I9106" s="1" t="n">
        <v>312577</v>
      </c>
      <c r="J9106" s="1" t="n">
        <v>29442</v>
      </c>
      <c r="K9106" s="1" t="n">
        <v>7891350034639</v>
      </c>
      <c r="L9106" s="1" t="s">
        <v>2811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5" t="n">
        <v>46262</v>
      </c>
      <c r="C9107" s="1" t="n">
        <v>11</v>
      </c>
      <c r="D9107" s="1" t="s">
        <v>2290</v>
      </c>
      <c r="E9107" s="1" t="n">
        <v>1699</v>
      </c>
      <c r="F9107" s="1" t="s">
        <v>60</v>
      </c>
      <c r="I9107" s="1" t="n">
        <v>312577</v>
      </c>
      <c r="J9107" s="1" t="n">
        <v>34480</v>
      </c>
      <c r="K9107" s="1" t="n">
        <v>7908324400120</v>
      </c>
      <c r="L9107" s="1" t="s">
        <v>4182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5" t="n">
        <v>46262</v>
      </c>
      <c r="C9108" s="1" t="n">
        <v>11</v>
      </c>
      <c r="D9108" s="1" t="s">
        <v>2290</v>
      </c>
      <c r="E9108" s="1" t="n">
        <v>1699</v>
      </c>
      <c r="F9108" s="1" t="s">
        <v>60</v>
      </c>
      <c r="I9108" s="1" t="n">
        <v>312577</v>
      </c>
      <c r="J9108" s="1" t="n">
        <v>64946</v>
      </c>
      <c r="K9108" s="1" t="n">
        <v>7896235354208</v>
      </c>
      <c r="L9108" s="1" t="s">
        <v>5106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5" t="n">
        <v>46262</v>
      </c>
      <c r="C9109" s="1" t="n">
        <v>11</v>
      </c>
      <c r="D9109" s="1" t="s">
        <v>2290</v>
      </c>
      <c r="E9109" s="1" t="n">
        <v>1699</v>
      </c>
      <c r="F9109" s="1" t="s">
        <v>60</v>
      </c>
      <c r="I9109" s="1" t="n">
        <v>312577</v>
      </c>
      <c r="J9109" s="1" t="n">
        <v>69309</v>
      </c>
      <c r="K9109" s="1" t="n">
        <v>7897556000850</v>
      </c>
      <c r="L9109" s="1" t="s">
        <v>4688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5" t="n">
        <v>46262</v>
      </c>
      <c r="C9110" s="1" t="n">
        <v>11</v>
      </c>
      <c r="D9110" s="1" t="s">
        <v>2290</v>
      </c>
      <c r="E9110" s="1" t="n">
        <v>1699</v>
      </c>
      <c r="F9110" s="1" t="s">
        <v>60</v>
      </c>
      <c r="I9110" s="1" t="n">
        <v>312577</v>
      </c>
      <c r="J9110" s="1" t="n">
        <v>71304</v>
      </c>
      <c r="K9110" s="1" t="n">
        <v>7897006315107</v>
      </c>
      <c r="L9110" s="1" t="s">
        <v>5107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5" t="n">
        <v>46262</v>
      </c>
      <c r="C9111" s="1" t="n">
        <v>11</v>
      </c>
      <c r="D9111" s="1" t="s">
        <v>2290</v>
      </c>
      <c r="E9111" s="1" t="n">
        <v>1699</v>
      </c>
      <c r="F9111" s="1" t="s">
        <v>60</v>
      </c>
      <c r="I9111" s="1" t="n">
        <v>312577</v>
      </c>
      <c r="J9111" s="1" t="n">
        <v>74475</v>
      </c>
      <c r="K9111" s="1" t="n">
        <v>7908324404029</v>
      </c>
      <c r="L9111" s="1" t="s">
        <v>5108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5" t="n">
        <v>46262</v>
      </c>
      <c r="C9112" s="1" t="n">
        <v>11</v>
      </c>
      <c r="D9112" s="1" t="s">
        <v>2290</v>
      </c>
      <c r="E9112" s="1" t="n">
        <v>1699</v>
      </c>
      <c r="F9112" s="1" t="s">
        <v>60</v>
      </c>
      <c r="I9112" s="1" t="n">
        <v>312577</v>
      </c>
      <c r="J9112" s="1" t="n">
        <v>82234</v>
      </c>
      <c r="K9112" s="1" t="n">
        <v>7908324408447</v>
      </c>
      <c r="L9112" s="1" t="s">
        <v>5109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5" t="n">
        <v>46262</v>
      </c>
      <c r="C9113" s="1" t="n">
        <v>11</v>
      </c>
      <c r="D9113" s="1" t="s">
        <v>2290</v>
      </c>
      <c r="E9113" s="1" t="n">
        <v>1613</v>
      </c>
      <c r="F9113" s="1" t="s">
        <v>177</v>
      </c>
      <c r="I9113" s="1" t="n">
        <v>1624838</v>
      </c>
      <c r="J9113" s="1" t="n">
        <v>100034</v>
      </c>
      <c r="K9113" s="1" t="n">
        <v>35</v>
      </c>
      <c r="L9113" s="1" t="s">
        <v>3266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5" t="n">
        <v>46262</v>
      </c>
      <c r="C9114" s="1" t="n">
        <v>11</v>
      </c>
      <c r="D9114" s="1" t="s">
        <v>2290</v>
      </c>
      <c r="E9114" s="1" t="n">
        <v>1613</v>
      </c>
      <c r="F9114" s="1" t="s">
        <v>177</v>
      </c>
      <c r="I9114" s="1" t="n">
        <v>1624838</v>
      </c>
      <c r="J9114" s="1" t="n">
        <v>100045</v>
      </c>
      <c r="K9114" s="1" t="n">
        <v>46</v>
      </c>
      <c r="L9114" s="1" t="s">
        <v>3268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5" t="n">
        <v>46262</v>
      </c>
      <c r="C9115" s="1" t="n">
        <v>11</v>
      </c>
      <c r="D9115" s="1" t="s">
        <v>2290</v>
      </c>
      <c r="E9115" s="1" t="n">
        <v>1613</v>
      </c>
      <c r="F9115" s="1" t="s">
        <v>177</v>
      </c>
      <c r="I9115" s="1" t="n">
        <v>1624838</v>
      </c>
      <c r="J9115" s="1" t="n">
        <v>100073</v>
      </c>
      <c r="K9115" s="1" t="n">
        <v>74</v>
      </c>
      <c r="L9115" s="1" t="s">
        <v>2793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5" t="n">
        <v>46262</v>
      </c>
      <c r="C9116" s="1" t="n">
        <v>11</v>
      </c>
      <c r="D9116" s="1" t="s">
        <v>2290</v>
      </c>
      <c r="E9116" s="1" t="n">
        <v>1613</v>
      </c>
      <c r="F9116" s="1" t="s">
        <v>177</v>
      </c>
      <c r="I9116" s="1" t="n">
        <v>1624838</v>
      </c>
      <c r="J9116" s="1" t="n">
        <v>110181</v>
      </c>
      <c r="K9116" s="1" t="n">
        <v>37389</v>
      </c>
      <c r="L9116" s="1" t="s">
        <v>3270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5" t="n">
        <v>46262</v>
      </c>
      <c r="C9117" s="1" t="n">
        <v>11</v>
      </c>
      <c r="D9117" s="1" t="s">
        <v>2290</v>
      </c>
      <c r="E9117" s="1" t="n">
        <v>1608</v>
      </c>
      <c r="F9117" s="1" t="s">
        <v>41</v>
      </c>
      <c r="I9117" s="1" t="n">
        <v>1721625</v>
      </c>
      <c r="J9117" s="1" t="n">
        <v>50232</v>
      </c>
      <c r="K9117" s="1" t="n">
        <v>7891025123057</v>
      </c>
      <c r="L9117" s="1" t="s">
        <v>5110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5" t="n">
        <v>46262</v>
      </c>
      <c r="C9118" s="1" t="n">
        <v>11</v>
      </c>
      <c r="D9118" s="1" t="s">
        <v>2290</v>
      </c>
      <c r="E9118" s="1" t="n">
        <v>1608</v>
      </c>
      <c r="F9118" s="1" t="s">
        <v>41</v>
      </c>
      <c r="I9118" s="1" t="n">
        <v>1721625</v>
      </c>
      <c r="J9118" s="1" t="n">
        <v>24832</v>
      </c>
      <c r="K9118" s="1" t="n">
        <v>7891025109891</v>
      </c>
      <c r="L9118" s="1" t="s">
        <v>4594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5" t="n">
        <v>46262</v>
      </c>
      <c r="C9119" s="1" t="n">
        <v>11</v>
      </c>
      <c r="D9119" s="1" t="s">
        <v>2290</v>
      </c>
      <c r="E9119" s="1" t="n">
        <v>1608</v>
      </c>
      <c r="F9119" s="1" t="s">
        <v>41</v>
      </c>
      <c r="I9119" s="1" t="n">
        <v>1721625</v>
      </c>
      <c r="J9119" s="1" t="n">
        <v>29169</v>
      </c>
      <c r="K9119" s="1" t="n">
        <v>7891025115656</v>
      </c>
      <c r="L9119" s="1" t="s">
        <v>4596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5" t="n">
        <v>46262</v>
      </c>
      <c r="C9120" s="1" t="n">
        <v>11</v>
      </c>
      <c r="D9120" s="1" t="s">
        <v>2290</v>
      </c>
      <c r="E9120" s="1" t="n">
        <v>1608</v>
      </c>
      <c r="F9120" s="1" t="s">
        <v>41</v>
      </c>
      <c r="I9120" s="1" t="n">
        <v>1721625</v>
      </c>
      <c r="J9120" s="1" t="n">
        <v>31570</v>
      </c>
      <c r="K9120" s="1" t="n">
        <v>7898927809157</v>
      </c>
      <c r="L9120" s="1" t="s">
        <v>5111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5" t="n">
        <v>46262</v>
      </c>
      <c r="C9121" s="1" t="n">
        <v>11</v>
      </c>
      <c r="D9121" s="1" t="s">
        <v>2290</v>
      </c>
      <c r="E9121" s="1" t="n">
        <v>1608</v>
      </c>
      <c r="F9121" s="1" t="s">
        <v>41</v>
      </c>
      <c r="I9121" s="1" t="n">
        <v>1721625</v>
      </c>
      <c r="J9121" s="1" t="n">
        <v>35359</v>
      </c>
      <c r="K9121" s="1" t="n">
        <v>7891025119869</v>
      </c>
      <c r="L9121" s="1" t="s">
        <v>4598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5" t="n">
        <v>46262</v>
      </c>
      <c r="C9122" s="1" t="n">
        <v>11</v>
      </c>
      <c r="D9122" s="1" t="s">
        <v>2290</v>
      </c>
      <c r="E9122" s="1" t="n">
        <v>1608</v>
      </c>
      <c r="F9122" s="1" t="s">
        <v>41</v>
      </c>
      <c r="I9122" s="1" t="n">
        <v>1721625</v>
      </c>
      <c r="J9122" s="1" t="n">
        <v>35842</v>
      </c>
      <c r="K9122" s="1" t="n">
        <v>7891025120230</v>
      </c>
      <c r="L9122" s="1" t="s">
        <v>4599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5" t="n">
        <v>46262</v>
      </c>
      <c r="C9123" s="1" t="n">
        <v>11</v>
      </c>
      <c r="D9123" s="1" t="s">
        <v>2290</v>
      </c>
      <c r="E9123" s="1" t="n">
        <v>1608</v>
      </c>
      <c r="F9123" s="1" t="s">
        <v>41</v>
      </c>
      <c r="I9123" s="1" t="n">
        <v>1721625</v>
      </c>
      <c r="J9123" s="1" t="n">
        <v>48139</v>
      </c>
      <c r="K9123" s="1" t="n">
        <v>7891025122067</v>
      </c>
      <c r="L9123" s="1" t="s">
        <v>4601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5" t="n">
        <v>46262</v>
      </c>
      <c r="C9124" s="1" t="n">
        <v>11</v>
      </c>
      <c r="D9124" s="1" t="s">
        <v>2290</v>
      </c>
      <c r="E9124" s="1" t="n">
        <v>1608</v>
      </c>
      <c r="F9124" s="1" t="s">
        <v>41</v>
      </c>
      <c r="I9124" s="1" t="n">
        <v>1721625</v>
      </c>
      <c r="J9124" s="1" t="n">
        <v>69614</v>
      </c>
      <c r="K9124" s="1" t="n">
        <v>7891025123477</v>
      </c>
      <c r="L9124" s="1" t="s">
        <v>4603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5" t="n">
        <v>46262</v>
      </c>
      <c r="C9125" s="1" t="n">
        <v>171</v>
      </c>
      <c r="D9125" s="1" t="s">
        <v>2517</v>
      </c>
      <c r="E9125" s="1" t="n">
        <v>1608</v>
      </c>
      <c r="F9125" s="1" t="s">
        <v>41</v>
      </c>
      <c r="I9125" s="1" t="n">
        <v>1721626</v>
      </c>
      <c r="J9125" s="1" t="n">
        <v>31570</v>
      </c>
      <c r="K9125" s="1" t="n">
        <v>7898927809157</v>
      </c>
      <c r="L9125" s="1" t="s">
        <v>5111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5" t="n">
        <v>46263</v>
      </c>
      <c r="C9126" s="1" t="n">
        <v>6</v>
      </c>
      <c r="D9126" s="1" t="s">
        <v>2289</v>
      </c>
      <c r="E9126" s="1" t="n">
        <v>42</v>
      </c>
      <c r="F9126" s="1" t="s">
        <v>80</v>
      </c>
      <c r="I9126" s="1" t="n">
        <v>4554</v>
      </c>
      <c r="J9126" s="1" t="n">
        <v>100103</v>
      </c>
      <c r="K9126" s="1" t="n">
        <v>104</v>
      </c>
      <c r="L9126" s="1" t="s">
        <v>2287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5" t="n">
        <v>46263</v>
      </c>
      <c r="C9127" s="1" t="n">
        <v>6</v>
      </c>
      <c r="D9127" s="1" t="s">
        <v>2289</v>
      </c>
      <c r="E9127" s="1" t="n">
        <v>42</v>
      </c>
      <c r="F9127" s="1" t="s">
        <v>80</v>
      </c>
      <c r="I9127" s="1" t="n">
        <v>4556</v>
      </c>
      <c r="J9127" s="1" t="n">
        <v>109791</v>
      </c>
      <c r="K9127" s="1" t="n">
        <v>9667</v>
      </c>
      <c r="L9127" s="1" t="s">
        <v>2284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5" t="n">
        <v>46263</v>
      </c>
      <c r="C9128" s="1" t="n">
        <v>6</v>
      </c>
      <c r="D9128" s="1" t="s">
        <v>2289</v>
      </c>
      <c r="E9128" s="1" t="n">
        <v>42</v>
      </c>
      <c r="F9128" s="1" t="s">
        <v>80</v>
      </c>
      <c r="I9128" s="1" t="n">
        <v>4556</v>
      </c>
      <c r="J9128" s="1" t="n">
        <v>37359</v>
      </c>
      <c r="K9128" s="1" t="n">
        <v>55526</v>
      </c>
      <c r="L9128" s="1" t="s">
        <v>2285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5" t="n">
        <v>46263</v>
      </c>
      <c r="C9129" s="1" t="n">
        <v>6</v>
      </c>
      <c r="D9129" s="1" t="s">
        <v>2289</v>
      </c>
      <c r="E9129" s="1" t="n">
        <v>42</v>
      </c>
      <c r="F9129" s="1" t="s">
        <v>80</v>
      </c>
      <c r="I9129" s="1" t="n">
        <v>4556</v>
      </c>
      <c r="J9129" s="1" t="n">
        <v>37361</v>
      </c>
      <c r="K9129" s="1" t="n">
        <v>2240817</v>
      </c>
      <c r="L9129" s="1" t="s">
        <v>2286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5" t="n">
        <v>46263</v>
      </c>
      <c r="C9130" s="1" t="n">
        <v>6</v>
      </c>
      <c r="D9130" s="1" t="s">
        <v>2289</v>
      </c>
      <c r="E9130" s="1" t="n">
        <v>42</v>
      </c>
      <c r="F9130" s="1" t="s">
        <v>80</v>
      </c>
      <c r="I9130" s="1" t="n">
        <v>4561</v>
      </c>
      <c r="J9130" s="1" t="n">
        <v>100104</v>
      </c>
      <c r="K9130" s="1" t="n">
        <v>105</v>
      </c>
      <c r="L9130" s="1" t="s">
        <v>2321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5" t="n">
        <v>46263</v>
      </c>
      <c r="C9131" s="1" t="n">
        <v>6</v>
      </c>
      <c r="D9131" s="1" t="s">
        <v>2289</v>
      </c>
      <c r="E9131" s="1" t="n">
        <v>42</v>
      </c>
      <c r="F9131" s="1" t="s">
        <v>80</v>
      </c>
      <c r="I9131" s="1" t="n">
        <v>4561</v>
      </c>
      <c r="J9131" s="1" t="n">
        <v>100112</v>
      </c>
      <c r="K9131" s="1" t="n">
        <v>113</v>
      </c>
      <c r="L9131" s="1" t="s">
        <v>2325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5" t="n">
        <v>46263</v>
      </c>
      <c r="C9132" s="1" t="n">
        <v>6</v>
      </c>
      <c r="D9132" s="1" t="s">
        <v>2289</v>
      </c>
      <c r="E9132" s="1" t="n">
        <v>42</v>
      </c>
      <c r="F9132" s="1" t="s">
        <v>80</v>
      </c>
      <c r="I9132" s="1" t="n">
        <v>4561</v>
      </c>
      <c r="J9132" s="1" t="n">
        <v>100116</v>
      </c>
      <c r="K9132" s="1" t="n">
        <v>117</v>
      </c>
      <c r="L9132" s="1" t="s">
        <v>2327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5" t="n">
        <v>46263</v>
      </c>
      <c r="C9133" s="1" t="n">
        <v>11</v>
      </c>
      <c r="D9133" s="1" t="s">
        <v>2290</v>
      </c>
      <c r="E9133" s="1" t="n">
        <v>10037</v>
      </c>
      <c r="F9133" s="1" t="s">
        <v>359</v>
      </c>
      <c r="I9133" s="1" t="n">
        <v>3357</v>
      </c>
      <c r="J9133" s="1" t="n">
        <v>100204</v>
      </c>
      <c r="K9133" s="1" t="n">
        <v>205</v>
      </c>
      <c r="L9133" s="1" t="s">
        <v>5112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5" t="n">
        <v>46263</v>
      </c>
      <c r="C9134" s="1" t="n">
        <v>11</v>
      </c>
      <c r="D9134" s="1" t="s">
        <v>2290</v>
      </c>
      <c r="E9134" s="1" t="n">
        <v>10037</v>
      </c>
      <c r="F9134" s="1" t="s">
        <v>359</v>
      </c>
      <c r="I9134" s="1" t="n">
        <v>3357</v>
      </c>
      <c r="J9134" s="1" t="n">
        <v>18710</v>
      </c>
      <c r="K9134" s="1" t="n">
        <v>7898374660325</v>
      </c>
      <c r="L9134" s="1" t="s">
        <v>5113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5" t="n">
        <v>46263</v>
      </c>
      <c r="C9135" s="1" t="n">
        <v>11</v>
      </c>
      <c r="D9135" s="1" t="s">
        <v>2290</v>
      </c>
      <c r="E9135" s="1" t="n">
        <v>10037</v>
      </c>
      <c r="F9135" s="1" t="s">
        <v>359</v>
      </c>
      <c r="I9135" s="1" t="n">
        <v>3357</v>
      </c>
      <c r="J9135" s="1" t="n">
        <v>22747</v>
      </c>
      <c r="K9135" s="1" t="n">
        <v>7898374660271</v>
      </c>
      <c r="L9135" s="1" t="s">
        <v>5114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5" t="n">
        <v>46263</v>
      </c>
      <c r="C9136" s="1" t="n">
        <v>11</v>
      </c>
      <c r="D9136" s="1" t="s">
        <v>2290</v>
      </c>
      <c r="E9136" s="1" t="n">
        <v>10037</v>
      </c>
      <c r="F9136" s="1" t="s">
        <v>359</v>
      </c>
      <c r="I9136" s="1" t="n">
        <v>3357</v>
      </c>
      <c r="J9136" s="1" t="n">
        <v>27823</v>
      </c>
      <c r="K9136" s="1" t="n">
        <v>7896235308010</v>
      </c>
      <c r="L9136" s="1" t="s">
        <v>5115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5" t="n">
        <v>46263</v>
      </c>
      <c r="C9137" s="1" t="n">
        <v>11</v>
      </c>
      <c r="D9137" s="1" t="s">
        <v>2290</v>
      </c>
      <c r="E9137" s="1" t="n">
        <v>10037</v>
      </c>
      <c r="F9137" s="1" t="s">
        <v>359</v>
      </c>
      <c r="I9137" s="1" t="n">
        <v>3357</v>
      </c>
      <c r="J9137" s="1" t="n">
        <v>28393</v>
      </c>
      <c r="K9137" s="1" t="n">
        <v>7898104093508</v>
      </c>
      <c r="L9137" s="1" t="s">
        <v>5116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5" t="n">
        <v>46263</v>
      </c>
      <c r="C9138" s="1" t="n">
        <v>11</v>
      </c>
      <c r="D9138" s="1" t="s">
        <v>2290</v>
      </c>
      <c r="E9138" s="1" t="n">
        <v>10037</v>
      </c>
      <c r="F9138" s="1" t="s">
        <v>359</v>
      </c>
      <c r="I9138" s="1" t="n">
        <v>3357</v>
      </c>
      <c r="J9138" s="1" t="n">
        <v>28394</v>
      </c>
      <c r="K9138" s="1" t="n">
        <v>7898104093522</v>
      </c>
      <c r="L9138" s="1" t="s">
        <v>5117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5" t="n">
        <v>46263</v>
      </c>
      <c r="C9139" s="1" t="n">
        <v>11</v>
      </c>
      <c r="D9139" s="1" t="s">
        <v>2290</v>
      </c>
      <c r="E9139" s="1" t="n">
        <v>10037</v>
      </c>
      <c r="F9139" s="1" t="s">
        <v>359</v>
      </c>
      <c r="I9139" s="1" t="n">
        <v>3357</v>
      </c>
      <c r="J9139" s="1" t="n">
        <v>28395</v>
      </c>
      <c r="K9139" s="1" t="n">
        <v>7898104092426</v>
      </c>
      <c r="L9139" s="1" t="s">
        <v>4049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5" t="n">
        <v>46263</v>
      </c>
      <c r="C9140" s="1" t="n">
        <v>11</v>
      </c>
      <c r="D9140" s="1" t="s">
        <v>2290</v>
      </c>
      <c r="E9140" s="1" t="n">
        <v>10037</v>
      </c>
      <c r="F9140" s="1" t="s">
        <v>359</v>
      </c>
      <c r="I9140" s="1" t="n">
        <v>3357</v>
      </c>
      <c r="J9140" s="1" t="n">
        <v>36239</v>
      </c>
      <c r="K9140" s="1" t="n">
        <v>7899599602213</v>
      </c>
      <c r="L9140" s="1" t="s">
        <v>5118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5" t="n">
        <v>46263</v>
      </c>
      <c r="C9141" s="1" t="n">
        <v>11</v>
      </c>
      <c r="D9141" s="1" t="s">
        <v>2290</v>
      </c>
      <c r="E9141" s="1" t="n">
        <v>10037</v>
      </c>
      <c r="F9141" s="1" t="s">
        <v>359</v>
      </c>
      <c r="I9141" s="1" t="n">
        <v>3357</v>
      </c>
      <c r="J9141" s="1" t="n">
        <v>37414</v>
      </c>
      <c r="K9141" s="1" t="n">
        <v>7898104091535</v>
      </c>
      <c r="L9141" s="1" t="s">
        <v>4052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5" t="n">
        <v>46263</v>
      </c>
      <c r="C9142" s="1" t="n">
        <v>11</v>
      </c>
      <c r="D9142" s="1" t="s">
        <v>2290</v>
      </c>
      <c r="E9142" s="1" t="n">
        <v>10037</v>
      </c>
      <c r="F9142" s="1" t="s">
        <v>359</v>
      </c>
      <c r="I9142" s="1" t="n">
        <v>3357</v>
      </c>
      <c r="J9142" s="1" t="n">
        <v>54440</v>
      </c>
      <c r="K9142" s="1" t="n">
        <v>7899599607324</v>
      </c>
      <c r="L9142" s="1" t="s">
        <v>5119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5" t="n">
        <v>46263</v>
      </c>
      <c r="C9143" s="1" t="n">
        <v>11</v>
      </c>
      <c r="D9143" s="1" t="s">
        <v>2290</v>
      </c>
      <c r="E9143" s="1" t="n">
        <v>10037</v>
      </c>
      <c r="F9143" s="1" t="s">
        <v>359</v>
      </c>
      <c r="I9143" s="1" t="n">
        <v>3357</v>
      </c>
      <c r="J9143" s="1" t="n">
        <v>61190</v>
      </c>
      <c r="K9143" s="1" t="n">
        <v>7899599603418</v>
      </c>
      <c r="L9143" s="1" t="s">
        <v>5118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5" t="n">
        <v>46263</v>
      </c>
      <c r="C9144" s="1" t="n">
        <v>11</v>
      </c>
      <c r="D9144" s="1" t="s">
        <v>2290</v>
      </c>
      <c r="E9144" s="1" t="n">
        <v>10037</v>
      </c>
      <c r="F9144" s="1" t="s">
        <v>359</v>
      </c>
      <c r="I9144" s="1" t="n">
        <v>3357</v>
      </c>
      <c r="J9144" s="1" t="n">
        <v>66364</v>
      </c>
      <c r="K9144" s="1" t="n">
        <v>790840</v>
      </c>
      <c r="L9144" s="1" t="s">
        <v>4054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5" t="n">
        <v>46263</v>
      </c>
      <c r="C9145" s="1" t="n">
        <v>11</v>
      </c>
      <c r="D9145" s="1" t="s">
        <v>2290</v>
      </c>
      <c r="E9145" s="1" t="n">
        <v>10037</v>
      </c>
      <c r="F9145" s="1" t="s">
        <v>359</v>
      </c>
      <c r="I9145" s="1" t="n">
        <v>3357</v>
      </c>
      <c r="J9145" s="1" t="n">
        <v>73933</v>
      </c>
      <c r="K9145" s="1" t="n">
        <v>7898479741233</v>
      </c>
      <c r="L9145" s="1" t="s">
        <v>4055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5" t="n">
        <v>46263</v>
      </c>
      <c r="C9146" s="1" t="n">
        <v>11</v>
      </c>
      <c r="D9146" s="1" t="s">
        <v>2290</v>
      </c>
      <c r="E9146" s="1" t="n">
        <v>1740</v>
      </c>
      <c r="F9146" s="1" t="s">
        <v>170</v>
      </c>
      <c r="I9146" s="1" t="n">
        <v>1264637</v>
      </c>
      <c r="J9146" s="1" t="n">
        <v>100036</v>
      </c>
      <c r="K9146" s="1" t="n">
        <v>37</v>
      </c>
      <c r="L9146" s="1" t="s">
        <v>2432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5" t="n">
        <v>46263</v>
      </c>
      <c r="C9147" s="1" t="n">
        <v>11</v>
      </c>
      <c r="D9147" s="1" t="s">
        <v>2290</v>
      </c>
      <c r="E9147" s="1" t="n">
        <v>1740</v>
      </c>
      <c r="F9147" s="1" t="s">
        <v>170</v>
      </c>
      <c r="I9147" s="1" t="n">
        <v>1264637</v>
      </c>
      <c r="J9147" s="1" t="n">
        <v>110530</v>
      </c>
      <c r="K9147" s="1" t="n">
        <v>57638</v>
      </c>
      <c r="L9147" s="1" t="s">
        <v>2433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5" t="n">
        <v>46263</v>
      </c>
      <c r="C9148" s="1" t="n">
        <v>11</v>
      </c>
      <c r="D9148" s="1" t="s">
        <v>2290</v>
      </c>
      <c r="E9148" s="1" t="n">
        <v>1672</v>
      </c>
      <c r="F9148" s="1" t="s">
        <v>67</v>
      </c>
      <c r="I9148" s="1" t="n">
        <v>1432810</v>
      </c>
      <c r="J9148" s="1" t="n">
        <v>101308</v>
      </c>
      <c r="K9148" s="1" t="n">
        <v>7896579330098</v>
      </c>
      <c r="L9148" s="1" t="s">
        <v>2434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5" t="n">
        <v>46265</v>
      </c>
      <c r="C9149" s="1" t="n">
        <v>6</v>
      </c>
      <c r="D9149" s="1" t="s">
        <v>2289</v>
      </c>
      <c r="E9149" s="1" t="n">
        <v>42</v>
      </c>
      <c r="F9149" s="1" t="s">
        <v>80</v>
      </c>
      <c r="I9149" s="1" t="n">
        <v>4562</v>
      </c>
      <c r="J9149" s="1" t="n">
        <v>109791</v>
      </c>
      <c r="K9149" s="1" t="n">
        <v>9667</v>
      </c>
      <c r="L9149" s="1" t="s">
        <v>2284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5" t="n">
        <v>46265</v>
      </c>
      <c r="C9150" s="1" t="n">
        <v>6</v>
      </c>
      <c r="D9150" s="1" t="s">
        <v>2289</v>
      </c>
      <c r="E9150" s="1" t="n">
        <v>42</v>
      </c>
      <c r="F9150" s="1" t="s">
        <v>80</v>
      </c>
      <c r="I9150" s="1" t="n">
        <v>4562</v>
      </c>
      <c r="J9150" s="1" t="n">
        <v>37359</v>
      </c>
      <c r="K9150" s="1" t="n">
        <v>55526</v>
      </c>
      <c r="L9150" s="1" t="s">
        <v>2285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5" t="n">
        <v>46265</v>
      </c>
      <c r="C9151" s="1" t="n">
        <v>6</v>
      </c>
      <c r="D9151" s="1" t="s">
        <v>2289</v>
      </c>
      <c r="E9151" s="1" t="n">
        <v>42</v>
      </c>
      <c r="F9151" s="1" t="s">
        <v>80</v>
      </c>
      <c r="I9151" s="1" t="n">
        <v>4562</v>
      </c>
      <c r="J9151" s="1" t="n">
        <v>37361</v>
      </c>
      <c r="K9151" s="1" t="n">
        <v>2240817</v>
      </c>
      <c r="L9151" s="1" t="s">
        <v>2286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5" t="n">
        <v>46265</v>
      </c>
      <c r="C9152" s="1" t="n">
        <v>6</v>
      </c>
      <c r="D9152" s="1" t="s">
        <v>2289</v>
      </c>
      <c r="E9152" s="1" t="n">
        <v>42</v>
      </c>
      <c r="F9152" s="1" t="s">
        <v>80</v>
      </c>
      <c r="I9152" s="1" t="n">
        <v>4563</v>
      </c>
      <c r="J9152" s="1" t="n">
        <v>72679</v>
      </c>
      <c r="K9152" s="1" t="n">
        <v>246</v>
      </c>
      <c r="L9152" s="1" t="s">
        <v>2288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5" t="n">
        <v>46265</v>
      </c>
      <c r="C9153" s="1" t="n">
        <v>6</v>
      </c>
      <c r="D9153" s="1" t="s">
        <v>2289</v>
      </c>
      <c r="E9153" s="1" t="n">
        <v>42</v>
      </c>
      <c r="F9153" s="1" t="s">
        <v>80</v>
      </c>
      <c r="I9153" s="1" t="n">
        <v>4564</v>
      </c>
      <c r="J9153" s="1" t="n">
        <v>100103</v>
      </c>
      <c r="K9153" s="1" t="n">
        <v>104</v>
      </c>
      <c r="L9153" s="1" t="s">
        <v>2287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5" t="n">
        <v>46265</v>
      </c>
      <c r="C9154" s="1" t="n">
        <v>11</v>
      </c>
      <c r="D9154" s="1" t="s">
        <v>2290</v>
      </c>
      <c r="E9154" s="1" t="n">
        <v>10096</v>
      </c>
      <c r="F9154" s="1" t="s">
        <v>1232</v>
      </c>
      <c r="I9154" s="1" t="n">
        <v>219</v>
      </c>
      <c r="J9154" s="1" t="n">
        <v>61580</v>
      </c>
      <c r="K9154" s="1" t="n">
        <v>2258157</v>
      </c>
      <c r="L9154" s="1" t="s">
        <v>2339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5" t="n">
        <v>46265</v>
      </c>
      <c r="C9155" s="1" t="n">
        <v>11</v>
      </c>
      <c r="D9155" s="1" t="s">
        <v>2290</v>
      </c>
      <c r="E9155" s="1" t="n">
        <v>642</v>
      </c>
      <c r="F9155" s="1" t="s">
        <v>135</v>
      </c>
      <c r="I9155" s="1" t="n">
        <v>628</v>
      </c>
      <c r="J9155" s="1" t="n">
        <v>71766</v>
      </c>
      <c r="K9155" s="1" t="n">
        <v>779180</v>
      </c>
      <c r="L9155" s="1" t="s">
        <v>2566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5" t="n">
        <v>46265</v>
      </c>
      <c r="C9156" s="1" t="n">
        <v>11</v>
      </c>
      <c r="D9156" s="1" t="s">
        <v>2290</v>
      </c>
      <c r="E9156" s="1" t="n">
        <v>1828</v>
      </c>
      <c r="F9156" s="1" t="s">
        <v>278</v>
      </c>
      <c r="I9156" s="1" t="n">
        <v>1452</v>
      </c>
      <c r="J9156" s="1" t="n">
        <v>40034</v>
      </c>
      <c r="K9156" s="1" t="n">
        <v>742832367370</v>
      </c>
      <c r="L9156" s="1" t="s">
        <v>2746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5" t="n">
        <v>46265</v>
      </c>
      <c r="C9157" s="1" t="n">
        <v>11</v>
      </c>
      <c r="D9157" s="1" t="s">
        <v>2290</v>
      </c>
      <c r="E9157" s="1" t="n">
        <v>1828</v>
      </c>
      <c r="F9157" s="1" t="s">
        <v>278</v>
      </c>
      <c r="I9157" s="1" t="n">
        <v>1452</v>
      </c>
      <c r="J9157" s="1" t="n">
        <v>14247</v>
      </c>
      <c r="K9157" s="1" t="n">
        <v>2229416</v>
      </c>
      <c r="L9157" s="1" t="s">
        <v>2747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5" t="n">
        <v>46265</v>
      </c>
      <c r="C9158" s="1" t="n">
        <v>11</v>
      </c>
      <c r="D9158" s="1" t="s">
        <v>2290</v>
      </c>
      <c r="E9158" s="1" t="n">
        <v>1828</v>
      </c>
      <c r="F9158" s="1" t="s">
        <v>278</v>
      </c>
      <c r="I9158" s="1" t="n">
        <v>1452</v>
      </c>
      <c r="J9158" s="1" t="n">
        <v>14248</v>
      </c>
      <c r="K9158" s="1" t="n">
        <v>2229423</v>
      </c>
      <c r="L9158" s="1" t="s">
        <v>2748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5" t="n">
        <v>46265</v>
      </c>
      <c r="C9159" s="1" t="n">
        <v>11</v>
      </c>
      <c r="D9159" s="1" t="s">
        <v>2290</v>
      </c>
      <c r="E9159" s="1" t="n">
        <v>1828</v>
      </c>
      <c r="F9159" s="1" t="s">
        <v>278</v>
      </c>
      <c r="I9159" s="1" t="n">
        <v>1452</v>
      </c>
      <c r="J9159" s="1" t="n">
        <v>20541</v>
      </c>
      <c r="K9159" s="1" t="n">
        <v>2232829</v>
      </c>
      <c r="L9159" s="1" t="s">
        <v>2749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5" t="n">
        <v>46265</v>
      </c>
      <c r="C9160" s="1" t="n">
        <v>11</v>
      </c>
      <c r="D9160" s="1" t="s">
        <v>2290</v>
      </c>
      <c r="E9160" s="1" t="n">
        <v>1722</v>
      </c>
      <c r="F9160" s="1" t="s">
        <v>417</v>
      </c>
      <c r="I9160" s="1" t="n">
        <v>7164</v>
      </c>
      <c r="J9160" s="1" t="n">
        <v>66756</v>
      </c>
      <c r="K9160" s="1" t="n">
        <v>40141707161</v>
      </c>
      <c r="L9160" s="1" t="s">
        <v>3793</v>
      </c>
      <c r="N9160" s="1" t="n">
        <v>2</v>
      </c>
      <c r="O9160" s="1" t="n">
        <v>16</v>
      </c>
    </row>
    <row r="9161" customFormat="false" ht="15" hidden="false" customHeight="true" outlineLevel="0" collapsed="false">
      <c r="A9161" s="1" t="n">
        <v>3</v>
      </c>
      <c r="B9161" s="15" t="n">
        <v>46265</v>
      </c>
      <c r="C9161" s="1" t="n">
        <v>11</v>
      </c>
      <c r="D9161" s="1" t="s">
        <v>2290</v>
      </c>
      <c r="E9161" s="1" t="n">
        <v>1722</v>
      </c>
      <c r="F9161" s="1" t="s">
        <v>417</v>
      </c>
      <c r="I9161" s="1" t="n">
        <v>7164</v>
      </c>
      <c r="J9161" s="1" t="n">
        <v>67102</v>
      </c>
      <c r="K9161" s="1" t="n">
        <v>40141707178</v>
      </c>
      <c r="L9161" s="1" t="s">
        <v>2567</v>
      </c>
      <c r="N9161" s="1" t="n">
        <v>42</v>
      </c>
      <c r="O9161" s="1" t="n">
        <v>294</v>
      </c>
    </row>
    <row r="9162" customFormat="false" ht="15" hidden="false" customHeight="true" outlineLevel="0" collapsed="false">
      <c r="A9162" s="1" t="n">
        <v>3</v>
      </c>
      <c r="B9162" s="15" t="n">
        <v>46265</v>
      </c>
      <c r="C9162" s="1" t="n">
        <v>11</v>
      </c>
      <c r="D9162" s="1" t="s">
        <v>2290</v>
      </c>
      <c r="E9162" s="1" t="n">
        <v>1805</v>
      </c>
      <c r="F9162" s="1" t="s">
        <v>1836</v>
      </c>
      <c r="I9162" s="1" t="n">
        <v>7845</v>
      </c>
      <c r="J9162" s="1" t="n">
        <v>59045</v>
      </c>
      <c r="K9162" s="1" t="n">
        <v>7898912019172</v>
      </c>
      <c r="L9162" s="1" t="s">
        <v>5120</v>
      </c>
      <c r="N9162" s="1" t="n">
        <v>15</v>
      </c>
      <c r="O9162" s="1" t="n">
        <v>80.97</v>
      </c>
    </row>
    <row r="9163" customFormat="false" ht="15" hidden="false" customHeight="true" outlineLevel="0" collapsed="false">
      <c r="A9163" s="1" t="n">
        <v>3</v>
      </c>
      <c r="B9163" s="15" t="n">
        <v>46265</v>
      </c>
      <c r="C9163" s="1" t="n">
        <v>11</v>
      </c>
      <c r="D9163" s="1" t="s">
        <v>2290</v>
      </c>
      <c r="E9163" s="1" t="n">
        <v>1805</v>
      </c>
      <c r="F9163" s="1" t="s">
        <v>1836</v>
      </c>
      <c r="I9163" s="1" t="n">
        <v>7845</v>
      </c>
      <c r="J9163" s="1" t="n">
        <v>59046</v>
      </c>
      <c r="K9163" s="1" t="n">
        <v>789891201905</v>
      </c>
      <c r="L9163" s="1" t="s">
        <v>2996</v>
      </c>
      <c r="N9163" s="1" t="n">
        <v>15</v>
      </c>
      <c r="O9163" s="1" t="n">
        <v>128.97</v>
      </c>
    </row>
    <row r="9164" customFormat="false" ht="15" hidden="false" customHeight="true" outlineLevel="0" collapsed="false">
      <c r="A9164" s="1" t="n">
        <v>3</v>
      </c>
      <c r="B9164" s="15" t="n">
        <v>46265</v>
      </c>
      <c r="C9164" s="1" t="n">
        <v>11</v>
      </c>
      <c r="D9164" s="1" t="s">
        <v>2290</v>
      </c>
      <c r="E9164" s="1" t="n">
        <v>1615</v>
      </c>
      <c r="F9164" s="1" t="s">
        <v>130</v>
      </c>
      <c r="I9164" s="1" t="n">
        <v>15055</v>
      </c>
      <c r="J9164" s="1" t="n">
        <v>37771</v>
      </c>
      <c r="K9164" s="1" t="n">
        <v>774574</v>
      </c>
      <c r="L9164" s="1" t="s">
        <v>2569</v>
      </c>
      <c r="N9164" s="1" t="n">
        <v>20</v>
      </c>
      <c r="O9164" s="1" t="n">
        <v>130</v>
      </c>
    </row>
    <row r="9165" customFormat="false" ht="15" hidden="false" customHeight="true" outlineLevel="0" collapsed="false">
      <c r="A9165" s="1" t="n">
        <v>3</v>
      </c>
      <c r="B9165" s="15" t="n">
        <v>46265</v>
      </c>
      <c r="C9165" s="1" t="n">
        <v>11</v>
      </c>
      <c r="D9165" s="1" t="s">
        <v>2290</v>
      </c>
      <c r="E9165" s="1" t="n">
        <v>1615</v>
      </c>
      <c r="F9165" s="1" t="s">
        <v>130</v>
      </c>
      <c r="I9165" s="1" t="n">
        <v>15055</v>
      </c>
      <c r="J9165" s="1" t="n">
        <v>55350</v>
      </c>
      <c r="K9165" s="1" t="n">
        <v>609963080076</v>
      </c>
      <c r="L9165" s="1" t="s">
        <v>2319</v>
      </c>
      <c r="N9165" s="1" t="n">
        <v>20</v>
      </c>
      <c r="O9165" s="1" t="n">
        <v>140</v>
      </c>
    </row>
    <row r="9166" customFormat="false" ht="15" hidden="false" customHeight="true" outlineLevel="0" collapsed="false">
      <c r="A9166" s="1" t="n">
        <v>3</v>
      </c>
      <c r="B9166" s="15" t="n">
        <v>46265</v>
      </c>
      <c r="C9166" s="1" t="n">
        <v>11</v>
      </c>
      <c r="D9166" s="1" t="s">
        <v>2290</v>
      </c>
      <c r="E9166" s="1" t="n">
        <v>1955</v>
      </c>
      <c r="F9166" s="1" t="s">
        <v>2216</v>
      </c>
      <c r="I9166" s="1" t="n">
        <v>48290</v>
      </c>
      <c r="J9166" s="1" t="n">
        <v>37740</v>
      </c>
      <c r="K9166" s="1" t="n">
        <v>7899403635857</v>
      </c>
      <c r="L9166" s="1" t="s">
        <v>3678</v>
      </c>
      <c r="N9166" s="1" t="n">
        <v>5</v>
      </c>
      <c r="O9166" s="1" t="n">
        <v>55</v>
      </c>
    </row>
    <row r="9167" customFormat="false" ht="15" hidden="false" customHeight="true" outlineLevel="0" collapsed="false">
      <c r="A9167" s="1" t="n">
        <v>3</v>
      </c>
      <c r="B9167" s="15" t="n">
        <v>46265</v>
      </c>
      <c r="C9167" s="1" t="n">
        <v>11</v>
      </c>
      <c r="D9167" s="1" t="s">
        <v>2290</v>
      </c>
      <c r="E9167" s="1" t="n">
        <v>1955</v>
      </c>
      <c r="F9167" s="1" t="s">
        <v>2216</v>
      </c>
      <c r="I9167" s="1" t="n">
        <v>48290</v>
      </c>
      <c r="J9167" s="1" t="n">
        <v>37742</v>
      </c>
      <c r="K9167" s="1" t="n">
        <v>7898575226504</v>
      </c>
      <c r="L9167" s="1" t="s">
        <v>3507</v>
      </c>
      <c r="N9167" s="1" t="n">
        <v>10</v>
      </c>
      <c r="O9167" s="1" t="n">
        <v>70</v>
      </c>
    </row>
    <row r="9168" customFormat="false" ht="15" hidden="false" customHeight="true" outlineLevel="0" collapsed="false">
      <c r="A9168" s="1" t="n">
        <v>3</v>
      </c>
      <c r="B9168" s="15" t="n">
        <v>46265</v>
      </c>
      <c r="C9168" s="1" t="n">
        <v>11</v>
      </c>
      <c r="D9168" s="1" t="s">
        <v>2290</v>
      </c>
      <c r="E9168" s="1" t="n">
        <v>1955</v>
      </c>
      <c r="F9168" s="1" t="s">
        <v>2216</v>
      </c>
      <c r="I9168" s="1" t="n">
        <v>48290</v>
      </c>
      <c r="J9168" s="1" t="n">
        <v>37744</v>
      </c>
      <c r="K9168" s="1" t="n">
        <v>7894537020739</v>
      </c>
      <c r="L9168" s="1" t="s">
        <v>3679</v>
      </c>
      <c r="N9168" s="1" t="n">
        <v>5</v>
      </c>
      <c r="O9168" s="1" t="n">
        <v>55</v>
      </c>
    </row>
    <row r="9169" customFormat="false" ht="15" hidden="false" customHeight="true" outlineLevel="0" collapsed="false">
      <c r="A9169" s="1" t="n">
        <v>3</v>
      </c>
      <c r="B9169" s="15" t="n">
        <v>46265</v>
      </c>
      <c r="C9169" s="1" t="n">
        <v>11</v>
      </c>
      <c r="D9169" s="1" t="s">
        <v>2290</v>
      </c>
      <c r="E9169" s="1" t="n">
        <v>1955</v>
      </c>
      <c r="F9169" s="1" t="s">
        <v>2216</v>
      </c>
      <c r="I9169" s="1" t="n">
        <v>48290</v>
      </c>
      <c r="J9169" s="1" t="n">
        <v>37744</v>
      </c>
      <c r="K9169" s="1" t="n">
        <v>7894537020739</v>
      </c>
      <c r="L9169" s="1" t="s">
        <v>3679</v>
      </c>
      <c r="N9169" s="1" t="n">
        <v>10</v>
      </c>
      <c r="O9169" s="1" t="n">
        <v>140</v>
      </c>
    </row>
    <row r="9170" customFormat="false" ht="15" hidden="false" customHeight="true" outlineLevel="0" collapsed="false">
      <c r="A9170" s="1" t="n">
        <v>3</v>
      </c>
      <c r="B9170" s="15" t="n">
        <v>46265</v>
      </c>
      <c r="C9170" s="1" t="n">
        <v>11</v>
      </c>
      <c r="D9170" s="1" t="s">
        <v>2290</v>
      </c>
      <c r="E9170" s="1" t="n">
        <v>1955</v>
      </c>
      <c r="F9170" s="1" t="s">
        <v>2216</v>
      </c>
      <c r="I9170" s="1" t="n">
        <v>48290</v>
      </c>
      <c r="J9170" s="1" t="n">
        <v>37745</v>
      </c>
      <c r="K9170" s="1" t="n">
        <v>7894537020746</v>
      </c>
      <c r="L9170" s="1" t="s">
        <v>3680</v>
      </c>
      <c r="N9170" s="1" t="n">
        <v>10</v>
      </c>
      <c r="O9170" s="1" t="n">
        <v>70</v>
      </c>
    </row>
    <row r="9171" customFormat="false" ht="15" hidden="false" customHeight="true" outlineLevel="0" collapsed="false">
      <c r="A9171" s="1" t="n">
        <v>3</v>
      </c>
      <c r="B9171" s="15" t="n">
        <v>46265</v>
      </c>
      <c r="C9171" s="1" t="n">
        <v>11</v>
      </c>
      <c r="D9171" s="1" t="s">
        <v>2290</v>
      </c>
      <c r="E9171" s="1" t="n">
        <v>1955</v>
      </c>
      <c r="F9171" s="1" t="s">
        <v>2216</v>
      </c>
      <c r="I9171" s="1" t="n">
        <v>48290</v>
      </c>
      <c r="J9171" s="1" t="n">
        <v>37858</v>
      </c>
      <c r="K9171" s="1" t="n">
        <v>7899403636076</v>
      </c>
      <c r="L9171" s="1" t="s">
        <v>3681</v>
      </c>
      <c r="N9171" s="1" t="n">
        <v>10</v>
      </c>
      <c r="O9171" s="1" t="n">
        <v>70</v>
      </c>
    </row>
    <row r="9172" customFormat="false" ht="15" hidden="false" customHeight="true" outlineLevel="0" collapsed="false">
      <c r="A9172" s="1" t="n">
        <v>3</v>
      </c>
      <c r="B9172" s="15" t="n">
        <v>46265</v>
      </c>
      <c r="C9172" s="1" t="n">
        <v>11</v>
      </c>
      <c r="D9172" s="1" t="s">
        <v>2290</v>
      </c>
      <c r="E9172" s="1" t="n">
        <v>1955</v>
      </c>
      <c r="F9172" s="1" t="s">
        <v>2216</v>
      </c>
      <c r="I9172" s="1" t="n">
        <v>48290</v>
      </c>
      <c r="J9172" s="1" t="n">
        <v>50870</v>
      </c>
      <c r="K9172" s="1" t="n">
        <v>7899403636373</v>
      </c>
      <c r="L9172" s="1" t="s">
        <v>3682</v>
      </c>
      <c r="N9172" s="1" t="n">
        <v>10</v>
      </c>
      <c r="O9172" s="1" t="n">
        <v>140</v>
      </c>
    </row>
    <row r="9173" customFormat="false" ht="15" hidden="false" customHeight="true" outlineLevel="0" collapsed="false">
      <c r="A9173" s="1" t="n">
        <v>3</v>
      </c>
      <c r="B9173" s="15" t="n">
        <v>46265</v>
      </c>
      <c r="C9173" s="1" t="n">
        <v>11</v>
      </c>
      <c r="D9173" s="1" t="s">
        <v>2290</v>
      </c>
      <c r="E9173" s="1" t="n">
        <v>1955</v>
      </c>
      <c r="F9173" s="1" t="s">
        <v>2216</v>
      </c>
      <c r="I9173" s="1" t="n">
        <v>48290</v>
      </c>
      <c r="J9173" s="1" t="n">
        <v>62812</v>
      </c>
      <c r="K9173" s="1" t="n">
        <v>7898933090877</v>
      </c>
      <c r="L9173" s="1" t="s">
        <v>3508</v>
      </c>
      <c r="N9173" s="1" t="n">
        <v>10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5" t="n">
        <v>46265</v>
      </c>
      <c r="C9174" s="1" t="n">
        <v>11</v>
      </c>
      <c r="D9174" s="1" t="s">
        <v>2290</v>
      </c>
      <c r="E9174" s="1" t="n">
        <v>1955</v>
      </c>
      <c r="F9174" s="1" t="s">
        <v>2216</v>
      </c>
      <c r="I9174" s="1" t="n">
        <v>48290</v>
      </c>
      <c r="J9174" s="1" t="n">
        <v>72901</v>
      </c>
      <c r="K9174" s="1" t="n">
        <v>7898602918563</v>
      </c>
      <c r="L9174" s="1" t="s">
        <v>3509</v>
      </c>
      <c r="N9174" s="1" t="n">
        <v>5</v>
      </c>
      <c r="O9174" s="1" t="n">
        <v>55</v>
      </c>
    </row>
    <row r="9175" customFormat="false" ht="15" hidden="false" customHeight="true" outlineLevel="0" collapsed="false">
      <c r="A9175" s="1" t="n">
        <v>3</v>
      </c>
      <c r="B9175" s="15" t="n">
        <v>46265</v>
      </c>
      <c r="C9175" s="1" t="n">
        <v>11</v>
      </c>
      <c r="D9175" s="1" t="s">
        <v>2290</v>
      </c>
      <c r="E9175" s="1" t="n">
        <v>1672</v>
      </c>
      <c r="F9175" s="1" t="s">
        <v>67</v>
      </c>
      <c r="I9175" s="1" t="n">
        <v>1432808</v>
      </c>
      <c r="J9175" s="1" t="n">
        <v>103165</v>
      </c>
      <c r="K9175" s="1" t="n">
        <v>7896579310106</v>
      </c>
      <c r="L9175" s="1" t="s">
        <v>2865</v>
      </c>
      <c r="N9175" s="1" t="n">
        <v>27</v>
      </c>
      <c r="O9175" s="1" t="n">
        <v>116.1</v>
      </c>
    </row>
    <row r="9176" customFormat="false" ht="15" hidden="false" customHeight="true" outlineLevel="0" collapsed="false">
      <c r="A9176" s="1" t="n">
        <v>3</v>
      </c>
      <c r="B9176" s="15" t="n">
        <v>46265</v>
      </c>
      <c r="C9176" s="1" t="n">
        <v>11</v>
      </c>
      <c r="D9176" s="1" t="s">
        <v>2290</v>
      </c>
      <c r="E9176" s="1" t="n">
        <v>1672</v>
      </c>
      <c r="F9176" s="1" t="s">
        <v>67</v>
      </c>
      <c r="I9176" s="1" t="n">
        <v>1432808</v>
      </c>
      <c r="J9176" s="1" t="n">
        <v>103916</v>
      </c>
      <c r="K9176" s="1" t="n">
        <v>7896579330067</v>
      </c>
      <c r="L9176" s="1" t="s">
        <v>2866</v>
      </c>
      <c r="N9176" s="1" t="n">
        <v>90</v>
      </c>
      <c r="O9176" s="1" t="n">
        <v>234</v>
      </c>
    </row>
    <row r="9177" customFormat="false" ht="15" hidden="false" customHeight="true" outlineLevel="0" collapsed="false">
      <c r="A9177" s="1" t="n">
        <v>3</v>
      </c>
      <c r="B9177" s="15" t="n">
        <v>46265</v>
      </c>
      <c r="C9177" s="1" t="n">
        <v>11</v>
      </c>
      <c r="D9177" s="1" t="s">
        <v>2290</v>
      </c>
      <c r="E9177" s="1" t="n">
        <v>1672</v>
      </c>
      <c r="F9177" s="1" t="s">
        <v>67</v>
      </c>
      <c r="I9177" s="1" t="n">
        <v>1432808</v>
      </c>
      <c r="J9177" s="1" t="n">
        <v>103941</v>
      </c>
      <c r="K9177" s="1" t="n">
        <v>7896579330036</v>
      </c>
      <c r="L9177" s="1" t="s">
        <v>3756</v>
      </c>
      <c r="N9177" s="1" t="n">
        <v>48</v>
      </c>
      <c r="O9177" s="1" t="n">
        <v>62.4</v>
      </c>
    </row>
    <row r="9178" customFormat="false" ht="15" hidden="false" customHeight="true" outlineLevel="0" collapsed="false">
      <c r="A9178" s="1" t="n">
        <v>3</v>
      </c>
      <c r="B9178" s="15" t="n">
        <v>46265</v>
      </c>
      <c r="C9178" s="1" t="n">
        <v>11</v>
      </c>
      <c r="D9178" s="1" t="s">
        <v>2290</v>
      </c>
      <c r="E9178" s="1" t="n">
        <v>1672</v>
      </c>
      <c r="F9178" s="1" t="s">
        <v>67</v>
      </c>
      <c r="I9178" s="1" t="n">
        <v>1432808</v>
      </c>
      <c r="J9178" s="1" t="n">
        <v>104355</v>
      </c>
      <c r="K9178" s="1" t="n">
        <v>7896579380116</v>
      </c>
      <c r="L9178" s="1" t="s">
        <v>2867</v>
      </c>
      <c r="N9178" s="1" t="n">
        <v>18</v>
      </c>
      <c r="O9178" s="1" t="n">
        <v>77.4</v>
      </c>
    </row>
    <row r="9179" customFormat="false" ht="15" hidden="false" customHeight="true" outlineLevel="0" collapsed="false">
      <c r="A9179" s="1" t="n">
        <v>3</v>
      </c>
      <c r="B9179" s="15" t="n">
        <v>46265</v>
      </c>
      <c r="C9179" s="1" t="n">
        <v>11</v>
      </c>
      <c r="D9179" s="1" t="s">
        <v>2290</v>
      </c>
      <c r="E9179" s="1" t="n">
        <v>1672</v>
      </c>
      <c r="F9179" s="1" t="s">
        <v>67</v>
      </c>
      <c r="I9179" s="1" t="n">
        <v>1432808</v>
      </c>
      <c r="J9179" s="1" t="n">
        <v>13184</v>
      </c>
      <c r="K9179" s="1" t="n">
        <v>7896579310113</v>
      </c>
      <c r="L9179" s="1" t="s">
        <v>3757</v>
      </c>
      <c r="N9179" s="1" t="n">
        <v>20</v>
      </c>
      <c r="O9179" s="1" t="n">
        <v>55.8</v>
      </c>
    </row>
    <row r="9180" customFormat="false" ht="15" hidden="false" customHeight="true" outlineLevel="0" collapsed="false">
      <c r="A9180" s="1" t="n">
        <v>3</v>
      </c>
      <c r="B9180" s="15" t="n">
        <v>46265</v>
      </c>
      <c r="C9180" s="1" t="n">
        <v>11</v>
      </c>
      <c r="D9180" s="1" t="s">
        <v>2290</v>
      </c>
      <c r="E9180" s="1" t="n">
        <v>1672</v>
      </c>
      <c r="F9180" s="1" t="s">
        <v>67</v>
      </c>
      <c r="I9180" s="1" t="n">
        <v>1432808</v>
      </c>
      <c r="J9180" s="1" t="n">
        <v>19375</v>
      </c>
      <c r="K9180" s="1" t="n">
        <v>7896520021327</v>
      </c>
      <c r="L9180" s="1" t="s">
        <v>4230</v>
      </c>
      <c r="N9180" s="1" t="n">
        <v>8</v>
      </c>
      <c r="O9180" s="1" t="n">
        <v>61.6</v>
      </c>
    </row>
    <row r="9181" customFormat="false" ht="15" hidden="false" customHeight="true" outlineLevel="0" collapsed="false">
      <c r="A9181" s="1" t="n">
        <v>3</v>
      </c>
      <c r="B9181" s="15" t="n">
        <v>46265</v>
      </c>
      <c r="C9181" s="1" t="n">
        <v>11</v>
      </c>
      <c r="D9181" s="1" t="s">
        <v>2290</v>
      </c>
      <c r="E9181" s="1" t="n">
        <v>1672</v>
      </c>
      <c r="F9181" s="1" t="s">
        <v>67</v>
      </c>
      <c r="I9181" s="1" t="n">
        <v>1432808</v>
      </c>
      <c r="J9181" s="1" t="n">
        <v>19376</v>
      </c>
      <c r="K9181" s="1" t="n">
        <v>7896520023505</v>
      </c>
      <c r="L9181" s="1" t="s">
        <v>5121</v>
      </c>
      <c r="N9181" s="1" t="n">
        <v>27</v>
      </c>
      <c r="O9181" s="1" t="n">
        <v>62.1</v>
      </c>
    </row>
    <row r="9182" customFormat="false" ht="15" hidden="false" customHeight="true" outlineLevel="0" collapsed="false">
      <c r="A9182" s="1" t="n">
        <v>3</v>
      </c>
      <c r="B9182" s="15" t="n">
        <v>46265</v>
      </c>
      <c r="C9182" s="1" t="n">
        <v>11</v>
      </c>
      <c r="D9182" s="1" t="s">
        <v>2290</v>
      </c>
      <c r="E9182" s="1" t="n">
        <v>1672</v>
      </c>
      <c r="F9182" s="1" t="s">
        <v>67</v>
      </c>
      <c r="I9182" s="1" t="n">
        <v>1432808</v>
      </c>
      <c r="J9182" s="1" t="n">
        <v>23258</v>
      </c>
      <c r="K9182" s="1" t="n">
        <v>7899465200505</v>
      </c>
      <c r="L9182" s="1" t="s">
        <v>4231</v>
      </c>
      <c r="N9182" s="1" t="n">
        <v>18</v>
      </c>
      <c r="O9182" s="1" t="n">
        <v>48.6</v>
      </c>
    </row>
    <row r="9183" customFormat="false" ht="15" hidden="false" customHeight="true" outlineLevel="0" collapsed="false">
      <c r="A9183" s="1" t="n">
        <v>3</v>
      </c>
      <c r="B9183" s="15" t="n">
        <v>46265</v>
      </c>
      <c r="C9183" s="1" t="n">
        <v>11</v>
      </c>
      <c r="D9183" s="1" t="s">
        <v>2290</v>
      </c>
      <c r="E9183" s="1" t="n">
        <v>1672</v>
      </c>
      <c r="F9183" s="1" t="s">
        <v>67</v>
      </c>
      <c r="I9183" s="1" t="n">
        <v>1432808</v>
      </c>
      <c r="J9183" s="1" t="n">
        <v>26411</v>
      </c>
      <c r="K9183" s="1" t="n">
        <v>7899465200819</v>
      </c>
      <c r="L9183" s="1" t="s">
        <v>4232</v>
      </c>
      <c r="N9183" s="1" t="n">
        <v>18</v>
      </c>
      <c r="O9183" s="1" t="n">
        <v>45</v>
      </c>
    </row>
    <row r="9184" customFormat="false" ht="15" hidden="false" customHeight="true" outlineLevel="0" collapsed="false">
      <c r="A9184" s="1" t="n">
        <v>3</v>
      </c>
      <c r="B9184" s="15" t="n">
        <v>46265</v>
      </c>
      <c r="C9184" s="1" t="n">
        <v>11</v>
      </c>
      <c r="D9184" s="1" t="s">
        <v>2290</v>
      </c>
      <c r="E9184" s="1" t="n">
        <v>1672</v>
      </c>
      <c r="F9184" s="1" t="s">
        <v>67</v>
      </c>
      <c r="I9184" s="1" t="n">
        <v>1432808</v>
      </c>
      <c r="J9184" s="1" t="n">
        <v>31622</v>
      </c>
      <c r="K9184" s="1" t="n">
        <v>7896579370032</v>
      </c>
      <c r="L9184" s="1" t="s">
        <v>2868</v>
      </c>
      <c r="N9184" s="1" t="n">
        <v>18</v>
      </c>
      <c r="O9184" s="1" t="n">
        <v>90</v>
      </c>
    </row>
    <row r="9185" customFormat="false" ht="15" hidden="false" customHeight="true" outlineLevel="0" collapsed="false">
      <c r="A9185" s="1" t="n">
        <v>3</v>
      </c>
      <c r="B9185" s="15" t="n">
        <v>46265</v>
      </c>
      <c r="C9185" s="1" t="n">
        <v>11</v>
      </c>
      <c r="D9185" s="1" t="s">
        <v>2290</v>
      </c>
      <c r="E9185" s="1" t="n">
        <v>1672</v>
      </c>
      <c r="F9185" s="1" t="s">
        <v>67</v>
      </c>
      <c r="I9185" s="1" t="n">
        <v>1432808</v>
      </c>
      <c r="J9185" s="1" t="n">
        <v>37154</v>
      </c>
      <c r="K9185" s="1" t="n">
        <v>7896579310601</v>
      </c>
      <c r="L9185" s="1" t="s">
        <v>2870</v>
      </c>
      <c r="N9185" s="1" t="n">
        <v>18</v>
      </c>
      <c r="O9185" s="1" t="n">
        <v>84.6</v>
      </c>
    </row>
    <row r="9186" customFormat="false" ht="15" hidden="false" customHeight="true" outlineLevel="0" collapsed="false">
      <c r="A9186" s="1" t="n">
        <v>3</v>
      </c>
      <c r="B9186" s="15" t="n">
        <v>46265</v>
      </c>
      <c r="C9186" s="1" t="n">
        <v>11</v>
      </c>
      <c r="D9186" s="1" t="s">
        <v>2290</v>
      </c>
      <c r="E9186" s="1" t="n">
        <v>1672</v>
      </c>
      <c r="F9186" s="1" t="s">
        <v>67</v>
      </c>
      <c r="I9186" s="1" t="n">
        <v>1432808</v>
      </c>
      <c r="J9186" s="1" t="n">
        <v>37156</v>
      </c>
      <c r="K9186" s="1" t="n">
        <v>7896579310502</v>
      </c>
      <c r="L9186" s="1" t="s">
        <v>2871</v>
      </c>
      <c r="N9186" s="1" t="n">
        <v>18</v>
      </c>
      <c r="O9186" s="1" t="n">
        <v>84.6</v>
      </c>
    </row>
    <row r="9187" customFormat="false" ht="15" hidden="false" customHeight="true" outlineLevel="0" collapsed="false">
      <c r="A9187" s="1" t="n">
        <v>3</v>
      </c>
      <c r="B9187" s="15" t="n">
        <v>46265</v>
      </c>
      <c r="C9187" s="1" t="n">
        <v>11</v>
      </c>
      <c r="D9187" s="1" t="s">
        <v>2290</v>
      </c>
      <c r="E9187" s="1" t="n">
        <v>1672</v>
      </c>
      <c r="F9187" s="1" t="s">
        <v>67</v>
      </c>
      <c r="I9187" s="1" t="n">
        <v>1432808</v>
      </c>
      <c r="J9187" s="1" t="n">
        <v>37157</v>
      </c>
      <c r="K9187" s="1" t="n">
        <v>7896579310403</v>
      </c>
      <c r="L9187" s="1" t="s">
        <v>2872</v>
      </c>
      <c r="N9187" s="1" t="n">
        <v>18</v>
      </c>
      <c r="O9187" s="1" t="n">
        <v>84.6</v>
      </c>
    </row>
    <row r="9188" customFormat="false" ht="15" hidden="false" customHeight="true" outlineLevel="0" collapsed="false">
      <c r="A9188" s="1" t="n">
        <v>3</v>
      </c>
      <c r="B9188" s="15" t="n">
        <v>46265</v>
      </c>
      <c r="C9188" s="1" t="n">
        <v>11</v>
      </c>
      <c r="D9188" s="1" t="s">
        <v>2290</v>
      </c>
      <c r="E9188" s="1" t="n">
        <v>1672</v>
      </c>
      <c r="F9188" s="1" t="s">
        <v>67</v>
      </c>
      <c r="I9188" s="1" t="n">
        <v>1432808</v>
      </c>
      <c r="J9188" s="1" t="n">
        <v>38315</v>
      </c>
      <c r="K9188" s="1" t="n">
        <v>7896579320242</v>
      </c>
      <c r="L9188" s="1" t="s">
        <v>2873</v>
      </c>
      <c r="N9188" s="1" t="n">
        <v>18</v>
      </c>
      <c r="O9188" s="1" t="n">
        <v>55.8</v>
      </c>
    </row>
    <row r="9189" customFormat="false" ht="15" hidden="false" customHeight="true" outlineLevel="0" collapsed="false">
      <c r="A9189" s="1" t="n">
        <v>3</v>
      </c>
      <c r="B9189" s="15" t="n">
        <v>46265</v>
      </c>
      <c r="C9189" s="1" t="n">
        <v>11</v>
      </c>
      <c r="D9189" s="1" t="s">
        <v>2290</v>
      </c>
      <c r="E9189" s="1" t="n">
        <v>1672</v>
      </c>
      <c r="F9189" s="1" t="s">
        <v>67</v>
      </c>
      <c r="I9189" s="1" t="n">
        <v>1432808</v>
      </c>
      <c r="J9189" s="1" t="n">
        <v>38539</v>
      </c>
      <c r="K9189" s="1" t="n">
        <v>7896579320235</v>
      </c>
      <c r="L9189" s="1" t="s">
        <v>2874</v>
      </c>
      <c r="N9189" s="1" t="n">
        <v>27</v>
      </c>
      <c r="O9189" s="1" t="n">
        <v>116.1</v>
      </c>
    </row>
    <row r="9190" customFormat="false" ht="15" hidden="false" customHeight="true" outlineLevel="0" collapsed="false">
      <c r="A9190" s="1" t="n">
        <v>3</v>
      </c>
      <c r="B9190" s="15" t="n">
        <v>46265</v>
      </c>
      <c r="C9190" s="1" t="n">
        <v>11</v>
      </c>
      <c r="D9190" s="1" t="s">
        <v>2290</v>
      </c>
      <c r="E9190" s="1" t="n">
        <v>1672</v>
      </c>
      <c r="F9190" s="1" t="s">
        <v>67</v>
      </c>
      <c r="I9190" s="1" t="n">
        <v>1432808</v>
      </c>
      <c r="J9190" s="1" t="n">
        <v>53441</v>
      </c>
      <c r="K9190" s="1" t="n">
        <v>7896579340165</v>
      </c>
      <c r="L9190" s="1" t="s">
        <v>4236</v>
      </c>
      <c r="N9190" s="1" t="n">
        <v>1</v>
      </c>
      <c r="O9190" s="1" t="n">
        <v>2.7</v>
      </c>
    </row>
    <row r="9191" customFormat="false" ht="15" hidden="false" customHeight="true" outlineLevel="0" collapsed="false">
      <c r="A9191" s="1" t="n">
        <v>3</v>
      </c>
      <c r="B9191" s="15" t="n">
        <v>46265</v>
      </c>
      <c r="C9191" s="1" t="n">
        <v>11</v>
      </c>
      <c r="D9191" s="1" t="s">
        <v>2290</v>
      </c>
      <c r="E9191" s="1" t="n">
        <v>1672</v>
      </c>
      <c r="F9191" s="1" t="s">
        <v>67</v>
      </c>
      <c r="I9191" s="1" t="n">
        <v>1432808</v>
      </c>
      <c r="J9191" s="1" t="n">
        <v>79952</v>
      </c>
      <c r="K9191" s="1" t="n">
        <v>7896579390085</v>
      </c>
      <c r="L9191" s="1" t="s">
        <v>3766</v>
      </c>
      <c r="N9191" s="1" t="n">
        <v>1</v>
      </c>
      <c r="O9191" s="1" t="n">
        <v>2.7</v>
      </c>
    </row>
    <row r="9192" customFormat="false" ht="15" hidden="false" customHeight="true" outlineLevel="0" collapsed="false">
      <c r="A9192" s="1" t="n">
        <v>3</v>
      </c>
      <c r="B9192" s="15" t="n">
        <v>46265</v>
      </c>
      <c r="C9192" s="1" t="n">
        <v>11</v>
      </c>
      <c r="D9192" s="1" t="s">
        <v>2290</v>
      </c>
      <c r="E9192" s="1" t="n">
        <v>1672</v>
      </c>
      <c r="F9192" s="1" t="s">
        <v>67</v>
      </c>
      <c r="I9192" s="1" t="n">
        <v>1432808</v>
      </c>
      <c r="J9192" s="1" t="n">
        <v>80062</v>
      </c>
      <c r="K9192" s="1" t="n">
        <v>7896579390092</v>
      </c>
      <c r="L9192" s="1" t="s">
        <v>3767</v>
      </c>
      <c r="N9192" s="1" t="n">
        <v>1</v>
      </c>
      <c r="O9192" s="1" t="n">
        <v>2.7</v>
      </c>
    </row>
    <row r="9193" customFormat="false" ht="15" hidden="false" customHeight="true" outlineLevel="0" collapsed="false">
      <c r="A9193" s="1" t="n">
        <v>3</v>
      </c>
      <c r="B9193" s="15" t="n">
        <v>46265</v>
      </c>
      <c r="C9193" s="1" t="n">
        <v>11</v>
      </c>
      <c r="D9193" s="1" t="s">
        <v>2290</v>
      </c>
      <c r="E9193" s="1" t="n">
        <v>1672</v>
      </c>
      <c r="F9193" s="1" t="s">
        <v>67</v>
      </c>
      <c r="I9193" s="1" t="n">
        <v>1435316</v>
      </c>
      <c r="J9193" s="1" t="n">
        <v>37507</v>
      </c>
      <c r="K9193" s="1" t="n">
        <v>7896579310854</v>
      </c>
      <c r="L9193" s="1" t="s">
        <v>2435</v>
      </c>
      <c r="N9193" s="1" t="n">
        <v>100</v>
      </c>
      <c r="O9193" s="1" t="n">
        <v>730</v>
      </c>
    </row>
    <row r="9194" customFormat="false" ht="15" hidden="false" customHeight="true" outlineLevel="0" collapsed="false">
      <c r="A9194" s="1" t="n">
        <v>3</v>
      </c>
      <c r="B9194" s="15" t="n">
        <v>46265</v>
      </c>
      <c r="C9194" s="1" t="n">
        <v>11</v>
      </c>
      <c r="D9194" s="1" t="s">
        <v>2290</v>
      </c>
      <c r="E9194" s="1" t="n">
        <v>1613</v>
      </c>
      <c r="F9194" s="1" t="s">
        <v>177</v>
      </c>
      <c r="I9194" s="1" t="n">
        <v>1625096</v>
      </c>
      <c r="J9194" s="1" t="n">
        <v>100042</v>
      </c>
      <c r="K9194" s="1" t="n">
        <v>43</v>
      </c>
      <c r="L9194" s="1" t="s">
        <v>2986</v>
      </c>
      <c r="N9194" s="1" t="n">
        <v>22</v>
      </c>
      <c r="O9194" s="1" t="n">
        <v>500.8</v>
      </c>
    </row>
    <row r="9195" customFormat="false" ht="15" hidden="false" customHeight="true" outlineLevel="0" collapsed="false">
      <c r="A9195" s="1" t="n">
        <v>3</v>
      </c>
      <c r="B9195" s="15" t="n">
        <v>46265</v>
      </c>
      <c r="C9195" s="1" t="n">
        <v>107</v>
      </c>
      <c r="D9195" s="1" t="s">
        <v>2735</v>
      </c>
      <c r="E9195" s="1" t="n">
        <v>1672</v>
      </c>
      <c r="F9195" s="1" t="s">
        <v>67</v>
      </c>
      <c r="I9195" s="1" t="n">
        <v>1432809</v>
      </c>
      <c r="J9195" s="1" t="n">
        <v>101308</v>
      </c>
      <c r="K9195" s="1" t="n">
        <v>7896579330098</v>
      </c>
      <c r="L9195" s="1" t="s">
        <v>2434</v>
      </c>
      <c r="N9195" s="1" t="n">
        <v>1</v>
      </c>
      <c r="O9195" s="1" t="n">
        <v>9.6</v>
      </c>
    </row>
    <row r="9196" customFormat="false" ht="15" hidden="false" customHeight="true" outlineLevel="0" collapsed="false">
      <c r="A9196" s="1" t="n">
        <v>3</v>
      </c>
      <c r="B9196" s="15" t="n">
        <v>46265</v>
      </c>
      <c r="C9196" s="1" t="n">
        <v>107</v>
      </c>
      <c r="D9196" s="1" t="s">
        <v>2735</v>
      </c>
      <c r="E9196" s="1" t="n">
        <v>1672</v>
      </c>
      <c r="F9196" s="1" t="s">
        <v>67</v>
      </c>
      <c r="I9196" s="1" t="n">
        <v>1432809</v>
      </c>
      <c r="J9196" s="1" t="n">
        <v>103916</v>
      </c>
      <c r="K9196" s="1" t="n">
        <v>7896579330067</v>
      </c>
      <c r="L9196" s="1" t="s">
        <v>2866</v>
      </c>
      <c r="N9196" s="1" t="n">
        <v>9</v>
      </c>
      <c r="O9196" s="1" t="n">
        <v>2.8</v>
      </c>
    </row>
    <row r="9197" customFormat="false" ht="15" hidden="false" customHeight="true" outlineLevel="0" collapsed="false">
      <c r="A9197" s="1" t="n">
        <v>3</v>
      </c>
      <c r="B9197" s="15" t="n">
        <v>46265</v>
      </c>
      <c r="C9197" s="1" t="n">
        <v>107</v>
      </c>
      <c r="D9197" s="1" t="s">
        <v>2735</v>
      </c>
      <c r="E9197" s="1" t="n">
        <v>1672</v>
      </c>
      <c r="F9197" s="1" t="s">
        <v>67</v>
      </c>
      <c r="I9197" s="1" t="n">
        <v>1432809</v>
      </c>
      <c r="J9197" s="1" t="n">
        <v>13184</v>
      </c>
      <c r="K9197" s="1" t="n">
        <v>7896579310113</v>
      </c>
      <c r="L9197" s="1" t="s">
        <v>3757</v>
      </c>
      <c r="N9197" s="1" t="n">
        <v>10</v>
      </c>
      <c r="O9197" s="1" t="n">
        <v>3.3</v>
      </c>
    </row>
    <row r="9198" customFormat="false" ht="15" hidden="false" customHeight="true" outlineLevel="0" collapsed="false">
      <c r="A9198" s="1" t="n">
        <v>3</v>
      </c>
      <c r="B9198" s="15" t="n">
        <v>46265</v>
      </c>
      <c r="C9198" s="1" t="n">
        <v>107</v>
      </c>
      <c r="D9198" s="1" t="s">
        <v>2735</v>
      </c>
      <c r="E9198" s="1" t="n">
        <v>1672</v>
      </c>
      <c r="F9198" s="1" t="s">
        <v>67</v>
      </c>
      <c r="I9198" s="1" t="n">
        <v>1432809</v>
      </c>
      <c r="J9198" s="1" t="n">
        <v>37154</v>
      </c>
      <c r="K9198" s="1" t="n">
        <v>7896579310601</v>
      </c>
      <c r="L9198" s="1" t="s">
        <v>2870</v>
      </c>
      <c r="N9198" s="1" t="n">
        <v>9</v>
      </c>
      <c r="O9198" s="1" t="n">
        <v>5</v>
      </c>
    </row>
    <row r="9199" customFormat="false" ht="15" hidden="false" customHeight="true" outlineLevel="0" collapsed="false">
      <c r="A9199" s="1" t="n">
        <v>3</v>
      </c>
      <c r="B9199" s="15" t="n">
        <v>46265</v>
      </c>
      <c r="C9199" s="1" t="n">
        <v>107</v>
      </c>
      <c r="D9199" s="1" t="s">
        <v>2735</v>
      </c>
      <c r="E9199" s="1" t="n">
        <v>1672</v>
      </c>
      <c r="F9199" s="1" t="s">
        <v>67</v>
      </c>
      <c r="I9199" s="1" t="n">
        <v>1432809</v>
      </c>
      <c r="J9199" s="1" t="n">
        <v>38539</v>
      </c>
      <c r="K9199" s="1" t="n">
        <v>7896579320235</v>
      </c>
      <c r="L9199" s="1" t="s">
        <v>2874</v>
      </c>
      <c r="N9199" s="1" t="n">
        <v>9</v>
      </c>
      <c r="O9199" s="1" t="n">
        <v>4.5</v>
      </c>
    </row>
    <row r="9200" customFormat="false" ht="15" hidden="false" customHeight="true" outlineLevel="0" collapsed="false">
      <c r="A9200" s="1" t="n">
        <v>3</v>
      </c>
      <c r="B9200" s="15" t="n">
        <v>46265</v>
      </c>
      <c r="C9200" s="1" t="n">
        <v>107</v>
      </c>
      <c r="D9200" s="1" t="s">
        <v>2735</v>
      </c>
      <c r="E9200" s="1" t="n">
        <v>1672</v>
      </c>
      <c r="F9200" s="1" t="s">
        <v>67</v>
      </c>
      <c r="I9200" s="1" t="n">
        <v>1432809</v>
      </c>
      <c r="J9200" s="1" t="n">
        <v>39423</v>
      </c>
      <c r="K9200" s="1" t="n">
        <v>7896579310335</v>
      </c>
      <c r="L9200" s="1" t="s">
        <v>5009</v>
      </c>
      <c r="N9200" s="1" t="n">
        <v>12</v>
      </c>
      <c r="O9200" s="1" t="n">
        <v>13.8</v>
      </c>
    </row>
    <row r="9201" customFormat="false" ht="15" hidden="false" customHeight="true" outlineLevel="0" collapsed="false">
      <c r="A9201" s="1" t="n">
        <v>3</v>
      </c>
      <c r="B9201" s="15" t="n">
        <v>46265</v>
      </c>
      <c r="C9201" s="1" t="n">
        <v>107</v>
      </c>
      <c r="D9201" s="1" t="s">
        <v>2735</v>
      </c>
      <c r="E9201" s="1" t="n">
        <v>1672</v>
      </c>
      <c r="F9201" s="1" t="s">
        <v>67</v>
      </c>
      <c r="I9201" s="1" t="n">
        <v>1432809</v>
      </c>
      <c r="J9201" s="1" t="n">
        <v>39425</v>
      </c>
      <c r="K9201" s="1" t="n">
        <v>7896579310632</v>
      </c>
      <c r="L9201" s="1" t="s">
        <v>5010</v>
      </c>
      <c r="N9201" s="1" t="n">
        <v>12</v>
      </c>
      <c r="O9201" s="1" t="n">
        <v>13.8</v>
      </c>
    </row>
    <row r="9202" customFormat="false" ht="15" hidden="false" customHeight="true" outlineLevel="0" collapsed="false">
      <c r="A9202" s="1" t="n">
        <v>3</v>
      </c>
      <c r="B9202" s="15" t="n">
        <v>46265</v>
      </c>
      <c r="C9202" s="1" t="n">
        <v>171</v>
      </c>
      <c r="D9202" s="1" t="s">
        <v>2517</v>
      </c>
      <c r="E9202" s="1" t="n">
        <v>1955</v>
      </c>
      <c r="F9202" s="1" t="s">
        <v>2216</v>
      </c>
      <c r="I9202" s="1" t="n">
        <v>48291</v>
      </c>
      <c r="J9202" s="1" t="n">
        <v>45154</v>
      </c>
      <c r="K9202" s="1" t="n">
        <v>2246390</v>
      </c>
      <c r="L9202" s="1" t="s">
        <v>3505</v>
      </c>
      <c r="N9202" s="1" t="n">
        <v>90</v>
      </c>
      <c r="O9202" s="1" t="n">
        <v>88.34</v>
      </c>
    </row>
    <row r="9203" customFormat="false" ht="15" hidden="false" customHeight="true" outlineLevel="0" collapsed="false">
      <c r="A9203" s="1" t="n">
        <v>3</v>
      </c>
      <c r="B9203" s="15" t="n">
        <v>46265</v>
      </c>
      <c r="C9203" s="1" t="n">
        <v>171</v>
      </c>
      <c r="D9203" s="1" t="s">
        <v>2517</v>
      </c>
      <c r="E9203" s="1" t="n">
        <v>1955</v>
      </c>
      <c r="F9203" s="1" t="s">
        <v>2216</v>
      </c>
      <c r="I9203" s="1" t="n">
        <v>48291</v>
      </c>
      <c r="J9203" s="1" t="n">
        <v>45155</v>
      </c>
      <c r="K9203" s="1" t="n">
        <v>2246406</v>
      </c>
      <c r="L9203" s="1" t="s">
        <v>3506</v>
      </c>
      <c r="N9203" s="1" t="n">
        <v>225</v>
      </c>
      <c r="O9203" s="1" t="n">
        <v>221.62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2026-09-01T18:27:51Z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